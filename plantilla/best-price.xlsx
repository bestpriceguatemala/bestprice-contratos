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showObjects="placeholders" codeName="ThisWorkbook" defaultThemeVersion="124226"/>
  <xr:revisionPtr revIDLastSave="0" documentId="13_ncr:1_{2273A387-4E11-CA4B-852D-59AF8EFA8AE3}" xr6:coauthVersionLast="47" xr6:coauthVersionMax="47" xr10:uidLastSave="{00000000-0000-0000-0000-000000000000}"/>
  <bookViews>
    <workbookView xWindow="0" yWindow="660" windowWidth="29400" windowHeight="18460" activeTab="6" xr2:uid="{F8758A36-DBC7-4547-9B3B-CD3B1C5510E9}"/>
  </bookViews>
  <sheets>
    <sheet name="BUSCAR" sheetId="20" r:id="rId1"/>
    <sheet name="VEHICULOS" sheetId="31" r:id="rId2"/>
    <sheet name="CLIENTES" sheetId="3" r:id="rId3"/>
    <sheet name="INGRESO DE DATOS" sheetId="1" r:id="rId4"/>
    <sheet name="IMP. CONTRATO" sheetId="2" r:id="rId5"/>
    <sheet name="CONTRATOS" sheetId="30" r:id="rId6"/>
    <sheet name="CIERRE" sheetId="40" r:id="rId7"/>
    <sheet name="IMP. CIERRE DE CONTRATO" sheetId="43" r:id="rId8"/>
    <sheet name="FICHA CLIENTE" sheetId="41" r:id="rId9"/>
    <sheet name="FICHA VEHICULO" sheetId="42" r:id="rId10"/>
  </sheets>
  <definedNames>
    <definedName name="_xlnm._FilterDatabase" localSheetId="2" hidden="1">CLIENTES!$A$2:$AD$2002</definedName>
    <definedName name="_xlnm.Print_Area" localSheetId="7">'IMP. CIERRE DE CONTRATO'!$A$1:$F$44</definedName>
    <definedName name="_xlnm.Print_Area" localSheetId="4">'IMP. CONTRATO'!$A$1:$Z$60</definedName>
  </definedNames>
  <calcPr calcId="191029" fullCalcOnLoad="1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<sst xmlns="http://schemas.openxmlformats.org/spreadsheetml/2006/main" count="409" uniqueCount="289">
  <si>
    <t>MUNICIPIO</t>
  </si>
  <si>
    <t>NOMBRE</t>
  </si>
  <si>
    <t>APELLIDO</t>
  </si>
  <si>
    <t>EMISION</t>
  </si>
  <si>
    <t xml:space="preserve">ESTADO </t>
  </si>
  <si>
    <t>PAIS</t>
  </si>
  <si>
    <t>GUATEMALA</t>
  </si>
  <si>
    <t>VENCE</t>
  </si>
  <si>
    <t>LICENCIA</t>
  </si>
  <si>
    <t>DEDUCIBLE</t>
  </si>
  <si>
    <t>MES</t>
  </si>
  <si>
    <t>EXTENDIDA</t>
  </si>
  <si>
    <t>EN</t>
  </si>
  <si>
    <t xml:space="preserve">FECHA </t>
  </si>
  <si>
    <t xml:space="preserve">LICENCIA </t>
  </si>
  <si>
    <t>LUGAR</t>
  </si>
  <si>
    <t>SIN SEGURO</t>
  </si>
  <si>
    <t>NACIONALIDAD</t>
  </si>
  <si>
    <t>DIRECCION</t>
  </si>
  <si>
    <t>CIUDAD</t>
  </si>
  <si>
    <t>OBSERVACIONES:</t>
  </si>
  <si>
    <t>IDENTIFICACION:</t>
  </si>
  <si>
    <t>MODELO</t>
  </si>
  <si>
    <t>SEMANA</t>
  </si>
  <si>
    <t>1er.</t>
  </si>
  <si>
    <t>2do.</t>
  </si>
  <si>
    <t xml:space="preserve">CEDULA O </t>
  </si>
  <si>
    <t>KIL. SALIDA</t>
  </si>
  <si>
    <t>PLACAS</t>
  </si>
  <si>
    <t>TELEFONO</t>
  </si>
  <si>
    <t>FECHA SALIDA</t>
  </si>
  <si>
    <t>LUGAR ENTRADA</t>
  </si>
  <si>
    <t>X GALON</t>
  </si>
  <si>
    <t xml:space="preserve">     FECHA</t>
  </si>
  <si>
    <t>CODIGO</t>
  </si>
  <si>
    <t/>
  </si>
  <si>
    <t>NOMBRES</t>
  </si>
  <si>
    <t>CONDUCIR</t>
  </si>
  <si>
    <t>COLOR</t>
  </si>
  <si>
    <t>APELLIDOS</t>
  </si>
  <si>
    <t>OTROS</t>
  </si>
  <si>
    <t>EXPIRA</t>
  </si>
  <si>
    <t>PASAPORTE</t>
  </si>
  <si>
    <t>LICENCIA No.:</t>
  </si>
  <si>
    <t>EXPIRA:</t>
  </si>
  <si>
    <t>FECHA</t>
  </si>
  <si>
    <t>NAC.</t>
  </si>
  <si>
    <t>COMBUSTIBLE A:</t>
  </si>
  <si>
    <t xml:space="preserve"> </t>
  </si>
  <si>
    <t>NIT</t>
  </si>
  <si>
    <t>FACTURAR A</t>
  </si>
  <si>
    <t>LUGAR SALIDA</t>
  </si>
  <si>
    <t>DIAS</t>
  </si>
  <si>
    <t>SEGURO MENORES</t>
  </si>
  <si>
    <t>DEDUCIBLE BAJO</t>
  </si>
  <si>
    <t>CARTA PODER DESTINO</t>
  </si>
  <si>
    <t>CARTA PODER PRECIO</t>
  </si>
  <si>
    <t>TARJETA 1  No:</t>
  </si>
  <si>
    <t>CODIGO CBC</t>
  </si>
  <si>
    <t>BANCO EMISOR</t>
  </si>
  <si>
    <t>TARJETA 2</t>
  </si>
  <si>
    <t xml:space="preserve"> AUTORIZACION 1</t>
  </si>
  <si>
    <t>ESTADO</t>
  </si>
  <si>
    <t>SEGURO TERCEROS</t>
  </si>
  <si>
    <t xml:space="preserve">SEGURO </t>
  </si>
  <si>
    <t>TARJETA DE CIRCULACION</t>
  </si>
  <si>
    <t>ORIGINAL</t>
  </si>
  <si>
    <t>AUTENTICA</t>
  </si>
  <si>
    <t xml:space="preserve">   </t>
  </si>
  <si>
    <t xml:space="preserve"> + iva</t>
  </si>
  <si>
    <t xml:space="preserve">NOMBRE </t>
  </si>
  <si>
    <t>VARIOS DESCRIPCION</t>
  </si>
  <si>
    <t>VARIOS PRECIO</t>
  </si>
  <si>
    <t>SEGURO PAI</t>
  </si>
  <si>
    <t>NO TOCAR LO QUE ESTA EN AZUL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</si>
  <si>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</si>
  <si>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ACEPTO LOS CARGOS A MI TARJETA NUMERO</t>
  </si>
  <si>
    <t>MARCA Y LINEA</t>
  </si>
  <si>
    <t>HORA DE ENTRADA</t>
  </si>
  <si>
    <t>RENTADO POR</t>
  </si>
  <si>
    <t>TARJETA 1</t>
  </si>
  <si>
    <t>REFERENCIA</t>
  </si>
  <si>
    <t>CORREO</t>
  </si>
  <si>
    <t>ELECTRONICO</t>
  </si>
  <si>
    <t>ADICIONAL</t>
  </si>
  <si>
    <t>DIRECCION ADICIONAL</t>
  </si>
  <si>
    <t>TEL. ADICIONAL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</si>
  <si>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</si>
  <si>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</si>
  <si>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</si>
  <si>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</si>
  <si>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</si>
  <si>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</si>
  <si>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</si>
  <si>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</si>
  <si>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</si>
  <si>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</si>
  <si>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</si>
  <si>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</si>
  <si>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</si>
  <si>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</si>
  <si>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PERSONA O EMPRESA</t>
  </si>
  <si>
    <t>TIPO DE VEHICULO</t>
  </si>
  <si>
    <t/>
  </si>
  <si>
    <t/>
  </si>
  <si>
    <t/>
  </si>
  <si>
    <t/>
  </si>
  <si>
    <t/>
  </si>
  <si>
    <t/>
  </si>
  <si>
    <t>COMBUSTIBLE</t>
  </si>
  <si>
    <t/>
  </si>
  <si>
    <t/>
  </si>
  <si>
    <t/>
  </si>
  <si>
    <t/>
  </si>
  <si>
    <t>PECIO X DIA</t>
  </si>
  <si>
    <t>BUSCADOR DE CLIENTES</t>
  </si>
  <si>
    <t>Escriba cualquier parte del nombre, apellido, DPI, licencia, telefono, NIT o "facturar a".</t>
  </si>
  <si>
    <t>Buscar:</t>
  </si>
  <si>
    <t>Filtrar por fecha:</t>
  </si>
  <si>
    <t>(sin filtro)</t>
  </si>
  <si>
    <t>Desde:</t>
  </si>
  <si>
    <t>Hasta:</t>
  </si>
  <si>
    <t>Resultados:</t>
  </si>
  <si>
    <t>DPI / PASAPORTE</t>
  </si>
  <si>
    <t>No. CONTRATO</t>
  </si>
  <si>
    <t>CODIGO CARRO</t>
  </si>
  <si>
    <t>No.
CONTRATO</t>
  </si>
  <si>
    <t>FECHA
SALIDA</t>
  </si>
  <si>
    <t>FLOTA DE VEHICULOS</t>
  </si>
  <si>
    <t>CLIENTE</t>
  </si>
  <si>
    <t>CARRO</t>
  </si>
  <si>
    <t>DEVOLUCION
PREVISTA</t>
  </si>
  <si>
    <t>KM
SALIDA</t>
  </si>
  <si>
    <t>TARIFA
X DIA</t>
  </si>
  <si>
    <t>RENTA</t>
  </si>
  <si>
    <t>FECHA REAL
INGRESO</t>
  </si>
  <si>
    <t>KM
ENTRADA</t>
  </si>
  <si>
    <t>KM
RECORRIDOS</t>
  </si>
  <si>
    <t>DAÑOS</t>
  </si>
  <si>
    <t>CARTA
PODER</t>
  </si>
  <si>
    <t>TOTAL
COBRADO</t>
  </si>
  <si>
    <t>FORMA
DE PAGO</t>
  </si>
  <si>
    <t>COMENTARIOS</t>
  </si>
  <si>
    <t>CONTRATOS</t>
  </si>
  <si>
    <t>COD.
CLIENTE</t>
  </si>
  <si>
    <t>COD.
CARRO</t>
  </si>
  <si>
    <t>aux</t>
  </si>
  <si>
    <t>CIERRE DE CONTRATO</t>
  </si>
  <si>
    <t>No. de contrato:</t>
  </si>
  <si>
    <t>KM SALIDA</t>
  </si>
  <si>
    <t>DEVOLUCION PREVISTA</t>
  </si>
  <si>
    <t>KM ENTRADA</t>
  </si>
  <si>
    <t>FECHA REAL INGRESO</t>
  </si>
  <si>
    <t>KM RECORRIDOS</t>
  </si>
  <si>
    <t>DIAS DE ATRASO</t>
  </si>
  <si>
    <t>DIAS CONTRATADOS</t>
  </si>
  <si>
    <t>DETALLE DEL COBRO</t>
  </si>
  <si>
    <t>CARTA PODER</t>
  </si>
  <si>
    <t>TOTAL A COBRAR</t>
  </si>
  <si>
    <t>FORMA DE PAGO</t>
  </si>
  <si>
    <t>CONTRATOS ABIERTOS</t>
  </si>
  <si>
    <t>No.</t>
  </si>
  <si>
    <t>SALIDA</t>
  </si>
  <si>
    <t>FICHA DEL CLIENTE</t>
  </si>
  <si>
    <t>Codigo del cliente:</t>
  </si>
  <si>
    <t>TOTAL PAGADO</t>
  </si>
  <si>
    <t>ULTIMA RENTA</t>
  </si>
  <si>
    <t>INGRESO</t>
  </si>
  <si>
    <t>TOTAL COBRADO</t>
  </si>
  <si>
    <t>FICHA DEL VEHICULO</t>
  </si>
  <si>
    <t>Codigo del carro:</t>
  </si>
  <si>
    <t>TIPO</t>
  </si>
  <si>
    <t>RENTAS</t>
  </si>
  <si>
    <t>DIAS RENTADO</t>
  </si>
  <si>
    <t>PROPIEDAD</t>
  </si>
  <si>
    <t>COSTO
SUBARRIENDO</t>
  </si>
  <si>
    <t>UTILIDAD</t>
  </si>
  <si>
    <t>DUEÑO</t>
  </si>
  <si>
    <t>COBRADO</t>
  </si>
  <si>
    <t>PAGADO AL DUEÑO</t>
  </si>
  <si>
    <t>DUEÑO DEL CARRO</t>
  </si>
  <si>
    <t>El CODIGO se pone solo. Marca PROPIEDAD como SUBARRENDADO y anota el dueño cuando el carro no sea tuyo.</t>
  </si>
  <si>
    <t/>
  </si>
  <si>
    <t>Puede escribir nombre y apellido en cualquier orden, y sin acentos. Vacio = todos.</t>
  </si>
  <si>
    <t/>
  </si>
  <si>
    <t/>
  </si>
  <si>
    <t/>
  </si>
  <si>
    <t/>
  </si>
  <si>
    <t/>
  </si>
  <si>
    <t>HORA TARDIA</t>
  </si>
  <si>
    <t>DIAS A RENTAR</t>
  </si>
  <si>
    <t xml:space="preserve">HORA DE SALIDA </t>
  </si>
  <si>
    <t>DIAS
TOTALES</t>
  </si>
  <si>
    <t>DUEÑO DEL
CARRO</t>
  </si>
  <si>
    <t>DIAS DE
ATRASO</t>
  </si>
  <si>
    <t>COBRO DIAS
DE ATRASO</t>
  </si>
  <si>
    <t>SUBTOTAL</t>
  </si>
  <si>
    <t>DESCUENTO</t>
  </si>
  <si>
    <t>% TARJETA
(ej: 12)</t>
  </si>
  <si>
    <t>COBRO DIAS DE ATRASO</t>
  </si>
  <si>
    <t>( - ) DESCUENTO</t>
  </si>
  <si>
    <t>% TARJETA</t>
  </si>
  <si>
    <t>COSTO SUB.
X DIA</t>
  </si>
  <si>
    <t>COSTO SUBARRIENDO X DIA</t>
  </si>
  <si>
    <t>( - ) COSTO SUBARRIENDO TOTAL</t>
  </si>
  <si>
    <t>Para imprimir este cierre: hoja IMP. CIERRE DE CONTRATO</t>
  </si>
  <si>
    <t>Liquidación de la renta</t>
  </si>
  <si>
    <t>CONTRATO No.</t>
  </si>
  <si>
    <t>DATOS DEL CLIENTE Y DEL VEHÍCULO</t>
  </si>
  <si>
    <t>Cliente</t>
  </si>
  <si>
    <t>Vehículo</t>
  </si>
  <si>
    <t>Fecha de salida</t>
  </si>
  <si>
    <t>Km de salida</t>
  </si>
  <si>
    <t>Devolución prevista</t>
  </si>
  <si>
    <t>Km de entrada</t>
  </si>
  <si>
    <t>Fecha real de ingreso</t>
  </si>
  <si>
    <t>Km recorridos</t>
  </si>
  <si>
    <t>Días contratados</t>
  </si>
  <si>
    <t>Días de atraso</t>
  </si>
  <si>
    <t>Días totales</t>
  </si>
  <si>
    <t>Deducible establecido</t>
  </si>
  <si>
    <t>CONCEPTO</t>
  </si>
  <si>
    <t>CANTIDAD</t>
  </si>
  <si>
    <t>PRECIO POR DÍA</t>
  </si>
  <si>
    <t>IMPORTE</t>
  </si>
  <si>
    <t>Daños</t>
  </si>
  <si>
    <t>Combustible</t>
  </si>
  <si>
    <t>( - ) Descuento</t>
  </si>
  <si>
    <t>( + ) Recargo por pago con tarjeta</t>
  </si>
  <si>
    <t>TOTAL A PAGAR</t>
  </si>
  <si>
    <t>Forma de pago</t>
  </si>
  <si>
    <t>Comentarios</t>
  </si>
  <si>
    <t>Firma del cliente</t>
  </si>
  <si>
    <t>Firma y sello · Best Price Rent a Car</t>
  </si>
  <si>
    <t>7 av 15-90 zona 13, Colonia Aurora I  ·  Tel. 2261-3575  ·  WhatsApp 4001-2626  ·  rentaautos.gt</t>
  </si>
  <si>
    <t>Movilidad confiable para cada destino.</t>
  </si>
  <si>
    <t>SEGUROS EXTRA (menores, PAI, deducible bajo)</t>
  </si>
  <si>
    <t>VARIOS</t>
  </si>
  <si>
    <t>VENCE
TARJETA 1</t>
  </si>
  <si>
    <t>AUTORIZ.
TARJETA 1</t>
  </si>
  <si>
    <t>MONTO
AUTORIZ. 1</t>
  </si>
  <si>
    <t>BANCO
TARJETA 1</t>
  </si>
  <si>
    <t>VENCE
TARJETA 2</t>
  </si>
  <si>
    <t>AUTORIZ.
TARJETA 2</t>
  </si>
  <si>
    <t>MONTO
AUTORIZ. 2</t>
  </si>
  <si>
    <t>BANCO
TARJETA 2</t>
  </si>
  <si>
    <t>PERSONA O
EMPRESA</t>
  </si>
  <si>
    <t>T. CIRCULACION
ORIGINAL</t>
  </si>
  <si>
    <t>T. CIRCULACION
AUTENTICA</t>
  </si>
  <si>
    <t>SEGURO
TERCEROS X DIA</t>
  </si>
  <si>
    <t>SEGURO
X DIA</t>
  </si>
  <si>
    <t>COMBUSTIBLE
SALIDA</t>
  </si>
  <si>
    <t>HORA
SALIDA</t>
  </si>
  <si>
    <t>LUGAR
SALIDA</t>
  </si>
  <si>
    <t>HORA
ENTRADA</t>
  </si>
  <si>
    <t>LUGAR
ENTRADA</t>
  </si>
  <si>
    <t>HORA
TARDIA</t>
  </si>
  <si>
    <t>COMBUSTIBLE
X GALON</t>
  </si>
  <si>
    <t>RENTADO
POR</t>
  </si>
  <si>
    <t>SEGURO
MENORES X DIA</t>
  </si>
  <si>
    <t>CARTA PODER
DESTINO</t>
  </si>
  <si>
    <t>CARTA PODER
PRECIO</t>
  </si>
  <si>
    <t>DEDUCIBLE
BAJO</t>
  </si>
  <si>
    <t>VARIOS
DESCRIPCION</t>
  </si>
  <si>
    <t>VARIOS
PRECIO</t>
  </si>
  <si>
    <t>SEGURO PAI
X DIA</t>
  </si>
  <si>
    <t>LICENCIA No.</t>
  </si>
  <si>
    <t>IDENTIFICACION</t>
  </si>
  <si>
    <t>OBSERVACIONES</t>
  </si>
  <si>
    <t>SEGUROS
EXTRA</t>
  </si>
  <si>
    <t>Renta sin seguro</t>
  </si>
  <si>
    <t>Seguro</t>
  </si>
  <si>
    <t>Seguro terceros</t>
  </si>
  <si>
    <t>Seguro menores</t>
  </si>
  <si>
    <t>Seguro PAI</t>
  </si>
  <si>
    <t>Deducible bajo</t>
  </si>
  <si>
    <t>PAGO AL DUEÑO</t>
  </si>
  <si>
    <t>CARRO SUBARRENDADO:  deja CODIGO CARRO vacío y llena aquí</t>
  </si>
  <si>
    <t>COSTO X DIA</t>
  </si>
  <si>
    <t>Al salir el carro: copia A5:BD5 (de No. CONTRATO hasta SUBARR. COSTO X DIA) y pega con Pegado especial &gt; Valores en la fila indicada. Al regresar: llena las amarillas (fecha real, km de entrada, daños, combustible, descuento, % tarjeta, forma de pago). Si el carro es subarrendado, marca PAGADO AL DUEÑO cuando le pagues.</t>
  </si>
  <si>
    <t>SUBARR.
PLACAS</t>
  </si>
  <si>
    <t>SUBARR.
TIPO</t>
  </si>
  <si>
    <t>SUBARR.
MARCA Y LINEA</t>
  </si>
  <si>
    <t>SUBARR.
COLOR</t>
  </si>
  <si>
    <t>SUBARR.
MODELO</t>
  </si>
  <si>
    <t>SUBARR.
DUEÑO</t>
  </si>
  <si>
    <t>SUBARR.
COSTO X DIA</t>
  </si>
  <si>
    <t>PAGADO
AL DUEÑO</t>
  </si>
  <si>
    <t>FECHA PAGO
AL DUEÑO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</si>
</sst>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5">
    <numFmt numFmtId="6" formatCode="&quot;Q&quot;#,##0_);[Red]\(&quot;Q&quot;#,##0\)"/>
    <numFmt numFmtId="7" formatCode="&quot;Q&quot;#,##0.00_);\(&quot;Q&quot;#,##0.00\)"/>
    <numFmt numFmtId="44" formatCode="_(&quot;Q&quot;* #,##0.00_);_(&quot;Q&quot;* \(#,##0.00\);_(&quot;Q&quot;* &quot;-&quot;??_);_(@_)"/>
    <numFmt numFmtId="164" formatCode="##/##"/>
    <numFmt numFmtId="165" formatCode="dd/mm/yy"/>
    <numFmt numFmtId="166" formatCode="\-"/>
    <numFmt numFmtId="167" formatCode="###\-####"/>
    <numFmt numFmtId="168" formatCode="dd/mm/yy;@"/>
    <numFmt numFmtId="169" formatCode="dd/mm/yyyy;@"/>
    <numFmt numFmtId="170" formatCode="#/#"/>
    <numFmt numFmtId="171" formatCode="dd\ \ mm\ \ \ \ yy"/>
    <numFmt numFmtId="172" formatCode="dd\ \ \ \ \ \ \ \ \ mm\ \ \ \ \ \ \ \ \ yyyy"/>
    <numFmt numFmtId="173" formatCode="&quot;Q&quot;#,##0.00"/>
    <numFmt numFmtId="174" formatCode="dd\-mm\-yy"/>
    <numFmt numFmtId="175" formatCode="&quot;Q&quot;#,##0.00;[Red]&quot;Q&quot;#,##0.00"/>
    <numFmt numFmtId="176" formatCode="h:mm;@"/>
    <numFmt numFmtId="177" formatCode="#,##0.00\ _€"/>
    <numFmt numFmtId="178" formatCode="[$Q-100A]#,##0.00"/>
    <numFmt numFmtId="179" formatCode="[$Q-100A]#,##0.00_ ;\-[$Q-100A]#,##0.00\ "/>
    <numFmt numFmtId="180" formatCode="d/m/yy;@"/>
    <numFmt numFmtId="181" formatCode="dd/mm/yyyy"/>
    <numFmt numFmtId="182" formatCode="&quot;Q &quot;#,##0.00"/>
    <numFmt numFmtId="183" formatCode="#,##0&quot; días&quot;"/>
    <numFmt numFmtId="184" formatCode="General&quot;%&quot;"/>
    <numFmt numFmtId="185" formatCode="&quot;- Q &quot;#,##0.00"/>
  </numFmts>
  <fonts count="90" x14ac:knownFonts="1">
    <font>
      <sz val="12"/>
      <name val="Arial"/>
    </font>
    <font>
      <u/>
      <sz val="12"/>
      <color rgb="FF025AB3"/>
      <name val="Arial"/>
      <family val="2"/>
    </font>
    <font>
      <sz val="10"/>
      <name val="Arial"/>
      <family val="2"/>
    </font>
    <font>
      <b/>
      <sz val="12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b/>
      <sz val="10"/>
      <name val="Arial"/>
      <family val="2"/>
    </font>
    <font>
      <sz val="12"/>
      <color rgb="FF025AB3"/>
      <name val="Arial"/>
      <family val="2"/>
    </font>
    <font>
      <sz val="10"/>
      <name val="Arial"/>
      <family val="2"/>
    </font>
    <font>
      <b/>
      <sz val="15"/>
      <color rgb="FF073A7A"/>
      <name val="Arial"/>
      <family val="2"/>
    </font>
    <font>
      <i/>
      <sz val="11"/>
      <color rgb="FF7F7F7F"/>
      <name val="Arial"/>
      <family val="2"/>
    </font>
    <font>
      <b/>
      <sz val="12"/>
      <color rgb="FFFFFFFF"/>
      <name val="Arial"/>
      <family val="2"/>
    </font>
    <font>
      <b/>
      <sz val="13"/>
      <color rgb="FF073A7A"/>
      <name val="Arial"/>
      <family val="2"/>
    </font>
    <font>
      <sz val="12"/>
      <name val="Arial"/>
      <family val="2"/>
    </font>
    <font>
      <b/>
      <sz val="17"/>
      <color rgb="FF073A7A"/>
      <name val="Arial"/>
      <family val="2"/>
    </font>
    <font>
      <sz val="11"/>
      <color rgb="FF6B7280"/>
      <name val="Arial"/>
      <family val="2"/>
    </font>
    <font>
      <b/>
      <sz val="11"/>
      <color rgb="FFFFFFFF"/>
      <name val="Arial"/>
      <family val="2"/>
    </font>
    <font>
      <sz val="12"/>
      <name val="Arial"/>
      <family val="2"/>
    </font>
    <font>
      <b/>
      <sz val="12"/>
      <color rgb="FF073A7A"/>
      <name val="Arial"/>
      <family val="2"/>
    </font>
    <font>
      <b/>
      <sz val="12"/>
      <color rgb="FF7F4F00"/>
      <name val="Arial"/>
      <family val="2"/>
    </font>
    <font>
      <b/>
      <sz val="17"/>
      <color rgb="FF073A7A"/>
      <name val="Arial"/>
      <family val="2"/>
    </font>
    <font>
      <sz val="11"/>
      <color rgb="FF6B7280"/>
      <name val="Arial"/>
      <family val="2"/>
    </font>
    <font>
      <b/>
      <sz val="11"/>
      <color rgb="FFFFFFFF"/>
      <name val="Arial"/>
      <family val="2"/>
    </font>
    <font>
      <b/>
      <sz val="12"/>
      <color rgb="FF9C0006"/>
      <name val="Arial"/>
      <family val="2"/>
    </font>
    <font>
      <sz val="12"/>
      <name val="Arial"/>
      <family val="2"/>
    </font>
    <font>
      <b/>
      <sz val="12"/>
      <color rgb="FF073A7A"/>
      <name val="Arial"/>
      <family val="2"/>
    </font>
    <font>
      <b/>
      <sz val="14"/>
      <color rgb="FF073A7A"/>
      <name val="Arial"/>
      <family val="2"/>
    </font>
    <font>
      <b/>
      <sz val="16"/>
      <name val="Arial"/>
      <family val="2"/>
    </font>
    <font>
      <b/>
      <sz val="13"/>
      <name val="Arial"/>
      <family val="2"/>
    </font>
    <font>
      <sz val="10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sz val="10"/>
      <color indexed="9"/>
      <name val="Arial"/>
      <family val="2"/>
    </font>
    <font>
      <sz val="10"/>
      <color indexed="9"/>
      <name val="Arial"/>
      <family val="2"/>
    </font>
    <font>
      <b/>
      <sz val="10"/>
      <color indexed="8"/>
      <name val="Arial"/>
      <family val="2"/>
    </font>
    <font>
      <b/>
      <sz val="9"/>
      <color indexed="8"/>
      <name val="Arial"/>
      <family val="2"/>
    </font>
    <font>
      <sz val="9"/>
      <name val="Arial"/>
      <family val="2"/>
    </font>
    <font>
      <sz val="11"/>
      <name val="Arial"/>
      <family val="2"/>
    </font>
    <font>
      <b/>
      <sz val="7"/>
      <color rgb="FF025AB3"/>
      <name val="Arial"/>
      <family val="2"/>
    </font>
    <font>
      <sz val="10"/>
      <color rgb="FF025AB3"/>
      <name val="Arial"/>
      <family val="2"/>
    </font>
    <font>
      <sz val="10"/>
      <color indexed="22"/>
      <name val="Arial"/>
      <family val="2"/>
    </font>
    <font>
      <b/>
      <sz val="8"/>
      <name val="Arial"/>
      <family val="2"/>
    </font>
    <font>
      <b/>
      <sz val="14"/>
      <color rgb="FF025AB3"/>
      <name val="Arial"/>
      <family val="2"/>
    </font>
    <font>
      <sz val="10"/>
      <name val="Arial"/>
      <family val="2"/>
    </font>
    <font>
      <b/>
      <sz val="6"/>
      <name val="Arial"/>
      <family val="2"/>
    </font>
    <font>
      <b/>
      <sz val="7"/>
      <name val="Arial"/>
      <family val="2"/>
    </font>
    <font>
      <sz val="18"/>
      <color indexed="9"/>
      <name val="Arial"/>
      <family val="2"/>
    </font>
    <font>
      <sz val="12"/>
      <name val="Arial"/>
      <family val="2"/>
    </font>
    <font>
      <b/>
      <sz val="8"/>
      <color indexed="8"/>
      <name val="Arial"/>
      <family val="2"/>
    </font>
    <font>
      <sz val="14"/>
      <name val="Arial Narrow"/>
      <family val="2"/>
    </font>
    <font>
      <sz val="15"/>
      <name val="Arial Narrow"/>
      <family val="2"/>
    </font>
    <font>
      <sz val="14"/>
      <name val="Arial"/>
      <family val="2"/>
    </font>
    <font>
      <sz val="16"/>
      <name val="Arial Narrow"/>
      <family val="2"/>
    </font>
    <font>
      <sz val="10"/>
      <color theme="0"/>
      <name val="Arial"/>
      <family val="2"/>
    </font>
    <font>
      <sz val="10"/>
      <color theme="1"/>
      <name val="Arial"/>
      <family val="2"/>
    </font>
    <font>
      <sz val="10"/>
      <color rgb="FFFF0000"/>
      <name val="Arial"/>
      <family val="2"/>
    </font>
    <font>
      <b/>
      <sz val="12"/>
      <color theme="0"/>
      <name val="Arial"/>
      <family val="2"/>
    </font>
    <font>
      <b/>
      <sz val="10"/>
      <color theme="0"/>
      <name val="Arial"/>
      <family val="2"/>
    </font>
    <font>
      <sz val="8"/>
      <color theme="1"/>
      <name val="Arial"/>
      <family val="2"/>
    </font>
    <font>
      <sz val="9"/>
      <color theme="0"/>
      <name val="Arial"/>
      <family val="2"/>
    </font>
    <font>
      <sz val="7"/>
      <color theme="0"/>
      <name val="Arial"/>
      <family val="2"/>
    </font>
    <font>
      <sz val="12"/>
      <color theme="1"/>
      <name val="Arial"/>
      <family val="2"/>
    </font>
    <font>
      <sz val="8"/>
      <color theme="0"/>
      <name val="Arial"/>
      <family val="2"/>
    </font>
    <font>
      <b/>
      <sz val="10"/>
      <color theme="1" tint="4.9989318521683403E-2"/>
      <name val="Arial"/>
      <family val="2"/>
    </font>
    <font>
      <sz val="8"/>
      <color theme="1"/>
      <name val="Arial Narrow"/>
      <family val="2"/>
    </font>
    <font>
      <sz val="12"/>
      <color theme="1"/>
      <name val="Arial Narrow"/>
      <family val="2"/>
    </font>
    <font>
      <sz val="11"/>
      <color theme="1"/>
      <name val="Arial Narrow"/>
      <family val="2"/>
    </font>
    <font>
      <sz val="10"/>
      <color theme="1"/>
      <name val="Arial Narrow"/>
      <family val="2"/>
    </font>
    <font>
      <sz val="14"/>
      <color theme="1"/>
      <name val="Arial Narrow"/>
      <family val="2"/>
    </font>
    <font>
      <sz val="9"/>
      <color theme="1"/>
      <name val="Arial Narrow"/>
      <family val="2"/>
    </font>
    <font>
      <sz val="11"/>
      <color theme="1"/>
      <name val="Arial"/>
      <family val="2"/>
    </font>
    <font>
      <sz val="10"/>
      <color rgb="FF073A7A"/>
      <name val="Arial"/>
      <family val="2"/>
    </font>
    <font>
      <b/>
      <sz val="7"/>
      <color rgb="FF073A7A"/>
      <name val="Arial"/>
      <family val="2"/>
    </font>
    <font>
      <b/>
      <u/>
      <sz val="11"/>
      <color rgb="FF073A7A"/>
      <name val="Arial"/>
      <family val="2"/>
    </font>
    <font>
      <b/>
      <sz val="11"/>
      <color rgb="FF073A7A"/>
      <name val="Arial"/>
      <family val="2"/>
    </font>
    <font>
      <b/>
      <sz val="9"/>
      <color rgb="FFFFFFFF"/>
      <name val="Arial"/>
      <family val="2"/>
    </font>
    <font>
      <b/>
      <sz val="10"/>
      <color rgb="FFFFFFFF"/>
      <name val="Arial"/>
      <family val="2"/>
    </font>
    <font>
      <b/>
      <sz val="10"/>
      <color rgb="FF073A7A"/>
      <name val="Arial"/>
      <family val="2"/>
    </font>
    <font>
      <b/>
      <sz val="18"/>
      <color rgb="FF073A7A"/>
      <name val="Arial"/>
      <family val="2"/>
    </font>
    <font>
      <sz val="10"/>
      <color rgb="FF6B7280"/>
      <name val="Arial"/>
      <family val="2"/>
    </font>
    <font>
      <b/>
      <sz val="16"/>
      <color rgb="FF073A7A"/>
      <name val="Arial"/>
      <family val="2"/>
    </font>
    <font>
      <b/>
      <sz val="11"/>
      <color rgb="FF1F2937"/>
      <name val="Arial"/>
      <family val="2"/>
    </font>
    <font>
      <b/>
      <sz val="10"/>
      <color rgb="FFC00000"/>
      <name val="Arial"/>
      <family val="2"/>
    </font>
    <font>
      <sz val="11"/>
      <color rgb="FF1F2937"/>
      <name val="Arial"/>
      <family val="2"/>
    </font>
    <font>
      <b/>
      <sz val="9"/>
      <color rgb="FF073A7A"/>
      <name val="Arial"/>
      <family val="2"/>
    </font>
    <font>
      <sz val="9"/>
      <color rgb="FF374151"/>
      <name val="Arial"/>
      <family val="2"/>
    </font>
    <font>
      <sz val="9"/>
      <color rgb="FF6B7280"/>
      <name val="Arial"/>
      <family val="2"/>
    </font>
    <font>
      <i/>
      <sz val="9"/>
      <color rgb="FF025AB3"/>
      <name val="Arial"/>
      <family val="2"/>
    </font>
    <font>
      <i/>
      <sz val="11"/>
      <color rgb="FF6B7280"/>
      <name val="Arial"/>
      <family val="2"/>
    </font>
    <font>
      <b/>
      <sz val="9"/>
      <color rgb="FF1F2937"/>
      <name val="Arial"/>
      <family val="2"/>
    </font>
  </fonts>
  <fills count="20">
    <fill>
      <patternFill patternType="none"/>
    </fill>
    <fill>
      <patternFill patternType="gray125"/>
    </fill>
    <fill>
      <patternFill patternType="solid">
        <fgColor indexed="1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7F7F7"/>
        <bgColor indexed="64"/>
      </patternFill>
    </fill>
    <fill>
      <patternFill patternType="solid">
        <fgColor rgb="FFEAF1FA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EAF1FA"/>
        <bgColor indexed="64"/>
      </patternFill>
    </fill>
    <fill>
      <patternFill patternType="solid">
        <fgColor rgb="FFF7F7F7"/>
        <bgColor indexed="64"/>
      </patternFill>
    </fill>
    <fill>
      <patternFill patternType="solid">
        <fgColor rgb="FF073A7A"/>
        <bgColor indexed="64"/>
      </patternFill>
    </fill>
    <fill>
      <patternFill patternType="solid">
        <fgColor rgb="FFD6E4F5"/>
        <bgColor indexed="64"/>
      </patternFill>
    </fill>
    <fill>
      <patternFill patternType="solid">
        <fgColor rgb="FF025AB3"/>
        <bgColor indexed="64"/>
      </patternFill>
    </fill>
    <fill>
      <patternFill patternType="solid">
        <fgColor rgb="FFFFBC01"/>
        <bgColor indexed="64"/>
      </patternFill>
    </fill>
    <fill>
      <patternFill patternType="solid">
        <fgColor rgb="FFC5D8EF"/>
        <bgColor indexed="64"/>
      </patternFill>
    </fill>
    <fill>
      <patternFill patternType="solid">
        <fgColor rgb="FFE3ECF7"/>
        <bgColor indexed="64"/>
      </patternFill>
    </fill>
    <fill>
      <patternFill patternType="solid">
        <fgColor rgb="FFEEF3FA"/>
        <bgColor indexed="64"/>
      </patternFill>
    </fill>
    <fill>
      <patternFill patternType="solid">
        <fgColor rgb="FFFFE699"/>
        <bgColor indexed="64"/>
      </patternFill>
    </fill>
  </fills>
  <borders count="4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medium">
        <color rgb="FF073A7A"/>
      </left>
      <right style="medium">
        <color rgb="FF073A7A"/>
      </right>
      <top style="medium">
        <color rgb="FF073A7A"/>
      </top>
      <bottom style="medium">
        <color rgb="FF073A7A"/>
      </bottom>
      <diagonal/>
    </border>
    <border>
      <left style="medium">
        <color rgb="FFFFBC01"/>
      </left>
      <right style="medium">
        <color rgb="FFFFBC01"/>
      </right>
      <top style="medium">
        <color rgb="FFFFBC01"/>
      </top>
      <bottom style="medium">
        <color rgb="FFFFBC01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medium">
        <color rgb="FFFFBC01"/>
      </left>
      <right style="medium">
        <color rgb="FFFFBC01"/>
      </right>
      <top style="medium">
        <color rgb="FFFFBC01"/>
      </top>
      <bottom style="medium">
        <color rgb="FFFFBC01"/>
      </bottom>
      <diagonal/>
    </border>
    <border>
      <left/>
      <right/>
      <top/>
      <bottom style="thin">
        <color rgb="FFD9D9D9"/>
      </bottom>
      <diagonal/>
    </border>
    <border>
      <left/>
      <right/>
      <top/>
      <bottom style="thin">
        <color rgb="FFD0D7E2"/>
      </bottom>
      <diagonal/>
    </border>
    <border>
      <left/>
      <right/>
      <top style="thin">
        <color rgb="FF073A7A"/>
      </top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501">
    <xf numFmtId="0" fontId="0" fillId="0" borderId="0" xfId="0"/>
    <xf numFmtId="0" fontId="0" fillId="12" borderId="0" xfId="0" applyFill="1" applyProtection="1">
      <protection hidden="1"/>
    </xf>
    <xf numFmtId="0" fontId="0" fillId="0" borderId="0" xfId="0" applyProtection="1">
      <protection hidden="1"/>
    </xf>
    <xf numFmtId="0" fontId="3" fillId="0" borderId="0" xfId="0" applyFont="1" applyProtection="1">
      <protection hidden="1"/>
    </xf>
    <xf numFmtId="0" fontId="4" fillId="0" borderId="0" xfId="0" applyFont="1" applyAlignment="1" applyProtection="1">
      <alignment horizontal="left"/>
      <protection locked="0"/>
    </xf>
    <xf numFmtId="0" fontId="4" fillId="0" borderId="11" xfId="0" applyFont="1" applyBorder="1" applyAlignment="1" applyProtection="1">
      <alignment horizontal="left"/>
      <protection locked="0"/>
    </xf>
    <xf numFmtId="0" fontId="4" fillId="3" borderId="12" xfId="0" applyFont="1" applyFill="1" applyBorder="1" applyAlignment="1" applyProtection="1">
      <alignment horizontal="left"/>
      <protection locked="0"/>
    </xf>
    <xf numFmtId="0" fontId="4" fillId="3" borderId="12" xfId="0" applyFont="1" applyFill="1" applyBorder="1" applyAlignment="1" applyProtection="1">
      <alignment horizontal="center"/>
      <protection locked="0"/>
    </xf>
    <xf numFmtId="165" fontId="4" fillId="3" borderId="1" xfId="0" applyNumberFormat="1" applyFont="1" applyFill="1" applyBorder="1" applyAlignment="1" applyProtection="1">
      <alignment horizontal="center"/>
      <protection locked="0"/>
    </xf>
    <xf numFmtId="0" fontId="4" fillId="3" borderId="1" xfId="0" applyFont="1" applyFill="1" applyBorder="1" applyAlignment="1" applyProtection="1">
      <alignment horizontal="center"/>
      <protection locked="0"/>
    </xf>
    <xf numFmtId="168" fontId="4" fillId="3" borderId="1" xfId="0" applyNumberFormat="1" applyFont="1" applyFill="1" applyBorder="1" applyAlignment="1" applyProtection="1">
      <alignment horizontal="center"/>
      <protection locked="0"/>
    </xf>
    <xf numFmtId="0" fontId="4" fillId="3" borderId="1" xfId="0" applyFont="1" applyFill="1" applyBorder="1" applyAlignment="1" applyProtection="1">
      <alignment horizontal="left"/>
      <protection locked="0"/>
    </xf>
    <xf numFmtId="166" fontId="4" fillId="3" borderId="1" xfId="0" applyNumberFormat="1" applyFont="1" applyFill="1" applyBorder="1" applyAlignment="1" applyProtection="1">
      <alignment horizontal="center"/>
      <protection locked="0"/>
    </xf>
    <xf numFmtId="167" fontId="4" fillId="3" borderId="1" xfId="0" applyNumberFormat="1" applyFont="1" applyFill="1" applyBorder="1" applyAlignment="1" applyProtection="1">
      <alignment horizontal="center"/>
      <protection locked="0"/>
    </xf>
    <xf numFmtId="0" fontId="3" fillId="13" borderId="0" xfId="0" applyFont="1" applyFill="1" applyAlignment="1" applyProtection="1">
      <alignment horizontal="center"/>
      <protection hidden="1"/>
    </xf>
    <xf numFmtId="167" fontId="4" fillId="3" borderId="22" xfId="0" applyNumberFormat="1" applyFont="1" applyFill="1" applyBorder="1" applyAlignment="1" applyProtection="1">
      <alignment horizontal="center"/>
      <protection locked="0"/>
    </xf>
    <xf numFmtId="167" fontId="4" fillId="3" borderId="23" xfId="0" applyNumberFormat="1" applyFont="1" applyFill="1" applyBorder="1" applyAlignment="1" applyProtection="1">
      <alignment horizontal="center"/>
      <protection locked="0"/>
    </xf>
    <xf numFmtId="0" fontId="3" fillId="13" borderId="1" xfId="0" applyFont="1" applyFill="1" applyBorder="1" applyAlignment="1" applyProtection="1">
      <alignment horizontal="center"/>
      <protection hidden="1"/>
    </xf>
    <xf numFmtId="0" fontId="4" fillId="3" borderId="0" xfId="0" applyFont="1" applyFill="1" applyAlignment="1" applyProtection="1">
      <alignment horizontal="left"/>
      <protection locked="0"/>
    </xf>
    <xf numFmtId="165" fontId="4" fillId="3" borderId="0" xfId="0" applyNumberFormat="1" applyFont="1" applyFill="1" applyAlignment="1" applyProtection="1">
      <alignment horizontal="center"/>
      <protection locked="0"/>
    </xf>
    <xf numFmtId="0" fontId="4" fillId="3" borderId="0" xfId="0" applyFont="1" applyFill="1" applyAlignment="1" applyProtection="1">
      <alignment horizontal="center"/>
      <protection locked="0"/>
    </xf>
    <xf numFmtId="168" fontId="4" fillId="3" borderId="0" xfId="0" applyNumberFormat="1" applyFont="1" applyFill="1" applyAlignment="1" applyProtection="1">
      <alignment horizontal="center"/>
      <protection locked="0"/>
    </xf>
    <xf numFmtId="166" fontId="4" fillId="3" borderId="0" xfId="0" applyNumberFormat="1" applyFont="1" applyFill="1" applyAlignment="1" applyProtection="1">
      <alignment horizontal="center"/>
      <protection locked="0"/>
    </xf>
    <xf numFmtId="167" fontId="4" fillId="3" borderId="0" xfId="0" applyNumberFormat="1" applyFont="1" applyFill="1" applyAlignment="1" applyProtection="1">
      <alignment horizontal="center"/>
      <protection locked="0"/>
    </xf>
    <xf numFmtId="49" fontId="8" fillId="3" borderId="1" xfId="0" applyNumberFormat="1" applyFont="1" applyFill="1" applyBorder="1" applyAlignment="1" applyProtection="1">
      <alignment horizontal="center"/>
      <protection locked="0"/>
    </xf>
    <xf numFmtId="49" fontId="8" fillId="3" borderId="0" xfId="0" applyNumberFormat="1" applyFont="1" applyFill="1" applyAlignment="1" applyProtection="1">
      <alignment horizontal="center"/>
      <protection locked="0"/>
    </xf>
    <xf numFmtId="14" fontId="4" fillId="3" borderId="1" xfId="0" applyNumberFormat="1" applyFont="1" applyFill="1" applyBorder="1" applyAlignment="1" applyProtection="1">
      <alignment horizontal="left"/>
      <protection locked="0"/>
    </xf>
    <xf numFmtId="6" fontId="4" fillId="3" borderId="1" xfId="0" applyNumberFormat="1" applyFont="1" applyFill="1" applyBorder="1" applyAlignment="1" applyProtection="1">
      <alignment horizontal="center"/>
      <protection locked="0"/>
    </xf>
    <xf numFmtId="14" fontId="4" fillId="3" borderId="1" xfId="0" applyNumberFormat="1" applyFont="1" applyFill="1" applyBorder="1" applyAlignment="1" applyProtection="1">
      <alignment horizontal="center"/>
      <protection locked="0"/>
    </xf>
    <xf numFmtId="0" fontId="3" fillId="0" borderId="0" xfId="0" applyFont="1" applyProtection="1">
      <protection locked="0"/>
    </xf>
    <xf numFmtId="0" fontId="7" fillId="3" borderId="22" xfId="1" applyFont="1" applyFill="1" applyBorder="1" applyAlignment="1" applyProtection="1">
      <alignment horizontal="left"/>
      <protection locked="0"/>
    </xf>
    <xf numFmtId="167" fontId="5" fillId="3" borderId="22" xfId="0" applyNumberFormat="1" applyFont="1" applyFill="1" applyBorder="1" applyAlignment="1" applyProtection="1">
      <alignment horizontal="center"/>
      <protection locked="0"/>
    </xf>
    <xf numFmtId="49" fontId="2" fillId="3" borderId="1" xfId="0" applyNumberFormat="1" applyFont="1" applyFill="1" applyBorder="1" applyAlignment="1" applyProtection="1">
      <alignment horizontal="center"/>
      <protection locked="0"/>
    </xf>
    <xf numFmtId="49" fontId="2" fillId="3" borderId="26" xfId="0" applyNumberFormat="1" applyFont="1" applyFill="1" applyBorder="1" applyAlignment="1" applyProtection="1">
      <alignment horizontal="center"/>
      <protection locked="0"/>
    </xf>
    <xf numFmtId="0" fontId="1" fillId="3" borderId="1" xfId="1" applyFill="1" applyBorder="1" applyAlignment="1" applyProtection="1">
      <alignment horizontal="left"/>
      <protection locked="0"/>
    </xf>
    <xf numFmtId="0" fontId="13" fillId="5" borderId="36" xfId="0" applyFont="1" applyFill="1" applyBorder="1" applyAlignment="1" applyProtection="1">
      <alignment horizontal="left" vertical="center"/>
      <protection locked="0"/>
    </xf>
    <xf numFmtId="169" fontId="13" fillId="5" borderId="36" xfId="0" applyNumberFormat="1" applyFont="1" applyFill="1" applyBorder="1" applyAlignment="1" applyProtection="1">
      <alignment horizontal="center" vertical="center"/>
      <protection locked="0"/>
    </xf>
    <xf numFmtId="0" fontId="11" fillId="12" borderId="35" xfId="0" applyFont="1" applyFill="1" applyBorder="1" applyAlignment="1">
      <alignment horizontal="center" vertical="center" wrapText="1"/>
    </xf>
    <xf numFmtId="0" fontId="13" fillId="0" borderId="35" xfId="0" applyFont="1" applyBorder="1" applyAlignment="1">
      <alignment horizontal="left" vertical="center"/>
    </xf>
    <xf numFmtId="0" fontId="13" fillId="6" borderId="35" xfId="0" applyFont="1" applyFill="1" applyBorder="1" applyAlignment="1">
      <alignment horizontal="center" vertical="center"/>
    </xf>
    <xf numFmtId="169" fontId="13" fillId="0" borderId="35" xfId="0" applyNumberFormat="1" applyFont="1" applyBorder="1" applyAlignment="1">
      <alignment horizontal="center" vertical="center"/>
    </xf>
    <xf numFmtId="0" fontId="12" fillId="0" borderId="0" xfId="0" applyFont="1" applyAlignment="1">
      <alignment horizontal="left" vertical="center"/>
    </xf>
    <xf numFmtId="0" fontId="13" fillId="0" borderId="0" xfId="0" applyFont="1"/>
    <xf numFmtId="0" fontId="9" fillId="0" borderId="0" xfId="0" applyFont="1" applyAlignment="1" applyProtection="1">
      <alignment vertical="center"/>
      <protection locked="0"/>
    </xf>
    <xf numFmtId="0" fontId="10" fillId="0" borderId="0" xfId="0" applyFont="1" applyAlignment="1" applyProtection="1">
      <alignment horizontal="left" vertical="center"/>
      <protection locked="0"/>
    </xf>
    <xf numFmtId="0" fontId="12" fillId="0" borderId="0" xfId="0" applyFont="1" applyAlignment="1" applyProtection="1">
      <alignment horizontal="right" vertical="center"/>
      <protection locked="0"/>
    </xf>
    <xf numFmtId="0" fontId="11" fillId="12" borderId="35" xfId="0" applyFont="1" applyFill="1" applyBorder="1" applyAlignment="1" applyProtection="1">
      <alignment horizontal="center" vertical="center" wrapText="1"/>
      <protection locked="0"/>
    </xf>
    <xf numFmtId="0" fontId="3" fillId="13" borderId="17" xfId="0" applyFont="1" applyFill="1" applyBorder="1" applyAlignment="1" applyProtection="1">
      <alignment horizontal="center"/>
      <protection locked="0"/>
    </xf>
    <xf numFmtId="0" fontId="3" fillId="13" borderId="15" xfId="0" applyFont="1" applyFill="1" applyBorder="1" applyAlignment="1" applyProtection="1">
      <alignment horizontal="center"/>
      <protection locked="0"/>
    </xf>
    <xf numFmtId="0" fontId="3" fillId="13" borderId="18" xfId="0" applyFont="1" applyFill="1" applyBorder="1" applyAlignment="1" applyProtection="1">
      <alignment horizontal="center"/>
      <protection locked="0"/>
    </xf>
    <xf numFmtId="0" fontId="6" fillId="13" borderId="18" xfId="0" applyFont="1" applyFill="1" applyBorder="1" applyAlignment="1" applyProtection="1">
      <alignment horizontal="center"/>
      <protection locked="0"/>
    </xf>
    <xf numFmtId="165" fontId="3" fillId="13" borderId="18" xfId="0" applyNumberFormat="1" applyFont="1" applyFill="1" applyBorder="1" applyAlignment="1" applyProtection="1">
      <alignment horizontal="center"/>
      <protection locked="0"/>
    </xf>
    <xf numFmtId="168" fontId="3" fillId="13" borderId="18" xfId="0" applyNumberFormat="1" applyFont="1" applyFill="1" applyBorder="1" applyAlignment="1" applyProtection="1">
      <alignment horizontal="center"/>
      <protection locked="0"/>
    </xf>
    <xf numFmtId="166" fontId="3" fillId="13" borderId="18" xfId="0" applyNumberFormat="1" applyFont="1" applyFill="1" applyBorder="1" applyAlignment="1" applyProtection="1">
      <alignment horizontal="center"/>
      <protection locked="0"/>
    </xf>
    <xf numFmtId="167" fontId="3" fillId="13" borderId="18" xfId="0" applyNumberFormat="1" applyFont="1" applyFill="1" applyBorder="1" applyAlignment="1" applyProtection="1">
      <alignment horizontal="center"/>
      <protection locked="0"/>
    </xf>
    <xf numFmtId="167" fontId="3" fillId="13" borderId="20" xfId="0" applyNumberFormat="1" applyFont="1" applyFill="1" applyBorder="1" applyAlignment="1" applyProtection="1">
      <alignment horizontal="center"/>
      <protection locked="0"/>
    </xf>
    <xf numFmtId="0" fontId="3" fillId="13" borderId="16" xfId="0" applyFont="1" applyFill="1" applyBorder="1" applyAlignment="1" applyProtection="1">
      <alignment horizontal="center"/>
      <protection locked="0"/>
    </xf>
    <xf numFmtId="0" fontId="3" fillId="13" borderId="19" xfId="0" applyFont="1" applyFill="1" applyBorder="1" applyAlignment="1" applyProtection="1">
      <alignment horizontal="center"/>
      <protection locked="0"/>
    </xf>
    <xf numFmtId="49" fontId="3" fillId="13" borderId="19" xfId="0" applyNumberFormat="1" applyFont="1" applyFill="1" applyBorder="1" applyAlignment="1" applyProtection="1">
      <alignment horizontal="center"/>
      <protection locked="0"/>
    </xf>
    <xf numFmtId="165" fontId="3" fillId="13" borderId="19" xfId="0" applyNumberFormat="1" applyFont="1" applyFill="1" applyBorder="1" applyAlignment="1" applyProtection="1">
      <alignment horizontal="center"/>
      <protection locked="0"/>
    </xf>
    <xf numFmtId="168" fontId="3" fillId="13" borderId="19" xfId="0" applyNumberFormat="1" applyFont="1" applyFill="1" applyBorder="1" applyAlignment="1" applyProtection="1">
      <alignment horizontal="center"/>
      <protection locked="0"/>
    </xf>
    <xf numFmtId="166" fontId="3" fillId="13" borderId="19" xfId="0" applyNumberFormat="1" applyFont="1" applyFill="1" applyBorder="1" applyAlignment="1" applyProtection="1">
      <alignment horizontal="center"/>
      <protection locked="0"/>
    </xf>
    <xf numFmtId="167" fontId="3" fillId="13" borderId="19" xfId="0" applyNumberFormat="1" applyFont="1" applyFill="1" applyBorder="1" applyAlignment="1" applyProtection="1">
      <alignment horizontal="center"/>
      <protection locked="0"/>
    </xf>
    <xf numFmtId="167" fontId="3" fillId="13" borderId="21" xfId="0" applyNumberFormat="1" applyFont="1" applyFill="1" applyBorder="1" applyAlignment="1" applyProtection="1">
      <alignment horizontal="center"/>
      <protection locked="0"/>
    </xf>
    <xf numFmtId="0" fontId="3" fillId="13" borderId="1" xfId="0" applyFont="1" applyFill="1" applyBorder="1" applyAlignment="1" applyProtection="1">
      <alignment horizontal="center"/>
      <protection locked="0"/>
    </xf>
    <xf numFmtId="0" fontId="13" fillId="0" borderId="0" xfId="0" applyFont="1" applyProtection="1">
      <protection locked="0"/>
    </xf>
    <xf numFmtId="0" fontId="3" fillId="13" borderId="17" xfId="0" applyFont="1" applyFill="1" applyBorder="1" applyAlignment="1">
      <alignment horizontal="center"/>
    </xf>
    <xf numFmtId="0" fontId="17" fillId="0" borderId="38" xfId="0" applyFont="1" applyBorder="1" applyAlignment="1">
      <alignment horizontal="center" vertical="center"/>
    </xf>
    <xf numFmtId="0" fontId="14" fillId="0" borderId="0" xfId="0" applyFont="1" applyAlignment="1" applyProtection="1">
      <alignment horizontal="left" vertical="center" wrapText="1"/>
      <protection locked="0"/>
    </xf>
    <xf numFmtId="0" fontId="15" fillId="0" borderId="0" xfId="0" applyFont="1" applyAlignment="1" applyProtection="1">
      <alignment horizontal="left" vertical="center" wrapText="1"/>
      <protection locked="0"/>
    </xf>
    <xf numFmtId="0" fontId="16" fillId="12" borderId="38" xfId="0" applyFont="1" applyFill="1" applyBorder="1" applyAlignment="1" applyProtection="1">
      <alignment horizontal="center" vertical="center" wrapText="1"/>
      <protection locked="0"/>
    </xf>
    <xf numFmtId="0" fontId="17" fillId="0" borderId="38" xfId="0" applyFont="1" applyBorder="1" applyAlignment="1" applyProtection="1">
      <alignment horizontal="center" vertical="center"/>
      <protection locked="0"/>
    </xf>
    <xf numFmtId="0" fontId="17" fillId="0" borderId="38" xfId="0" applyFont="1" applyBorder="1" applyAlignment="1" applyProtection="1">
      <alignment horizontal="left" vertical="center"/>
      <protection locked="0"/>
    </xf>
    <xf numFmtId="0" fontId="18" fillId="7" borderId="0" xfId="0" applyFont="1" applyFill="1" applyAlignment="1">
      <alignment horizontal="left" vertical="center"/>
    </xf>
    <xf numFmtId="0" fontId="19" fillId="8" borderId="0" xfId="0" applyFont="1" applyFill="1" applyAlignment="1">
      <alignment horizontal="left" vertical="center"/>
    </xf>
    <xf numFmtId="0" fontId="21" fillId="0" borderId="0" xfId="0" applyFont="1" applyAlignment="1">
      <alignment horizontal="left" vertical="center" wrapText="1"/>
    </xf>
    <xf numFmtId="0" fontId="27" fillId="0" borderId="0" xfId="0" applyFont="1" applyAlignment="1">
      <alignment horizontal="left" vertical="center" wrapText="1"/>
    </xf>
    <xf numFmtId="0" fontId="24" fillId="0" borderId="0" xfId="0" applyFont="1" applyAlignment="1">
      <alignment horizontal="left" vertical="center" wrapText="1"/>
    </xf>
    <xf numFmtId="0" fontId="28" fillId="0" borderId="41" xfId="0" applyFont="1" applyBorder="1" applyAlignment="1">
      <alignment horizontal="left" vertical="center"/>
    </xf>
    <xf numFmtId="181" fontId="28" fillId="0" borderId="41" xfId="0" applyNumberFormat="1" applyFont="1" applyBorder="1" applyAlignment="1">
      <alignment horizontal="center" vertical="center"/>
    </xf>
    <xf numFmtId="4" fontId="28" fillId="0" borderId="41" xfId="0" applyNumberFormat="1" applyFont="1" applyBorder="1" applyAlignment="1">
      <alignment horizontal="right" vertical="center"/>
    </xf>
    <xf numFmtId="3" fontId="28" fillId="0" borderId="41" xfId="0" applyNumberFormat="1" applyFont="1" applyBorder="1" applyAlignment="1">
      <alignment horizontal="right" vertical="center"/>
    </xf>
    <xf numFmtId="0" fontId="24" fillId="0" borderId="39" xfId="0" applyFont="1" applyBorder="1" applyAlignment="1">
      <alignment horizontal="left" vertical="center"/>
    </xf>
    <xf numFmtId="0" fontId="24" fillId="0" borderId="39" xfId="0" applyFont="1" applyBorder="1" applyAlignment="1">
      <alignment horizontal="center" vertical="center"/>
    </xf>
    <xf numFmtId="181" fontId="24" fillId="0" borderId="39" xfId="0" applyNumberFormat="1" applyFont="1" applyBorder="1" applyAlignment="1">
      <alignment horizontal="center" vertical="center"/>
    </xf>
    <xf numFmtId="4" fontId="24" fillId="0" borderId="39" xfId="0" applyNumberFormat="1" applyFont="1" applyBorder="1" applyAlignment="1">
      <alignment horizontal="right" vertical="center"/>
    </xf>
    <xf numFmtId="3" fontId="24" fillId="0" borderId="39" xfId="0" applyNumberFormat="1" applyFont="1" applyBorder="1" applyAlignment="1">
      <alignment horizontal="right" vertical="center"/>
    </xf>
    <xf numFmtId="4" fontId="28" fillId="10" borderId="39" xfId="0" applyNumberFormat="1" applyFont="1" applyFill="1" applyBorder="1" applyAlignment="1">
      <alignment horizontal="right" vertical="center"/>
    </xf>
    <xf numFmtId="4" fontId="28" fillId="11" borderId="39" xfId="0" applyNumberFormat="1" applyFont="1" applyFill="1" applyBorder="1" applyAlignment="1">
      <alignment horizontal="right" vertical="center"/>
    </xf>
    <xf numFmtId="0" fontId="28" fillId="11" borderId="39" xfId="0" applyFont="1" applyFill="1" applyBorder="1" applyAlignment="1">
      <alignment horizontal="center" vertical="center"/>
    </xf>
    <xf numFmtId="0" fontId="24" fillId="9" borderId="40" xfId="0" applyFont="1" applyFill="1" applyBorder="1" applyAlignment="1">
      <alignment horizontal="left" vertical="center"/>
    </xf>
    <xf numFmtId="0" fontId="24" fillId="9" borderId="40" xfId="0" applyFont="1" applyFill="1" applyBorder="1" applyAlignment="1">
      <alignment horizontal="center" vertical="center"/>
    </xf>
    <xf numFmtId="181" fontId="24" fillId="9" borderId="40" xfId="0" applyNumberFormat="1" applyFont="1" applyFill="1" applyBorder="1" applyAlignment="1">
      <alignment horizontal="center" vertical="center"/>
    </xf>
    <xf numFmtId="3" fontId="24" fillId="9" borderId="40" xfId="0" applyNumberFormat="1" applyFont="1" applyFill="1" applyBorder="1" applyAlignment="1">
      <alignment horizontal="right" vertical="center"/>
    </xf>
    <xf numFmtId="4" fontId="24" fillId="9" borderId="40" xfId="0" applyNumberFormat="1" applyFont="1" applyFill="1" applyBorder="1" applyAlignment="1">
      <alignment horizontal="right" vertical="center"/>
    </xf>
    <xf numFmtId="0" fontId="28" fillId="0" borderId="0" xfId="0" applyFont="1" applyAlignment="1">
      <alignment horizontal="left" vertical="center" wrapText="1"/>
    </xf>
    <xf numFmtId="0" fontId="20" fillId="0" borderId="0" xfId="0" applyFont="1" applyAlignment="1" applyProtection="1">
      <alignment horizontal="left" vertical="center" wrapText="1"/>
      <protection locked="0"/>
    </xf>
    <xf numFmtId="0" fontId="21" fillId="0" borderId="0" xfId="0" applyFont="1" applyAlignment="1" applyProtection="1">
      <alignment horizontal="left" vertical="center" wrapText="1"/>
      <protection locked="0"/>
    </xf>
    <xf numFmtId="0" fontId="22" fillId="14" borderId="39" xfId="0" applyFont="1" applyFill="1" applyBorder="1" applyAlignment="1" applyProtection="1">
      <alignment horizontal="center" vertical="center" wrapText="1"/>
      <protection locked="0"/>
    </xf>
    <xf numFmtId="0" fontId="22" fillId="12" borderId="39" xfId="0" applyFont="1" applyFill="1" applyBorder="1" applyAlignment="1" applyProtection="1">
      <alignment horizontal="center" vertical="center" wrapText="1"/>
      <protection locked="0"/>
    </xf>
    <xf numFmtId="0" fontId="74" fillId="15" borderId="39" xfId="0" applyFont="1" applyFill="1" applyBorder="1" applyAlignment="1" applyProtection="1">
      <alignment horizontal="center" vertical="center" wrapText="1"/>
      <protection locked="0"/>
    </xf>
    <xf numFmtId="0" fontId="22" fillId="11" borderId="39" xfId="0" applyFont="1" applyFill="1" applyBorder="1" applyAlignment="1" applyProtection="1">
      <alignment horizontal="center" vertical="center" wrapText="1"/>
      <protection locked="0"/>
    </xf>
    <xf numFmtId="0" fontId="24" fillId="11" borderId="39" xfId="0" applyFont="1" applyFill="1" applyBorder="1" applyAlignment="1" applyProtection="1">
      <alignment horizontal="center" vertical="center"/>
      <protection locked="0"/>
    </xf>
    <xf numFmtId="0" fontId="24" fillId="0" borderId="0" xfId="0" applyFont="1" applyAlignment="1" applyProtection="1">
      <alignment horizontal="left" vertical="center" wrapText="1"/>
      <protection locked="0"/>
    </xf>
    <xf numFmtId="0" fontId="24" fillId="0" borderId="39" xfId="0" applyFont="1" applyBorder="1" applyAlignment="1" applyProtection="1">
      <alignment horizontal="center" vertical="center"/>
      <protection locked="0"/>
    </xf>
    <xf numFmtId="0" fontId="24" fillId="0" borderId="39" xfId="0" applyFont="1" applyBorder="1" applyAlignment="1" applyProtection="1">
      <alignment horizontal="left" vertical="center"/>
      <protection locked="0"/>
    </xf>
    <xf numFmtId="181" fontId="24" fillId="0" borderId="39" xfId="0" applyNumberFormat="1" applyFont="1" applyBorder="1" applyAlignment="1" applyProtection="1">
      <alignment horizontal="center" vertical="center"/>
      <protection locked="0"/>
    </xf>
    <xf numFmtId="3" fontId="24" fillId="0" borderId="39" xfId="0" applyNumberFormat="1" applyFont="1" applyBorder="1" applyAlignment="1" applyProtection="1">
      <alignment horizontal="right" vertical="center"/>
      <protection locked="0"/>
    </xf>
    <xf numFmtId="4" fontId="24" fillId="0" borderId="39" xfId="0" applyNumberFormat="1" applyFont="1" applyBorder="1" applyAlignment="1" applyProtection="1">
      <alignment horizontal="right" vertical="center"/>
      <protection locked="0"/>
    </xf>
    <xf numFmtId="0" fontId="25" fillId="0" borderId="0" xfId="0" applyFont="1" applyAlignment="1" applyProtection="1">
      <alignment horizontal="right" vertical="center" wrapText="1"/>
      <protection locked="0"/>
    </xf>
    <xf numFmtId="0" fontId="26" fillId="9" borderId="40" xfId="0" applyFont="1" applyFill="1" applyBorder="1" applyAlignment="1" applyProtection="1">
      <alignment horizontal="center" vertical="center"/>
      <protection locked="0"/>
    </xf>
    <xf numFmtId="0" fontId="24" fillId="11" borderId="39" xfId="0" applyFont="1" applyFill="1" applyBorder="1" applyAlignment="1" applyProtection="1">
      <alignment horizontal="left" vertical="center"/>
      <protection locked="0"/>
    </xf>
    <xf numFmtId="0" fontId="28" fillId="11" borderId="39" xfId="0" applyFont="1" applyFill="1" applyBorder="1" applyAlignment="1" applyProtection="1">
      <alignment horizontal="center" vertical="center"/>
      <protection locked="0"/>
    </xf>
    <xf numFmtId="0" fontId="29" fillId="2" borderId="0" xfId="0" applyFont="1" applyFill="1" applyProtection="1">
      <protection hidden="1"/>
    </xf>
    <xf numFmtId="0" fontId="29" fillId="0" borderId="0" xfId="0" applyFont="1" applyAlignment="1" applyProtection="1">
      <alignment horizontal="center"/>
      <protection hidden="1"/>
    </xf>
    <xf numFmtId="0" fontId="43" fillId="0" borderId="0" xfId="0" applyFont="1" applyProtection="1">
      <protection hidden="1"/>
    </xf>
    <xf numFmtId="44" fontId="41" fillId="17" borderId="0" xfId="0" applyNumberFormat="1" applyFont="1" applyFill="1" applyAlignment="1" applyProtection="1">
      <alignment horizontal="center"/>
      <protection locked="0"/>
    </xf>
    <xf numFmtId="44" fontId="34" fillId="17" borderId="0" xfId="0" applyNumberFormat="1" applyFont="1" applyFill="1" applyProtection="1">
      <protection locked="0"/>
    </xf>
    <xf numFmtId="0" fontId="75" fillId="14" borderId="25" xfId="0" applyFont="1" applyFill="1" applyBorder="1" applyAlignment="1" applyProtection="1">
      <alignment horizontal="left"/>
      <protection locked="0"/>
    </xf>
    <xf numFmtId="0" fontId="76" fillId="14" borderId="25" xfId="0" applyFont="1" applyFill="1" applyBorder="1" applyAlignment="1" applyProtection="1">
      <alignment horizontal="center"/>
      <protection locked="0"/>
    </xf>
    <xf numFmtId="0" fontId="76" fillId="14" borderId="0" xfId="0" applyFont="1" applyFill="1" applyProtection="1">
      <protection locked="0"/>
    </xf>
    <xf numFmtId="0" fontId="43" fillId="3" borderId="0" xfId="0" applyFont="1" applyFill="1" applyAlignment="1" applyProtection="1">
      <alignment horizontal="center"/>
      <protection locked="0"/>
    </xf>
    <xf numFmtId="0" fontId="53" fillId="3" borderId="0" xfId="0" applyFont="1" applyFill="1" applyAlignment="1" applyProtection="1">
      <alignment vertical="center" wrapText="1"/>
      <protection locked="0"/>
    </xf>
    <xf numFmtId="0" fontId="34" fillId="17" borderId="0" xfId="0" applyFont="1" applyFill="1" applyAlignment="1" applyProtection="1">
      <alignment horizontal="center"/>
      <protection locked="0"/>
    </xf>
    <xf numFmtId="0" fontId="29" fillId="3" borderId="0" xfId="0" applyFont="1" applyFill="1" applyProtection="1">
      <protection locked="0"/>
    </xf>
    <xf numFmtId="14" fontId="29" fillId="3" borderId="0" xfId="0" applyNumberFormat="1" applyFont="1" applyFill="1" applyProtection="1">
      <protection locked="0"/>
    </xf>
    <xf numFmtId="0" fontId="31" fillId="3" borderId="0" xfId="0" applyFont="1" applyFill="1" applyProtection="1">
      <protection locked="0"/>
    </xf>
    <xf numFmtId="0" fontId="74" fillId="0" borderId="0" xfId="0" applyFont="1" applyAlignment="1" applyProtection="1">
      <alignment horizontal="right" vertical="center"/>
      <protection locked="0"/>
    </xf>
    <xf numFmtId="14" fontId="42" fillId="3" borderId="0" xfId="0" applyNumberFormat="1" applyFont="1" applyFill="1" applyAlignment="1" applyProtection="1">
      <alignment horizontal="center"/>
      <protection locked="0"/>
    </xf>
    <xf numFmtId="14" fontId="42" fillId="3" borderId="0" xfId="0" applyNumberFormat="1" applyFont="1" applyFill="1" applyAlignment="1">
      <alignment horizontal="left"/>
    </xf>
    <xf numFmtId="0" fontId="38" fillId="12" borderId="0" xfId="0" applyFont="1" applyFill="1" applyAlignment="1">
      <alignment horizontal="left"/>
    </xf>
    <xf numFmtId="0" fontId="32" fillId="12" borderId="2" xfId="0" applyFont="1" applyFill="1" applyBorder="1" applyAlignment="1" applyProtection="1">
      <alignment horizontal="center"/>
      <protection locked="0"/>
    </xf>
    <xf numFmtId="0" fontId="33" fillId="12" borderId="3" xfId="0" applyFont="1" applyFill="1" applyBorder="1" applyProtection="1">
      <protection locked="0"/>
    </xf>
    <xf numFmtId="0" fontId="35" fillId="13" borderId="25" xfId="0" applyFont="1" applyFill="1" applyBorder="1" applyProtection="1">
      <protection locked="0"/>
    </xf>
    <xf numFmtId="0" fontId="75" fillId="14" borderId="28" xfId="0" applyFont="1" applyFill="1" applyBorder="1" applyAlignment="1">
      <alignment horizontal="left"/>
    </xf>
    <xf numFmtId="0" fontId="40" fillId="13" borderId="4" xfId="0" applyFont="1" applyFill="1" applyBorder="1" applyProtection="1">
      <protection locked="0"/>
    </xf>
    <xf numFmtId="0" fontId="32" fillId="12" borderId="0" xfId="0" applyFont="1" applyFill="1" applyProtection="1">
      <protection locked="0"/>
    </xf>
    <xf numFmtId="0" fontId="33" fillId="12" borderId="0" xfId="0" applyFont="1" applyFill="1" applyProtection="1">
      <protection locked="0"/>
    </xf>
    <xf numFmtId="0" fontId="75" fillId="14" borderId="31" xfId="0" applyFont="1" applyFill="1" applyBorder="1" applyAlignment="1">
      <alignment horizontal="left"/>
    </xf>
    <xf numFmtId="0" fontId="75" fillId="14" borderId="0" xfId="0" applyFont="1" applyFill="1" applyAlignment="1" applyProtection="1">
      <alignment horizontal="left"/>
      <protection locked="0"/>
    </xf>
    <xf numFmtId="0" fontId="31" fillId="13" borderId="25" xfId="0" applyFont="1" applyFill="1" applyBorder="1" applyAlignment="1" applyProtection="1">
      <alignment horizontal="right"/>
      <protection locked="0"/>
    </xf>
    <xf numFmtId="0" fontId="31" fillId="13" borderId="25" xfId="0" applyFont="1" applyFill="1" applyBorder="1" applyAlignment="1" applyProtection="1">
      <alignment horizontal="center"/>
      <protection locked="0"/>
    </xf>
    <xf numFmtId="16" fontId="31" fillId="13" borderId="25" xfId="0" applyNumberFormat="1" applyFont="1" applyFill="1" applyBorder="1" applyAlignment="1" applyProtection="1">
      <alignment vertical="center"/>
      <protection locked="0"/>
    </xf>
    <xf numFmtId="0" fontId="29" fillId="12" borderId="27" xfId="0" applyFont="1" applyFill="1" applyBorder="1" applyProtection="1">
      <protection locked="0"/>
    </xf>
    <xf numFmtId="0" fontId="71" fillId="12" borderId="0" xfId="0" applyFont="1" applyFill="1" applyProtection="1">
      <protection locked="0"/>
    </xf>
    <xf numFmtId="0" fontId="31" fillId="13" borderId="25" xfId="0" applyFont="1" applyFill="1" applyBorder="1" applyAlignment="1" applyProtection="1">
      <alignment horizontal="left"/>
      <protection locked="0"/>
    </xf>
    <xf numFmtId="167" fontId="75" fillId="14" borderId="25" xfId="0" applyNumberFormat="1" applyFont="1" applyFill="1" applyBorder="1" applyAlignment="1">
      <alignment horizontal="left"/>
    </xf>
    <xf numFmtId="0" fontId="76" fillId="14" borderId="25" xfId="0" applyFont="1" applyFill="1" applyBorder="1" applyAlignment="1">
      <alignment horizontal="left"/>
    </xf>
    <xf numFmtId="0" fontId="72" fillId="12" borderId="0" xfId="0" applyFont="1" applyFill="1" applyAlignment="1">
      <alignment horizontal="left"/>
    </xf>
    <xf numFmtId="0" fontId="75" fillId="14" borderId="25" xfId="0" applyFont="1" applyFill="1" applyBorder="1" applyAlignment="1">
      <alignment horizontal="left"/>
    </xf>
    <xf numFmtId="0" fontId="76" fillId="14" borderId="0" xfId="0" applyFont="1" applyFill="1" applyAlignment="1" applyProtection="1">
      <alignment horizontal="left"/>
      <protection locked="0"/>
    </xf>
    <xf numFmtId="169" fontId="75" fillId="14" borderId="28" xfId="0" applyNumberFormat="1" applyFont="1" applyFill="1" applyBorder="1" applyAlignment="1">
      <alignment horizontal="left"/>
    </xf>
    <xf numFmtId="0" fontId="41" fillId="13" borderId="25" xfId="0" applyFont="1" applyFill="1" applyBorder="1" applyAlignment="1" applyProtection="1">
      <alignment horizontal="left"/>
      <protection locked="0"/>
    </xf>
    <xf numFmtId="0" fontId="72" fillId="12" borderId="0" xfId="0" applyFont="1" applyFill="1" applyAlignment="1" applyProtection="1">
      <alignment horizontal="left"/>
      <protection locked="0"/>
    </xf>
    <xf numFmtId="0" fontId="32" fillId="12" borderId="4" xfId="0" applyFont="1" applyFill="1" applyBorder="1" applyProtection="1">
      <protection locked="0"/>
    </xf>
    <xf numFmtId="0" fontId="34" fillId="13" borderId="0" xfId="0" applyFont="1" applyFill="1" applyAlignment="1" applyProtection="1">
      <alignment horizontal="center"/>
      <protection locked="0"/>
    </xf>
    <xf numFmtId="0" fontId="76" fillId="14" borderId="25" xfId="0" applyFont="1" applyFill="1" applyBorder="1"/>
    <xf numFmtId="0" fontId="31" fillId="13" borderId="31" xfId="0" applyFont="1" applyFill="1" applyBorder="1" applyProtection="1">
      <protection locked="0"/>
    </xf>
    <xf numFmtId="0" fontId="76" fillId="14" borderId="25" xfId="0" applyFont="1" applyFill="1" applyBorder="1" applyAlignment="1">
      <alignment horizontal="center"/>
    </xf>
    <xf numFmtId="0" fontId="73" fillId="12" borderId="0" xfId="0" applyFont="1" applyFill="1" applyAlignment="1" applyProtection="1">
      <alignment horizontal="left"/>
      <protection locked="0"/>
    </xf>
    <xf numFmtId="0" fontId="76" fillId="14" borderId="28" xfId="0" applyFont="1" applyFill="1" applyBorder="1"/>
    <xf numFmtId="0" fontId="38" fillId="12" borderId="0" xfId="0" applyFont="1" applyFill="1" applyAlignment="1" applyProtection="1">
      <alignment horizontal="left"/>
      <protection locked="0"/>
    </xf>
    <xf numFmtId="0" fontId="31" fillId="13" borderId="25" xfId="0" applyFont="1" applyFill="1" applyBorder="1" applyProtection="1">
      <protection locked="0"/>
    </xf>
    <xf numFmtId="0" fontId="39" fillId="12" borderId="0" xfId="0" applyFont="1" applyFill="1" applyProtection="1">
      <protection locked="0"/>
    </xf>
    <xf numFmtId="0" fontId="31" fillId="13" borderId="28" xfId="0" applyFont="1" applyFill="1" applyBorder="1" applyAlignment="1" applyProtection="1">
      <alignment horizontal="left" vertical="center"/>
      <protection locked="0"/>
    </xf>
    <xf numFmtId="0" fontId="31" fillId="17" borderId="0" xfId="0" applyFont="1" applyFill="1" applyAlignment="1" applyProtection="1">
      <alignment horizontal="left"/>
      <protection locked="0"/>
    </xf>
    <xf numFmtId="0" fontId="31" fillId="13" borderId="25" xfId="0" applyFont="1" applyFill="1" applyBorder="1" applyAlignment="1" applyProtection="1">
      <alignment horizontal="left" vertical="center"/>
      <protection locked="0"/>
    </xf>
    <xf numFmtId="0" fontId="33" fillId="12" borderId="6" xfId="0" applyFont="1" applyFill="1" applyBorder="1" applyProtection="1">
      <protection locked="0"/>
    </xf>
    <xf numFmtId="0" fontId="31" fillId="13" borderId="29" xfId="0" applyFont="1" applyFill="1" applyBorder="1" applyAlignment="1" applyProtection="1">
      <alignment horizontal="left" vertical="center"/>
      <protection locked="0"/>
    </xf>
    <xf numFmtId="0" fontId="41" fillId="13" borderId="25" xfId="0" applyFont="1" applyFill="1" applyBorder="1" applyAlignment="1" applyProtection="1">
      <alignment horizontal="left" vertical="center"/>
      <protection locked="0"/>
    </xf>
    <xf numFmtId="0" fontId="29" fillId="12" borderId="0" xfId="0" applyFont="1" applyFill="1" applyProtection="1">
      <protection locked="0"/>
    </xf>
    <xf numFmtId="0" fontId="31" fillId="17" borderId="0" xfId="0" applyFont="1" applyFill="1" applyAlignment="1" applyProtection="1">
      <alignment horizontal="left" vertical="center"/>
      <protection locked="0"/>
    </xf>
    <xf numFmtId="20" fontId="45" fillId="13" borderId="25" xfId="0" applyNumberFormat="1" applyFont="1" applyFill="1" applyBorder="1" applyAlignment="1" applyProtection="1">
      <alignment horizontal="left" vertical="center"/>
      <protection locked="0"/>
    </xf>
    <xf numFmtId="165" fontId="76" fillId="14" borderId="25" xfId="0" applyNumberFormat="1" applyFont="1" applyFill="1" applyBorder="1" applyAlignment="1">
      <alignment horizontal="left"/>
    </xf>
    <xf numFmtId="0" fontId="71" fillId="16" borderId="0" xfId="0" applyFont="1" applyFill="1" applyProtection="1">
      <protection locked="0"/>
    </xf>
    <xf numFmtId="0" fontId="45" fillId="13" borderId="25" xfId="0" applyFont="1" applyFill="1" applyBorder="1" applyAlignment="1" applyProtection="1">
      <alignment horizontal="left" vertical="center"/>
      <protection locked="0"/>
    </xf>
    <xf numFmtId="0" fontId="45" fillId="13" borderId="25" xfId="0" applyFont="1" applyFill="1" applyBorder="1" applyProtection="1">
      <protection locked="0"/>
    </xf>
    <xf numFmtId="0" fontId="31" fillId="13" borderId="31" xfId="0" applyFont="1" applyFill="1" applyBorder="1" applyAlignment="1" applyProtection="1">
      <alignment horizontal="center"/>
      <protection locked="0"/>
    </xf>
    <xf numFmtId="0" fontId="43" fillId="13" borderId="27" xfId="0" applyFont="1" applyFill="1" applyBorder="1" applyAlignment="1" applyProtection="1">
      <alignment horizontal="center"/>
      <protection locked="0"/>
    </xf>
    <xf numFmtId="44" fontId="76" fillId="14" borderId="25" xfId="0" applyNumberFormat="1" applyFont="1" applyFill="1" applyBorder="1"/>
    <xf numFmtId="0" fontId="41" fillId="13" borderId="9" xfId="0" applyFont="1" applyFill="1" applyBorder="1" applyProtection="1">
      <protection locked="0"/>
    </xf>
    <xf numFmtId="44" fontId="76" fillId="14" borderId="25" xfId="0" applyNumberFormat="1" applyFont="1" applyFill="1" applyBorder="1" applyProtection="1">
      <protection locked="0"/>
    </xf>
    <xf numFmtId="0" fontId="44" fillId="13" borderId="30" xfId="0" applyFont="1" applyFill="1" applyBorder="1" applyProtection="1">
      <protection locked="0"/>
    </xf>
    <xf numFmtId="0" fontId="29" fillId="17" borderId="0" xfId="0" applyFont="1" applyFill="1" applyProtection="1">
      <protection locked="0"/>
    </xf>
    <xf numFmtId="0" fontId="41" fillId="13" borderId="30" xfId="0" applyFont="1" applyFill="1" applyBorder="1" applyProtection="1">
      <protection locked="0"/>
    </xf>
    <xf numFmtId="0" fontId="44" fillId="13" borderId="10" xfId="0" applyFont="1" applyFill="1" applyBorder="1" applyProtection="1">
      <protection locked="0"/>
    </xf>
    <xf numFmtId="0" fontId="44" fillId="13" borderId="25" xfId="0" applyFont="1" applyFill="1" applyBorder="1" applyProtection="1">
      <protection locked="0"/>
    </xf>
    <xf numFmtId="0" fontId="77" fillId="16" borderId="4" xfId="0" applyFont="1" applyFill="1" applyBorder="1" applyProtection="1">
      <protection locked="0"/>
    </xf>
    <xf numFmtId="1" fontId="34" fillId="17" borderId="0" xfId="0" applyNumberFormat="1" applyFont="1" applyFill="1" applyAlignment="1" applyProtection="1">
      <alignment horizontal="center"/>
      <protection locked="0"/>
    </xf>
    <xf numFmtId="0" fontId="32" fillId="12" borderId="5" xfId="0" applyFont="1" applyFill="1" applyBorder="1" applyProtection="1">
      <protection locked="0"/>
    </xf>
    <xf numFmtId="0" fontId="31" fillId="13" borderId="8" xfId="0" applyFont="1" applyFill="1" applyBorder="1" applyProtection="1">
      <protection locked="0"/>
    </xf>
    <xf numFmtId="0" fontId="33" fillId="12" borderId="8" xfId="0" applyFont="1" applyFill="1" applyBorder="1" applyProtection="1">
      <protection locked="0"/>
    </xf>
    <xf numFmtId="0" fontId="33" fillId="12" borderId="7" xfId="0" applyFont="1" applyFill="1" applyBorder="1" applyProtection="1">
      <protection locked="0"/>
    </xf>
    <xf numFmtId="0" fontId="31" fillId="12" borderId="0" xfId="0" applyFont="1" applyFill="1" applyProtection="1">
      <protection locked="0"/>
    </xf>
    <xf numFmtId="0" fontId="43" fillId="0" borderId="0" xfId="0" applyFont="1" applyAlignment="1" applyProtection="1">
      <alignment horizontal="center"/>
      <protection locked="0"/>
    </xf>
    <xf numFmtId="0" fontId="43" fillId="0" borderId="0" xfId="0" applyFont="1" applyAlignment="1" applyProtection="1">
      <alignment horizontal="left"/>
      <protection locked="0"/>
    </xf>
    <xf numFmtId="0" fontId="43" fillId="0" borderId="0" xfId="0" applyFont="1" applyProtection="1">
      <protection locked="0"/>
    </xf>
    <xf numFmtId="0" fontId="54" fillId="0" borderId="0" xfId="0" applyFont="1" applyProtection="1">
      <protection locked="0"/>
    </xf>
    <xf numFmtId="0" fontId="54" fillId="4" borderId="0" xfId="0" applyFont="1" applyFill="1" applyAlignment="1" applyProtection="1">
      <alignment vertical="center"/>
      <protection locked="0"/>
    </xf>
    <xf numFmtId="0" fontId="43" fillId="0" borderId="0" xfId="0" applyFont="1" applyAlignment="1" applyProtection="1">
      <alignment vertical="center"/>
      <protection locked="0"/>
    </xf>
    <xf numFmtId="0" fontId="53" fillId="0" borderId="0" xfId="0" applyFont="1" applyProtection="1">
      <protection locked="0"/>
    </xf>
    <xf numFmtId="0" fontId="54" fillId="4" borderId="0" xfId="0" applyFont="1" applyFill="1" applyProtection="1">
      <protection locked="0"/>
    </xf>
    <xf numFmtId="1" fontId="54" fillId="4" borderId="0" xfId="0" applyNumberFormat="1" applyFont="1" applyFill="1" applyProtection="1">
      <protection locked="0"/>
    </xf>
    <xf numFmtId="0" fontId="43" fillId="0" borderId="0" xfId="0" applyFont="1" applyAlignment="1" applyProtection="1">
      <alignment vertical="top"/>
      <protection locked="0"/>
    </xf>
    <xf numFmtId="174" fontId="43" fillId="0" borderId="0" xfId="0" applyNumberFormat="1" applyFont="1" applyAlignment="1" applyProtection="1">
      <alignment vertical="top"/>
      <protection locked="0"/>
    </xf>
    <xf numFmtId="0" fontId="55" fillId="0" borderId="0" xfId="0" applyFont="1" applyProtection="1">
      <protection locked="0"/>
    </xf>
    <xf numFmtId="20" fontId="56" fillId="0" borderId="0" xfId="0" applyNumberFormat="1" applyFont="1" applyAlignment="1" applyProtection="1">
      <alignment vertical="top"/>
      <protection locked="0"/>
    </xf>
    <xf numFmtId="0" fontId="66" fillId="4" borderId="0" xfId="0" applyFont="1" applyFill="1" applyProtection="1">
      <protection locked="0"/>
    </xf>
    <xf numFmtId="20" fontId="43" fillId="0" borderId="0" xfId="0" applyNumberFormat="1" applyFont="1" applyAlignment="1" applyProtection="1">
      <alignment vertical="top"/>
      <protection locked="0"/>
    </xf>
    <xf numFmtId="20" fontId="37" fillId="0" borderId="0" xfId="0" applyNumberFormat="1" applyFont="1" applyAlignment="1" applyProtection="1">
      <alignment vertical="top"/>
      <protection locked="0"/>
    </xf>
    <xf numFmtId="174" fontId="37" fillId="0" borderId="0" xfId="0" applyNumberFormat="1" applyFont="1" applyAlignment="1" applyProtection="1">
      <alignment vertical="top"/>
      <protection locked="0"/>
    </xf>
    <xf numFmtId="176" fontId="57" fillId="0" borderId="0" xfId="0" applyNumberFormat="1" applyFont="1" applyAlignment="1" applyProtection="1">
      <alignment vertical="top"/>
      <protection locked="0"/>
    </xf>
    <xf numFmtId="0" fontId="70" fillId="4" borderId="0" xfId="0" applyFont="1" applyFill="1" applyAlignment="1" applyProtection="1">
      <alignment vertical="center"/>
      <protection locked="0"/>
    </xf>
    <xf numFmtId="0" fontId="37" fillId="0" borderId="0" xfId="0" applyFont="1" applyAlignment="1" applyProtection="1">
      <alignment vertical="top"/>
      <protection locked="0"/>
    </xf>
    <xf numFmtId="0" fontId="70" fillId="4" borderId="0" xfId="0" applyFont="1" applyFill="1" applyAlignment="1" applyProtection="1">
      <alignment vertical="center" wrapText="1"/>
      <protection locked="0"/>
    </xf>
    <xf numFmtId="0" fontId="37" fillId="0" borderId="0" xfId="0" applyFont="1" applyProtection="1">
      <protection locked="0"/>
    </xf>
    <xf numFmtId="7" fontId="37" fillId="0" borderId="0" xfId="0" applyNumberFormat="1" applyFont="1" applyProtection="1">
      <protection locked="0"/>
    </xf>
    <xf numFmtId="0" fontId="54" fillId="4" borderId="0" xfId="0" applyFont="1" applyFill="1" applyAlignment="1" applyProtection="1">
      <alignment horizontal="center" vertical="center"/>
      <protection locked="0"/>
    </xf>
    <xf numFmtId="0" fontId="43" fillId="0" borderId="0" xfId="0" applyFont="1" applyAlignment="1" applyProtection="1">
      <alignment horizontal="center" vertical="center"/>
      <protection locked="0"/>
    </xf>
    <xf numFmtId="178" fontId="43" fillId="0" borderId="0" xfId="0" applyNumberFormat="1" applyFont="1" applyAlignment="1" applyProtection="1">
      <alignment vertical="center"/>
      <protection locked="0"/>
    </xf>
    <xf numFmtId="0" fontId="43" fillId="4" borderId="0" xfId="0" applyFont="1" applyFill="1" applyProtection="1">
      <protection locked="0"/>
    </xf>
    <xf numFmtId="12" fontId="43" fillId="0" borderId="0" xfId="0" applyNumberFormat="1" applyFont="1" applyProtection="1">
      <protection locked="0"/>
    </xf>
    <xf numFmtId="3" fontId="43" fillId="0" borderId="0" xfId="0" applyNumberFormat="1" applyFont="1" applyAlignment="1" applyProtection="1">
      <alignment vertical="center"/>
      <protection locked="0"/>
    </xf>
    <xf numFmtId="0" fontId="51" fillId="0" borderId="0" xfId="0" applyFont="1" applyAlignment="1" applyProtection="1">
      <alignment vertical="center"/>
      <protection locked="0"/>
    </xf>
    <xf numFmtId="179" fontId="43" fillId="0" borderId="0" xfId="0" applyNumberFormat="1" applyFont="1" applyAlignment="1" applyProtection="1">
      <alignment vertical="center"/>
      <protection locked="0"/>
    </xf>
    <xf numFmtId="0" fontId="53" fillId="0" borderId="0" xfId="0" applyFont="1" applyAlignment="1" applyProtection="1">
      <alignment horizontal="center"/>
      <protection locked="0"/>
    </xf>
    <xf numFmtId="44" fontId="53" fillId="0" borderId="0" xfId="0" applyNumberFormat="1" applyFont="1" applyAlignment="1" applyProtection="1">
      <alignment vertical="center"/>
      <protection locked="0"/>
    </xf>
    <xf numFmtId="170" fontId="43" fillId="0" borderId="0" xfId="0" applyNumberFormat="1" applyFont="1" applyProtection="1">
      <protection locked="0"/>
    </xf>
    <xf numFmtId="164" fontId="43" fillId="0" borderId="0" xfId="0" applyNumberFormat="1" applyFont="1" applyProtection="1">
      <protection locked="0"/>
    </xf>
    <xf numFmtId="0" fontId="43" fillId="0" borderId="0" xfId="0" applyFont="1" applyAlignment="1" applyProtection="1">
      <alignment horizontal="right"/>
      <protection locked="0"/>
    </xf>
    <xf numFmtId="177" fontId="43" fillId="0" borderId="0" xfId="0" applyNumberFormat="1" applyFont="1" applyAlignment="1" applyProtection="1">
      <alignment vertical="center"/>
      <protection locked="0"/>
    </xf>
    <xf numFmtId="44" fontId="53" fillId="0" borderId="0" xfId="0" applyNumberFormat="1" applyFont="1" applyProtection="1">
      <protection locked="0"/>
    </xf>
    <xf numFmtId="173" fontId="43" fillId="0" borderId="0" xfId="0" applyNumberFormat="1" applyFont="1" applyProtection="1">
      <protection locked="0"/>
    </xf>
    <xf numFmtId="173" fontId="43" fillId="0" borderId="0" xfId="0" applyNumberFormat="1" applyFont="1" applyAlignment="1" applyProtection="1">
      <alignment vertical="center"/>
      <protection locked="0"/>
    </xf>
    <xf numFmtId="178" fontId="53" fillId="4" borderId="0" xfId="0" applyNumberFormat="1" applyFont="1" applyFill="1" applyAlignment="1" applyProtection="1">
      <alignment horizontal="left" vertical="center"/>
      <protection locked="0"/>
    </xf>
    <xf numFmtId="7" fontId="43" fillId="0" borderId="0" xfId="0" applyNumberFormat="1" applyFont="1" applyAlignment="1" applyProtection="1">
      <alignment vertical="top"/>
      <protection locked="0"/>
    </xf>
    <xf numFmtId="1" fontId="43" fillId="0" borderId="0" xfId="0" applyNumberFormat="1" applyFont="1" applyAlignment="1" applyProtection="1">
      <alignment vertical="top"/>
      <protection locked="0"/>
    </xf>
    <xf numFmtId="44" fontId="43" fillId="0" borderId="0" xfId="0" applyNumberFormat="1" applyFont="1" applyProtection="1">
      <protection locked="0"/>
    </xf>
    <xf numFmtId="1" fontId="43" fillId="0" borderId="0" xfId="0" applyNumberFormat="1" applyFont="1" applyAlignment="1" applyProtection="1">
      <alignment wrapText="1"/>
      <protection locked="0"/>
    </xf>
    <xf numFmtId="44" fontId="43" fillId="0" borderId="0" xfId="0" applyNumberFormat="1" applyFont="1" applyAlignment="1" applyProtection="1">
      <alignment vertical="center"/>
      <protection locked="0"/>
    </xf>
    <xf numFmtId="0" fontId="43" fillId="0" borderId="0" xfId="0" applyFont="1" applyAlignment="1" applyProtection="1">
      <alignment wrapText="1"/>
      <protection locked="0"/>
    </xf>
    <xf numFmtId="0" fontId="36" fillId="0" borderId="0" xfId="0" applyFont="1" applyAlignment="1" applyProtection="1">
      <alignment vertical="top" wrapText="1"/>
      <protection locked="0"/>
    </xf>
    <xf numFmtId="171" fontId="43" fillId="0" borderId="0" xfId="0" applyNumberFormat="1" applyFont="1" applyProtection="1">
      <protection locked="0"/>
    </xf>
    <xf numFmtId="1" fontId="43" fillId="0" borderId="0" xfId="0" applyNumberFormat="1" applyFont="1" applyProtection="1">
      <protection locked="0"/>
    </xf>
    <xf numFmtId="171" fontId="43" fillId="0" borderId="0" xfId="0" applyNumberFormat="1" applyFont="1" applyAlignment="1" applyProtection="1">
      <alignment vertical="top"/>
      <protection locked="0"/>
    </xf>
    <xf numFmtId="1" fontId="43" fillId="0" borderId="0" xfId="0" applyNumberFormat="1" applyFont="1" applyAlignment="1" applyProtection="1">
      <alignment horizontal="left"/>
      <protection locked="0"/>
    </xf>
    <xf numFmtId="2" fontId="43" fillId="0" borderId="0" xfId="0" applyNumberFormat="1" applyFont="1" applyAlignment="1" applyProtection="1">
      <alignment vertical="top"/>
      <protection locked="0"/>
    </xf>
    <xf numFmtId="1" fontId="43" fillId="0" borderId="0" xfId="0" applyNumberFormat="1" applyFont="1" applyAlignment="1" applyProtection="1">
      <alignment vertical="center"/>
      <protection locked="0"/>
    </xf>
    <xf numFmtId="1" fontId="43" fillId="0" borderId="0" xfId="0" applyNumberFormat="1" applyFont="1" applyAlignment="1" applyProtection="1">
      <alignment horizontal="left" vertical="center"/>
      <protection locked="0"/>
    </xf>
    <xf numFmtId="0" fontId="43" fillId="0" borderId="0" xfId="0" applyFont="1" applyAlignment="1" applyProtection="1">
      <alignment horizontal="left" vertical="center"/>
      <protection locked="0"/>
    </xf>
    <xf numFmtId="166" fontId="43" fillId="0" borderId="0" xfId="0" applyNumberFormat="1" applyFont="1" applyAlignment="1" applyProtection="1">
      <alignment vertical="center"/>
      <protection locked="0"/>
    </xf>
    <xf numFmtId="166" fontId="43" fillId="0" borderId="0" xfId="0" applyNumberFormat="1" applyFont="1" applyAlignment="1" applyProtection="1">
      <alignment horizontal="left" vertical="center"/>
      <protection locked="0"/>
    </xf>
    <xf numFmtId="166" fontId="43" fillId="0" borderId="0" xfId="0" applyNumberFormat="1" applyFont="1" applyAlignment="1" applyProtection="1">
      <alignment horizontal="left"/>
      <protection locked="0"/>
    </xf>
    <xf numFmtId="166" fontId="43" fillId="0" borderId="0" xfId="0" applyNumberFormat="1" applyFont="1" applyAlignment="1" applyProtection="1">
      <alignment vertical="top" wrapText="1"/>
      <protection locked="0"/>
    </xf>
    <xf numFmtId="166" fontId="41" fillId="0" borderId="0" xfId="0" applyNumberFormat="1" applyFont="1" applyAlignment="1" applyProtection="1">
      <alignment vertical="top" wrapText="1"/>
      <protection locked="0"/>
    </xf>
    <xf numFmtId="0" fontId="30" fillId="0" borderId="0" xfId="0" applyFont="1" applyProtection="1">
      <protection locked="0"/>
    </xf>
    <xf numFmtId="0" fontId="80" fillId="15" borderId="0" xfId="0" applyFont="1" applyFill="1" applyAlignment="1">
      <alignment horizontal="center" vertical="center"/>
    </xf>
    <xf numFmtId="181" fontId="81" fillId="0" borderId="0" xfId="0" applyNumberFormat="1" applyFont="1" applyAlignment="1">
      <alignment horizontal="center" vertical="center"/>
    </xf>
    <xf numFmtId="0" fontId="77" fillId="0" borderId="42" xfId="0" applyFont="1" applyBorder="1" applyAlignment="1">
      <alignment horizontal="left" vertical="center"/>
    </xf>
    <xf numFmtId="0" fontId="83" fillId="0" borderId="42" xfId="0" applyFont="1" applyBorder="1" applyAlignment="1">
      <alignment horizontal="left" vertical="center"/>
    </xf>
    <xf numFmtId="181" fontId="83" fillId="0" borderId="42" xfId="0" applyNumberFormat="1" applyFont="1" applyBorder="1" applyAlignment="1">
      <alignment horizontal="left" vertical="center"/>
    </xf>
    <xf numFmtId="3" fontId="83" fillId="0" borderId="42" xfId="0" applyNumberFormat="1" applyFont="1" applyBorder="1" applyAlignment="1">
      <alignment horizontal="left" vertical="center"/>
    </xf>
    <xf numFmtId="183" fontId="83" fillId="0" borderId="42" xfId="0" applyNumberFormat="1" applyFont="1" applyBorder="1" applyAlignment="1">
      <alignment horizontal="left" vertical="center"/>
    </xf>
    <xf numFmtId="182" fontId="83" fillId="0" borderId="42" xfId="0" applyNumberFormat="1" applyFont="1" applyBorder="1" applyAlignment="1">
      <alignment horizontal="left" vertical="center"/>
    </xf>
    <xf numFmtId="0" fontId="84" fillId="13" borderId="0" xfId="0" applyFont="1" applyFill="1" applyAlignment="1">
      <alignment horizontal="left" vertical="center"/>
    </xf>
    <xf numFmtId="0" fontId="84" fillId="13" borderId="0" xfId="0" applyFont="1" applyFill="1" applyAlignment="1">
      <alignment horizontal="center" vertical="center"/>
    </xf>
    <xf numFmtId="0" fontId="84" fillId="13" borderId="0" xfId="0" applyFont="1" applyFill="1" applyAlignment="1">
      <alignment horizontal="right" vertical="center"/>
    </xf>
    <xf numFmtId="183" fontId="83" fillId="0" borderId="42" xfId="0" applyNumberFormat="1" applyFont="1" applyBorder="1" applyAlignment="1">
      <alignment horizontal="center" vertical="center"/>
    </xf>
    <xf numFmtId="184" fontId="83" fillId="0" borderId="42" xfId="0" applyNumberFormat="1" applyFont="1" applyBorder="1" applyAlignment="1">
      <alignment horizontal="center" vertical="center"/>
    </xf>
    <xf numFmtId="182" fontId="83" fillId="0" borderId="42" xfId="0" applyNumberFormat="1" applyFont="1" applyBorder="1" applyAlignment="1">
      <alignment horizontal="right" vertical="center"/>
    </xf>
    <xf numFmtId="185" fontId="83" fillId="0" borderId="42" xfId="0" applyNumberFormat="1" applyFont="1" applyBorder="1" applyAlignment="1">
      <alignment horizontal="right" vertical="center"/>
    </xf>
    <xf numFmtId="0" fontId="81" fillId="18" borderId="42" xfId="0" applyFont="1" applyFill="1" applyBorder="1" applyAlignment="1">
      <alignment horizontal="left" vertical="center"/>
    </xf>
    <xf numFmtId="182" fontId="81" fillId="18" borderId="42" xfId="0" applyNumberFormat="1" applyFont="1" applyFill="1" applyBorder="1" applyAlignment="1">
      <alignment horizontal="right" vertical="center"/>
    </xf>
    <xf numFmtId="182" fontId="26" fillId="15" borderId="0" xfId="0" applyNumberFormat="1" applyFont="1" applyFill="1" applyAlignment="1">
      <alignment horizontal="right" vertical="center"/>
    </xf>
    <xf numFmtId="0" fontId="77" fillId="0" borderId="42" xfId="0" applyFont="1" applyBorder="1" applyAlignment="1">
      <alignment horizontal="left" vertical="top"/>
    </xf>
    <xf numFmtId="0" fontId="83" fillId="0" borderId="42" xfId="0" applyFont="1" applyBorder="1" applyAlignment="1">
      <alignment horizontal="left" vertical="top" wrapText="1"/>
    </xf>
    <xf numFmtId="0" fontId="85" fillId="0" borderId="43" xfId="0" applyFont="1" applyBorder="1" applyAlignment="1">
      <alignment horizontal="center" vertical="center"/>
    </xf>
    <xf numFmtId="0" fontId="88" fillId="0" borderId="0" xfId="0" applyFont="1" applyAlignment="1">
      <alignment horizontal="left" vertical="center"/>
    </xf>
    <xf numFmtId="20" fontId="24" fillId="9" borderId="40" xfId="0" applyNumberFormat="1" applyFont="1" applyFill="1" applyBorder="1" applyAlignment="1">
      <alignment horizontal="center" vertical="center"/>
    </xf>
    <xf numFmtId="20" fontId="24" fillId="0" borderId="39" xfId="0" applyNumberFormat="1" applyFont="1" applyBorder="1" applyAlignment="1" applyProtection="1">
      <alignment horizontal="center" vertical="center"/>
      <protection locked="0"/>
    </xf>
    <xf numFmtId="0" fontId="74" fillId="19" borderId="37" xfId="0" applyFont="1" applyFill="1" applyBorder="1" applyAlignment="1" applyProtection="1">
      <alignment horizontal="center" vertical="center"/>
      <protection locked="0"/>
    </xf>
    <xf numFmtId="0" fontId="31" fillId="19" borderId="17" xfId="0" applyFont="1" applyFill="1" applyBorder="1" applyAlignment="1" applyProtection="1">
      <alignment horizontal="center"/>
      <protection locked="0"/>
    </xf>
    <xf numFmtId="44" fontId="35" fillId="19" borderId="25" xfId="0" applyNumberFormat="1" applyFont="1" applyFill="1" applyBorder="1" applyProtection="1">
      <protection locked="0"/>
    </xf>
    <xf numFmtId="3" fontId="31" fillId="19" borderId="25" xfId="0" applyNumberFormat="1" applyFont="1" applyFill="1" applyBorder="1" applyAlignment="1" applyProtection="1">
      <alignment horizontal="center" vertical="center"/>
      <protection locked="0"/>
    </xf>
    <xf numFmtId="165" fontId="34" fillId="19" borderId="25" xfId="0" applyNumberFormat="1" applyFont="1" applyFill="1" applyBorder="1" applyAlignment="1" applyProtection="1">
      <alignment horizontal="left" indent="2"/>
      <protection locked="0"/>
    </xf>
    <xf numFmtId="0" fontId="31" fillId="19" borderId="25" xfId="0" applyFont="1" applyFill="1" applyBorder="1" applyAlignment="1" applyProtection="1">
      <alignment horizontal="center"/>
      <protection locked="0"/>
    </xf>
    <xf numFmtId="4" fontId="31" fillId="19" borderId="25" xfId="0" applyNumberFormat="1" applyFont="1" applyFill="1" applyBorder="1" applyAlignment="1" applyProtection="1">
      <alignment horizontal="center"/>
      <protection locked="0"/>
    </xf>
    <xf numFmtId="49" fontId="31" fillId="19" borderId="25" xfId="0" applyNumberFormat="1" applyFont="1" applyFill="1" applyBorder="1" applyAlignment="1" applyProtection="1">
      <alignment horizontal="center"/>
      <protection locked="0"/>
    </xf>
    <xf numFmtId="44" fontId="41" fillId="19" borderId="25" xfId="0" applyNumberFormat="1" applyFont="1" applyFill="1" applyBorder="1" applyAlignment="1" applyProtection="1">
      <alignment horizontal="center"/>
      <protection locked="0"/>
    </xf>
    <xf numFmtId="0" fontId="41" fillId="19" borderId="25" xfId="0" applyFont="1" applyFill="1" applyBorder="1" applyAlignment="1" applyProtection="1">
      <alignment horizontal="center"/>
      <protection locked="0"/>
    </xf>
    <xf numFmtId="0" fontId="63" fillId="19" borderId="31" xfId="0" applyFont="1" applyFill="1" applyBorder="1" applyProtection="1">
      <protection locked="0"/>
    </xf>
    <xf numFmtId="0" fontId="43" fillId="19" borderId="25" xfId="0" applyFont="1" applyFill="1" applyBorder="1" applyProtection="1">
      <protection locked="0"/>
    </xf>
    <xf numFmtId="0" fontId="43" fillId="19" borderId="29" xfId="0" applyFont="1" applyFill="1" applyBorder="1" applyProtection="1">
      <protection locked="0"/>
    </xf>
    <xf numFmtId="44" fontId="34" fillId="19" borderId="25" xfId="0" applyNumberFormat="1" applyFont="1" applyFill="1" applyBorder="1" applyProtection="1">
      <protection locked="0"/>
    </xf>
    <xf numFmtId="173" fontId="34" fillId="19" borderId="17" xfId="0" applyNumberFormat="1" applyFont="1" applyFill="1" applyBorder="1" applyProtection="1">
      <protection locked="0"/>
    </xf>
    <xf numFmtId="16" fontId="34" fillId="19" borderId="25" xfId="0" applyNumberFormat="1" applyFont="1" applyFill="1" applyBorder="1" applyAlignment="1" applyProtection="1">
      <alignment horizontal="center" vertical="center"/>
      <protection locked="0"/>
    </xf>
    <xf numFmtId="20" fontId="34" fillId="19" borderId="25" xfId="0" applyNumberFormat="1" applyFont="1" applyFill="1" applyBorder="1" applyAlignment="1" applyProtection="1">
      <alignment horizontal="center"/>
      <protection locked="0"/>
    </xf>
    <xf numFmtId="20" fontId="35" fillId="19" borderId="25" xfId="0" applyNumberFormat="1" applyFont="1" applyFill="1" applyBorder="1" applyAlignment="1" applyProtection="1">
      <alignment horizontal="left"/>
      <protection locked="0"/>
    </xf>
    <xf numFmtId="0" fontId="89" fillId="19" borderId="25" xfId="0" applyFont="1" applyFill="1" applyBorder="1" applyAlignment="1" applyProtection="1">
      <alignment horizontal="left"/>
      <protection locked="0"/>
    </xf>
    <xf numFmtId="4" fontId="34" fillId="19" borderId="25" xfId="0" applyNumberFormat="1" applyFont="1" applyFill="1" applyBorder="1" applyAlignment="1" applyProtection="1">
      <alignment horizontal="center" vertical="center"/>
      <protection locked="0"/>
    </xf>
    <xf numFmtId="0" fontId="48" fillId="19" borderId="25" xfId="0" applyFont="1" applyFill="1" applyBorder="1" applyProtection="1">
      <protection locked="0"/>
    </xf>
    <xf numFmtId="178" fontId="31" fillId="19" borderId="9" xfId="0" applyNumberFormat="1" applyFont="1" applyFill="1" applyBorder="1" applyAlignment="1" applyProtection="1">
      <alignment horizontal="right"/>
      <protection locked="0"/>
    </xf>
    <xf numFmtId="178" fontId="31" fillId="19" borderId="30" xfId="0" applyNumberFormat="1" applyFont="1" applyFill="1" applyBorder="1" applyAlignment="1" applyProtection="1">
      <alignment horizontal="right"/>
      <protection locked="0"/>
    </xf>
    <xf numFmtId="178" fontId="31" fillId="19" borderId="10" xfId="0" applyNumberFormat="1" applyFont="1" applyFill="1" applyBorder="1" applyAlignment="1" applyProtection="1">
      <alignment horizontal="right"/>
      <protection locked="0"/>
    </xf>
    <xf numFmtId="178" fontId="31" fillId="19" borderId="25" xfId="0" applyNumberFormat="1" applyFont="1" applyFill="1" applyBorder="1" applyAlignment="1" applyProtection="1">
      <alignment horizontal="right"/>
      <protection locked="0"/>
    </xf>
    <xf numFmtId="0" fontId="31" fillId="19" borderId="25" xfId="0" applyFont="1" applyFill="1" applyBorder="1" applyAlignment="1" applyProtection="1">
      <alignment horizontal="right"/>
      <protection locked="0"/>
    </xf>
    <xf numFmtId="0" fontId="26" fillId="0" borderId="0" xfId="0" applyFont="1" applyAlignment="1">
      <alignment horizontal="left" vertical="center" wrapText="1"/>
    </xf>
    <xf numFmtId="0" fontId="0" fillId="0" borderId="0" xfId="0"/>
    <xf numFmtId="0" fontId="23" fillId="0" borderId="0" xfId="0" applyFont="1" applyAlignment="1">
      <alignment horizontal="left" vertical="center" wrapText="1"/>
    </xf>
    <xf numFmtId="0" fontId="28" fillId="0" borderId="41" xfId="0" applyFont="1" applyBorder="1" applyAlignment="1">
      <alignment horizontal="left" vertical="center"/>
    </xf>
    <xf numFmtId="0" fontId="13" fillId="5" borderId="36" xfId="0" applyFont="1" applyFill="1" applyBorder="1" applyAlignment="1" applyProtection="1">
      <alignment horizontal="left" vertical="center"/>
      <protection locked="0"/>
    </xf>
    <xf numFmtId="1" fontId="34" fillId="19" borderId="32" xfId="0" applyNumberFormat="1" applyFont="1" applyFill="1" applyBorder="1" applyAlignment="1" applyProtection="1">
      <alignment horizontal="center" vertical="top" wrapText="1"/>
      <protection locked="0"/>
    </xf>
    <xf numFmtId="1" fontId="34" fillId="19" borderId="33" xfId="0" applyNumberFormat="1" applyFont="1" applyFill="1" applyBorder="1" applyAlignment="1" applyProtection="1">
      <alignment horizontal="center" vertical="top" wrapText="1"/>
      <protection locked="0"/>
    </xf>
    <xf numFmtId="1" fontId="34" fillId="19" borderId="0" xfId="0" applyNumberFormat="1" applyFont="1" applyFill="1" applyAlignment="1" applyProtection="1">
      <alignment horizontal="center" vertical="top" wrapText="1"/>
      <protection locked="0"/>
    </xf>
    <xf numFmtId="1" fontId="34" fillId="19" borderId="11" xfId="0" applyNumberFormat="1" applyFont="1" applyFill="1" applyBorder="1" applyAlignment="1" applyProtection="1">
      <alignment horizontal="center" vertical="top" wrapText="1"/>
      <protection locked="0"/>
    </xf>
    <xf numFmtId="1" fontId="34" fillId="19" borderId="13" xfId="0" applyNumberFormat="1" applyFont="1" applyFill="1" applyBorder="1" applyAlignment="1" applyProtection="1">
      <alignment horizontal="center" vertical="top" wrapText="1"/>
      <protection locked="0"/>
    </xf>
    <xf numFmtId="1" fontId="34" fillId="19" borderId="14" xfId="0" applyNumberFormat="1" applyFont="1" applyFill="1" applyBorder="1" applyAlignment="1" applyProtection="1">
      <alignment horizontal="center" vertical="top" wrapText="1"/>
      <protection locked="0"/>
    </xf>
    <xf numFmtId="0" fontId="34" fillId="17" borderId="0" xfId="0" applyFont="1" applyFill="1" applyAlignment="1" applyProtection="1">
      <alignment horizontal="center"/>
      <protection locked="0"/>
    </xf>
    <xf numFmtId="0" fontId="71" fillId="16" borderId="0" xfId="0" applyFont="1" applyFill="1" applyAlignment="1" applyProtection="1">
      <alignment horizontal="center"/>
      <protection locked="0"/>
    </xf>
    <xf numFmtId="1" fontId="35" fillId="19" borderId="31" xfId="0" applyNumberFormat="1" applyFont="1" applyFill="1" applyBorder="1" applyAlignment="1" applyProtection="1">
      <alignment horizontal="left"/>
      <protection locked="0"/>
    </xf>
    <xf numFmtId="1" fontId="35" fillId="19" borderId="27" xfId="0" applyNumberFormat="1" applyFont="1" applyFill="1" applyBorder="1" applyAlignment="1" applyProtection="1">
      <alignment horizontal="left"/>
      <protection locked="0"/>
    </xf>
    <xf numFmtId="0" fontId="75" fillId="14" borderId="31" xfId="0" applyFont="1" applyFill="1" applyBorder="1" applyAlignment="1">
      <alignment horizontal="center"/>
    </xf>
    <xf numFmtId="0" fontId="75" fillId="14" borderId="27" xfId="0" applyFont="1" applyFill="1" applyBorder="1" applyAlignment="1" applyProtection="1">
      <alignment horizontal="center"/>
      <protection locked="0"/>
    </xf>
    <xf numFmtId="0" fontId="76" fillId="14" borderId="31" xfId="0" applyFont="1" applyFill="1" applyBorder="1" applyAlignment="1">
      <alignment horizontal="left"/>
    </xf>
    <xf numFmtId="0" fontId="76" fillId="14" borderId="27" xfId="0" applyFont="1" applyFill="1" applyBorder="1" applyAlignment="1" applyProtection="1">
      <alignment horizontal="left"/>
      <protection locked="0"/>
    </xf>
    <xf numFmtId="0" fontId="31" fillId="13" borderId="31" xfId="0" applyFont="1" applyFill="1" applyBorder="1" applyAlignment="1">
      <alignment horizontal="center"/>
    </xf>
    <xf numFmtId="0" fontId="31" fillId="13" borderId="27" xfId="0" applyFont="1" applyFill="1" applyBorder="1" applyAlignment="1" applyProtection="1">
      <alignment horizontal="center"/>
      <protection locked="0"/>
    </xf>
    <xf numFmtId="0" fontId="31" fillId="13" borderId="31" xfId="0" applyFont="1" applyFill="1" applyBorder="1" applyAlignment="1" applyProtection="1">
      <alignment horizontal="left"/>
      <protection locked="0"/>
    </xf>
    <xf numFmtId="0" fontId="31" fillId="13" borderId="27" xfId="0" applyFont="1" applyFill="1" applyBorder="1" applyAlignment="1" applyProtection="1">
      <alignment horizontal="left"/>
      <protection locked="0"/>
    </xf>
    <xf numFmtId="0" fontId="31" fillId="13" borderId="31" xfId="0" applyFont="1" applyFill="1" applyBorder="1" applyAlignment="1" applyProtection="1">
      <alignment horizontal="center" vertical="center"/>
      <protection locked="0"/>
    </xf>
    <xf numFmtId="0" fontId="31" fillId="13" borderId="34" xfId="0" applyFont="1" applyFill="1" applyBorder="1" applyAlignment="1" applyProtection="1">
      <alignment horizontal="center" vertical="center"/>
      <protection locked="0"/>
    </xf>
    <xf numFmtId="1" fontId="34" fillId="16" borderId="31" xfId="0" applyNumberFormat="1" applyFont="1" applyFill="1" applyBorder="1" applyAlignment="1" applyProtection="1">
      <alignment horizontal="left"/>
      <protection locked="0"/>
    </xf>
    <xf numFmtId="1" fontId="34" fillId="16" borderId="34" xfId="0" applyNumberFormat="1" applyFont="1" applyFill="1" applyBorder="1" applyAlignment="1" applyProtection="1">
      <alignment horizontal="left"/>
      <protection locked="0"/>
    </xf>
    <xf numFmtId="1" fontId="34" fillId="16" borderId="27" xfId="0" applyNumberFormat="1" applyFont="1" applyFill="1" applyBorder="1" applyAlignment="1" applyProtection="1">
      <alignment horizontal="left"/>
      <protection locked="0"/>
    </xf>
    <xf numFmtId="0" fontId="74" fillId="19" borderId="37" xfId="0" applyFont="1" applyFill="1" applyBorder="1" applyAlignment="1" applyProtection="1">
      <alignment horizontal="center" vertical="center"/>
      <protection locked="0"/>
    </xf>
    <xf numFmtId="0" fontId="76" fillId="19" borderId="27" xfId="0" applyFont="1" applyFill="1" applyBorder="1" applyProtection="1">
      <protection locked="0"/>
    </xf>
    <xf numFmtId="14" fontId="75" fillId="14" borderId="31" xfId="0" applyNumberFormat="1" applyFont="1" applyFill="1" applyBorder="1" applyAlignment="1">
      <alignment horizontal="left"/>
    </xf>
    <xf numFmtId="14" fontId="75" fillId="14" borderId="27" xfId="0" applyNumberFormat="1" applyFont="1" applyFill="1" applyBorder="1" applyAlignment="1" applyProtection="1">
      <alignment horizontal="left"/>
      <protection locked="0"/>
    </xf>
    <xf numFmtId="0" fontId="63" fillId="19" borderId="31" xfId="0" applyFont="1" applyFill="1" applyBorder="1" applyAlignment="1" applyProtection="1">
      <alignment horizontal="left"/>
      <protection locked="0"/>
    </xf>
    <xf numFmtId="0" fontId="63" fillId="19" borderId="27" xfId="0" applyFont="1" applyFill="1" applyBorder="1" applyAlignment="1" applyProtection="1">
      <alignment horizontal="left"/>
      <protection locked="0"/>
    </xf>
    <xf numFmtId="49" fontId="31" fillId="19" borderId="31" xfId="0" applyNumberFormat="1" applyFont="1" applyFill="1" applyBorder="1" applyAlignment="1" applyProtection="1">
      <alignment horizontal="center"/>
      <protection locked="0"/>
    </xf>
    <xf numFmtId="49" fontId="31" fillId="19" borderId="27" xfId="0" applyNumberFormat="1" applyFont="1" applyFill="1" applyBorder="1" applyAlignment="1" applyProtection="1">
      <alignment horizontal="center"/>
      <protection locked="0"/>
    </xf>
    <xf numFmtId="1" fontId="34" fillId="19" borderId="31" xfId="0" applyNumberFormat="1" applyFont="1" applyFill="1" applyBorder="1" applyAlignment="1" applyProtection="1">
      <alignment horizontal="left"/>
      <protection locked="0"/>
    </xf>
    <xf numFmtId="1" fontId="34" fillId="19" borderId="34" xfId="0" applyNumberFormat="1" applyFont="1" applyFill="1" applyBorder="1" applyAlignment="1" applyProtection="1">
      <alignment horizontal="left"/>
      <protection locked="0"/>
    </xf>
    <xf numFmtId="1" fontId="34" fillId="19" borderId="27" xfId="0" applyNumberFormat="1" applyFont="1" applyFill="1" applyBorder="1" applyAlignment="1" applyProtection="1">
      <alignment horizontal="left"/>
      <protection locked="0"/>
    </xf>
    <xf numFmtId="0" fontId="46" fillId="14" borderId="2" xfId="0" applyFont="1" applyFill="1" applyBorder="1" applyAlignment="1" applyProtection="1">
      <alignment horizontal="center" vertical="center"/>
      <protection locked="0"/>
    </xf>
    <xf numFmtId="0" fontId="46" fillId="14" borderId="3" xfId="0" applyFont="1" applyFill="1" applyBorder="1" applyAlignment="1" applyProtection="1">
      <alignment horizontal="center" vertical="center"/>
      <protection locked="0"/>
    </xf>
    <xf numFmtId="0" fontId="46" fillId="14" borderId="24" xfId="0" applyFont="1" applyFill="1" applyBorder="1" applyAlignment="1" applyProtection="1">
      <alignment horizontal="center" vertical="center"/>
      <protection locked="0"/>
    </xf>
    <xf numFmtId="0" fontId="46" fillId="14" borderId="4" xfId="0" applyFont="1" applyFill="1" applyBorder="1" applyAlignment="1" applyProtection="1">
      <alignment horizontal="center" vertical="center"/>
      <protection locked="0"/>
    </xf>
    <xf numFmtId="0" fontId="46" fillId="14" borderId="0" xfId="0" applyFont="1" applyFill="1" applyAlignment="1" applyProtection="1">
      <alignment horizontal="center" vertical="center"/>
      <protection locked="0"/>
    </xf>
    <xf numFmtId="0" fontId="46" fillId="14" borderId="6" xfId="0" applyFont="1" applyFill="1" applyBorder="1" applyAlignment="1" applyProtection="1">
      <alignment horizontal="center" vertical="center"/>
      <protection locked="0"/>
    </xf>
    <xf numFmtId="0" fontId="46" fillId="14" borderId="5" xfId="0" applyFont="1" applyFill="1" applyBorder="1" applyAlignment="1" applyProtection="1">
      <alignment horizontal="center" vertical="center"/>
      <protection locked="0"/>
    </xf>
    <xf numFmtId="0" fontId="46" fillId="14" borderId="8" xfId="0" applyFont="1" applyFill="1" applyBorder="1" applyAlignment="1" applyProtection="1">
      <alignment horizontal="center" vertical="center"/>
      <protection locked="0"/>
    </xf>
    <xf numFmtId="0" fontId="46" fillId="14" borderId="7" xfId="0" applyFont="1" applyFill="1" applyBorder="1" applyAlignment="1" applyProtection="1">
      <alignment horizontal="center" vertical="center"/>
      <protection locked="0"/>
    </xf>
    <xf numFmtId="0" fontId="31" fillId="13" borderId="31" xfId="0" applyFont="1" applyFill="1" applyBorder="1" applyAlignment="1" applyProtection="1">
      <alignment horizontal="left" vertical="center"/>
      <protection locked="0"/>
    </xf>
    <xf numFmtId="0" fontId="31" fillId="13" borderId="27" xfId="0" applyFont="1" applyFill="1" applyBorder="1" applyAlignment="1" applyProtection="1">
      <alignment horizontal="left" vertical="center"/>
      <protection locked="0"/>
    </xf>
    <xf numFmtId="0" fontId="76" fillId="12" borderId="25" xfId="0" applyFont="1" applyFill="1" applyBorder="1" applyProtection="1">
      <protection locked="0"/>
    </xf>
    <xf numFmtId="0" fontId="82" fillId="17" borderId="0" xfId="0" applyFont="1" applyFill="1" applyProtection="1">
      <protection locked="0"/>
    </xf>
    <xf numFmtId="178" fontId="43" fillId="0" borderId="0" xfId="0" applyNumberFormat="1" applyFont="1" applyAlignment="1">
      <alignment horizontal="center" vertical="center"/>
    </xf>
    <xf numFmtId="178" fontId="43" fillId="0" borderId="0" xfId="0" applyNumberFormat="1" applyFont="1" applyAlignment="1" applyProtection="1">
      <alignment horizontal="center" vertical="center"/>
      <protection locked="0"/>
    </xf>
    <xf numFmtId="44" fontId="43" fillId="0" borderId="0" xfId="0" applyNumberFormat="1" applyFont="1" applyAlignment="1">
      <alignment horizontal="center" vertical="center" wrapText="1"/>
    </xf>
    <xf numFmtId="0" fontId="43" fillId="0" borderId="0" xfId="0" applyFont="1" applyAlignment="1" applyProtection="1">
      <alignment horizontal="center" vertical="center" wrapText="1"/>
      <protection locked="0"/>
    </xf>
    <xf numFmtId="12" fontId="53" fillId="4" borderId="0" xfId="0" applyNumberFormat="1" applyFont="1" applyFill="1" applyAlignment="1">
      <alignment horizontal="center"/>
    </xf>
    <xf numFmtId="12" fontId="53" fillId="4" borderId="0" xfId="0" applyNumberFormat="1" applyFont="1" applyFill="1" applyAlignment="1" applyProtection="1">
      <alignment horizontal="center"/>
      <protection locked="0"/>
    </xf>
    <xf numFmtId="178" fontId="43" fillId="4" borderId="0" xfId="0" applyNumberFormat="1" applyFont="1" applyFill="1" applyAlignment="1">
      <alignment horizontal="center" vertical="center"/>
    </xf>
    <xf numFmtId="178" fontId="43" fillId="4" borderId="0" xfId="0" applyNumberFormat="1" applyFont="1" applyFill="1" applyAlignment="1" applyProtection="1">
      <alignment horizontal="center" vertical="center"/>
      <protection locked="0"/>
    </xf>
    <xf numFmtId="0" fontId="47" fillId="4" borderId="0" xfId="0" applyFont="1" applyFill="1" applyAlignment="1" applyProtection="1">
      <alignment horizontal="center" vertical="center"/>
      <protection locked="0"/>
    </xf>
    <xf numFmtId="177" fontId="47" fillId="0" borderId="0" xfId="0" applyNumberFormat="1" applyFont="1" applyAlignment="1" applyProtection="1">
      <alignment horizontal="center"/>
      <protection locked="0"/>
    </xf>
    <xf numFmtId="44" fontId="53" fillId="0" borderId="0" xfId="0" applyNumberFormat="1" applyFont="1" applyAlignment="1">
      <alignment horizontal="right"/>
    </xf>
    <xf numFmtId="44" fontId="53" fillId="0" borderId="0" xfId="0" applyNumberFormat="1" applyFont="1" applyAlignment="1" applyProtection="1">
      <alignment horizontal="right"/>
      <protection locked="0"/>
    </xf>
    <xf numFmtId="178" fontId="53" fillId="0" borderId="0" xfId="0" quotePrefix="1" applyNumberFormat="1" applyFont="1" applyAlignment="1">
      <alignment horizontal="left"/>
    </xf>
    <xf numFmtId="178" fontId="53" fillId="0" borderId="0" xfId="0" applyNumberFormat="1" applyFont="1" applyAlignment="1" applyProtection="1">
      <alignment horizontal="left"/>
      <protection locked="0"/>
    </xf>
    <xf numFmtId="44" fontId="47" fillId="0" borderId="0" xfId="0" applyNumberFormat="1" applyFont="1" applyAlignment="1">
      <alignment horizontal="center" vertical="center"/>
    </xf>
    <xf numFmtId="44" fontId="47" fillId="0" borderId="0" xfId="0" applyNumberFormat="1" applyFont="1" applyAlignment="1" applyProtection="1">
      <alignment horizontal="center" vertical="center"/>
      <protection locked="0"/>
    </xf>
    <xf numFmtId="173" fontId="53" fillId="0" borderId="0" xfId="0" applyNumberFormat="1" applyFont="1" applyAlignment="1">
      <alignment horizontal="center" vertical="center"/>
    </xf>
    <xf numFmtId="173" fontId="53" fillId="0" borderId="0" xfId="0" applyNumberFormat="1" applyFont="1" applyAlignment="1" applyProtection="1">
      <alignment horizontal="center" vertical="center"/>
      <protection locked="0"/>
    </xf>
    <xf numFmtId="44" fontId="47" fillId="0" borderId="0" xfId="0" applyNumberFormat="1" applyFont="1" applyAlignment="1">
      <alignment horizontal="center"/>
    </xf>
    <xf numFmtId="44" fontId="47" fillId="0" borderId="0" xfId="0" applyNumberFormat="1" applyFont="1" applyAlignment="1" applyProtection="1">
      <alignment horizontal="center"/>
      <protection locked="0"/>
    </xf>
    <xf numFmtId="12" fontId="43" fillId="0" borderId="0" xfId="0" applyNumberFormat="1" applyFont="1" applyAlignment="1">
      <alignment horizontal="center" vertical="center"/>
    </xf>
    <xf numFmtId="12" fontId="43" fillId="0" borderId="0" xfId="0" applyNumberFormat="1" applyFont="1" applyAlignment="1" applyProtection="1">
      <alignment horizontal="center" vertical="center"/>
      <protection locked="0"/>
    </xf>
    <xf numFmtId="0" fontId="43" fillId="0" borderId="0" xfId="0" applyFont="1" applyAlignment="1" applyProtection="1">
      <alignment horizontal="center"/>
      <protection locked="0"/>
    </xf>
    <xf numFmtId="0" fontId="69" fillId="4" borderId="0" xfId="0" applyFont="1" applyFill="1" applyAlignment="1" applyProtection="1">
      <alignment horizontal="center"/>
      <protection locked="0"/>
    </xf>
    <xf numFmtId="178" fontId="43" fillId="0" borderId="0" xfId="0" applyNumberFormat="1" applyFont="1" applyAlignment="1" applyProtection="1">
      <alignment horizontal="center"/>
      <protection locked="0"/>
    </xf>
    <xf numFmtId="174" fontId="49" fillId="4" borderId="0" xfId="0" applyNumberFormat="1" applyFont="1" applyFill="1" applyAlignment="1">
      <alignment horizontal="right" vertical="top"/>
    </xf>
    <xf numFmtId="174" fontId="49" fillId="4" borderId="0" xfId="0" applyNumberFormat="1" applyFont="1" applyFill="1" applyAlignment="1" applyProtection="1">
      <alignment horizontal="right" vertical="top"/>
      <protection locked="0"/>
    </xf>
    <xf numFmtId="44" fontId="37" fillId="0" borderId="0" xfId="0" applyNumberFormat="1" applyFont="1" applyAlignment="1">
      <alignment horizontal="center" vertical="center"/>
    </xf>
    <xf numFmtId="44" fontId="37" fillId="0" borderId="0" xfId="0" applyNumberFormat="1" applyFont="1" applyAlignment="1" applyProtection="1">
      <alignment horizontal="center" vertical="center"/>
      <protection locked="0"/>
    </xf>
    <xf numFmtId="180" fontId="70" fillId="4" borderId="0" xfId="0" applyNumberFormat="1" applyFont="1" applyFill="1" applyAlignment="1">
      <alignment horizontal="center" vertical="center"/>
    </xf>
    <xf numFmtId="180" fontId="70" fillId="4" borderId="0" xfId="0" applyNumberFormat="1" applyFont="1" applyFill="1" applyAlignment="1" applyProtection="1">
      <alignment horizontal="center" vertical="center"/>
      <protection locked="0"/>
    </xf>
    <xf numFmtId="1" fontId="70" fillId="4" borderId="0" xfId="0" applyNumberFormat="1" applyFont="1" applyFill="1" applyAlignment="1" applyProtection="1">
      <alignment horizontal="center" vertical="center"/>
      <protection locked="0"/>
    </xf>
    <xf numFmtId="0" fontId="37" fillId="0" borderId="0" xfId="0" applyFont="1" applyAlignment="1">
      <alignment horizontal="center"/>
    </xf>
    <xf numFmtId="0" fontId="37" fillId="0" borderId="0" xfId="0" applyFont="1" applyAlignment="1" applyProtection="1">
      <alignment horizontal="center"/>
      <protection locked="0"/>
    </xf>
    <xf numFmtId="0" fontId="43" fillId="4" borderId="0" xfId="0" applyFont="1" applyFill="1" applyAlignment="1">
      <alignment horizontal="center" vertical="center"/>
    </xf>
    <xf numFmtId="0" fontId="43" fillId="4" borderId="0" xfId="0" applyFont="1" applyFill="1" applyAlignment="1" applyProtection="1">
      <alignment horizontal="center" vertical="center"/>
      <protection locked="0"/>
    </xf>
    <xf numFmtId="174" fontId="50" fillId="0" borderId="0" xfId="0" applyNumberFormat="1" applyFont="1" applyAlignment="1">
      <alignment horizontal="right" vertical="top"/>
    </xf>
    <xf numFmtId="174" fontId="50" fillId="0" borderId="0" xfId="0" applyNumberFormat="1" applyFont="1" applyAlignment="1" applyProtection="1">
      <alignment horizontal="right" vertical="top"/>
      <protection locked="0"/>
    </xf>
    <xf numFmtId="1" fontId="70" fillId="4" borderId="0" xfId="0" applyNumberFormat="1" applyFont="1" applyFill="1" applyAlignment="1">
      <alignment horizontal="center" vertical="center"/>
    </xf>
    <xf numFmtId="0" fontId="58" fillId="4" borderId="0" xfId="0" applyFont="1" applyFill="1" applyAlignment="1" applyProtection="1">
      <alignment horizontal="left"/>
      <protection locked="0"/>
    </xf>
    <xf numFmtId="1" fontId="65" fillId="4" borderId="0" xfId="0" applyNumberFormat="1" applyFont="1" applyFill="1" applyAlignment="1">
      <alignment horizontal="center" wrapText="1"/>
    </xf>
    <xf numFmtId="0" fontId="65" fillId="4" borderId="0" xfId="0" applyFont="1" applyFill="1" applyAlignment="1" applyProtection="1">
      <alignment horizontal="center" wrapText="1"/>
      <protection locked="0"/>
    </xf>
    <xf numFmtId="1" fontId="54" fillId="4" borderId="0" xfId="0" applyNumberFormat="1" applyFont="1" applyFill="1" applyAlignment="1" applyProtection="1">
      <alignment horizontal="center"/>
      <protection locked="0"/>
    </xf>
    <xf numFmtId="0" fontId="64" fillId="4" borderId="0" xfId="0" applyFont="1" applyFill="1" applyAlignment="1" applyProtection="1">
      <alignment horizontal="center" vertical="center"/>
      <protection locked="0"/>
    </xf>
    <xf numFmtId="1" fontId="65" fillId="4" borderId="0" xfId="0" applyNumberFormat="1" applyFont="1" applyFill="1" applyAlignment="1">
      <alignment horizontal="center"/>
    </xf>
    <xf numFmtId="1" fontId="65" fillId="4" borderId="0" xfId="0" applyNumberFormat="1" applyFont="1" applyFill="1" applyAlignment="1" applyProtection="1">
      <alignment horizontal="center"/>
      <protection locked="0"/>
    </xf>
    <xf numFmtId="1" fontId="67" fillId="4" borderId="0" xfId="0" applyNumberFormat="1" applyFont="1" applyFill="1" applyAlignment="1" applyProtection="1">
      <alignment horizontal="center"/>
      <protection locked="0"/>
    </xf>
    <xf numFmtId="1" fontId="68" fillId="4" borderId="0" xfId="0" applyNumberFormat="1" applyFont="1" applyFill="1" applyAlignment="1">
      <alignment horizontal="center" vertical="center"/>
    </xf>
    <xf numFmtId="1" fontId="68" fillId="4" borderId="0" xfId="0" applyNumberFormat="1" applyFont="1" applyFill="1" applyAlignment="1" applyProtection="1">
      <alignment horizontal="center" vertical="center"/>
      <protection locked="0"/>
    </xf>
    <xf numFmtId="0" fontId="61" fillId="4" borderId="0" xfId="0" applyFont="1" applyFill="1" applyAlignment="1">
      <alignment horizontal="center"/>
    </xf>
    <xf numFmtId="0" fontId="61" fillId="4" borderId="0" xfId="0" applyFont="1" applyFill="1" applyAlignment="1" applyProtection="1">
      <alignment horizontal="center"/>
      <protection locked="0"/>
    </xf>
    <xf numFmtId="1" fontId="41" fillId="0" borderId="0" xfId="0" applyNumberFormat="1" applyFont="1" applyAlignment="1" applyProtection="1">
      <alignment horizontal="center" vertical="center"/>
      <protection locked="0"/>
    </xf>
    <xf numFmtId="175" fontId="43" fillId="0" borderId="0" xfId="0" applyNumberFormat="1" applyFont="1" applyAlignment="1" applyProtection="1">
      <alignment horizontal="left" vertical="top"/>
      <protection locked="0"/>
    </xf>
    <xf numFmtId="173" fontId="43" fillId="0" borderId="0" xfId="0" applyNumberFormat="1" applyFont="1" applyAlignment="1" applyProtection="1">
      <alignment horizontal="left" vertical="top"/>
      <protection locked="0"/>
    </xf>
    <xf numFmtId="171" fontId="43" fillId="0" borderId="0" xfId="0" applyNumberFormat="1" applyFont="1" applyAlignment="1" applyProtection="1">
      <alignment horizontal="center" vertical="top"/>
      <protection locked="0"/>
    </xf>
    <xf numFmtId="1" fontId="43" fillId="0" borderId="0" xfId="0" applyNumberFormat="1" applyFont="1" applyAlignment="1">
      <alignment horizontal="center" vertical="center"/>
    </xf>
    <xf numFmtId="1" fontId="43" fillId="0" borderId="0" xfId="0" applyNumberFormat="1" applyFont="1" applyAlignment="1" applyProtection="1">
      <alignment horizontal="center" vertical="center"/>
      <protection locked="0"/>
    </xf>
    <xf numFmtId="0" fontId="43" fillId="0" borderId="0" xfId="0" applyFont="1" applyAlignment="1" applyProtection="1">
      <alignment horizontal="center" vertical="center"/>
      <protection locked="0"/>
    </xf>
    <xf numFmtId="2" fontId="43" fillId="0" borderId="0" xfId="0" applyNumberFormat="1" applyFont="1" applyAlignment="1">
      <alignment horizontal="center"/>
    </xf>
    <xf numFmtId="2" fontId="43" fillId="0" borderId="0" xfId="0" applyNumberFormat="1" applyFont="1" applyAlignment="1" applyProtection="1">
      <alignment horizontal="center"/>
      <protection locked="0"/>
    </xf>
    <xf numFmtId="0" fontId="30" fillId="0" borderId="0" xfId="0" applyFont="1" applyAlignment="1">
      <alignment horizontal="center" vertical="center" wrapText="1"/>
    </xf>
    <xf numFmtId="0" fontId="30" fillId="0" borderId="0" xfId="0" applyFont="1" applyAlignment="1" applyProtection="1">
      <alignment horizontal="center" vertical="center" wrapText="1"/>
      <protection locked="0"/>
    </xf>
    <xf numFmtId="0" fontId="43" fillId="0" borderId="0" xfId="0" applyFont="1" applyAlignment="1" applyProtection="1">
      <alignment horizontal="left"/>
      <protection locked="0"/>
    </xf>
    <xf numFmtId="166" fontId="43" fillId="0" borderId="0" xfId="0" applyNumberFormat="1" applyFont="1" applyAlignment="1" applyProtection="1">
      <alignment horizontal="center" vertical="center" wrapText="1"/>
      <protection locked="0"/>
    </xf>
    <xf numFmtId="175" fontId="43" fillId="0" borderId="0" xfId="0" applyNumberFormat="1" applyFont="1" applyAlignment="1">
      <alignment horizontal="center"/>
    </xf>
    <xf numFmtId="175" fontId="43" fillId="0" borderId="0" xfId="0" applyNumberFormat="1" applyFont="1" applyAlignment="1" applyProtection="1">
      <alignment horizontal="center"/>
      <protection locked="0"/>
    </xf>
    <xf numFmtId="0" fontId="61" fillId="4" borderId="0" xfId="0" applyFont="1" applyFill="1" applyAlignment="1">
      <alignment horizontal="center" vertical="center"/>
    </xf>
    <xf numFmtId="0" fontId="61" fillId="4" borderId="0" xfId="0" applyFont="1" applyFill="1" applyAlignment="1" applyProtection="1">
      <alignment horizontal="center" vertical="center"/>
      <protection locked="0"/>
    </xf>
    <xf numFmtId="49" fontId="65" fillId="4" borderId="0" xfId="0" applyNumberFormat="1" applyFont="1" applyFill="1" applyAlignment="1">
      <alignment horizontal="center"/>
    </xf>
    <xf numFmtId="0" fontId="65" fillId="4" borderId="0" xfId="0" applyFont="1" applyFill="1" applyAlignment="1" applyProtection="1">
      <alignment horizontal="center"/>
      <protection locked="0"/>
    </xf>
    <xf numFmtId="1" fontId="43" fillId="4" borderId="0" xfId="0" applyNumberFormat="1" applyFont="1" applyFill="1" applyAlignment="1">
      <alignment horizontal="center" wrapText="1"/>
    </xf>
    <xf numFmtId="1" fontId="43" fillId="4" borderId="0" xfId="0" applyNumberFormat="1" applyFont="1" applyFill="1" applyAlignment="1" applyProtection="1">
      <alignment horizontal="center" wrapText="1"/>
      <protection locked="0"/>
    </xf>
    <xf numFmtId="0" fontId="52" fillId="0" borderId="0" xfId="0" applyFont="1" applyAlignment="1">
      <alignment horizontal="center"/>
    </xf>
    <xf numFmtId="0" fontId="52" fillId="0" borderId="0" xfId="0" applyFont="1" applyAlignment="1" applyProtection="1">
      <alignment horizontal="center"/>
      <protection locked="0"/>
    </xf>
    <xf numFmtId="173" fontId="47" fillId="0" borderId="0" xfId="0" applyNumberFormat="1" applyFont="1" applyAlignment="1">
      <alignment horizontal="center" vertical="top"/>
    </xf>
    <xf numFmtId="173" fontId="47" fillId="0" borderId="0" xfId="0" applyNumberFormat="1" applyFont="1" applyAlignment="1" applyProtection="1">
      <alignment horizontal="center" vertical="top"/>
      <protection locked="0"/>
    </xf>
    <xf numFmtId="171" fontId="62" fillId="0" borderId="0" xfId="0" applyNumberFormat="1" applyFont="1" applyAlignment="1">
      <alignment horizontal="center" vertical="top"/>
    </xf>
    <xf numFmtId="171" fontId="62" fillId="0" borderId="0" xfId="0" applyNumberFormat="1" applyFont="1" applyAlignment="1" applyProtection="1">
      <alignment horizontal="center" vertical="top"/>
      <protection locked="0"/>
    </xf>
    <xf numFmtId="1" fontId="59" fillId="0" borderId="0" xfId="0" applyNumberFormat="1" applyFont="1" applyAlignment="1">
      <alignment horizontal="center" wrapText="1"/>
    </xf>
    <xf numFmtId="1" fontId="59" fillId="0" borderId="0" xfId="0" applyNumberFormat="1" applyFont="1" applyAlignment="1" applyProtection="1">
      <alignment horizontal="center" wrapText="1"/>
      <protection locked="0"/>
    </xf>
    <xf numFmtId="171" fontId="36" fillId="4" borderId="0" xfId="0" applyNumberFormat="1" applyFont="1" applyFill="1" applyAlignment="1">
      <alignment horizontal="center"/>
    </xf>
    <xf numFmtId="171" fontId="36" fillId="4" borderId="0" xfId="0" applyNumberFormat="1" applyFont="1" applyFill="1" applyAlignment="1" applyProtection="1">
      <alignment horizontal="center"/>
      <protection locked="0"/>
    </xf>
    <xf numFmtId="0" fontId="36" fillId="0" borderId="0" xfId="0" applyFont="1" applyAlignment="1">
      <alignment horizontal="center" vertical="center" wrapText="1"/>
    </xf>
    <xf numFmtId="0" fontId="36" fillId="0" borderId="0" xfId="0" applyFont="1" applyAlignment="1" applyProtection="1">
      <alignment horizontal="center" vertical="center" wrapText="1"/>
      <protection locked="0"/>
    </xf>
    <xf numFmtId="0" fontId="49" fillId="0" borderId="0" xfId="0" applyFont="1" applyAlignment="1">
      <alignment horizontal="center"/>
    </xf>
    <xf numFmtId="0" fontId="49" fillId="0" borderId="0" xfId="0" applyFont="1" applyAlignment="1" applyProtection="1">
      <alignment horizontal="center"/>
      <protection locked="0"/>
    </xf>
    <xf numFmtId="44" fontId="43" fillId="0" borderId="0" xfId="0" applyNumberFormat="1" applyFont="1" applyAlignment="1">
      <alignment horizontal="center" vertical="top"/>
    </xf>
    <xf numFmtId="44" fontId="43" fillId="0" borderId="0" xfId="0" applyNumberFormat="1" applyFont="1" applyAlignment="1" applyProtection="1">
      <alignment horizontal="center" vertical="top"/>
      <protection locked="0"/>
    </xf>
    <xf numFmtId="0" fontId="43" fillId="0" borderId="0" xfId="0" applyFont="1" applyAlignment="1">
      <alignment horizontal="center"/>
    </xf>
    <xf numFmtId="0" fontId="51" fillId="4" borderId="0" xfId="0" applyFont="1" applyFill="1" applyAlignment="1">
      <alignment horizontal="center" vertical="center"/>
    </xf>
    <xf numFmtId="0" fontId="51" fillId="4" borderId="0" xfId="0" applyFont="1" applyFill="1" applyAlignment="1" applyProtection="1">
      <alignment horizontal="center" vertical="center"/>
      <protection locked="0"/>
    </xf>
    <xf numFmtId="0" fontId="51" fillId="0" borderId="0" xfId="0" applyFont="1" applyAlignment="1">
      <alignment horizontal="center"/>
    </xf>
    <xf numFmtId="0" fontId="51" fillId="0" borderId="0" xfId="0" applyFont="1" applyAlignment="1" applyProtection="1">
      <alignment horizontal="center"/>
      <protection locked="0"/>
    </xf>
    <xf numFmtId="49" fontId="70" fillId="4" borderId="0" xfId="0" applyNumberFormat="1" applyFont="1" applyFill="1" applyAlignment="1" applyProtection="1">
      <alignment horizontal="center" vertical="center"/>
      <protection locked="0"/>
    </xf>
    <xf numFmtId="0" fontId="70" fillId="4" borderId="0" xfId="0" applyFont="1" applyFill="1" applyAlignment="1" applyProtection="1">
      <alignment horizontal="center" vertical="center"/>
      <protection locked="0"/>
    </xf>
    <xf numFmtId="0" fontId="70" fillId="4" borderId="0" xfId="0" applyFont="1" applyFill="1" applyAlignment="1">
      <alignment horizontal="center" vertical="center" wrapText="1"/>
    </xf>
    <xf numFmtId="0" fontId="70" fillId="4" borderId="0" xfId="0" applyFont="1" applyFill="1" applyAlignment="1" applyProtection="1">
      <alignment horizontal="center" vertical="center" wrapText="1"/>
      <protection locked="0"/>
    </xf>
    <xf numFmtId="0" fontId="51" fillId="0" borderId="0" xfId="0" applyFont="1" applyAlignment="1">
      <alignment horizontal="center" vertical="center"/>
    </xf>
    <xf numFmtId="0" fontId="51" fillId="0" borderId="0" xfId="0" applyFont="1" applyAlignment="1" applyProtection="1">
      <alignment horizontal="center" vertical="center"/>
      <protection locked="0"/>
    </xf>
    <xf numFmtId="172" fontId="47" fillId="0" borderId="0" xfId="0" applyNumberFormat="1" applyFont="1" applyAlignment="1">
      <alignment horizontal="right"/>
    </xf>
    <xf numFmtId="172" fontId="47" fillId="0" borderId="0" xfId="0" applyNumberFormat="1" applyFont="1" applyAlignment="1" applyProtection="1">
      <alignment horizontal="right"/>
      <protection locked="0"/>
    </xf>
    <xf numFmtId="2" fontId="43" fillId="0" borderId="0" xfId="0" applyNumberFormat="1" applyFont="1" applyAlignment="1" applyProtection="1">
      <alignment horizontal="center" vertical="top"/>
      <protection locked="0"/>
    </xf>
    <xf numFmtId="44" fontId="60" fillId="0" borderId="0" xfId="0" applyNumberFormat="1" applyFont="1" applyAlignment="1">
      <alignment horizontal="center" vertical="center"/>
    </xf>
    <xf numFmtId="44" fontId="60" fillId="0" borderId="0" xfId="0" applyNumberFormat="1" applyFont="1" applyAlignment="1" applyProtection="1">
      <alignment horizontal="center" vertical="center"/>
      <protection locked="0"/>
    </xf>
    <xf numFmtId="0" fontId="53" fillId="0" borderId="0" xfId="0" applyFont="1"/>
    <xf numFmtId="0" fontId="53" fillId="0" borderId="0" xfId="0" applyFont="1" applyProtection="1">
      <protection locked="0"/>
    </xf>
    <xf numFmtId="0" fontId="43" fillId="0" borderId="0" xfId="0" applyFont="1" applyAlignment="1">
      <alignment horizontal="left"/>
    </xf>
    <xf numFmtId="167" fontId="43" fillId="0" borderId="0" xfId="0" applyNumberFormat="1" applyFont="1" applyAlignment="1">
      <alignment horizontal="center" vertical="center" wrapText="1"/>
    </xf>
    <xf numFmtId="167" fontId="43" fillId="0" borderId="0" xfId="0" applyNumberFormat="1" applyFont="1" applyAlignment="1" applyProtection="1">
      <alignment horizontal="center" vertical="center" wrapText="1"/>
      <protection locked="0"/>
    </xf>
    <xf numFmtId="49" fontId="53" fillId="3" borderId="0" xfId="0" applyNumberFormat="1" applyFont="1" applyFill="1" applyAlignment="1">
      <alignment horizontal="center" vertical="center" wrapText="1"/>
    </xf>
    <xf numFmtId="0" fontId="53" fillId="3" borderId="0" xfId="0" applyFont="1" applyFill="1" applyAlignment="1" applyProtection="1">
      <alignment horizontal="center" vertical="center" wrapText="1"/>
      <protection locked="0"/>
    </xf>
    <xf numFmtId="0" fontId="53" fillId="0" borderId="0" xfId="0" applyFont="1" applyAlignment="1" applyProtection="1">
      <alignment horizontal="center"/>
      <protection locked="0"/>
    </xf>
    <xf numFmtId="44" fontId="53" fillId="0" borderId="0" xfId="0" applyNumberFormat="1" applyFont="1" applyAlignment="1">
      <alignment horizontal="center" vertical="center"/>
    </xf>
    <xf numFmtId="44" fontId="53" fillId="0" borderId="0" xfId="0" applyNumberFormat="1" applyFont="1" applyAlignment="1" applyProtection="1">
      <alignment horizontal="center" vertical="center"/>
      <protection locked="0"/>
    </xf>
    <xf numFmtId="20" fontId="47" fillId="0" borderId="0" xfId="0" applyNumberFormat="1" applyFont="1" applyAlignment="1">
      <alignment horizontal="right" vertical="top"/>
    </xf>
    <xf numFmtId="20" fontId="47" fillId="0" borderId="0" xfId="0" applyNumberFormat="1" applyFont="1" applyAlignment="1" applyProtection="1">
      <alignment horizontal="right" vertical="top"/>
      <protection locked="0"/>
    </xf>
    <xf numFmtId="20" fontId="49" fillId="0" borderId="0" xfId="0" applyNumberFormat="1" applyFont="1" applyAlignment="1">
      <alignment horizontal="right" vertical="top"/>
    </xf>
    <xf numFmtId="0" fontId="49" fillId="0" borderId="0" xfId="0" applyFont="1" applyAlignment="1" applyProtection="1">
      <alignment horizontal="right" vertical="top"/>
      <protection locked="0"/>
    </xf>
    <xf numFmtId="20" fontId="49" fillId="0" borderId="0" xfId="0" applyNumberFormat="1" applyFont="1" applyAlignment="1">
      <alignment horizontal="center" vertical="top"/>
    </xf>
    <xf numFmtId="20" fontId="49" fillId="0" borderId="0" xfId="0" applyNumberFormat="1" applyFont="1" applyAlignment="1" applyProtection="1">
      <alignment horizontal="center" vertical="top"/>
      <protection locked="0"/>
    </xf>
    <xf numFmtId="0" fontId="43" fillId="4" borderId="0" xfId="0" applyFont="1" applyFill="1" applyAlignment="1">
      <alignment horizontal="center" vertical="top"/>
    </xf>
    <xf numFmtId="0" fontId="43" fillId="4" borderId="0" xfId="0" applyFont="1" applyFill="1" applyAlignment="1" applyProtection="1">
      <alignment horizontal="center" vertical="top"/>
      <protection locked="0"/>
    </xf>
    <xf numFmtId="173" fontId="47" fillId="0" borderId="0" xfId="0" applyNumberFormat="1" applyFont="1" applyAlignment="1">
      <alignment horizontal="right" vertical="top"/>
    </xf>
    <xf numFmtId="173" fontId="47" fillId="0" borderId="0" xfId="0" applyNumberFormat="1" applyFont="1" applyAlignment="1" applyProtection="1">
      <alignment horizontal="right" vertical="top"/>
      <protection locked="0"/>
    </xf>
    <xf numFmtId="0" fontId="43" fillId="4" borderId="0" xfId="0" applyFont="1" applyFill="1" applyAlignment="1">
      <alignment horizontal="center" vertical="center" wrapText="1"/>
    </xf>
    <xf numFmtId="0" fontId="43" fillId="4" borderId="0" xfId="0" applyFont="1" applyFill="1" applyAlignment="1" applyProtection="1">
      <alignment horizontal="center" vertical="center" wrapText="1"/>
      <protection locked="0"/>
    </xf>
    <xf numFmtId="0" fontId="47" fillId="4" borderId="0" xfId="0" applyFont="1" applyFill="1" applyAlignment="1">
      <alignment horizontal="center" vertical="top"/>
    </xf>
    <xf numFmtId="0" fontId="47" fillId="4" borderId="0" xfId="0" applyFont="1" applyFill="1" applyAlignment="1" applyProtection="1">
      <alignment horizontal="center" vertical="top"/>
      <protection locked="0"/>
    </xf>
    <xf numFmtId="0" fontId="47" fillId="4" borderId="0" xfId="0" applyFont="1" applyFill="1" applyAlignment="1">
      <alignment horizontal="center"/>
    </xf>
    <xf numFmtId="0" fontId="47" fillId="4" borderId="0" xfId="0" applyFont="1" applyFill="1" applyAlignment="1" applyProtection="1">
      <alignment horizontal="center"/>
      <protection locked="0"/>
    </xf>
    <xf numFmtId="0" fontId="20" fillId="0" borderId="0" xfId="0" applyFont="1" applyAlignment="1" applyProtection="1">
      <alignment horizontal="left" vertical="center" wrapText="1"/>
      <protection locked="0"/>
    </xf>
    <xf numFmtId="0" fontId="21" fillId="0" borderId="0" xfId="0" applyFont="1" applyAlignment="1" applyProtection="1">
      <alignment horizontal="left" vertical="center" wrapText="1"/>
      <protection locked="0"/>
    </xf>
    <xf numFmtId="0" fontId="83" fillId="0" borderId="42" xfId="0" applyFont="1" applyBorder="1" applyAlignment="1">
      <alignment horizontal="left" vertical="center"/>
    </xf>
    <xf numFmtId="0" fontId="83" fillId="0" borderId="42" xfId="0" applyFont="1" applyBorder="1" applyAlignment="1">
      <alignment horizontal="left" vertical="top" wrapText="1"/>
    </xf>
    <xf numFmtId="0" fontId="85" fillId="0" borderId="43" xfId="0" applyFont="1" applyBorder="1" applyAlignment="1">
      <alignment horizontal="center" vertical="center"/>
    </xf>
    <xf numFmtId="0" fontId="86" fillId="0" borderId="0" xfId="0" applyFont="1" applyAlignment="1">
      <alignment horizontal="center" vertical="center"/>
    </xf>
    <xf numFmtId="0" fontId="87" fillId="0" borderId="0" xfId="0" applyFont="1" applyAlignment="1">
      <alignment horizontal="center" vertical="center"/>
    </xf>
    <xf numFmtId="0" fontId="16" fillId="12" borderId="0" xfId="0" applyFont="1" applyFill="1" applyAlignment="1">
      <alignment horizontal="left" vertical="center" indent="1"/>
    </xf>
    <xf numFmtId="0" fontId="26" fillId="15" borderId="0" xfId="0" applyFont="1" applyFill="1" applyAlignment="1">
      <alignment horizontal="right" vertical="center"/>
    </xf>
    <xf numFmtId="0" fontId="78" fillId="0" borderId="0" xfId="0" applyFont="1" applyAlignment="1">
      <alignment horizontal="right" vertical="center"/>
    </xf>
    <xf numFmtId="0" fontId="79" fillId="0" borderId="0" xfId="0" applyFont="1" applyAlignment="1">
      <alignment horizontal="right" vertical="center"/>
    </xf>
    <xf numFmtId="0" fontId="77" fillId="0" borderId="0" xfId="0" applyFont="1" applyAlignment="1">
      <alignment horizontal="right" vertical="center"/>
    </xf>
    <xf numFmtId="0" fontId="82" fillId="0" borderId="0" xfId="0" applyFont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9">
    <dxf>
      <font>
        <b/>
        <color rgb="FF9C6500"/>
      </font>
      <fill>
        <patternFill>
          <bgColor rgb="FFFFEB9C"/>
        </patternFill>
      </fill>
    </dxf>
    <dxf>
      <font>
        <b/>
        <color rgb="FF9C6500"/>
      </font>
      <fill>
        <patternFill>
          <bgColor rgb="FFFFEB9C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9C6500"/>
      </font>
      <fill>
        <patternFill>
          <bgColor rgb="FFFFEB9C"/>
        </patternFill>
      </fill>
    </dxf>
    <dxf>
      <font>
        <b/>
        <color rgb="FF9C6500"/>
      </font>
      <fill>
        <patternFill>
          <bgColor rgb="FFFFEB9C"/>
        </patternFill>
      </fill>
    </dxf>
    <dxf>
      <font>
        <b/>
        <color rgb="FF9C6500"/>
      </font>
      <fill>
        <patternFill>
          <bgColor rgb="FFFFEB9C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9C0006"/>
      </font>
      <fill>
        <patternFill>
          <bgColor rgb="FFFFC7CE"/>
        </patternFill>
      </fill>
    </dxf>
    <dxf>
      <fill>
        <patternFill>
          <bgColor rgb="FFFFF2CC"/>
        </patternFill>
      </fill>
    </dxf>
  </dxfs>
  <tableStyles count="0" defaultTableStyle="TableStyleMedium9" defaultPivotStyle="PivotStyleLight16"/>
  <colors>
    <mruColors>
      <color rgb="FF8C9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114300</xdr:colOff>
      <xdr:row>1</xdr:row>
      <xdr:rowOff>28575</xdr:rowOff>
    </xdr:from>
    <xdr:ext cx="1809750" cy="1114425"/>
    <xdr:pic>
      <xdr:nvPicPr>
        <xdr:cNvPr id="2" name="Logo Best Price" descr="Best Price Rent a Car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809750" cy="1114425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76200</xdr:colOff>
      <xdr:row>1</xdr:row>
      <xdr:rowOff>38100</xdr:rowOff>
    </xdr:from>
    <xdr:ext cx="1390650" cy="857250"/>
    <xdr:pic>
      <xdr:nvPicPr>
        <xdr:cNvPr id="2" name="Logo Best Price" descr="Best Price Rent a Car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390650" cy="85725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</xdr:row>
      <xdr:rowOff>19050</xdr:rowOff>
    </xdr:from>
    <xdr:ext cx="1714500" cy="1057275"/>
    <xdr:pic>
      <xdr:nvPicPr>
        <xdr:cNvPr id="2" name="Logo Best Price" descr="Best Price Rent a Car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714500" cy="1057275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8656D5-D21E-DD44-907F-24625FC09D2B}">
  <sheetPr>
    <tabColor rgb="FF025AB3"/>
  </sheetPr>
  <dimension ref="B2:J60"/>
  <sheetViews>
    <sheetView showGridLines="0" workbookViewId="0">
      <pane ySplit="13" topLeftCell="A14" activePane="bottomLeft" state="frozen"/>
      <selection pane="bottomLeft" activeCell="B15" sqref="B15"/>
    </sheetView>
  </sheetViews>
  <sheetFormatPr baseColWidth="10" defaultRowHeight="16" x14ac:dyDescent="0.2"/>
  <cols>
    <col min="1" max="1" width="3.5703125" customWidth="1"/>
    <col min="2" max="2" width="15.5703125" customWidth="1"/>
    <col min="3" max="3" width="36" customWidth="1"/>
    <col min="4" max="4" width="33.5703125" customWidth="1"/>
    <col min="5" max="5" width="31.140625" customWidth="1"/>
    <col min="6" max="6" width="28.85546875" customWidth="1"/>
    <col min="7" max="7" width="19.140625" customWidth="1"/>
    <col min="8" max="8" width="16.85546875" customWidth="1"/>
    <col min="9" max="9" width="3.5703125" customWidth="1"/>
    <col min="10" max="10" width="0" hidden="1" customWidth="1"/>
  </cols>
  <sheetData>
    <row r="2" spans="2:10" ht="28.5" customHeight="1" x14ac:dyDescent="0.2">
      <c r="B2" s="43" t="s">
        <v>115</v>
      </c>
      <c r="J2" s="42">
        <f>IF(OR($C$8="",$C$8="(sin filtro)"),FALSE,IF(AND($C$9="",$E$9=""),FALSE,TRUE))</f>
      </c>
    </row>
    <row r="3" spans="2:10" x14ac:dyDescent="0.2">
      <c r="B3" s="44" t="s">
        <v>116</v>
      </c>
      <c r="J3" s="42">
        <f>IF($C$9="",1,$C$9)</f>
      </c>
    </row>
    <row r="4" spans="2:10" x14ac:dyDescent="0.2">
      <c r="J4" s="42">
        <f>IF($E$9="",2958465,$E$9)</f>
      </c>
    </row>
    <row r="5" spans="2:10" ht="26" customHeight="1" x14ac:dyDescent="0.2">
      <c r="B5" s="45" t="s">
        <v>117</v>
      </c>
      <c r="C5" s="310"/>
      <c r="D5" s="310"/>
      <c r="E5" s="310"/>
      <c r="J5" s="42">
        <f>TRIM(MID(SUBSTITUTE($J$11," ",REPT(" ",99)),1,99))</f>
      </c>
    </row>
    <row r="6" spans="2:10" x14ac:dyDescent="0.2">
      <c r="C6" s="44" t="s">
        <v>183</v>
      </c>
      <c r="J6" s="42">
        <f>TRIM(MID(SUBSTITUTE($J$11," ",REPT(" ",99)),100,99))</f>
      </c>
    </row>
    <row r="8" spans="2:10" ht="23.5" customHeight="1" x14ac:dyDescent="0.2">
      <c r="B8" s="45" t="s">
        <v>118</v>
      </c>
      <c r="C8" s="35" t="s">
        <v>119</v>
      </c>
      <c r="J8" s="42">
        <f>TRIM(MID(SUBSTITUTE($J$11," ",REPT(" ",99)),199,99))</f>
      </c>
    </row>
    <row r="9" spans="2:10" ht="23.5" customHeight="1" x14ac:dyDescent="0.2">
      <c r="B9" s="45" t="s">
        <v>120</v>
      </c>
      <c r="C9" s="36"/>
      <c r="D9" s="45" t="s">
        <v>121</v>
      </c>
      <c r="E9" s="36"/>
      <c r="J9" s="42">
        <f>TRIM(MID(SUBSTITUTE($J$11," ",REPT(" ",99)),298,99))</f>
      </c>
    </row>
    <row r="11" spans="2:10" ht="23.5" customHeight="1" x14ac:dyDescent="0.2">
      <c r="B11" s="45" t="s">
        <v>122</v>
      </c>
      <c r="C11" s="41">
        <f>MAX(CLIENTES!$AH$3:$AH$2002)&amp;" cliente(s)"</f>
      </c>
      <c r="J11" s="42">
        <f>SUBSTITUTE(SUBSTITUTE(SUBSTITUTE(SUBSTITUTE(SUBSTITUTE(SUBSTITUTE(SUBSTITUTE(UPPER(TRIM($C$5)),"Á","A"),"É","E"),"Í","I"),"Ó","O"),"Ú","U"),"Ü","U"),"Ñ","N")</f>
      </c>
    </row>
    <row r="13" spans="2:10" ht="33.75" customHeight="1" x14ac:dyDescent="0.2">
      <c r="B13" s="46" t="s">
        <v>34</v>
      </c>
      <c r="C13" s="46" t="s">
        <v>39</v>
      </c>
      <c r="D13" s="46" t="s">
        <v>36</v>
      </c>
      <c r="E13" s="46" t="s">
        <v>123</v>
      </c>
      <c r="F13" s="46" t="s">
        <v>8</v>
      </c>
      <c r="G13" s="46" t="s">
        <v>29</v>
      </c>
      <c r="H13" s="37">
        <f>IF(OR($C$8="",$C$8="(sin filtro)"),"FECHA",$C$8)</f>
      </c>
    </row>
    <row r="14" spans="2:10" ht="19.5" customHeight="1" x14ac:dyDescent="0.2">
      <c r="B14" s="39">
        <f>IF($J14="","",INDEX(CLIENTES!$A$3:$A$3002,$J14))</f>
      </c>
      <c r="C14" s="38">
        <f>IF($J14="","",TRIM(INDEX(CLIENTES!$B$3:$B$3002,$J14)&amp;" "&amp;INDEX(CLIENTES!$C$3:$C$3002,$J14)))</f>
      </c>
      <c r="D14" s="38">
        <f>IF($J14="","",TRIM(INDEX(CLIENTES!$D$3:$D$3002,$J14)&amp;" "&amp;INDEX(CLIENTES!$E$3:$E$3002,$J14)))</f>
      </c>
      <c r="E14" s="38">
        <f>IF($J14="","",INDEX(CLIENTES!$H$3:$H$3002,$J14))</f>
      </c>
      <c r="F14" s="38">
        <f>IF($J14="","",INDEX(CLIENTES!$K$3:$K$3002,$J14))</f>
      </c>
      <c r="G14" s="38">
        <f>IF($J14="","",INDEX(CLIENTES!$R$3:$R$3002,$J14))</f>
      </c>
      <c r="H14" s="40">
        <f>IF($J14="","",IF(N(INDEX(CLIENTES!$AF$3:$AF$3002,$J14))=0,"",INDEX(CLIENTES!$AF$3:$AF$3002,$J14)))</f>
      </c>
      <c r="J14" s="42">
        <f>IFERROR(MATCH(ROW()-13,CLIENTES!$AH$3:$AH$2002,0),"")</f>
      </c>
    </row>
    <row r="15" spans="2:10" ht="19.5" customHeight="1" x14ac:dyDescent="0.2">
      <c r="B15" s="39">
        <f>IF($J15="","",INDEX(CLIENTES!$A$3:$A$3002,$J15))</f>
      </c>
      <c r="C15" s="38">
        <f>IF($J15="","",TRIM(INDEX(CLIENTES!$B$3:$B$3002,$J15)&amp;" "&amp;INDEX(CLIENTES!$C$3:$C$3002,$J15)))</f>
      </c>
      <c r="D15" s="38">
        <f>IF($J15="","",TRIM(INDEX(CLIENTES!$D$3:$D$3002,$J15)&amp;" "&amp;INDEX(CLIENTES!$E$3:$E$3002,$J15)))</f>
      </c>
      <c r="E15" s="38">
        <f>IF($J15="","",INDEX(CLIENTES!$H$3:$H$3002,$J15))</f>
      </c>
      <c r="F15" s="38">
        <f>IF($J15="","",INDEX(CLIENTES!$K$3:$K$3002,$J15))</f>
      </c>
      <c r="G15" s="38">
        <f>IF($J15="","",INDEX(CLIENTES!$R$3:$R$3002,$J15))</f>
      </c>
      <c r="H15" s="40">
        <f>IF($J15="","",IF(N(INDEX(CLIENTES!$AF$3:$AF$3002,$J15))=0,"",INDEX(CLIENTES!$AF$3:$AF$3002,$J15)))</f>
      </c>
      <c r="J15" s="42">
        <f>IFERROR(MATCH(ROW()-13,CLIENTES!$AH$3:$AH$2002,0),"")</f>
      </c>
    </row>
    <row r="16" spans="2:10" ht="19.5" customHeight="1" x14ac:dyDescent="0.2">
      <c r="B16" s="39">
        <f>IF($J16="","",INDEX(CLIENTES!$A$3:$A$3002,$J16))</f>
      </c>
      <c r="C16" s="38">
        <f>IF($J16="","",TRIM(INDEX(CLIENTES!$B$3:$B$3002,$J16)&amp;" "&amp;INDEX(CLIENTES!$C$3:$C$3002,$J16)))</f>
      </c>
      <c r="D16" s="38">
        <f>IF($J16="","",TRIM(INDEX(CLIENTES!$D$3:$D$3002,$J16)&amp;" "&amp;INDEX(CLIENTES!$E$3:$E$3002,$J16)))</f>
      </c>
      <c r="E16" s="38">
        <f>IF($J16="","",INDEX(CLIENTES!$H$3:$H$3002,$J16))</f>
      </c>
      <c r="F16" s="38">
        <f>IF($J16="","",INDEX(CLIENTES!$K$3:$K$3002,$J16))</f>
      </c>
      <c r="G16" s="38">
        <f>IF($J16="","",INDEX(CLIENTES!$R$3:$R$3002,$J16))</f>
      </c>
      <c r="H16" s="40">
        <f>IF($J16="","",IF(N(INDEX(CLIENTES!$AF$3:$AF$3002,$J16))=0,"",INDEX(CLIENTES!$AF$3:$AF$3002,$J16)))</f>
      </c>
      <c r="J16" s="42">
        <f>IFERROR(MATCH(ROW()-13,CLIENTES!$AH$3:$AH$2002,0),"")</f>
      </c>
    </row>
    <row r="17" spans="2:10" ht="19.5" customHeight="1" x14ac:dyDescent="0.2">
      <c r="B17" s="39">
        <f>IF($J17="","",INDEX(CLIENTES!$A$3:$A$3002,$J17))</f>
      </c>
      <c r="C17" s="38">
        <f>IF($J17="","",TRIM(INDEX(CLIENTES!$B$3:$B$3002,$J17)&amp;" "&amp;INDEX(CLIENTES!$C$3:$C$3002,$J17)))</f>
      </c>
      <c r="D17" s="38">
        <f>IF($J17="","",TRIM(INDEX(CLIENTES!$D$3:$D$3002,$J17)&amp;" "&amp;INDEX(CLIENTES!$E$3:$E$3002,$J17)))</f>
      </c>
      <c r="E17" s="38">
        <f>IF($J17="","",INDEX(CLIENTES!$H$3:$H$3002,$J17))</f>
      </c>
      <c r="F17" s="38">
        <f>IF($J17="","",INDEX(CLIENTES!$K$3:$K$3002,$J17))</f>
      </c>
      <c r="G17" s="38">
        <f>IF($J17="","",INDEX(CLIENTES!$R$3:$R$3002,$J17))</f>
      </c>
      <c r="H17" s="40">
        <f>IF($J17="","",IF(N(INDEX(CLIENTES!$AF$3:$AF$3002,$J17))=0,"",INDEX(CLIENTES!$AF$3:$AF$3002,$J17)))</f>
      </c>
      <c r="J17" s="42">
        <f>IFERROR(MATCH(ROW()-13,CLIENTES!$AH$3:$AH$2002,0),"")</f>
      </c>
    </row>
    <row r="18" spans="2:10" ht="19.5" customHeight="1" x14ac:dyDescent="0.2">
      <c r="B18" s="39">
        <f>IF($J18="","",INDEX(CLIENTES!$A$3:$A$3002,$J18))</f>
      </c>
      <c r="C18" s="38">
        <f>IF($J18="","",TRIM(INDEX(CLIENTES!$B$3:$B$3002,$J18)&amp;" "&amp;INDEX(CLIENTES!$C$3:$C$3002,$J18)))</f>
      </c>
      <c r="D18" s="38">
        <f>IF($J18="","",TRIM(INDEX(CLIENTES!$D$3:$D$3002,$J18)&amp;" "&amp;INDEX(CLIENTES!$E$3:$E$3002,$J18)))</f>
      </c>
      <c r="E18" s="38">
        <f>IF($J18="","",INDEX(CLIENTES!$H$3:$H$3002,$J18))</f>
      </c>
      <c r="F18" s="38">
        <f>IF($J18="","",INDEX(CLIENTES!$K$3:$K$3002,$J18))</f>
      </c>
      <c r="G18" s="38">
        <f>IF($J18="","",INDEX(CLIENTES!$R$3:$R$3002,$J18))</f>
      </c>
      <c r="H18" s="40">
        <f>IF($J18="","",IF(N(INDEX(CLIENTES!$AF$3:$AF$3002,$J18))=0,"",INDEX(CLIENTES!$AF$3:$AF$3002,$J18)))</f>
      </c>
      <c r="J18" s="42">
        <f>IFERROR(MATCH(ROW()-13,CLIENTES!$AH$3:$AH$2002,0),"")</f>
      </c>
    </row>
    <row r="19" spans="2:10" ht="19.5" customHeight="1" x14ac:dyDescent="0.2">
      <c r="B19" s="39">
        <f>IF($J19="","",INDEX(CLIENTES!$A$3:$A$3002,$J19))</f>
      </c>
      <c r="C19" s="38">
        <f>IF($J19="","",TRIM(INDEX(CLIENTES!$B$3:$B$3002,$J19)&amp;" "&amp;INDEX(CLIENTES!$C$3:$C$3002,$J19)))</f>
      </c>
      <c r="D19" s="38">
        <f>IF($J19="","",TRIM(INDEX(CLIENTES!$D$3:$D$3002,$J19)&amp;" "&amp;INDEX(CLIENTES!$E$3:$E$3002,$J19)))</f>
      </c>
      <c r="E19" s="38">
        <f>IF($J19="","",INDEX(CLIENTES!$H$3:$H$3002,$J19))</f>
      </c>
      <c r="F19" s="38">
        <f>IF($J19="","",INDEX(CLIENTES!$K$3:$K$3002,$J19))</f>
      </c>
      <c r="G19" s="38">
        <f>IF($J19="","",INDEX(CLIENTES!$R$3:$R$3002,$J19))</f>
      </c>
      <c r="H19" s="40">
        <f>IF($J19="","",IF(N(INDEX(CLIENTES!$AF$3:$AF$3002,$J19))=0,"",INDEX(CLIENTES!$AF$3:$AF$3002,$J19)))</f>
      </c>
      <c r="J19" s="42">
        <f>IFERROR(MATCH(ROW()-13,CLIENTES!$AH$3:$AH$2002,0),"")</f>
      </c>
    </row>
    <row r="20" spans="2:10" ht="19.5" customHeight="1" x14ac:dyDescent="0.2">
      <c r="B20" s="39">
        <f>IF($J20="","",INDEX(CLIENTES!$A$3:$A$3002,$J20))</f>
      </c>
      <c r="C20" s="38">
        <f>IF($J20="","",TRIM(INDEX(CLIENTES!$B$3:$B$3002,$J20)&amp;" "&amp;INDEX(CLIENTES!$C$3:$C$3002,$J20)))</f>
      </c>
      <c r="D20" s="38">
        <f>IF($J20="","",TRIM(INDEX(CLIENTES!$D$3:$D$3002,$J20)&amp;" "&amp;INDEX(CLIENTES!$E$3:$E$3002,$J20)))</f>
      </c>
      <c r="E20" s="38">
        <f>IF($J20="","",INDEX(CLIENTES!$H$3:$H$3002,$J20))</f>
      </c>
      <c r="F20" s="38">
        <f>IF($J20="","",INDEX(CLIENTES!$K$3:$K$3002,$J20))</f>
      </c>
      <c r="G20" s="38">
        <f>IF($J20="","",INDEX(CLIENTES!$R$3:$R$3002,$J20))</f>
      </c>
      <c r="H20" s="40">
        <f>IF($J20="","",IF(N(INDEX(CLIENTES!$AF$3:$AF$3002,$J20))=0,"",INDEX(CLIENTES!$AF$3:$AF$3002,$J20)))</f>
      </c>
      <c r="J20" s="42">
        <f>IFERROR(MATCH(ROW()-13,CLIENTES!$AH$3:$AH$2002,0),"")</f>
      </c>
    </row>
    <row r="21" spans="2:10" ht="19.5" customHeight="1" x14ac:dyDescent="0.2">
      <c r="B21" s="39">
        <f>IF($J21="","",INDEX(CLIENTES!$A$3:$A$3002,$J21))</f>
      </c>
      <c r="C21" s="38">
        <f>IF($J21="","",TRIM(INDEX(CLIENTES!$B$3:$B$3002,$J21)&amp;" "&amp;INDEX(CLIENTES!$C$3:$C$3002,$J21)))</f>
      </c>
      <c r="D21" s="38">
        <f>IF($J21="","",TRIM(INDEX(CLIENTES!$D$3:$D$3002,$J21)&amp;" "&amp;INDEX(CLIENTES!$E$3:$E$3002,$J21)))</f>
      </c>
      <c r="E21" s="38">
        <f>IF($J21="","",INDEX(CLIENTES!$H$3:$H$3002,$J21))</f>
      </c>
      <c r="F21" s="38">
        <f>IF($J21="","",INDEX(CLIENTES!$K$3:$K$3002,$J21))</f>
      </c>
      <c r="G21" s="38">
        <f>IF($J21="","",INDEX(CLIENTES!$R$3:$R$3002,$J21))</f>
      </c>
      <c r="H21" s="40">
        <f>IF($J21="","",IF(N(INDEX(CLIENTES!$AF$3:$AF$3002,$J21))=0,"",INDEX(CLIENTES!$AF$3:$AF$3002,$J21)))</f>
      </c>
      <c r="J21" s="42">
        <f>IFERROR(MATCH(ROW()-13,CLIENTES!$AH$3:$AH$2002,0),"")</f>
      </c>
    </row>
    <row r="22" spans="2:10" ht="19.5" customHeight="1" x14ac:dyDescent="0.2">
      <c r="B22" s="39">
        <f>IF($J22="","",INDEX(CLIENTES!$A$3:$A$3002,$J22))</f>
      </c>
      <c r="C22" s="38">
        <f>IF($J22="","",TRIM(INDEX(CLIENTES!$B$3:$B$3002,$J22)&amp;" "&amp;INDEX(CLIENTES!$C$3:$C$3002,$J22)))</f>
      </c>
      <c r="D22" s="38">
        <f>IF($J22="","",TRIM(INDEX(CLIENTES!$D$3:$D$3002,$J22)&amp;" "&amp;INDEX(CLIENTES!$E$3:$E$3002,$J22)))</f>
      </c>
      <c r="E22" s="38">
        <f>IF($J22="","",INDEX(CLIENTES!$H$3:$H$3002,$J22))</f>
      </c>
      <c r="F22" s="38">
        <f>IF($J22="","",INDEX(CLIENTES!$K$3:$K$3002,$J22))</f>
      </c>
      <c r="G22" s="38">
        <f>IF($J22="","",INDEX(CLIENTES!$R$3:$R$3002,$J22))</f>
      </c>
      <c r="H22" s="40">
        <f>IF($J22="","",IF(N(INDEX(CLIENTES!$AF$3:$AF$3002,$J22))=0,"",INDEX(CLIENTES!$AF$3:$AF$3002,$J22)))</f>
      </c>
      <c r="J22" s="42">
        <f>IFERROR(MATCH(ROW()-13,CLIENTES!$AH$3:$AH$2002,0),"")</f>
      </c>
    </row>
    <row r="23" spans="2:10" ht="19.5" customHeight="1" x14ac:dyDescent="0.2">
      <c r="B23" s="39">
        <f>IF($J23="","",INDEX(CLIENTES!$A$3:$A$3002,$J23))</f>
      </c>
      <c r="C23" s="38">
        <f>IF($J23="","",TRIM(INDEX(CLIENTES!$B$3:$B$3002,$J23)&amp;" "&amp;INDEX(CLIENTES!$C$3:$C$3002,$J23)))</f>
      </c>
      <c r="D23" s="38">
        <f>IF($J23="","",TRIM(INDEX(CLIENTES!$D$3:$D$3002,$J23)&amp;" "&amp;INDEX(CLIENTES!$E$3:$E$3002,$J23)))</f>
      </c>
      <c r="E23" s="38">
        <f>IF($J23="","",INDEX(CLIENTES!$H$3:$H$3002,$J23))</f>
      </c>
      <c r="F23" s="38">
        <f>IF($J23="","",INDEX(CLIENTES!$K$3:$K$3002,$J23))</f>
      </c>
      <c r="G23" s="38">
        <f>IF($J23="","",INDEX(CLIENTES!$R$3:$R$3002,$J23))</f>
      </c>
      <c r="H23" s="40">
        <f>IF($J23="","",IF(N(INDEX(CLIENTES!$AF$3:$AF$3002,$J23))=0,"",INDEX(CLIENTES!$AF$3:$AF$3002,$J23)))</f>
      </c>
      <c r="J23" s="42">
        <f>IFERROR(MATCH(ROW()-13,CLIENTES!$AH$3:$AH$2002,0),"")</f>
      </c>
    </row>
    <row r="24" spans="2:10" ht="19.5" customHeight="1" x14ac:dyDescent="0.2">
      <c r="B24" s="39">
        <f>IF($J24="","",INDEX(CLIENTES!$A$3:$A$3002,$J24))</f>
      </c>
      <c r="C24" s="38">
        <f>IF($J24="","",TRIM(INDEX(CLIENTES!$B$3:$B$3002,$J24)&amp;" "&amp;INDEX(CLIENTES!$C$3:$C$3002,$J24)))</f>
      </c>
      <c r="D24" s="38">
        <f>IF($J24="","",TRIM(INDEX(CLIENTES!$D$3:$D$3002,$J24)&amp;" "&amp;INDEX(CLIENTES!$E$3:$E$3002,$J24)))</f>
      </c>
      <c r="E24" s="38">
        <f>IF($J24="","",INDEX(CLIENTES!$H$3:$H$3002,$J24))</f>
      </c>
      <c r="F24" s="38">
        <f>IF($J24="","",INDEX(CLIENTES!$K$3:$K$3002,$J24))</f>
      </c>
      <c r="G24" s="38">
        <f>IF($J24="","",INDEX(CLIENTES!$R$3:$R$3002,$J24))</f>
      </c>
      <c r="H24" s="40">
        <f>IF($J24="","",IF(N(INDEX(CLIENTES!$AF$3:$AF$3002,$J24))=0,"",INDEX(CLIENTES!$AF$3:$AF$3002,$J24)))</f>
      </c>
      <c r="J24" s="42">
        <f>IFERROR(MATCH(ROW()-13,CLIENTES!$AH$3:$AH$2002,0),"")</f>
      </c>
    </row>
    <row r="25" spans="2:10" ht="19.5" customHeight="1" x14ac:dyDescent="0.2">
      <c r="B25" s="39">
        <f>IF($J25="","",INDEX(CLIENTES!$A$3:$A$3002,$J25))</f>
      </c>
      <c r="C25" s="38">
        <f>IF($J25="","",TRIM(INDEX(CLIENTES!$B$3:$B$3002,$J25)&amp;" "&amp;INDEX(CLIENTES!$C$3:$C$3002,$J25)))</f>
      </c>
      <c r="D25" s="38">
        <f>IF($J25="","",TRIM(INDEX(CLIENTES!$D$3:$D$3002,$J25)&amp;" "&amp;INDEX(CLIENTES!$E$3:$E$3002,$J25)))</f>
      </c>
      <c r="E25" s="38">
        <f>IF($J25="","",INDEX(CLIENTES!$H$3:$H$3002,$J25))</f>
      </c>
      <c r="F25" s="38">
        <f>IF($J25="","",INDEX(CLIENTES!$K$3:$K$3002,$J25))</f>
      </c>
      <c r="G25" s="38">
        <f>IF($J25="","",INDEX(CLIENTES!$R$3:$R$3002,$J25))</f>
      </c>
      <c r="H25" s="40">
        <f>IF($J25="","",IF(N(INDEX(CLIENTES!$AF$3:$AF$3002,$J25))=0,"",INDEX(CLIENTES!$AF$3:$AF$3002,$J25)))</f>
      </c>
      <c r="J25" s="42">
        <f>IFERROR(MATCH(ROW()-13,CLIENTES!$AH$3:$AH$2002,0),"")</f>
      </c>
    </row>
    <row r="26" spans="2:10" ht="19.5" customHeight="1" x14ac:dyDescent="0.2">
      <c r="B26" s="39">
        <f>IF($J26="","",INDEX(CLIENTES!$A$3:$A$3002,$J26))</f>
      </c>
      <c r="C26" s="38">
        <f>IF($J26="","",TRIM(INDEX(CLIENTES!$B$3:$B$3002,$J26)&amp;" "&amp;INDEX(CLIENTES!$C$3:$C$3002,$J26)))</f>
      </c>
      <c r="D26" s="38">
        <f>IF($J26="","",TRIM(INDEX(CLIENTES!$D$3:$D$3002,$J26)&amp;" "&amp;INDEX(CLIENTES!$E$3:$E$3002,$J26)))</f>
      </c>
      <c r="E26" s="38">
        <f>IF($J26="","",INDEX(CLIENTES!$H$3:$H$3002,$J26))</f>
      </c>
      <c r="F26" s="38">
        <f>IF($J26="","",INDEX(CLIENTES!$K$3:$K$3002,$J26))</f>
      </c>
      <c r="G26" s="38">
        <f>IF($J26="","",INDEX(CLIENTES!$R$3:$R$3002,$J26))</f>
      </c>
      <c r="H26" s="40">
        <f>IF($J26="","",IF(N(INDEX(CLIENTES!$AF$3:$AF$3002,$J26))=0,"",INDEX(CLIENTES!$AF$3:$AF$3002,$J26)))</f>
      </c>
      <c r="J26" s="42">
        <f>IFERROR(MATCH(ROW()-13,CLIENTES!$AH$3:$AH$2002,0),"")</f>
      </c>
    </row>
    <row r="27" spans="2:10" ht="19.5" customHeight="1" x14ac:dyDescent="0.2">
      <c r="B27" s="39">
        <f>IF($J27="","",INDEX(CLIENTES!$A$3:$A$3002,$J27))</f>
      </c>
      <c r="C27" s="38">
        <f>IF($J27="","",TRIM(INDEX(CLIENTES!$B$3:$B$3002,$J27)&amp;" "&amp;INDEX(CLIENTES!$C$3:$C$3002,$J27)))</f>
      </c>
      <c r="D27" s="38">
        <f>IF($J27="","",TRIM(INDEX(CLIENTES!$D$3:$D$3002,$J27)&amp;" "&amp;INDEX(CLIENTES!$E$3:$E$3002,$J27)))</f>
      </c>
      <c r="E27" s="38">
        <f>IF($J27="","",INDEX(CLIENTES!$H$3:$H$3002,$J27))</f>
      </c>
      <c r="F27" s="38">
        <f>IF($J27="","",INDEX(CLIENTES!$K$3:$K$3002,$J27))</f>
      </c>
      <c r="G27" s="38">
        <f>IF($J27="","",INDEX(CLIENTES!$R$3:$R$3002,$J27))</f>
      </c>
      <c r="H27" s="40">
        <f>IF($J27="","",IF(N(INDEX(CLIENTES!$AF$3:$AF$3002,$J27))=0,"",INDEX(CLIENTES!$AF$3:$AF$3002,$J27)))</f>
      </c>
      <c r="J27" s="42">
        <f>IFERROR(MATCH(ROW()-13,CLIENTES!$AH$3:$AH$2002,0),"")</f>
      </c>
    </row>
    <row r="28" spans="2:10" ht="19.5" customHeight="1" x14ac:dyDescent="0.2">
      <c r="B28" s="39">
        <f>IF($J28="","",INDEX(CLIENTES!$A$3:$A$3002,$J28))</f>
      </c>
      <c r="C28" s="38">
        <f>IF($J28="","",TRIM(INDEX(CLIENTES!$B$3:$B$3002,$J28)&amp;" "&amp;INDEX(CLIENTES!$C$3:$C$3002,$J28)))</f>
      </c>
      <c r="D28" s="38">
        <f>IF($J28="","",TRIM(INDEX(CLIENTES!$D$3:$D$3002,$J28)&amp;" "&amp;INDEX(CLIENTES!$E$3:$E$3002,$J28)))</f>
      </c>
      <c r="E28" s="38">
        <f>IF($J28="","",INDEX(CLIENTES!$H$3:$H$3002,$J28))</f>
      </c>
      <c r="F28" s="38">
        <f>IF($J28="","",INDEX(CLIENTES!$K$3:$K$3002,$J28))</f>
      </c>
      <c r="G28" s="38">
        <f>IF($J28="","",INDEX(CLIENTES!$R$3:$R$3002,$J28))</f>
      </c>
      <c r="H28" s="40">
        <f>IF($J28="","",IF(N(INDEX(CLIENTES!$AF$3:$AF$3002,$J28))=0,"",INDEX(CLIENTES!$AF$3:$AF$3002,$J28)))</f>
      </c>
      <c r="J28" s="42">
        <f>IFERROR(MATCH(ROW()-13,CLIENTES!$AH$3:$AH$2002,0),"")</f>
      </c>
    </row>
    <row r="29" spans="2:10" ht="19.5" customHeight="1" x14ac:dyDescent="0.2">
      <c r="B29" s="39">
        <f>IF($J29="","",INDEX(CLIENTES!$A$3:$A$3002,$J29))</f>
      </c>
      <c r="C29" s="38">
        <f>IF($J29="","",TRIM(INDEX(CLIENTES!$B$3:$B$3002,$J29)&amp;" "&amp;INDEX(CLIENTES!$C$3:$C$3002,$J29)))</f>
      </c>
      <c r="D29" s="38">
        <f>IF($J29="","",TRIM(INDEX(CLIENTES!$D$3:$D$3002,$J29)&amp;" "&amp;INDEX(CLIENTES!$E$3:$E$3002,$J29)))</f>
      </c>
      <c r="E29" s="38">
        <f>IF($J29="","",INDEX(CLIENTES!$H$3:$H$3002,$J29))</f>
      </c>
      <c r="F29" s="38">
        <f>IF($J29="","",INDEX(CLIENTES!$K$3:$K$3002,$J29))</f>
      </c>
      <c r="G29" s="38">
        <f>IF($J29="","",INDEX(CLIENTES!$R$3:$R$3002,$J29))</f>
      </c>
      <c r="H29" s="40">
        <f>IF($J29="","",IF(N(INDEX(CLIENTES!$AF$3:$AF$3002,$J29))=0,"",INDEX(CLIENTES!$AF$3:$AF$3002,$J29)))</f>
      </c>
      <c r="J29" s="42">
        <f>IFERROR(MATCH(ROW()-13,CLIENTES!$AH$3:$AH$2002,0),"")</f>
      </c>
    </row>
    <row r="30" spans="2:10" ht="19.5" customHeight="1" x14ac:dyDescent="0.2">
      <c r="B30" s="39">
        <f>IF($J30="","",INDEX(CLIENTES!$A$3:$A$3002,$J30))</f>
      </c>
      <c r="C30" s="38">
        <f>IF($J30="","",TRIM(INDEX(CLIENTES!$B$3:$B$3002,$J30)&amp;" "&amp;INDEX(CLIENTES!$C$3:$C$3002,$J30)))</f>
      </c>
      <c r="D30" s="38">
        <f>IF($J30="","",TRIM(INDEX(CLIENTES!$D$3:$D$3002,$J30)&amp;" "&amp;INDEX(CLIENTES!$E$3:$E$3002,$J30)))</f>
      </c>
      <c r="E30" s="38">
        <f>IF($J30="","",INDEX(CLIENTES!$H$3:$H$3002,$J30))</f>
      </c>
      <c r="F30" s="38">
        <f>IF($J30="","",INDEX(CLIENTES!$K$3:$K$3002,$J30))</f>
      </c>
      <c r="G30" s="38">
        <f>IF($J30="","",INDEX(CLIENTES!$R$3:$R$3002,$J30))</f>
      </c>
      <c r="H30" s="40">
        <f>IF($J30="","",IF(N(INDEX(CLIENTES!$AF$3:$AF$3002,$J30))=0,"",INDEX(CLIENTES!$AF$3:$AF$3002,$J30)))</f>
      </c>
      <c r="J30" s="42">
        <f>IFERROR(MATCH(ROW()-13,CLIENTES!$AH$3:$AH$2002,0),"")</f>
      </c>
    </row>
    <row r="31" spans="2:10" ht="19.5" customHeight="1" x14ac:dyDescent="0.2">
      <c r="B31" s="39">
        <f>IF($J31="","",INDEX(CLIENTES!$A$3:$A$3002,$J31))</f>
      </c>
      <c r="C31" s="38">
        <f>IF($J31="","",TRIM(INDEX(CLIENTES!$B$3:$B$3002,$J31)&amp;" "&amp;INDEX(CLIENTES!$C$3:$C$3002,$J31)))</f>
      </c>
      <c r="D31" s="38">
        <f>IF($J31="","",TRIM(INDEX(CLIENTES!$D$3:$D$3002,$J31)&amp;" "&amp;INDEX(CLIENTES!$E$3:$E$3002,$J31)))</f>
      </c>
      <c r="E31" s="38">
        <f>IF($J31="","",INDEX(CLIENTES!$H$3:$H$3002,$J31))</f>
      </c>
      <c r="F31" s="38">
        <f>IF($J31="","",INDEX(CLIENTES!$K$3:$K$3002,$J31))</f>
      </c>
      <c r="G31" s="38">
        <f>IF($J31="","",INDEX(CLIENTES!$R$3:$R$3002,$J31))</f>
      </c>
      <c r="H31" s="40">
        <f>IF($J31="","",IF(N(INDEX(CLIENTES!$AF$3:$AF$3002,$J31))=0,"",INDEX(CLIENTES!$AF$3:$AF$3002,$J31)))</f>
      </c>
      <c r="J31" s="42">
        <f>IFERROR(MATCH(ROW()-13,CLIENTES!$AH$3:$AH$2002,0),"")</f>
      </c>
    </row>
    <row r="32" spans="2:10" ht="19.5" customHeight="1" x14ac:dyDescent="0.2">
      <c r="B32" s="39">
        <f>IF($J32="","",INDEX(CLIENTES!$A$3:$A$3002,$J32))</f>
      </c>
      <c r="C32" s="38">
        <f>IF($J32="","",TRIM(INDEX(CLIENTES!$B$3:$B$3002,$J32)&amp;" "&amp;INDEX(CLIENTES!$C$3:$C$3002,$J32)))</f>
      </c>
      <c r="D32" s="38">
        <f>IF($J32="","",TRIM(INDEX(CLIENTES!$D$3:$D$3002,$J32)&amp;" "&amp;INDEX(CLIENTES!$E$3:$E$3002,$J32)))</f>
      </c>
      <c r="E32" s="38">
        <f>IF($J32="","",INDEX(CLIENTES!$H$3:$H$3002,$J32))</f>
      </c>
      <c r="F32" s="38">
        <f>IF($J32="","",INDEX(CLIENTES!$K$3:$K$3002,$J32))</f>
      </c>
      <c r="G32" s="38">
        <f>IF($J32="","",INDEX(CLIENTES!$R$3:$R$3002,$J32))</f>
      </c>
      <c r="H32" s="40">
        <f>IF($J32="","",IF(N(INDEX(CLIENTES!$AF$3:$AF$3002,$J32))=0,"",INDEX(CLIENTES!$AF$3:$AF$3002,$J32)))</f>
      </c>
      <c r="J32" s="42">
        <f>IFERROR(MATCH(ROW()-13,CLIENTES!$AH$3:$AH$2002,0),"")</f>
      </c>
    </row>
    <row r="33" spans="2:10" ht="19.5" customHeight="1" x14ac:dyDescent="0.2">
      <c r="B33" s="39">
        <f>IF($J33="","",INDEX(CLIENTES!$A$3:$A$3002,$J33))</f>
      </c>
      <c r="C33" s="38">
        <f>IF($J33="","",TRIM(INDEX(CLIENTES!$B$3:$B$3002,$J33)&amp;" "&amp;INDEX(CLIENTES!$C$3:$C$3002,$J33)))</f>
      </c>
      <c r="D33" s="38">
        <f>IF($J33="","",TRIM(INDEX(CLIENTES!$D$3:$D$3002,$J33)&amp;" "&amp;INDEX(CLIENTES!$E$3:$E$3002,$J33)))</f>
      </c>
      <c r="E33" s="38">
        <f>IF($J33="","",INDEX(CLIENTES!$H$3:$H$3002,$J33))</f>
      </c>
      <c r="F33" s="38">
        <f>IF($J33="","",INDEX(CLIENTES!$K$3:$K$3002,$J33))</f>
      </c>
      <c r="G33" s="38">
        <f>IF($J33="","",INDEX(CLIENTES!$R$3:$R$3002,$J33))</f>
      </c>
      <c r="H33" s="40">
        <f>IF($J33="","",IF(N(INDEX(CLIENTES!$AF$3:$AF$3002,$J33))=0,"",INDEX(CLIENTES!$AF$3:$AF$3002,$J33)))</f>
      </c>
      <c r="J33" s="42">
        <f>IFERROR(MATCH(ROW()-13,CLIENTES!$AH$3:$AH$2002,0),"")</f>
      </c>
    </row>
    <row r="34" spans="2:10" ht="19.5" customHeight="1" x14ac:dyDescent="0.2">
      <c r="B34" s="39">
        <f>IF($J34="","",INDEX(CLIENTES!$A$3:$A$3002,$J34))</f>
      </c>
      <c r="C34" s="38">
        <f>IF($J34="","",TRIM(INDEX(CLIENTES!$B$3:$B$3002,$J34)&amp;" "&amp;INDEX(CLIENTES!$C$3:$C$3002,$J34)))</f>
      </c>
      <c r="D34" s="38">
        <f>IF($J34="","",TRIM(INDEX(CLIENTES!$D$3:$D$3002,$J34)&amp;" "&amp;INDEX(CLIENTES!$E$3:$E$3002,$J34)))</f>
      </c>
      <c r="E34" s="38">
        <f>IF($J34="","",INDEX(CLIENTES!$H$3:$H$3002,$J34))</f>
      </c>
      <c r="F34" s="38">
        <f>IF($J34="","",INDEX(CLIENTES!$K$3:$K$3002,$J34))</f>
      </c>
      <c r="G34" s="38">
        <f>IF($J34="","",INDEX(CLIENTES!$R$3:$R$3002,$J34))</f>
      </c>
      <c r="H34" s="40">
        <f>IF($J34="","",IF(N(INDEX(CLIENTES!$AF$3:$AF$3002,$J34))=0,"",INDEX(CLIENTES!$AF$3:$AF$3002,$J34)))</f>
      </c>
      <c r="J34" s="42">
        <f>IFERROR(MATCH(ROW()-13,CLIENTES!$AH$3:$AH$2002,0),"")</f>
      </c>
    </row>
    <row r="35" spans="2:10" ht="19.5" customHeight="1" x14ac:dyDescent="0.2">
      <c r="B35" s="39">
        <f>IF($J35="","",INDEX(CLIENTES!$A$3:$A$3002,$J35))</f>
      </c>
      <c r="C35" s="38">
        <f>IF($J35="","",TRIM(INDEX(CLIENTES!$B$3:$B$3002,$J35)&amp;" "&amp;INDEX(CLIENTES!$C$3:$C$3002,$J35)))</f>
      </c>
      <c r="D35" s="38">
        <f>IF($J35="","",TRIM(INDEX(CLIENTES!$D$3:$D$3002,$J35)&amp;" "&amp;INDEX(CLIENTES!$E$3:$E$3002,$J35)))</f>
      </c>
      <c r="E35" s="38">
        <f>IF($J35="","",INDEX(CLIENTES!$H$3:$H$3002,$J35))</f>
      </c>
      <c r="F35" s="38">
        <f>IF($J35="","",INDEX(CLIENTES!$K$3:$K$3002,$J35))</f>
      </c>
      <c r="G35" s="38">
        <f>IF($J35="","",INDEX(CLIENTES!$R$3:$R$3002,$J35))</f>
      </c>
      <c r="H35" s="40">
        <f>IF($J35="","",IF(N(INDEX(CLIENTES!$AF$3:$AF$3002,$J35))=0,"",INDEX(CLIENTES!$AF$3:$AF$3002,$J35)))</f>
      </c>
      <c r="J35" s="42">
        <f>IFERROR(MATCH(ROW()-13,CLIENTES!$AH$3:$AH$2002,0),"")</f>
      </c>
    </row>
    <row r="36" spans="2:10" ht="19.5" customHeight="1" x14ac:dyDescent="0.2">
      <c r="B36" s="39">
        <f>IF($J36="","",INDEX(CLIENTES!$A$3:$A$3002,$J36))</f>
      </c>
      <c r="C36" s="38">
        <f>IF($J36="","",TRIM(INDEX(CLIENTES!$B$3:$B$3002,$J36)&amp;" "&amp;INDEX(CLIENTES!$C$3:$C$3002,$J36)))</f>
      </c>
      <c r="D36" s="38">
        <f>IF($J36="","",TRIM(INDEX(CLIENTES!$D$3:$D$3002,$J36)&amp;" "&amp;INDEX(CLIENTES!$E$3:$E$3002,$J36)))</f>
      </c>
      <c r="E36" s="38">
        <f>IF($J36="","",INDEX(CLIENTES!$H$3:$H$3002,$J36))</f>
      </c>
      <c r="F36" s="38">
        <f>IF($J36="","",INDEX(CLIENTES!$K$3:$K$3002,$J36))</f>
      </c>
      <c r="G36" s="38">
        <f>IF($J36="","",INDEX(CLIENTES!$R$3:$R$3002,$J36))</f>
      </c>
      <c r="H36" s="40">
        <f>IF($J36="","",IF(N(INDEX(CLIENTES!$AF$3:$AF$3002,$J36))=0,"",INDEX(CLIENTES!$AF$3:$AF$3002,$J36)))</f>
      </c>
      <c r="J36" s="42">
        <f>IFERROR(MATCH(ROW()-13,CLIENTES!$AH$3:$AH$2002,0),"")</f>
      </c>
    </row>
    <row r="37" spans="2:10" ht="19.5" customHeight="1" x14ac:dyDescent="0.2">
      <c r="B37" s="39">
        <f>IF($J37="","",INDEX(CLIENTES!$A$3:$A$3002,$J37))</f>
      </c>
      <c r="C37" s="38">
        <f>IF($J37="","",TRIM(INDEX(CLIENTES!$B$3:$B$3002,$J37)&amp;" "&amp;INDEX(CLIENTES!$C$3:$C$3002,$J37)))</f>
      </c>
      <c r="D37" s="38">
        <f>IF($J37="","",TRIM(INDEX(CLIENTES!$D$3:$D$3002,$J37)&amp;" "&amp;INDEX(CLIENTES!$E$3:$E$3002,$J37)))</f>
      </c>
      <c r="E37" s="38">
        <f>IF($J37="","",INDEX(CLIENTES!$H$3:$H$3002,$J37))</f>
      </c>
      <c r="F37" s="38">
        <f>IF($J37="","",INDEX(CLIENTES!$K$3:$K$3002,$J37))</f>
      </c>
      <c r="G37" s="38">
        <f>IF($J37="","",INDEX(CLIENTES!$R$3:$R$3002,$J37))</f>
      </c>
      <c r="H37" s="40">
        <f>IF($J37="","",IF(N(INDEX(CLIENTES!$AF$3:$AF$3002,$J37))=0,"",INDEX(CLIENTES!$AF$3:$AF$3002,$J37)))</f>
      </c>
      <c r="J37" s="42">
        <f>IFERROR(MATCH(ROW()-13,CLIENTES!$AH$3:$AH$2002,0),"")</f>
      </c>
    </row>
    <row r="38" spans="2:10" ht="19.5" customHeight="1" x14ac:dyDescent="0.2">
      <c r="B38" s="39">
        <f>IF($J38="","",INDEX(CLIENTES!$A$3:$A$3002,$J38))</f>
      </c>
      <c r="C38" s="38">
        <f>IF($J38="","",TRIM(INDEX(CLIENTES!$B$3:$B$3002,$J38)&amp;" "&amp;INDEX(CLIENTES!$C$3:$C$3002,$J38)))</f>
      </c>
      <c r="D38" s="38">
        <f>IF($J38="","",TRIM(INDEX(CLIENTES!$D$3:$D$3002,$J38)&amp;" "&amp;INDEX(CLIENTES!$E$3:$E$3002,$J38)))</f>
      </c>
      <c r="E38" s="38">
        <f>IF($J38="","",INDEX(CLIENTES!$H$3:$H$3002,$J38))</f>
      </c>
      <c r="F38" s="38">
        <f>IF($J38="","",INDEX(CLIENTES!$K$3:$K$3002,$J38))</f>
      </c>
      <c r="G38" s="38">
        <f>IF($J38="","",INDEX(CLIENTES!$R$3:$R$3002,$J38))</f>
      </c>
      <c r="H38" s="40">
        <f>IF($J38="","",IF(N(INDEX(CLIENTES!$AF$3:$AF$3002,$J38))=0,"",INDEX(CLIENTES!$AF$3:$AF$3002,$J38)))</f>
      </c>
      <c r="J38" s="42">
        <f>IFERROR(MATCH(ROW()-13,CLIENTES!$AH$3:$AH$2002,0),"")</f>
      </c>
    </row>
    <row r="39" spans="2:10" ht="19.5" customHeight="1" x14ac:dyDescent="0.2">
      <c r="B39" s="39">
        <f>IF($J39="","",INDEX(CLIENTES!$A$3:$A$3002,$J39))</f>
      </c>
      <c r="C39" s="38">
        <f>IF($J39="","",TRIM(INDEX(CLIENTES!$B$3:$B$3002,$J39)&amp;" "&amp;INDEX(CLIENTES!$C$3:$C$3002,$J39)))</f>
      </c>
      <c r="D39" s="38">
        <f>IF($J39="","",TRIM(INDEX(CLIENTES!$D$3:$D$3002,$J39)&amp;" "&amp;INDEX(CLIENTES!$E$3:$E$3002,$J39)))</f>
      </c>
      <c r="E39" s="38">
        <f>IF($J39="","",INDEX(CLIENTES!$H$3:$H$3002,$J39))</f>
      </c>
      <c r="F39" s="38">
        <f>IF($J39="","",INDEX(CLIENTES!$K$3:$K$3002,$J39))</f>
      </c>
      <c r="G39" s="38">
        <f>IF($J39="","",INDEX(CLIENTES!$R$3:$R$3002,$J39))</f>
      </c>
      <c r="H39" s="40">
        <f>IF($J39="","",IF(N(INDEX(CLIENTES!$AF$3:$AF$3002,$J39))=0,"",INDEX(CLIENTES!$AF$3:$AF$3002,$J39)))</f>
      </c>
      <c r="J39" s="42">
        <f>IFERROR(MATCH(ROW()-13,CLIENTES!$AH$3:$AH$2002,0),"")</f>
      </c>
    </row>
    <row r="40" spans="2:10" ht="19.5" customHeight="1" x14ac:dyDescent="0.2">
      <c r="B40" s="39">
        <f>IF($J40="","",INDEX(CLIENTES!$A$3:$A$3002,$J40))</f>
      </c>
      <c r="C40" s="38">
        <f>IF($J40="","",TRIM(INDEX(CLIENTES!$B$3:$B$3002,$J40)&amp;" "&amp;INDEX(CLIENTES!$C$3:$C$3002,$J40)))</f>
      </c>
      <c r="D40" s="38">
        <f>IF($J40="","",TRIM(INDEX(CLIENTES!$D$3:$D$3002,$J40)&amp;" "&amp;INDEX(CLIENTES!$E$3:$E$3002,$J40)))</f>
      </c>
      <c r="E40" s="38">
        <f>IF($J40="","",INDEX(CLIENTES!$H$3:$H$3002,$J40))</f>
      </c>
      <c r="F40" s="38">
        <f>IF($J40="","",INDEX(CLIENTES!$K$3:$K$3002,$J40))</f>
      </c>
      <c r="G40" s="38">
        <f>IF($J40="","",INDEX(CLIENTES!$R$3:$R$3002,$J40))</f>
      </c>
      <c r="H40" s="40">
        <f>IF($J40="","",IF(N(INDEX(CLIENTES!$AF$3:$AF$3002,$J40))=0,"",INDEX(CLIENTES!$AF$3:$AF$3002,$J40)))</f>
      </c>
      <c r="J40" s="42">
        <f>IFERROR(MATCH(ROW()-13,CLIENTES!$AH$3:$AH$2002,0),"")</f>
      </c>
    </row>
    <row r="41" spans="2:10" ht="19.5" customHeight="1" x14ac:dyDescent="0.2">
      <c r="B41" s="39">
        <f>IF($J41="","",INDEX(CLIENTES!$A$3:$A$3002,$J41))</f>
      </c>
      <c r="C41" s="38">
        <f>IF($J41="","",TRIM(INDEX(CLIENTES!$B$3:$B$3002,$J41)&amp;" "&amp;INDEX(CLIENTES!$C$3:$C$3002,$J41)))</f>
      </c>
      <c r="D41" s="38">
        <f>IF($J41="","",TRIM(INDEX(CLIENTES!$D$3:$D$3002,$J41)&amp;" "&amp;INDEX(CLIENTES!$E$3:$E$3002,$J41)))</f>
      </c>
      <c r="E41" s="38">
        <f>IF($J41="","",INDEX(CLIENTES!$H$3:$H$3002,$J41))</f>
      </c>
      <c r="F41" s="38">
        <f>IF($J41="","",INDEX(CLIENTES!$K$3:$K$3002,$J41))</f>
      </c>
      <c r="G41" s="38">
        <f>IF($J41="","",INDEX(CLIENTES!$R$3:$R$3002,$J41))</f>
      </c>
      <c r="H41" s="40">
        <f>IF($J41="","",IF(N(INDEX(CLIENTES!$AF$3:$AF$3002,$J41))=0,"",INDEX(CLIENTES!$AF$3:$AF$3002,$J41)))</f>
      </c>
      <c r="J41" s="42">
        <f>IFERROR(MATCH(ROW()-13,CLIENTES!$AH$3:$AH$2002,0),"")</f>
      </c>
    </row>
    <row r="42" spans="2:10" ht="19.5" customHeight="1" x14ac:dyDescent="0.2">
      <c r="B42" s="39">
        <f>IF($J42="","",INDEX(CLIENTES!$A$3:$A$3002,$J42))</f>
      </c>
      <c r="C42" s="38">
        <f>IF($J42="","",TRIM(INDEX(CLIENTES!$B$3:$B$3002,$J42)&amp;" "&amp;INDEX(CLIENTES!$C$3:$C$3002,$J42)))</f>
      </c>
      <c r="D42" s="38">
        <f>IF($J42="","",TRIM(INDEX(CLIENTES!$D$3:$D$3002,$J42)&amp;" "&amp;INDEX(CLIENTES!$E$3:$E$3002,$J42)))</f>
      </c>
      <c r="E42" s="38">
        <f>IF($J42="","",INDEX(CLIENTES!$H$3:$H$3002,$J42))</f>
      </c>
      <c r="F42" s="38">
        <f>IF($J42="","",INDEX(CLIENTES!$K$3:$K$3002,$J42))</f>
      </c>
      <c r="G42" s="38">
        <f>IF($J42="","",INDEX(CLIENTES!$R$3:$R$3002,$J42))</f>
      </c>
      <c r="H42" s="40">
        <f>IF($J42="","",IF(N(INDEX(CLIENTES!$AF$3:$AF$3002,$J42))=0,"",INDEX(CLIENTES!$AF$3:$AF$3002,$J42)))</f>
      </c>
      <c r="J42" s="42">
        <f>IFERROR(MATCH(ROW()-13,CLIENTES!$AH$3:$AH$2002,0),"")</f>
      </c>
    </row>
    <row r="43" spans="2:10" ht="19.5" customHeight="1" x14ac:dyDescent="0.2">
      <c r="B43" s="39">
        <f>IF($J43="","",INDEX(CLIENTES!$A$3:$A$3002,$J43))</f>
      </c>
      <c r="C43" s="38">
        <f>IF($J43="","",TRIM(INDEX(CLIENTES!$B$3:$B$3002,$J43)&amp;" "&amp;INDEX(CLIENTES!$C$3:$C$3002,$J43)))</f>
      </c>
      <c r="D43" s="38">
        <f>IF($J43="","",TRIM(INDEX(CLIENTES!$D$3:$D$3002,$J43)&amp;" "&amp;INDEX(CLIENTES!$E$3:$E$3002,$J43)))</f>
      </c>
      <c r="E43" s="38">
        <f>IF($J43="","",INDEX(CLIENTES!$H$3:$H$3002,$J43))</f>
      </c>
      <c r="F43" s="38">
        <f>IF($J43="","",INDEX(CLIENTES!$K$3:$K$3002,$J43))</f>
      </c>
      <c r="G43" s="38">
        <f>IF($J43="","",INDEX(CLIENTES!$R$3:$R$3002,$J43))</f>
      </c>
      <c r="H43" s="40">
        <f>IF($J43="","",IF(N(INDEX(CLIENTES!$AF$3:$AF$3002,$J43))=0,"",INDEX(CLIENTES!$AF$3:$AF$3002,$J43)))</f>
      </c>
      <c r="J43" s="42">
        <f>IFERROR(MATCH(ROW()-13,CLIENTES!$AH$3:$AH$2002,0),"")</f>
      </c>
    </row>
    <row r="44" spans="2:10" ht="19.5" customHeight="1" x14ac:dyDescent="0.2">
      <c r="B44" s="39">
        <f>IF($J44="","",INDEX(CLIENTES!$A$3:$A$3002,$J44))</f>
      </c>
      <c r="C44" s="38">
        <f>IF($J44="","",TRIM(INDEX(CLIENTES!$B$3:$B$3002,$J44)&amp;" "&amp;INDEX(CLIENTES!$C$3:$C$3002,$J44)))</f>
      </c>
      <c r="D44" s="38">
        <f>IF($J44="","",TRIM(INDEX(CLIENTES!$D$3:$D$3002,$J44)&amp;" "&amp;INDEX(CLIENTES!$E$3:$E$3002,$J44)))</f>
      </c>
      <c r="E44" s="38">
        <f>IF($J44="","",INDEX(CLIENTES!$H$3:$H$3002,$J44))</f>
      </c>
      <c r="F44" s="38">
        <f>IF($J44="","",INDEX(CLIENTES!$K$3:$K$3002,$J44))</f>
      </c>
      <c r="G44" s="38">
        <f>IF($J44="","",INDEX(CLIENTES!$R$3:$R$3002,$J44))</f>
      </c>
      <c r="H44" s="40">
        <f>IF($J44="","",IF(N(INDEX(CLIENTES!$AF$3:$AF$3002,$J44))=0,"",INDEX(CLIENTES!$AF$3:$AF$3002,$J44)))</f>
      </c>
      <c r="J44" s="42">
        <f>IFERROR(MATCH(ROW()-13,CLIENTES!$AH$3:$AH$2002,0),"")</f>
      </c>
    </row>
    <row r="45" spans="2:10" ht="19.5" customHeight="1" x14ac:dyDescent="0.2">
      <c r="B45" s="39">
        <f>IF($J45="","",INDEX(CLIENTES!$A$3:$A$3002,$J45))</f>
      </c>
      <c r="C45" s="38">
        <f>IF($J45="","",TRIM(INDEX(CLIENTES!$B$3:$B$3002,$J45)&amp;" "&amp;INDEX(CLIENTES!$C$3:$C$3002,$J45)))</f>
      </c>
      <c r="D45" s="38">
        <f>IF($J45="","",TRIM(INDEX(CLIENTES!$D$3:$D$3002,$J45)&amp;" "&amp;INDEX(CLIENTES!$E$3:$E$3002,$J45)))</f>
      </c>
      <c r="E45" s="38">
        <f>IF($J45="","",INDEX(CLIENTES!$H$3:$H$3002,$J45))</f>
      </c>
      <c r="F45" s="38">
        <f>IF($J45="","",INDEX(CLIENTES!$K$3:$K$3002,$J45))</f>
      </c>
      <c r="G45" s="38">
        <f>IF($J45="","",INDEX(CLIENTES!$R$3:$R$3002,$J45))</f>
      </c>
      <c r="H45" s="40">
        <f>IF($J45="","",IF(N(INDEX(CLIENTES!$AF$3:$AF$3002,$J45))=0,"",INDEX(CLIENTES!$AF$3:$AF$3002,$J45)))</f>
      </c>
      <c r="J45" s="42">
        <f>IFERROR(MATCH(ROW()-13,CLIENTES!$AH$3:$AH$2002,0),"")</f>
      </c>
    </row>
    <row r="46" spans="2:10" ht="19.5" customHeight="1" x14ac:dyDescent="0.2">
      <c r="B46" s="39">
        <f>IF($J46="","",INDEX(CLIENTES!$A$3:$A$3002,$J46))</f>
      </c>
      <c r="C46" s="38">
        <f>IF($J46="","",TRIM(INDEX(CLIENTES!$B$3:$B$3002,$J46)&amp;" "&amp;INDEX(CLIENTES!$C$3:$C$3002,$J46)))</f>
      </c>
      <c r="D46" s="38">
        <f>IF($J46="","",TRIM(INDEX(CLIENTES!$D$3:$D$3002,$J46)&amp;" "&amp;INDEX(CLIENTES!$E$3:$E$3002,$J46)))</f>
      </c>
      <c r="E46" s="38">
        <f>IF($J46="","",INDEX(CLIENTES!$H$3:$H$3002,$J46))</f>
      </c>
      <c r="F46" s="38">
        <f>IF($J46="","",INDEX(CLIENTES!$K$3:$K$3002,$J46))</f>
      </c>
      <c r="G46" s="38">
        <f>IF($J46="","",INDEX(CLIENTES!$R$3:$R$3002,$J46))</f>
      </c>
      <c r="H46" s="40">
        <f>IF($J46="","",IF(N(INDEX(CLIENTES!$AF$3:$AF$3002,$J46))=0,"",INDEX(CLIENTES!$AF$3:$AF$3002,$J46)))</f>
      </c>
      <c r="J46" s="42">
        <f>IFERROR(MATCH(ROW()-13,CLIENTES!$AH$3:$AH$2002,0),"")</f>
      </c>
    </row>
    <row r="47" spans="2:10" ht="19.5" customHeight="1" x14ac:dyDescent="0.2">
      <c r="B47" s="39">
        <f>IF($J47="","",INDEX(CLIENTES!$A$3:$A$3002,$J47))</f>
      </c>
      <c r="C47" s="38">
        <f>IF($J47="","",TRIM(INDEX(CLIENTES!$B$3:$B$3002,$J47)&amp;" "&amp;INDEX(CLIENTES!$C$3:$C$3002,$J47)))</f>
      </c>
      <c r="D47" s="38">
        <f>IF($J47="","",TRIM(INDEX(CLIENTES!$D$3:$D$3002,$J47)&amp;" "&amp;INDEX(CLIENTES!$E$3:$E$3002,$J47)))</f>
      </c>
      <c r="E47" s="38">
        <f>IF($J47="","",INDEX(CLIENTES!$H$3:$H$3002,$J47))</f>
      </c>
      <c r="F47" s="38">
        <f>IF($J47="","",INDEX(CLIENTES!$K$3:$K$3002,$J47))</f>
      </c>
      <c r="G47" s="38">
        <f>IF($J47="","",INDEX(CLIENTES!$R$3:$R$3002,$J47))</f>
      </c>
      <c r="H47" s="40">
        <f>IF($J47="","",IF(N(INDEX(CLIENTES!$AF$3:$AF$3002,$J47))=0,"",INDEX(CLIENTES!$AF$3:$AF$3002,$J47)))</f>
      </c>
      <c r="J47" s="42">
        <f>IFERROR(MATCH(ROW()-13,CLIENTES!$AH$3:$AH$2002,0),"")</f>
      </c>
    </row>
    <row r="48" spans="2:10" ht="19.5" customHeight="1" x14ac:dyDescent="0.2">
      <c r="B48" s="39">
        <f>IF($J48="","",INDEX(CLIENTES!$A$3:$A$3002,$J48))</f>
      </c>
      <c r="C48" s="38">
        <f>IF($J48="","",TRIM(INDEX(CLIENTES!$B$3:$B$3002,$J48)&amp;" "&amp;INDEX(CLIENTES!$C$3:$C$3002,$J48)))</f>
      </c>
      <c r="D48" s="38">
        <f>IF($J48="","",TRIM(INDEX(CLIENTES!$D$3:$D$3002,$J48)&amp;" "&amp;INDEX(CLIENTES!$E$3:$E$3002,$J48)))</f>
      </c>
      <c r="E48" s="38">
        <f>IF($J48="","",INDEX(CLIENTES!$H$3:$H$3002,$J48))</f>
      </c>
      <c r="F48" s="38">
        <f>IF($J48="","",INDEX(CLIENTES!$K$3:$K$3002,$J48))</f>
      </c>
      <c r="G48" s="38">
        <f>IF($J48="","",INDEX(CLIENTES!$R$3:$R$3002,$J48))</f>
      </c>
      <c r="H48" s="40">
        <f>IF($J48="","",IF(N(INDEX(CLIENTES!$AF$3:$AF$3002,$J48))=0,"",INDEX(CLIENTES!$AF$3:$AF$3002,$J48)))</f>
      </c>
      <c r="J48" s="42">
        <f>IFERROR(MATCH(ROW()-13,CLIENTES!$AH$3:$AH$2002,0),"")</f>
      </c>
    </row>
    <row r="49" spans="2:10" ht="19.5" customHeight="1" x14ac:dyDescent="0.2">
      <c r="B49" s="39">
        <f>IF($J49="","",INDEX(CLIENTES!$A$3:$A$3002,$J49))</f>
      </c>
      <c r="C49" s="38">
        <f>IF($J49="","",TRIM(INDEX(CLIENTES!$B$3:$B$3002,$J49)&amp;" "&amp;INDEX(CLIENTES!$C$3:$C$3002,$J49)))</f>
      </c>
      <c r="D49" s="38">
        <f>IF($J49="","",TRIM(INDEX(CLIENTES!$D$3:$D$3002,$J49)&amp;" "&amp;INDEX(CLIENTES!$E$3:$E$3002,$J49)))</f>
      </c>
      <c r="E49" s="38">
        <f>IF($J49="","",INDEX(CLIENTES!$H$3:$H$3002,$J49))</f>
      </c>
      <c r="F49" s="38">
        <f>IF($J49="","",INDEX(CLIENTES!$K$3:$K$3002,$J49))</f>
      </c>
      <c r="G49" s="38">
        <f>IF($J49="","",INDEX(CLIENTES!$R$3:$R$3002,$J49))</f>
      </c>
      <c r="H49" s="40">
        <f>IF($J49="","",IF(N(INDEX(CLIENTES!$AF$3:$AF$3002,$J49))=0,"",INDEX(CLIENTES!$AF$3:$AF$3002,$J49)))</f>
      </c>
      <c r="J49" s="42">
        <f>IFERROR(MATCH(ROW()-13,CLIENTES!$AH$3:$AH$2002,0),"")</f>
      </c>
    </row>
    <row r="50" spans="2:10" ht="19.5" customHeight="1" x14ac:dyDescent="0.2">
      <c r="B50" s="39">
        <f>IF($J50="","",INDEX(CLIENTES!$A$3:$A$3002,$J50))</f>
      </c>
      <c r="C50" s="38">
        <f>IF($J50="","",TRIM(INDEX(CLIENTES!$B$3:$B$3002,$J50)&amp;" "&amp;INDEX(CLIENTES!$C$3:$C$3002,$J50)))</f>
      </c>
      <c r="D50" s="38">
        <f>IF($J50="","",TRIM(INDEX(CLIENTES!$D$3:$D$3002,$J50)&amp;" "&amp;INDEX(CLIENTES!$E$3:$E$3002,$J50)))</f>
      </c>
      <c r="E50" s="38">
        <f>IF($J50="","",INDEX(CLIENTES!$H$3:$H$3002,$J50))</f>
      </c>
      <c r="F50" s="38">
        <f>IF($J50="","",INDEX(CLIENTES!$K$3:$K$3002,$J50))</f>
      </c>
      <c r="G50" s="38">
        <f>IF($J50="","",INDEX(CLIENTES!$R$3:$R$3002,$J50))</f>
      </c>
      <c r="H50" s="40">
        <f>IF($J50="","",IF(N(INDEX(CLIENTES!$AF$3:$AF$3002,$J50))=0,"",INDEX(CLIENTES!$AF$3:$AF$3002,$J50)))</f>
      </c>
      <c r="J50" s="42">
        <f>IFERROR(MATCH(ROW()-13,CLIENTES!$AH$3:$AH$2002,0),"")</f>
      </c>
    </row>
    <row r="51" spans="2:10" ht="19.5" customHeight="1" x14ac:dyDescent="0.2">
      <c r="B51" s="39">
        <f>IF($J51="","",INDEX(CLIENTES!$A$3:$A$3002,$J51))</f>
      </c>
      <c r="C51" s="38">
        <f>IF($J51="","",TRIM(INDEX(CLIENTES!$B$3:$B$3002,$J51)&amp;" "&amp;INDEX(CLIENTES!$C$3:$C$3002,$J51)))</f>
      </c>
      <c r="D51" s="38">
        <f>IF($J51="","",TRIM(INDEX(CLIENTES!$D$3:$D$3002,$J51)&amp;" "&amp;INDEX(CLIENTES!$E$3:$E$3002,$J51)))</f>
      </c>
      <c r="E51" s="38">
        <f>IF($J51="","",INDEX(CLIENTES!$H$3:$H$3002,$J51))</f>
      </c>
      <c r="F51" s="38">
        <f>IF($J51="","",INDEX(CLIENTES!$K$3:$K$3002,$J51))</f>
      </c>
      <c r="G51" s="38">
        <f>IF($J51="","",INDEX(CLIENTES!$R$3:$R$3002,$J51))</f>
      </c>
      <c r="H51" s="40">
        <f>IF($J51="","",IF(N(INDEX(CLIENTES!$AF$3:$AF$3002,$J51))=0,"",INDEX(CLIENTES!$AF$3:$AF$3002,$J51)))</f>
      </c>
      <c r="J51" s="42">
        <f>IFERROR(MATCH(ROW()-13,CLIENTES!$AH$3:$AH$2002,0),"")</f>
      </c>
    </row>
    <row r="52" spans="2:10" ht="19.5" customHeight="1" x14ac:dyDescent="0.2">
      <c r="B52" s="39">
        <f>IF($J52="","",INDEX(CLIENTES!$A$3:$A$3002,$J52))</f>
      </c>
      <c r="C52" s="38">
        <f>IF($J52="","",TRIM(INDEX(CLIENTES!$B$3:$B$3002,$J52)&amp;" "&amp;INDEX(CLIENTES!$C$3:$C$3002,$J52)))</f>
      </c>
      <c r="D52" s="38">
        <f>IF($J52="","",TRIM(INDEX(CLIENTES!$D$3:$D$3002,$J52)&amp;" "&amp;INDEX(CLIENTES!$E$3:$E$3002,$J52)))</f>
      </c>
      <c r="E52" s="38">
        <f>IF($J52="","",INDEX(CLIENTES!$H$3:$H$3002,$J52))</f>
      </c>
      <c r="F52" s="38">
        <f>IF($J52="","",INDEX(CLIENTES!$K$3:$K$3002,$J52))</f>
      </c>
      <c r="G52" s="38">
        <f>IF($J52="","",INDEX(CLIENTES!$R$3:$R$3002,$J52))</f>
      </c>
      <c r="H52" s="40">
        <f>IF($J52="","",IF(N(INDEX(CLIENTES!$AF$3:$AF$3002,$J52))=0,"",INDEX(CLIENTES!$AF$3:$AF$3002,$J52)))</f>
      </c>
      <c r="J52" s="42">
        <f>IFERROR(MATCH(ROW()-13,CLIENTES!$AH$3:$AH$2002,0),"")</f>
      </c>
    </row>
    <row r="53" spans="2:10" ht="19.5" customHeight="1" x14ac:dyDescent="0.2">
      <c r="B53" s="39">
        <f>IF($J53="","",INDEX(CLIENTES!$A$3:$A$3002,$J53))</f>
      </c>
      <c r="C53" s="38">
        <f>IF($J53="","",TRIM(INDEX(CLIENTES!$B$3:$B$3002,$J53)&amp;" "&amp;INDEX(CLIENTES!$C$3:$C$3002,$J53)))</f>
      </c>
      <c r="D53" s="38">
        <f>IF($J53="","",TRIM(INDEX(CLIENTES!$D$3:$D$3002,$J53)&amp;" "&amp;INDEX(CLIENTES!$E$3:$E$3002,$J53)))</f>
      </c>
      <c r="E53" s="38">
        <f>IF($J53="","",INDEX(CLIENTES!$H$3:$H$3002,$J53))</f>
      </c>
      <c r="F53" s="38">
        <f>IF($J53="","",INDEX(CLIENTES!$K$3:$K$3002,$J53))</f>
      </c>
      <c r="G53" s="38">
        <f>IF($J53="","",INDEX(CLIENTES!$R$3:$R$3002,$J53))</f>
      </c>
      <c r="H53" s="40">
        <f>IF($J53="","",IF(N(INDEX(CLIENTES!$AF$3:$AF$3002,$J53))=0,"",INDEX(CLIENTES!$AF$3:$AF$3002,$J53)))</f>
      </c>
      <c r="J53" s="42">
        <f>IFERROR(MATCH(ROW()-13,CLIENTES!$AH$3:$AH$2002,0),"")</f>
      </c>
    </row>
    <row r="54" spans="2:10" ht="19.5" customHeight="1" x14ac:dyDescent="0.2">
      <c r="B54" s="39">
        <f>IF($J54="","",INDEX(CLIENTES!$A$3:$A$3002,$J54))</f>
      </c>
      <c r="C54" s="38">
        <f>IF($J54="","",TRIM(INDEX(CLIENTES!$B$3:$B$3002,$J54)&amp;" "&amp;INDEX(CLIENTES!$C$3:$C$3002,$J54)))</f>
      </c>
      <c r="D54" s="38">
        <f>IF($J54="","",TRIM(INDEX(CLIENTES!$D$3:$D$3002,$J54)&amp;" "&amp;INDEX(CLIENTES!$E$3:$E$3002,$J54)))</f>
      </c>
      <c r="E54" s="38">
        <f>IF($J54="","",INDEX(CLIENTES!$H$3:$H$3002,$J54))</f>
      </c>
      <c r="F54" s="38">
        <f>IF($J54="","",INDEX(CLIENTES!$K$3:$K$3002,$J54))</f>
      </c>
      <c r="G54" s="38">
        <f>IF($J54="","",INDEX(CLIENTES!$R$3:$R$3002,$J54))</f>
      </c>
      <c r="H54" s="40">
        <f>IF($J54="","",IF(N(INDEX(CLIENTES!$AF$3:$AF$3002,$J54))=0,"",INDEX(CLIENTES!$AF$3:$AF$3002,$J54)))</f>
      </c>
      <c r="J54" s="42">
        <f>IFERROR(MATCH(ROW()-13,CLIENTES!$AH$3:$AH$2002,0),"")</f>
      </c>
    </row>
    <row r="55" spans="2:10" ht="19.5" customHeight="1" x14ac:dyDescent="0.2">
      <c r="B55" s="39">
        <f>IF($J55="","",INDEX(CLIENTES!$A$3:$A$3002,$J55))</f>
      </c>
      <c r="C55" s="38">
        <f>IF($J55="","",TRIM(INDEX(CLIENTES!$B$3:$B$3002,$J55)&amp;" "&amp;INDEX(CLIENTES!$C$3:$C$3002,$J55)))</f>
      </c>
      <c r="D55" s="38">
        <f>IF($J55="","",TRIM(INDEX(CLIENTES!$D$3:$D$3002,$J55)&amp;" "&amp;INDEX(CLIENTES!$E$3:$E$3002,$J55)))</f>
      </c>
      <c r="E55" s="38">
        <f>IF($J55="","",INDEX(CLIENTES!$H$3:$H$3002,$J55))</f>
      </c>
      <c r="F55" s="38">
        <f>IF($J55="","",INDEX(CLIENTES!$K$3:$K$3002,$J55))</f>
      </c>
      <c r="G55" s="38">
        <f>IF($J55="","",INDEX(CLIENTES!$R$3:$R$3002,$J55))</f>
      </c>
      <c r="H55" s="40">
        <f>IF($J55="","",IF(N(INDEX(CLIENTES!$AF$3:$AF$3002,$J55))=0,"",INDEX(CLIENTES!$AF$3:$AF$3002,$J55)))</f>
      </c>
      <c r="J55" s="42">
        <f>IFERROR(MATCH(ROW()-13,CLIENTES!$AH$3:$AH$2002,0),"")</f>
      </c>
    </row>
    <row r="56" spans="2:10" ht="19.5" customHeight="1" x14ac:dyDescent="0.2">
      <c r="B56" s="39">
        <f>IF($J56="","",INDEX(CLIENTES!$A$3:$A$3002,$J56))</f>
      </c>
      <c r="C56" s="38">
        <f>IF($J56="","",TRIM(INDEX(CLIENTES!$B$3:$B$3002,$J56)&amp;" "&amp;INDEX(CLIENTES!$C$3:$C$3002,$J56)))</f>
      </c>
      <c r="D56" s="38">
        <f>IF($J56="","",TRIM(INDEX(CLIENTES!$D$3:$D$3002,$J56)&amp;" "&amp;INDEX(CLIENTES!$E$3:$E$3002,$J56)))</f>
      </c>
      <c r="E56" s="38">
        <f>IF($J56="","",INDEX(CLIENTES!$H$3:$H$3002,$J56))</f>
      </c>
      <c r="F56" s="38">
        <f>IF($J56="","",INDEX(CLIENTES!$K$3:$K$3002,$J56))</f>
      </c>
      <c r="G56" s="38">
        <f>IF($J56="","",INDEX(CLIENTES!$R$3:$R$3002,$J56))</f>
      </c>
      <c r="H56" s="40">
        <f>IF($J56="","",IF(N(INDEX(CLIENTES!$AF$3:$AF$3002,$J56))=0,"",INDEX(CLIENTES!$AF$3:$AF$3002,$J56)))</f>
      </c>
      <c r="J56" s="42">
        <f>IFERROR(MATCH(ROW()-13,CLIENTES!$AH$3:$AH$2002,0),"")</f>
      </c>
    </row>
    <row r="57" spans="2:10" ht="19.5" customHeight="1" x14ac:dyDescent="0.2">
      <c r="B57" s="39">
        <f>IF($J57="","",INDEX(CLIENTES!$A$3:$A$3002,$J57))</f>
      </c>
      <c r="C57" s="38">
        <f>IF($J57="","",TRIM(INDEX(CLIENTES!$B$3:$B$3002,$J57)&amp;" "&amp;INDEX(CLIENTES!$C$3:$C$3002,$J57)))</f>
      </c>
      <c r="D57" s="38">
        <f>IF($J57="","",TRIM(INDEX(CLIENTES!$D$3:$D$3002,$J57)&amp;" "&amp;INDEX(CLIENTES!$E$3:$E$3002,$J57)))</f>
      </c>
      <c r="E57" s="38">
        <f>IF($J57="","",INDEX(CLIENTES!$H$3:$H$3002,$J57))</f>
      </c>
      <c r="F57" s="38">
        <f>IF($J57="","",INDEX(CLIENTES!$K$3:$K$3002,$J57))</f>
      </c>
      <c r="G57" s="38">
        <f>IF($J57="","",INDEX(CLIENTES!$R$3:$R$3002,$J57))</f>
      </c>
      <c r="H57" s="40">
        <f>IF($J57="","",IF(N(INDEX(CLIENTES!$AF$3:$AF$3002,$J57))=0,"",INDEX(CLIENTES!$AF$3:$AF$3002,$J57)))</f>
      </c>
      <c r="J57" s="42">
        <f>IFERROR(MATCH(ROW()-13,CLIENTES!$AH$3:$AH$2002,0),"")</f>
      </c>
    </row>
    <row r="58" spans="2:10" ht="19.5" customHeight="1" x14ac:dyDescent="0.2">
      <c r="B58" s="39">
        <f>IF($J58="","",INDEX(CLIENTES!$A$3:$A$3002,$J58))</f>
      </c>
      <c r="C58" s="38">
        <f>IF($J58="","",TRIM(INDEX(CLIENTES!$B$3:$B$3002,$J58)&amp;" "&amp;INDEX(CLIENTES!$C$3:$C$3002,$J58)))</f>
      </c>
      <c r="D58" s="38">
        <f>IF($J58="","",TRIM(INDEX(CLIENTES!$D$3:$D$3002,$J58)&amp;" "&amp;INDEX(CLIENTES!$E$3:$E$3002,$J58)))</f>
      </c>
      <c r="E58" s="38">
        <f>IF($J58="","",INDEX(CLIENTES!$H$3:$H$3002,$J58))</f>
      </c>
      <c r="F58" s="38">
        <f>IF($J58="","",INDEX(CLIENTES!$K$3:$K$3002,$J58))</f>
      </c>
      <c r="G58" s="38">
        <f>IF($J58="","",INDEX(CLIENTES!$R$3:$R$3002,$J58))</f>
      </c>
      <c r="H58" s="40">
        <f>IF($J58="","",IF(N(INDEX(CLIENTES!$AF$3:$AF$3002,$J58))=0,"",INDEX(CLIENTES!$AF$3:$AF$3002,$J58)))</f>
      </c>
      <c r="J58" s="42">
        <f>IFERROR(MATCH(ROW()-13,CLIENTES!$AH$3:$AH$2002,0),"")</f>
      </c>
    </row>
    <row r="59" spans="2:10" ht="19.5" customHeight="1" x14ac:dyDescent="0.2">
      <c r="B59" s="39">
        <f>IF($J59="","",INDEX(CLIENTES!$A$3:$A$3002,$J59))</f>
      </c>
      <c r="C59" s="38">
        <f>IF($J59="","",TRIM(INDEX(CLIENTES!$B$3:$B$3002,$J59)&amp;" "&amp;INDEX(CLIENTES!$C$3:$C$3002,$J59)))</f>
      </c>
      <c r="D59" s="38">
        <f>IF($J59="","",TRIM(INDEX(CLIENTES!$D$3:$D$3002,$J59)&amp;" "&amp;INDEX(CLIENTES!$E$3:$E$3002,$J59)))</f>
      </c>
      <c r="E59" s="38">
        <f>IF($J59="","",INDEX(CLIENTES!$H$3:$H$3002,$J59))</f>
      </c>
      <c r="F59" s="38">
        <f>IF($J59="","",INDEX(CLIENTES!$K$3:$K$3002,$J59))</f>
      </c>
      <c r="G59" s="38">
        <f>IF($J59="","",INDEX(CLIENTES!$R$3:$R$3002,$J59))</f>
      </c>
      <c r="H59" s="40">
        <f>IF($J59="","",IF(N(INDEX(CLIENTES!$AF$3:$AF$3002,$J59))=0,"",INDEX(CLIENTES!$AF$3:$AF$3002,$J59)))</f>
      </c>
      <c r="J59" s="42">
        <f>IFERROR(MATCH(ROW()-13,CLIENTES!$AH$3:$AH$2002,0),"")</f>
      </c>
    </row>
    <row r="60" spans="2:10" ht="19.5" customHeight="1" x14ac:dyDescent="0.2">
      <c r="B60" s="39">
        <f>IF($J60="","",INDEX(CLIENTES!$A$3:$A$3002,$J60))</f>
      </c>
      <c r="C60" s="38">
        <f>IF($J60="","",TRIM(INDEX(CLIENTES!$B$3:$B$3002,$J60)&amp;" "&amp;INDEX(CLIENTES!$C$3:$C$3002,$J60)))</f>
      </c>
      <c r="D60" s="38">
        <f>IF($J60="","",TRIM(INDEX(CLIENTES!$D$3:$D$3002,$J60)&amp;" "&amp;INDEX(CLIENTES!$E$3:$E$3002,$J60)))</f>
      </c>
      <c r="E60" s="38">
        <f>IF($J60="","",INDEX(CLIENTES!$H$3:$H$3002,$J60))</f>
      </c>
      <c r="F60" s="38">
        <f>IF($J60="","",INDEX(CLIENTES!$K$3:$K$3002,$J60))</f>
      </c>
      <c r="G60" s="38">
        <f>IF($J60="","",INDEX(CLIENTES!$R$3:$R$3002,$J60))</f>
      </c>
      <c r="H60" s="40">
        <f>IF($J60="","",IF(N(INDEX(CLIENTES!$AF$3:$AF$3002,$J60))=0,"",INDEX(CLIENTES!$AF$3:$AF$3002,$J60)))</f>
      </c>
      <c r="J60" s="42">
        <f>IFERROR(MATCH(ROW()-13,CLIENTES!$AH$3:$AH$2002,0),"")</f>
      </c>
    </row>
  </sheetData>
  <sheetProtection sheet="1" objects="1" scenarios="1" formatCells="0" formatColumns="0" formatRows="0" sort="0" autoFilter="0" pivotTables="0"/>
  <mergeCells count="1">
    <mergeCell ref="C5:E5"/>
  </mergeCells>
  <dataValidations count="1">
    <dataValidation type="list" allowBlank="1" showInputMessage="1" showErrorMessage="1" sqref="C8" xr:uid="{00000000-0002-0000-0000-000000000000}">
      <formula1>"(sin filtro),FECHA NAC.,PASAPORTE EXPIRA,LICENCIA EMISION,LICENCIA EXPIRA"</formula1>
    </dataValidation>
  </dataValidations>
  <pageMargins left="0.75" right="0.75" top="1" bottom="1" header="0" footer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C8F489-0D51-4E47-9F22-E9673EE6AB92}">
  <sheetPr>
    <tabColor rgb="FF073A7A"/>
  </sheetPr>
  <dimension ref="A1:J202"/>
  <sheetViews>
    <sheetView showGridLines="0" workbookViewId="0">
      <pane xSplit="2" ySplit="2" topLeftCell="C3" activePane="bottomRight" state="frozen"/>
      <selection pane="topRight"/>
      <selection pane="bottomLeft"/>
      <selection pane="bottomRight" activeCell="D17" sqref="D17"/>
    </sheetView>
  </sheetViews>
  <sheetFormatPr baseColWidth="10" defaultRowHeight="16" x14ac:dyDescent="0.2"/>
  <cols>
    <col min="1" max="1" width="27.42578125" customWidth="1"/>
    <col min="2" max="2" width="19" customWidth="1"/>
    <col min="3" max="3" width="21.5703125" customWidth="1"/>
    <col min="4" max="4" width="26.42578125" customWidth="1"/>
    <col min="5" max="5" width="16.85546875" customWidth="1"/>
    <col min="6" max="6" width="10.85546875" customWidth="1"/>
    <col min="7" max="7" width="18" customWidth="1"/>
    <col min="8" max="8" width="28.85546875" customWidth="1"/>
    <col min="9" max="9" width="3.5703125" customWidth="1"/>
    <col min="10" max="10" width="144" customWidth="1"/>
  </cols>
  <sheetData>
    <row r="1" spans="1:10" ht="75" x14ac:dyDescent="0.2">
      <c r="A1" s="68" t="s">
        <v>128</v>
      </c>
      <c r="C1" s="69" t="s">
        <v>181</v>
      </c>
      <c r="J1" s="73">
        <f>"PROPIOS:   "&amp;COUNTIF($G$3:$G$202,"PROPIO")&amp;" carros   |   "&amp;COUNTIFS(CONTRATOS!$BE$6:$BE$1005,"PROPIO",CONTRATOS!$BG$6:$BG$1005,"&lt;&gt;")&amp;" contratos cerrados   |   cobrado "&amp;TEXT(SUMIFS(CONTRATOS!$BT$6:$BT$1005,CONTRATOS!$BE$6:$BE$1005,"PROPIO",CONTRATOS!$BG$6:$BG$1005,"&lt;&gt;"),"#,##0.00")&amp;"   |   utilidad "&amp;TEXT(SUMIFS(CONTRATOS!$BW$6:$BW$1005,CONTRATOS!$BE$6:$BE$1005,"PROPIO",CONTRATOS!$BG$6:$BG$1005,"&lt;&gt;"),"#,##0.00")</f>
      </c>
    </row>
    <row r="2" spans="1:10" ht="36.5" customHeight="1" x14ac:dyDescent="0.2">
      <c r="A2" s="70" t="s">
        <v>34</v>
      </c>
      <c r="B2" s="70" t="s">
        <v>28</v>
      </c>
      <c r="C2" s="70" t="s">
        <v>102</v>
      </c>
      <c r="D2" s="70" t="s">
        <v>77</v>
      </c>
      <c r="E2" s="70" t="s">
        <v>38</v>
      </c>
      <c r="F2" s="70" t="s">
        <v>22</v>
      </c>
      <c r="G2" s="70" t="s">
        <v>174</v>
      </c>
      <c r="H2" s="70" t="s">
        <v>180</v>
      </c>
      <c r="J2" s="74">
        <f>"SUBARRENDADOS:   "&amp;COUNTIF($G$3:$G$202,"SUBARRENDADO")&amp;" carros   |   "&amp;COUNTIFS(CONTRATOS!$BE$6:$BE$1005,"SUBARRENDADO",CONTRATOS!$BG$6:$BG$1005,"&lt;&gt;")&amp;" contratos cerrados   |   cobrado "&amp;TEXT(SUMIFS(CONTRATOS!$BT$6:$BT$1005,CONTRATOS!$BE$6:$BE$1005,"SUBARRENDADO",CONTRATOS!$BG$6:$BG$1005,"&lt;&gt;"),"#,##0.00")&amp;"   |   costo de dueños "&amp;TEXT(SUMIFS(CONTRATOS!$BV$6:$BV$1005,CONTRATOS!$BE$6:$BE$1005,"SUBARRENDADO",CONTRATOS!$BG$6:$BG$1005,"&lt;&gt;"),"#,##0.00")&amp;"   |   utilidad "&amp;TEXT(SUMIFS(CONTRATOS!$BW$6:$BW$1005,CONTRATOS!$BE$6:$BE$1005,"SUBARRENDADO",CONTRATOS!$BG$6:$BG$1005,"&lt;&gt;"),"#,##0.00")</f>
      </c>
    </row>
    <row r="3" spans="1:10" ht="19.5" customHeight="1" x14ac:dyDescent="0.2">
      <c r="A3" s="71">
        <v>1</v>
      </c>
      <c r="B3" s="71"/>
      <c r="C3" s="72"/>
      <c r="D3" s="72"/>
      <c r="E3" s="72"/>
      <c r="F3" s="71"/>
      <c r="G3" s="71"/>
      <c r="H3" s="72"/>
    </row>
    <row r="4" spans="1:10" ht="19.5" customHeight="1" x14ac:dyDescent="0.2">
      <c r="A4" s="67">
        <f t="shared" ref="A4:A35" si="0">A3+1</f>
      </c>
      <c r="B4" s="71"/>
      <c r="C4" s="72"/>
      <c r="D4" s="72"/>
      <c r="E4" s="72"/>
      <c r="F4" s="71"/>
      <c r="G4" s="71"/>
      <c r="H4" s="72"/>
    </row>
    <row r="5" spans="1:10" ht="19.5" customHeight="1" x14ac:dyDescent="0.2">
      <c r="A5" s="67">
        <f t="shared" si="0"/>
      </c>
      <c r="B5" s="71"/>
      <c r="C5" s="72"/>
      <c r="D5" s="72"/>
      <c r="E5" s="72"/>
      <c r="F5" s="71"/>
      <c r="G5" s="71"/>
      <c r="H5" s="72"/>
    </row>
    <row r="6" spans="1:10" ht="19.5" customHeight="1" x14ac:dyDescent="0.2">
      <c r="A6" s="67">
        <f t="shared" si="0"/>
      </c>
      <c r="B6" s="71"/>
      <c r="C6" s="72"/>
      <c r="D6" s="72"/>
      <c r="E6" s="72"/>
      <c r="F6" s="71"/>
      <c r="G6" s="71"/>
      <c r="H6" s="72"/>
    </row>
    <row r="7" spans="1:10" ht="19.5" customHeight="1" x14ac:dyDescent="0.2">
      <c r="A7" s="67">
        <f t="shared" si="0"/>
      </c>
      <c r="B7" s="71"/>
      <c r="C7" s="72"/>
      <c r="D7" s="72"/>
      <c r="E7" s="72"/>
      <c r="F7" s="71"/>
      <c r="G7" s="71"/>
      <c r="H7" s="72"/>
    </row>
    <row r="8" spans="1:10" ht="19.5" customHeight="1" x14ac:dyDescent="0.2">
      <c r="A8" s="67">
        <f t="shared" si="0"/>
      </c>
      <c r="B8" s="71"/>
      <c r="C8" s="72"/>
      <c r="D8" s="72"/>
      <c r="E8" s="72"/>
      <c r="F8" s="71"/>
      <c r="G8" s="71"/>
      <c r="H8" s="72"/>
    </row>
    <row r="9" spans="1:10" ht="19.5" customHeight="1" x14ac:dyDescent="0.2">
      <c r="A9" s="67">
        <f t="shared" si="0"/>
      </c>
      <c r="B9" s="71"/>
      <c r="C9" s="72"/>
      <c r="D9" s="72"/>
      <c r="E9" s="72"/>
      <c r="F9" s="71"/>
      <c r="G9" s="71"/>
      <c r="H9" s="72"/>
    </row>
    <row r="10" spans="1:10" ht="19.5" customHeight="1" x14ac:dyDescent="0.2">
      <c r="A10" s="67">
        <f t="shared" si="0"/>
      </c>
      <c r="B10" s="71"/>
      <c r="C10" s="72"/>
      <c r="D10" s="72"/>
      <c r="E10" s="72"/>
      <c r="F10" s="71"/>
      <c r="G10" s="71"/>
      <c r="H10" s="72"/>
    </row>
    <row r="11" spans="1:10" ht="19.5" customHeight="1" x14ac:dyDescent="0.2">
      <c r="A11" s="67">
        <f t="shared" si="0"/>
      </c>
      <c r="B11" s="71"/>
      <c r="C11" s="72"/>
      <c r="D11" s="72"/>
      <c r="E11" s="72"/>
      <c r="F11" s="71"/>
      <c r="G11" s="71"/>
      <c r="H11" s="72"/>
    </row>
    <row r="12" spans="1:10" ht="19.5" customHeight="1" x14ac:dyDescent="0.2">
      <c r="A12" s="67">
        <f t="shared" si="0"/>
      </c>
      <c r="B12" s="71"/>
      <c r="C12" s="72"/>
      <c r="D12" s="72"/>
      <c r="E12" s="72"/>
      <c r="F12" s="71"/>
      <c r="G12" s="71"/>
      <c r="H12" s="72"/>
    </row>
    <row r="13" spans="1:10" ht="19.5" customHeight="1" x14ac:dyDescent="0.2">
      <c r="A13" s="67">
        <f t="shared" si="0"/>
      </c>
      <c r="B13" s="71"/>
      <c r="C13" s="72"/>
      <c r="D13" s="72"/>
      <c r="E13" s="72"/>
      <c r="F13" s="71"/>
      <c r="G13" s="71"/>
      <c r="H13" s="72"/>
    </row>
    <row r="14" spans="1:10" ht="19.5" customHeight="1" x14ac:dyDescent="0.2">
      <c r="A14" s="67">
        <f t="shared" si="0"/>
      </c>
      <c r="B14" s="71"/>
      <c r="C14" s="72"/>
      <c r="D14" s="72"/>
      <c r="E14" s="72"/>
      <c r="F14" s="71"/>
      <c r="G14" s="71"/>
      <c r="H14" s="72"/>
    </row>
    <row r="15" spans="1:10" ht="19.5" customHeight="1" x14ac:dyDescent="0.2">
      <c r="A15" s="67">
        <f t="shared" si="0"/>
      </c>
      <c r="B15" s="71"/>
      <c r="C15" s="72"/>
      <c r="D15" s="72"/>
      <c r="E15" s="72"/>
      <c r="F15" s="71"/>
      <c r="G15" s="71"/>
      <c r="H15" s="72"/>
    </row>
    <row r="16" spans="1:10" ht="19.5" customHeight="1" x14ac:dyDescent="0.2">
      <c r="A16" s="67">
        <f t="shared" si="0"/>
      </c>
      <c r="B16" s="71"/>
      <c r="C16" s="72"/>
      <c r="D16" s="72"/>
      <c r="E16" s="72"/>
      <c r="F16" s="71"/>
      <c r="G16" s="71"/>
      <c r="H16" s="72"/>
    </row>
    <row r="17" spans="1:8" ht="19.5" customHeight="1" x14ac:dyDescent="0.2">
      <c r="A17" s="67">
        <f t="shared" si="0"/>
      </c>
      <c r="B17" s="71"/>
      <c r="C17" s="72"/>
      <c r="D17" s="72"/>
      <c r="E17" s="72"/>
      <c r="F17" s="71"/>
      <c r="G17" s="71"/>
      <c r="H17" s="72"/>
    </row>
    <row r="18" spans="1:8" ht="19.5" customHeight="1" x14ac:dyDescent="0.2">
      <c r="A18" s="67">
        <f t="shared" si="0"/>
      </c>
      <c r="B18" s="71"/>
      <c r="C18" s="72"/>
      <c r="D18" s="72"/>
      <c r="E18" s="72"/>
      <c r="F18" s="71"/>
      <c r="G18" s="71"/>
      <c r="H18" s="72"/>
    </row>
    <row r="19" spans="1:8" ht="19.5" customHeight="1" x14ac:dyDescent="0.2">
      <c r="A19" s="67">
        <f t="shared" si="0"/>
      </c>
      <c r="B19" s="71"/>
      <c r="C19" s="72"/>
      <c r="D19" s="72"/>
      <c r="E19" s="72"/>
      <c r="F19" s="71"/>
      <c r="G19" s="71"/>
      <c r="H19" s="72"/>
    </row>
    <row r="20" spans="1:8" ht="19.5" customHeight="1" x14ac:dyDescent="0.2">
      <c r="A20" s="67">
        <f t="shared" si="0"/>
      </c>
      <c r="B20" s="71"/>
      <c r="C20" s="72"/>
      <c r="D20" s="72"/>
      <c r="E20" s="72"/>
      <c r="F20" s="71"/>
      <c r="G20" s="71"/>
      <c r="H20" s="72"/>
    </row>
    <row r="21" spans="1:8" ht="19.5" customHeight="1" x14ac:dyDescent="0.2">
      <c r="A21" s="67">
        <f t="shared" si="0"/>
      </c>
      <c r="B21" s="71"/>
      <c r="C21" s="72"/>
      <c r="D21" s="72"/>
      <c r="E21" s="72"/>
      <c r="F21" s="71"/>
      <c r="G21" s="71"/>
      <c r="H21" s="72"/>
    </row>
    <row r="22" spans="1:8" ht="19.5" customHeight="1" x14ac:dyDescent="0.2">
      <c r="A22" s="67">
        <f t="shared" si="0"/>
      </c>
      <c r="B22" s="71"/>
      <c r="C22" s="72"/>
      <c r="D22" s="72"/>
      <c r="E22" s="72"/>
      <c r="F22" s="71"/>
      <c r="G22" s="71"/>
      <c r="H22" s="72"/>
    </row>
    <row r="23" spans="1:8" ht="19.5" customHeight="1" x14ac:dyDescent="0.2">
      <c r="A23" s="67">
        <f t="shared" si="0"/>
      </c>
      <c r="B23" s="71"/>
      <c r="C23" s="72"/>
      <c r="D23" s="72"/>
      <c r="E23" s="72"/>
      <c r="F23" s="71"/>
      <c r="G23" s="71"/>
      <c r="H23" s="72"/>
    </row>
    <row r="24" spans="1:8" ht="19.5" customHeight="1" x14ac:dyDescent="0.2">
      <c r="A24" s="67">
        <f t="shared" si="0"/>
      </c>
      <c r="B24" s="71"/>
      <c r="C24" s="72"/>
      <c r="D24" s="72"/>
      <c r="E24" s="72"/>
      <c r="F24" s="71"/>
      <c r="G24" s="71"/>
      <c r="H24" s="72"/>
    </row>
    <row r="25" spans="1:8" ht="19.5" customHeight="1" x14ac:dyDescent="0.2">
      <c r="A25" s="67">
        <f t="shared" si="0"/>
      </c>
      <c r="B25" s="71"/>
      <c r="C25" s="72"/>
      <c r="D25" s="72"/>
      <c r="E25" s="72"/>
      <c r="F25" s="71"/>
      <c r="G25" s="71"/>
      <c r="H25" s="72"/>
    </row>
    <row r="26" spans="1:8" ht="19.5" customHeight="1" x14ac:dyDescent="0.2">
      <c r="A26" s="67">
        <f t="shared" si="0"/>
      </c>
      <c r="B26" s="71"/>
      <c r="C26" s="72"/>
      <c r="D26" s="72"/>
      <c r="E26" s="72"/>
      <c r="F26" s="71"/>
      <c r="G26" s="71"/>
      <c r="H26" s="72"/>
    </row>
    <row r="27" spans="1:8" ht="19.5" customHeight="1" x14ac:dyDescent="0.2">
      <c r="A27" s="67">
        <f t="shared" si="0"/>
      </c>
      <c r="B27" s="71"/>
      <c r="C27" s="72"/>
      <c r="D27" s="72"/>
      <c r="E27" s="72"/>
      <c r="F27" s="71"/>
      <c r="G27" s="71"/>
      <c r="H27" s="72"/>
    </row>
    <row r="28" spans="1:8" ht="19.5" customHeight="1" x14ac:dyDescent="0.2">
      <c r="A28" s="67">
        <f t="shared" si="0"/>
      </c>
      <c r="B28" s="71"/>
      <c r="C28" s="72"/>
      <c r="D28" s="72"/>
      <c r="E28" s="72"/>
      <c r="F28" s="71"/>
      <c r="G28" s="71"/>
      <c r="H28" s="72"/>
    </row>
    <row r="29" spans="1:8" ht="19.5" customHeight="1" x14ac:dyDescent="0.2">
      <c r="A29" s="67">
        <f t="shared" si="0"/>
      </c>
      <c r="B29" s="71"/>
      <c r="C29" s="72"/>
      <c r="D29" s="72"/>
      <c r="E29" s="72"/>
      <c r="F29" s="71"/>
      <c r="G29" s="71"/>
      <c r="H29" s="72"/>
    </row>
    <row r="30" spans="1:8" ht="19.5" customHeight="1" x14ac:dyDescent="0.2">
      <c r="A30" s="67">
        <f t="shared" si="0"/>
      </c>
      <c r="B30" s="71"/>
      <c r="C30" s="72"/>
      <c r="D30" s="72"/>
      <c r="E30" s="72"/>
      <c r="F30" s="71"/>
      <c r="G30" s="71"/>
      <c r="H30" s="72"/>
    </row>
    <row r="31" spans="1:8" ht="19.5" customHeight="1" x14ac:dyDescent="0.2">
      <c r="A31" s="67">
        <f t="shared" si="0"/>
      </c>
      <c r="B31" s="71"/>
      <c r="C31" s="72"/>
      <c r="D31" s="72"/>
      <c r="E31" s="72"/>
      <c r="F31" s="71"/>
      <c r="G31" s="71"/>
      <c r="H31" s="72"/>
    </row>
    <row r="32" spans="1:8" ht="19.5" customHeight="1" x14ac:dyDescent="0.2">
      <c r="A32" s="67">
        <f t="shared" si="0"/>
      </c>
      <c r="B32" s="71"/>
      <c r="C32" s="72"/>
      <c r="D32" s="72"/>
      <c r="E32" s="72"/>
      <c r="F32" s="71"/>
      <c r="G32" s="71"/>
      <c r="H32" s="72"/>
    </row>
    <row r="33" spans="1:8" ht="19.5" customHeight="1" x14ac:dyDescent="0.2">
      <c r="A33" s="67">
        <f t="shared" si="0"/>
      </c>
      <c r="B33" s="71"/>
      <c r="C33" s="72"/>
      <c r="D33" s="72"/>
      <c r="E33" s="72"/>
      <c r="F33" s="71"/>
      <c r="G33" s="71"/>
      <c r="H33" s="72"/>
    </row>
    <row r="34" spans="1:8" ht="19.5" customHeight="1" x14ac:dyDescent="0.2">
      <c r="A34" s="67">
        <f t="shared" si="0"/>
      </c>
      <c r="B34" s="71"/>
      <c r="C34" s="72"/>
      <c r="D34" s="72"/>
      <c r="E34" s="72"/>
      <c r="F34" s="71"/>
      <c r="G34" s="71"/>
      <c r="H34" s="72"/>
    </row>
    <row r="35" spans="1:8" ht="19.5" customHeight="1" x14ac:dyDescent="0.2">
      <c r="A35" s="67">
        <f t="shared" si="0"/>
      </c>
      <c r="B35" s="71"/>
      <c r="C35" s="72"/>
      <c r="D35" s="72"/>
      <c r="E35" s="72"/>
      <c r="F35" s="71"/>
      <c r="G35" s="71"/>
      <c r="H35" s="72"/>
    </row>
    <row r="36" spans="1:8" ht="19.5" customHeight="1" x14ac:dyDescent="0.2">
      <c r="A36" s="67">
        <f t="shared" ref="A36:A67" si="1">A35+1</f>
      </c>
      <c r="B36" s="71"/>
      <c r="C36" s="72"/>
      <c r="D36" s="72"/>
      <c r="E36" s="72"/>
      <c r="F36" s="71"/>
      <c r="G36" s="71"/>
      <c r="H36" s="72"/>
    </row>
    <row r="37" spans="1:8" ht="19.5" customHeight="1" x14ac:dyDescent="0.2">
      <c r="A37" s="67">
        <f t="shared" si="1"/>
      </c>
      <c r="B37" s="71"/>
      <c r="C37" s="72"/>
      <c r="D37" s="72"/>
      <c r="E37" s="72"/>
      <c r="F37" s="71"/>
      <c r="G37" s="71"/>
      <c r="H37" s="72"/>
    </row>
    <row r="38" spans="1:8" ht="19.5" customHeight="1" x14ac:dyDescent="0.2">
      <c r="A38" s="67">
        <f t="shared" si="1"/>
      </c>
      <c r="B38" s="71"/>
      <c r="C38" s="72"/>
      <c r="D38" s="72"/>
      <c r="E38" s="72"/>
      <c r="F38" s="71"/>
      <c r="G38" s="71"/>
      <c r="H38" s="72"/>
    </row>
    <row r="39" spans="1:8" ht="19.5" customHeight="1" x14ac:dyDescent="0.2">
      <c r="A39" s="67">
        <f t="shared" si="1"/>
      </c>
      <c r="B39" s="71"/>
      <c r="C39" s="72"/>
      <c r="D39" s="72"/>
      <c r="E39" s="72"/>
      <c r="F39" s="71"/>
      <c r="G39" s="71"/>
      <c r="H39" s="72"/>
    </row>
    <row r="40" spans="1:8" ht="19.5" customHeight="1" x14ac:dyDescent="0.2">
      <c r="A40" s="67">
        <f t="shared" si="1"/>
      </c>
      <c r="B40" s="71"/>
      <c r="C40" s="72"/>
      <c r="D40" s="72"/>
      <c r="E40" s="72"/>
      <c r="F40" s="71"/>
      <c r="G40" s="71"/>
      <c r="H40" s="72"/>
    </row>
    <row r="41" spans="1:8" ht="19.5" customHeight="1" x14ac:dyDescent="0.2">
      <c r="A41" s="67">
        <f t="shared" si="1"/>
      </c>
      <c r="B41" s="71"/>
      <c r="C41" s="72"/>
      <c r="D41" s="72"/>
      <c r="E41" s="72"/>
      <c r="F41" s="71"/>
      <c r="G41" s="71"/>
      <c r="H41" s="72"/>
    </row>
    <row r="42" spans="1:8" ht="19.5" customHeight="1" x14ac:dyDescent="0.2">
      <c r="A42" s="67">
        <f t="shared" si="1"/>
      </c>
      <c r="B42" s="71"/>
      <c r="C42" s="72"/>
      <c r="D42" s="72"/>
      <c r="E42" s="72"/>
      <c r="F42" s="71"/>
      <c r="G42" s="71"/>
      <c r="H42" s="72"/>
    </row>
    <row r="43" spans="1:8" ht="19.5" customHeight="1" x14ac:dyDescent="0.2">
      <c r="A43" s="67">
        <f t="shared" si="1"/>
      </c>
      <c r="B43" s="71"/>
      <c r="C43" s="72"/>
      <c r="D43" s="72"/>
      <c r="E43" s="72"/>
      <c r="F43" s="71"/>
      <c r="G43" s="71"/>
      <c r="H43" s="72"/>
    </row>
    <row r="44" spans="1:8" ht="19.5" customHeight="1" x14ac:dyDescent="0.2">
      <c r="A44" s="67">
        <f t="shared" si="1"/>
      </c>
      <c r="B44" s="71"/>
      <c r="C44" s="72"/>
      <c r="D44" s="72"/>
      <c r="E44" s="72"/>
      <c r="F44" s="71"/>
      <c r="G44" s="71"/>
      <c r="H44" s="72"/>
    </row>
    <row r="45" spans="1:8" ht="19.5" customHeight="1" x14ac:dyDescent="0.2">
      <c r="A45" s="67">
        <f t="shared" si="1"/>
      </c>
      <c r="B45" s="71"/>
      <c r="C45" s="72"/>
      <c r="D45" s="72"/>
      <c r="E45" s="72"/>
      <c r="F45" s="71"/>
      <c r="G45" s="71"/>
      <c r="H45" s="72"/>
    </row>
    <row r="46" spans="1:8" ht="19.5" customHeight="1" x14ac:dyDescent="0.2">
      <c r="A46" s="67">
        <f t="shared" si="1"/>
      </c>
      <c r="B46" s="71"/>
      <c r="C46" s="72"/>
      <c r="D46" s="72"/>
      <c r="E46" s="72"/>
      <c r="F46" s="71"/>
      <c r="G46" s="71"/>
      <c r="H46" s="72"/>
    </row>
    <row r="47" spans="1:8" ht="19.5" customHeight="1" x14ac:dyDescent="0.2">
      <c r="A47" s="67">
        <f t="shared" si="1"/>
      </c>
      <c r="B47" s="71"/>
      <c r="C47" s="72"/>
      <c r="D47" s="72"/>
      <c r="E47" s="72"/>
      <c r="F47" s="71"/>
      <c r="G47" s="71"/>
      <c r="H47" s="72"/>
    </row>
    <row r="48" spans="1:8" ht="19.5" customHeight="1" x14ac:dyDescent="0.2">
      <c r="A48" s="67">
        <f t="shared" si="1"/>
      </c>
      <c r="B48" s="71"/>
      <c r="C48" s="72"/>
      <c r="D48" s="72"/>
      <c r="E48" s="72"/>
      <c r="F48" s="71"/>
      <c r="G48" s="71"/>
      <c r="H48" s="72"/>
    </row>
    <row r="49" spans="1:8" ht="19.5" customHeight="1" x14ac:dyDescent="0.2">
      <c r="A49" s="67">
        <f t="shared" si="1"/>
      </c>
      <c r="B49" s="71"/>
      <c r="C49" s="72"/>
      <c r="D49" s="72"/>
      <c r="E49" s="72"/>
      <c r="F49" s="71"/>
      <c r="G49" s="71"/>
      <c r="H49" s="72"/>
    </row>
    <row r="50" spans="1:8" ht="19.5" customHeight="1" x14ac:dyDescent="0.2">
      <c r="A50" s="67">
        <f t="shared" si="1"/>
      </c>
      <c r="B50" s="71"/>
      <c r="C50" s="72"/>
      <c r="D50" s="72"/>
      <c r="E50" s="72"/>
      <c r="F50" s="71"/>
      <c r="G50" s="71"/>
      <c r="H50" s="72"/>
    </row>
    <row r="51" spans="1:8" ht="19.5" customHeight="1" x14ac:dyDescent="0.2">
      <c r="A51" s="67">
        <f t="shared" si="1"/>
      </c>
      <c r="B51" s="71"/>
      <c r="C51" s="72"/>
      <c r="D51" s="72"/>
      <c r="E51" s="72"/>
      <c r="F51" s="71"/>
      <c r="G51" s="71"/>
      <c r="H51" s="72"/>
    </row>
    <row r="52" spans="1:8" ht="19.5" customHeight="1" x14ac:dyDescent="0.2">
      <c r="A52" s="67">
        <f t="shared" si="1"/>
      </c>
      <c r="B52" s="71"/>
      <c r="C52" s="72"/>
      <c r="D52" s="72"/>
      <c r="E52" s="72"/>
      <c r="F52" s="71"/>
      <c r="G52" s="71"/>
      <c r="H52" s="72"/>
    </row>
    <row r="53" spans="1:8" ht="19.5" customHeight="1" x14ac:dyDescent="0.2">
      <c r="A53" s="67">
        <f t="shared" si="1"/>
      </c>
      <c r="B53" s="71"/>
      <c r="C53" s="72"/>
      <c r="D53" s="72"/>
      <c r="E53" s="72"/>
      <c r="F53" s="71"/>
      <c r="G53" s="71"/>
      <c r="H53" s="72"/>
    </row>
    <row r="54" spans="1:8" ht="19.5" customHeight="1" x14ac:dyDescent="0.2">
      <c r="A54" s="67">
        <f t="shared" si="1"/>
      </c>
      <c r="B54" s="71"/>
      <c r="C54" s="72"/>
      <c r="D54" s="72"/>
      <c r="E54" s="72"/>
      <c r="F54" s="71"/>
      <c r="G54" s="71"/>
      <c r="H54" s="72"/>
    </row>
    <row r="55" spans="1:8" ht="19.5" customHeight="1" x14ac:dyDescent="0.2">
      <c r="A55" s="67">
        <f t="shared" si="1"/>
      </c>
      <c r="B55" s="71"/>
      <c r="C55" s="72"/>
      <c r="D55" s="72"/>
      <c r="E55" s="72"/>
      <c r="F55" s="71"/>
      <c r="G55" s="71"/>
      <c r="H55" s="72"/>
    </row>
    <row r="56" spans="1:8" ht="19.5" customHeight="1" x14ac:dyDescent="0.2">
      <c r="A56" s="67">
        <f t="shared" si="1"/>
      </c>
      <c r="B56" s="71"/>
      <c r="C56" s="72"/>
      <c r="D56" s="72"/>
      <c r="E56" s="72"/>
      <c r="F56" s="71"/>
      <c r="G56" s="71"/>
      <c r="H56" s="72"/>
    </row>
    <row r="57" spans="1:8" ht="19.5" customHeight="1" x14ac:dyDescent="0.2">
      <c r="A57" s="67">
        <f t="shared" si="1"/>
      </c>
      <c r="B57" s="71"/>
      <c r="C57" s="72"/>
      <c r="D57" s="72"/>
      <c r="E57" s="72"/>
      <c r="F57" s="71"/>
      <c r="G57" s="71"/>
      <c r="H57" s="72"/>
    </row>
    <row r="58" spans="1:8" ht="19.5" customHeight="1" x14ac:dyDescent="0.2">
      <c r="A58" s="67">
        <f t="shared" si="1"/>
      </c>
      <c r="B58" s="71"/>
      <c r="C58" s="72"/>
      <c r="D58" s="72"/>
      <c r="E58" s="72"/>
      <c r="F58" s="71"/>
      <c r="G58" s="71"/>
      <c r="H58" s="72"/>
    </row>
    <row r="59" spans="1:8" ht="19.5" customHeight="1" x14ac:dyDescent="0.2">
      <c r="A59" s="67">
        <f t="shared" si="1"/>
      </c>
      <c r="B59" s="71"/>
      <c r="C59" s="72"/>
      <c r="D59" s="72"/>
      <c r="E59" s="72"/>
      <c r="F59" s="71"/>
      <c r="G59" s="71"/>
      <c r="H59" s="72"/>
    </row>
    <row r="60" spans="1:8" ht="19.5" customHeight="1" x14ac:dyDescent="0.2">
      <c r="A60" s="67">
        <f t="shared" si="1"/>
      </c>
      <c r="B60" s="71"/>
      <c r="C60" s="72"/>
      <c r="D60" s="72"/>
      <c r="E60" s="72"/>
      <c r="F60" s="71"/>
      <c r="G60" s="71"/>
      <c r="H60" s="72"/>
    </row>
    <row r="61" spans="1:8" ht="19.5" customHeight="1" x14ac:dyDescent="0.2">
      <c r="A61" s="67">
        <f t="shared" si="1"/>
      </c>
      <c r="B61" s="71"/>
      <c r="C61" s="72"/>
      <c r="D61" s="72"/>
      <c r="E61" s="72"/>
      <c r="F61" s="71"/>
      <c r="G61" s="71"/>
      <c r="H61" s="72"/>
    </row>
    <row r="62" spans="1:8" ht="19.5" customHeight="1" x14ac:dyDescent="0.2">
      <c r="A62" s="67">
        <f t="shared" si="1"/>
      </c>
      <c r="B62" s="71"/>
      <c r="C62" s="72"/>
      <c r="D62" s="72"/>
      <c r="E62" s="72"/>
      <c r="F62" s="71"/>
      <c r="G62" s="71"/>
      <c r="H62" s="72"/>
    </row>
    <row r="63" spans="1:8" ht="19.5" customHeight="1" x14ac:dyDescent="0.2">
      <c r="A63" s="67">
        <f t="shared" si="1"/>
      </c>
      <c r="B63" s="71"/>
      <c r="C63" s="72"/>
      <c r="D63" s="72"/>
      <c r="E63" s="72"/>
      <c r="F63" s="71"/>
      <c r="G63" s="71"/>
      <c r="H63" s="72"/>
    </row>
    <row r="64" spans="1:8" ht="19.5" customHeight="1" x14ac:dyDescent="0.2">
      <c r="A64" s="67">
        <f t="shared" si="1"/>
      </c>
      <c r="B64" s="71"/>
      <c r="C64" s="72"/>
      <c r="D64" s="72"/>
      <c r="E64" s="72"/>
      <c r="F64" s="71"/>
      <c r="G64" s="71"/>
      <c r="H64" s="72"/>
    </row>
    <row r="65" spans="1:8" ht="19.5" customHeight="1" x14ac:dyDescent="0.2">
      <c r="A65" s="67">
        <f t="shared" si="1"/>
      </c>
      <c r="B65" s="71"/>
      <c r="C65" s="72"/>
      <c r="D65" s="72"/>
      <c r="E65" s="72"/>
      <c r="F65" s="71"/>
      <c r="G65" s="71"/>
      <c r="H65" s="72"/>
    </row>
    <row r="66" spans="1:8" ht="19.5" customHeight="1" x14ac:dyDescent="0.2">
      <c r="A66" s="67">
        <f t="shared" si="1"/>
      </c>
      <c r="B66" s="71"/>
      <c r="C66" s="72"/>
      <c r="D66" s="72"/>
      <c r="E66" s="72"/>
      <c r="F66" s="71"/>
      <c r="G66" s="71"/>
      <c r="H66" s="72"/>
    </row>
    <row r="67" spans="1:8" ht="19.5" customHeight="1" x14ac:dyDescent="0.2">
      <c r="A67" s="67">
        <f t="shared" si="1"/>
      </c>
      <c r="B67" s="71"/>
      <c r="C67" s="72"/>
      <c r="D67" s="72"/>
      <c r="E67" s="72"/>
      <c r="F67" s="71"/>
      <c r="G67" s="71"/>
      <c r="H67" s="72"/>
    </row>
    <row r="68" spans="1:8" ht="19.5" customHeight="1" x14ac:dyDescent="0.2">
      <c r="A68" s="67">
        <f t="shared" ref="A68:A99" si="2">A67+1</f>
      </c>
      <c r="B68" s="71"/>
      <c r="C68" s="72"/>
      <c r="D68" s="72"/>
      <c r="E68" s="72"/>
      <c r="F68" s="71"/>
      <c r="G68" s="71"/>
      <c r="H68" s="72"/>
    </row>
    <row r="69" spans="1:8" ht="19.5" customHeight="1" x14ac:dyDescent="0.2">
      <c r="A69" s="67">
        <f t="shared" si="2"/>
      </c>
      <c r="B69" s="71"/>
      <c r="C69" s="72"/>
      <c r="D69" s="72"/>
      <c r="E69" s="72"/>
      <c r="F69" s="71"/>
      <c r="G69" s="71"/>
      <c r="H69" s="72"/>
    </row>
    <row r="70" spans="1:8" ht="19.5" customHeight="1" x14ac:dyDescent="0.2">
      <c r="A70" s="67">
        <f t="shared" si="2"/>
      </c>
      <c r="B70" s="71"/>
      <c r="C70" s="72"/>
      <c r="D70" s="72"/>
      <c r="E70" s="72"/>
      <c r="F70" s="71"/>
      <c r="G70" s="71"/>
      <c r="H70" s="72"/>
    </row>
    <row r="71" spans="1:8" ht="19.5" customHeight="1" x14ac:dyDescent="0.2">
      <c r="A71" s="67">
        <f t="shared" si="2"/>
      </c>
      <c r="B71" s="71"/>
      <c r="C71" s="72"/>
      <c r="D71" s="72"/>
      <c r="E71" s="72"/>
      <c r="F71" s="71"/>
      <c r="G71" s="71"/>
      <c r="H71" s="72"/>
    </row>
    <row r="72" spans="1:8" ht="19.5" customHeight="1" x14ac:dyDescent="0.2">
      <c r="A72" s="67">
        <f t="shared" si="2"/>
      </c>
      <c r="B72" s="71"/>
      <c r="C72" s="72"/>
      <c r="D72" s="72"/>
      <c r="E72" s="72"/>
      <c r="F72" s="71"/>
      <c r="G72" s="71"/>
      <c r="H72" s="72"/>
    </row>
    <row r="73" spans="1:8" ht="19.5" customHeight="1" x14ac:dyDescent="0.2">
      <c r="A73" s="67">
        <f t="shared" si="2"/>
      </c>
      <c r="B73" s="71"/>
      <c r="C73" s="72"/>
      <c r="D73" s="72"/>
      <c r="E73" s="72"/>
      <c r="F73" s="71"/>
      <c r="G73" s="71"/>
      <c r="H73" s="72"/>
    </row>
    <row r="74" spans="1:8" ht="19.5" customHeight="1" x14ac:dyDescent="0.2">
      <c r="A74" s="67">
        <f t="shared" si="2"/>
      </c>
      <c r="B74" s="71"/>
      <c r="C74" s="72"/>
      <c r="D74" s="72"/>
      <c r="E74" s="72"/>
      <c r="F74" s="71"/>
      <c r="G74" s="71"/>
      <c r="H74" s="72"/>
    </row>
    <row r="75" spans="1:8" ht="19.5" customHeight="1" x14ac:dyDescent="0.2">
      <c r="A75" s="67">
        <f t="shared" si="2"/>
      </c>
      <c r="B75" s="71"/>
      <c r="C75" s="72"/>
      <c r="D75" s="72"/>
      <c r="E75" s="72"/>
      <c r="F75" s="71"/>
      <c r="G75" s="71"/>
      <c r="H75" s="72"/>
    </row>
    <row r="76" spans="1:8" ht="19.5" customHeight="1" x14ac:dyDescent="0.2">
      <c r="A76" s="67">
        <f t="shared" si="2"/>
      </c>
      <c r="B76" s="71"/>
      <c r="C76" s="72"/>
      <c r="D76" s="72"/>
      <c r="E76" s="72"/>
      <c r="F76" s="71"/>
      <c r="G76" s="71"/>
      <c r="H76" s="72"/>
    </row>
    <row r="77" spans="1:8" ht="19.5" customHeight="1" x14ac:dyDescent="0.2">
      <c r="A77" s="67">
        <f t="shared" si="2"/>
      </c>
      <c r="B77" s="71"/>
      <c r="C77" s="72"/>
      <c r="D77" s="72"/>
      <c r="E77" s="72"/>
      <c r="F77" s="71"/>
      <c r="G77" s="71"/>
      <c r="H77" s="72"/>
    </row>
    <row r="78" spans="1:8" ht="19.5" customHeight="1" x14ac:dyDescent="0.2">
      <c r="A78" s="67">
        <f t="shared" si="2"/>
      </c>
      <c r="B78" s="71"/>
      <c r="C78" s="72"/>
      <c r="D78" s="72"/>
      <c r="E78" s="72"/>
      <c r="F78" s="71"/>
      <c r="G78" s="71"/>
      <c r="H78" s="72"/>
    </row>
    <row r="79" spans="1:8" ht="19.5" customHeight="1" x14ac:dyDescent="0.2">
      <c r="A79" s="67">
        <f t="shared" si="2"/>
      </c>
      <c r="B79" s="71"/>
      <c r="C79" s="72"/>
      <c r="D79" s="72"/>
      <c r="E79" s="72"/>
      <c r="F79" s="71"/>
      <c r="G79" s="71"/>
      <c r="H79" s="72"/>
    </row>
    <row r="80" spans="1:8" ht="19.5" customHeight="1" x14ac:dyDescent="0.2">
      <c r="A80" s="67">
        <f t="shared" si="2"/>
      </c>
      <c r="B80" s="71"/>
      <c r="C80" s="72"/>
      <c r="D80" s="72"/>
      <c r="E80" s="72"/>
      <c r="F80" s="71"/>
      <c r="G80" s="71"/>
      <c r="H80" s="72"/>
    </row>
    <row r="81" spans="1:8" ht="19.5" customHeight="1" x14ac:dyDescent="0.2">
      <c r="A81" s="67">
        <f t="shared" si="2"/>
      </c>
      <c r="B81" s="71"/>
      <c r="C81" s="72"/>
      <c r="D81" s="72"/>
      <c r="E81" s="72"/>
      <c r="F81" s="71"/>
      <c r="G81" s="71"/>
      <c r="H81" s="72"/>
    </row>
    <row r="82" spans="1:8" ht="19.5" customHeight="1" x14ac:dyDescent="0.2">
      <c r="A82" s="67">
        <f t="shared" si="2"/>
      </c>
      <c r="B82" s="71"/>
      <c r="C82" s="72"/>
      <c r="D82" s="72"/>
      <c r="E82" s="72"/>
      <c r="F82" s="71"/>
      <c r="G82" s="71"/>
      <c r="H82" s="72"/>
    </row>
    <row r="83" spans="1:8" ht="19.5" customHeight="1" x14ac:dyDescent="0.2">
      <c r="A83" s="67">
        <f t="shared" si="2"/>
      </c>
      <c r="B83" s="71"/>
      <c r="C83" s="72"/>
      <c r="D83" s="72"/>
      <c r="E83" s="72"/>
      <c r="F83" s="71"/>
      <c r="G83" s="71"/>
      <c r="H83" s="72"/>
    </row>
    <row r="84" spans="1:8" ht="19.5" customHeight="1" x14ac:dyDescent="0.2">
      <c r="A84" s="67">
        <f t="shared" si="2"/>
      </c>
      <c r="B84" s="71"/>
      <c r="C84" s="72"/>
      <c r="D84" s="72"/>
      <c r="E84" s="72"/>
      <c r="F84" s="71"/>
      <c r="G84" s="71"/>
      <c r="H84" s="72"/>
    </row>
    <row r="85" spans="1:8" ht="19.5" customHeight="1" x14ac:dyDescent="0.2">
      <c r="A85" s="67">
        <f t="shared" si="2"/>
      </c>
      <c r="B85" s="71"/>
      <c r="C85" s="72"/>
      <c r="D85" s="72"/>
      <c r="E85" s="72"/>
      <c r="F85" s="71"/>
      <c r="G85" s="71"/>
      <c r="H85" s="72"/>
    </row>
    <row r="86" spans="1:8" ht="19.5" customHeight="1" x14ac:dyDescent="0.2">
      <c r="A86" s="67">
        <f t="shared" si="2"/>
      </c>
      <c r="B86" s="71"/>
      <c r="C86" s="72"/>
      <c r="D86" s="72"/>
      <c r="E86" s="72"/>
      <c r="F86" s="71"/>
      <c r="G86" s="71"/>
      <c r="H86" s="72"/>
    </row>
    <row r="87" spans="1:8" ht="19.5" customHeight="1" x14ac:dyDescent="0.2">
      <c r="A87" s="67">
        <f t="shared" si="2"/>
      </c>
      <c r="B87" s="71"/>
      <c r="C87" s="72"/>
      <c r="D87" s="72"/>
      <c r="E87" s="72"/>
      <c r="F87" s="71"/>
      <c r="G87" s="71"/>
      <c r="H87" s="72"/>
    </row>
    <row r="88" spans="1:8" ht="19.5" customHeight="1" x14ac:dyDescent="0.2">
      <c r="A88" s="67">
        <f t="shared" si="2"/>
      </c>
      <c r="B88" s="71"/>
      <c r="C88" s="72"/>
      <c r="D88" s="72"/>
      <c r="E88" s="72"/>
      <c r="F88" s="71"/>
      <c r="G88" s="71"/>
      <c r="H88" s="72"/>
    </row>
    <row r="89" spans="1:8" ht="19.5" customHeight="1" x14ac:dyDescent="0.2">
      <c r="A89" s="67">
        <f t="shared" si="2"/>
      </c>
      <c r="B89" s="71"/>
      <c r="C89" s="72"/>
      <c r="D89" s="72"/>
      <c r="E89" s="72"/>
      <c r="F89" s="71"/>
      <c r="G89" s="71"/>
      <c r="H89" s="72"/>
    </row>
    <row r="90" spans="1:8" ht="19.5" customHeight="1" x14ac:dyDescent="0.2">
      <c r="A90" s="67">
        <f t="shared" si="2"/>
      </c>
      <c r="B90" s="71"/>
      <c r="C90" s="72"/>
      <c r="D90" s="72"/>
      <c r="E90" s="72"/>
      <c r="F90" s="71"/>
      <c r="G90" s="71"/>
      <c r="H90" s="72"/>
    </row>
    <row r="91" spans="1:8" ht="19.5" customHeight="1" x14ac:dyDescent="0.2">
      <c r="A91" s="67">
        <f t="shared" si="2"/>
      </c>
      <c r="B91" s="71"/>
      <c r="C91" s="72"/>
      <c r="D91" s="72"/>
      <c r="E91" s="72"/>
      <c r="F91" s="71"/>
      <c r="G91" s="71"/>
      <c r="H91" s="72"/>
    </row>
    <row r="92" spans="1:8" ht="19.5" customHeight="1" x14ac:dyDescent="0.2">
      <c r="A92" s="67">
        <f t="shared" si="2"/>
      </c>
      <c r="B92" s="71"/>
      <c r="C92" s="72"/>
      <c r="D92" s="72"/>
      <c r="E92" s="72"/>
      <c r="F92" s="71"/>
      <c r="G92" s="71"/>
      <c r="H92" s="72"/>
    </row>
    <row r="93" spans="1:8" ht="19.5" customHeight="1" x14ac:dyDescent="0.2">
      <c r="A93" s="67">
        <f t="shared" si="2"/>
      </c>
      <c r="B93" s="71"/>
      <c r="C93" s="72"/>
      <c r="D93" s="72"/>
      <c r="E93" s="72"/>
      <c r="F93" s="71"/>
      <c r="G93" s="71"/>
      <c r="H93" s="72"/>
    </row>
    <row r="94" spans="1:8" ht="19.5" customHeight="1" x14ac:dyDescent="0.2">
      <c r="A94" s="67">
        <f t="shared" si="2"/>
      </c>
      <c r="B94" s="71"/>
      <c r="C94" s="72"/>
      <c r="D94" s="72"/>
      <c r="E94" s="72"/>
      <c r="F94" s="71"/>
      <c r="G94" s="71"/>
      <c r="H94" s="72"/>
    </row>
    <row r="95" spans="1:8" ht="19.5" customHeight="1" x14ac:dyDescent="0.2">
      <c r="A95" s="67">
        <f t="shared" si="2"/>
      </c>
      <c r="B95" s="71"/>
      <c r="C95" s="72"/>
      <c r="D95" s="72"/>
      <c r="E95" s="72"/>
      <c r="F95" s="71"/>
      <c r="G95" s="71"/>
      <c r="H95" s="72"/>
    </row>
    <row r="96" spans="1:8" ht="19.5" customHeight="1" x14ac:dyDescent="0.2">
      <c r="A96" s="67">
        <f t="shared" si="2"/>
      </c>
      <c r="B96" s="71"/>
      <c r="C96" s="72"/>
      <c r="D96" s="72"/>
      <c r="E96" s="72"/>
      <c r="F96" s="71"/>
      <c r="G96" s="71"/>
      <c r="H96" s="72"/>
    </row>
    <row r="97" spans="1:8" ht="19.5" customHeight="1" x14ac:dyDescent="0.2">
      <c r="A97" s="67">
        <f t="shared" si="2"/>
      </c>
      <c r="B97" s="71"/>
      <c r="C97" s="72"/>
      <c r="D97" s="72"/>
      <c r="E97" s="72"/>
      <c r="F97" s="71"/>
      <c r="G97" s="71"/>
      <c r="H97" s="72"/>
    </row>
    <row r="98" spans="1:8" ht="19.5" customHeight="1" x14ac:dyDescent="0.2">
      <c r="A98" s="67">
        <f t="shared" si="2"/>
      </c>
      <c r="B98" s="71"/>
      <c r="C98" s="72"/>
      <c r="D98" s="72"/>
      <c r="E98" s="72"/>
      <c r="F98" s="71"/>
      <c r="G98" s="71"/>
      <c r="H98" s="72"/>
    </row>
    <row r="99" spans="1:8" ht="19.5" customHeight="1" x14ac:dyDescent="0.2">
      <c r="A99" s="67">
        <f t="shared" si="2"/>
      </c>
      <c r="B99" s="71"/>
      <c r="C99" s="72"/>
      <c r="D99" s="72"/>
      <c r="E99" s="72"/>
      <c r="F99" s="71"/>
      <c r="G99" s="71"/>
      <c r="H99" s="72"/>
    </row>
    <row r="100" spans="1:8" ht="19.5" customHeight="1" x14ac:dyDescent="0.2">
      <c r="A100" s="67">
        <f t="shared" ref="A100:A131" si="3">A99+1</f>
      </c>
      <c r="B100" s="71"/>
      <c r="C100" s="72"/>
      <c r="D100" s="72"/>
      <c r="E100" s="72"/>
      <c r="F100" s="71"/>
      <c r="G100" s="71"/>
      <c r="H100" s="72"/>
    </row>
    <row r="101" spans="1:8" ht="19.5" customHeight="1" x14ac:dyDescent="0.2">
      <c r="A101" s="67">
        <f t="shared" si="3"/>
      </c>
      <c r="B101" s="71"/>
      <c r="C101" s="72"/>
      <c r="D101" s="72"/>
      <c r="E101" s="72"/>
      <c r="F101" s="71"/>
      <c r="G101" s="71"/>
      <c r="H101" s="72"/>
    </row>
    <row r="102" spans="1:8" ht="19.5" customHeight="1" x14ac:dyDescent="0.2">
      <c r="A102" s="67">
        <f t="shared" si="3"/>
      </c>
      <c r="B102" s="71"/>
      <c r="C102" s="72"/>
      <c r="D102" s="72"/>
      <c r="E102" s="72"/>
      <c r="F102" s="71"/>
      <c r="G102" s="71"/>
      <c r="H102" s="72"/>
    </row>
    <row r="103" spans="1:8" ht="19.5" customHeight="1" x14ac:dyDescent="0.2">
      <c r="A103" s="67">
        <f t="shared" si="3"/>
      </c>
      <c r="B103" s="71"/>
      <c r="C103" s="72"/>
      <c r="D103" s="72"/>
      <c r="E103" s="72"/>
      <c r="F103" s="71"/>
      <c r="G103" s="71"/>
      <c r="H103" s="72"/>
    </row>
    <row r="104" spans="1:8" ht="19.5" customHeight="1" x14ac:dyDescent="0.2">
      <c r="A104" s="67">
        <f t="shared" si="3"/>
      </c>
      <c r="B104" s="71"/>
      <c r="C104" s="72"/>
      <c r="D104" s="72"/>
      <c r="E104" s="72"/>
      <c r="F104" s="71"/>
      <c r="G104" s="71"/>
      <c r="H104" s="72"/>
    </row>
    <row r="105" spans="1:8" ht="19.5" customHeight="1" x14ac:dyDescent="0.2">
      <c r="A105" s="67">
        <f t="shared" si="3"/>
      </c>
      <c r="B105" s="71"/>
      <c r="C105" s="72"/>
      <c r="D105" s="72"/>
      <c r="E105" s="72"/>
      <c r="F105" s="71"/>
      <c r="G105" s="71"/>
      <c r="H105" s="72"/>
    </row>
    <row r="106" spans="1:8" ht="19.5" customHeight="1" x14ac:dyDescent="0.2">
      <c r="A106" s="67">
        <f t="shared" si="3"/>
      </c>
      <c r="B106" s="71"/>
      <c r="C106" s="72"/>
      <c r="D106" s="72"/>
      <c r="E106" s="72"/>
      <c r="F106" s="71"/>
      <c r="G106" s="71"/>
      <c r="H106" s="72"/>
    </row>
    <row r="107" spans="1:8" ht="19.5" customHeight="1" x14ac:dyDescent="0.2">
      <c r="A107" s="67">
        <f t="shared" si="3"/>
      </c>
      <c r="B107" s="71"/>
      <c r="C107" s="72"/>
      <c r="D107" s="72"/>
      <c r="E107" s="72"/>
      <c r="F107" s="71"/>
      <c r="G107" s="71"/>
      <c r="H107" s="72"/>
    </row>
    <row r="108" spans="1:8" ht="19.5" customHeight="1" x14ac:dyDescent="0.2">
      <c r="A108" s="67">
        <f t="shared" si="3"/>
      </c>
      <c r="B108" s="71"/>
      <c r="C108" s="72"/>
      <c r="D108" s="72"/>
      <c r="E108" s="72"/>
      <c r="F108" s="71"/>
      <c r="G108" s="71"/>
      <c r="H108" s="72"/>
    </row>
    <row r="109" spans="1:8" ht="19.5" customHeight="1" x14ac:dyDescent="0.2">
      <c r="A109" s="67">
        <f t="shared" si="3"/>
      </c>
      <c r="B109" s="71"/>
      <c r="C109" s="72"/>
      <c r="D109" s="72"/>
      <c r="E109" s="72"/>
      <c r="F109" s="71"/>
      <c r="G109" s="71"/>
      <c r="H109" s="72"/>
    </row>
    <row r="110" spans="1:8" ht="19.5" customHeight="1" x14ac:dyDescent="0.2">
      <c r="A110" s="67">
        <f t="shared" si="3"/>
      </c>
      <c r="B110" s="71"/>
      <c r="C110" s="72"/>
      <c r="D110" s="72"/>
      <c r="E110" s="72"/>
      <c r="F110" s="71"/>
      <c r="G110" s="71"/>
      <c r="H110" s="72"/>
    </row>
    <row r="111" spans="1:8" ht="19.5" customHeight="1" x14ac:dyDescent="0.2">
      <c r="A111" s="67">
        <f t="shared" si="3"/>
      </c>
      <c r="B111" s="71"/>
      <c r="C111" s="72"/>
      <c r="D111" s="72"/>
      <c r="E111" s="72"/>
      <c r="F111" s="71"/>
      <c r="G111" s="71"/>
      <c r="H111" s="72"/>
    </row>
    <row r="112" spans="1:8" ht="19.5" customHeight="1" x14ac:dyDescent="0.2">
      <c r="A112" s="67">
        <f t="shared" si="3"/>
      </c>
      <c r="B112" s="71"/>
      <c r="C112" s="72"/>
      <c r="D112" s="72"/>
      <c r="E112" s="72"/>
      <c r="F112" s="71"/>
      <c r="G112" s="71"/>
      <c r="H112" s="72"/>
    </row>
    <row r="113" spans="1:8" ht="19.5" customHeight="1" x14ac:dyDescent="0.2">
      <c r="A113" s="67">
        <f t="shared" si="3"/>
      </c>
      <c r="B113" s="71"/>
      <c r="C113" s="72"/>
      <c r="D113" s="72"/>
      <c r="E113" s="72"/>
      <c r="F113" s="71"/>
      <c r="G113" s="71"/>
      <c r="H113" s="72"/>
    </row>
    <row r="114" spans="1:8" ht="19.5" customHeight="1" x14ac:dyDescent="0.2">
      <c r="A114" s="67">
        <f t="shared" si="3"/>
      </c>
      <c r="B114" s="71"/>
      <c r="C114" s="72"/>
      <c r="D114" s="72"/>
      <c r="E114" s="72"/>
      <c r="F114" s="71"/>
      <c r="G114" s="71"/>
      <c r="H114" s="72"/>
    </row>
    <row r="115" spans="1:8" ht="19.5" customHeight="1" x14ac:dyDescent="0.2">
      <c r="A115" s="67">
        <f t="shared" si="3"/>
      </c>
      <c r="B115" s="71"/>
      <c r="C115" s="72"/>
      <c r="D115" s="72"/>
      <c r="E115" s="72"/>
      <c r="F115" s="71"/>
      <c r="G115" s="71"/>
      <c r="H115" s="72"/>
    </row>
    <row r="116" spans="1:8" ht="19.5" customHeight="1" x14ac:dyDescent="0.2">
      <c r="A116" s="67">
        <f t="shared" si="3"/>
      </c>
      <c r="B116" s="71"/>
      <c r="C116" s="72"/>
      <c r="D116" s="72"/>
      <c r="E116" s="72"/>
      <c r="F116" s="71"/>
      <c r="G116" s="71"/>
      <c r="H116" s="72"/>
    </row>
    <row r="117" spans="1:8" ht="19.5" customHeight="1" x14ac:dyDescent="0.2">
      <c r="A117" s="67">
        <f t="shared" si="3"/>
      </c>
      <c r="B117" s="71"/>
      <c r="C117" s="72"/>
      <c r="D117" s="72"/>
      <c r="E117" s="72"/>
      <c r="F117" s="71"/>
      <c r="G117" s="71"/>
      <c r="H117" s="72"/>
    </row>
    <row r="118" spans="1:8" ht="19.5" customHeight="1" x14ac:dyDescent="0.2">
      <c r="A118" s="67">
        <f t="shared" si="3"/>
      </c>
      <c r="B118" s="71"/>
      <c r="C118" s="72"/>
      <c r="D118" s="72"/>
      <c r="E118" s="72"/>
      <c r="F118" s="71"/>
      <c r="G118" s="71"/>
      <c r="H118" s="72"/>
    </row>
    <row r="119" spans="1:8" ht="19.5" customHeight="1" x14ac:dyDescent="0.2">
      <c r="A119" s="67">
        <f t="shared" si="3"/>
      </c>
      <c r="B119" s="71"/>
      <c r="C119" s="72"/>
      <c r="D119" s="72"/>
      <c r="E119" s="72"/>
      <c r="F119" s="71"/>
      <c r="G119" s="71"/>
      <c r="H119" s="72"/>
    </row>
    <row r="120" spans="1:8" ht="19.5" customHeight="1" x14ac:dyDescent="0.2">
      <c r="A120" s="67">
        <f t="shared" si="3"/>
      </c>
      <c r="B120" s="71"/>
      <c r="C120" s="72"/>
      <c r="D120" s="72"/>
      <c r="E120" s="72"/>
      <c r="F120" s="71"/>
      <c r="G120" s="71"/>
      <c r="H120" s="72"/>
    </row>
    <row r="121" spans="1:8" ht="19.5" customHeight="1" x14ac:dyDescent="0.2">
      <c r="A121" s="67">
        <f t="shared" si="3"/>
      </c>
      <c r="B121" s="71"/>
      <c r="C121" s="72"/>
      <c r="D121" s="72"/>
      <c r="E121" s="72"/>
      <c r="F121" s="71"/>
      <c r="G121" s="71"/>
      <c r="H121" s="72"/>
    </row>
    <row r="122" spans="1:8" ht="19.5" customHeight="1" x14ac:dyDescent="0.2">
      <c r="A122" s="67">
        <f t="shared" si="3"/>
      </c>
      <c r="B122" s="71"/>
      <c r="C122" s="72"/>
      <c r="D122" s="72"/>
      <c r="E122" s="72"/>
      <c r="F122" s="71"/>
      <c r="G122" s="71"/>
      <c r="H122" s="72"/>
    </row>
    <row r="123" spans="1:8" ht="19.5" customHeight="1" x14ac:dyDescent="0.2">
      <c r="A123" s="67">
        <f t="shared" si="3"/>
      </c>
      <c r="B123" s="71"/>
      <c r="C123" s="72"/>
      <c r="D123" s="72"/>
      <c r="E123" s="72"/>
      <c r="F123" s="71"/>
      <c r="G123" s="71"/>
      <c r="H123" s="72"/>
    </row>
    <row r="124" spans="1:8" ht="19.5" customHeight="1" x14ac:dyDescent="0.2">
      <c r="A124" s="67">
        <f t="shared" si="3"/>
      </c>
      <c r="B124" s="71"/>
      <c r="C124" s="72"/>
      <c r="D124" s="72"/>
      <c r="E124" s="72"/>
      <c r="F124" s="71"/>
      <c r="G124" s="71"/>
      <c r="H124" s="72"/>
    </row>
    <row r="125" spans="1:8" ht="19.5" customHeight="1" x14ac:dyDescent="0.2">
      <c r="A125" s="67">
        <f t="shared" si="3"/>
      </c>
      <c r="B125" s="71"/>
      <c r="C125" s="72"/>
      <c r="D125" s="72"/>
      <c r="E125" s="72"/>
      <c r="F125" s="71"/>
      <c r="G125" s="71"/>
      <c r="H125" s="72"/>
    </row>
    <row r="126" spans="1:8" ht="19.5" customHeight="1" x14ac:dyDescent="0.2">
      <c r="A126" s="67">
        <f t="shared" si="3"/>
      </c>
      <c r="B126" s="71"/>
      <c r="C126" s="72"/>
      <c r="D126" s="72"/>
      <c r="E126" s="72"/>
      <c r="F126" s="71"/>
      <c r="G126" s="71"/>
      <c r="H126" s="72"/>
    </row>
    <row r="127" spans="1:8" ht="19.5" customHeight="1" x14ac:dyDescent="0.2">
      <c r="A127" s="67">
        <f t="shared" si="3"/>
      </c>
      <c r="B127" s="71"/>
      <c r="C127" s="72"/>
      <c r="D127" s="72"/>
      <c r="E127" s="72"/>
      <c r="F127" s="71"/>
      <c r="G127" s="71"/>
      <c r="H127" s="72"/>
    </row>
    <row r="128" spans="1:8" ht="19.5" customHeight="1" x14ac:dyDescent="0.2">
      <c r="A128" s="67">
        <f t="shared" si="3"/>
      </c>
      <c r="B128" s="71"/>
      <c r="C128" s="72"/>
      <c r="D128" s="72"/>
      <c r="E128" s="72"/>
      <c r="F128" s="71"/>
      <c r="G128" s="71"/>
      <c r="H128" s="72"/>
    </row>
    <row r="129" spans="1:8" ht="19.5" customHeight="1" x14ac:dyDescent="0.2">
      <c r="A129" s="67">
        <f t="shared" si="3"/>
      </c>
      <c r="B129" s="71"/>
      <c r="C129" s="72"/>
      <c r="D129" s="72"/>
      <c r="E129" s="72"/>
      <c r="F129" s="71"/>
      <c r="G129" s="71"/>
      <c r="H129" s="72"/>
    </row>
    <row r="130" spans="1:8" ht="19.5" customHeight="1" x14ac:dyDescent="0.2">
      <c r="A130" s="67">
        <f t="shared" si="3"/>
      </c>
      <c r="B130" s="71"/>
      <c r="C130" s="72"/>
      <c r="D130" s="72"/>
      <c r="E130" s="72"/>
      <c r="F130" s="71"/>
      <c r="G130" s="71"/>
      <c r="H130" s="72"/>
    </row>
    <row r="131" spans="1:8" ht="19.5" customHeight="1" x14ac:dyDescent="0.2">
      <c r="A131" s="67">
        <f t="shared" si="3"/>
      </c>
      <c r="B131" s="71"/>
      <c r="C131" s="72"/>
      <c r="D131" s="72"/>
      <c r="E131" s="72"/>
      <c r="F131" s="71"/>
      <c r="G131" s="71"/>
      <c r="H131" s="72"/>
    </row>
    <row r="132" spans="1:8" ht="19.5" customHeight="1" x14ac:dyDescent="0.2">
      <c r="A132" s="67">
        <f t="shared" ref="A132:A163" si="4">A131+1</f>
      </c>
      <c r="B132" s="71"/>
      <c r="C132" s="72"/>
      <c r="D132" s="72"/>
      <c r="E132" s="72"/>
      <c r="F132" s="71"/>
      <c r="G132" s="71"/>
      <c r="H132" s="72"/>
    </row>
    <row r="133" spans="1:8" ht="19.5" customHeight="1" x14ac:dyDescent="0.2">
      <c r="A133" s="67">
        <f t="shared" si="4"/>
      </c>
      <c r="B133" s="71"/>
      <c r="C133" s="72"/>
      <c r="D133" s="72"/>
      <c r="E133" s="72"/>
      <c r="F133" s="71"/>
      <c r="G133" s="71"/>
      <c r="H133" s="72"/>
    </row>
    <row r="134" spans="1:8" ht="19.5" customHeight="1" x14ac:dyDescent="0.2">
      <c r="A134" s="67">
        <f t="shared" si="4"/>
      </c>
      <c r="B134" s="71"/>
      <c r="C134" s="72"/>
      <c r="D134" s="72"/>
      <c r="E134" s="72"/>
      <c r="F134" s="71"/>
      <c r="G134" s="71"/>
      <c r="H134" s="72"/>
    </row>
    <row r="135" spans="1:8" ht="19.5" customHeight="1" x14ac:dyDescent="0.2">
      <c r="A135" s="67">
        <f t="shared" si="4"/>
      </c>
      <c r="B135" s="71"/>
      <c r="C135" s="72"/>
      <c r="D135" s="72"/>
      <c r="E135" s="72"/>
      <c r="F135" s="71"/>
      <c r="G135" s="71"/>
      <c r="H135" s="72"/>
    </row>
    <row r="136" spans="1:8" ht="19.5" customHeight="1" x14ac:dyDescent="0.2">
      <c r="A136" s="67">
        <f t="shared" si="4"/>
      </c>
      <c r="B136" s="71"/>
      <c r="C136" s="72"/>
      <c r="D136" s="72"/>
      <c r="E136" s="72"/>
      <c r="F136" s="71"/>
      <c r="G136" s="71"/>
      <c r="H136" s="72"/>
    </row>
    <row r="137" spans="1:8" ht="19.5" customHeight="1" x14ac:dyDescent="0.2">
      <c r="A137" s="67">
        <f t="shared" si="4"/>
      </c>
      <c r="B137" s="71"/>
      <c r="C137" s="72"/>
      <c r="D137" s="72"/>
      <c r="E137" s="72"/>
      <c r="F137" s="71"/>
      <c r="G137" s="71"/>
      <c r="H137" s="72"/>
    </row>
    <row r="138" spans="1:8" ht="19.5" customHeight="1" x14ac:dyDescent="0.2">
      <c r="A138" s="67">
        <f t="shared" si="4"/>
      </c>
      <c r="B138" s="71"/>
      <c r="C138" s="72"/>
      <c r="D138" s="72"/>
      <c r="E138" s="72"/>
      <c r="F138" s="71"/>
      <c r="G138" s="71"/>
      <c r="H138" s="72"/>
    </row>
    <row r="139" spans="1:8" ht="19.5" customHeight="1" x14ac:dyDescent="0.2">
      <c r="A139" s="67">
        <f t="shared" si="4"/>
      </c>
      <c r="B139" s="71"/>
      <c r="C139" s="72"/>
      <c r="D139" s="72"/>
      <c r="E139" s="72"/>
      <c r="F139" s="71"/>
      <c r="G139" s="71"/>
      <c r="H139" s="72"/>
    </row>
    <row r="140" spans="1:8" ht="19.5" customHeight="1" x14ac:dyDescent="0.2">
      <c r="A140" s="67">
        <f t="shared" si="4"/>
      </c>
      <c r="B140" s="71"/>
      <c r="C140" s="72"/>
      <c r="D140" s="72"/>
      <c r="E140" s="72"/>
      <c r="F140" s="71"/>
      <c r="G140" s="71"/>
      <c r="H140" s="72"/>
    </row>
    <row r="141" spans="1:8" ht="19.5" customHeight="1" x14ac:dyDescent="0.2">
      <c r="A141" s="67">
        <f t="shared" si="4"/>
      </c>
      <c r="B141" s="71"/>
      <c r="C141" s="72"/>
      <c r="D141" s="72"/>
      <c r="E141" s="72"/>
      <c r="F141" s="71"/>
      <c r="G141" s="71"/>
      <c r="H141" s="72"/>
    </row>
    <row r="142" spans="1:8" ht="19.5" customHeight="1" x14ac:dyDescent="0.2">
      <c r="A142" s="67">
        <f t="shared" si="4"/>
      </c>
      <c r="B142" s="71"/>
      <c r="C142" s="72"/>
      <c r="D142" s="72"/>
      <c r="E142" s="72"/>
      <c r="F142" s="71"/>
      <c r="G142" s="71"/>
      <c r="H142" s="72"/>
    </row>
    <row r="143" spans="1:8" ht="19.5" customHeight="1" x14ac:dyDescent="0.2">
      <c r="A143" s="67">
        <f t="shared" si="4"/>
      </c>
      <c r="B143" s="71"/>
      <c r="C143" s="72"/>
      <c r="D143" s="72"/>
      <c r="E143" s="72"/>
      <c r="F143" s="71"/>
      <c r="G143" s="71"/>
      <c r="H143" s="72"/>
    </row>
    <row r="144" spans="1:8" ht="19.5" customHeight="1" x14ac:dyDescent="0.2">
      <c r="A144" s="67">
        <f t="shared" si="4"/>
      </c>
      <c r="B144" s="71"/>
      <c r="C144" s="72"/>
      <c r="D144" s="72"/>
      <c r="E144" s="72"/>
      <c r="F144" s="71"/>
      <c r="G144" s="71"/>
      <c r="H144" s="72"/>
    </row>
    <row r="145" spans="1:8" ht="19.5" customHeight="1" x14ac:dyDescent="0.2">
      <c r="A145" s="67">
        <f t="shared" si="4"/>
      </c>
      <c r="B145" s="71"/>
      <c r="C145" s="72"/>
      <c r="D145" s="72"/>
      <c r="E145" s="72"/>
      <c r="F145" s="71"/>
      <c r="G145" s="71"/>
      <c r="H145" s="72"/>
    </row>
    <row r="146" spans="1:8" ht="19.5" customHeight="1" x14ac:dyDescent="0.2">
      <c r="A146" s="67">
        <f t="shared" si="4"/>
      </c>
      <c r="B146" s="71"/>
      <c r="C146" s="72"/>
      <c r="D146" s="72"/>
      <c r="E146" s="72"/>
      <c r="F146" s="71"/>
      <c r="G146" s="71"/>
      <c r="H146" s="72"/>
    </row>
    <row r="147" spans="1:8" ht="19.5" customHeight="1" x14ac:dyDescent="0.2">
      <c r="A147" s="67">
        <f t="shared" si="4"/>
      </c>
      <c r="B147" s="71"/>
      <c r="C147" s="72"/>
      <c r="D147" s="72"/>
      <c r="E147" s="72"/>
      <c r="F147" s="71"/>
      <c r="G147" s="71"/>
      <c r="H147" s="72"/>
    </row>
    <row r="148" spans="1:8" ht="19.5" customHeight="1" x14ac:dyDescent="0.2">
      <c r="A148" s="67">
        <f t="shared" si="4"/>
      </c>
      <c r="B148" s="71"/>
      <c r="C148" s="72"/>
      <c r="D148" s="72"/>
      <c r="E148" s="72"/>
      <c r="F148" s="71"/>
      <c r="G148" s="71"/>
      <c r="H148" s="72"/>
    </row>
    <row r="149" spans="1:8" ht="19.5" customHeight="1" x14ac:dyDescent="0.2">
      <c r="A149" s="67">
        <f t="shared" si="4"/>
      </c>
      <c r="B149" s="71"/>
      <c r="C149" s="72"/>
      <c r="D149" s="72"/>
      <c r="E149" s="72"/>
      <c r="F149" s="71"/>
      <c r="G149" s="71"/>
      <c r="H149" s="72"/>
    </row>
    <row r="150" spans="1:8" ht="19.5" customHeight="1" x14ac:dyDescent="0.2">
      <c r="A150" s="67">
        <f t="shared" si="4"/>
      </c>
      <c r="B150" s="71"/>
      <c r="C150" s="72"/>
      <c r="D150" s="72"/>
      <c r="E150" s="72"/>
      <c r="F150" s="71"/>
      <c r="G150" s="71"/>
      <c r="H150" s="72"/>
    </row>
    <row r="151" spans="1:8" ht="19.5" customHeight="1" x14ac:dyDescent="0.2">
      <c r="A151" s="67">
        <f t="shared" si="4"/>
      </c>
      <c r="B151" s="71"/>
      <c r="C151" s="72"/>
      <c r="D151" s="72"/>
      <c r="E151" s="72"/>
      <c r="F151" s="71"/>
      <c r="G151" s="71"/>
      <c r="H151" s="72"/>
    </row>
    <row r="152" spans="1:8" ht="19.5" customHeight="1" x14ac:dyDescent="0.2">
      <c r="A152" s="67">
        <f t="shared" si="4"/>
      </c>
      <c r="B152" s="71"/>
      <c r="C152" s="72"/>
      <c r="D152" s="72"/>
      <c r="E152" s="72"/>
      <c r="F152" s="71"/>
      <c r="G152" s="71"/>
      <c r="H152" s="72"/>
    </row>
    <row r="153" spans="1:8" ht="19.5" customHeight="1" x14ac:dyDescent="0.2">
      <c r="A153" s="67">
        <f t="shared" si="4"/>
      </c>
      <c r="B153" s="71"/>
      <c r="C153" s="72"/>
      <c r="D153" s="72"/>
      <c r="E153" s="72"/>
      <c r="F153" s="71"/>
      <c r="G153" s="71"/>
      <c r="H153" s="72"/>
    </row>
    <row r="154" spans="1:8" ht="19.5" customHeight="1" x14ac:dyDescent="0.2">
      <c r="A154" s="67">
        <f t="shared" si="4"/>
      </c>
      <c r="B154" s="71"/>
      <c r="C154" s="72"/>
      <c r="D154" s="72"/>
      <c r="E154" s="72"/>
      <c r="F154" s="71"/>
      <c r="G154" s="71"/>
      <c r="H154" s="72"/>
    </row>
    <row r="155" spans="1:8" ht="19.5" customHeight="1" x14ac:dyDescent="0.2">
      <c r="A155" s="67">
        <f t="shared" si="4"/>
      </c>
      <c r="B155" s="71"/>
      <c r="C155" s="72"/>
      <c r="D155" s="72"/>
      <c r="E155" s="72"/>
      <c r="F155" s="71"/>
      <c r="G155" s="71"/>
      <c r="H155" s="72"/>
    </row>
    <row r="156" spans="1:8" ht="19.5" customHeight="1" x14ac:dyDescent="0.2">
      <c r="A156" s="67">
        <f t="shared" si="4"/>
      </c>
      <c r="B156" s="71"/>
      <c r="C156" s="72"/>
      <c r="D156" s="72"/>
      <c r="E156" s="72"/>
      <c r="F156" s="71"/>
      <c r="G156" s="71"/>
      <c r="H156" s="72"/>
    </row>
    <row r="157" spans="1:8" ht="19.5" customHeight="1" x14ac:dyDescent="0.2">
      <c r="A157" s="67">
        <f t="shared" si="4"/>
      </c>
      <c r="B157" s="71"/>
      <c r="C157" s="72"/>
      <c r="D157" s="72"/>
      <c r="E157" s="72"/>
      <c r="F157" s="71"/>
      <c r="G157" s="71"/>
      <c r="H157" s="72"/>
    </row>
    <row r="158" spans="1:8" ht="19.5" customHeight="1" x14ac:dyDescent="0.2">
      <c r="A158" s="67">
        <f t="shared" si="4"/>
      </c>
      <c r="B158" s="71"/>
      <c r="C158" s="72"/>
      <c r="D158" s="72"/>
      <c r="E158" s="72"/>
      <c r="F158" s="71"/>
      <c r="G158" s="71"/>
      <c r="H158" s="72"/>
    </row>
    <row r="159" spans="1:8" ht="19.5" customHeight="1" x14ac:dyDescent="0.2">
      <c r="A159" s="67">
        <f t="shared" si="4"/>
      </c>
      <c r="B159" s="71"/>
      <c r="C159" s="72"/>
      <c r="D159" s="72"/>
      <c r="E159" s="72"/>
      <c r="F159" s="71"/>
      <c r="G159" s="71"/>
      <c r="H159" s="72"/>
    </row>
    <row r="160" spans="1:8" ht="19.5" customHeight="1" x14ac:dyDescent="0.2">
      <c r="A160" s="67">
        <f t="shared" si="4"/>
      </c>
      <c r="B160" s="71"/>
      <c r="C160" s="72"/>
      <c r="D160" s="72"/>
      <c r="E160" s="72"/>
      <c r="F160" s="71"/>
      <c r="G160" s="71"/>
      <c r="H160" s="72"/>
    </row>
    <row r="161" spans="1:8" ht="19.5" customHeight="1" x14ac:dyDescent="0.2">
      <c r="A161" s="67">
        <f t="shared" si="4"/>
      </c>
      <c r="B161" s="71"/>
      <c r="C161" s="72"/>
      <c r="D161" s="72"/>
      <c r="E161" s="72"/>
      <c r="F161" s="71"/>
      <c r="G161" s="71"/>
      <c r="H161" s="72"/>
    </row>
    <row r="162" spans="1:8" ht="19.5" customHeight="1" x14ac:dyDescent="0.2">
      <c r="A162" s="67">
        <f t="shared" si="4"/>
      </c>
      <c r="B162" s="71"/>
      <c r="C162" s="72"/>
      <c r="D162" s="72"/>
      <c r="E162" s="72"/>
      <c r="F162" s="71"/>
      <c r="G162" s="71"/>
      <c r="H162" s="72"/>
    </row>
    <row r="163" spans="1:8" ht="19.5" customHeight="1" x14ac:dyDescent="0.2">
      <c r="A163" s="67">
        <f t="shared" si="4"/>
      </c>
      <c r="B163" s="71"/>
      <c r="C163" s="72"/>
      <c r="D163" s="72"/>
      <c r="E163" s="72"/>
      <c r="F163" s="71"/>
      <c r="G163" s="71"/>
      <c r="H163" s="72"/>
    </row>
    <row r="164" spans="1:8" ht="19.5" customHeight="1" x14ac:dyDescent="0.2">
      <c r="A164" s="67">
        <f t="shared" ref="A164:A195" si="5">A163+1</f>
      </c>
      <c r="B164" s="71"/>
      <c r="C164" s="72"/>
      <c r="D164" s="72"/>
      <c r="E164" s="72"/>
      <c r="F164" s="71"/>
      <c r="G164" s="71"/>
      <c r="H164" s="72"/>
    </row>
    <row r="165" spans="1:8" ht="19.5" customHeight="1" x14ac:dyDescent="0.2">
      <c r="A165" s="67">
        <f t="shared" si="5"/>
      </c>
      <c r="B165" s="71"/>
      <c r="C165" s="72"/>
      <c r="D165" s="72"/>
      <c r="E165" s="72"/>
      <c r="F165" s="71"/>
      <c r="G165" s="71"/>
      <c r="H165" s="72"/>
    </row>
    <row r="166" spans="1:8" ht="19.5" customHeight="1" x14ac:dyDescent="0.2">
      <c r="A166" s="67">
        <f t="shared" si="5"/>
      </c>
      <c r="B166" s="71"/>
      <c r="C166" s="72"/>
      <c r="D166" s="72"/>
      <c r="E166" s="72"/>
      <c r="F166" s="71"/>
      <c r="G166" s="71"/>
      <c r="H166" s="72"/>
    </row>
    <row r="167" spans="1:8" ht="19.5" customHeight="1" x14ac:dyDescent="0.2">
      <c r="A167" s="67">
        <f t="shared" si="5"/>
      </c>
      <c r="B167" s="71"/>
      <c r="C167" s="72"/>
      <c r="D167" s="72"/>
      <c r="E167" s="72"/>
      <c r="F167" s="71"/>
      <c r="G167" s="71"/>
      <c r="H167" s="72"/>
    </row>
    <row r="168" spans="1:8" ht="19.5" customHeight="1" x14ac:dyDescent="0.2">
      <c r="A168" s="67">
        <f t="shared" si="5"/>
      </c>
      <c r="B168" s="71"/>
      <c r="C168" s="72"/>
      <c r="D168" s="72"/>
      <c r="E168" s="72"/>
      <c r="F168" s="71"/>
      <c r="G168" s="71"/>
      <c r="H168" s="72"/>
    </row>
    <row r="169" spans="1:8" ht="19.5" customHeight="1" x14ac:dyDescent="0.2">
      <c r="A169" s="67">
        <f t="shared" si="5"/>
      </c>
      <c r="B169" s="71"/>
      <c r="C169" s="72"/>
      <c r="D169" s="72"/>
      <c r="E169" s="72"/>
      <c r="F169" s="71"/>
      <c r="G169" s="71"/>
      <c r="H169" s="72"/>
    </row>
    <row r="170" spans="1:8" ht="19.5" customHeight="1" x14ac:dyDescent="0.2">
      <c r="A170" s="67">
        <f t="shared" si="5"/>
      </c>
      <c r="B170" s="71"/>
      <c r="C170" s="72"/>
      <c r="D170" s="72"/>
      <c r="E170" s="72"/>
      <c r="F170" s="71"/>
      <c r="G170" s="71"/>
      <c r="H170" s="72"/>
    </row>
    <row r="171" spans="1:8" ht="19.5" customHeight="1" x14ac:dyDescent="0.2">
      <c r="A171" s="67">
        <f t="shared" si="5"/>
      </c>
      <c r="B171" s="71"/>
      <c r="C171" s="72"/>
      <c r="D171" s="72"/>
      <c r="E171" s="72"/>
      <c r="F171" s="71"/>
      <c r="G171" s="71"/>
      <c r="H171" s="72"/>
    </row>
    <row r="172" spans="1:8" ht="19.5" customHeight="1" x14ac:dyDescent="0.2">
      <c r="A172" s="67">
        <f t="shared" si="5"/>
      </c>
      <c r="B172" s="71"/>
      <c r="C172" s="72"/>
      <c r="D172" s="72"/>
      <c r="E172" s="72"/>
      <c r="F172" s="71"/>
      <c r="G172" s="71"/>
      <c r="H172" s="72"/>
    </row>
    <row r="173" spans="1:8" ht="19.5" customHeight="1" x14ac:dyDescent="0.2">
      <c r="A173" s="67">
        <f t="shared" si="5"/>
      </c>
      <c r="B173" s="71"/>
      <c r="C173" s="72"/>
      <c r="D173" s="72"/>
      <c r="E173" s="72"/>
      <c r="F173" s="71"/>
      <c r="G173" s="71"/>
      <c r="H173" s="72"/>
    </row>
    <row r="174" spans="1:8" ht="19.5" customHeight="1" x14ac:dyDescent="0.2">
      <c r="A174" s="67">
        <f t="shared" si="5"/>
      </c>
      <c r="B174" s="71"/>
      <c r="C174" s="72"/>
      <c r="D174" s="72"/>
      <c r="E174" s="72"/>
      <c r="F174" s="71"/>
      <c r="G174" s="71"/>
      <c r="H174" s="72"/>
    </row>
    <row r="175" spans="1:8" ht="19.5" customHeight="1" x14ac:dyDescent="0.2">
      <c r="A175" s="67">
        <f t="shared" si="5"/>
      </c>
      <c r="B175" s="71"/>
      <c r="C175" s="72"/>
      <c r="D175" s="72"/>
      <c r="E175" s="72"/>
      <c r="F175" s="71"/>
      <c r="G175" s="71"/>
      <c r="H175" s="72"/>
    </row>
    <row r="176" spans="1:8" ht="19.5" customHeight="1" x14ac:dyDescent="0.2">
      <c r="A176" s="67">
        <f t="shared" si="5"/>
      </c>
      <c r="B176" s="71"/>
      <c r="C176" s="72"/>
      <c r="D176" s="72"/>
      <c r="E176" s="72"/>
      <c r="F176" s="71"/>
      <c r="G176" s="71"/>
      <c r="H176" s="72"/>
    </row>
    <row r="177" spans="1:8" ht="19.5" customHeight="1" x14ac:dyDescent="0.2">
      <c r="A177" s="67">
        <f t="shared" si="5"/>
      </c>
      <c r="B177" s="71"/>
      <c r="C177" s="72"/>
      <c r="D177" s="72"/>
      <c r="E177" s="72"/>
      <c r="F177" s="71"/>
      <c r="G177" s="71"/>
      <c r="H177" s="72"/>
    </row>
    <row r="178" spans="1:8" ht="19.5" customHeight="1" x14ac:dyDescent="0.2">
      <c r="A178" s="67">
        <f t="shared" si="5"/>
      </c>
      <c r="B178" s="71"/>
      <c r="C178" s="72"/>
      <c r="D178" s="72"/>
      <c r="E178" s="72"/>
      <c r="F178" s="71"/>
      <c r="G178" s="71"/>
      <c r="H178" s="72"/>
    </row>
    <row r="179" spans="1:8" ht="19.5" customHeight="1" x14ac:dyDescent="0.2">
      <c r="A179" s="67">
        <f t="shared" si="5"/>
      </c>
      <c r="B179" s="71"/>
      <c r="C179" s="72"/>
      <c r="D179" s="72"/>
      <c r="E179" s="72"/>
      <c r="F179" s="71"/>
      <c r="G179" s="71"/>
      <c r="H179" s="72"/>
    </row>
    <row r="180" spans="1:8" ht="19.5" customHeight="1" x14ac:dyDescent="0.2">
      <c r="A180" s="67">
        <f t="shared" si="5"/>
      </c>
      <c r="B180" s="71"/>
      <c r="C180" s="72"/>
      <c r="D180" s="72"/>
      <c r="E180" s="72"/>
      <c r="F180" s="71"/>
      <c r="G180" s="71"/>
      <c r="H180" s="72"/>
    </row>
    <row r="181" spans="1:8" ht="19.5" customHeight="1" x14ac:dyDescent="0.2">
      <c r="A181" s="67">
        <f t="shared" si="5"/>
      </c>
      <c r="B181" s="71"/>
      <c r="C181" s="72"/>
      <c r="D181" s="72"/>
      <c r="E181" s="72"/>
      <c r="F181" s="71"/>
      <c r="G181" s="71"/>
      <c r="H181" s="72"/>
    </row>
    <row r="182" spans="1:8" ht="19.5" customHeight="1" x14ac:dyDescent="0.2">
      <c r="A182" s="67">
        <f t="shared" si="5"/>
      </c>
      <c r="B182" s="71"/>
      <c r="C182" s="72"/>
      <c r="D182" s="72"/>
      <c r="E182" s="72"/>
      <c r="F182" s="71"/>
      <c r="G182" s="71"/>
      <c r="H182" s="72"/>
    </row>
    <row r="183" spans="1:8" ht="19.5" customHeight="1" x14ac:dyDescent="0.2">
      <c r="A183" s="67">
        <f t="shared" si="5"/>
      </c>
      <c r="B183" s="71"/>
      <c r="C183" s="72"/>
      <c r="D183" s="72"/>
      <c r="E183" s="72"/>
      <c r="F183" s="71"/>
      <c r="G183" s="71"/>
      <c r="H183" s="72"/>
    </row>
    <row r="184" spans="1:8" ht="19.5" customHeight="1" x14ac:dyDescent="0.2">
      <c r="A184" s="67">
        <f t="shared" si="5"/>
      </c>
      <c r="B184" s="71"/>
      <c r="C184" s="72"/>
      <c r="D184" s="72"/>
      <c r="E184" s="72"/>
      <c r="F184" s="71"/>
      <c r="G184" s="71"/>
      <c r="H184" s="72"/>
    </row>
    <row r="185" spans="1:8" ht="19.5" customHeight="1" x14ac:dyDescent="0.2">
      <c r="A185" s="67">
        <f t="shared" si="5"/>
      </c>
      <c r="B185" s="71"/>
      <c r="C185" s="72"/>
      <c r="D185" s="72"/>
      <c r="E185" s="72"/>
      <c r="F185" s="71"/>
      <c r="G185" s="71"/>
      <c r="H185" s="72"/>
    </row>
    <row r="186" spans="1:8" ht="19.5" customHeight="1" x14ac:dyDescent="0.2">
      <c r="A186" s="67">
        <f t="shared" si="5"/>
      </c>
      <c r="B186" s="71"/>
      <c r="C186" s="72"/>
      <c r="D186" s="72"/>
      <c r="E186" s="72"/>
      <c r="F186" s="71"/>
      <c r="G186" s="71"/>
      <c r="H186" s="72"/>
    </row>
    <row r="187" spans="1:8" ht="19.5" customHeight="1" x14ac:dyDescent="0.2">
      <c r="A187" s="67">
        <f t="shared" si="5"/>
      </c>
      <c r="B187" s="71"/>
      <c r="C187" s="72"/>
      <c r="D187" s="72"/>
      <c r="E187" s="72"/>
      <c r="F187" s="71"/>
      <c r="G187" s="71"/>
      <c r="H187" s="72"/>
    </row>
    <row r="188" spans="1:8" ht="19.5" customHeight="1" x14ac:dyDescent="0.2">
      <c r="A188" s="67">
        <f t="shared" si="5"/>
      </c>
      <c r="B188" s="71"/>
      <c r="C188" s="72"/>
      <c r="D188" s="72"/>
      <c r="E188" s="72"/>
      <c r="F188" s="71"/>
      <c r="G188" s="71"/>
      <c r="H188" s="72"/>
    </row>
    <row r="189" spans="1:8" ht="19.5" customHeight="1" x14ac:dyDescent="0.2">
      <c r="A189" s="67">
        <f t="shared" si="5"/>
      </c>
      <c r="B189" s="71"/>
      <c r="C189" s="72"/>
      <c r="D189" s="72"/>
      <c r="E189" s="72"/>
      <c r="F189" s="71"/>
      <c r="G189" s="71"/>
      <c r="H189" s="72"/>
    </row>
    <row r="190" spans="1:8" ht="19.5" customHeight="1" x14ac:dyDescent="0.2">
      <c r="A190" s="67">
        <f t="shared" si="5"/>
      </c>
      <c r="B190" s="71"/>
      <c r="C190" s="72"/>
      <c r="D190" s="72"/>
      <c r="E190" s="72"/>
      <c r="F190" s="71"/>
      <c r="G190" s="71"/>
      <c r="H190" s="72"/>
    </row>
    <row r="191" spans="1:8" ht="19.5" customHeight="1" x14ac:dyDescent="0.2">
      <c r="A191" s="67">
        <f t="shared" si="5"/>
      </c>
      <c r="B191" s="71"/>
      <c r="C191" s="72"/>
      <c r="D191" s="72"/>
      <c r="E191" s="72"/>
      <c r="F191" s="71"/>
      <c r="G191" s="71"/>
      <c r="H191" s="72"/>
    </row>
    <row r="192" spans="1:8" ht="19.5" customHeight="1" x14ac:dyDescent="0.2">
      <c r="A192" s="67">
        <f t="shared" si="5"/>
      </c>
      <c r="B192" s="71"/>
      <c r="C192" s="72"/>
      <c r="D192" s="72"/>
      <c r="E192" s="72"/>
      <c r="F192" s="71"/>
      <c r="G192" s="71"/>
      <c r="H192" s="72"/>
    </row>
    <row r="193" spans="1:8" ht="19.5" customHeight="1" x14ac:dyDescent="0.2">
      <c r="A193" s="67">
        <f t="shared" si="5"/>
      </c>
      <c r="B193" s="71"/>
      <c r="C193" s="72"/>
      <c r="D193" s="72"/>
      <c r="E193" s="72"/>
      <c r="F193" s="71"/>
      <c r="G193" s="71"/>
      <c r="H193" s="72"/>
    </row>
    <row r="194" spans="1:8" ht="19.5" customHeight="1" x14ac:dyDescent="0.2">
      <c r="A194" s="67">
        <f t="shared" si="5"/>
      </c>
      <c r="B194" s="71"/>
      <c r="C194" s="72"/>
      <c r="D194" s="72"/>
      <c r="E194" s="72"/>
      <c r="F194" s="71"/>
      <c r="G194" s="71"/>
      <c r="H194" s="72"/>
    </row>
    <row r="195" spans="1:8" ht="19.5" customHeight="1" x14ac:dyDescent="0.2">
      <c r="A195" s="67">
        <f t="shared" si="5"/>
      </c>
      <c r="B195" s="71"/>
      <c r="C195" s="72"/>
      <c r="D195" s="72"/>
      <c r="E195" s="72"/>
      <c r="F195" s="71"/>
      <c r="G195" s="71"/>
      <c r="H195" s="72"/>
    </row>
    <row r="196" spans="1:8" ht="19.5" customHeight="1" x14ac:dyDescent="0.2">
      <c r="A196" s="67">
        <f t="shared" ref="A196:A202" si="6">A195+1</f>
      </c>
      <c r="B196" s="71"/>
      <c r="C196" s="72"/>
      <c r="D196" s="72"/>
      <c r="E196" s="72"/>
      <c r="F196" s="71"/>
      <c r="G196" s="71"/>
      <c r="H196" s="72"/>
    </row>
    <row r="197" spans="1:8" ht="19.5" customHeight="1" x14ac:dyDescent="0.2">
      <c r="A197" s="67">
        <f t="shared" si="6"/>
      </c>
      <c r="B197" s="71"/>
      <c r="C197" s="72"/>
      <c r="D197" s="72"/>
      <c r="E197" s="72"/>
      <c r="F197" s="71"/>
      <c r="G197" s="71"/>
      <c r="H197" s="72"/>
    </row>
    <row r="198" spans="1:8" ht="19.5" customHeight="1" x14ac:dyDescent="0.2">
      <c r="A198" s="67">
        <f t="shared" si="6"/>
      </c>
      <c r="B198" s="71"/>
      <c r="C198" s="72"/>
      <c r="D198" s="72"/>
      <c r="E198" s="72"/>
      <c r="F198" s="71"/>
      <c r="G198" s="71"/>
      <c r="H198" s="72"/>
    </row>
    <row r="199" spans="1:8" ht="19.5" customHeight="1" x14ac:dyDescent="0.2">
      <c r="A199" s="67">
        <f t="shared" si="6"/>
      </c>
      <c r="B199" s="71"/>
      <c r="C199" s="72"/>
      <c r="D199" s="72"/>
      <c r="E199" s="72"/>
      <c r="F199" s="71"/>
      <c r="G199" s="71"/>
      <c r="H199" s="72"/>
    </row>
    <row r="200" spans="1:8" ht="19.5" customHeight="1" x14ac:dyDescent="0.2">
      <c r="A200" s="67">
        <f t="shared" si="6"/>
      </c>
      <c r="B200" s="71"/>
      <c r="C200" s="72"/>
      <c r="D200" s="72"/>
      <c r="E200" s="72"/>
      <c r="F200" s="71"/>
      <c r="G200" s="71"/>
      <c r="H200" s="72"/>
    </row>
    <row r="201" spans="1:8" ht="19.5" customHeight="1" x14ac:dyDescent="0.2">
      <c r="A201" s="67">
        <f t="shared" si="6"/>
      </c>
      <c r="B201" s="71"/>
      <c r="C201" s="72"/>
      <c r="D201" s="72"/>
      <c r="E201" s="72"/>
      <c r="F201" s="71"/>
      <c r="G201" s="71"/>
      <c r="H201" s="72"/>
    </row>
    <row r="202" spans="1:8" ht="19.5" customHeight="1" x14ac:dyDescent="0.2">
      <c r="A202" s="67">
        <f t="shared" si="6"/>
      </c>
      <c r="B202" s="71"/>
      <c r="C202" s="72"/>
      <c r="D202" s="72"/>
      <c r="E202" s="72"/>
      <c r="F202" s="71"/>
      <c r="G202" s="71"/>
      <c r="H202" s="72"/>
    </row>
  </sheetData>
  <sheetProtection sheet="1" objects="1" scenarios="1" formatCells="0" formatColumns="0" formatRows="0" sort="0" autoFilter="0" pivotTables="0"/>
  <autoFilter ref="A2:H202" xr:uid="{00000000-0009-0000-0000-000001000000}"/>
  <conditionalFormatting sqref="A3:H202">
    <cfRule type="expression" dxfId="8" priority="1">
      <formula>$G3="SUBARRENDADO"</formula>
    </cfRule>
  </conditionalFormatting>
  <dataValidations count="1">
    <dataValidation type="list" allowBlank="1" showInputMessage="1" showErrorMessage="1" sqref="G3:G202" xr:uid="{00000000-0002-0000-0100-000000000000}">
      <formula1>"PROPIO,SUBARRENDADO"</formula1>
    </dataValidation>
  </dataValidations>
  <pageMargins left="0.5" right="0.5" top="0.6" bottom="0.6" header="0" footer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ECABEB-A6D5-4D43-AA34-88D47433A070}">
  <sheetPr codeName="Hoja2">
    <tabColor rgb="FF073A7A"/>
  </sheetPr>
  <dimension ref="A1:IP2002"/>
  <sheetViews>
    <sheetView topLeftCell="L1" zoomScale="142" zoomScaleNormal="110" workbookViewId="0">
      <pane ySplit="2" topLeftCell="A3" activePane="bottomLeft" state="frozen"/>
      <selection pane="bottomLeft" activeCell="T4" sqref="T4"/>
    </sheetView>
  </sheetViews>
  <sheetFormatPr baseColWidth="10" defaultColWidth="66.85546875" defaultRowHeight="16" x14ac:dyDescent="0.2"/>
  <cols>
    <col min="1" max="1" width="10.140625" style="14" bestFit="1" customWidth="1"/>
    <col min="2" max="5" width="15.140625" style="18" customWidth="1"/>
    <col min="6" max="6" width="19.140625" style="25" customWidth="1"/>
    <col min="7" max="7" width="13.42578125" style="19" bestFit="1" customWidth="1"/>
    <col min="8" max="8" width="17.85546875" style="20" bestFit="1" customWidth="1"/>
    <col min="9" max="9" width="13.42578125" style="19" customWidth="1"/>
    <col min="10" max="10" width="13.42578125" style="21" customWidth="1"/>
    <col min="11" max="11" width="27.140625" style="19" customWidth="1"/>
    <col min="12" max="12" width="16.42578125" style="19" customWidth="1"/>
    <col min="13" max="13" width="13.42578125" style="19" customWidth="1"/>
    <col min="14" max="14" width="56.42578125" style="18" bestFit="1" customWidth="1"/>
    <col min="15" max="15" width="13.85546875" style="20" customWidth="1"/>
    <col min="16" max="16" width="0" style="22" hidden="1" customWidth="1"/>
    <col min="17" max="17" width="0" style="20" hidden="1" customWidth="1"/>
    <col min="18" max="18" width="17.42578125" style="23" bestFit="1" customWidth="1"/>
    <col min="19" max="20" width="56.42578125" style="18" bestFit="1" customWidth="1"/>
    <col min="21" max="23" width="13.85546875" style="20" customWidth="1"/>
    <col min="24" max="24" width="13.85546875" style="23" customWidth="1"/>
    <col min="25" max="27" width="16.85546875" style="9" customWidth="1"/>
    <col min="28" max="28" width="18" style="9" customWidth="1"/>
    <col min="29" max="29" width="21.5703125" style="9" customWidth="1"/>
    <col min="30" max="30" width="38.42578125" style="9" customWidth="1"/>
    <col min="31" max="249" width="0" style="9" hidden="1" customWidth="1"/>
    <col min="250" max="250" width="4.140625" style="9" hidden="1" customWidth="1"/>
    <col min="251" max="16384" width="66.85546875" style="11"/>
  </cols>
  <sheetData>
    <row r="1" spans="1:35" s="17" customFormat="1" x14ac:dyDescent="0.2">
      <c r="A1" s="48"/>
      <c r="B1" s="49" t="s">
        <v>24</v>
      </c>
      <c r="C1" s="49" t="s">
        <v>25</v>
      </c>
      <c r="D1" s="49" t="s">
        <v>24</v>
      </c>
      <c r="E1" s="49" t="s">
        <v>25</v>
      </c>
      <c r="F1" s="50"/>
      <c r="G1" s="51" t="s">
        <v>45</v>
      </c>
      <c r="H1" s="49" t="s">
        <v>26</v>
      </c>
      <c r="I1" s="49" t="s">
        <v>11</v>
      </c>
      <c r="J1" s="52" t="s">
        <v>13</v>
      </c>
      <c r="K1" s="49" t="s">
        <v>14</v>
      </c>
      <c r="L1" s="49" t="s">
        <v>15</v>
      </c>
      <c r="M1" s="49" t="s">
        <v>45</v>
      </c>
      <c r="N1" s="49" t="s">
        <v>18</v>
      </c>
      <c r="O1" s="49"/>
      <c r="P1" s="53"/>
      <c r="Q1" s="49"/>
      <c r="R1" s="54"/>
      <c r="S1" s="49" t="s">
        <v>82</v>
      </c>
      <c r="T1" s="49" t="s">
        <v>18</v>
      </c>
      <c r="U1" s="49"/>
      <c r="V1" s="49"/>
      <c r="W1" s="49"/>
      <c r="X1" s="55" t="s">
        <v>29</v>
      </c>
    </row>
    <row r="2" spans="1:35" s="17" customFormat="1" ht="17" thickBot="1" x14ac:dyDescent="0.25">
      <c r="A2" s="56" t="s">
        <v>34</v>
      </c>
      <c r="B2" s="57" t="s">
        <v>2</v>
      </c>
      <c r="C2" s="57" t="s">
        <v>2</v>
      </c>
      <c r="D2" s="57" t="s">
        <v>1</v>
      </c>
      <c r="E2" s="57" t="s">
        <v>1</v>
      </c>
      <c r="F2" s="58" t="s">
        <v>17</v>
      </c>
      <c r="G2" s="59" t="s">
        <v>46</v>
      </c>
      <c r="H2" s="57" t="s">
        <v>42</v>
      </c>
      <c r="I2" s="57" t="s">
        <v>12</v>
      </c>
      <c r="J2" s="60" t="s">
        <v>41</v>
      </c>
      <c r="K2" s="57" t="s">
        <v>37</v>
      </c>
      <c r="L2" s="57" t="s">
        <v>3</v>
      </c>
      <c r="M2" s="57" t="s">
        <v>41</v>
      </c>
      <c r="N2" s="57" t="s">
        <v>81</v>
      </c>
      <c r="O2" s="57" t="s">
        <v>0</v>
      </c>
      <c r="P2" s="61"/>
      <c r="Q2" s="57" t="s">
        <v>5</v>
      </c>
      <c r="R2" s="62" t="s">
        <v>29</v>
      </c>
      <c r="S2" s="57" t="s">
        <v>83</v>
      </c>
      <c r="T2" s="57" t="s">
        <v>84</v>
      </c>
      <c r="U2" s="57" t="s">
        <v>19</v>
      </c>
      <c r="V2" s="57" t="s">
        <v>4</v>
      </c>
      <c r="W2" s="57" t="s">
        <v>5</v>
      </c>
      <c r="X2" s="63" t="s">
        <v>84</v>
      </c>
      <c r="Y2" s="64" t="s">
        <v>50</v>
      </c>
      <c r="AH2" s="65">
        <v>0</v>
      </c>
    </row>
    <row r="3" spans="1:35" x14ac:dyDescent="0.2">
      <c r="A3" s="47">
        <v>1</v>
      </c>
      <c r="B3" s="4"/>
      <c r="C3" s="4"/>
      <c r="D3" s="4"/>
      <c r="E3" s="4"/>
      <c r="F3" s="32"/>
      <c r="G3" s="8"/>
      <c r="H3" s="9"/>
      <c r="I3" s="8"/>
      <c r="J3" s="10"/>
      <c r="K3" s="8"/>
      <c r="L3" s="8"/>
      <c r="M3" s="8"/>
      <c r="N3" s="11"/>
      <c r="O3" s="9"/>
      <c r="P3" s="12"/>
      <c r="Q3" s="9"/>
      <c r="R3" s="13"/>
      <c r="S3" s="34"/>
      <c r="T3" s="6"/>
      <c r="U3" s="7"/>
      <c r="V3" s="7"/>
      <c r="W3" s="7"/>
      <c r="X3" s="15"/>
      <c r="AF3" s="42">
        <f>IF(BUSCAR!$C$8="FECHA NAC.",$G3,IF(BUSCAR!$C$8="PASAPORTE EXPIRA",$J3,IF(BUSCAR!$C$8="LICENCIA EMISION",$L3,IF(BUSCAR!$C$8="LICENCIA EXPIRA",$M3,""))))</f>
      </c>
      <c r="AG3" s="42">
        <f>IF($B3&amp;$C3&amp;$D3&amp;$E3&amp;$H3="",0,IF(AND(OR(BUSCAR!$J$5="",ISNUMBER(SEARCH(BUSCAR!$J$5,$AI3))),OR(BUSCAR!$J$6="",ISNUMBER(SEARCH(BUSCAR!$J$6,$AI3))),OR(BUSCAR!$J$8="",ISNUMBER(SEARCH(BUSCAR!$J$8,$AI3))),OR(BUSCAR!$J$9="",ISNUMBER(SEARCH(BUSCAR!$J$9,$AI3))),OR(NOT(BUSCAR!$J$2),AND(ISNUMBER($AF3),$AF3&gt;=BUSCAR!$J$3,$AF3&lt;=BUSCAR!$J$4))),1,0))</f>
      </c>
      <c r="AH3" s="42">
        <f t="shared" ref="AH3:AH66" si="0">AH2+AG3</f>
      </c>
      <c r="AI3" s="42">
        <f t="shared" ref="AI3:AI66" si="1">IF($B3&amp;" "&amp;$C3&amp;" "&amp;$D3&amp;" "&amp;$E3&amp;" "&amp;$H3&amp;" "&amp;$K3&amp;" "&amp;$R3&amp;" "&amp;$AC3&amp;" "&amp;$AD3="","",SUBSTITUTE(SUBSTITUTE(SUBSTITUTE(SUBSTITUTE(SUBSTITUTE(SUBSTITUTE(SUBSTITUTE(UPPER($B3&amp;" "&amp;$C3&amp;" "&amp;$D3&amp;" "&amp;$E3&amp;" "&amp;$H3&amp;" "&amp;$K3&amp;" "&amp;$R3&amp;" "&amp;$AC3&amp;" "&amp;$AD3),"Á","A"),"É","E"),"Í","I"),"Ó","O"),"Ú","U"),"Ü","U"),"Ñ","N"))</f>
      </c>
    </row>
    <row r="4" spans="1:35" x14ac:dyDescent="0.2">
      <c r="A4" s="66">
        <f t="shared" ref="A4:A67" si="2">A3+1</f>
      </c>
      <c r="B4" s="4"/>
      <c r="C4" s="4"/>
      <c r="D4" s="4"/>
      <c r="E4" s="5"/>
      <c r="F4" s="33"/>
      <c r="G4" s="8"/>
      <c r="H4" s="9"/>
      <c r="I4" s="8"/>
      <c r="J4" s="10"/>
      <c r="K4" s="8"/>
      <c r="L4" s="8"/>
      <c r="M4" s="8"/>
      <c r="N4" s="11"/>
      <c r="O4" s="9"/>
      <c r="P4" s="12"/>
      <c r="Q4" s="9"/>
      <c r="R4" s="13"/>
      <c r="S4" s="11"/>
      <c r="T4" s="11"/>
      <c r="U4" s="9"/>
      <c r="V4" s="9"/>
      <c r="W4" s="9"/>
      <c r="X4" s="16"/>
      <c r="AF4" s="42">
        <f>IF(BUSCAR!$C$8="FECHA NAC.",$G4,IF(BUSCAR!$C$8="PASAPORTE EXPIRA",$J4,IF(BUSCAR!$C$8="LICENCIA EMISION",$L4,IF(BUSCAR!$C$8="LICENCIA EXPIRA",$M4,""))))</f>
      </c>
      <c r="AG4" s="42">
        <f>IF($B4&amp;$C4&amp;$D4&amp;$E4&amp;$H4="",0,IF(AND(OR(BUSCAR!$J$5="",ISNUMBER(SEARCH(BUSCAR!$J$5,$AI4))),OR(BUSCAR!$J$6="",ISNUMBER(SEARCH(BUSCAR!$J$6,$AI4))),OR(BUSCAR!$J$8="",ISNUMBER(SEARCH(BUSCAR!$J$8,$AI4))),OR(BUSCAR!$J$9="",ISNUMBER(SEARCH(BUSCAR!$J$9,$AI4))),OR(NOT(BUSCAR!$J$2),AND(ISNUMBER($AF4),$AF4&gt;=BUSCAR!$J$3,$AF4&lt;=BUSCAR!$J$4))),1,0))</f>
      </c>
      <c r="AH4" s="42">
        <f t="shared" si="0"/>
      </c>
      <c r="AI4" s="42">
        <f t="shared" si="1"/>
      </c>
    </row>
    <row r="5" spans="1:35" x14ac:dyDescent="0.2">
      <c r="A5" s="66">
        <f t="shared" si="2"/>
      </c>
      <c r="B5" s="4"/>
      <c r="C5" s="4"/>
      <c r="D5" s="4"/>
      <c r="E5" s="5"/>
      <c r="F5" s="33"/>
      <c r="G5" s="8"/>
      <c r="H5" s="9"/>
      <c r="I5" s="8"/>
      <c r="J5" s="10"/>
      <c r="K5" s="8"/>
      <c r="L5" s="8"/>
      <c r="M5" s="8"/>
      <c r="N5" s="11"/>
      <c r="O5" s="9"/>
      <c r="P5" s="12"/>
      <c r="Q5" s="9"/>
      <c r="R5" s="13"/>
      <c r="S5" s="11"/>
      <c r="T5" s="11"/>
      <c r="U5" s="9"/>
      <c r="V5" s="9"/>
      <c r="W5" s="9"/>
      <c r="X5" s="16"/>
      <c r="AF5" s="42">
        <f>IF(BUSCAR!$C$8="FECHA NAC.",$G5,IF(BUSCAR!$C$8="PASAPORTE EXPIRA",$J5,IF(BUSCAR!$C$8="LICENCIA EMISION",$L5,IF(BUSCAR!$C$8="LICENCIA EXPIRA",$M5,""))))</f>
      </c>
      <c r="AG5" s="42">
        <f>IF($B5&amp;$C5&amp;$D5&amp;$E5&amp;$H5="",0,IF(AND(OR(BUSCAR!$J$5="",ISNUMBER(SEARCH(BUSCAR!$J$5,$AI5))),OR(BUSCAR!$J$6="",ISNUMBER(SEARCH(BUSCAR!$J$6,$AI5))),OR(BUSCAR!$J$8="",ISNUMBER(SEARCH(BUSCAR!$J$8,$AI5))),OR(BUSCAR!$J$9="",ISNUMBER(SEARCH(BUSCAR!$J$9,$AI5))),OR(NOT(BUSCAR!$J$2),AND(ISNUMBER($AF5),$AF5&gt;=BUSCAR!$J$3,$AF5&lt;=BUSCAR!$J$4))),1,0))</f>
      </c>
      <c r="AH5" s="42">
        <f t="shared" si="0"/>
      </c>
      <c r="AI5" s="42">
        <f t="shared" si="1"/>
      </c>
    </row>
    <row r="6" spans="1:35" x14ac:dyDescent="0.2">
      <c r="A6" s="66">
        <f t="shared" si="2"/>
      </c>
      <c r="B6" s="4"/>
      <c r="C6" s="4"/>
      <c r="D6" s="4"/>
      <c r="E6" s="5"/>
      <c r="F6" s="33"/>
      <c r="G6" s="8"/>
      <c r="H6" s="9"/>
      <c r="I6" s="8"/>
      <c r="J6" s="10"/>
      <c r="K6" s="9"/>
      <c r="L6" s="8"/>
      <c r="M6" s="10"/>
      <c r="N6" s="11"/>
      <c r="O6" s="9"/>
      <c r="P6" s="12"/>
      <c r="Q6" s="9"/>
      <c r="R6" s="13"/>
      <c r="S6" s="11"/>
      <c r="T6" s="11"/>
      <c r="U6" s="9"/>
      <c r="V6" s="9"/>
      <c r="W6" s="9"/>
      <c r="X6" s="16"/>
      <c r="AF6" s="42">
        <f>IF(BUSCAR!$C$8="FECHA NAC.",$G6,IF(BUSCAR!$C$8="PASAPORTE EXPIRA",$J6,IF(BUSCAR!$C$8="LICENCIA EMISION",$L6,IF(BUSCAR!$C$8="LICENCIA EXPIRA",$M6,""))))</f>
      </c>
      <c r="AG6" s="42">
        <f>IF($B6&amp;$C6&amp;$D6&amp;$E6&amp;$H6="",0,IF(AND(OR(BUSCAR!$J$5="",ISNUMBER(SEARCH(BUSCAR!$J$5,$AI6))),OR(BUSCAR!$J$6="",ISNUMBER(SEARCH(BUSCAR!$J$6,$AI6))),OR(BUSCAR!$J$8="",ISNUMBER(SEARCH(BUSCAR!$J$8,$AI6))),OR(BUSCAR!$J$9="",ISNUMBER(SEARCH(BUSCAR!$J$9,$AI6))),OR(NOT(BUSCAR!$J$2),AND(ISNUMBER($AF6),$AF6&gt;=BUSCAR!$J$3,$AF6&lt;=BUSCAR!$J$4))),1,0))</f>
      </c>
      <c r="AH6" s="42">
        <f t="shared" si="0"/>
      </c>
      <c r="AI6" s="42">
        <f t="shared" si="1"/>
      </c>
    </row>
    <row r="7" spans="1:35" x14ac:dyDescent="0.2">
      <c r="A7" s="66">
        <f t="shared" si="2"/>
      </c>
      <c r="B7" s="4"/>
      <c r="C7" s="4"/>
      <c r="D7" s="4"/>
      <c r="E7" s="5"/>
      <c r="F7" s="33"/>
      <c r="G7" s="8"/>
      <c r="H7" s="9"/>
      <c r="I7" s="8"/>
      <c r="J7" s="10"/>
      <c r="K7" s="8"/>
      <c r="L7" s="8"/>
      <c r="M7" s="8"/>
      <c r="N7" s="11"/>
      <c r="O7" s="9"/>
      <c r="P7" s="12"/>
      <c r="Q7" s="9"/>
      <c r="R7" s="13"/>
      <c r="S7" s="11"/>
      <c r="T7" s="11"/>
      <c r="U7" s="9"/>
      <c r="V7" s="9"/>
      <c r="W7" s="9"/>
      <c r="X7" s="16"/>
      <c r="AF7" s="42">
        <f>IF(BUSCAR!$C$8="FECHA NAC.",$G7,IF(BUSCAR!$C$8="PASAPORTE EXPIRA",$J7,IF(BUSCAR!$C$8="LICENCIA EMISION",$L7,IF(BUSCAR!$C$8="LICENCIA EXPIRA",$M7,""))))</f>
      </c>
      <c r="AG7" s="42">
        <f>IF($B7&amp;$C7&amp;$D7&amp;$E7&amp;$H7="",0,IF(AND(OR(BUSCAR!$J$5="",ISNUMBER(SEARCH(BUSCAR!$J$5,$AI7))),OR(BUSCAR!$J$6="",ISNUMBER(SEARCH(BUSCAR!$J$6,$AI7))),OR(BUSCAR!$J$8="",ISNUMBER(SEARCH(BUSCAR!$J$8,$AI7))),OR(BUSCAR!$J$9="",ISNUMBER(SEARCH(BUSCAR!$J$9,$AI7))),OR(NOT(BUSCAR!$J$2),AND(ISNUMBER($AF7),$AF7&gt;=BUSCAR!$J$3,$AF7&lt;=BUSCAR!$J$4))),1,0))</f>
      </c>
      <c r="AH7" s="42">
        <f t="shared" si="0"/>
      </c>
      <c r="AI7" s="42">
        <f t="shared" si="1"/>
      </c>
    </row>
    <row r="8" spans="1:35" x14ac:dyDescent="0.2">
      <c r="A8" s="66">
        <f t="shared" si="2"/>
      </c>
      <c r="B8" s="4"/>
      <c r="C8" s="4"/>
      <c r="D8" s="4"/>
      <c r="E8" s="4"/>
      <c r="F8" s="32"/>
      <c r="G8" s="8"/>
      <c r="H8" s="9"/>
      <c r="I8" s="8"/>
      <c r="J8" s="10"/>
      <c r="K8" s="8"/>
      <c r="L8" s="8"/>
      <c r="M8" s="8"/>
      <c r="N8" s="11"/>
      <c r="O8" s="9"/>
      <c r="P8" s="12"/>
      <c r="Q8" s="9"/>
      <c r="R8" s="13"/>
      <c r="S8" s="11"/>
      <c r="T8" s="11"/>
      <c r="U8" s="9"/>
      <c r="V8" s="9"/>
      <c r="W8" s="9"/>
      <c r="X8" s="16"/>
      <c r="AF8" s="42">
        <f>IF(BUSCAR!$C$8="FECHA NAC.",$G8,IF(BUSCAR!$C$8="PASAPORTE EXPIRA",$J8,IF(BUSCAR!$C$8="LICENCIA EMISION",$L8,IF(BUSCAR!$C$8="LICENCIA EXPIRA",$M8,""))))</f>
      </c>
      <c r="AG8" s="42">
        <f>IF($B8&amp;$C8&amp;$D8&amp;$E8&amp;$H8="",0,IF(AND(OR(BUSCAR!$J$5="",ISNUMBER(SEARCH(BUSCAR!$J$5,$AI8))),OR(BUSCAR!$J$6="",ISNUMBER(SEARCH(BUSCAR!$J$6,$AI8))),OR(BUSCAR!$J$8="",ISNUMBER(SEARCH(BUSCAR!$J$8,$AI8))),OR(BUSCAR!$J$9="",ISNUMBER(SEARCH(BUSCAR!$J$9,$AI8))),OR(NOT(BUSCAR!$J$2),AND(ISNUMBER($AF8),$AF8&gt;=BUSCAR!$J$3,$AF8&lt;=BUSCAR!$J$4))),1,0))</f>
      </c>
      <c r="AH8" s="42">
        <f t="shared" si="0"/>
      </c>
      <c r="AI8" s="42">
        <f t="shared" si="1"/>
      </c>
    </row>
    <row r="9" spans="1:35" x14ac:dyDescent="0.2">
      <c r="A9" s="66">
        <f t="shared" si="2"/>
      </c>
      <c r="B9" s="4"/>
      <c r="C9" s="4"/>
      <c r="D9" s="4"/>
      <c r="E9" s="4"/>
      <c r="F9" s="32"/>
      <c r="G9" s="8"/>
      <c r="H9" s="9"/>
      <c r="I9" s="8"/>
      <c r="J9" s="10"/>
      <c r="K9" s="8"/>
      <c r="L9" s="8"/>
      <c r="M9" s="8"/>
      <c r="N9" s="11"/>
      <c r="O9" s="9"/>
      <c r="P9" s="12"/>
      <c r="Q9" s="9"/>
      <c r="R9" s="13"/>
      <c r="S9" s="11"/>
      <c r="T9" s="11"/>
      <c r="U9" s="9"/>
      <c r="V9" s="9"/>
      <c r="W9" s="9"/>
      <c r="X9" s="16"/>
      <c r="AF9" s="42">
        <f>IF(BUSCAR!$C$8="FECHA NAC.",$G9,IF(BUSCAR!$C$8="PASAPORTE EXPIRA",$J9,IF(BUSCAR!$C$8="LICENCIA EMISION",$L9,IF(BUSCAR!$C$8="LICENCIA EXPIRA",$M9,""))))</f>
      </c>
      <c r="AG9" s="42">
        <f>IF($B9&amp;$C9&amp;$D9&amp;$E9&amp;$H9="",0,IF(AND(OR(BUSCAR!$J$5="",ISNUMBER(SEARCH(BUSCAR!$J$5,$AI9))),OR(BUSCAR!$J$6="",ISNUMBER(SEARCH(BUSCAR!$J$6,$AI9))),OR(BUSCAR!$J$8="",ISNUMBER(SEARCH(BUSCAR!$J$8,$AI9))),OR(BUSCAR!$J$9="",ISNUMBER(SEARCH(BUSCAR!$J$9,$AI9))),OR(NOT(BUSCAR!$J$2),AND(ISNUMBER($AF9),$AF9&gt;=BUSCAR!$J$3,$AF9&lt;=BUSCAR!$J$4))),1,0))</f>
      </c>
      <c r="AH9" s="42">
        <f t="shared" si="0"/>
      </c>
      <c r="AI9" s="42">
        <f t="shared" si="1"/>
      </c>
    </row>
    <row r="10" spans="1:35" x14ac:dyDescent="0.2">
      <c r="A10" s="66">
        <f t="shared" si="2"/>
      </c>
      <c r="B10" s="4"/>
      <c r="C10" s="4"/>
      <c r="D10" s="4"/>
      <c r="E10" s="4"/>
      <c r="F10" s="32"/>
      <c r="G10" s="8"/>
      <c r="H10" s="9"/>
      <c r="I10" s="8"/>
      <c r="J10" s="10"/>
      <c r="K10" s="8"/>
      <c r="L10" s="8"/>
      <c r="M10" s="8"/>
      <c r="N10" s="11"/>
      <c r="O10" s="9"/>
      <c r="P10" s="12"/>
      <c r="Q10" s="9"/>
      <c r="R10" s="13"/>
      <c r="S10" s="11"/>
      <c r="T10" s="11"/>
      <c r="U10" s="9"/>
      <c r="V10" s="9"/>
      <c r="W10" s="9"/>
      <c r="X10" s="16"/>
      <c r="AF10" s="42">
        <f>IF(BUSCAR!$C$8="FECHA NAC.",$G10,IF(BUSCAR!$C$8="PASAPORTE EXPIRA",$J10,IF(BUSCAR!$C$8="LICENCIA EMISION",$L10,IF(BUSCAR!$C$8="LICENCIA EXPIRA",$M10,""))))</f>
      </c>
      <c r="AG10" s="42">
        <f>IF($B10&amp;$C10&amp;$D10&amp;$E10&amp;$H10="",0,IF(AND(OR(BUSCAR!$J$5="",ISNUMBER(SEARCH(BUSCAR!$J$5,$AI10))),OR(BUSCAR!$J$6="",ISNUMBER(SEARCH(BUSCAR!$J$6,$AI10))),OR(BUSCAR!$J$8="",ISNUMBER(SEARCH(BUSCAR!$J$8,$AI10))),OR(BUSCAR!$J$9="",ISNUMBER(SEARCH(BUSCAR!$J$9,$AI10))),OR(NOT(BUSCAR!$J$2),AND(ISNUMBER($AF10),$AF10&gt;=BUSCAR!$J$3,$AF10&lt;=BUSCAR!$J$4))),1,0))</f>
      </c>
      <c r="AH10" s="42">
        <f t="shared" si="0"/>
      </c>
      <c r="AI10" s="42">
        <f t="shared" si="1"/>
      </c>
    </row>
    <row r="11" spans="1:35" x14ac:dyDescent="0.2">
      <c r="A11" s="66">
        <f t="shared" si="2"/>
      </c>
      <c r="B11" s="4"/>
      <c r="C11" s="4"/>
      <c r="D11" s="4"/>
      <c r="E11" s="4"/>
      <c r="F11" s="32"/>
      <c r="G11" s="8"/>
      <c r="H11" s="9"/>
      <c r="I11" s="8"/>
      <c r="J11" s="10"/>
      <c r="K11" s="8"/>
      <c r="L11" s="8"/>
      <c r="M11" s="8"/>
      <c r="N11" s="11"/>
      <c r="O11" s="9"/>
      <c r="P11" s="12"/>
      <c r="Q11" s="9"/>
      <c r="R11" s="13"/>
      <c r="S11" s="11"/>
      <c r="T11" s="11"/>
      <c r="U11" s="9"/>
      <c r="V11" s="9"/>
      <c r="W11" s="9"/>
      <c r="X11" s="16"/>
      <c r="AF11" s="42">
        <f>IF(BUSCAR!$C$8="FECHA NAC.",$G11,IF(BUSCAR!$C$8="PASAPORTE EXPIRA",$J11,IF(BUSCAR!$C$8="LICENCIA EMISION",$L11,IF(BUSCAR!$C$8="LICENCIA EXPIRA",$M11,""))))</f>
      </c>
      <c r="AG11" s="42">
        <f>IF($B11&amp;$C11&amp;$D11&amp;$E11&amp;$H11="",0,IF(AND(OR(BUSCAR!$J$5="",ISNUMBER(SEARCH(BUSCAR!$J$5,$AI11))),OR(BUSCAR!$J$6="",ISNUMBER(SEARCH(BUSCAR!$J$6,$AI11))),OR(BUSCAR!$J$8="",ISNUMBER(SEARCH(BUSCAR!$J$8,$AI11))),OR(BUSCAR!$J$9="",ISNUMBER(SEARCH(BUSCAR!$J$9,$AI11))),OR(NOT(BUSCAR!$J$2),AND(ISNUMBER($AF11),$AF11&gt;=BUSCAR!$J$3,$AF11&lt;=BUSCAR!$J$4))),1,0))</f>
      </c>
      <c r="AH11" s="42">
        <f t="shared" si="0"/>
      </c>
      <c r="AI11" s="42">
        <f t="shared" si="1"/>
      </c>
    </row>
    <row r="12" spans="1:35" x14ac:dyDescent="0.2">
      <c r="A12" s="66">
        <f t="shared" si="2"/>
      </c>
      <c r="B12" s="4"/>
      <c r="C12" s="4"/>
      <c r="D12" s="4"/>
      <c r="E12" s="4"/>
      <c r="F12" s="32"/>
      <c r="G12" s="8"/>
      <c r="H12" s="9"/>
      <c r="I12" s="8"/>
      <c r="J12" s="10"/>
      <c r="K12" s="8"/>
      <c r="L12" s="8"/>
      <c r="M12" s="8"/>
      <c r="N12" s="11"/>
      <c r="O12" s="9"/>
      <c r="P12" s="12"/>
      <c r="Q12" s="9"/>
      <c r="R12" s="13"/>
      <c r="S12" s="11"/>
      <c r="T12" s="11"/>
      <c r="U12" s="9"/>
      <c r="V12" s="9"/>
      <c r="W12" s="9"/>
      <c r="X12" s="16"/>
      <c r="AF12" s="42">
        <f>IF(BUSCAR!$C$8="FECHA NAC.",$G12,IF(BUSCAR!$C$8="PASAPORTE EXPIRA",$J12,IF(BUSCAR!$C$8="LICENCIA EMISION",$L12,IF(BUSCAR!$C$8="LICENCIA EXPIRA",$M12,""))))</f>
      </c>
      <c r="AG12" s="42">
        <f>IF($B12&amp;$C12&amp;$D12&amp;$E12&amp;$H12="",0,IF(AND(OR(BUSCAR!$J$5="",ISNUMBER(SEARCH(BUSCAR!$J$5,$AI12))),OR(BUSCAR!$J$6="",ISNUMBER(SEARCH(BUSCAR!$J$6,$AI12))),OR(BUSCAR!$J$8="",ISNUMBER(SEARCH(BUSCAR!$J$8,$AI12))),OR(BUSCAR!$J$9="",ISNUMBER(SEARCH(BUSCAR!$J$9,$AI12))),OR(NOT(BUSCAR!$J$2),AND(ISNUMBER($AF12),$AF12&gt;=BUSCAR!$J$3,$AF12&lt;=BUSCAR!$J$4))),1,0))</f>
      </c>
      <c r="AH12" s="42">
        <f t="shared" si="0"/>
      </c>
      <c r="AI12" s="42">
        <f t="shared" si="1"/>
      </c>
    </row>
    <row r="13" spans="1:35" x14ac:dyDescent="0.2">
      <c r="A13" s="66">
        <f t="shared" si="2"/>
      </c>
      <c r="B13" s="4"/>
      <c r="C13" s="4"/>
      <c r="D13" s="4"/>
      <c r="E13" s="4"/>
      <c r="F13" s="32"/>
      <c r="G13" s="8"/>
      <c r="H13" s="9"/>
      <c r="I13" s="8"/>
      <c r="J13" s="10"/>
      <c r="K13" s="8"/>
      <c r="L13" s="8"/>
      <c r="M13" s="8"/>
      <c r="N13" s="11"/>
      <c r="O13" s="9"/>
      <c r="P13" s="12"/>
      <c r="Q13" s="9"/>
      <c r="R13" s="13"/>
      <c r="S13" s="11"/>
      <c r="T13" s="11"/>
      <c r="U13" s="9"/>
      <c r="V13" s="9"/>
      <c r="W13" s="9"/>
      <c r="X13" s="16"/>
      <c r="AF13" s="42">
        <f>IF(BUSCAR!$C$8="FECHA NAC.",$G13,IF(BUSCAR!$C$8="PASAPORTE EXPIRA",$J13,IF(BUSCAR!$C$8="LICENCIA EMISION",$L13,IF(BUSCAR!$C$8="LICENCIA EXPIRA",$M13,""))))</f>
      </c>
      <c r="AG13" s="42">
        <f>IF($B13&amp;$C13&amp;$D13&amp;$E13&amp;$H13="",0,IF(AND(OR(BUSCAR!$J$5="",ISNUMBER(SEARCH(BUSCAR!$J$5,$AI13))),OR(BUSCAR!$J$6="",ISNUMBER(SEARCH(BUSCAR!$J$6,$AI13))),OR(BUSCAR!$J$8="",ISNUMBER(SEARCH(BUSCAR!$J$8,$AI13))),OR(BUSCAR!$J$9="",ISNUMBER(SEARCH(BUSCAR!$J$9,$AI13))),OR(NOT(BUSCAR!$J$2),AND(ISNUMBER($AF13),$AF13&gt;=BUSCAR!$J$3,$AF13&lt;=BUSCAR!$J$4))),1,0))</f>
      </c>
      <c r="AH13" s="42">
        <f t="shared" si="0"/>
      </c>
      <c r="AI13" s="42">
        <f t="shared" si="1"/>
      </c>
    </row>
    <row r="14" spans="1:35" x14ac:dyDescent="0.2">
      <c r="A14" s="66">
        <f t="shared" si="2"/>
      </c>
      <c r="B14" s="4"/>
      <c r="C14" s="4"/>
      <c r="D14" s="4"/>
      <c r="E14" s="4"/>
      <c r="F14" s="32"/>
      <c r="G14" s="8"/>
      <c r="H14" s="9"/>
      <c r="I14" s="8"/>
      <c r="J14" s="10"/>
      <c r="K14" s="8"/>
      <c r="L14" s="8"/>
      <c r="M14" s="8"/>
      <c r="N14" s="11"/>
      <c r="O14" s="9"/>
      <c r="P14" s="12"/>
      <c r="Q14" s="9"/>
      <c r="R14" s="13"/>
      <c r="S14" s="11"/>
      <c r="T14" s="11"/>
      <c r="U14" s="9"/>
      <c r="V14" s="9"/>
      <c r="W14" s="9"/>
      <c r="X14" s="16"/>
      <c r="AF14" s="42">
        <f>IF(BUSCAR!$C$8="FECHA NAC.",$G14,IF(BUSCAR!$C$8="PASAPORTE EXPIRA",$J14,IF(BUSCAR!$C$8="LICENCIA EMISION",$L14,IF(BUSCAR!$C$8="LICENCIA EXPIRA",$M14,""))))</f>
      </c>
      <c r="AG14" s="42">
        <f>IF($B14&amp;$C14&amp;$D14&amp;$E14&amp;$H14="",0,IF(AND(OR(BUSCAR!$J$5="",ISNUMBER(SEARCH(BUSCAR!$J$5,$AI14))),OR(BUSCAR!$J$6="",ISNUMBER(SEARCH(BUSCAR!$J$6,$AI14))),OR(BUSCAR!$J$8="",ISNUMBER(SEARCH(BUSCAR!$J$8,$AI14))),OR(BUSCAR!$J$9="",ISNUMBER(SEARCH(BUSCAR!$J$9,$AI14))),OR(NOT(BUSCAR!$J$2),AND(ISNUMBER($AF14),$AF14&gt;=BUSCAR!$J$3,$AF14&lt;=BUSCAR!$J$4))),1,0))</f>
      </c>
      <c r="AH14" s="42">
        <f t="shared" si="0"/>
      </c>
      <c r="AI14" s="42">
        <f t="shared" si="1"/>
      </c>
    </row>
    <row r="15" spans="1:35" x14ac:dyDescent="0.2">
      <c r="A15" s="66">
        <f t="shared" si="2"/>
      </c>
      <c r="B15" s="4"/>
      <c r="C15" s="4"/>
      <c r="D15" s="4"/>
      <c r="E15" s="4"/>
      <c r="F15" s="32"/>
      <c r="G15" s="8"/>
      <c r="H15" s="9"/>
      <c r="I15" s="8"/>
      <c r="J15" s="10"/>
      <c r="K15" s="8"/>
      <c r="L15" s="8"/>
      <c r="M15" s="8"/>
      <c r="N15" s="11"/>
      <c r="O15" s="9"/>
      <c r="P15" s="12"/>
      <c r="Q15" s="9"/>
      <c r="R15" s="13"/>
      <c r="S15" s="11"/>
      <c r="T15" s="11"/>
      <c r="U15" s="9"/>
      <c r="V15" s="9"/>
      <c r="W15" s="9"/>
      <c r="X15" s="16"/>
      <c r="AF15" s="42">
        <f>IF(BUSCAR!$C$8="FECHA NAC.",$G15,IF(BUSCAR!$C$8="PASAPORTE EXPIRA",$J15,IF(BUSCAR!$C$8="LICENCIA EMISION",$L15,IF(BUSCAR!$C$8="LICENCIA EXPIRA",$M15,""))))</f>
      </c>
      <c r="AG15" s="42">
        <f>IF($B15&amp;$C15&amp;$D15&amp;$E15&amp;$H15="",0,IF(AND(OR(BUSCAR!$J$5="",ISNUMBER(SEARCH(BUSCAR!$J$5,$AI15))),OR(BUSCAR!$J$6="",ISNUMBER(SEARCH(BUSCAR!$J$6,$AI15))),OR(BUSCAR!$J$8="",ISNUMBER(SEARCH(BUSCAR!$J$8,$AI15))),OR(BUSCAR!$J$9="",ISNUMBER(SEARCH(BUSCAR!$J$9,$AI15))),OR(NOT(BUSCAR!$J$2),AND(ISNUMBER($AF15),$AF15&gt;=BUSCAR!$J$3,$AF15&lt;=BUSCAR!$J$4))),1,0))</f>
      </c>
      <c r="AH15" s="42">
        <f t="shared" si="0"/>
      </c>
      <c r="AI15" s="42">
        <f t="shared" si="1"/>
      </c>
    </row>
    <row r="16" spans="1:35" x14ac:dyDescent="0.2">
      <c r="A16" s="66">
        <f t="shared" si="2"/>
      </c>
      <c r="B16" s="4"/>
      <c r="C16" s="4"/>
      <c r="D16" s="4"/>
      <c r="E16" s="4"/>
      <c r="F16" s="32"/>
      <c r="G16" s="8"/>
      <c r="H16" s="9"/>
      <c r="I16" s="8"/>
      <c r="J16" s="10"/>
      <c r="K16" s="8"/>
      <c r="L16" s="8"/>
      <c r="M16" s="8"/>
      <c r="N16" s="11"/>
      <c r="O16" s="9"/>
      <c r="P16" s="12"/>
      <c r="Q16" s="9"/>
      <c r="R16" s="13"/>
      <c r="S16" s="11"/>
      <c r="T16" s="11"/>
      <c r="U16" s="9"/>
      <c r="V16" s="9"/>
      <c r="W16" s="9"/>
      <c r="X16" s="16"/>
      <c r="AF16" s="42">
        <f>IF(BUSCAR!$C$8="FECHA NAC.",$G16,IF(BUSCAR!$C$8="PASAPORTE EXPIRA",$J16,IF(BUSCAR!$C$8="LICENCIA EMISION",$L16,IF(BUSCAR!$C$8="LICENCIA EXPIRA",$M16,""))))</f>
      </c>
      <c r="AG16" s="42">
        <f>IF($B16&amp;$C16&amp;$D16&amp;$E16&amp;$H16="",0,IF(AND(OR(BUSCAR!$J$5="",ISNUMBER(SEARCH(BUSCAR!$J$5,$AI16))),OR(BUSCAR!$J$6="",ISNUMBER(SEARCH(BUSCAR!$J$6,$AI16))),OR(BUSCAR!$J$8="",ISNUMBER(SEARCH(BUSCAR!$J$8,$AI16))),OR(BUSCAR!$J$9="",ISNUMBER(SEARCH(BUSCAR!$J$9,$AI16))),OR(NOT(BUSCAR!$J$2),AND(ISNUMBER($AF16),$AF16&gt;=BUSCAR!$J$3,$AF16&lt;=BUSCAR!$J$4))),1,0))</f>
      </c>
      <c r="AH16" s="42">
        <f t="shared" si="0"/>
      </c>
      <c r="AI16" s="42">
        <f t="shared" si="1"/>
      </c>
    </row>
    <row r="17" spans="1:35" x14ac:dyDescent="0.2">
      <c r="A17" s="66">
        <f t="shared" si="2"/>
      </c>
      <c r="B17" s="4"/>
      <c r="C17" s="4"/>
      <c r="D17" s="4"/>
      <c r="E17" s="4"/>
      <c r="F17" s="32"/>
      <c r="G17" s="8"/>
      <c r="H17" s="9"/>
      <c r="I17" s="8"/>
      <c r="J17" s="10"/>
      <c r="K17" s="8"/>
      <c r="L17" s="8"/>
      <c r="M17" s="8"/>
      <c r="N17" s="11"/>
      <c r="O17" s="9"/>
      <c r="P17" s="12"/>
      <c r="Q17" s="9"/>
      <c r="R17" s="13"/>
      <c r="S17" s="11"/>
      <c r="T17" s="11"/>
      <c r="U17" s="9"/>
      <c r="V17" s="9"/>
      <c r="W17" s="9"/>
      <c r="X17" s="16"/>
      <c r="AF17" s="42">
        <f>IF(BUSCAR!$C$8="FECHA NAC.",$G17,IF(BUSCAR!$C$8="PASAPORTE EXPIRA",$J17,IF(BUSCAR!$C$8="LICENCIA EMISION",$L17,IF(BUSCAR!$C$8="LICENCIA EXPIRA",$M17,""))))</f>
      </c>
      <c r="AG17" s="42">
        <f>IF($B17&amp;$C17&amp;$D17&amp;$E17&amp;$H17="",0,IF(AND(OR(BUSCAR!$J$5="",ISNUMBER(SEARCH(BUSCAR!$J$5,$AI17))),OR(BUSCAR!$J$6="",ISNUMBER(SEARCH(BUSCAR!$J$6,$AI17))),OR(BUSCAR!$J$8="",ISNUMBER(SEARCH(BUSCAR!$J$8,$AI17))),OR(BUSCAR!$J$9="",ISNUMBER(SEARCH(BUSCAR!$J$9,$AI17))),OR(NOT(BUSCAR!$J$2),AND(ISNUMBER($AF17),$AF17&gt;=BUSCAR!$J$3,$AF17&lt;=BUSCAR!$J$4))),1,0))</f>
      </c>
      <c r="AH17" s="42">
        <f t="shared" si="0"/>
      </c>
      <c r="AI17" s="42">
        <f t="shared" si="1"/>
      </c>
    </row>
    <row r="18" spans="1:35" x14ac:dyDescent="0.2">
      <c r="A18" s="66">
        <f t="shared" si="2"/>
      </c>
      <c r="B18" s="4"/>
      <c r="C18" s="4"/>
      <c r="D18" s="4"/>
      <c r="E18" s="4"/>
      <c r="F18" s="32"/>
      <c r="G18" s="8"/>
      <c r="H18" s="9"/>
      <c r="I18" s="8"/>
      <c r="J18" s="10"/>
      <c r="K18" s="8"/>
      <c r="L18" s="8"/>
      <c r="M18" s="8"/>
      <c r="N18" s="11"/>
      <c r="O18" s="9"/>
      <c r="P18" s="12"/>
      <c r="Q18" s="9"/>
      <c r="R18" s="13"/>
      <c r="S18" s="11"/>
      <c r="T18" s="11"/>
      <c r="U18" s="9"/>
      <c r="V18" s="9"/>
      <c r="W18" s="9"/>
      <c r="X18" s="16"/>
      <c r="AF18" s="42">
        <f>IF(BUSCAR!$C$8="FECHA NAC.",$G18,IF(BUSCAR!$C$8="PASAPORTE EXPIRA",$J18,IF(BUSCAR!$C$8="LICENCIA EMISION",$L18,IF(BUSCAR!$C$8="LICENCIA EXPIRA",$M18,""))))</f>
      </c>
      <c r="AG18" s="42">
        <f>IF($B18&amp;$C18&amp;$D18&amp;$E18&amp;$H18="",0,IF(AND(OR(BUSCAR!$J$5="",ISNUMBER(SEARCH(BUSCAR!$J$5,$AI18))),OR(BUSCAR!$J$6="",ISNUMBER(SEARCH(BUSCAR!$J$6,$AI18))),OR(BUSCAR!$J$8="",ISNUMBER(SEARCH(BUSCAR!$J$8,$AI18))),OR(BUSCAR!$J$9="",ISNUMBER(SEARCH(BUSCAR!$J$9,$AI18))),OR(NOT(BUSCAR!$J$2),AND(ISNUMBER($AF18),$AF18&gt;=BUSCAR!$J$3,$AF18&lt;=BUSCAR!$J$4))),1,0))</f>
      </c>
      <c r="AH18" s="42">
        <f t="shared" si="0"/>
      </c>
      <c r="AI18" s="42">
        <f t="shared" si="1"/>
      </c>
    </row>
    <row r="19" spans="1:35" x14ac:dyDescent="0.2">
      <c r="A19" s="66">
        <f t="shared" si="2"/>
      </c>
      <c r="B19" s="4"/>
      <c r="C19" s="4"/>
      <c r="D19" s="4"/>
      <c r="E19" s="4"/>
      <c r="F19" s="32"/>
      <c r="G19" s="8"/>
      <c r="H19" s="9"/>
      <c r="I19" s="8"/>
      <c r="J19" s="10"/>
      <c r="K19" s="8"/>
      <c r="L19" s="8"/>
      <c r="M19" s="8"/>
      <c r="N19" s="11"/>
      <c r="O19" s="9"/>
      <c r="P19" s="12"/>
      <c r="Q19" s="9"/>
      <c r="R19" s="13"/>
      <c r="S19" s="11"/>
      <c r="T19" s="11"/>
      <c r="U19" s="9"/>
      <c r="V19" s="9"/>
      <c r="W19" s="9"/>
      <c r="X19" s="16"/>
      <c r="AF19" s="42">
        <f>IF(BUSCAR!$C$8="FECHA NAC.",$G19,IF(BUSCAR!$C$8="PASAPORTE EXPIRA",$J19,IF(BUSCAR!$C$8="LICENCIA EMISION",$L19,IF(BUSCAR!$C$8="LICENCIA EXPIRA",$M19,""))))</f>
      </c>
      <c r="AG19" s="42">
        <f>IF($B19&amp;$C19&amp;$D19&amp;$E19&amp;$H19="",0,IF(AND(OR(BUSCAR!$J$5="",ISNUMBER(SEARCH(BUSCAR!$J$5,$AI19))),OR(BUSCAR!$J$6="",ISNUMBER(SEARCH(BUSCAR!$J$6,$AI19))),OR(BUSCAR!$J$8="",ISNUMBER(SEARCH(BUSCAR!$J$8,$AI19))),OR(BUSCAR!$J$9="",ISNUMBER(SEARCH(BUSCAR!$J$9,$AI19))),OR(NOT(BUSCAR!$J$2),AND(ISNUMBER($AF19),$AF19&gt;=BUSCAR!$J$3,$AF19&lt;=BUSCAR!$J$4))),1,0))</f>
      </c>
      <c r="AH19" s="42">
        <f t="shared" si="0"/>
      </c>
      <c r="AI19" s="42">
        <f t="shared" si="1"/>
      </c>
    </row>
    <row r="20" spans="1:35" x14ac:dyDescent="0.2">
      <c r="A20" s="66">
        <f t="shared" si="2"/>
      </c>
      <c r="B20" s="4"/>
      <c r="C20" s="4"/>
      <c r="D20" s="4"/>
      <c r="E20" s="4"/>
      <c r="F20" s="32"/>
      <c r="G20" s="8"/>
      <c r="H20" s="9"/>
      <c r="I20" s="8"/>
      <c r="J20" s="10"/>
      <c r="K20" s="8"/>
      <c r="L20" s="8"/>
      <c r="M20" s="8"/>
      <c r="N20" s="11"/>
      <c r="O20" s="9"/>
      <c r="P20" s="12"/>
      <c r="Q20" s="9"/>
      <c r="R20" s="13"/>
      <c r="S20" s="11"/>
      <c r="T20" s="11"/>
      <c r="U20" s="9"/>
      <c r="V20" s="9"/>
      <c r="W20" s="9"/>
      <c r="X20" s="16"/>
      <c r="AF20" s="42">
        <f>IF(BUSCAR!$C$8="FECHA NAC.",$G20,IF(BUSCAR!$C$8="PASAPORTE EXPIRA",$J20,IF(BUSCAR!$C$8="LICENCIA EMISION",$L20,IF(BUSCAR!$C$8="LICENCIA EXPIRA",$M20,""))))</f>
      </c>
      <c r="AG20" s="42">
        <f>IF($B20&amp;$C20&amp;$D20&amp;$E20&amp;$H20="",0,IF(AND(OR(BUSCAR!$J$5="",ISNUMBER(SEARCH(BUSCAR!$J$5,$AI20))),OR(BUSCAR!$J$6="",ISNUMBER(SEARCH(BUSCAR!$J$6,$AI20))),OR(BUSCAR!$J$8="",ISNUMBER(SEARCH(BUSCAR!$J$8,$AI20))),OR(BUSCAR!$J$9="",ISNUMBER(SEARCH(BUSCAR!$J$9,$AI20))),OR(NOT(BUSCAR!$J$2),AND(ISNUMBER($AF20),$AF20&gt;=BUSCAR!$J$3,$AF20&lt;=BUSCAR!$J$4))),1,0))</f>
      </c>
      <c r="AH20" s="42">
        <f t="shared" si="0"/>
      </c>
      <c r="AI20" s="42">
        <f t="shared" si="1"/>
      </c>
    </row>
    <row r="21" spans="1:35" x14ac:dyDescent="0.2">
      <c r="A21" s="66">
        <f t="shared" si="2"/>
      </c>
      <c r="B21" s="4"/>
      <c r="C21" s="4"/>
      <c r="D21" s="4"/>
      <c r="E21" s="4"/>
      <c r="F21" s="32"/>
      <c r="G21" s="8"/>
      <c r="H21" s="9"/>
      <c r="I21" s="8"/>
      <c r="J21" s="10"/>
      <c r="K21" s="8"/>
      <c r="L21" s="8"/>
      <c r="M21" s="8"/>
      <c r="N21" s="11"/>
      <c r="O21" s="9"/>
      <c r="P21" s="12"/>
      <c r="Q21" s="9"/>
      <c r="R21" s="13"/>
      <c r="S21" s="11"/>
      <c r="T21" s="11"/>
      <c r="U21" s="9"/>
      <c r="V21" s="9"/>
      <c r="W21" s="9"/>
      <c r="X21" s="16"/>
      <c r="AF21" s="42">
        <f>IF(BUSCAR!$C$8="FECHA NAC.",$G21,IF(BUSCAR!$C$8="PASAPORTE EXPIRA",$J21,IF(BUSCAR!$C$8="LICENCIA EMISION",$L21,IF(BUSCAR!$C$8="LICENCIA EXPIRA",$M21,""))))</f>
      </c>
      <c r="AG21" s="42">
        <f>IF($B21&amp;$C21&amp;$D21&amp;$E21&amp;$H21="",0,IF(AND(OR(BUSCAR!$J$5="",ISNUMBER(SEARCH(BUSCAR!$J$5,$AI21))),OR(BUSCAR!$J$6="",ISNUMBER(SEARCH(BUSCAR!$J$6,$AI21))),OR(BUSCAR!$J$8="",ISNUMBER(SEARCH(BUSCAR!$J$8,$AI21))),OR(BUSCAR!$J$9="",ISNUMBER(SEARCH(BUSCAR!$J$9,$AI21))),OR(NOT(BUSCAR!$J$2),AND(ISNUMBER($AF21),$AF21&gt;=BUSCAR!$J$3,$AF21&lt;=BUSCAR!$J$4))),1,0))</f>
      </c>
      <c r="AH21" s="42">
        <f t="shared" si="0"/>
      </c>
      <c r="AI21" s="42">
        <f t="shared" si="1"/>
      </c>
    </row>
    <row r="22" spans="1:35" x14ac:dyDescent="0.2">
      <c r="A22" s="66">
        <f t="shared" si="2"/>
      </c>
      <c r="B22" s="4"/>
      <c r="C22" s="4"/>
      <c r="D22" s="4"/>
      <c r="E22" s="4"/>
      <c r="F22" s="32"/>
      <c r="G22" s="8"/>
      <c r="H22" s="9"/>
      <c r="I22" s="8"/>
      <c r="J22" s="10"/>
      <c r="K22" s="8"/>
      <c r="L22" s="8"/>
      <c r="M22" s="8"/>
      <c r="N22" s="11"/>
      <c r="O22" s="9"/>
      <c r="P22" s="12"/>
      <c r="Q22" s="9"/>
      <c r="R22" s="13"/>
      <c r="S22" s="11"/>
      <c r="T22" s="11"/>
      <c r="U22" s="9"/>
      <c r="V22" s="9"/>
      <c r="W22" s="9"/>
      <c r="X22" s="16"/>
      <c r="AF22" s="42">
        <f>IF(BUSCAR!$C$8="FECHA NAC.",$G22,IF(BUSCAR!$C$8="PASAPORTE EXPIRA",$J22,IF(BUSCAR!$C$8="LICENCIA EMISION",$L22,IF(BUSCAR!$C$8="LICENCIA EXPIRA",$M22,""))))</f>
      </c>
      <c r="AG22" s="42">
        <f>IF($B22&amp;$C22&amp;$D22&amp;$E22&amp;$H22="",0,IF(AND(OR(BUSCAR!$J$5="",ISNUMBER(SEARCH(BUSCAR!$J$5,$AI22))),OR(BUSCAR!$J$6="",ISNUMBER(SEARCH(BUSCAR!$J$6,$AI22))),OR(BUSCAR!$J$8="",ISNUMBER(SEARCH(BUSCAR!$J$8,$AI22))),OR(BUSCAR!$J$9="",ISNUMBER(SEARCH(BUSCAR!$J$9,$AI22))),OR(NOT(BUSCAR!$J$2),AND(ISNUMBER($AF22),$AF22&gt;=BUSCAR!$J$3,$AF22&lt;=BUSCAR!$J$4))),1,0))</f>
      </c>
      <c r="AH22" s="42">
        <f t="shared" si="0"/>
      </c>
      <c r="AI22" s="42">
        <f t="shared" si="1"/>
      </c>
    </row>
    <row r="23" spans="1:35" x14ac:dyDescent="0.2">
      <c r="A23" s="66">
        <f t="shared" si="2"/>
      </c>
      <c r="B23" s="4"/>
      <c r="C23" s="4"/>
      <c r="D23" s="4"/>
      <c r="E23" s="4"/>
      <c r="F23" s="32"/>
      <c r="G23" s="8"/>
      <c r="H23" s="9"/>
      <c r="I23" s="8"/>
      <c r="J23" s="10"/>
      <c r="K23" s="8"/>
      <c r="L23" s="8"/>
      <c r="M23" s="8"/>
      <c r="N23" s="11"/>
      <c r="O23" s="9"/>
      <c r="P23" s="12"/>
      <c r="Q23" s="9"/>
      <c r="R23" s="13"/>
      <c r="S23" s="11"/>
      <c r="T23" s="11"/>
      <c r="U23" s="9"/>
      <c r="V23" s="9"/>
      <c r="W23" s="9"/>
      <c r="X23" s="16"/>
      <c r="AF23" s="42">
        <f>IF(BUSCAR!$C$8="FECHA NAC.",$G23,IF(BUSCAR!$C$8="PASAPORTE EXPIRA",$J23,IF(BUSCAR!$C$8="LICENCIA EMISION",$L23,IF(BUSCAR!$C$8="LICENCIA EXPIRA",$M23,""))))</f>
      </c>
      <c r="AG23" s="42">
        <f>IF($B23&amp;$C23&amp;$D23&amp;$E23&amp;$H23="",0,IF(AND(OR(BUSCAR!$J$5="",ISNUMBER(SEARCH(BUSCAR!$J$5,$AI23))),OR(BUSCAR!$J$6="",ISNUMBER(SEARCH(BUSCAR!$J$6,$AI23))),OR(BUSCAR!$J$8="",ISNUMBER(SEARCH(BUSCAR!$J$8,$AI23))),OR(BUSCAR!$J$9="",ISNUMBER(SEARCH(BUSCAR!$J$9,$AI23))),OR(NOT(BUSCAR!$J$2),AND(ISNUMBER($AF23),$AF23&gt;=BUSCAR!$J$3,$AF23&lt;=BUSCAR!$J$4))),1,0))</f>
      </c>
      <c r="AH23" s="42">
        <f t="shared" si="0"/>
      </c>
      <c r="AI23" s="42">
        <f t="shared" si="1"/>
      </c>
    </row>
    <row r="24" spans="1:35" x14ac:dyDescent="0.2">
      <c r="A24" s="66">
        <f t="shared" si="2"/>
      </c>
      <c r="B24" s="4"/>
      <c r="C24" s="4"/>
      <c r="D24" s="4"/>
      <c r="E24" s="4"/>
      <c r="F24" s="32"/>
      <c r="G24" s="8"/>
      <c r="H24" s="9"/>
      <c r="I24" s="8"/>
      <c r="J24" s="10"/>
      <c r="K24" s="8"/>
      <c r="L24" s="8"/>
      <c r="M24" s="8"/>
      <c r="N24" s="11"/>
      <c r="O24" s="9"/>
      <c r="P24" s="12"/>
      <c r="Q24" s="9"/>
      <c r="R24" s="13"/>
      <c r="S24" s="11"/>
      <c r="T24" s="11"/>
      <c r="U24" s="9"/>
      <c r="V24" s="9"/>
      <c r="W24" s="9"/>
      <c r="X24" s="16"/>
      <c r="AF24" s="42">
        <f>IF(BUSCAR!$C$8="FECHA NAC.",$G24,IF(BUSCAR!$C$8="PASAPORTE EXPIRA",$J24,IF(BUSCAR!$C$8="LICENCIA EMISION",$L24,IF(BUSCAR!$C$8="LICENCIA EXPIRA",$M24,""))))</f>
      </c>
      <c r="AG24" s="42">
        <f>IF($B24&amp;$C24&amp;$D24&amp;$E24&amp;$H24="",0,IF(AND(OR(BUSCAR!$J$5="",ISNUMBER(SEARCH(BUSCAR!$J$5,$AI24))),OR(BUSCAR!$J$6="",ISNUMBER(SEARCH(BUSCAR!$J$6,$AI24))),OR(BUSCAR!$J$8="",ISNUMBER(SEARCH(BUSCAR!$J$8,$AI24))),OR(BUSCAR!$J$9="",ISNUMBER(SEARCH(BUSCAR!$J$9,$AI24))),OR(NOT(BUSCAR!$J$2),AND(ISNUMBER($AF24),$AF24&gt;=BUSCAR!$J$3,$AF24&lt;=BUSCAR!$J$4))),1,0))</f>
      </c>
      <c r="AH24" s="42">
        <f t="shared" si="0"/>
      </c>
      <c r="AI24" s="42">
        <f t="shared" si="1"/>
      </c>
    </row>
    <row r="25" spans="1:35" x14ac:dyDescent="0.2">
      <c r="A25" s="66">
        <f t="shared" si="2"/>
      </c>
      <c r="B25" s="4"/>
      <c r="C25" s="4"/>
      <c r="D25" s="4"/>
      <c r="E25" s="4"/>
      <c r="F25" s="32"/>
      <c r="G25" s="8"/>
      <c r="H25" s="9"/>
      <c r="I25" s="8"/>
      <c r="J25" s="10"/>
      <c r="K25" s="8"/>
      <c r="L25" s="8"/>
      <c r="M25" s="8"/>
      <c r="N25" s="11"/>
      <c r="O25" s="9"/>
      <c r="P25" s="12"/>
      <c r="Q25" s="9"/>
      <c r="R25" s="13"/>
      <c r="S25" s="11"/>
      <c r="T25" s="11"/>
      <c r="U25" s="9"/>
      <c r="V25" s="9"/>
      <c r="W25" s="9"/>
      <c r="X25" s="16"/>
      <c r="AF25" s="42">
        <f>IF(BUSCAR!$C$8="FECHA NAC.",$G25,IF(BUSCAR!$C$8="PASAPORTE EXPIRA",$J25,IF(BUSCAR!$C$8="LICENCIA EMISION",$L25,IF(BUSCAR!$C$8="LICENCIA EXPIRA",$M25,""))))</f>
      </c>
      <c r="AG25" s="42">
        <f>IF($B25&amp;$C25&amp;$D25&amp;$E25&amp;$H25="",0,IF(AND(OR(BUSCAR!$J$5="",ISNUMBER(SEARCH(BUSCAR!$J$5,$AI25))),OR(BUSCAR!$J$6="",ISNUMBER(SEARCH(BUSCAR!$J$6,$AI25))),OR(BUSCAR!$J$8="",ISNUMBER(SEARCH(BUSCAR!$J$8,$AI25))),OR(BUSCAR!$J$9="",ISNUMBER(SEARCH(BUSCAR!$J$9,$AI25))),OR(NOT(BUSCAR!$J$2),AND(ISNUMBER($AF25),$AF25&gt;=BUSCAR!$J$3,$AF25&lt;=BUSCAR!$J$4))),1,0))</f>
      </c>
      <c r="AH25" s="42">
        <f t="shared" si="0"/>
      </c>
      <c r="AI25" s="42">
        <f t="shared" si="1"/>
      </c>
    </row>
    <row r="26" spans="1:35" x14ac:dyDescent="0.2">
      <c r="A26" s="66">
        <f t="shared" si="2"/>
      </c>
      <c r="B26" s="4"/>
      <c r="C26" s="4"/>
      <c r="D26" s="4"/>
      <c r="E26" s="4"/>
      <c r="F26" s="32"/>
      <c r="G26" s="8"/>
      <c r="H26" s="9"/>
      <c r="I26" s="8"/>
      <c r="J26" s="10"/>
      <c r="K26" s="8"/>
      <c r="L26" s="8"/>
      <c r="M26" s="8"/>
      <c r="N26" s="11"/>
      <c r="O26" s="9"/>
      <c r="P26" s="12"/>
      <c r="Q26" s="9"/>
      <c r="R26" s="13"/>
      <c r="S26" s="11"/>
      <c r="T26" s="11"/>
      <c r="U26" s="9"/>
      <c r="V26" s="9"/>
      <c r="W26" s="9"/>
      <c r="X26" s="16"/>
      <c r="AF26" s="42">
        <f>IF(BUSCAR!$C$8="FECHA NAC.",$G26,IF(BUSCAR!$C$8="PASAPORTE EXPIRA",$J26,IF(BUSCAR!$C$8="LICENCIA EMISION",$L26,IF(BUSCAR!$C$8="LICENCIA EXPIRA",$M26,""))))</f>
      </c>
      <c r="AG26" s="42">
        <f>IF($B26&amp;$C26&amp;$D26&amp;$E26&amp;$H26="",0,IF(AND(OR(BUSCAR!$J$5="",ISNUMBER(SEARCH(BUSCAR!$J$5,$AI26))),OR(BUSCAR!$J$6="",ISNUMBER(SEARCH(BUSCAR!$J$6,$AI26))),OR(BUSCAR!$J$8="",ISNUMBER(SEARCH(BUSCAR!$J$8,$AI26))),OR(BUSCAR!$J$9="",ISNUMBER(SEARCH(BUSCAR!$J$9,$AI26))),OR(NOT(BUSCAR!$J$2),AND(ISNUMBER($AF26),$AF26&gt;=BUSCAR!$J$3,$AF26&lt;=BUSCAR!$J$4))),1,0))</f>
      </c>
      <c r="AH26" s="42">
        <f t="shared" si="0"/>
      </c>
      <c r="AI26" s="42">
        <f t="shared" si="1"/>
      </c>
    </row>
    <row r="27" spans="1:35" x14ac:dyDescent="0.2">
      <c r="A27" s="66">
        <f t="shared" si="2"/>
      </c>
      <c r="B27" s="4"/>
      <c r="C27" s="4"/>
      <c r="D27" s="4"/>
      <c r="E27" s="4"/>
      <c r="F27" s="32"/>
      <c r="G27" s="8"/>
      <c r="H27" s="9"/>
      <c r="I27" s="8"/>
      <c r="J27" s="10"/>
      <c r="K27" s="8"/>
      <c r="L27" s="8"/>
      <c r="M27" s="8"/>
      <c r="N27" s="11"/>
      <c r="O27" s="9"/>
      <c r="P27" s="12"/>
      <c r="Q27" s="9"/>
      <c r="R27" s="13"/>
      <c r="S27" s="11"/>
      <c r="T27" s="11"/>
      <c r="U27" s="9"/>
      <c r="V27" s="9"/>
      <c r="W27" s="9"/>
      <c r="X27" s="16"/>
      <c r="AF27" s="42">
        <f>IF(BUSCAR!$C$8="FECHA NAC.",$G27,IF(BUSCAR!$C$8="PASAPORTE EXPIRA",$J27,IF(BUSCAR!$C$8="LICENCIA EMISION",$L27,IF(BUSCAR!$C$8="LICENCIA EXPIRA",$M27,""))))</f>
      </c>
      <c r="AG27" s="42">
        <f>IF($B27&amp;$C27&amp;$D27&amp;$E27&amp;$H27="",0,IF(AND(OR(BUSCAR!$J$5="",ISNUMBER(SEARCH(BUSCAR!$J$5,$AI27))),OR(BUSCAR!$J$6="",ISNUMBER(SEARCH(BUSCAR!$J$6,$AI27))),OR(BUSCAR!$J$8="",ISNUMBER(SEARCH(BUSCAR!$J$8,$AI27))),OR(BUSCAR!$J$9="",ISNUMBER(SEARCH(BUSCAR!$J$9,$AI27))),OR(NOT(BUSCAR!$J$2),AND(ISNUMBER($AF27),$AF27&gt;=BUSCAR!$J$3,$AF27&lt;=BUSCAR!$J$4))),1,0))</f>
      </c>
      <c r="AH27" s="42">
        <f t="shared" si="0"/>
      </c>
      <c r="AI27" s="42">
        <f t="shared" si="1"/>
      </c>
    </row>
    <row r="28" spans="1:35" x14ac:dyDescent="0.2">
      <c r="A28" s="66">
        <f t="shared" si="2"/>
      </c>
      <c r="B28" s="4"/>
      <c r="C28" s="4"/>
      <c r="D28" s="4"/>
      <c r="E28" s="4"/>
      <c r="F28" s="32"/>
      <c r="G28" s="8"/>
      <c r="H28" s="9"/>
      <c r="I28" s="8"/>
      <c r="J28" s="10"/>
      <c r="K28" s="8"/>
      <c r="L28" s="8"/>
      <c r="M28" s="8"/>
      <c r="N28" s="11"/>
      <c r="O28" s="9"/>
      <c r="P28" s="12"/>
      <c r="Q28" s="9"/>
      <c r="R28" s="13"/>
      <c r="S28" s="11"/>
      <c r="T28" s="11"/>
      <c r="U28" s="9"/>
      <c r="V28" s="9"/>
      <c r="W28" s="9"/>
      <c r="X28" s="16"/>
      <c r="AF28" s="42">
        <f>IF(BUSCAR!$C$8="FECHA NAC.",$G28,IF(BUSCAR!$C$8="PASAPORTE EXPIRA",$J28,IF(BUSCAR!$C$8="LICENCIA EMISION",$L28,IF(BUSCAR!$C$8="LICENCIA EXPIRA",$M28,""))))</f>
      </c>
      <c r="AG28" s="42">
        <f>IF($B28&amp;$C28&amp;$D28&amp;$E28&amp;$H28="",0,IF(AND(OR(BUSCAR!$J$5="",ISNUMBER(SEARCH(BUSCAR!$J$5,$AI28))),OR(BUSCAR!$J$6="",ISNUMBER(SEARCH(BUSCAR!$J$6,$AI28))),OR(BUSCAR!$J$8="",ISNUMBER(SEARCH(BUSCAR!$J$8,$AI28))),OR(BUSCAR!$J$9="",ISNUMBER(SEARCH(BUSCAR!$J$9,$AI28))),OR(NOT(BUSCAR!$J$2),AND(ISNUMBER($AF28),$AF28&gt;=BUSCAR!$J$3,$AF28&lt;=BUSCAR!$J$4))),1,0))</f>
      </c>
      <c r="AH28" s="42">
        <f t="shared" si="0"/>
      </c>
      <c r="AI28" s="42">
        <f t="shared" si="1"/>
      </c>
    </row>
    <row r="29" spans="1:35" x14ac:dyDescent="0.2">
      <c r="A29" s="66">
        <f t="shared" si="2"/>
      </c>
      <c r="B29" s="4"/>
      <c r="C29" s="4"/>
      <c r="D29" s="4"/>
      <c r="E29" s="4"/>
      <c r="F29" s="32"/>
      <c r="G29" s="8"/>
      <c r="H29" s="9"/>
      <c r="I29" s="8"/>
      <c r="J29" s="10"/>
      <c r="K29" s="8"/>
      <c r="L29" s="8"/>
      <c r="M29" s="8"/>
      <c r="N29" s="11"/>
      <c r="O29" s="9"/>
      <c r="P29" s="12"/>
      <c r="Q29" s="9"/>
      <c r="R29" s="13"/>
      <c r="S29" s="11"/>
      <c r="T29" s="11"/>
      <c r="U29" s="9"/>
      <c r="V29" s="9"/>
      <c r="W29" s="9"/>
      <c r="X29" s="16"/>
      <c r="AF29" s="42">
        <f>IF(BUSCAR!$C$8="FECHA NAC.",$G29,IF(BUSCAR!$C$8="PASAPORTE EXPIRA",$J29,IF(BUSCAR!$C$8="LICENCIA EMISION",$L29,IF(BUSCAR!$C$8="LICENCIA EXPIRA",$M29,""))))</f>
      </c>
      <c r="AG29" s="42">
        <f>IF($B29&amp;$C29&amp;$D29&amp;$E29&amp;$H29="",0,IF(AND(OR(BUSCAR!$J$5="",ISNUMBER(SEARCH(BUSCAR!$J$5,$AI29))),OR(BUSCAR!$J$6="",ISNUMBER(SEARCH(BUSCAR!$J$6,$AI29))),OR(BUSCAR!$J$8="",ISNUMBER(SEARCH(BUSCAR!$J$8,$AI29))),OR(BUSCAR!$J$9="",ISNUMBER(SEARCH(BUSCAR!$J$9,$AI29))),OR(NOT(BUSCAR!$J$2),AND(ISNUMBER($AF29),$AF29&gt;=BUSCAR!$J$3,$AF29&lt;=BUSCAR!$J$4))),1,0))</f>
      </c>
      <c r="AH29" s="42">
        <f t="shared" si="0"/>
      </c>
      <c r="AI29" s="42">
        <f t="shared" si="1"/>
      </c>
    </row>
    <row r="30" spans="1:35" x14ac:dyDescent="0.2">
      <c r="A30" s="66">
        <f t="shared" si="2"/>
      </c>
      <c r="B30" s="4"/>
      <c r="C30" s="4"/>
      <c r="D30" s="4"/>
      <c r="E30" s="4"/>
      <c r="F30" s="32"/>
      <c r="G30" s="8"/>
      <c r="H30" s="9"/>
      <c r="I30" s="8"/>
      <c r="J30" s="10"/>
      <c r="K30" s="8"/>
      <c r="L30" s="8"/>
      <c r="M30" s="8"/>
      <c r="N30" s="11"/>
      <c r="O30" s="9"/>
      <c r="P30" s="12"/>
      <c r="Q30" s="9"/>
      <c r="R30" s="13"/>
      <c r="S30" s="11"/>
      <c r="T30" s="11"/>
      <c r="U30" s="9"/>
      <c r="V30" s="9"/>
      <c r="W30" s="9"/>
      <c r="X30" s="16"/>
      <c r="AF30" s="42">
        <f>IF(BUSCAR!$C$8="FECHA NAC.",$G30,IF(BUSCAR!$C$8="PASAPORTE EXPIRA",$J30,IF(BUSCAR!$C$8="LICENCIA EMISION",$L30,IF(BUSCAR!$C$8="LICENCIA EXPIRA",$M30,""))))</f>
      </c>
      <c r="AG30" s="42">
        <f>IF($B30&amp;$C30&amp;$D30&amp;$E30&amp;$H30="",0,IF(AND(OR(BUSCAR!$J$5="",ISNUMBER(SEARCH(BUSCAR!$J$5,$AI30))),OR(BUSCAR!$J$6="",ISNUMBER(SEARCH(BUSCAR!$J$6,$AI30))),OR(BUSCAR!$J$8="",ISNUMBER(SEARCH(BUSCAR!$J$8,$AI30))),OR(BUSCAR!$J$9="",ISNUMBER(SEARCH(BUSCAR!$J$9,$AI30))),OR(NOT(BUSCAR!$J$2),AND(ISNUMBER($AF30),$AF30&gt;=BUSCAR!$J$3,$AF30&lt;=BUSCAR!$J$4))),1,0))</f>
      </c>
      <c r="AH30" s="42">
        <f t="shared" si="0"/>
      </c>
      <c r="AI30" s="42">
        <f t="shared" si="1"/>
      </c>
    </row>
    <row r="31" spans="1:35" x14ac:dyDescent="0.2">
      <c r="A31" s="66">
        <f t="shared" si="2"/>
      </c>
      <c r="B31" s="4"/>
      <c r="C31" s="4"/>
      <c r="D31" s="4"/>
      <c r="E31" s="4"/>
      <c r="F31" s="32"/>
      <c r="G31" s="8"/>
      <c r="H31" s="9"/>
      <c r="I31" s="8"/>
      <c r="J31" s="10"/>
      <c r="K31" s="8"/>
      <c r="L31" s="8"/>
      <c r="M31" s="8"/>
      <c r="N31" s="11"/>
      <c r="O31" s="9"/>
      <c r="P31" s="12"/>
      <c r="Q31" s="9"/>
      <c r="R31" s="13"/>
      <c r="S31" s="11"/>
      <c r="T31" s="11"/>
      <c r="U31" s="9"/>
      <c r="V31" s="9"/>
      <c r="W31" s="9"/>
      <c r="X31" s="16"/>
      <c r="AF31" s="42">
        <f>IF(BUSCAR!$C$8="FECHA NAC.",$G31,IF(BUSCAR!$C$8="PASAPORTE EXPIRA",$J31,IF(BUSCAR!$C$8="LICENCIA EMISION",$L31,IF(BUSCAR!$C$8="LICENCIA EXPIRA",$M31,""))))</f>
      </c>
      <c r="AG31" s="42">
        <f>IF($B31&amp;$C31&amp;$D31&amp;$E31&amp;$H31="",0,IF(AND(OR(BUSCAR!$J$5="",ISNUMBER(SEARCH(BUSCAR!$J$5,$AI31))),OR(BUSCAR!$J$6="",ISNUMBER(SEARCH(BUSCAR!$J$6,$AI31))),OR(BUSCAR!$J$8="",ISNUMBER(SEARCH(BUSCAR!$J$8,$AI31))),OR(BUSCAR!$J$9="",ISNUMBER(SEARCH(BUSCAR!$J$9,$AI31))),OR(NOT(BUSCAR!$J$2),AND(ISNUMBER($AF31),$AF31&gt;=BUSCAR!$J$3,$AF31&lt;=BUSCAR!$J$4))),1,0))</f>
      </c>
      <c r="AH31" s="42">
        <f t="shared" si="0"/>
      </c>
      <c r="AI31" s="42">
        <f t="shared" si="1"/>
      </c>
    </row>
    <row r="32" spans="1:35" x14ac:dyDescent="0.2">
      <c r="A32" s="66">
        <f t="shared" si="2"/>
      </c>
      <c r="B32" s="4"/>
      <c r="C32" s="4"/>
      <c r="D32" s="4"/>
      <c r="E32" s="4"/>
      <c r="F32" s="32"/>
      <c r="G32" s="8"/>
      <c r="H32" s="9"/>
      <c r="I32" s="8"/>
      <c r="J32" s="10"/>
      <c r="K32" s="8"/>
      <c r="L32" s="8"/>
      <c r="M32" s="8"/>
      <c r="N32" s="11"/>
      <c r="O32" s="9"/>
      <c r="P32" s="12"/>
      <c r="Q32" s="9"/>
      <c r="R32" s="13"/>
      <c r="S32" s="11"/>
      <c r="T32" s="11"/>
      <c r="U32" s="9"/>
      <c r="V32" s="9"/>
      <c r="W32" s="9"/>
      <c r="X32" s="16"/>
      <c r="AF32" s="42">
        <f>IF(BUSCAR!$C$8="FECHA NAC.",$G32,IF(BUSCAR!$C$8="PASAPORTE EXPIRA",$J32,IF(BUSCAR!$C$8="LICENCIA EMISION",$L32,IF(BUSCAR!$C$8="LICENCIA EXPIRA",$M32,""))))</f>
      </c>
      <c r="AG32" s="42">
        <f>IF($B32&amp;$C32&amp;$D32&amp;$E32&amp;$H32="",0,IF(AND(OR(BUSCAR!$J$5="",ISNUMBER(SEARCH(BUSCAR!$J$5,$AI32))),OR(BUSCAR!$J$6="",ISNUMBER(SEARCH(BUSCAR!$J$6,$AI32))),OR(BUSCAR!$J$8="",ISNUMBER(SEARCH(BUSCAR!$J$8,$AI32))),OR(BUSCAR!$J$9="",ISNUMBER(SEARCH(BUSCAR!$J$9,$AI32))),OR(NOT(BUSCAR!$J$2),AND(ISNUMBER($AF32),$AF32&gt;=BUSCAR!$J$3,$AF32&lt;=BUSCAR!$J$4))),1,0))</f>
      </c>
      <c r="AH32" s="42">
        <f t="shared" si="0"/>
      </c>
      <c r="AI32" s="42">
        <f t="shared" si="1"/>
      </c>
    </row>
    <row r="33" spans="1:35" x14ac:dyDescent="0.2">
      <c r="A33" s="66">
        <f t="shared" si="2"/>
      </c>
      <c r="B33" s="4"/>
      <c r="C33" s="4"/>
      <c r="D33" s="4"/>
      <c r="E33" s="4"/>
      <c r="F33" s="32"/>
      <c r="G33" s="8"/>
      <c r="H33" s="9"/>
      <c r="I33" s="8"/>
      <c r="J33" s="10"/>
      <c r="K33" s="8"/>
      <c r="L33" s="8"/>
      <c r="M33" s="8"/>
      <c r="N33" s="11"/>
      <c r="O33" s="9"/>
      <c r="P33" s="12"/>
      <c r="Q33" s="9"/>
      <c r="R33" s="13"/>
      <c r="S33" s="11"/>
      <c r="T33" s="11"/>
      <c r="U33" s="9"/>
      <c r="V33" s="9"/>
      <c r="W33" s="9"/>
      <c r="X33" s="16"/>
      <c r="AF33" s="42">
        <f>IF(BUSCAR!$C$8="FECHA NAC.",$G33,IF(BUSCAR!$C$8="PASAPORTE EXPIRA",$J33,IF(BUSCAR!$C$8="LICENCIA EMISION",$L33,IF(BUSCAR!$C$8="LICENCIA EXPIRA",$M33,""))))</f>
      </c>
      <c r="AG33" s="42">
        <f>IF($B33&amp;$C33&amp;$D33&amp;$E33&amp;$H33="",0,IF(AND(OR(BUSCAR!$J$5="",ISNUMBER(SEARCH(BUSCAR!$J$5,$AI33))),OR(BUSCAR!$J$6="",ISNUMBER(SEARCH(BUSCAR!$J$6,$AI33))),OR(BUSCAR!$J$8="",ISNUMBER(SEARCH(BUSCAR!$J$8,$AI33))),OR(BUSCAR!$J$9="",ISNUMBER(SEARCH(BUSCAR!$J$9,$AI33))),OR(NOT(BUSCAR!$J$2),AND(ISNUMBER($AF33),$AF33&gt;=BUSCAR!$J$3,$AF33&lt;=BUSCAR!$J$4))),1,0))</f>
      </c>
      <c r="AH33" s="42">
        <f t="shared" si="0"/>
      </c>
      <c r="AI33" s="42">
        <f t="shared" si="1"/>
      </c>
    </row>
    <row r="34" spans="1:35" x14ac:dyDescent="0.2">
      <c r="A34" s="66">
        <f t="shared" si="2"/>
      </c>
      <c r="B34" s="4"/>
      <c r="C34" s="4"/>
      <c r="D34" s="4"/>
      <c r="E34" s="4"/>
      <c r="F34" s="32"/>
      <c r="G34" s="8"/>
      <c r="H34" s="9"/>
      <c r="I34" s="8"/>
      <c r="J34" s="10"/>
      <c r="K34" s="8"/>
      <c r="L34" s="8"/>
      <c r="M34" s="8"/>
      <c r="N34" s="11"/>
      <c r="O34" s="9"/>
      <c r="P34" s="12"/>
      <c r="Q34" s="9"/>
      <c r="R34" s="13"/>
      <c r="S34" s="11"/>
      <c r="T34" s="11"/>
      <c r="U34" s="9"/>
      <c r="V34" s="9"/>
      <c r="W34" s="9"/>
      <c r="X34" s="16"/>
      <c r="AF34" s="42">
        <f>IF(BUSCAR!$C$8="FECHA NAC.",$G34,IF(BUSCAR!$C$8="PASAPORTE EXPIRA",$J34,IF(BUSCAR!$C$8="LICENCIA EMISION",$L34,IF(BUSCAR!$C$8="LICENCIA EXPIRA",$M34,""))))</f>
      </c>
      <c r="AG34" s="42">
        <f>IF($B34&amp;$C34&amp;$D34&amp;$E34&amp;$H34="",0,IF(AND(OR(BUSCAR!$J$5="",ISNUMBER(SEARCH(BUSCAR!$J$5,$AI34))),OR(BUSCAR!$J$6="",ISNUMBER(SEARCH(BUSCAR!$J$6,$AI34))),OR(BUSCAR!$J$8="",ISNUMBER(SEARCH(BUSCAR!$J$8,$AI34))),OR(BUSCAR!$J$9="",ISNUMBER(SEARCH(BUSCAR!$J$9,$AI34))),OR(NOT(BUSCAR!$J$2),AND(ISNUMBER($AF34),$AF34&gt;=BUSCAR!$J$3,$AF34&lt;=BUSCAR!$J$4))),1,0))</f>
      </c>
      <c r="AH34" s="42">
        <f t="shared" si="0"/>
      </c>
      <c r="AI34" s="42">
        <f t="shared" si="1"/>
      </c>
    </row>
    <row r="35" spans="1:35" x14ac:dyDescent="0.2">
      <c r="A35" s="66">
        <f t="shared" si="2"/>
      </c>
      <c r="B35" s="4"/>
      <c r="C35" s="4"/>
      <c r="D35" s="4"/>
      <c r="E35" s="4"/>
      <c r="F35" s="32"/>
      <c r="G35" s="8"/>
      <c r="H35" s="9"/>
      <c r="I35" s="8"/>
      <c r="J35" s="10"/>
      <c r="K35" s="8"/>
      <c r="L35" s="8"/>
      <c r="M35" s="8"/>
      <c r="N35" s="11"/>
      <c r="O35" s="9"/>
      <c r="P35" s="12"/>
      <c r="Q35" s="9"/>
      <c r="R35" s="13"/>
      <c r="S35" s="11"/>
      <c r="T35" s="11"/>
      <c r="U35" s="9"/>
      <c r="V35" s="9"/>
      <c r="W35" s="9"/>
      <c r="X35" s="16"/>
      <c r="AF35" s="42">
        <f>IF(BUSCAR!$C$8="FECHA NAC.",$G35,IF(BUSCAR!$C$8="PASAPORTE EXPIRA",$J35,IF(BUSCAR!$C$8="LICENCIA EMISION",$L35,IF(BUSCAR!$C$8="LICENCIA EXPIRA",$M35,""))))</f>
      </c>
      <c r="AG35" s="42">
        <f>IF($B35&amp;$C35&amp;$D35&amp;$E35&amp;$H35="",0,IF(AND(OR(BUSCAR!$J$5="",ISNUMBER(SEARCH(BUSCAR!$J$5,$AI35))),OR(BUSCAR!$J$6="",ISNUMBER(SEARCH(BUSCAR!$J$6,$AI35))),OR(BUSCAR!$J$8="",ISNUMBER(SEARCH(BUSCAR!$J$8,$AI35))),OR(BUSCAR!$J$9="",ISNUMBER(SEARCH(BUSCAR!$J$9,$AI35))),OR(NOT(BUSCAR!$J$2),AND(ISNUMBER($AF35),$AF35&gt;=BUSCAR!$J$3,$AF35&lt;=BUSCAR!$J$4))),1,0))</f>
      </c>
      <c r="AH35" s="42">
        <f t="shared" si="0"/>
      </c>
      <c r="AI35" s="42">
        <f t="shared" si="1"/>
      </c>
    </row>
    <row r="36" spans="1:35" x14ac:dyDescent="0.2">
      <c r="A36" s="66">
        <f t="shared" si="2"/>
      </c>
      <c r="B36" s="4"/>
      <c r="C36" s="4"/>
      <c r="D36" s="4"/>
      <c r="E36" s="4"/>
      <c r="F36" s="32"/>
      <c r="G36" s="8"/>
      <c r="H36" s="9"/>
      <c r="I36" s="8"/>
      <c r="J36" s="10"/>
      <c r="K36" s="8"/>
      <c r="L36" s="8"/>
      <c r="M36" s="8"/>
      <c r="N36" s="11"/>
      <c r="O36" s="9"/>
      <c r="P36" s="12"/>
      <c r="Q36" s="9"/>
      <c r="R36" s="13"/>
      <c r="S36" s="11"/>
      <c r="T36" s="11"/>
      <c r="U36" s="9"/>
      <c r="V36" s="9"/>
      <c r="W36" s="9"/>
      <c r="X36" s="16"/>
      <c r="AF36" s="42">
        <f>IF(BUSCAR!$C$8="FECHA NAC.",$G36,IF(BUSCAR!$C$8="PASAPORTE EXPIRA",$J36,IF(BUSCAR!$C$8="LICENCIA EMISION",$L36,IF(BUSCAR!$C$8="LICENCIA EXPIRA",$M36,""))))</f>
      </c>
      <c r="AG36" s="42">
        <f>IF($B36&amp;$C36&amp;$D36&amp;$E36&amp;$H36="",0,IF(AND(OR(BUSCAR!$J$5="",ISNUMBER(SEARCH(BUSCAR!$J$5,$AI36))),OR(BUSCAR!$J$6="",ISNUMBER(SEARCH(BUSCAR!$J$6,$AI36))),OR(BUSCAR!$J$8="",ISNUMBER(SEARCH(BUSCAR!$J$8,$AI36))),OR(BUSCAR!$J$9="",ISNUMBER(SEARCH(BUSCAR!$J$9,$AI36))),OR(NOT(BUSCAR!$J$2),AND(ISNUMBER($AF36),$AF36&gt;=BUSCAR!$J$3,$AF36&lt;=BUSCAR!$J$4))),1,0))</f>
      </c>
      <c r="AH36" s="42">
        <f t="shared" si="0"/>
      </c>
      <c r="AI36" s="42">
        <f t="shared" si="1"/>
      </c>
    </row>
    <row r="37" spans="1:35" x14ac:dyDescent="0.2">
      <c r="A37" s="66">
        <f t="shared" si="2"/>
      </c>
      <c r="B37" s="4"/>
      <c r="C37" s="4"/>
      <c r="D37" s="4"/>
      <c r="E37" s="4"/>
      <c r="F37" s="32"/>
      <c r="G37" s="8"/>
      <c r="H37" s="9"/>
      <c r="I37" s="8"/>
      <c r="J37" s="10"/>
      <c r="K37" s="8"/>
      <c r="L37" s="8"/>
      <c r="M37" s="8"/>
      <c r="N37" s="11"/>
      <c r="O37" s="9"/>
      <c r="P37" s="12"/>
      <c r="Q37" s="9"/>
      <c r="R37" s="13"/>
      <c r="S37" s="11"/>
      <c r="T37" s="11"/>
      <c r="U37" s="9"/>
      <c r="V37" s="9"/>
      <c r="W37" s="9"/>
      <c r="X37" s="16"/>
      <c r="AF37" s="42">
        <f>IF(BUSCAR!$C$8="FECHA NAC.",$G37,IF(BUSCAR!$C$8="PASAPORTE EXPIRA",$J37,IF(BUSCAR!$C$8="LICENCIA EMISION",$L37,IF(BUSCAR!$C$8="LICENCIA EXPIRA",$M37,""))))</f>
      </c>
      <c r="AG37" s="42">
        <f>IF($B37&amp;$C37&amp;$D37&amp;$E37&amp;$H37="",0,IF(AND(OR(BUSCAR!$J$5="",ISNUMBER(SEARCH(BUSCAR!$J$5,$AI37))),OR(BUSCAR!$J$6="",ISNUMBER(SEARCH(BUSCAR!$J$6,$AI37))),OR(BUSCAR!$J$8="",ISNUMBER(SEARCH(BUSCAR!$J$8,$AI37))),OR(BUSCAR!$J$9="",ISNUMBER(SEARCH(BUSCAR!$J$9,$AI37))),OR(NOT(BUSCAR!$J$2),AND(ISNUMBER($AF37),$AF37&gt;=BUSCAR!$J$3,$AF37&lt;=BUSCAR!$J$4))),1,0))</f>
      </c>
      <c r="AH37" s="42">
        <f t="shared" si="0"/>
      </c>
      <c r="AI37" s="42">
        <f t="shared" si="1"/>
      </c>
    </row>
    <row r="38" spans="1:35" x14ac:dyDescent="0.2">
      <c r="A38" s="66">
        <f t="shared" si="2"/>
      </c>
      <c r="B38" s="4"/>
      <c r="C38" s="4"/>
      <c r="D38" s="4"/>
      <c r="E38" s="4"/>
      <c r="F38" s="32"/>
      <c r="G38" s="8"/>
      <c r="H38" s="9"/>
      <c r="I38" s="8"/>
      <c r="J38" s="10"/>
      <c r="K38" s="8"/>
      <c r="L38" s="8"/>
      <c r="M38" s="8"/>
      <c r="N38" s="11"/>
      <c r="O38" s="9"/>
      <c r="P38" s="12"/>
      <c r="Q38" s="9"/>
      <c r="R38" s="13"/>
      <c r="S38" s="11"/>
      <c r="T38" s="11"/>
      <c r="U38" s="9"/>
      <c r="V38" s="9"/>
      <c r="W38" s="9"/>
      <c r="X38" s="16"/>
      <c r="AF38" s="42">
        <f>IF(BUSCAR!$C$8="FECHA NAC.",$G38,IF(BUSCAR!$C$8="PASAPORTE EXPIRA",$J38,IF(BUSCAR!$C$8="LICENCIA EMISION",$L38,IF(BUSCAR!$C$8="LICENCIA EXPIRA",$M38,""))))</f>
      </c>
      <c r="AG38" s="42">
        <f>IF($B38&amp;$C38&amp;$D38&amp;$E38&amp;$H38="",0,IF(AND(OR(BUSCAR!$J$5="",ISNUMBER(SEARCH(BUSCAR!$J$5,$AI38))),OR(BUSCAR!$J$6="",ISNUMBER(SEARCH(BUSCAR!$J$6,$AI38))),OR(BUSCAR!$J$8="",ISNUMBER(SEARCH(BUSCAR!$J$8,$AI38))),OR(BUSCAR!$J$9="",ISNUMBER(SEARCH(BUSCAR!$J$9,$AI38))),OR(NOT(BUSCAR!$J$2),AND(ISNUMBER($AF38),$AF38&gt;=BUSCAR!$J$3,$AF38&lt;=BUSCAR!$J$4))),1,0))</f>
      </c>
      <c r="AH38" s="42">
        <f t="shared" si="0"/>
      </c>
      <c r="AI38" s="42">
        <f t="shared" si="1"/>
      </c>
    </row>
    <row r="39" spans="1:35" x14ac:dyDescent="0.2">
      <c r="A39" s="66">
        <f t="shared" si="2"/>
      </c>
      <c r="B39" s="4"/>
      <c r="C39" s="4"/>
      <c r="D39" s="4"/>
      <c r="E39" s="4"/>
      <c r="F39" s="32"/>
      <c r="G39" s="8"/>
      <c r="H39" s="9"/>
      <c r="I39" s="8"/>
      <c r="J39" s="10"/>
      <c r="K39" s="8"/>
      <c r="L39" s="8"/>
      <c r="M39" s="8"/>
      <c r="N39" s="11"/>
      <c r="O39" s="9"/>
      <c r="P39" s="12"/>
      <c r="Q39" s="9"/>
      <c r="R39" s="13"/>
      <c r="S39" s="11"/>
      <c r="T39" s="11"/>
      <c r="U39" s="9"/>
      <c r="V39" s="9"/>
      <c r="W39" s="9"/>
      <c r="X39" s="16"/>
      <c r="AF39" s="42">
        <f>IF(BUSCAR!$C$8="FECHA NAC.",$G39,IF(BUSCAR!$C$8="PASAPORTE EXPIRA",$J39,IF(BUSCAR!$C$8="LICENCIA EMISION",$L39,IF(BUSCAR!$C$8="LICENCIA EXPIRA",$M39,""))))</f>
      </c>
      <c r="AG39" s="42">
        <f>IF($B39&amp;$C39&amp;$D39&amp;$E39&amp;$H39="",0,IF(AND(OR(BUSCAR!$J$5="",ISNUMBER(SEARCH(BUSCAR!$J$5,$AI39))),OR(BUSCAR!$J$6="",ISNUMBER(SEARCH(BUSCAR!$J$6,$AI39))),OR(BUSCAR!$J$8="",ISNUMBER(SEARCH(BUSCAR!$J$8,$AI39))),OR(BUSCAR!$J$9="",ISNUMBER(SEARCH(BUSCAR!$J$9,$AI39))),OR(NOT(BUSCAR!$J$2),AND(ISNUMBER($AF39),$AF39&gt;=BUSCAR!$J$3,$AF39&lt;=BUSCAR!$J$4))),1,0))</f>
      </c>
      <c r="AH39" s="42">
        <f t="shared" si="0"/>
      </c>
      <c r="AI39" s="42">
        <f t="shared" si="1"/>
      </c>
    </row>
    <row r="40" spans="1:35" x14ac:dyDescent="0.2">
      <c r="A40" s="66">
        <f t="shared" si="2"/>
      </c>
      <c r="B40" s="4"/>
      <c r="C40" s="4"/>
      <c r="D40" s="4"/>
      <c r="E40" s="4"/>
      <c r="F40" s="32"/>
      <c r="G40" s="8"/>
      <c r="H40" s="9"/>
      <c r="I40" s="8"/>
      <c r="J40" s="10"/>
      <c r="K40" s="8"/>
      <c r="L40" s="8"/>
      <c r="M40" s="8"/>
      <c r="N40" s="11"/>
      <c r="O40" s="9"/>
      <c r="P40" s="12"/>
      <c r="Q40" s="9"/>
      <c r="R40" s="13"/>
      <c r="S40" s="11"/>
      <c r="T40" s="11"/>
      <c r="U40" s="9"/>
      <c r="V40" s="9"/>
      <c r="W40" s="9"/>
      <c r="X40" s="16"/>
      <c r="AF40" s="42">
        <f>IF(BUSCAR!$C$8="FECHA NAC.",$G40,IF(BUSCAR!$C$8="PASAPORTE EXPIRA",$J40,IF(BUSCAR!$C$8="LICENCIA EMISION",$L40,IF(BUSCAR!$C$8="LICENCIA EXPIRA",$M40,""))))</f>
      </c>
      <c r="AG40" s="42">
        <f>IF($B40&amp;$C40&amp;$D40&amp;$E40&amp;$H40="",0,IF(AND(OR(BUSCAR!$J$5="",ISNUMBER(SEARCH(BUSCAR!$J$5,$AI40))),OR(BUSCAR!$J$6="",ISNUMBER(SEARCH(BUSCAR!$J$6,$AI40))),OR(BUSCAR!$J$8="",ISNUMBER(SEARCH(BUSCAR!$J$8,$AI40))),OR(BUSCAR!$J$9="",ISNUMBER(SEARCH(BUSCAR!$J$9,$AI40))),OR(NOT(BUSCAR!$J$2),AND(ISNUMBER($AF40),$AF40&gt;=BUSCAR!$J$3,$AF40&lt;=BUSCAR!$J$4))),1,0))</f>
      </c>
      <c r="AH40" s="42">
        <f t="shared" si="0"/>
      </c>
      <c r="AI40" s="42">
        <f t="shared" si="1"/>
      </c>
    </row>
    <row r="41" spans="1:35" x14ac:dyDescent="0.2">
      <c r="A41" s="66">
        <f t="shared" si="2"/>
      </c>
      <c r="B41" s="4"/>
      <c r="C41" s="4"/>
      <c r="D41" s="4"/>
      <c r="E41" s="4"/>
      <c r="F41" s="32"/>
      <c r="G41" s="8"/>
      <c r="H41" s="9"/>
      <c r="I41" s="8"/>
      <c r="J41" s="10"/>
      <c r="K41" s="8"/>
      <c r="L41" s="8"/>
      <c r="M41" s="8"/>
      <c r="N41" s="11"/>
      <c r="O41" s="9"/>
      <c r="P41" s="12"/>
      <c r="Q41" s="9"/>
      <c r="R41" s="13"/>
      <c r="S41" s="11"/>
      <c r="T41" s="11"/>
      <c r="U41" s="9"/>
      <c r="V41" s="9"/>
      <c r="W41" s="9"/>
      <c r="X41" s="16"/>
      <c r="AF41" s="42">
        <f>IF(BUSCAR!$C$8="FECHA NAC.",$G41,IF(BUSCAR!$C$8="PASAPORTE EXPIRA",$J41,IF(BUSCAR!$C$8="LICENCIA EMISION",$L41,IF(BUSCAR!$C$8="LICENCIA EXPIRA",$M41,""))))</f>
      </c>
      <c r="AG41" s="42">
        <f>IF($B41&amp;$C41&amp;$D41&amp;$E41&amp;$H41="",0,IF(AND(OR(BUSCAR!$J$5="",ISNUMBER(SEARCH(BUSCAR!$J$5,$AI41))),OR(BUSCAR!$J$6="",ISNUMBER(SEARCH(BUSCAR!$J$6,$AI41))),OR(BUSCAR!$J$8="",ISNUMBER(SEARCH(BUSCAR!$J$8,$AI41))),OR(BUSCAR!$J$9="",ISNUMBER(SEARCH(BUSCAR!$J$9,$AI41))),OR(NOT(BUSCAR!$J$2),AND(ISNUMBER($AF41),$AF41&gt;=BUSCAR!$J$3,$AF41&lt;=BUSCAR!$J$4))),1,0))</f>
      </c>
      <c r="AH41" s="42">
        <f t="shared" si="0"/>
      </c>
      <c r="AI41" s="42">
        <f t="shared" si="1"/>
      </c>
    </row>
    <row r="42" spans="1:35" x14ac:dyDescent="0.2">
      <c r="A42" s="66">
        <f t="shared" si="2"/>
      </c>
      <c r="B42" s="4"/>
      <c r="C42" s="4"/>
      <c r="D42" s="4"/>
      <c r="E42" s="4"/>
      <c r="F42" s="32"/>
      <c r="G42" s="8"/>
      <c r="H42" s="9"/>
      <c r="I42" s="8"/>
      <c r="J42" s="10"/>
      <c r="K42" s="8"/>
      <c r="L42" s="8"/>
      <c r="M42" s="8"/>
      <c r="N42" s="11"/>
      <c r="O42" s="9"/>
      <c r="P42" s="12"/>
      <c r="Q42" s="9"/>
      <c r="R42" s="13"/>
      <c r="S42" s="11"/>
      <c r="T42" s="11"/>
      <c r="U42" s="9"/>
      <c r="V42" s="9"/>
      <c r="W42" s="9"/>
      <c r="X42" s="16"/>
      <c r="AF42" s="42">
        <f>IF(BUSCAR!$C$8="FECHA NAC.",$G42,IF(BUSCAR!$C$8="PASAPORTE EXPIRA",$J42,IF(BUSCAR!$C$8="LICENCIA EMISION",$L42,IF(BUSCAR!$C$8="LICENCIA EXPIRA",$M42,""))))</f>
      </c>
      <c r="AG42" s="42">
        <f>IF($B42&amp;$C42&amp;$D42&amp;$E42&amp;$H42="",0,IF(AND(OR(BUSCAR!$J$5="",ISNUMBER(SEARCH(BUSCAR!$J$5,$AI42))),OR(BUSCAR!$J$6="",ISNUMBER(SEARCH(BUSCAR!$J$6,$AI42))),OR(BUSCAR!$J$8="",ISNUMBER(SEARCH(BUSCAR!$J$8,$AI42))),OR(BUSCAR!$J$9="",ISNUMBER(SEARCH(BUSCAR!$J$9,$AI42))),OR(NOT(BUSCAR!$J$2),AND(ISNUMBER($AF42),$AF42&gt;=BUSCAR!$J$3,$AF42&lt;=BUSCAR!$J$4))),1,0))</f>
      </c>
      <c r="AH42" s="42">
        <f t="shared" si="0"/>
      </c>
      <c r="AI42" s="42">
        <f t="shared" si="1"/>
      </c>
    </row>
    <row r="43" spans="1:35" x14ac:dyDescent="0.2">
      <c r="A43" s="66">
        <f t="shared" si="2"/>
      </c>
      <c r="B43" s="4"/>
      <c r="C43" s="4"/>
      <c r="D43" s="4"/>
      <c r="E43" s="4"/>
      <c r="F43" s="32"/>
      <c r="G43" s="8"/>
      <c r="H43" s="9"/>
      <c r="I43" s="8"/>
      <c r="J43" s="10"/>
      <c r="K43" s="8"/>
      <c r="L43" s="8"/>
      <c r="M43" s="8"/>
      <c r="N43" s="11"/>
      <c r="O43" s="9"/>
      <c r="P43" s="12"/>
      <c r="Q43" s="9"/>
      <c r="R43" s="13"/>
      <c r="S43" s="11"/>
      <c r="T43" s="11"/>
      <c r="U43" s="9"/>
      <c r="V43" s="9"/>
      <c r="W43" s="9"/>
      <c r="X43" s="16"/>
      <c r="AF43" s="42">
        <f>IF(BUSCAR!$C$8="FECHA NAC.",$G43,IF(BUSCAR!$C$8="PASAPORTE EXPIRA",$J43,IF(BUSCAR!$C$8="LICENCIA EMISION",$L43,IF(BUSCAR!$C$8="LICENCIA EXPIRA",$M43,""))))</f>
      </c>
      <c r="AG43" s="42">
        <f>IF($B43&amp;$C43&amp;$D43&amp;$E43&amp;$H43="",0,IF(AND(OR(BUSCAR!$J$5="",ISNUMBER(SEARCH(BUSCAR!$J$5,$AI43))),OR(BUSCAR!$J$6="",ISNUMBER(SEARCH(BUSCAR!$J$6,$AI43))),OR(BUSCAR!$J$8="",ISNUMBER(SEARCH(BUSCAR!$J$8,$AI43))),OR(BUSCAR!$J$9="",ISNUMBER(SEARCH(BUSCAR!$J$9,$AI43))),OR(NOT(BUSCAR!$J$2),AND(ISNUMBER($AF43),$AF43&gt;=BUSCAR!$J$3,$AF43&lt;=BUSCAR!$J$4))),1,0))</f>
      </c>
      <c r="AH43" s="42">
        <f t="shared" si="0"/>
      </c>
      <c r="AI43" s="42">
        <f t="shared" si="1"/>
      </c>
    </row>
    <row r="44" spans="1:35" x14ac:dyDescent="0.2">
      <c r="A44" s="66">
        <f t="shared" si="2"/>
      </c>
      <c r="B44" s="4"/>
      <c r="C44" s="4"/>
      <c r="D44" s="4"/>
      <c r="E44" s="4"/>
      <c r="F44" s="32"/>
      <c r="G44" s="8"/>
      <c r="H44" s="9"/>
      <c r="I44" s="8"/>
      <c r="J44" s="10"/>
      <c r="K44" s="8"/>
      <c r="L44" s="8"/>
      <c r="M44" s="8"/>
      <c r="N44" s="11"/>
      <c r="O44" s="9"/>
      <c r="P44" s="12"/>
      <c r="Q44" s="9"/>
      <c r="R44" s="13"/>
      <c r="S44" s="11"/>
      <c r="T44" s="11"/>
      <c r="U44" s="9"/>
      <c r="V44" s="9"/>
      <c r="W44" s="9"/>
      <c r="X44" s="16"/>
      <c r="AF44" s="42">
        <f>IF(BUSCAR!$C$8="FECHA NAC.",$G44,IF(BUSCAR!$C$8="PASAPORTE EXPIRA",$J44,IF(BUSCAR!$C$8="LICENCIA EMISION",$L44,IF(BUSCAR!$C$8="LICENCIA EXPIRA",$M44,""))))</f>
      </c>
      <c r="AG44" s="42">
        <f>IF($B44&amp;$C44&amp;$D44&amp;$E44&amp;$H44="",0,IF(AND(OR(BUSCAR!$J$5="",ISNUMBER(SEARCH(BUSCAR!$J$5,$AI44))),OR(BUSCAR!$J$6="",ISNUMBER(SEARCH(BUSCAR!$J$6,$AI44))),OR(BUSCAR!$J$8="",ISNUMBER(SEARCH(BUSCAR!$J$8,$AI44))),OR(BUSCAR!$J$9="",ISNUMBER(SEARCH(BUSCAR!$J$9,$AI44))),OR(NOT(BUSCAR!$J$2),AND(ISNUMBER($AF44),$AF44&gt;=BUSCAR!$J$3,$AF44&lt;=BUSCAR!$J$4))),1,0))</f>
      </c>
      <c r="AH44" s="42">
        <f t="shared" si="0"/>
      </c>
      <c r="AI44" s="42">
        <f t="shared" si="1"/>
      </c>
    </row>
    <row r="45" spans="1:35" x14ac:dyDescent="0.2">
      <c r="A45" s="66">
        <f t="shared" si="2"/>
      </c>
      <c r="B45" s="4"/>
      <c r="C45" s="4"/>
      <c r="D45" s="4"/>
      <c r="E45" s="4"/>
      <c r="F45" s="32"/>
      <c r="G45" s="8"/>
      <c r="H45" s="9"/>
      <c r="I45" s="8"/>
      <c r="J45" s="10"/>
      <c r="K45" s="8"/>
      <c r="L45" s="8"/>
      <c r="M45" s="8"/>
      <c r="N45" s="11"/>
      <c r="O45" s="9"/>
      <c r="P45" s="12"/>
      <c r="Q45" s="9"/>
      <c r="R45" s="13"/>
      <c r="S45" s="11"/>
      <c r="T45" s="11"/>
      <c r="U45" s="9"/>
      <c r="V45" s="9"/>
      <c r="W45" s="9"/>
      <c r="X45" s="16"/>
      <c r="AF45" s="42">
        <f>IF(BUSCAR!$C$8="FECHA NAC.",$G45,IF(BUSCAR!$C$8="PASAPORTE EXPIRA",$J45,IF(BUSCAR!$C$8="LICENCIA EMISION",$L45,IF(BUSCAR!$C$8="LICENCIA EXPIRA",$M45,""))))</f>
      </c>
      <c r="AG45" s="42">
        <f>IF($B45&amp;$C45&amp;$D45&amp;$E45&amp;$H45="",0,IF(AND(OR(BUSCAR!$J$5="",ISNUMBER(SEARCH(BUSCAR!$J$5,$AI45))),OR(BUSCAR!$J$6="",ISNUMBER(SEARCH(BUSCAR!$J$6,$AI45))),OR(BUSCAR!$J$8="",ISNUMBER(SEARCH(BUSCAR!$J$8,$AI45))),OR(BUSCAR!$J$9="",ISNUMBER(SEARCH(BUSCAR!$J$9,$AI45))),OR(NOT(BUSCAR!$J$2),AND(ISNUMBER($AF45),$AF45&gt;=BUSCAR!$J$3,$AF45&lt;=BUSCAR!$J$4))),1,0))</f>
      </c>
      <c r="AH45" s="42">
        <f t="shared" si="0"/>
      </c>
      <c r="AI45" s="42">
        <f t="shared" si="1"/>
      </c>
    </row>
    <row r="46" spans="1:35" x14ac:dyDescent="0.2">
      <c r="A46" s="66">
        <f t="shared" si="2"/>
      </c>
      <c r="B46" s="4"/>
      <c r="C46" s="4"/>
      <c r="D46" s="4"/>
      <c r="E46" s="4"/>
      <c r="F46" s="32"/>
      <c r="G46" s="8"/>
      <c r="H46" s="9"/>
      <c r="I46" s="8"/>
      <c r="J46" s="10"/>
      <c r="K46" s="8"/>
      <c r="L46" s="8"/>
      <c r="M46" s="8"/>
      <c r="N46" s="11"/>
      <c r="O46" s="9"/>
      <c r="P46" s="12"/>
      <c r="Q46" s="9"/>
      <c r="R46" s="13"/>
      <c r="S46" s="11"/>
      <c r="T46" s="11"/>
      <c r="U46" s="9"/>
      <c r="V46" s="9"/>
      <c r="W46" s="9"/>
      <c r="X46" s="16"/>
      <c r="AF46" s="42">
        <f>IF(BUSCAR!$C$8="FECHA NAC.",$G46,IF(BUSCAR!$C$8="PASAPORTE EXPIRA",$J46,IF(BUSCAR!$C$8="LICENCIA EMISION",$L46,IF(BUSCAR!$C$8="LICENCIA EXPIRA",$M46,""))))</f>
      </c>
      <c r="AG46" s="42">
        <f>IF($B46&amp;$C46&amp;$D46&amp;$E46&amp;$H46="",0,IF(AND(OR(BUSCAR!$J$5="",ISNUMBER(SEARCH(BUSCAR!$J$5,$AI46))),OR(BUSCAR!$J$6="",ISNUMBER(SEARCH(BUSCAR!$J$6,$AI46))),OR(BUSCAR!$J$8="",ISNUMBER(SEARCH(BUSCAR!$J$8,$AI46))),OR(BUSCAR!$J$9="",ISNUMBER(SEARCH(BUSCAR!$J$9,$AI46))),OR(NOT(BUSCAR!$J$2),AND(ISNUMBER($AF46),$AF46&gt;=BUSCAR!$J$3,$AF46&lt;=BUSCAR!$J$4))),1,0))</f>
      </c>
      <c r="AH46" s="42">
        <f t="shared" si="0"/>
      </c>
      <c r="AI46" s="42">
        <f t="shared" si="1"/>
      </c>
    </row>
    <row r="47" spans="1:35" x14ac:dyDescent="0.2">
      <c r="A47" s="66">
        <f t="shared" si="2"/>
      </c>
      <c r="B47" s="4"/>
      <c r="C47" s="4"/>
      <c r="D47" s="4"/>
      <c r="E47" s="4"/>
      <c r="F47" s="32"/>
      <c r="G47" s="8"/>
      <c r="H47" s="9"/>
      <c r="I47" s="8"/>
      <c r="J47" s="10"/>
      <c r="K47" s="8"/>
      <c r="L47" s="8"/>
      <c r="M47" s="8"/>
      <c r="N47" s="11"/>
      <c r="O47" s="9"/>
      <c r="P47" s="12"/>
      <c r="Q47" s="9"/>
      <c r="R47" s="13"/>
      <c r="S47" s="11"/>
      <c r="T47" s="11"/>
      <c r="U47" s="9"/>
      <c r="V47" s="9"/>
      <c r="W47" s="9"/>
      <c r="X47" s="16"/>
      <c r="AF47" s="42">
        <f>IF(BUSCAR!$C$8="FECHA NAC.",$G47,IF(BUSCAR!$C$8="PASAPORTE EXPIRA",$J47,IF(BUSCAR!$C$8="LICENCIA EMISION",$L47,IF(BUSCAR!$C$8="LICENCIA EXPIRA",$M47,""))))</f>
      </c>
      <c r="AG47" s="42">
        <f>IF($B47&amp;$C47&amp;$D47&amp;$E47&amp;$H47="",0,IF(AND(OR(BUSCAR!$J$5="",ISNUMBER(SEARCH(BUSCAR!$J$5,$AI47))),OR(BUSCAR!$J$6="",ISNUMBER(SEARCH(BUSCAR!$J$6,$AI47))),OR(BUSCAR!$J$8="",ISNUMBER(SEARCH(BUSCAR!$J$8,$AI47))),OR(BUSCAR!$J$9="",ISNUMBER(SEARCH(BUSCAR!$J$9,$AI47))),OR(NOT(BUSCAR!$J$2),AND(ISNUMBER($AF47),$AF47&gt;=BUSCAR!$J$3,$AF47&lt;=BUSCAR!$J$4))),1,0))</f>
      </c>
      <c r="AH47" s="42">
        <f t="shared" si="0"/>
      </c>
      <c r="AI47" s="42">
        <f t="shared" si="1"/>
      </c>
    </row>
    <row r="48" spans="1:35" x14ac:dyDescent="0.2">
      <c r="A48" s="66">
        <f t="shared" si="2"/>
      </c>
      <c r="B48" s="4"/>
      <c r="C48" s="4"/>
      <c r="D48" s="4"/>
      <c r="E48" s="4"/>
      <c r="F48" s="32"/>
      <c r="G48" s="8"/>
      <c r="H48" s="9"/>
      <c r="I48" s="8"/>
      <c r="J48" s="10"/>
      <c r="K48" s="8"/>
      <c r="L48" s="8"/>
      <c r="M48" s="8"/>
      <c r="N48" s="11"/>
      <c r="O48" s="9"/>
      <c r="P48" s="12"/>
      <c r="Q48" s="9"/>
      <c r="R48" s="13"/>
      <c r="S48" s="11"/>
      <c r="T48" s="11"/>
      <c r="U48" s="9"/>
      <c r="V48" s="9"/>
      <c r="W48" s="9"/>
      <c r="X48" s="16"/>
      <c r="AF48" s="42">
        <f>IF(BUSCAR!$C$8="FECHA NAC.",$G48,IF(BUSCAR!$C$8="PASAPORTE EXPIRA",$J48,IF(BUSCAR!$C$8="LICENCIA EMISION",$L48,IF(BUSCAR!$C$8="LICENCIA EXPIRA",$M48,""))))</f>
      </c>
      <c r="AG48" s="42">
        <f>IF($B48&amp;$C48&amp;$D48&amp;$E48&amp;$H48="",0,IF(AND(OR(BUSCAR!$J$5="",ISNUMBER(SEARCH(BUSCAR!$J$5,$AI48))),OR(BUSCAR!$J$6="",ISNUMBER(SEARCH(BUSCAR!$J$6,$AI48))),OR(BUSCAR!$J$8="",ISNUMBER(SEARCH(BUSCAR!$J$8,$AI48))),OR(BUSCAR!$J$9="",ISNUMBER(SEARCH(BUSCAR!$J$9,$AI48))),OR(NOT(BUSCAR!$J$2),AND(ISNUMBER($AF48),$AF48&gt;=BUSCAR!$J$3,$AF48&lt;=BUSCAR!$J$4))),1,0))</f>
      </c>
      <c r="AH48" s="42">
        <f t="shared" si="0"/>
      </c>
      <c r="AI48" s="42">
        <f t="shared" si="1"/>
      </c>
    </row>
    <row r="49" spans="1:35" x14ac:dyDescent="0.2">
      <c r="A49" s="66">
        <f t="shared" si="2"/>
      </c>
      <c r="B49" s="4"/>
      <c r="C49" s="4"/>
      <c r="D49" s="4"/>
      <c r="E49" s="4"/>
      <c r="F49" s="32"/>
      <c r="G49" s="8"/>
      <c r="H49" s="9"/>
      <c r="I49" s="8"/>
      <c r="J49" s="10"/>
      <c r="K49" s="8"/>
      <c r="L49" s="8"/>
      <c r="M49" s="8"/>
      <c r="N49" s="11"/>
      <c r="O49" s="9"/>
      <c r="P49" s="12"/>
      <c r="Q49" s="9"/>
      <c r="R49" s="13"/>
      <c r="S49" s="11"/>
      <c r="T49" s="11"/>
      <c r="U49" s="9"/>
      <c r="V49" s="9"/>
      <c r="W49" s="9"/>
      <c r="X49" s="16"/>
      <c r="AF49" s="42">
        <f>IF(BUSCAR!$C$8="FECHA NAC.",$G49,IF(BUSCAR!$C$8="PASAPORTE EXPIRA",$J49,IF(BUSCAR!$C$8="LICENCIA EMISION",$L49,IF(BUSCAR!$C$8="LICENCIA EXPIRA",$M49,""))))</f>
      </c>
      <c r="AG49" s="42">
        <f>IF($B49&amp;$C49&amp;$D49&amp;$E49&amp;$H49="",0,IF(AND(OR(BUSCAR!$J$5="",ISNUMBER(SEARCH(BUSCAR!$J$5,$AI49))),OR(BUSCAR!$J$6="",ISNUMBER(SEARCH(BUSCAR!$J$6,$AI49))),OR(BUSCAR!$J$8="",ISNUMBER(SEARCH(BUSCAR!$J$8,$AI49))),OR(BUSCAR!$J$9="",ISNUMBER(SEARCH(BUSCAR!$J$9,$AI49))),OR(NOT(BUSCAR!$J$2),AND(ISNUMBER($AF49),$AF49&gt;=BUSCAR!$J$3,$AF49&lt;=BUSCAR!$J$4))),1,0))</f>
      </c>
      <c r="AH49" s="42">
        <f t="shared" si="0"/>
      </c>
      <c r="AI49" s="42">
        <f t="shared" si="1"/>
      </c>
    </row>
    <row r="50" spans="1:35" x14ac:dyDescent="0.2">
      <c r="A50" s="66">
        <f t="shared" si="2"/>
      </c>
      <c r="B50" s="4"/>
      <c r="C50" s="4"/>
      <c r="D50" s="4"/>
      <c r="E50" s="4"/>
      <c r="F50" s="32"/>
      <c r="G50" s="8"/>
      <c r="H50" s="9"/>
      <c r="I50" s="8"/>
      <c r="J50" s="10"/>
      <c r="K50" s="8"/>
      <c r="L50" s="8"/>
      <c r="M50" s="8"/>
      <c r="N50" s="11"/>
      <c r="O50" s="9"/>
      <c r="P50" s="12"/>
      <c r="Q50" s="9"/>
      <c r="R50" s="13"/>
      <c r="S50" s="11"/>
      <c r="T50" s="11"/>
      <c r="U50" s="9"/>
      <c r="V50" s="9"/>
      <c r="W50" s="9"/>
      <c r="X50" s="16"/>
      <c r="AF50" s="42">
        <f>IF(BUSCAR!$C$8="FECHA NAC.",$G50,IF(BUSCAR!$C$8="PASAPORTE EXPIRA",$J50,IF(BUSCAR!$C$8="LICENCIA EMISION",$L50,IF(BUSCAR!$C$8="LICENCIA EXPIRA",$M50,""))))</f>
      </c>
      <c r="AG50" s="42">
        <f>IF($B50&amp;$C50&amp;$D50&amp;$E50&amp;$H50="",0,IF(AND(OR(BUSCAR!$J$5="",ISNUMBER(SEARCH(BUSCAR!$J$5,$AI50))),OR(BUSCAR!$J$6="",ISNUMBER(SEARCH(BUSCAR!$J$6,$AI50))),OR(BUSCAR!$J$8="",ISNUMBER(SEARCH(BUSCAR!$J$8,$AI50))),OR(BUSCAR!$J$9="",ISNUMBER(SEARCH(BUSCAR!$J$9,$AI50))),OR(NOT(BUSCAR!$J$2),AND(ISNUMBER($AF50),$AF50&gt;=BUSCAR!$J$3,$AF50&lt;=BUSCAR!$J$4))),1,0))</f>
      </c>
      <c r="AH50" s="42">
        <f t="shared" si="0"/>
      </c>
      <c r="AI50" s="42">
        <f t="shared" si="1"/>
      </c>
    </row>
    <row r="51" spans="1:35" x14ac:dyDescent="0.2">
      <c r="A51" s="66">
        <f t="shared" si="2"/>
      </c>
      <c r="B51" s="4"/>
      <c r="C51" s="4"/>
      <c r="D51" s="4"/>
      <c r="E51" s="4"/>
      <c r="F51" s="32"/>
      <c r="G51" s="8"/>
      <c r="H51" s="9"/>
      <c r="I51" s="8"/>
      <c r="J51" s="10"/>
      <c r="K51" s="8"/>
      <c r="L51" s="8"/>
      <c r="M51" s="8"/>
      <c r="N51" s="11"/>
      <c r="O51" s="9"/>
      <c r="P51" s="12"/>
      <c r="Q51" s="9"/>
      <c r="R51" s="13"/>
      <c r="S51" s="11"/>
      <c r="T51" s="11"/>
      <c r="U51" s="9"/>
      <c r="V51" s="9"/>
      <c r="W51" s="9"/>
      <c r="X51" s="16"/>
      <c r="AF51" s="42">
        <f>IF(BUSCAR!$C$8="FECHA NAC.",$G51,IF(BUSCAR!$C$8="PASAPORTE EXPIRA",$J51,IF(BUSCAR!$C$8="LICENCIA EMISION",$L51,IF(BUSCAR!$C$8="LICENCIA EXPIRA",$M51,""))))</f>
      </c>
      <c r="AG51" s="42">
        <f>IF($B51&amp;$C51&amp;$D51&amp;$E51&amp;$H51="",0,IF(AND(OR(BUSCAR!$J$5="",ISNUMBER(SEARCH(BUSCAR!$J$5,$AI51))),OR(BUSCAR!$J$6="",ISNUMBER(SEARCH(BUSCAR!$J$6,$AI51))),OR(BUSCAR!$J$8="",ISNUMBER(SEARCH(BUSCAR!$J$8,$AI51))),OR(BUSCAR!$J$9="",ISNUMBER(SEARCH(BUSCAR!$J$9,$AI51))),OR(NOT(BUSCAR!$J$2),AND(ISNUMBER($AF51),$AF51&gt;=BUSCAR!$J$3,$AF51&lt;=BUSCAR!$J$4))),1,0))</f>
      </c>
      <c r="AH51" s="42">
        <f t="shared" si="0"/>
      </c>
      <c r="AI51" s="42">
        <f t="shared" si="1"/>
      </c>
    </row>
    <row r="52" spans="1:35" x14ac:dyDescent="0.2">
      <c r="A52" s="66">
        <f t="shared" si="2"/>
      </c>
      <c r="B52" s="4"/>
      <c r="C52" s="4"/>
      <c r="D52" s="4"/>
      <c r="E52" s="4"/>
      <c r="F52" s="32"/>
      <c r="G52" s="8"/>
      <c r="H52" s="9"/>
      <c r="I52" s="8"/>
      <c r="J52" s="10"/>
      <c r="K52" s="8"/>
      <c r="L52" s="8"/>
      <c r="M52" s="8"/>
      <c r="N52" s="11"/>
      <c r="O52" s="9"/>
      <c r="P52" s="12"/>
      <c r="Q52" s="9"/>
      <c r="R52" s="13"/>
      <c r="S52" s="11"/>
      <c r="T52" s="11"/>
      <c r="U52" s="9"/>
      <c r="V52" s="9"/>
      <c r="W52" s="9"/>
      <c r="X52" s="16"/>
      <c r="AF52" s="42">
        <f>IF(BUSCAR!$C$8="FECHA NAC.",$G52,IF(BUSCAR!$C$8="PASAPORTE EXPIRA",$J52,IF(BUSCAR!$C$8="LICENCIA EMISION",$L52,IF(BUSCAR!$C$8="LICENCIA EXPIRA",$M52,""))))</f>
      </c>
      <c r="AG52" s="42">
        <f>IF($B52&amp;$C52&amp;$D52&amp;$E52&amp;$H52="",0,IF(AND(OR(BUSCAR!$J$5="",ISNUMBER(SEARCH(BUSCAR!$J$5,$AI52))),OR(BUSCAR!$J$6="",ISNUMBER(SEARCH(BUSCAR!$J$6,$AI52))),OR(BUSCAR!$J$8="",ISNUMBER(SEARCH(BUSCAR!$J$8,$AI52))),OR(BUSCAR!$J$9="",ISNUMBER(SEARCH(BUSCAR!$J$9,$AI52))),OR(NOT(BUSCAR!$J$2),AND(ISNUMBER($AF52),$AF52&gt;=BUSCAR!$J$3,$AF52&lt;=BUSCAR!$J$4))),1,0))</f>
      </c>
      <c r="AH52" s="42">
        <f t="shared" si="0"/>
      </c>
      <c r="AI52" s="42">
        <f t="shared" si="1"/>
      </c>
    </row>
    <row r="53" spans="1:35" x14ac:dyDescent="0.2">
      <c r="A53" s="66">
        <f t="shared" si="2"/>
      </c>
      <c r="B53" s="4"/>
      <c r="C53" s="4"/>
      <c r="D53" s="4"/>
      <c r="E53" s="4"/>
      <c r="F53" s="32"/>
      <c r="G53" s="8"/>
      <c r="H53" s="9"/>
      <c r="I53" s="8"/>
      <c r="J53" s="10"/>
      <c r="K53" s="8"/>
      <c r="L53" s="8"/>
      <c r="M53" s="8"/>
      <c r="N53" s="11"/>
      <c r="O53" s="9"/>
      <c r="P53" s="12"/>
      <c r="Q53" s="9"/>
      <c r="R53" s="13"/>
      <c r="S53" s="11"/>
      <c r="T53" s="11"/>
      <c r="U53" s="9"/>
      <c r="V53" s="9"/>
      <c r="W53" s="9"/>
      <c r="X53" s="16"/>
      <c r="AF53" s="42">
        <f>IF(BUSCAR!$C$8="FECHA NAC.",$G53,IF(BUSCAR!$C$8="PASAPORTE EXPIRA",$J53,IF(BUSCAR!$C$8="LICENCIA EMISION",$L53,IF(BUSCAR!$C$8="LICENCIA EXPIRA",$M53,""))))</f>
      </c>
      <c r="AG53" s="42">
        <f>IF($B53&amp;$C53&amp;$D53&amp;$E53&amp;$H53="",0,IF(AND(OR(BUSCAR!$J$5="",ISNUMBER(SEARCH(BUSCAR!$J$5,$AI53))),OR(BUSCAR!$J$6="",ISNUMBER(SEARCH(BUSCAR!$J$6,$AI53))),OR(BUSCAR!$J$8="",ISNUMBER(SEARCH(BUSCAR!$J$8,$AI53))),OR(BUSCAR!$J$9="",ISNUMBER(SEARCH(BUSCAR!$J$9,$AI53))),OR(NOT(BUSCAR!$J$2),AND(ISNUMBER($AF53),$AF53&gt;=BUSCAR!$J$3,$AF53&lt;=BUSCAR!$J$4))),1,0))</f>
      </c>
      <c r="AH53" s="42">
        <f t="shared" si="0"/>
      </c>
      <c r="AI53" s="42">
        <f t="shared" si="1"/>
      </c>
    </row>
    <row r="54" spans="1:35" x14ac:dyDescent="0.2">
      <c r="A54" s="66">
        <f t="shared" si="2"/>
      </c>
      <c r="B54" s="4"/>
      <c r="C54" s="4"/>
      <c r="D54" s="4"/>
      <c r="E54" s="4"/>
      <c r="F54" s="32"/>
      <c r="G54" s="8"/>
      <c r="H54" s="9"/>
      <c r="I54" s="8"/>
      <c r="J54" s="10"/>
      <c r="K54" s="8"/>
      <c r="L54" s="8"/>
      <c r="M54" s="8"/>
      <c r="N54" s="26"/>
      <c r="O54" s="9"/>
      <c r="P54" s="12"/>
      <c r="Q54" s="9"/>
      <c r="R54" s="13"/>
      <c r="S54" s="11"/>
      <c r="T54" s="11"/>
      <c r="U54" s="9"/>
      <c r="V54" s="9"/>
      <c r="W54" s="9"/>
      <c r="X54" s="16"/>
      <c r="AF54" s="42">
        <f>IF(BUSCAR!$C$8="FECHA NAC.",$G54,IF(BUSCAR!$C$8="PASAPORTE EXPIRA",$J54,IF(BUSCAR!$C$8="LICENCIA EMISION",$L54,IF(BUSCAR!$C$8="LICENCIA EXPIRA",$M54,""))))</f>
      </c>
      <c r="AG54" s="42">
        <f>IF($B54&amp;$C54&amp;$D54&amp;$E54&amp;$H54="",0,IF(AND(OR(BUSCAR!$J$5="",ISNUMBER(SEARCH(BUSCAR!$J$5,$AI54))),OR(BUSCAR!$J$6="",ISNUMBER(SEARCH(BUSCAR!$J$6,$AI54))),OR(BUSCAR!$J$8="",ISNUMBER(SEARCH(BUSCAR!$J$8,$AI54))),OR(BUSCAR!$J$9="",ISNUMBER(SEARCH(BUSCAR!$J$9,$AI54))),OR(NOT(BUSCAR!$J$2),AND(ISNUMBER($AF54),$AF54&gt;=BUSCAR!$J$3,$AF54&lt;=BUSCAR!$J$4))),1,0))</f>
      </c>
      <c r="AH54" s="42">
        <f t="shared" si="0"/>
      </c>
      <c r="AI54" s="42">
        <f t="shared" si="1"/>
      </c>
    </row>
    <row r="55" spans="1:35" x14ac:dyDescent="0.2">
      <c r="A55" s="66">
        <f t="shared" si="2"/>
      </c>
      <c r="B55" s="4"/>
      <c r="C55" s="4"/>
      <c r="D55" s="4"/>
      <c r="E55" s="4"/>
      <c r="F55" s="32"/>
      <c r="G55" s="8"/>
      <c r="H55" s="9"/>
      <c r="I55" s="8"/>
      <c r="J55" s="10"/>
      <c r="K55" s="8"/>
      <c r="L55" s="8"/>
      <c r="M55" s="8"/>
      <c r="N55" s="11"/>
      <c r="O55" s="9"/>
      <c r="P55" s="12"/>
      <c r="Q55" s="9"/>
      <c r="R55" s="13"/>
      <c r="S55" s="11"/>
      <c r="T55" s="11"/>
      <c r="U55" s="9"/>
      <c r="V55" s="9"/>
      <c r="W55" s="9"/>
      <c r="X55" s="16"/>
      <c r="AF55" s="42">
        <f>IF(BUSCAR!$C$8="FECHA NAC.",$G55,IF(BUSCAR!$C$8="PASAPORTE EXPIRA",$J55,IF(BUSCAR!$C$8="LICENCIA EMISION",$L55,IF(BUSCAR!$C$8="LICENCIA EXPIRA",$M55,""))))</f>
      </c>
      <c r="AG55" s="42">
        <f>IF($B55&amp;$C55&amp;$D55&amp;$E55&amp;$H55="",0,IF(AND(OR(BUSCAR!$J$5="",ISNUMBER(SEARCH(BUSCAR!$J$5,$AI55))),OR(BUSCAR!$J$6="",ISNUMBER(SEARCH(BUSCAR!$J$6,$AI55))),OR(BUSCAR!$J$8="",ISNUMBER(SEARCH(BUSCAR!$J$8,$AI55))),OR(BUSCAR!$J$9="",ISNUMBER(SEARCH(BUSCAR!$J$9,$AI55))),OR(NOT(BUSCAR!$J$2),AND(ISNUMBER($AF55),$AF55&gt;=BUSCAR!$J$3,$AF55&lt;=BUSCAR!$J$4))),1,0))</f>
      </c>
      <c r="AH55" s="42">
        <f t="shared" si="0"/>
      </c>
      <c r="AI55" s="42">
        <f t="shared" si="1"/>
      </c>
    </row>
    <row r="56" spans="1:35" x14ac:dyDescent="0.2">
      <c r="A56" s="66">
        <f t="shared" si="2"/>
      </c>
      <c r="B56" s="4"/>
      <c r="C56" s="4"/>
      <c r="D56" s="4"/>
      <c r="E56" s="4"/>
      <c r="F56" s="32"/>
      <c r="G56" s="8"/>
      <c r="H56" s="9"/>
      <c r="I56" s="8"/>
      <c r="J56" s="10"/>
      <c r="K56" s="8"/>
      <c r="L56" s="8"/>
      <c r="M56" s="8"/>
      <c r="N56" s="11"/>
      <c r="O56" s="9"/>
      <c r="P56" s="12"/>
      <c r="Q56" s="9"/>
      <c r="R56" s="13"/>
      <c r="S56" s="11"/>
      <c r="T56" s="11"/>
      <c r="U56" s="9"/>
      <c r="V56" s="9"/>
      <c r="W56" s="9"/>
      <c r="X56" s="16"/>
      <c r="AF56" s="42">
        <f>IF(BUSCAR!$C$8="FECHA NAC.",$G56,IF(BUSCAR!$C$8="PASAPORTE EXPIRA",$J56,IF(BUSCAR!$C$8="LICENCIA EMISION",$L56,IF(BUSCAR!$C$8="LICENCIA EXPIRA",$M56,""))))</f>
      </c>
      <c r="AG56" s="42">
        <f>IF($B56&amp;$C56&amp;$D56&amp;$E56&amp;$H56="",0,IF(AND(OR(BUSCAR!$J$5="",ISNUMBER(SEARCH(BUSCAR!$J$5,$AI56))),OR(BUSCAR!$J$6="",ISNUMBER(SEARCH(BUSCAR!$J$6,$AI56))),OR(BUSCAR!$J$8="",ISNUMBER(SEARCH(BUSCAR!$J$8,$AI56))),OR(BUSCAR!$J$9="",ISNUMBER(SEARCH(BUSCAR!$J$9,$AI56))),OR(NOT(BUSCAR!$J$2),AND(ISNUMBER($AF56),$AF56&gt;=BUSCAR!$J$3,$AF56&lt;=BUSCAR!$J$4))),1,0))</f>
      </c>
      <c r="AH56" s="42">
        <f t="shared" si="0"/>
      </c>
      <c r="AI56" s="42">
        <f t="shared" si="1"/>
      </c>
    </row>
    <row r="57" spans="1:35" x14ac:dyDescent="0.2">
      <c r="A57" s="66">
        <f t="shared" si="2"/>
      </c>
      <c r="B57" s="4"/>
      <c r="C57" s="4"/>
      <c r="D57" s="4"/>
      <c r="E57" s="4"/>
      <c r="F57" s="32"/>
      <c r="G57" s="8"/>
      <c r="H57" s="9"/>
      <c r="I57" s="8"/>
      <c r="J57" s="10"/>
      <c r="K57" s="8"/>
      <c r="L57" s="8"/>
      <c r="M57" s="8"/>
      <c r="N57" s="11"/>
      <c r="O57" s="9"/>
      <c r="P57" s="12"/>
      <c r="Q57" s="9"/>
      <c r="R57" s="13"/>
      <c r="S57" s="11"/>
      <c r="T57" s="11"/>
      <c r="U57" s="9"/>
      <c r="V57" s="9"/>
      <c r="W57" s="9"/>
      <c r="X57" s="16"/>
      <c r="AF57" s="42">
        <f>IF(BUSCAR!$C$8="FECHA NAC.",$G57,IF(BUSCAR!$C$8="PASAPORTE EXPIRA",$J57,IF(BUSCAR!$C$8="LICENCIA EMISION",$L57,IF(BUSCAR!$C$8="LICENCIA EXPIRA",$M57,""))))</f>
      </c>
      <c r="AG57" s="42">
        <f>IF($B57&amp;$C57&amp;$D57&amp;$E57&amp;$H57="",0,IF(AND(OR(BUSCAR!$J$5="",ISNUMBER(SEARCH(BUSCAR!$J$5,$AI57))),OR(BUSCAR!$J$6="",ISNUMBER(SEARCH(BUSCAR!$J$6,$AI57))),OR(BUSCAR!$J$8="",ISNUMBER(SEARCH(BUSCAR!$J$8,$AI57))),OR(BUSCAR!$J$9="",ISNUMBER(SEARCH(BUSCAR!$J$9,$AI57))),OR(NOT(BUSCAR!$J$2),AND(ISNUMBER($AF57),$AF57&gt;=BUSCAR!$J$3,$AF57&lt;=BUSCAR!$J$4))),1,0))</f>
      </c>
      <c r="AH57" s="42">
        <f t="shared" si="0"/>
      </c>
      <c r="AI57" s="42">
        <f t="shared" si="1"/>
      </c>
    </row>
    <row r="58" spans="1:35" x14ac:dyDescent="0.2">
      <c r="A58" s="66">
        <f t="shared" si="2"/>
      </c>
      <c r="B58" s="4"/>
      <c r="C58" s="4"/>
      <c r="D58" s="4"/>
      <c r="E58" s="4"/>
      <c r="F58" s="32"/>
      <c r="G58" s="8"/>
      <c r="H58" s="9"/>
      <c r="I58" s="8"/>
      <c r="J58" s="10"/>
      <c r="K58" s="8"/>
      <c r="L58" s="8"/>
      <c r="M58" s="8"/>
      <c r="N58" s="11"/>
      <c r="O58" s="9"/>
      <c r="P58" s="12"/>
      <c r="Q58" s="9"/>
      <c r="R58" s="13"/>
      <c r="S58" s="11"/>
      <c r="T58" s="11"/>
      <c r="U58" s="9"/>
      <c r="V58" s="9"/>
      <c r="W58" s="9"/>
      <c r="X58" s="16"/>
      <c r="AF58" s="42">
        <f>IF(BUSCAR!$C$8="FECHA NAC.",$G58,IF(BUSCAR!$C$8="PASAPORTE EXPIRA",$J58,IF(BUSCAR!$C$8="LICENCIA EMISION",$L58,IF(BUSCAR!$C$8="LICENCIA EXPIRA",$M58,""))))</f>
      </c>
      <c r="AG58" s="42">
        <f>IF($B58&amp;$C58&amp;$D58&amp;$E58&amp;$H58="",0,IF(AND(OR(BUSCAR!$J$5="",ISNUMBER(SEARCH(BUSCAR!$J$5,$AI58))),OR(BUSCAR!$J$6="",ISNUMBER(SEARCH(BUSCAR!$J$6,$AI58))),OR(BUSCAR!$J$8="",ISNUMBER(SEARCH(BUSCAR!$J$8,$AI58))),OR(BUSCAR!$J$9="",ISNUMBER(SEARCH(BUSCAR!$J$9,$AI58))),OR(NOT(BUSCAR!$J$2),AND(ISNUMBER($AF58),$AF58&gt;=BUSCAR!$J$3,$AF58&lt;=BUSCAR!$J$4))),1,0))</f>
      </c>
      <c r="AH58" s="42">
        <f t="shared" si="0"/>
      </c>
      <c r="AI58" s="42">
        <f t="shared" si="1"/>
      </c>
    </row>
    <row r="59" spans="1:35" x14ac:dyDescent="0.2">
      <c r="A59" s="66">
        <f t="shared" si="2"/>
      </c>
      <c r="B59" s="4"/>
      <c r="C59" s="4"/>
      <c r="D59" s="4"/>
      <c r="E59" s="4"/>
      <c r="F59" s="32"/>
      <c r="G59" s="8"/>
      <c r="H59" s="9"/>
      <c r="I59" s="8"/>
      <c r="J59" s="10"/>
      <c r="K59" s="8"/>
      <c r="L59" s="8"/>
      <c r="M59" s="8"/>
      <c r="N59" s="11"/>
      <c r="O59" s="9"/>
      <c r="P59" s="12"/>
      <c r="Q59" s="9"/>
      <c r="R59" s="13"/>
      <c r="S59" s="11"/>
      <c r="T59" s="11"/>
      <c r="U59" s="9"/>
      <c r="V59" s="9"/>
      <c r="W59" s="9"/>
      <c r="X59" s="16"/>
      <c r="AF59" s="42">
        <f>IF(BUSCAR!$C$8="FECHA NAC.",$G59,IF(BUSCAR!$C$8="PASAPORTE EXPIRA",$J59,IF(BUSCAR!$C$8="LICENCIA EMISION",$L59,IF(BUSCAR!$C$8="LICENCIA EXPIRA",$M59,""))))</f>
      </c>
      <c r="AG59" s="42">
        <f>IF($B59&amp;$C59&amp;$D59&amp;$E59&amp;$H59="",0,IF(AND(OR(BUSCAR!$J$5="",ISNUMBER(SEARCH(BUSCAR!$J$5,$AI59))),OR(BUSCAR!$J$6="",ISNUMBER(SEARCH(BUSCAR!$J$6,$AI59))),OR(BUSCAR!$J$8="",ISNUMBER(SEARCH(BUSCAR!$J$8,$AI59))),OR(BUSCAR!$J$9="",ISNUMBER(SEARCH(BUSCAR!$J$9,$AI59))),OR(NOT(BUSCAR!$J$2),AND(ISNUMBER($AF59),$AF59&gt;=BUSCAR!$J$3,$AF59&lt;=BUSCAR!$J$4))),1,0))</f>
      </c>
      <c r="AH59" s="42">
        <f t="shared" si="0"/>
      </c>
      <c r="AI59" s="42">
        <f t="shared" si="1"/>
      </c>
    </row>
    <row r="60" spans="1:35" x14ac:dyDescent="0.2">
      <c r="A60" s="66">
        <f t="shared" si="2"/>
      </c>
      <c r="B60" s="4"/>
      <c r="C60" s="4"/>
      <c r="D60" s="4"/>
      <c r="E60" s="4"/>
      <c r="F60" s="32"/>
      <c r="G60" s="8"/>
      <c r="H60" s="9"/>
      <c r="I60" s="8"/>
      <c r="J60" s="10"/>
      <c r="K60" s="8"/>
      <c r="L60" s="8"/>
      <c r="M60" s="8"/>
      <c r="N60" s="11"/>
      <c r="O60" s="9"/>
      <c r="P60" s="12"/>
      <c r="Q60" s="9"/>
      <c r="R60" s="13"/>
      <c r="S60" s="11"/>
      <c r="T60" s="11"/>
      <c r="U60" s="9"/>
      <c r="V60" s="9"/>
      <c r="W60" s="9"/>
      <c r="X60" s="16"/>
      <c r="AF60" s="42">
        <f>IF(BUSCAR!$C$8="FECHA NAC.",$G60,IF(BUSCAR!$C$8="PASAPORTE EXPIRA",$J60,IF(BUSCAR!$C$8="LICENCIA EMISION",$L60,IF(BUSCAR!$C$8="LICENCIA EXPIRA",$M60,""))))</f>
      </c>
      <c r="AG60" s="42">
        <f>IF($B60&amp;$C60&amp;$D60&amp;$E60&amp;$H60="",0,IF(AND(OR(BUSCAR!$J$5="",ISNUMBER(SEARCH(BUSCAR!$J$5,$AI60))),OR(BUSCAR!$J$6="",ISNUMBER(SEARCH(BUSCAR!$J$6,$AI60))),OR(BUSCAR!$J$8="",ISNUMBER(SEARCH(BUSCAR!$J$8,$AI60))),OR(BUSCAR!$J$9="",ISNUMBER(SEARCH(BUSCAR!$J$9,$AI60))),OR(NOT(BUSCAR!$J$2),AND(ISNUMBER($AF60),$AF60&gt;=BUSCAR!$J$3,$AF60&lt;=BUSCAR!$J$4))),1,0))</f>
      </c>
      <c r="AH60" s="42">
        <f t="shared" si="0"/>
      </c>
      <c r="AI60" s="42">
        <f t="shared" si="1"/>
      </c>
    </row>
    <row r="61" spans="1:35" x14ac:dyDescent="0.2">
      <c r="A61" s="66">
        <f t="shared" si="2"/>
      </c>
      <c r="B61" s="4"/>
      <c r="C61" s="4"/>
      <c r="D61" s="4"/>
      <c r="E61" s="4"/>
      <c r="F61" s="32"/>
      <c r="G61" s="8"/>
      <c r="H61" s="9"/>
      <c r="I61" s="8"/>
      <c r="J61" s="10"/>
      <c r="K61" s="8"/>
      <c r="L61" s="8"/>
      <c r="M61" s="8"/>
      <c r="N61" s="11"/>
      <c r="O61" s="9"/>
      <c r="P61" s="12"/>
      <c r="Q61" s="9"/>
      <c r="R61" s="13"/>
      <c r="S61" s="11"/>
      <c r="T61" s="11"/>
      <c r="U61" s="9"/>
      <c r="V61" s="9"/>
      <c r="W61" s="9"/>
      <c r="X61" s="16"/>
      <c r="AF61" s="42">
        <f>IF(BUSCAR!$C$8="FECHA NAC.",$G61,IF(BUSCAR!$C$8="PASAPORTE EXPIRA",$J61,IF(BUSCAR!$C$8="LICENCIA EMISION",$L61,IF(BUSCAR!$C$8="LICENCIA EXPIRA",$M61,""))))</f>
      </c>
      <c r="AG61" s="42">
        <f>IF($B61&amp;$C61&amp;$D61&amp;$E61&amp;$H61="",0,IF(AND(OR(BUSCAR!$J$5="",ISNUMBER(SEARCH(BUSCAR!$J$5,$AI61))),OR(BUSCAR!$J$6="",ISNUMBER(SEARCH(BUSCAR!$J$6,$AI61))),OR(BUSCAR!$J$8="",ISNUMBER(SEARCH(BUSCAR!$J$8,$AI61))),OR(BUSCAR!$J$9="",ISNUMBER(SEARCH(BUSCAR!$J$9,$AI61))),OR(NOT(BUSCAR!$J$2),AND(ISNUMBER($AF61),$AF61&gt;=BUSCAR!$J$3,$AF61&lt;=BUSCAR!$J$4))),1,0))</f>
      </c>
      <c r="AH61" s="42">
        <f t="shared" si="0"/>
      </c>
      <c r="AI61" s="42">
        <f t="shared" si="1"/>
      </c>
    </row>
    <row r="62" spans="1:35" x14ac:dyDescent="0.2">
      <c r="A62" s="66">
        <f t="shared" si="2"/>
      </c>
      <c r="B62" s="4"/>
      <c r="C62" s="4"/>
      <c r="D62" s="4"/>
      <c r="E62" s="4"/>
      <c r="F62" s="32"/>
      <c r="G62" s="8"/>
      <c r="H62" s="9"/>
      <c r="I62" s="8"/>
      <c r="J62" s="10"/>
      <c r="K62" s="8"/>
      <c r="L62" s="8"/>
      <c r="M62" s="8"/>
      <c r="N62" s="11"/>
      <c r="O62" s="9"/>
      <c r="P62" s="12"/>
      <c r="Q62" s="9"/>
      <c r="R62" s="13"/>
      <c r="S62" s="11"/>
      <c r="T62" s="11"/>
      <c r="U62" s="9"/>
      <c r="V62" s="9"/>
      <c r="W62" s="9"/>
      <c r="X62" s="16"/>
      <c r="AF62" s="42">
        <f>IF(BUSCAR!$C$8="FECHA NAC.",$G62,IF(BUSCAR!$C$8="PASAPORTE EXPIRA",$J62,IF(BUSCAR!$C$8="LICENCIA EMISION",$L62,IF(BUSCAR!$C$8="LICENCIA EXPIRA",$M62,""))))</f>
      </c>
      <c r="AG62" s="42">
        <f>IF($B62&amp;$C62&amp;$D62&amp;$E62&amp;$H62="",0,IF(AND(OR(BUSCAR!$J$5="",ISNUMBER(SEARCH(BUSCAR!$J$5,$AI62))),OR(BUSCAR!$J$6="",ISNUMBER(SEARCH(BUSCAR!$J$6,$AI62))),OR(BUSCAR!$J$8="",ISNUMBER(SEARCH(BUSCAR!$J$8,$AI62))),OR(BUSCAR!$J$9="",ISNUMBER(SEARCH(BUSCAR!$J$9,$AI62))),OR(NOT(BUSCAR!$J$2),AND(ISNUMBER($AF62),$AF62&gt;=BUSCAR!$J$3,$AF62&lt;=BUSCAR!$J$4))),1,0))</f>
      </c>
      <c r="AH62" s="42">
        <f t="shared" si="0"/>
      </c>
      <c r="AI62" s="42">
        <f t="shared" si="1"/>
      </c>
    </row>
    <row r="63" spans="1:35" x14ac:dyDescent="0.2">
      <c r="A63" s="66">
        <f t="shared" si="2"/>
      </c>
      <c r="B63" s="4"/>
      <c r="C63" s="4"/>
      <c r="D63" s="4"/>
      <c r="E63" s="4"/>
      <c r="F63" s="32"/>
      <c r="G63" s="8"/>
      <c r="H63" s="9"/>
      <c r="I63" s="8"/>
      <c r="J63" s="10"/>
      <c r="K63" s="8"/>
      <c r="L63" s="8"/>
      <c r="M63" s="8"/>
      <c r="N63" s="11"/>
      <c r="O63" s="9"/>
      <c r="P63" s="12"/>
      <c r="Q63" s="9"/>
      <c r="R63" s="13"/>
      <c r="S63" s="11"/>
      <c r="T63" s="11"/>
      <c r="U63" s="9"/>
      <c r="V63" s="9"/>
      <c r="W63" s="9"/>
      <c r="X63" s="16"/>
      <c r="AF63" s="42">
        <f>IF(BUSCAR!$C$8="FECHA NAC.",$G63,IF(BUSCAR!$C$8="PASAPORTE EXPIRA",$J63,IF(BUSCAR!$C$8="LICENCIA EMISION",$L63,IF(BUSCAR!$C$8="LICENCIA EXPIRA",$M63,""))))</f>
      </c>
      <c r="AG63" s="42">
        <f>IF($B63&amp;$C63&amp;$D63&amp;$E63&amp;$H63="",0,IF(AND(OR(BUSCAR!$J$5="",ISNUMBER(SEARCH(BUSCAR!$J$5,$AI63))),OR(BUSCAR!$J$6="",ISNUMBER(SEARCH(BUSCAR!$J$6,$AI63))),OR(BUSCAR!$J$8="",ISNUMBER(SEARCH(BUSCAR!$J$8,$AI63))),OR(BUSCAR!$J$9="",ISNUMBER(SEARCH(BUSCAR!$J$9,$AI63))),OR(NOT(BUSCAR!$J$2),AND(ISNUMBER($AF63),$AF63&gt;=BUSCAR!$J$3,$AF63&lt;=BUSCAR!$J$4))),1,0))</f>
      </c>
      <c r="AH63" s="42">
        <f t="shared" si="0"/>
      </c>
      <c r="AI63" s="42">
        <f t="shared" si="1"/>
      </c>
    </row>
    <row r="64" spans="1:35" x14ac:dyDescent="0.2">
      <c r="A64" s="66">
        <f t="shared" si="2"/>
      </c>
      <c r="B64" s="4"/>
      <c r="C64" s="4"/>
      <c r="D64" s="4"/>
      <c r="E64" s="4"/>
      <c r="F64" s="32"/>
      <c r="G64" s="8"/>
      <c r="H64" s="9"/>
      <c r="I64" s="8"/>
      <c r="J64" s="10"/>
      <c r="K64" s="8"/>
      <c r="L64" s="8"/>
      <c r="M64" s="8"/>
      <c r="N64" s="11"/>
      <c r="O64" s="9"/>
      <c r="P64" s="12"/>
      <c r="Q64" s="9"/>
      <c r="R64" s="13"/>
      <c r="S64" s="11"/>
      <c r="T64" s="11"/>
      <c r="U64" s="9"/>
      <c r="V64" s="9"/>
      <c r="W64" s="9"/>
      <c r="X64" s="16"/>
      <c r="AF64" s="42">
        <f>IF(BUSCAR!$C$8="FECHA NAC.",$G64,IF(BUSCAR!$C$8="PASAPORTE EXPIRA",$J64,IF(BUSCAR!$C$8="LICENCIA EMISION",$L64,IF(BUSCAR!$C$8="LICENCIA EXPIRA",$M64,""))))</f>
      </c>
      <c r="AG64" s="42">
        <f>IF($B64&amp;$C64&amp;$D64&amp;$E64&amp;$H64="",0,IF(AND(OR(BUSCAR!$J$5="",ISNUMBER(SEARCH(BUSCAR!$J$5,$AI64))),OR(BUSCAR!$J$6="",ISNUMBER(SEARCH(BUSCAR!$J$6,$AI64))),OR(BUSCAR!$J$8="",ISNUMBER(SEARCH(BUSCAR!$J$8,$AI64))),OR(BUSCAR!$J$9="",ISNUMBER(SEARCH(BUSCAR!$J$9,$AI64))),OR(NOT(BUSCAR!$J$2),AND(ISNUMBER($AF64),$AF64&gt;=BUSCAR!$J$3,$AF64&lt;=BUSCAR!$J$4))),1,0))</f>
      </c>
      <c r="AH64" s="42">
        <f t="shared" si="0"/>
      </c>
      <c r="AI64" s="42">
        <f t="shared" si="1"/>
      </c>
    </row>
    <row r="65" spans="1:35" x14ac:dyDescent="0.2">
      <c r="A65" s="66">
        <f t="shared" si="2"/>
      </c>
      <c r="B65" s="4"/>
      <c r="C65" s="4"/>
      <c r="D65" s="4"/>
      <c r="E65" s="4"/>
      <c r="F65" s="32"/>
      <c r="G65" s="8"/>
      <c r="H65" s="9"/>
      <c r="I65" s="8"/>
      <c r="J65" s="10"/>
      <c r="K65" s="8"/>
      <c r="L65" s="8"/>
      <c r="M65" s="8"/>
      <c r="N65" s="11"/>
      <c r="O65" s="9"/>
      <c r="P65" s="12"/>
      <c r="Q65" s="9"/>
      <c r="R65" s="13"/>
      <c r="S65" s="11"/>
      <c r="T65" s="11"/>
      <c r="U65" s="9"/>
      <c r="V65" s="9"/>
      <c r="W65" s="9"/>
      <c r="X65" s="16"/>
      <c r="AF65" s="42">
        <f>IF(BUSCAR!$C$8="FECHA NAC.",$G65,IF(BUSCAR!$C$8="PASAPORTE EXPIRA",$J65,IF(BUSCAR!$C$8="LICENCIA EMISION",$L65,IF(BUSCAR!$C$8="LICENCIA EXPIRA",$M65,""))))</f>
      </c>
      <c r="AG65" s="42">
        <f>IF($B65&amp;$C65&amp;$D65&amp;$E65&amp;$H65="",0,IF(AND(OR(BUSCAR!$J$5="",ISNUMBER(SEARCH(BUSCAR!$J$5,$AI65))),OR(BUSCAR!$J$6="",ISNUMBER(SEARCH(BUSCAR!$J$6,$AI65))),OR(BUSCAR!$J$8="",ISNUMBER(SEARCH(BUSCAR!$J$8,$AI65))),OR(BUSCAR!$J$9="",ISNUMBER(SEARCH(BUSCAR!$J$9,$AI65))),OR(NOT(BUSCAR!$J$2),AND(ISNUMBER($AF65),$AF65&gt;=BUSCAR!$J$3,$AF65&lt;=BUSCAR!$J$4))),1,0))</f>
      </c>
      <c r="AH65" s="42">
        <f t="shared" si="0"/>
      </c>
      <c r="AI65" s="42">
        <f t="shared" si="1"/>
      </c>
    </row>
    <row r="66" spans="1:35" x14ac:dyDescent="0.2">
      <c r="A66" s="66">
        <f t="shared" si="2"/>
      </c>
      <c r="B66" s="4"/>
      <c r="C66" s="4"/>
      <c r="D66" s="4"/>
      <c r="E66" s="4"/>
      <c r="F66" s="32"/>
      <c r="G66" s="8"/>
      <c r="H66" s="9"/>
      <c r="I66" s="8"/>
      <c r="J66" s="10"/>
      <c r="K66" s="8"/>
      <c r="L66" s="8"/>
      <c r="M66" s="8"/>
      <c r="N66" s="11"/>
      <c r="O66" s="9"/>
      <c r="P66" s="12"/>
      <c r="Q66" s="9"/>
      <c r="R66" s="13"/>
      <c r="S66" s="11"/>
      <c r="T66" s="11"/>
      <c r="U66" s="9"/>
      <c r="V66" s="9"/>
      <c r="W66" s="9"/>
      <c r="X66" s="16"/>
      <c r="AF66" s="42">
        <f>IF(BUSCAR!$C$8="FECHA NAC.",$G66,IF(BUSCAR!$C$8="PASAPORTE EXPIRA",$J66,IF(BUSCAR!$C$8="LICENCIA EMISION",$L66,IF(BUSCAR!$C$8="LICENCIA EXPIRA",$M66,""))))</f>
      </c>
      <c r="AG66" s="42">
        <f>IF($B66&amp;$C66&amp;$D66&amp;$E66&amp;$H66="",0,IF(AND(OR(BUSCAR!$J$5="",ISNUMBER(SEARCH(BUSCAR!$J$5,$AI66))),OR(BUSCAR!$J$6="",ISNUMBER(SEARCH(BUSCAR!$J$6,$AI66))),OR(BUSCAR!$J$8="",ISNUMBER(SEARCH(BUSCAR!$J$8,$AI66))),OR(BUSCAR!$J$9="",ISNUMBER(SEARCH(BUSCAR!$J$9,$AI66))),OR(NOT(BUSCAR!$J$2),AND(ISNUMBER($AF66),$AF66&gt;=BUSCAR!$J$3,$AF66&lt;=BUSCAR!$J$4))),1,0))</f>
      </c>
      <c r="AH66" s="42">
        <f t="shared" si="0"/>
      </c>
      <c r="AI66" s="42">
        <f t="shared" si="1"/>
      </c>
    </row>
    <row r="67" spans="1:35" x14ac:dyDescent="0.2">
      <c r="A67" s="66">
        <f t="shared" si="2"/>
      </c>
      <c r="B67" s="4"/>
      <c r="C67" s="4"/>
      <c r="D67" s="4"/>
      <c r="E67" s="4"/>
      <c r="F67" s="32"/>
      <c r="G67" s="8"/>
      <c r="H67" s="9"/>
      <c r="I67" s="8"/>
      <c r="J67" s="10"/>
      <c r="K67" s="8"/>
      <c r="L67" s="8"/>
      <c r="M67" s="8"/>
      <c r="N67" s="11"/>
      <c r="O67" s="9"/>
      <c r="P67" s="12"/>
      <c r="Q67" s="9"/>
      <c r="R67" s="13"/>
      <c r="S67" s="11"/>
      <c r="T67" s="11"/>
      <c r="U67" s="9"/>
      <c r="V67" s="9"/>
      <c r="W67" s="9"/>
      <c r="X67" s="16"/>
      <c r="AF67" s="42">
        <f>IF(BUSCAR!$C$8="FECHA NAC.",$G67,IF(BUSCAR!$C$8="PASAPORTE EXPIRA",$J67,IF(BUSCAR!$C$8="LICENCIA EMISION",$L67,IF(BUSCAR!$C$8="LICENCIA EXPIRA",$M67,""))))</f>
      </c>
      <c r="AG67" s="42">
        <f>IF($B67&amp;$C67&amp;$D67&amp;$E67&amp;$H67="",0,IF(AND(OR(BUSCAR!$J$5="",ISNUMBER(SEARCH(BUSCAR!$J$5,$AI67))),OR(BUSCAR!$J$6="",ISNUMBER(SEARCH(BUSCAR!$J$6,$AI67))),OR(BUSCAR!$J$8="",ISNUMBER(SEARCH(BUSCAR!$J$8,$AI67))),OR(BUSCAR!$J$9="",ISNUMBER(SEARCH(BUSCAR!$J$9,$AI67))),OR(NOT(BUSCAR!$J$2),AND(ISNUMBER($AF67),$AF67&gt;=BUSCAR!$J$3,$AF67&lt;=BUSCAR!$J$4))),1,0))</f>
      </c>
      <c r="AH67" s="42">
        <f t="shared" ref="AH67:AH130" si="3">AH66+AG67</f>
      </c>
      <c r="AI67" s="42">
        <f t="shared" ref="AI67:AI130" si="4">IF($B67&amp;" "&amp;$C67&amp;" "&amp;$D67&amp;" "&amp;$E67&amp;" "&amp;$H67&amp;" "&amp;$K67&amp;" "&amp;$R67&amp;" "&amp;$AC67&amp;" "&amp;$AD67="","",SUBSTITUTE(SUBSTITUTE(SUBSTITUTE(SUBSTITUTE(SUBSTITUTE(SUBSTITUTE(SUBSTITUTE(UPPER($B67&amp;" "&amp;$C67&amp;" "&amp;$D67&amp;" "&amp;$E67&amp;" "&amp;$H67&amp;" "&amp;$K67&amp;" "&amp;$R67&amp;" "&amp;$AC67&amp;" "&amp;$AD67),"Á","A"),"É","E"),"Í","I"),"Ó","O"),"Ú","U"),"Ü","U"),"Ñ","N"))</f>
      </c>
    </row>
    <row r="68" spans="1:35" x14ac:dyDescent="0.2">
      <c r="A68" s="66">
        <f t="shared" ref="A68:A131" si="5">A67+1</f>
      </c>
      <c r="B68" s="4"/>
      <c r="C68" s="4"/>
      <c r="D68" s="4"/>
      <c r="E68" s="4"/>
      <c r="F68" s="32"/>
      <c r="G68" s="8"/>
      <c r="H68" s="9"/>
      <c r="I68" s="8"/>
      <c r="J68" s="10"/>
      <c r="K68" s="8"/>
      <c r="L68" s="8"/>
      <c r="M68" s="8"/>
      <c r="N68" s="11"/>
      <c r="O68" s="9"/>
      <c r="P68" s="12"/>
      <c r="Q68" s="9"/>
      <c r="R68" s="13"/>
      <c r="S68" s="11"/>
      <c r="T68" s="11"/>
      <c r="U68" s="9"/>
      <c r="V68" s="9"/>
      <c r="W68" s="9"/>
      <c r="X68" s="16"/>
      <c r="AF68" s="42">
        <f>IF(BUSCAR!$C$8="FECHA NAC.",$G68,IF(BUSCAR!$C$8="PASAPORTE EXPIRA",$J68,IF(BUSCAR!$C$8="LICENCIA EMISION",$L68,IF(BUSCAR!$C$8="LICENCIA EXPIRA",$M68,""))))</f>
      </c>
      <c r="AG68" s="42">
        <f>IF($B68&amp;$C68&amp;$D68&amp;$E68&amp;$H68="",0,IF(AND(OR(BUSCAR!$J$5="",ISNUMBER(SEARCH(BUSCAR!$J$5,$AI68))),OR(BUSCAR!$J$6="",ISNUMBER(SEARCH(BUSCAR!$J$6,$AI68))),OR(BUSCAR!$J$8="",ISNUMBER(SEARCH(BUSCAR!$J$8,$AI68))),OR(BUSCAR!$J$9="",ISNUMBER(SEARCH(BUSCAR!$J$9,$AI68))),OR(NOT(BUSCAR!$J$2),AND(ISNUMBER($AF68),$AF68&gt;=BUSCAR!$J$3,$AF68&lt;=BUSCAR!$J$4))),1,0))</f>
      </c>
      <c r="AH68" s="42">
        <f t="shared" si="3"/>
      </c>
      <c r="AI68" s="42">
        <f t="shared" si="4"/>
      </c>
    </row>
    <row r="69" spans="1:35" x14ac:dyDescent="0.2">
      <c r="A69" s="66">
        <f t="shared" si="5"/>
      </c>
      <c r="B69" s="4"/>
      <c r="C69" s="4"/>
      <c r="D69" s="4"/>
      <c r="E69" s="4"/>
      <c r="F69" s="32"/>
      <c r="G69" s="8"/>
      <c r="H69" s="9"/>
      <c r="I69" s="8"/>
      <c r="J69" s="10"/>
      <c r="K69" s="8"/>
      <c r="L69" s="8"/>
      <c r="M69" s="8"/>
      <c r="N69" s="11"/>
      <c r="O69" s="9"/>
      <c r="P69" s="12"/>
      <c r="Q69" s="9"/>
      <c r="R69" s="13"/>
      <c r="S69" s="11"/>
      <c r="T69" s="11"/>
      <c r="U69" s="9"/>
      <c r="V69" s="9"/>
      <c r="W69" s="9"/>
      <c r="X69" s="16"/>
      <c r="AF69" s="42">
        <f>IF(BUSCAR!$C$8="FECHA NAC.",$G69,IF(BUSCAR!$C$8="PASAPORTE EXPIRA",$J69,IF(BUSCAR!$C$8="LICENCIA EMISION",$L69,IF(BUSCAR!$C$8="LICENCIA EXPIRA",$M69,""))))</f>
      </c>
      <c r="AG69" s="42">
        <f>IF($B69&amp;$C69&amp;$D69&amp;$E69&amp;$H69="",0,IF(AND(OR(BUSCAR!$J$5="",ISNUMBER(SEARCH(BUSCAR!$J$5,$AI69))),OR(BUSCAR!$J$6="",ISNUMBER(SEARCH(BUSCAR!$J$6,$AI69))),OR(BUSCAR!$J$8="",ISNUMBER(SEARCH(BUSCAR!$J$8,$AI69))),OR(BUSCAR!$J$9="",ISNUMBER(SEARCH(BUSCAR!$J$9,$AI69))),OR(NOT(BUSCAR!$J$2),AND(ISNUMBER($AF69),$AF69&gt;=BUSCAR!$J$3,$AF69&lt;=BUSCAR!$J$4))),1,0))</f>
      </c>
      <c r="AH69" s="42">
        <f t="shared" si="3"/>
      </c>
      <c r="AI69" s="42">
        <f t="shared" si="4"/>
      </c>
    </row>
    <row r="70" spans="1:35" x14ac:dyDescent="0.2">
      <c r="A70" s="66">
        <f t="shared" si="5"/>
      </c>
      <c r="B70" s="4"/>
      <c r="C70" s="4"/>
      <c r="D70" s="4"/>
      <c r="E70" s="4"/>
      <c r="F70" s="32"/>
      <c r="G70" s="8"/>
      <c r="H70" s="9"/>
      <c r="I70" s="8"/>
      <c r="J70" s="10"/>
      <c r="K70" s="8"/>
      <c r="L70" s="8"/>
      <c r="M70" s="8"/>
      <c r="N70" s="11"/>
      <c r="O70" s="9"/>
      <c r="P70" s="12"/>
      <c r="Q70" s="9"/>
      <c r="R70" s="13"/>
      <c r="S70" s="11"/>
      <c r="T70" s="11"/>
      <c r="U70" s="9"/>
      <c r="V70" s="9"/>
      <c r="W70" s="9"/>
      <c r="X70" s="16"/>
      <c r="AF70" s="42">
        <f>IF(BUSCAR!$C$8="FECHA NAC.",$G70,IF(BUSCAR!$C$8="PASAPORTE EXPIRA",$J70,IF(BUSCAR!$C$8="LICENCIA EMISION",$L70,IF(BUSCAR!$C$8="LICENCIA EXPIRA",$M70,""))))</f>
      </c>
      <c r="AG70" s="42">
        <f>IF($B70&amp;$C70&amp;$D70&amp;$E70&amp;$H70="",0,IF(AND(OR(BUSCAR!$J$5="",ISNUMBER(SEARCH(BUSCAR!$J$5,$AI70))),OR(BUSCAR!$J$6="",ISNUMBER(SEARCH(BUSCAR!$J$6,$AI70))),OR(BUSCAR!$J$8="",ISNUMBER(SEARCH(BUSCAR!$J$8,$AI70))),OR(BUSCAR!$J$9="",ISNUMBER(SEARCH(BUSCAR!$J$9,$AI70))),OR(NOT(BUSCAR!$J$2),AND(ISNUMBER($AF70),$AF70&gt;=BUSCAR!$J$3,$AF70&lt;=BUSCAR!$J$4))),1,0))</f>
      </c>
      <c r="AH70" s="42">
        <f t="shared" si="3"/>
      </c>
      <c r="AI70" s="42">
        <f t="shared" si="4"/>
      </c>
    </row>
    <row r="71" spans="1:35" x14ac:dyDescent="0.2">
      <c r="A71" s="66">
        <f t="shared" si="5"/>
      </c>
      <c r="B71" s="4"/>
      <c r="C71" s="4"/>
      <c r="D71" s="4"/>
      <c r="E71" s="4"/>
      <c r="F71" s="32"/>
      <c r="G71" s="8"/>
      <c r="H71" s="9"/>
      <c r="I71" s="8"/>
      <c r="J71" s="10"/>
      <c r="K71" s="8"/>
      <c r="L71" s="8"/>
      <c r="M71" s="8"/>
      <c r="N71" s="11"/>
      <c r="O71" s="9"/>
      <c r="P71" s="12"/>
      <c r="Q71" s="9"/>
      <c r="R71" s="13"/>
      <c r="S71" s="11"/>
      <c r="T71" s="11"/>
      <c r="U71" s="9"/>
      <c r="V71" s="9"/>
      <c r="W71" s="9"/>
      <c r="X71" s="16"/>
      <c r="AF71" s="42">
        <f>IF(BUSCAR!$C$8="FECHA NAC.",$G71,IF(BUSCAR!$C$8="PASAPORTE EXPIRA",$J71,IF(BUSCAR!$C$8="LICENCIA EMISION",$L71,IF(BUSCAR!$C$8="LICENCIA EXPIRA",$M71,""))))</f>
      </c>
      <c r="AG71" s="42">
        <f>IF($B71&amp;$C71&amp;$D71&amp;$E71&amp;$H71="",0,IF(AND(OR(BUSCAR!$J$5="",ISNUMBER(SEARCH(BUSCAR!$J$5,$AI71))),OR(BUSCAR!$J$6="",ISNUMBER(SEARCH(BUSCAR!$J$6,$AI71))),OR(BUSCAR!$J$8="",ISNUMBER(SEARCH(BUSCAR!$J$8,$AI71))),OR(BUSCAR!$J$9="",ISNUMBER(SEARCH(BUSCAR!$J$9,$AI71))),OR(NOT(BUSCAR!$J$2),AND(ISNUMBER($AF71),$AF71&gt;=BUSCAR!$J$3,$AF71&lt;=BUSCAR!$J$4))),1,0))</f>
      </c>
      <c r="AH71" s="42">
        <f t="shared" si="3"/>
      </c>
      <c r="AI71" s="42">
        <f t="shared" si="4"/>
      </c>
    </row>
    <row r="72" spans="1:35" x14ac:dyDescent="0.2">
      <c r="A72" s="66">
        <f t="shared" si="5"/>
      </c>
      <c r="B72" s="4"/>
      <c r="C72" s="4"/>
      <c r="D72" s="4"/>
      <c r="E72" s="4"/>
      <c r="F72" s="32"/>
      <c r="G72" s="8"/>
      <c r="H72" s="9"/>
      <c r="I72" s="8"/>
      <c r="J72" s="10"/>
      <c r="K72" s="8"/>
      <c r="L72" s="8"/>
      <c r="M72" s="8"/>
      <c r="N72" s="11"/>
      <c r="O72" s="9"/>
      <c r="P72" s="12"/>
      <c r="Q72" s="9"/>
      <c r="R72" s="13"/>
      <c r="S72" s="11"/>
      <c r="T72" s="11"/>
      <c r="U72" s="9"/>
      <c r="V72" s="9"/>
      <c r="W72" s="9"/>
      <c r="X72" s="16"/>
      <c r="AF72" s="42">
        <f>IF(BUSCAR!$C$8="FECHA NAC.",$G72,IF(BUSCAR!$C$8="PASAPORTE EXPIRA",$J72,IF(BUSCAR!$C$8="LICENCIA EMISION",$L72,IF(BUSCAR!$C$8="LICENCIA EXPIRA",$M72,""))))</f>
      </c>
      <c r="AG72" s="42">
        <f>IF($B72&amp;$C72&amp;$D72&amp;$E72&amp;$H72="",0,IF(AND(OR(BUSCAR!$J$5="",ISNUMBER(SEARCH(BUSCAR!$J$5,$AI72))),OR(BUSCAR!$J$6="",ISNUMBER(SEARCH(BUSCAR!$J$6,$AI72))),OR(BUSCAR!$J$8="",ISNUMBER(SEARCH(BUSCAR!$J$8,$AI72))),OR(BUSCAR!$J$9="",ISNUMBER(SEARCH(BUSCAR!$J$9,$AI72))),OR(NOT(BUSCAR!$J$2),AND(ISNUMBER($AF72),$AF72&gt;=BUSCAR!$J$3,$AF72&lt;=BUSCAR!$J$4))),1,0))</f>
      </c>
      <c r="AH72" s="42">
        <f t="shared" si="3"/>
      </c>
      <c r="AI72" s="42">
        <f t="shared" si="4"/>
      </c>
    </row>
    <row r="73" spans="1:35" x14ac:dyDescent="0.2">
      <c r="A73" s="66">
        <f t="shared" si="5"/>
      </c>
      <c r="B73" s="4"/>
      <c r="C73" s="4"/>
      <c r="D73" s="4"/>
      <c r="E73" s="4"/>
      <c r="F73" s="32"/>
      <c r="G73" s="8"/>
      <c r="H73" s="9"/>
      <c r="I73" s="8"/>
      <c r="J73" s="10"/>
      <c r="K73" s="8"/>
      <c r="L73" s="8"/>
      <c r="M73" s="8"/>
      <c r="N73" s="11"/>
      <c r="O73" s="9"/>
      <c r="P73" s="12"/>
      <c r="Q73" s="9"/>
      <c r="R73" s="13"/>
      <c r="S73" s="11"/>
      <c r="T73" s="11"/>
      <c r="U73" s="9"/>
      <c r="V73" s="9"/>
      <c r="W73" s="9"/>
      <c r="X73" s="16"/>
      <c r="AF73" s="42">
        <f>IF(BUSCAR!$C$8="FECHA NAC.",$G73,IF(BUSCAR!$C$8="PASAPORTE EXPIRA",$J73,IF(BUSCAR!$C$8="LICENCIA EMISION",$L73,IF(BUSCAR!$C$8="LICENCIA EXPIRA",$M73,""))))</f>
      </c>
      <c r="AG73" s="42">
        <f>IF($B73&amp;$C73&amp;$D73&amp;$E73&amp;$H73="",0,IF(AND(OR(BUSCAR!$J$5="",ISNUMBER(SEARCH(BUSCAR!$J$5,$AI73))),OR(BUSCAR!$J$6="",ISNUMBER(SEARCH(BUSCAR!$J$6,$AI73))),OR(BUSCAR!$J$8="",ISNUMBER(SEARCH(BUSCAR!$J$8,$AI73))),OR(BUSCAR!$J$9="",ISNUMBER(SEARCH(BUSCAR!$J$9,$AI73))),OR(NOT(BUSCAR!$J$2),AND(ISNUMBER($AF73),$AF73&gt;=BUSCAR!$J$3,$AF73&lt;=BUSCAR!$J$4))),1,0))</f>
      </c>
      <c r="AH73" s="42">
        <f t="shared" si="3"/>
      </c>
      <c r="AI73" s="42">
        <f t="shared" si="4"/>
      </c>
    </row>
    <row r="74" spans="1:35" x14ac:dyDescent="0.2">
      <c r="A74" s="66">
        <f t="shared" si="5"/>
      </c>
      <c r="B74" s="4"/>
      <c r="C74" s="4"/>
      <c r="D74" s="4"/>
      <c r="E74" s="4"/>
      <c r="F74" s="32"/>
      <c r="G74" s="8"/>
      <c r="H74" s="9"/>
      <c r="I74" s="8"/>
      <c r="J74" s="10"/>
      <c r="K74" s="8"/>
      <c r="L74" s="8"/>
      <c r="M74" s="8"/>
      <c r="N74" s="11"/>
      <c r="O74" s="9"/>
      <c r="P74" s="12"/>
      <c r="Q74" s="9"/>
      <c r="R74" s="13"/>
      <c r="S74" s="11"/>
      <c r="T74" s="11"/>
      <c r="U74" s="9"/>
      <c r="V74" s="9"/>
      <c r="W74" s="9"/>
      <c r="X74" s="16"/>
      <c r="AF74" s="42">
        <f>IF(BUSCAR!$C$8="FECHA NAC.",$G74,IF(BUSCAR!$C$8="PASAPORTE EXPIRA",$J74,IF(BUSCAR!$C$8="LICENCIA EMISION",$L74,IF(BUSCAR!$C$8="LICENCIA EXPIRA",$M74,""))))</f>
      </c>
      <c r="AG74" s="42">
        <f>IF($B74&amp;$C74&amp;$D74&amp;$E74&amp;$H74="",0,IF(AND(OR(BUSCAR!$J$5="",ISNUMBER(SEARCH(BUSCAR!$J$5,$AI74))),OR(BUSCAR!$J$6="",ISNUMBER(SEARCH(BUSCAR!$J$6,$AI74))),OR(BUSCAR!$J$8="",ISNUMBER(SEARCH(BUSCAR!$J$8,$AI74))),OR(BUSCAR!$J$9="",ISNUMBER(SEARCH(BUSCAR!$J$9,$AI74))),OR(NOT(BUSCAR!$J$2),AND(ISNUMBER($AF74),$AF74&gt;=BUSCAR!$J$3,$AF74&lt;=BUSCAR!$J$4))),1,0))</f>
      </c>
      <c r="AH74" s="42">
        <f t="shared" si="3"/>
      </c>
      <c r="AI74" s="42">
        <f t="shared" si="4"/>
      </c>
    </row>
    <row r="75" spans="1:35" x14ac:dyDescent="0.2">
      <c r="A75" s="66">
        <f t="shared" si="5"/>
      </c>
      <c r="B75" s="4"/>
      <c r="C75" s="4"/>
      <c r="D75" s="4"/>
      <c r="E75" s="4"/>
      <c r="F75" s="32"/>
      <c r="G75" s="8"/>
      <c r="H75" s="9"/>
      <c r="I75" s="8"/>
      <c r="J75" s="10"/>
      <c r="K75" s="8"/>
      <c r="L75" s="8"/>
      <c r="M75" s="8"/>
      <c r="N75" s="11"/>
      <c r="O75" s="9"/>
      <c r="P75" s="12"/>
      <c r="Q75" s="9"/>
      <c r="R75" s="13"/>
      <c r="S75" s="11"/>
      <c r="T75" s="11"/>
      <c r="U75" s="9"/>
      <c r="V75" s="9"/>
      <c r="W75" s="9"/>
      <c r="X75" s="16"/>
      <c r="AF75" s="42">
        <f>IF(BUSCAR!$C$8="FECHA NAC.",$G75,IF(BUSCAR!$C$8="PASAPORTE EXPIRA",$J75,IF(BUSCAR!$C$8="LICENCIA EMISION",$L75,IF(BUSCAR!$C$8="LICENCIA EXPIRA",$M75,""))))</f>
      </c>
      <c r="AG75" s="42">
        <f>IF($B75&amp;$C75&amp;$D75&amp;$E75&amp;$H75="",0,IF(AND(OR(BUSCAR!$J$5="",ISNUMBER(SEARCH(BUSCAR!$J$5,$AI75))),OR(BUSCAR!$J$6="",ISNUMBER(SEARCH(BUSCAR!$J$6,$AI75))),OR(BUSCAR!$J$8="",ISNUMBER(SEARCH(BUSCAR!$J$8,$AI75))),OR(BUSCAR!$J$9="",ISNUMBER(SEARCH(BUSCAR!$J$9,$AI75))),OR(NOT(BUSCAR!$J$2),AND(ISNUMBER($AF75),$AF75&gt;=BUSCAR!$J$3,$AF75&lt;=BUSCAR!$J$4))),1,0))</f>
      </c>
      <c r="AH75" s="42">
        <f t="shared" si="3"/>
      </c>
      <c r="AI75" s="42">
        <f t="shared" si="4"/>
      </c>
    </row>
    <row r="76" spans="1:35" x14ac:dyDescent="0.2">
      <c r="A76" s="66">
        <f t="shared" si="5"/>
      </c>
      <c r="B76" s="4"/>
      <c r="C76" s="4"/>
      <c r="D76" s="4"/>
      <c r="E76" s="4"/>
      <c r="F76" s="32"/>
      <c r="G76" s="8"/>
      <c r="H76" s="9"/>
      <c r="I76" s="8"/>
      <c r="J76" s="10"/>
      <c r="K76" s="8"/>
      <c r="L76" s="8"/>
      <c r="M76" s="8"/>
      <c r="N76" s="11"/>
      <c r="O76" s="9"/>
      <c r="P76" s="12"/>
      <c r="Q76" s="9"/>
      <c r="R76" s="13"/>
      <c r="S76" s="11"/>
      <c r="T76" s="11"/>
      <c r="U76" s="9"/>
      <c r="V76" s="9"/>
      <c r="W76" s="9"/>
      <c r="X76" s="16"/>
      <c r="AF76" s="42">
        <f>IF(BUSCAR!$C$8="FECHA NAC.",$G76,IF(BUSCAR!$C$8="PASAPORTE EXPIRA",$J76,IF(BUSCAR!$C$8="LICENCIA EMISION",$L76,IF(BUSCAR!$C$8="LICENCIA EXPIRA",$M76,""))))</f>
      </c>
      <c r="AG76" s="42">
        <f>IF($B76&amp;$C76&amp;$D76&amp;$E76&amp;$H76="",0,IF(AND(OR(BUSCAR!$J$5="",ISNUMBER(SEARCH(BUSCAR!$J$5,$AI76))),OR(BUSCAR!$J$6="",ISNUMBER(SEARCH(BUSCAR!$J$6,$AI76))),OR(BUSCAR!$J$8="",ISNUMBER(SEARCH(BUSCAR!$J$8,$AI76))),OR(BUSCAR!$J$9="",ISNUMBER(SEARCH(BUSCAR!$J$9,$AI76))),OR(NOT(BUSCAR!$J$2),AND(ISNUMBER($AF76),$AF76&gt;=BUSCAR!$J$3,$AF76&lt;=BUSCAR!$J$4))),1,0))</f>
      </c>
      <c r="AH76" s="42">
        <f t="shared" si="3"/>
      </c>
      <c r="AI76" s="42">
        <f t="shared" si="4"/>
      </c>
    </row>
    <row r="77" spans="1:35" x14ac:dyDescent="0.2">
      <c r="A77" s="66">
        <f t="shared" si="5"/>
      </c>
      <c r="B77" s="4"/>
      <c r="C77" s="4"/>
      <c r="D77" s="4"/>
      <c r="E77" s="4"/>
      <c r="F77" s="32"/>
      <c r="G77" s="8"/>
      <c r="H77" s="9"/>
      <c r="I77" s="8"/>
      <c r="J77" s="10"/>
      <c r="K77" s="8"/>
      <c r="L77" s="8"/>
      <c r="M77" s="8"/>
      <c r="N77" s="11"/>
      <c r="O77" s="9"/>
      <c r="P77" s="12"/>
      <c r="Q77" s="9"/>
      <c r="R77" s="13"/>
      <c r="S77" s="11"/>
      <c r="T77" s="11"/>
      <c r="U77" s="9"/>
      <c r="V77" s="9"/>
      <c r="W77" s="9"/>
      <c r="X77" s="16"/>
      <c r="AF77" s="42">
        <f>IF(BUSCAR!$C$8="FECHA NAC.",$G77,IF(BUSCAR!$C$8="PASAPORTE EXPIRA",$J77,IF(BUSCAR!$C$8="LICENCIA EMISION",$L77,IF(BUSCAR!$C$8="LICENCIA EXPIRA",$M77,""))))</f>
      </c>
      <c r="AG77" s="42">
        <f>IF($B77&amp;$C77&amp;$D77&amp;$E77&amp;$H77="",0,IF(AND(OR(BUSCAR!$J$5="",ISNUMBER(SEARCH(BUSCAR!$J$5,$AI77))),OR(BUSCAR!$J$6="",ISNUMBER(SEARCH(BUSCAR!$J$6,$AI77))),OR(BUSCAR!$J$8="",ISNUMBER(SEARCH(BUSCAR!$J$8,$AI77))),OR(BUSCAR!$J$9="",ISNUMBER(SEARCH(BUSCAR!$J$9,$AI77))),OR(NOT(BUSCAR!$J$2),AND(ISNUMBER($AF77),$AF77&gt;=BUSCAR!$J$3,$AF77&lt;=BUSCAR!$J$4))),1,0))</f>
      </c>
      <c r="AH77" s="42">
        <f t="shared" si="3"/>
      </c>
      <c r="AI77" s="42">
        <f t="shared" si="4"/>
      </c>
    </row>
    <row r="78" spans="1:35" x14ac:dyDescent="0.2">
      <c r="A78" s="66">
        <f t="shared" si="5"/>
      </c>
      <c r="B78" s="4"/>
      <c r="C78" s="4"/>
      <c r="D78" s="4"/>
      <c r="E78" s="4"/>
      <c r="F78" s="32"/>
      <c r="G78" s="8"/>
      <c r="H78" s="9"/>
      <c r="I78" s="8"/>
      <c r="J78" s="10"/>
      <c r="K78" s="8"/>
      <c r="L78" s="8"/>
      <c r="M78" s="8"/>
      <c r="N78" s="11"/>
      <c r="O78" s="9"/>
      <c r="P78" s="12"/>
      <c r="Q78" s="9"/>
      <c r="R78" s="13"/>
      <c r="S78" s="11"/>
      <c r="T78" s="11"/>
      <c r="U78" s="9"/>
      <c r="V78" s="9"/>
      <c r="W78" s="9"/>
      <c r="X78" s="16"/>
      <c r="AF78" s="42">
        <f>IF(BUSCAR!$C$8="FECHA NAC.",$G78,IF(BUSCAR!$C$8="PASAPORTE EXPIRA",$J78,IF(BUSCAR!$C$8="LICENCIA EMISION",$L78,IF(BUSCAR!$C$8="LICENCIA EXPIRA",$M78,""))))</f>
      </c>
      <c r="AG78" s="42">
        <f>IF($B78&amp;$C78&amp;$D78&amp;$E78&amp;$H78="",0,IF(AND(OR(BUSCAR!$J$5="",ISNUMBER(SEARCH(BUSCAR!$J$5,$AI78))),OR(BUSCAR!$J$6="",ISNUMBER(SEARCH(BUSCAR!$J$6,$AI78))),OR(BUSCAR!$J$8="",ISNUMBER(SEARCH(BUSCAR!$J$8,$AI78))),OR(BUSCAR!$J$9="",ISNUMBER(SEARCH(BUSCAR!$J$9,$AI78))),OR(NOT(BUSCAR!$J$2),AND(ISNUMBER($AF78),$AF78&gt;=BUSCAR!$J$3,$AF78&lt;=BUSCAR!$J$4))),1,0))</f>
      </c>
      <c r="AH78" s="42">
        <f t="shared" si="3"/>
      </c>
      <c r="AI78" s="42">
        <f t="shared" si="4"/>
      </c>
    </row>
    <row r="79" spans="1:35" x14ac:dyDescent="0.2">
      <c r="A79" s="66">
        <f t="shared" si="5"/>
      </c>
      <c r="B79" s="4"/>
      <c r="C79" s="4"/>
      <c r="D79" s="4"/>
      <c r="E79" s="4"/>
      <c r="F79" s="32"/>
      <c r="G79" s="8"/>
      <c r="H79" s="9"/>
      <c r="I79" s="8"/>
      <c r="J79" s="10"/>
      <c r="K79" s="8"/>
      <c r="L79" s="8"/>
      <c r="M79" s="8"/>
      <c r="N79" s="11"/>
      <c r="O79" s="9"/>
      <c r="P79" s="12"/>
      <c r="Q79" s="9"/>
      <c r="R79" s="13"/>
      <c r="S79" s="11"/>
      <c r="T79" s="11"/>
      <c r="U79" s="9"/>
      <c r="V79" s="9"/>
      <c r="W79" s="9"/>
      <c r="X79" s="16"/>
      <c r="AF79" s="42">
        <f>IF(BUSCAR!$C$8="FECHA NAC.",$G79,IF(BUSCAR!$C$8="PASAPORTE EXPIRA",$J79,IF(BUSCAR!$C$8="LICENCIA EMISION",$L79,IF(BUSCAR!$C$8="LICENCIA EXPIRA",$M79,""))))</f>
      </c>
      <c r="AG79" s="42">
        <f>IF($B79&amp;$C79&amp;$D79&amp;$E79&amp;$H79="",0,IF(AND(OR(BUSCAR!$J$5="",ISNUMBER(SEARCH(BUSCAR!$J$5,$AI79))),OR(BUSCAR!$J$6="",ISNUMBER(SEARCH(BUSCAR!$J$6,$AI79))),OR(BUSCAR!$J$8="",ISNUMBER(SEARCH(BUSCAR!$J$8,$AI79))),OR(BUSCAR!$J$9="",ISNUMBER(SEARCH(BUSCAR!$J$9,$AI79))),OR(NOT(BUSCAR!$J$2),AND(ISNUMBER($AF79),$AF79&gt;=BUSCAR!$J$3,$AF79&lt;=BUSCAR!$J$4))),1,0))</f>
      </c>
      <c r="AH79" s="42">
        <f t="shared" si="3"/>
      </c>
      <c r="AI79" s="42">
        <f t="shared" si="4"/>
      </c>
    </row>
    <row r="80" spans="1:35" x14ac:dyDescent="0.2">
      <c r="A80" s="66">
        <f t="shared" si="5"/>
      </c>
      <c r="B80" s="4"/>
      <c r="C80" s="4"/>
      <c r="D80" s="4"/>
      <c r="E80" s="4"/>
      <c r="F80" s="32"/>
      <c r="G80" s="8"/>
      <c r="H80" s="9"/>
      <c r="I80" s="8"/>
      <c r="J80" s="10"/>
      <c r="K80" s="8"/>
      <c r="L80" s="8"/>
      <c r="M80" s="8"/>
      <c r="N80" s="11"/>
      <c r="O80" s="9"/>
      <c r="P80" s="12"/>
      <c r="Q80" s="9"/>
      <c r="R80" s="13"/>
      <c r="S80" s="11"/>
      <c r="T80" s="11"/>
      <c r="U80" s="9"/>
      <c r="V80" s="9"/>
      <c r="W80" s="9"/>
      <c r="X80" s="16"/>
      <c r="AF80" s="42">
        <f>IF(BUSCAR!$C$8="FECHA NAC.",$G80,IF(BUSCAR!$C$8="PASAPORTE EXPIRA",$J80,IF(BUSCAR!$C$8="LICENCIA EMISION",$L80,IF(BUSCAR!$C$8="LICENCIA EXPIRA",$M80,""))))</f>
      </c>
      <c r="AG80" s="42">
        <f>IF($B80&amp;$C80&amp;$D80&amp;$E80&amp;$H80="",0,IF(AND(OR(BUSCAR!$J$5="",ISNUMBER(SEARCH(BUSCAR!$J$5,$AI80))),OR(BUSCAR!$J$6="",ISNUMBER(SEARCH(BUSCAR!$J$6,$AI80))),OR(BUSCAR!$J$8="",ISNUMBER(SEARCH(BUSCAR!$J$8,$AI80))),OR(BUSCAR!$J$9="",ISNUMBER(SEARCH(BUSCAR!$J$9,$AI80))),OR(NOT(BUSCAR!$J$2),AND(ISNUMBER($AF80),$AF80&gt;=BUSCAR!$J$3,$AF80&lt;=BUSCAR!$J$4))),1,0))</f>
      </c>
      <c r="AH80" s="42">
        <f t="shared" si="3"/>
      </c>
      <c r="AI80" s="42">
        <f t="shared" si="4"/>
      </c>
    </row>
    <row r="81" spans="1:35" x14ac:dyDescent="0.2">
      <c r="A81" s="66">
        <f t="shared" si="5"/>
      </c>
      <c r="B81" s="4"/>
      <c r="C81" s="4"/>
      <c r="D81" s="4"/>
      <c r="E81" s="4"/>
      <c r="F81" s="32"/>
      <c r="G81" s="8"/>
      <c r="H81" s="9"/>
      <c r="I81" s="8"/>
      <c r="J81" s="10"/>
      <c r="K81" s="8"/>
      <c r="L81" s="8"/>
      <c r="M81" s="8"/>
      <c r="N81" s="11"/>
      <c r="O81" s="9"/>
      <c r="P81" s="12"/>
      <c r="Q81" s="9"/>
      <c r="R81" s="13"/>
      <c r="S81" s="11"/>
      <c r="T81" s="11"/>
      <c r="U81" s="9"/>
      <c r="V81" s="9"/>
      <c r="W81" s="9"/>
      <c r="X81" s="16"/>
      <c r="AF81" s="42">
        <f>IF(BUSCAR!$C$8="FECHA NAC.",$G81,IF(BUSCAR!$C$8="PASAPORTE EXPIRA",$J81,IF(BUSCAR!$C$8="LICENCIA EMISION",$L81,IF(BUSCAR!$C$8="LICENCIA EXPIRA",$M81,""))))</f>
      </c>
      <c r="AG81" s="42">
        <f>IF($B81&amp;$C81&amp;$D81&amp;$E81&amp;$H81="",0,IF(AND(OR(BUSCAR!$J$5="",ISNUMBER(SEARCH(BUSCAR!$J$5,$AI81))),OR(BUSCAR!$J$6="",ISNUMBER(SEARCH(BUSCAR!$J$6,$AI81))),OR(BUSCAR!$J$8="",ISNUMBER(SEARCH(BUSCAR!$J$8,$AI81))),OR(BUSCAR!$J$9="",ISNUMBER(SEARCH(BUSCAR!$J$9,$AI81))),OR(NOT(BUSCAR!$J$2),AND(ISNUMBER($AF81),$AF81&gt;=BUSCAR!$J$3,$AF81&lt;=BUSCAR!$J$4))),1,0))</f>
      </c>
      <c r="AH81" s="42">
        <f t="shared" si="3"/>
      </c>
      <c r="AI81" s="42">
        <f t="shared" si="4"/>
      </c>
    </row>
    <row r="82" spans="1:35" x14ac:dyDescent="0.2">
      <c r="A82" s="66">
        <f t="shared" si="5"/>
      </c>
      <c r="B82" s="4"/>
      <c r="C82" s="4"/>
      <c r="D82" s="4"/>
      <c r="E82" s="4"/>
      <c r="F82" s="32"/>
      <c r="G82" s="8"/>
      <c r="H82" s="9"/>
      <c r="I82" s="8"/>
      <c r="J82" s="10"/>
      <c r="K82" s="8"/>
      <c r="L82" s="8"/>
      <c r="M82" s="8"/>
      <c r="N82" s="11"/>
      <c r="O82" s="9"/>
      <c r="P82" s="12"/>
      <c r="Q82" s="9"/>
      <c r="R82" s="13"/>
      <c r="S82" s="11"/>
      <c r="T82" s="11"/>
      <c r="U82" s="9"/>
      <c r="V82" s="9"/>
      <c r="W82" s="9"/>
      <c r="X82" s="16"/>
      <c r="AF82" s="42">
        <f>IF(BUSCAR!$C$8="FECHA NAC.",$G82,IF(BUSCAR!$C$8="PASAPORTE EXPIRA",$J82,IF(BUSCAR!$C$8="LICENCIA EMISION",$L82,IF(BUSCAR!$C$8="LICENCIA EXPIRA",$M82,""))))</f>
      </c>
      <c r="AG82" s="42">
        <f>IF($B82&amp;$C82&amp;$D82&amp;$E82&amp;$H82="",0,IF(AND(OR(BUSCAR!$J$5="",ISNUMBER(SEARCH(BUSCAR!$J$5,$AI82))),OR(BUSCAR!$J$6="",ISNUMBER(SEARCH(BUSCAR!$J$6,$AI82))),OR(BUSCAR!$J$8="",ISNUMBER(SEARCH(BUSCAR!$J$8,$AI82))),OR(BUSCAR!$J$9="",ISNUMBER(SEARCH(BUSCAR!$J$9,$AI82))),OR(NOT(BUSCAR!$J$2),AND(ISNUMBER($AF82),$AF82&gt;=BUSCAR!$J$3,$AF82&lt;=BUSCAR!$J$4))),1,0))</f>
      </c>
      <c r="AH82" s="42">
        <f t="shared" si="3"/>
      </c>
      <c r="AI82" s="42">
        <f t="shared" si="4"/>
      </c>
    </row>
    <row r="83" spans="1:35" x14ac:dyDescent="0.2">
      <c r="A83" s="66">
        <f t="shared" si="5"/>
      </c>
      <c r="B83" s="4"/>
      <c r="C83" s="4"/>
      <c r="D83" s="4"/>
      <c r="E83" s="4"/>
      <c r="F83" s="32"/>
      <c r="G83" s="8"/>
      <c r="H83" s="9"/>
      <c r="I83" s="8"/>
      <c r="J83" s="10"/>
      <c r="K83" s="8"/>
      <c r="L83" s="8"/>
      <c r="M83" s="8"/>
      <c r="N83" s="11"/>
      <c r="O83" s="9"/>
      <c r="P83" s="12"/>
      <c r="Q83" s="9"/>
      <c r="R83" s="13"/>
      <c r="S83" s="11"/>
      <c r="T83" s="11"/>
      <c r="U83" s="9"/>
      <c r="V83" s="9"/>
      <c r="W83" s="9"/>
      <c r="X83" s="16"/>
      <c r="AF83" s="42">
        <f>IF(BUSCAR!$C$8="FECHA NAC.",$G83,IF(BUSCAR!$C$8="PASAPORTE EXPIRA",$J83,IF(BUSCAR!$C$8="LICENCIA EMISION",$L83,IF(BUSCAR!$C$8="LICENCIA EXPIRA",$M83,""))))</f>
      </c>
      <c r="AG83" s="42">
        <f>IF($B83&amp;$C83&amp;$D83&amp;$E83&amp;$H83="",0,IF(AND(OR(BUSCAR!$J$5="",ISNUMBER(SEARCH(BUSCAR!$J$5,$AI83))),OR(BUSCAR!$J$6="",ISNUMBER(SEARCH(BUSCAR!$J$6,$AI83))),OR(BUSCAR!$J$8="",ISNUMBER(SEARCH(BUSCAR!$J$8,$AI83))),OR(BUSCAR!$J$9="",ISNUMBER(SEARCH(BUSCAR!$J$9,$AI83))),OR(NOT(BUSCAR!$J$2),AND(ISNUMBER($AF83),$AF83&gt;=BUSCAR!$J$3,$AF83&lt;=BUSCAR!$J$4))),1,0))</f>
      </c>
      <c r="AH83" s="42">
        <f t="shared" si="3"/>
      </c>
      <c r="AI83" s="42">
        <f t="shared" si="4"/>
      </c>
    </row>
    <row r="84" spans="1:35" x14ac:dyDescent="0.2">
      <c r="A84" s="66">
        <f t="shared" si="5"/>
      </c>
      <c r="B84" s="4"/>
      <c r="C84" s="4"/>
      <c r="D84" s="4"/>
      <c r="E84" s="4"/>
      <c r="F84" s="32"/>
      <c r="G84" s="8"/>
      <c r="H84" s="9"/>
      <c r="I84" s="8"/>
      <c r="J84" s="10"/>
      <c r="K84" s="8"/>
      <c r="L84" s="8"/>
      <c r="M84" s="8"/>
      <c r="N84" s="11"/>
      <c r="O84" s="9"/>
      <c r="P84" s="12"/>
      <c r="Q84" s="9"/>
      <c r="R84" s="13"/>
      <c r="S84" s="11"/>
      <c r="T84" s="11"/>
      <c r="U84" s="9"/>
      <c r="V84" s="9"/>
      <c r="W84" s="9"/>
      <c r="X84" s="16"/>
      <c r="AF84" s="42">
        <f>IF(BUSCAR!$C$8="FECHA NAC.",$G84,IF(BUSCAR!$C$8="PASAPORTE EXPIRA",$J84,IF(BUSCAR!$C$8="LICENCIA EMISION",$L84,IF(BUSCAR!$C$8="LICENCIA EXPIRA",$M84,""))))</f>
      </c>
      <c r="AG84" s="42">
        <f>IF($B84&amp;$C84&amp;$D84&amp;$E84&amp;$H84="",0,IF(AND(OR(BUSCAR!$J$5="",ISNUMBER(SEARCH(BUSCAR!$J$5,$AI84))),OR(BUSCAR!$J$6="",ISNUMBER(SEARCH(BUSCAR!$J$6,$AI84))),OR(BUSCAR!$J$8="",ISNUMBER(SEARCH(BUSCAR!$J$8,$AI84))),OR(BUSCAR!$J$9="",ISNUMBER(SEARCH(BUSCAR!$J$9,$AI84))),OR(NOT(BUSCAR!$J$2),AND(ISNUMBER($AF84),$AF84&gt;=BUSCAR!$J$3,$AF84&lt;=BUSCAR!$J$4))),1,0))</f>
      </c>
      <c r="AH84" s="42">
        <f t="shared" si="3"/>
      </c>
      <c r="AI84" s="42">
        <f t="shared" si="4"/>
      </c>
    </row>
    <row r="85" spans="1:35" x14ac:dyDescent="0.2">
      <c r="A85" s="66">
        <f t="shared" si="5"/>
      </c>
      <c r="B85" s="4"/>
      <c r="C85" s="4"/>
      <c r="D85" s="4"/>
      <c r="E85" s="4"/>
      <c r="F85" s="32"/>
      <c r="G85" s="8"/>
      <c r="H85" s="9"/>
      <c r="I85" s="8"/>
      <c r="J85" s="10"/>
      <c r="K85" s="8"/>
      <c r="L85" s="8"/>
      <c r="M85" s="8"/>
      <c r="N85" s="11"/>
      <c r="O85" s="9"/>
      <c r="P85" s="12"/>
      <c r="Q85" s="9"/>
      <c r="R85" s="13"/>
      <c r="S85" s="11"/>
      <c r="T85" s="11"/>
      <c r="U85" s="9"/>
      <c r="V85" s="9"/>
      <c r="W85" s="9"/>
      <c r="X85" s="16"/>
      <c r="AF85" s="42">
        <f>IF(BUSCAR!$C$8="FECHA NAC.",$G85,IF(BUSCAR!$C$8="PASAPORTE EXPIRA",$J85,IF(BUSCAR!$C$8="LICENCIA EMISION",$L85,IF(BUSCAR!$C$8="LICENCIA EXPIRA",$M85,""))))</f>
      </c>
      <c r="AG85" s="42">
        <f>IF($B85&amp;$C85&amp;$D85&amp;$E85&amp;$H85="",0,IF(AND(OR(BUSCAR!$J$5="",ISNUMBER(SEARCH(BUSCAR!$J$5,$AI85))),OR(BUSCAR!$J$6="",ISNUMBER(SEARCH(BUSCAR!$J$6,$AI85))),OR(BUSCAR!$J$8="",ISNUMBER(SEARCH(BUSCAR!$J$8,$AI85))),OR(BUSCAR!$J$9="",ISNUMBER(SEARCH(BUSCAR!$J$9,$AI85))),OR(NOT(BUSCAR!$J$2),AND(ISNUMBER($AF85),$AF85&gt;=BUSCAR!$J$3,$AF85&lt;=BUSCAR!$J$4))),1,0))</f>
      </c>
      <c r="AH85" s="42">
        <f t="shared" si="3"/>
      </c>
      <c r="AI85" s="42">
        <f t="shared" si="4"/>
      </c>
    </row>
    <row r="86" spans="1:35" x14ac:dyDescent="0.2">
      <c r="A86" s="66">
        <f t="shared" si="5"/>
      </c>
      <c r="B86" s="4"/>
      <c r="C86" s="4"/>
      <c r="D86" s="4"/>
      <c r="E86" s="4"/>
      <c r="F86" s="32"/>
      <c r="G86" s="8"/>
      <c r="H86" s="9"/>
      <c r="I86" s="8"/>
      <c r="J86" s="10"/>
      <c r="K86" s="8"/>
      <c r="L86" s="8"/>
      <c r="M86" s="8"/>
      <c r="N86" s="11"/>
      <c r="O86" s="9"/>
      <c r="P86" s="12"/>
      <c r="Q86" s="9"/>
      <c r="R86" s="13"/>
      <c r="S86" s="11"/>
      <c r="T86" s="11"/>
      <c r="U86" s="9"/>
      <c r="V86" s="9"/>
      <c r="W86" s="9"/>
      <c r="X86" s="16"/>
      <c r="AF86" s="42">
        <f>IF(BUSCAR!$C$8="FECHA NAC.",$G86,IF(BUSCAR!$C$8="PASAPORTE EXPIRA",$J86,IF(BUSCAR!$C$8="LICENCIA EMISION",$L86,IF(BUSCAR!$C$8="LICENCIA EXPIRA",$M86,""))))</f>
      </c>
      <c r="AG86" s="42">
        <f>IF($B86&amp;$C86&amp;$D86&amp;$E86&amp;$H86="",0,IF(AND(OR(BUSCAR!$J$5="",ISNUMBER(SEARCH(BUSCAR!$J$5,$AI86))),OR(BUSCAR!$J$6="",ISNUMBER(SEARCH(BUSCAR!$J$6,$AI86))),OR(BUSCAR!$J$8="",ISNUMBER(SEARCH(BUSCAR!$J$8,$AI86))),OR(BUSCAR!$J$9="",ISNUMBER(SEARCH(BUSCAR!$J$9,$AI86))),OR(NOT(BUSCAR!$J$2),AND(ISNUMBER($AF86),$AF86&gt;=BUSCAR!$J$3,$AF86&lt;=BUSCAR!$J$4))),1,0))</f>
      </c>
      <c r="AH86" s="42">
        <f t="shared" si="3"/>
      </c>
      <c r="AI86" s="42">
        <f t="shared" si="4"/>
      </c>
    </row>
    <row r="87" spans="1:35" x14ac:dyDescent="0.2">
      <c r="A87" s="66">
        <f t="shared" si="5"/>
      </c>
      <c r="B87" s="4"/>
      <c r="C87" s="4"/>
      <c r="D87" s="4"/>
      <c r="E87" s="4"/>
      <c r="F87" s="32"/>
      <c r="G87" s="8"/>
      <c r="H87" s="9"/>
      <c r="I87" s="8"/>
      <c r="J87" s="10"/>
      <c r="K87" s="8"/>
      <c r="L87" s="8"/>
      <c r="M87" s="8"/>
      <c r="N87" s="11"/>
      <c r="O87" s="9"/>
      <c r="P87" s="12"/>
      <c r="Q87" s="9"/>
      <c r="R87" s="13"/>
      <c r="S87" s="11"/>
      <c r="T87" s="11"/>
      <c r="U87" s="9"/>
      <c r="V87" s="9"/>
      <c r="W87" s="9"/>
      <c r="X87" s="16"/>
      <c r="AF87" s="42">
        <f>IF(BUSCAR!$C$8="FECHA NAC.",$G87,IF(BUSCAR!$C$8="PASAPORTE EXPIRA",$J87,IF(BUSCAR!$C$8="LICENCIA EMISION",$L87,IF(BUSCAR!$C$8="LICENCIA EXPIRA",$M87,""))))</f>
      </c>
      <c r="AG87" s="42">
        <f>IF($B87&amp;$C87&amp;$D87&amp;$E87&amp;$H87="",0,IF(AND(OR(BUSCAR!$J$5="",ISNUMBER(SEARCH(BUSCAR!$J$5,$AI87))),OR(BUSCAR!$J$6="",ISNUMBER(SEARCH(BUSCAR!$J$6,$AI87))),OR(BUSCAR!$J$8="",ISNUMBER(SEARCH(BUSCAR!$J$8,$AI87))),OR(BUSCAR!$J$9="",ISNUMBER(SEARCH(BUSCAR!$J$9,$AI87))),OR(NOT(BUSCAR!$J$2),AND(ISNUMBER($AF87),$AF87&gt;=BUSCAR!$J$3,$AF87&lt;=BUSCAR!$J$4))),1,0))</f>
      </c>
      <c r="AH87" s="42">
        <f t="shared" si="3"/>
      </c>
      <c r="AI87" s="42">
        <f t="shared" si="4"/>
      </c>
    </row>
    <row r="88" spans="1:35" x14ac:dyDescent="0.2">
      <c r="A88" s="66">
        <f t="shared" si="5"/>
      </c>
      <c r="B88" s="4"/>
      <c r="C88" s="4"/>
      <c r="D88" s="4"/>
      <c r="E88" s="4"/>
      <c r="F88" s="32"/>
      <c r="G88" s="8"/>
      <c r="H88" s="9"/>
      <c r="I88" s="8"/>
      <c r="J88" s="10"/>
      <c r="K88" s="8"/>
      <c r="L88" s="8"/>
      <c r="M88" s="8"/>
      <c r="N88" s="11"/>
      <c r="O88" s="9"/>
      <c r="P88" s="12"/>
      <c r="Q88" s="9"/>
      <c r="R88" s="13"/>
      <c r="S88" s="11"/>
      <c r="T88" s="11"/>
      <c r="U88" s="9"/>
      <c r="V88" s="9"/>
      <c r="W88" s="9"/>
      <c r="X88" s="16"/>
      <c r="AF88" s="42">
        <f>IF(BUSCAR!$C$8="FECHA NAC.",$G88,IF(BUSCAR!$C$8="PASAPORTE EXPIRA",$J88,IF(BUSCAR!$C$8="LICENCIA EMISION",$L88,IF(BUSCAR!$C$8="LICENCIA EXPIRA",$M88,""))))</f>
      </c>
      <c r="AG88" s="42">
        <f>IF($B88&amp;$C88&amp;$D88&amp;$E88&amp;$H88="",0,IF(AND(OR(BUSCAR!$J$5="",ISNUMBER(SEARCH(BUSCAR!$J$5,$AI88))),OR(BUSCAR!$J$6="",ISNUMBER(SEARCH(BUSCAR!$J$6,$AI88))),OR(BUSCAR!$J$8="",ISNUMBER(SEARCH(BUSCAR!$J$8,$AI88))),OR(BUSCAR!$J$9="",ISNUMBER(SEARCH(BUSCAR!$J$9,$AI88))),OR(NOT(BUSCAR!$J$2),AND(ISNUMBER($AF88),$AF88&gt;=BUSCAR!$J$3,$AF88&lt;=BUSCAR!$J$4))),1,0))</f>
      </c>
      <c r="AH88" s="42">
        <f t="shared" si="3"/>
      </c>
      <c r="AI88" s="42">
        <f t="shared" si="4"/>
      </c>
    </row>
    <row r="89" spans="1:35" x14ac:dyDescent="0.2">
      <c r="A89" s="66">
        <f t="shared" si="5"/>
      </c>
      <c r="B89" s="4"/>
      <c r="C89" s="4"/>
      <c r="D89" s="4"/>
      <c r="E89" s="4"/>
      <c r="F89" s="32"/>
      <c r="G89" s="8"/>
      <c r="H89" s="9"/>
      <c r="I89" s="8"/>
      <c r="J89" s="10"/>
      <c r="K89" s="8"/>
      <c r="L89" s="8"/>
      <c r="M89" s="8"/>
      <c r="N89" s="11"/>
      <c r="O89" s="9"/>
      <c r="P89" s="12"/>
      <c r="Q89" s="9"/>
      <c r="R89" s="13"/>
      <c r="S89" s="11"/>
      <c r="T89" s="11"/>
      <c r="U89" s="9"/>
      <c r="V89" s="9"/>
      <c r="W89" s="9"/>
      <c r="X89" s="16"/>
      <c r="AF89" s="42">
        <f>IF(BUSCAR!$C$8="FECHA NAC.",$G89,IF(BUSCAR!$C$8="PASAPORTE EXPIRA",$J89,IF(BUSCAR!$C$8="LICENCIA EMISION",$L89,IF(BUSCAR!$C$8="LICENCIA EXPIRA",$M89,""))))</f>
      </c>
      <c r="AG89" s="42">
        <f>IF($B89&amp;$C89&amp;$D89&amp;$E89&amp;$H89="",0,IF(AND(OR(BUSCAR!$J$5="",ISNUMBER(SEARCH(BUSCAR!$J$5,$AI89))),OR(BUSCAR!$J$6="",ISNUMBER(SEARCH(BUSCAR!$J$6,$AI89))),OR(BUSCAR!$J$8="",ISNUMBER(SEARCH(BUSCAR!$J$8,$AI89))),OR(BUSCAR!$J$9="",ISNUMBER(SEARCH(BUSCAR!$J$9,$AI89))),OR(NOT(BUSCAR!$J$2),AND(ISNUMBER($AF89),$AF89&gt;=BUSCAR!$J$3,$AF89&lt;=BUSCAR!$J$4))),1,0))</f>
      </c>
      <c r="AH89" s="42">
        <f t="shared" si="3"/>
      </c>
      <c r="AI89" s="42">
        <f t="shared" si="4"/>
      </c>
    </row>
    <row r="90" spans="1:35" x14ac:dyDescent="0.2">
      <c r="A90" s="66">
        <f t="shared" si="5"/>
      </c>
      <c r="B90" s="4"/>
      <c r="C90" s="4"/>
      <c r="D90" s="4"/>
      <c r="E90" s="4"/>
      <c r="F90" s="32"/>
      <c r="G90" s="8"/>
      <c r="H90" s="9"/>
      <c r="I90" s="8"/>
      <c r="J90" s="10"/>
      <c r="K90" s="8"/>
      <c r="L90" s="8"/>
      <c r="M90" s="8"/>
      <c r="N90" s="11"/>
      <c r="O90" s="9"/>
      <c r="P90" s="12"/>
      <c r="Q90" s="9"/>
      <c r="R90" s="13"/>
      <c r="S90" s="11"/>
      <c r="T90" s="11"/>
      <c r="U90" s="9"/>
      <c r="V90" s="9"/>
      <c r="W90" s="9"/>
      <c r="X90" s="16"/>
      <c r="AF90" s="42">
        <f>IF(BUSCAR!$C$8="FECHA NAC.",$G90,IF(BUSCAR!$C$8="PASAPORTE EXPIRA",$J90,IF(BUSCAR!$C$8="LICENCIA EMISION",$L90,IF(BUSCAR!$C$8="LICENCIA EXPIRA",$M90,""))))</f>
      </c>
      <c r="AG90" s="42">
        <f>IF($B90&amp;$C90&amp;$D90&amp;$E90&amp;$H90="",0,IF(AND(OR(BUSCAR!$J$5="",ISNUMBER(SEARCH(BUSCAR!$J$5,$AI90))),OR(BUSCAR!$J$6="",ISNUMBER(SEARCH(BUSCAR!$J$6,$AI90))),OR(BUSCAR!$J$8="",ISNUMBER(SEARCH(BUSCAR!$J$8,$AI90))),OR(BUSCAR!$J$9="",ISNUMBER(SEARCH(BUSCAR!$J$9,$AI90))),OR(NOT(BUSCAR!$J$2),AND(ISNUMBER($AF90),$AF90&gt;=BUSCAR!$J$3,$AF90&lt;=BUSCAR!$J$4))),1,0))</f>
      </c>
      <c r="AH90" s="42">
        <f t="shared" si="3"/>
      </c>
      <c r="AI90" s="42">
        <f t="shared" si="4"/>
      </c>
    </row>
    <row r="91" spans="1:35" x14ac:dyDescent="0.2">
      <c r="A91" s="66">
        <f t="shared" si="5"/>
      </c>
      <c r="B91" s="4"/>
      <c r="C91" s="4"/>
      <c r="D91" s="4"/>
      <c r="E91" s="4"/>
      <c r="F91" s="32"/>
      <c r="G91" s="8"/>
      <c r="H91" s="9"/>
      <c r="I91" s="8"/>
      <c r="J91" s="10"/>
      <c r="K91" s="8"/>
      <c r="L91" s="8"/>
      <c r="M91" s="8"/>
      <c r="N91" s="11"/>
      <c r="O91" s="9"/>
      <c r="P91" s="12"/>
      <c r="Q91" s="9"/>
      <c r="R91" s="13"/>
      <c r="S91" s="11"/>
      <c r="T91" s="11"/>
      <c r="U91" s="9"/>
      <c r="V91" s="9"/>
      <c r="W91" s="9"/>
      <c r="X91" s="16"/>
      <c r="AF91" s="42">
        <f>IF(BUSCAR!$C$8="FECHA NAC.",$G91,IF(BUSCAR!$C$8="PASAPORTE EXPIRA",$J91,IF(BUSCAR!$C$8="LICENCIA EMISION",$L91,IF(BUSCAR!$C$8="LICENCIA EXPIRA",$M91,""))))</f>
      </c>
      <c r="AG91" s="42">
        <f>IF($B91&amp;$C91&amp;$D91&amp;$E91&amp;$H91="",0,IF(AND(OR(BUSCAR!$J$5="",ISNUMBER(SEARCH(BUSCAR!$J$5,$AI91))),OR(BUSCAR!$J$6="",ISNUMBER(SEARCH(BUSCAR!$J$6,$AI91))),OR(BUSCAR!$J$8="",ISNUMBER(SEARCH(BUSCAR!$J$8,$AI91))),OR(BUSCAR!$J$9="",ISNUMBER(SEARCH(BUSCAR!$J$9,$AI91))),OR(NOT(BUSCAR!$J$2),AND(ISNUMBER($AF91),$AF91&gt;=BUSCAR!$J$3,$AF91&lt;=BUSCAR!$J$4))),1,0))</f>
      </c>
      <c r="AH91" s="42">
        <f t="shared" si="3"/>
      </c>
      <c r="AI91" s="42">
        <f t="shared" si="4"/>
      </c>
    </row>
    <row r="92" spans="1:35" x14ac:dyDescent="0.2">
      <c r="A92" s="66">
        <f t="shared" si="5"/>
      </c>
      <c r="B92" s="4"/>
      <c r="C92" s="4"/>
      <c r="D92" s="4"/>
      <c r="E92" s="4"/>
      <c r="F92" s="32"/>
      <c r="G92" s="8"/>
      <c r="H92" s="9"/>
      <c r="I92" s="8"/>
      <c r="J92" s="10"/>
      <c r="K92" s="8"/>
      <c r="L92" s="8"/>
      <c r="M92" s="8"/>
      <c r="N92" s="11"/>
      <c r="O92" s="9"/>
      <c r="P92" s="12"/>
      <c r="Q92" s="9"/>
      <c r="R92" s="13"/>
      <c r="S92" s="11"/>
      <c r="T92" s="11"/>
      <c r="U92" s="9"/>
      <c r="V92" s="9"/>
      <c r="W92" s="9"/>
      <c r="X92" s="16"/>
      <c r="AF92" s="42">
        <f>IF(BUSCAR!$C$8="FECHA NAC.",$G92,IF(BUSCAR!$C$8="PASAPORTE EXPIRA",$J92,IF(BUSCAR!$C$8="LICENCIA EMISION",$L92,IF(BUSCAR!$C$8="LICENCIA EXPIRA",$M92,""))))</f>
      </c>
      <c r="AG92" s="42">
        <f>IF($B92&amp;$C92&amp;$D92&amp;$E92&amp;$H92="",0,IF(AND(OR(BUSCAR!$J$5="",ISNUMBER(SEARCH(BUSCAR!$J$5,$AI92))),OR(BUSCAR!$J$6="",ISNUMBER(SEARCH(BUSCAR!$J$6,$AI92))),OR(BUSCAR!$J$8="",ISNUMBER(SEARCH(BUSCAR!$J$8,$AI92))),OR(BUSCAR!$J$9="",ISNUMBER(SEARCH(BUSCAR!$J$9,$AI92))),OR(NOT(BUSCAR!$J$2),AND(ISNUMBER($AF92),$AF92&gt;=BUSCAR!$J$3,$AF92&lt;=BUSCAR!$J$4))),1,0))</f>
      </c>
      <c r="AH92" s="42">
        <f t="shared" si="3"/>
      </c>
      <c r="AI92" s="42">
        <f t="shared" si="4"/>
      </c>
    </row>
    <row r="93" spans="1:35" x14ac:dyDescent="0.2">
      <c r="A93" s="66">
        <f t="shared" si="5"/>
      </c>
      <c r="B93" s="4"/>
      <c r="C93" s="4"/>
      <c r="D93" s="4"/>
      <c r="E93" s="4"/>
      <c r="F93" s="32"/>
      <c r="G93" s="8"/>
      <c r="H93" s="9"/>
      <c r="I93" s="8"/>
      <c r="J93" s="10"/>
      <c r="K93" s="8"/>
      <c r="L93" s="8"/>
      <c r="M93" s="8"/>
      <c r="N93" s="11"/>
      <c r="O93" s="9"/>
      <c r="P93" s="12"/>
      <c r="Q93" s="9"/>
      <c r="R93" s="13"/>
      <c r="S93" s="11"/>
      <c r="T93" s="11"/>
      <c r="U93" s="9"/>
      <c r="V93" s="9"/>
      <c r="W93" s="9"/>
      <c r="X93" s="16"/>
      <c r="AF93" s="42">
        <f>IF(BUSCAR!$C$8="FECHA NAC.",$G93,IF(BUSCAR!$C$8="PASAPORTE EXPIRA",$J93,IF(BUSCAR!$C$8="LICENCIA EMISION",$L93,IF(BUSCAR!$C$8="LICENCIA EXPIRA",$M93,""))))</f>
      </c>
      <c r="AG93" s="42">
        <f>IF($B93&amp;$C93&amp;$D93&amp;$E93&amp;$H93="",0,IF(AND(OR(BUSCAR!$J$5="",ISNUMBER(SEARCH(BUSCAR!$J$5,$AI93))),OR(BUSCAR!$J$6="",ISNUMBER(SEARCH(BUSCAR!$J$6,$AI93))),OR(BUSCAR!$J$8="",ISNUMBER(SEARCH(BUSCAR!$J$8,$AI93))),OR(BUSCAR!$J$9="",ISNUMBER(SEARCH(BUSCAR!$J$9,$AI93))),OR(NOT(BUSCAR!$J$2),AND(ISNUMBER($AF93),$AF93&gt;=BUSCAR!$J$3,$AF93&lt;=BUSCAR!$J$4))),1,0))</f>
      </c>
      <c r="AH93" s="42">
        <f t="shared" si="3"/>
      </c>
      <c r="AI93" s="42">
        <f t="shared" si="4"/>
      </c>
    </row>
    <row r="94" spans="1:35" x14ac:dyDescent="0.2">
      <c r="A94" s="66">
        <f t="shared" si="5"/>
      </c>
      <c r="B94" s="4"/>
      <c r="C94" s="4"/>
      <c r="D94" s="4"/>
      <c r="E94" s="4"/>
      <c r="F94" s="32"/>
      <c r="G94" s="8"/>
      <c r="H94" s="9"/>
      <c r="I94" s="8"/>
      <c r="J94" s="10"/>
      <c r="K94" s="8"/>
      <c r="L94" s="8"/>
      <c r="M94" s="8"/>
      <c r="N94" s="11"/>
      <c r="O94" s="9"/>
      <c r="P94" s="12"/>
      <c r="Q94" s="9"/>
      <c r="R94" s="13"/>
      <c r="S94" s="11"/>
      <c r="T94" s="11"/>
      <c r="U94" s="9"/>
      <c r="V94" s="9"/>
      <c r="W94" s="9"/>
      <c r="X94" s="16"/>
      <c r="AF94" s="42">
        <f>IF(BUSCAR!$C$8="FECHA NAC.",$G94,IF(BUSCAR!$C$8="PASAPORTE EXPIRA",$J94,IF(BUSCAR!$C$8="LICENCIA EMISION",$L94,IF(BUSCAR!$C$8="LICENCIA EXPIRA",$M94,""))))</f>
      </c>
      <c r="AG94" s="42">
        <f>IF($B94&amp;$C94&amp;$D94&amp;$E94&amp;$H94="",0,IF(AND(OR(BUSCAR!$J$5="",ISNUMBER(SEARCH(BUSCAR!$J$5,$AI94))),OR(BUSCAR!$J$6="",ISNUMBER(SEARCH(BUSCAR!$J$6,$AI94))),OR(BUSCAR!$J$8="",ISNUMBER(SEARCH(BUSCAR!$J$8,$AI94))),OR(BUSCAR!$J$9="",ISNUMBER(SEARCH(BUSCAR!$J$9,$AI94))),OR(NOT(BUSCAR!$J$2),AND(ISNUMBER($AF94),$AF94&gt;=BUSCAR!$J$3,$AF94&lt;=BUSCAR!$J$4))),1,0))</f>
      </c>
      <c r="AH94" s="42">
        <f t="shared" si="3"/>
      </c>
      <c r="AI94" s="42">
        <f t="shared" si="4"/>
      </c>
    </row>
    <row r="95" spans="1:35" x14ac:dyDescent="0.2">
      <c r="A95" s="66">
        <f t="shared" si="5"/>
      </c>
      <c r="B95" s="4"/>
      <c r="C95" s="4"/>
      <c r="D95" s="4"/>
      <c r="E95" s="4"/>
      <c r="F95" s="32"/>
      <c r="G95" s="8"/>
      <c r="H95" s="9"/>
      <c r="I95" s="8"/>
      <c r="J95" s="10"/>
      <c r="K95" s="8"/>
      <c r="L95" s="8"/>
      <c r="M95" s="8"/>
      <c r="N95" s="11"/>
      <c r="O95" s="9"/>
      <c r="P95" s="12"/>
      <c r="Q95" s="9"/>
      <c r="R95" s="13"/>
      <c r="S95" s="11"/>
      <c r="T95" s="11"/>
      <c r="U95" s="9"/>
      <c r="V95" s="9"/>
      <c r="W95" s="9"/>
      <c r="X95" s="16"/>
      <c r="AF95" s="42">
        <f>IF(BUSCAR!$C$8="FECHA NAC.",$G95,IF(BUSCAR!$C$8="PASAPORTE EXPIRA",$J95,IF(BUSCAR!$C$8="LICENCIA EMISION",$L95,IF(BUSCAR!$C$8="LICENCIA EXPIRA",$M95,""))))</f>
      </c>
      <c r="AG95" s="42">
        <f>IF($B95&amp;$C95&amp;$D95&amp;$E95&amp;$H95="",0,IF(AND(OR(BUSCAR!$J$5="",ISNUMBER(SEARCH(BUSCAR!$J$5,$AI95))),OR(BUSCAR!$J$6="",ISNUMBER(SEARCH(BUSCAR!$J$6,$AI95))),OR(BUSCAR!$J$8="",ISNUMBER(SEARCH(BUSCAR!$J$8,$AI95))),OR(BUSCAR!$J$9="",ISNUMBER(SEARCH(BUSCAR!$J$9,$AI95))),OR(NOT(BUSCAR!$J$2),AND(ISNUMBER($AF95),$AF95&gt;=BUSCAR!$J$3,$AF95&lt;=BUSCAR!$J$4))),1,0))</f>
      </c>
      <c r="AH95" s="42">
        <f t="shared" si="3"/>
      </c>
      <c r="AI95" s="42">
        <f t="shared" si="4"/>
      </c>
    </row>
    <row r="96" spans="1:35" x14ac:dyDescent="0.2">
      <c r="A96" s="66">
        <f t="shared" si="5"/>
      </c>
      <c r="B96" s="4"/>
      <c r="C96" s="4"/>
      <c r="D96" s="4"/>
      <c r="E96" s="4"/>
      <c r="F96" s="32"/>
      <c r="G96" s="8"/>
      <c r="H96" s="9"/>
      <c r="I96" s="8"/>
      <c r="J96" s="10"/>
      <c r="K96" s="8"/>
      <c r="L96" s="8"/>
      <c r="M96" s="8"/>
      <c r="N96" s="11"/>
      <c r="O96" s="9"/>
      <c r="P96" s="12"/>
      <c r="Q96" s="9"/>
      <c r="R96" s="13"/>
      <c r="S96" s="11"/>
      <c r="T96" s="11"/>
      <c r="U96" s="9"/>
      <c r="V96" s="9"/>
      <c r="W96" s="9"/>
      <c r="X96" s="16"/>
      <c r="AF96" s="42">
        <f>IF(BUSCAR!$C$8="FECHA NAC.",$G96,IF(BUSCAR!$C$8="PASAPORTE EXPIRA",$J96,IF(BUSCAR!$C$8="LICENCIA EMISION",$L96,IF(BUSCAR!$C$8="LICENCIA EXPIRA",$M96,""))))</f>
      </c>
      <c r="AG96" s="42">
        <f>IF($B96&amp;$C96&amp;$D96&amp;$E96&amp;$H96="",0,IF(AND(OR(BUSCAR!$J$5="",ISNUMBER(SEARCH(BUSCAR!$J$5,$AI96))),OR(BUSCAR!$J$6="",ISNUMBER(SEARCH(BUSCAR!$J$6,$AI96))),OR(BUSCAR!$J$8="",ISNUMBER(SEARCH(BUSCAR!$J$8,$AI96))),OR(BUSCAR!$J$9="",ISNUMBER(SEARCH(BUSCAR!$J$9,$AI96))),OR(NOT(BUSCAR!$J$2),AND(ISNUMBER($AF96),$AF96&gt;=BUSCAR!$J$3,$AF96&lt;=BUSCAR!$J$4))),1,0))</f>
      </c>
      <c r="AH96" s="42">
        <f t="shared" si="3"/>
      </c>
      <c r="AI96" s="42">
        <f t="shared" si="4"/>
      </c>
    </row>
    <row r="97" spans="1:35" x14ac:dyDescent="0.2">
      <c r="A97" s="66">
        <f t="shared" si="5"/>
      </c>
      <c r="B97" s="4"/>
      <c r="C97" s="4"/>
      <c r="D97" s="4"/>
      <c r="E97" s="4"/>
      <c r="F97" s="32"/>
      <c r="G97" s="8"/>
      <c r="H97" s="9"/>
      <c r="I97" s="8"/>
      <c r="J97" s="10"/>
      <c r="K97" s="8"/>
      <c r="L97" s="8"/>
      <c r="M97" s="8"/>
      <c r="N97" s="11"/>
      <c r="O97" s="9"/>
      <c r="P97" s="12"/>
      <c r="Q97" s="9"/>
      <c r="R97" s="13"/>
      <c r="S97" s="11"/>
      <c r="T97" s="11"/>
      <c r="U97" s="9"/>
      <c r="V97" s="9"/>
      <c r="W97" s="9"/>
      <c r="X97" s="16"/>
      <c r="AF97" s="42">
        <f>IF(BUSCAR!$C$8="FECHA NAC.",$G97,IF(BUSCAR!$C$8="PASAPORTE EXPIRA",$J97,IF(BUSCAR!$C$8="LICENCIA EMISION",$L97,IF(BUSCAR!$C$8="LICENCIA EXPIRA",$M97,""))))</f>
      </c>
      <c r="AG97" s="42">
        <f>IF($B97&amp;$C97&amp;$D97&amp;$E97&amp;$H97="",0,IF(AND(OR(BUSCAR!$J$5="",ISNUMBER(SEARCH(BUSCAR!$J$5,$AI97))),OR(BUSCAR!$J$6="",ISNUMBER(SEARCH(BUSCAR!$J$6,$AI97))),OR(BUSCAR!$J$8="",ISNUMBER(SEARCH(BUSCAR!$J$8,$AI97))),OR(BUSCAR!$J$9="",ISNUMBER(SEARCH(BUSCAR!$J$9,$AI97))),OR(NOT(BUSCAR!$J$2),AND(ISNUMBER($AF97),$AF97&gt;=BUSCAR!$J$3,$AF97&lt;=BUSCAR!$J$4))),1,0))</f>
      </c>
      <c r="AH97" s="42">
        <f t="shared" si="3"/>
      </c>
      <c r="AI97" s="42">
        <f t="shared" si="4"/>
      </c>
    </row>
    <row r="98" spans="1:35" x14ac:dyDescent="0.2">
      <c r="A98" s="66">
        <f t="shared" si="5"/>
      </c>
      <c r="B98" s="4"/>
      <c r="C98" s="4"/>
      <c r="D98" s="4"/>
      <c r="E98" s="4"/>
      <c r="F98" s="32"/>
      <c r="G98" s="8"/>
      <c r="H98" s="9"/>
      <c r="I98" s="8"/>
      <c r="J98" s="10"/>
      <c r="K98" s="8"/>
      <c r="L98" s="8"/>
      <c r="M98" s="8"/>
      <c r="N98" s="11"/>
      <c r="O98" s="9"/>
      <c r="P98" s="12"/>
      <c r="Q98" s="9"/>
      <c r="R98" s="13"/>
      <c r="S98" s="11"/>
      <c r="T98" s="11"/>
      <c r="U98" s="9"/>
      <c r="V98" s="9"/>
      <c r="W98" s="9"/>
      <c r="X98" s="16"/>
      <c r="AF98" s="42">
        <f>IF(BUSCAR!$C$8="FECHA NAC.",$G98,IF(BUSCAR!$C$8="PASAPORTE EXPIRA",$J98,IF(BUSCAR!$C$8="LICENCIA EMISION",$L98,IF(BUSCAR!$C$8="LICENCIA EXPIRA",$M98,""))))</f>
      </c>
      <c r="AG98" s="42">
        <f>IF($B98&amp;$C98&amp;$D98&amp;$E98&amp;$H98="",0,IF(AND(OR(BUSCAR!$J$5="",ISNUMBER(SEARCH(BUSCAR!$J$5,$AI98))),OR(BUSCAR!$J$6="",ISNUMBER(SEARCH(BUSCAR!$J$6,$AI98))),OR(BUSCAR!$J$8="",ISNUMBER(SEARCH(BUSCAR!$J$8,$AI98))),OR(BUSCAR!$J$9="",ISNUMBER(SEARCH(BUSCAR!$J$9,$AI98))),OR(NOT(BUSCAR!$J$2),AND(ISNUMBER($AF98),$AF98&gt;=BUSCAR!$J$3,$AF98&lt;=BUSCAR!$J$4))),1,0))</f>
      </c>
      <c r="AH98" s="42">
        <f t="shared" si="3"/>
      </c>
      <c r="AI98" s="42">
        <f t="shared" si="4"/>
      </c>
    </row>
    <row r="99" spans="1:35" x14ac:dyDescent="0.2">
      <c r="A99" s="66">
        <f t="shared" si="5"/>
      </c>
      <c r="B99" s="4"/>
      <c r="C99" s="4"/>
      <c r="D99" s="4"/>
      <c r="E99" s="4"/>
      <c r="F99" s="32"/>
      <c r="G99" s="8"/>
      <c r="H99" s="9"/>
      <c r="I99" s="8"/>
      <c r="J99" s="10"/>
      <c r="K99" s="8"/>
      <c r="L99" s="8"/>
      <c r="M99" s="8"/>
      <c r="N99" s="11"/>
      <c r="O99" s="9"/>
      <c r="P99" s="12"/>
      <c r="Q99" s="9"/>
      <c r="R99" s="13"/>
      <c r="S99" s="11"/>
      <c r="T99" s="11"/>
      <c r="U99" s="9"/>
      <c r="V99" s="9"/>
      <c r="W99" s="9"/>
      <c r="X99" s="16"/>
      <c r="AF99" s="42">
        <f>IF(BUSCAR!$C$8="FECHA NAC.",$G99,IF(BUSCAR!$C$8="PASAPORTE EXPIRA",$J99,IF(BUSCAR!$C$8="LICENCIA EMISION",$L99,IF(BUSCAR!$C$8="LICENCIA EXPIRA",$M99,""))))</f>
      </c>
      <c r="AG99" s="42">
        <f>IF($B99&amp;$C99&amp;$D99&amp;$E99&amp;$H99="",0,IF(AND(OR(BUSCAR!$J$5="",ISNUMBER(SEARCH(BUSCAR!$J$5,$AI99))),OR(BUSCAR!$J$6="",ISNUMBER(SEARCH(BUSCAR!$J$6,$AI99))),OR(BUSCAR!$J$8="",ISNUMBER(SEARCH(BUSCAR!$J$8,$AI99))),OR(BUSCAR!$J$9="",ISNUMBER(SEARCH(BUSCAR!$J$9,$AI99))),OR(NOT(BUSCAR!$J$2),AND(ISNUMBER($AF99),$AF99&gt;=BUSCAR!$J$3,$AF99&lt;=BUSCAR!$J$4))),1,0))</f>
      </c>
      <c r="AH99" s="42">
        <f t="shared" si="3"/>
      </c>
      <c r="AI99" s="42">
        <f t="shared" si="4"/>
      </c>
    </row>
    <row r="100" spans="1:35" x14ac:dyDescent="0.2">
      <c r="A100" s="66">
        <f t="shared" si="5"/>
      </c>
      <c r="B100" s="4"/>
      <c r="C100" s="4"/>
      <c r="D100" s="4"/>
      <c r="E100" s="4"/>
      <c r="F100" s="32"/>
      <c r="G100" s="8"/>
      <c r="H100" s="9"/>
      <c r="I100" s="8"/>
      <c r="J100" s="10"/>
      <c r="K100" s="8"/>
      <c r="L100" s="8"/>
      <c r="M100" s="8"/>
      <c r="N100" s="11"/>
      <c r="O100" s="9"/>
      <c r="P100" s="12"/>
      <c r="Q100" s="9"/>
      <c r="R100" s="13"/>
      <c r="S100" s="11"/>
      <c r="T100" s="11"/>
      <c r="U100" s="9"/>
      <c r="V100" s="9"/>
      <c r="W100" s="9"/>
      <c r="X100" s="16"/>
      <c r="AF100" s="42">
        <f>IF(BUSCAR!$C$8="FECHA NAC.",$G100,IF(BUSCAR!$C$8="PASAPORTE EXPIRA",$J100,IF(BUSCAR!$C$8="LICENCIA EMISION",$L100,IF(BUSCAR!$C$8="LICENCIA EXPIRA",$M100,""))))</f>
      </c>
      <c r="AG100" s="42">
        <f>IF($B100&amp;$C100&amp;$D100&amp;$E100&amp;$H100="",0,IF(AND(OR(BUSCAR!$J$5="",ISNUMBER(SEARCH(BUSCAR!$J$5,$AI100))),OR(BUSCAR!$J$6="",ISNUMBER(SEARCH(BUSCAR!$J$6,$AI100))),OR(BUSCAR!$J$8="",ISNUMBER(SEARCH(BUSCAR!$J$8,$AI100))),OR(BUSCAR!$J$9="",ISNUMBER(SEARCH(BUSCAR!$J$9,$AI100))),OR(NOT(BUSCAR!$J$2),AND(ISNUMBER($AF100),$AF100&gt;=BUSCAR!$J$3,$AF100&lt;=BUSCAR!$J$4))),1,0))</f>
      </c>
      <c r="AH100" s="42">
        <f t="shared" si="3"/>
      </c>
      <c r="AI100" s="42">
        <f t="shared" si="4"/>
      </c>
    </row>
    <row r="101" spans="1:35" x14ac:dyDescent="0.2">
      <c r="A101" s="66">
        <f t="shared" si="5"/>
      </c>
      <c r="B101" s="4"/>
      <c r="C101" s="4"/>
      <c r="D101" s="4"/>
      <c r="E101" s="4"/>
      <c r="F101" s="32"/>
      <c r="G101" s="8"/>
      <c r="H101" s="9"/>
      <c r="I101" s="8"/>
      <c r="J101" s="10"/>
      <c r="K101" s="8"/>
      <c r="L101" s="8"/>
      <c r="M101" s="8"/>
      <c r="N101" s="11"/>
      <c r="O101" s="9"/>
      <c r="P101" s="12"/>
      <c r="Q101" s="9"/>
      <c r="R101" s="13"/>
      <c r="S101" s="11"/>
      <c r="T101" s="11"/>
      <c r="U101" s="9"/>
      <c r="V101" s="9"/>
      <c r="W101" s="9"/>
      <c r="X101" s="16"/>
      <c r="AF101" s="42">
        <f>IF(BUSCAR!$C$8="FECHA NAC.",$G101,IF(BUSCAR!$C$8="PASAPORTE EXPIRA",$J101,IF(BUSCAR!$C$8="LICENCIA EMISION",$L101,IF(BUSCAR!$C$8="LICENCIA EXPIRA",$M101,""))))</f>
      </c>
      <c r="AG101" s="42">
        <f>IF($B101&amp;$C101&amp;$D101&amp;$E101&amp;$H101="",0,IF(AND(OR(BUSCAR!$J$5="",ISNUMBER(SEARCH(BUSCAR!$J$5,$AI101))),OR(BUSCAR!$J$6="",ISNUMBER(SEARCH(BUSCAR!$J$6,$AI101))),OR(BUSCAR!$J$8="",ISNUMBER(SEARCH(BUSCAR!$J$8,$AI101))),OR(BUSCAR!$J$9="",ISNUMBER(SEARCH(BUSCAR!$J$9,$AI101))),OR(NOT(BUSCAR!$J$2),AND(ISNUMBER($AF101),$AF101&gt;=BUSCAR!$J$3,$AF101&lt;=BUSCAR!$J$4))),1,0))</f>
      </c>
      <c r="AH101" s="42">
        <f t="shared" si="3"/>
      </c>
      <c r="AI101" s="42">
        <f t="shared" si="4"/>
      </c>
    </row>
    <row r="102" spans="1:35" x14ac:dyDescent="0.2">
      <c r="A102" s="66">
        <f t="shared" si="5"/>
      </c>
      <c r="B102" s="4"/>
      <c r="C102" s="4"/>
      <c r="D102" s="4"/>
      <c r="E102" s="4"/>
      <c r="F102" s="32"/>
      <c r="G102" s="8"/>
      <c r="H102" s="9"/>
      <c r="I102" s="8"/>
      <c r="J102" s="10"/>
      <c r="K102" s="8"/>
      <c r="L102" s="8"/>
      <c r="M102" s="8"/>
      <c r="N102" s="11"/>
      <c r="O102" s="9"/>
      <c r="P102" s="12"/>
      <c r="Q102" s="9"/>
      <c r="R102" s="13"/>
      <c r="S102" s="11"/>
      <c r="T102" s="11"/>
      <c r="U102" s="9"/>
      <c r="V102" s="9"/>
      <c r="W102" s="9"/>
      <c r="X102" s="16"/>
      <c r="AF102" s="42">
        <f>IF(BUSCAR!$C$8="FECHA NAC.",$G102,IF(BUSCAR!$C$8="PASAPORTE EXPIRA",$J102,IF(BUSCAR!$C$8="LICENCIA EMISION",$L102,IF(BUSCAR!$C$8="LICENCIA EXPIRA",$M102,""))))</f>
      </c>
      <c r="AG102" s="42">
        <f>IF($B102&amp;$C102&amp;$D102&amp;$E102&amp;$H102="",0,IF(AND(OR(BUSCAR!$J$5="",ISNUMBER(SEARCH(BUSCAR!$J$5,$AI102))),OR(BUSCAR!$J$6="",ISNUMBER(SEARCH(BUSCAR!$J$6,$AI102))),OR(BUSCAR!$J$8="",ISNUMBER(SEARCH(BUSCAR!$J$8,$AI102))),OR(BUSCAR!$J$9="",ISNUMBER(SEARCH(BUSCAR!$J$9,$AI102))),OR(NOT(BUSCAR!$J$2),AND(ISNUMBER($AF102),$AF102&gt;=BUSCAR!$J$3,$AF102&lt;=BUSCAR!$J$4))),1,0))</f>
      </c>
      <c r="AH102" s="42">
        <f t="shared" si="3"/>
      </c>
      <c r="AI102" s="42">
        <f t="shared" si="4"/>
      </c>
    </row>
    <row r="103" spans="1:35" x14ac:dyDescent="0.2">
      <c r="A103" s="66">
        <f t="shared" si="5"/>
      </c>
      <c r="B103" s="4"/>
      <c r="C103" s="4"/>
      <c r="D103" s="4"/>
      <c r="E103" s="4"/>
      <c r="F103" s="32"/>
      <c r="G103" s="8"/>
      <c r="H103" s="9"/>
      <c r="I103" s="8"/>
      <c r="J103" s="10"/>
      <c r="K103" s="8"/>
      <c r="L103" s="8"/>
      <c r="M103" s="8"/>
      <c r="N103" s="11"/>
      <c r="O103" s="9"/>
      <c r="P103" s="12"/>
      <c r="Q103" s="9"/>
      <c r="R103" s="13"/>
      <c r="S103" s="11"/>
      <c r="T103" s="11"/>
      <c r="U103" s="9"/>
      <c r="V103" s="9"/>
      <c r="W103" s="9"/>
      <c r="X103" s="16"/>
      <c r="AF103" s="42">
        <f>IF(BUSCAR!$C$8="FECHA NAC.",$G103,IF(BUSCAR!$C$8="PASAPORTE EXPIRA",$J103,IF(BUSCAR!$C$8="LICENCIA EMISION",$L103,IF(BUSCAR!$C$8="LICENCIA EXPIRA",$M103,""))))</f>
      </c>
      <c r="AG103" s="42">
        <f>IF($B103&amp;$C103&amp;$D103&amp;$E103&amp;$H103="",0,IF(AND(OR(BUSCAR!$J$5="",ISNUMBER(SEARCH(BUSCAR!$J$5,$AI103))),OR(BUSCAR!$J$6="",ISNUMBER(SEARCH(BUSCAR!$J$6,$AI103))),OR(BUSCAR!$J$8="",ISNUMBER(SEARCH(BUSCAR!$J$8,$AI103))),OR(BUSCAR!$J$9="",ISNUMBER(SEARCH(BUSCAR!$J$9,$AI103))),OR(NOT(BUSCAR!$J$2),AND(ISNUMBER($AF103),$AF103&gt;=BUSCAR!$J$3,$AF103&lt;=BUSCAR!$J$4))),1,0))</f>
      </c>
      <c r="AH103" s="42">
        <f t="shared" si="3"/>
      </c>
      <c r="AI103" s="42">
        <f t="shared" si="4"/>
      </c>
    </row>
    <row r="104" spans="1:35" x14ac:dyDescent="0.2">
      <c r="A104" s="66">
        <f t="shared" si="5"/>
      </c>
      <c r="B104" s="4"/>
      <c r="C104" s="4"/>
      <c r="D104" s="4"/>
      <c r="E104" s="4"/>
      <c r="F104" s="32"/>
      <c r="G104" s="8"/>
      <c r="H104" s="9"/>
      <c r="I104" s="8"/>
      <c r="J104" s="10"/>
      <c r="K104" s="8"/>
      <c r="L104" s="8"/>
      <c r="M104" s="8"/>
      <c r="N104" s="11"/>
      <c r="O104" s="9"/>
      <c r="P104" s="12"/>
      <c r="Q104" s="9"/>
      <c r="R104" s="13"/>
      <c r="S104" s="11"/>
      <c r="T104" s="11"/>
      <c r="U104" s="9"/>
      <c r="V104" s="9"/>
      <c r="W104" s="9"/>
      <c r="X104" s="16"/>
      <c r="AF104" s="42">
        <f>IF(BUSCAR!$C$8="FECHA NAC.",$G104,IF(BUSCAR!$C$8="PASAPORTE EXPIRA",$J104,IF(BUSCAR!$C$8="LICENCIA EMISION",$L104,IF(BUSCAR!$C$8="LICENCIA EXPIRA",$M104,""))))</f>
      </c>
      <c r="AG104" s="42">
        <f>IF($B104&amp;$C104&amp;$D104&amp;$E104&amp;$H104="",0,IF(AND(OR(BUSCAR!$J$5="",ISNUMBER(SEARCH(BUSCAR!$J$5,$AI104))),OR(BUSCAR!$J$6="",ISNUMBER(SEARCH(BUSCAR!$J$6,$AI104))),OR(BUSCAR!$J$8="",ISNUMBER(SEARCH(BUSCAR!$J$8,$AI104))),OR(BUSCAR!$J$9="",ISNUMBER(SEARCH(BUSCAR!$J$9,$AI104))),OR(NOT(BUSCAR!$J$2),AND(ISNUMBER($AF104),$AF104&gt;=BUSCAR!$J$3,$AF104&lt;=BUSCAR!$J$4))),1,0))</f>
      </c>
      <c r="AH104" s="42">
        <f t="shared" si="3"/>
      </c>
      <c r="AI104" s="42">
        <f t="shared" si="4"/>
      </c>
    </row>
    <row r="105" spans="1:35" x14ac:dyDescent="0.2">
      <c r="A105" s="66">
        <f t="shared" si="5"/>
      </c>
      <c r="B105" s="4"/>
      <c r="C105" s="4"/>
      <c r="D105" s="4"/>
      <c r="E105" s="4"/>
      <c r="F105" s="32"/>
      <c r="G105" s="8"/>
      <c r="H105" s="9"/>
      <c r="I105" s="8"/>
      <c r="J105" s="10"/>
      <c r="K105" s="8"/>
      <c r="L105" s="8"/>
      <c r="M105" s="8"/>
      <c r="N105" s="11"/>
      <c r="O105" s="9"/>
      <c r="P105" s="12"/>
      <c r="Q105" s="9"/>
      <c r="R105" s="13"/>
      <c r="S105" s="11"/>
      <c r="T105" s="11"/>
      <c r="U105" s="9"/>
      <c r="V105" s="9"/>
      <c r="W105" s="9"/>
      <c r="X105" s="16"/>
      <c r="AF105" s="42">
        <f>IF(BUSCAR!$C$8="FECHA NAC.",$G105,IF(BUSCAR!$C$8="PASAPORTE EXPIRA",$J105,IF(BUSCAR!$C$8="LICENCIA EMISION",$L105,IF(BUSCAR!$C$8="LICENCIA EXPIRA",$M105,""))))</f>
      </c>
      <c r="AG105" s="42">
        <f>IF($B105&amp;$C105&amp;$D105&amp;$E105&amp;$H105="",0,IF(AND(OR(BUSCAR!$J$5="",ISNUMBER(SEARCH(BUSCAR!$J$5,$AI105))),OR(BUSCAR!$J$6="",ISNUMBER(SEARCH(BUSCAR!$J$6,$AI105))),OR(BUSCAR!$J$8="",ISNUMBER(SEARCH(BUSCAR!$J$8,$AI105))),OR(BUSCAR!$J$9="",ISNUMBER(SEARCH(BUSCAR!$J$9,$AI105))),OR(NOT(BUSCAR!$J$2),AND(ISNUMBER($AF105),$AF105&gt;=BUSCAR!$J$3,$AF105&lt;=BUSCAR!$J$4))),1,0))</f>
      </c>
      <c r="AH105" s="42">
        <f t="shared" si="3"/>
      </c>
      <c r="AI105" s="42">
        <f t="shared" si="4"/>
      </c>
    </row>
    <row r="106" spans="1:35" x14ac:dyDescent="0.2">
      <c r="A106" s="66">
        <f t="shared" si="5"/>
      </c>
      <c r="B106" s="4"/>
      <c r="C106" s="4"/>
      <c r="D106" s="4"/>
      <c r="E106" s="4"/>
      <c r="F106" s="32"/>
      <c r="G106" s="8"/>
      <c r="H106" s="9"/>
      <c r="I106" s="8"/>
      <c r="J106" s="10"/>
      <c r="K106" s="8"/>
      <c r="L106" s="8"/>
      <c r="M106" s="8"/>
      <c r="N106" s="11"/>
      <c r="O106" s="9"/>
      <c r="P106" s="12"/>
      <c r="Q106" s="9"/>
      <c r="R106" s="13"/>
      <c r="S106" s="11"/>
      <c r="T106" s="11"/>
      <c r="U106" s="9"/>
      <c r="V106" s="9"/>
      <c r="W106" s="9"/>
      <c r="X106" s="16"/>
      <c r="AF106" s="42">
        <f>IF(BUSCAR!$C$8="FECHA NAC.",$G106,IF(BUSCAR!$C$8="PASAPORTE EXPIRA",$J106,IF(BUSCAR!$C$8="LICENCIA EMISION",$L106,IF(BUSCAR!$C$8="LICENCIA EXPIRA",$M106,""))))</f>
      </c>
      <c r="AG106" s="42">
        <f>IF($B106&amp;$C106&amp;$D106&amp;$E106&amp;$H106="",0,IF(AND(OR(BUSCAR!$J$5="",ISNUMBER(SEARCH(BUSCAR!$J$5,$AI106))),OR(BUSCAR!$J$6="",ISNUMBER(SEARCH(BUSCAR!$J$6,$AI106))),OR(BUSCAR!$J$8="",ISNUMBER(SEARCH(BUSCAR!$J$8,$AI106))),OR(BUSCAR!$J$9="",ISNUMBER(SEARCH(BUSCAR!$J$9,$AI106))),OR(NOT(BUSCAR!$J$2),AND(ISNUMBER($AF106),$AF106&gt;=BUSCAR!$J$3,$AF106&lt;=BUSCAR!$J$4))),1,0))</f>
      </c>
      <c r="AH106" s="42">
        <f t="shared" si="3"/>
      </c>
      <c r="AI106" s="42">
        <f t="shared" si="4"/>
      </c>
    </row>
    <row r="107" spans="1:35" x14ac:dyDescent="0.2">
      <c r="A107" s="66">
        <f t="shared" si="5"/>
      </c>
      <c r="B107" s="4"/>
      <c r="C107" s="4"/>
      <c r="D107" s="4"/>
      <c r="E107" s="4"/>
      <c r="F107" s="32"/>
      <c r="G107" s="8"/>
      <c r="H107" s="9"/>
      <c r="I107" s="8"/>
      <c r="J107" s="10"/>
      <c r="K107" s="8"/>
      <c r="L107" s="8"/>
      <c r="M107" s="8"/>
      <c r="N107" s="11"/>
      <c r="O107" s="9"/>
      <c r="P107" s="12"/>
      <c r="Q107" s="9"/>
      <c r="R107" s="13"/>
      <c r="S107" s="11"/>
      <c r="T107" s="11"/>
      <c r="U107" s="9"/>
      <c r="V107" s="9"/>
      <c r="W107" s="9"/>
      <c r="X107" s="16"/>
      <c r="AF107" s="42">
        <f>IF(BUSCAR!$C$8="FECHA NAC.",$G107,IF(BUSCAR!$C$8="PASAPORTE EXPIRA",$J107,IF(BUSCAR!$C$8="LICENCIA EMISION",$L107,IF(BUSCAR!$C$8="LICENCIA EXPIRA",$M107,""))))</f>
      </c>
      <c r="AG107" s="42">
        <f>IF($B107&amp;$C107&amp;$D107&amp;$E107&amp;$H107="",0,IF(AND(OR(BUSCAR!$J$5="",ISNUMBER(SEARCH(BUSCAR!$J$5,$AI107))),OR(BUSCAR!$J$6="",ISNUMBER(SEARCH(BUSCAR!$J$6,$AI107))),OR(BUSCAR!$J$8="",ISNUMBER(SEARCH(BUSCAR!$J$8,$AI107))),OR(BUSCAR!$J$9="",ISNUMBER(SEARCH(BUSCAR!$J$9,$AI107))),OR(NOT(BUSCAR!$J$2),AND(ISNUMBER($AF107),$AF107&gt;=BUSCAR!$J$3,$AF107&lt;=BUSCAR!$J$4))),1,0))</f>
      </c>
      <c r="AH107" s="42">
        <f t="shared" si="3"/>
      </c>
      <c r="AI107" s="42">
        <f t="shared" si="4"/>
      </c>
    </row>
    <row r="108" spans="1:35" x14ac:dyDescent="0.2">
      <c r="A108" s="66">
        <f t="shared" si="5"/>
      </c>
      <c r="B108" s="4"/>
      <c r="C108" s="4"/>
      <c r="D108" s="4"/>
      <c r="E108" s="4"/>
      <c r="F108" s="32"/>
      <c r="G108" s="8"/>
      <c r="H108" s="9"/>
      <c r="I108" s="8"/>
      <c r="J108" s="10"/>
      <c r="K108" s="8"/>
      <c r="L108" s="8"/>
      <c r="M108" s="8"/>
      <c r="N108" s="11"/>
      <c r="O108" s="9"/>
      <c r="P108" s="12"/>
      <c r="Q108" s="9"/>
      <c r="R108" s="13"/>
      <c r="S108" s="11"/>
      <c r="T108" s="11"/>
      <c r="U108" s="9"/>
      <c r="V108" s="9"/>
      <c r="W108" s="9"/>
      <c r="X108" s="16"/>
      <c r="AF108" s="42">
        <f>IF(BUSCAR!$C$8="FECHA NAC.",$G108,IF(BUSCAR!$C$8="PASAPORTE EXPIRA",$J108,IF(BUSCAR!$C$8="LICENCIA EMISION",$L108,IF(BUSCAR!$C$8="LICENCIA EXPIRA",$M108,""))))</f>
      </c>
      <c r="AG108" s="42">
        <f>IF($B108&amp;$C108&amp;$D108&amp;$E108&amp;$H108="",0,IF(AND(OR(BUSCAR!$J$5="",ISNUMBER(SEARCH(BUSCAR!$J$5,$AI108))),OR(BUSCAR!$J$6="",ISNUMBER(SEARCH(BUSCAR!$J$6,$AI108))),OR(BUSCAR!$J$8="",ISNUMBER(SEARCH(BUSCAR!$J$8,$AI108))),OR(BUSCAR!$J$9="",ISNUMBER(SEARCH(BUSCAR!$J$9,$AI108))),OR(NOT(BUSCAR!$J$2),AND(ISNUMBER($AF108),$AF108&gt;=BUSCAR!$J$3,$AF108&lt;=BUSCAR!$J$4))),1,0))</f>
      </c>
      <c r="AH108" s="42">
        <f t="shared" si="3"/>
      </c>
      <c r="AI108" s="42">
        <f t="shared" si="4"/>
      </c>
    </row>
    <row r="109" spans="1:35" x14ac:dyDescent="0.2">
      <c r="A109" s="66">
        <f t="shared" si="5"/>
      </c>
      <c r="B109" s="4"/>
      <c r="C109" s="4"/>
      <c r="D109" s="4"/>
      <c r="E109" s="4"/>
      <c r="F109" s="32"/>
      <c r="G109" s="8"/>
      <c r="H109" s="9"/>
      <c r="I109" s="8"/>
      <c r="J109" s="10"/>
      <c r="K109" s="8"/>
      <c r="L109" s="8"/>
      <c r="M109" s="8"/>
      <c r="N109" s="11"/>
      <c r="O109" s="9"/>
      <c r="P109" s="12"/>
      <c r="Q109" s="9"/>
      <c r="R109" s="13"/>
      <c r="S109" s="11"/>
      <c r="T109" s="11"/>
      <c r="U109" s="9"/>
      <c r="V109" s="9"/>
      <c r="W109" s="9"/>
      <c r="X109" s="16"/>
      <c r="AF109" s="42">
        <f>IF(BUSCAR!$C$8="FECHA NAC.",$G109,IF(BUSCAR!$C$8="PASAPORTE EXPIRA",$J109,IF(BUSCAR!$C$8="LICENCIA EMISION",$L109,IF(BUSCAR!$C$8="LICENCIA EXPIRA",$M109,""))))</f>
      </c>
      <c r="AG109" s="42">
        <f>IF($B109&amp;$C109&amp;$D109&amp;$E109&amp;$H109="",0,IF(AND(OR(BUSCAR!$J$5="",ISNUMBER(SEARCH(BUSCAR!$J$5,$AI109))),OR(BUSCAR!$J$6="",ISNUMBER(SEARCH(BUSCAR!$J$6,$AI109))),OR(BUSCAR!$J$8="",ISNUMBER(SEARCH(BUSCAR!$J$8,$AI109))),OR(BUSCAR!$J$9="",ISNUMBER(SEARCH(BUSCAR!$J$9,$AI109))),OR(NOT(BUSCAR!$J$2),AND(ISNUMBER($AF109),$AF109&gt;=BUSCAR!$J$3,$AF109&lt;=BUSCAR!$J$4))),1,0))</f>
      </c>
      <c r="AH109" s="42">
        <f t="shared" si="3"/>
      </c>
      <c r="AI109" s="42">
        <f t="shared" si="4"/>
      </c>
    </row>
    <row r="110" spans="1:35" x14ac:dyDescent="0.2">
      <c r="A110" s="66">
        <f t="shared" si="5"/>
      </c>
      <c r="B110" s="4"/>
      <c r="C110" s="4"/>
      <c r="D110" s="4"/>
      <c r="E110" s="4"/>
      <c r="F110" s="32"/>
      <c r="G110" s="8"/>
      <c r="H110" s="9"/>
      <c r="I110" s="8"/>
      <c r="J110" s="10"/>
      <c r="K110" s="8"/>
      <c r="L110" s="8"/>
      <c r="M110" s="8"/>
      <c r="N110" s="11"/>
      <c r="O110" s="9"/>
      <c r="P110" s="12"/>
      <c r="Q110" s="9"/>
      <c r="R110" s="13"/>
      <c r="S110" s="11"/>
      <c r="T110" s="11"/>
      <c r="U110" s="9"/>
      <c r="V110" s="9"/>
      <c r="W110" s="9"/>
      <c r="X110" s="16"/>
      <c r="AF110" s="42">
        <f>IF(BUSCAR!$C$8="FECHA NAC.",$G110,IF(BUSCAR!$C$8="PASAPORTE EXPIRA",$J110,IF(BUSCAR!$C$8="LICENCIA EMISION",$L110,IF(BUSCAR!$C$8="LICENCIA EXPIRA",$M110,""))))</f>
      </c>
      <c r="AG110" s="42">
        <f>IF($B110&amp;$C110&amp;$D110&amp;$E110&amp;$H110="",0,IF(AND(OR(BUSCAR!$J$5="",ISNUMBER(SEARCH(BUSCAR!$J$5,$AI110))),OR(BUSCAR!$J$6="",ISNUMBER(SEARCH(BUSCAR!$J$6,$AI110))),OR(BUSCAR!$J$8="",ISNUMBER(SEARCH(BUSCAR!$J$8,$AI110))),OR(BUSCAR!$J$9="",ISNUMBER(SEARCH(BUSCAR!$J$9,$AI110))),OR(NOT(BUSCAR!$J$2),AND(ISNUMBER($AF110),$AF110&gt;=BUSCAR!$J$3,$AF110&lt;=BUSCAR!$J$4))),1,0))</f>
      </c>
      <c r="AH110" s="42">
        <f t="shared" si="3"/>
      </c>
      <c r="AI110" s="42">
        <f t="shared" si="4"/>
      </c>
    </row>
    <row r="111" spans="1:35" x14ac:dyDescent="0.2">
      <c r="A111" s="66">
        <f t="shared" si="5"/>
      </c>
      <c r="B111" s="4"/>
      <c r="C111" s="4"/>
      <c r="D111" s="4"/>
      <c r="E111" s="4"/>
      <c r="F111" s="32"/>
      <c r="G111" s="8"/>
      <c r="H111" s="9"/>
      <c r="I111" s="8"/>
      <c r="J111" s="10"/>
      <c r="K111" s="8"/>
      <c r="L111" s="8"/>
      <c r="M111" s="8"/>
      <c r="N111" s="11"/>
      <c r="O111" s="9"/>
      <c r="P111" s="12"/>
      <c r="Q111" s="9"/>
      <c r="R111" s="13"/>
      <c r="S111" s="11"/>
      <c r="T111" s="11"/>
      <c r="U111" s="9"/>
      <c r="V111" s="9"/>
      <c r="W111" s="9"/>
      <c r="X111" s="16"/>
      <c r="AF111" s="42">
        <f>IF(BUSCAR!$C$8="FECHA NAC.",$G111,IF(BUSCAR!$C$8="PASAPORTE EXPIRA",$J111,IF(BUSCAR!$C$8="LICENCIA EMISION",$L111,IF(BUSCAR!$C$8="LICENCIA EXPIRA",$M111,""))))</f>
      </c>
      <c r="AG111" s="42">
        <f>IF($B111&amp;$C111&amp;$D111&amp;$E111&amp;$H111="",0,IF(AND(OR(BUSCAR!$J$5="",ISNUMBER(SEARCH(BUSCAR!$J$5,$AI111))),OR(BUSCAR!$J$6="",ISNUMBER(SEARCH(BUSCAR!$J$6,$AI111))),OR(BUSCAR!$J$8="",ISNUMBER(SEARCH(BUSCAR!$J$8,$AI111))),OR(BUSCAR!$J$9="",ISNUMBER(SEARCH(BUSCAR!$J$9,$AI111))),OR(NOT(BUSCAR!$J$2),AND(ISNUMBER($AF111),$AF111&gt;=BUSCAR!$J$3,$AF111&lt;=BUSCAR!$J$4))),1,0))</f>
      </c>
      <c r="AH111" s="42">
        <f t="shared" si="3"/>
      </c>
      <c r="AI111" s="42">
        <f t="shared" si="4"/>
      </c>
    </row>
    <row r="112" spans="1:35" x14ac:dyDescent="0.2">
      <c r="A112" s="66">
        <f t="shared" si="5"/>
      </c>
      <c r="B112" s="4"/>
      <c r="C112" s="4"/>
      <c r="D112" s="4"/>
      <c r="E112" s="4"/>
      <c r="F112" s="32"/>
      <c r="G112" s="8"/>
      <c r="H112" s="9"/>
      <c r="I112" s="8"/>
      <c r="J112" s="10"/>
      <c r="K112" s="8"/>
      <c r="L112" s="8"/>
      <c r="M112" s="8"/>
      <c r="N112" s="11"/>
      <c r="O112" s="9"/>
      <c r="P112" s="12"/>
      <c r="Q112" s="9"/>
      <c r="R112" s="13"/>
      <c r="S112" s="11"/>
      <c r="T112" s="11"/>
      <c r="U112" s="9"/>
      <c r="V112" s="9"/>
      <c r="W112" s="9"/>
      <c r="X112" s="16"/>
      <c r="AF112" s="42">
        <f>IF(BUSCAR!$C$8="FECHA NAC.",$G112,IF(BUSCAR!$C$8="PASAPORTE EXPIRA",$J112,IF(BUSCAR!$C$8="LICENCIA EMISION",$L112,IF(BUSCAR!$C$8="LICENCIA EXPIRA",$M112,""))))</f>
      </c>
      <c r="AG112" s="42">
        <f>IF($B112&amp;$C112&amp;$D112&amp;$E112&amp;$H112="",0,IF(AND(OR(BUSCAR!$J$5="",ISNUMBER(SEARCH(BUSCAR!$J$5,$AI112))),OR(BUSCAR!$J$6="",ISNUMBER(SEARCH(BUSCAR!$J$6,$AI112))),OR(BUSCAR!$J$8="",ISNUMBER(SEARCH(BUSCAR!$J$8,$AI112))),OR(BUSCAR!$J$9="",ISNUMBER(SEARCH(BUSCAR!$J$9,$AI112))),OR(NOT(BUSCAR!$J$2),AND(ISNUMBER($AF112),$AF112&gt;=BUSCAR!$J$3,$AF112&lt;=BUSCAR!$J$4))),1,0))</f>
      </c>
      <c r="AH112" s="42">
        <f t="shared" si="3"/>
      </c>
      <c r="AI112" s="42">
        <f t="shared" si="4"/>
      </c>
    </row>
    <row r="113" spans="1:35" x14ac:dyDescent="0.2">
      <c r="A113" s="66">
        <f t="shared" si="5"/>
      </c>
      <c r="B113" s="4"/>
      <c r="C113" s="4"/>
      <c r="D113" s="4"/>
      <c r="E113" s="4"/>
      <c r="F113" s="32"/>
      <c r="G113" s="8"/>
      <c r="H113" s="9"/>
      <c r="I113" s="8"/>
      <c r="J113" s="10"/>
      <c r="K113" s="8"/>
      <c r="L113" s="8"/>
      <c r="M113" s="8"/>
      <c r="N113" s="11"/>
      <c r="O113" s="9"/>
      <c r="P113" s="12"/>
      <c r="Q113" s="9"/>
      <c r="R113" s="13"/>
      <c r="S113" s="11"/>
      <c r="T113" s="11"/>
      <c r="U113" s="9"/>
      <c r="V113" s="9"/>
      <c r="W113" s="9"/>
      <c r="X113" s="16"/>
      <c r="AF113" s="42">
        <f>IF(BUSCAR!$C$8="FECHA NAC.",$G113,IF(BUSCAR!$C$8="PASAPORTE EXPIRA",$J113,IF(BUSCAR!$C$8="LICENCIA EMISION",$L113,IF(BUSCAR!$C$8="LICENCIA EXPIRA",$M113,""))))</f>
      </c>
      <c r="AG113" s="42">
        <f>IF($B113&amp;$C113&amp;$D113&amp;$E113&amp;$H113="",0,IF(AND(OR(BUSCAR!$J$5="",ISNUMBER(SEARCH(BUSCAR!$J$5,$AI113))),OR(BUSCAR!$J$6="",ISNUMBER(SEARCH(BUSCAR!$J$6,$AI113))),OR(BUSCAR!$J$8="",ISNUMBER(SEARCH(BUSCAR!$J$8,$AI113))),OR(BUSCAR!$J$9="",ISNUMBER(SEARCH(BUSCAR!$J$9,$AI113))),OR(NOT(BUSCAR!$J$2),AND(ISNUMBER($AF113),$AF113&gt;=BUSCAR!$J$3,$AF113&lt;=BUSCAR!$J$4))),1,0))</f>
      </c>
      <c r="AH113" s="42">
        <f t="shared" si="3"/>
      </c>
      <c r="AI113" s="42">
        <f t="shared" si="4"/>
      </c>
    </row>
    <row r="114" spans="1:35" x14ac:dyDescent="0.2">
      <c r="A114" s="66">
        <f t="shared" si="5"/>
      </c>
      <c r="B114" s="4"/>
      <c r="C114" s="4"/>
      <c r="D114" s="4"/>
      <c r="E114" s="4"/>
      <c r="F114" s="32"/>
      <c r="G114" s="8"/>
      <c r="H114" s="27"/>
      <c r="I114" s="8"/>
      <c r="J114" s="10"/>
      <c r="K114" s="8"/>
      <c r="L114" s="8"/>
      <c r="M114" s="8"/>
      <c r="N114" s="11"/>
      <c r="O114" s="9"/>
      <c r="P114" s="12"/>
      <c r="Q114" s="9"/>
      <c r="R114" s="13"/>
      <c r="S114" s="11"/>
      <c r="T114" s="11"/>
      <c r="U114" s="9"/>
      <c r="V114" s="9"/>
      <c r="W114" s="9"/>
      <c r="X114" s="16"/>
      <c r="AF114" s="42">
        <f>IF(BUSCAR!$C$8="FECHA NAC.",$G114,IF(BUSCAR!$C$8="PASAPORTE EXPIRA",$J114,IF(BUSCAR!$C$8="LICENCIA EMISION",$L114,IF(BUSCAR!$C$8="LICENCIA EXPIRA",$M114,""))))</f>
      </c>
      <c r="AG114" s="42">
        <f>IF($B114&amp;$C114&amp;$D114&amp;$E114&amp;$H114="",0,IF(AND(OR(BUSCAR!$J$5="",ISNUMBER(SEARCH(BUSCAR!$J$5,$AI114))),OR(BUSCAR!$J$6="",ISNUMBER(SEARCH(BUSCAR!$J$6,$AI114))),OR(BUSCAR!$J$8="",ISNUMBER(SEARCH(BUSCAR!$J$8,$AI114))),OR(BUSCAR!$J$9="",ISNUMBER(SEARCH(BUSCAR!$J$9,$AI114))),OR(NOT(BUSCAR!$J$2),AND(ISNUMBER($AF114),$AF114&gt;=BUSCAR!$J$3,$AF114&lt;=BUSCAR!$J$4))),1,0))</f>
      </c>
      <c r="AH114" s="42">
        <f t="shared" si="3"/>
      </c>
      <c r="AI114" s="42">
        <f t="shared" si="4"/>
      </c>
    </row>
    <row r="115" spans="1:35" x14ac:dyDescent="0.2">
      <c r="A115" s="66">
        <f t="shared" si="5"/>
      </c>
      <c r="B115" s="4"/>
      <c r="C115" s="4"/>
      <c r="D115" s="4"/>
      <c r="E115" s="4"/>
      <c r="F115" s="32"/>
      <c r="G115" s="8"/>
      <c r="H115" s="9"/>
      <c r="I115" s="8"/>
      <c r="J115" s="10"/>
      <c r="K115" s="8"/>
      <c r="L115" s="8"/>
      <c r="M115" s="8"/>
      <c r="N115" s="11"/>
      <c r="O115" s="9"/>
      <c r="P115" s="12"/>
      <c r="Q115" s="9"/>
      <c r="R115" s="13"/>
      <c r="S115" s="11"/>
      <c r="T115" s="11"/>
      <c r="U115" s="9"/>
      <c r="V115" s="9"/>
      <c r="W115" s="9"/>
      <c r="X115" s="16"/>
      <c r="AF115" s="42">
        <f>IF(BUSCAR!$C$8="FECHA NAC.",$G115,IF(BUSCAR!$C$8="PASAPORTE EXPIRA",$J115,IF(BUSCAR!$C$8="LICENCIA EMISION",$L115,IF(BUSCAR!$C$8="LICENCIA EXPIRA",$M115,""))))</f>
      </c>
      <c r="AG115" s="42">
        <f>IF($B115&amp;$C115&amp;$D115&amp;$E115&amp;$H115="",0,IF(AND(OR(BUSCAR!$J$5="",ISNUMBER(SEARCH(BUSCAR!$J$5,$AI115))),OR(BUSCAR!$J$6="",ISNUMBER(SEARCH(BUSCAR!$J$6,$AI115))),OR(BUSCAR!$J$8="",ISNUMBER(SEARCH(BUSCAR!$J$8,$AI115))),OR(BUSCAR!$J$9="",ISNUMBER(SEARCH(BUSCAR!$J$9,$AI115))),OR(NOT(BUSCAR!$J$2),AND(ISNUMBER($AF115),$AF115&gt;=BUSCAR!$J$3,$AF115&lt;=BUSCAR!$J$4))),1,0))</f>
      </c>
      <c r="AH115" s="42">
        <f t="shared" si="3"/>
      </c>
      <c r="AI115" s="42">
        <f t="shared" si="4"/>
      </c>
    </row>
    <row r="116" spans="1:35" x14ac:dyDescent="0.2">
      <c r="A116" s="66">
        <f t="shared" si="5"/>
      </c>
      <c r="B116" s="4"/>
      <c r="C116" s="4"/>
      <c r="D116" s="4"/>
      <c r="E116" s="4"/>
      <c r="F116" s="32"/>
      <c r="G116" s="8"/>
      <c r="H116" s="9"/>
      <c r="I116" s="8"/>
      <c r="J116" s="10"/>
      <c r="K116" s="8"/>
      <c r="L116" s="8"/>
      <c r="M116" s="8"/>
      <c r="N116" s="11"/>
      <c r="O116" s="9"/>
      <c r="P116" s="12"/>
      <c r="Q116" s="9"/>
      <c r="R116" s="13"/>
      <c r="S116" s="11"/>
      <c r="T116" s="11"/>
      <c r="U116" s="9"/>
      <c r="V116" s="9"/>
      <c r="W116" s="9"/>
      <c r="X116" s="16"/>
      <c r="AF116" s="42">
        <f>IF(BUSCAR!$C$8="FECHA NAC.",$G116,IF(BUSCAR!$C$8="PASAPORTE EXPIRA",$J116,IF(BUSCAR!$C$8="LICENCIA EMISION",$L116,IF(BUSCAR!$C$8="LICENCIA EXPIRA",$M116,""))))</f>
      </c>
      <c r="AG116" s="42">
        <f>IF($B116&amp;$C116&amp;$D116&amp;$E116&amp;$H116="",0,IF(AND(OR(BUSCAR!$J$5="",ISNUMBER(SEARCH(BUSCAR!$J$5,$AI116))),OR(BUSCAR!$J$6="",ISNUMBER(SEARCH(BUSCAR!$J$6,$AI116))),OR(BUSCAR!$J$8="",ISNUMBER(SEARCH(BUSCAR!$J$8,$AI116))),OR(BUSCAR!$J$9="",ISNUMBER(SEARCH(BUSCAR!$J$9,$AI116))),OR(NOT(BUSCAR!$J$2),AND(ISNUMBER($AF116),$AF116&gt;=BUSCAR!$J$3,$AF116&lt;=BUSCAR!$J$4))),1,0))</f>
      </c>
      <c r="AH116" s="42">
        <f t="shared" si="3"/>
      </c>
      <c r="AI116" s="42">
        <f t="shared" si="4"/>
      </c>
    </row>
    <row r="117" spans="1:35" x14ac:dyDescent="0.2">
      <c r="A117" s="66">
        <f t="shared" si="5"/>
      </c>
      <c r="B117" s="4"/>
      <c r="C117" s="4"/>
      <c r="D117" s="4"/>
      <c r="E117" s="4"/>
      <c r="F117" s="32"/>
      <c r="G117" s="8"/>
      <c r="H117" s="9"/>
      <c r="I117" s="8"/>
      <c r="J117" s="10"/>
      <c r="K117" s="8"/>
      <c r="L117" s="8"/>
      <c r="M117" s="8"/>
      <c r="N117" s="11"/>
      <c r="O117" s="9"/>
      <c r="P117" s="12"/>
      <c r="Q117" s="9"/>
      <c r="R117" s="13"/>
      <c r="S117" s="11"/>
      <c r="T117" s="11"/>
      <c r="U117" s="9"/>
      <c r="V117" s="9"/>
      <c r="W117" s="9"/>
      <c r="X117" s="16"/>
      <c r="AF117" s="42">
        <f>IF(BUSCAR!$C$8="FECHA NAC.",$G117,IF(BUSCAR!$C$8="PASAPORTE EXPIRA",$J117,IF(BUSCAR!$C$8="LICENCIA EMISION",$L117,IF(BUSCAR!$C$8="LICENCIA EXPIRA",$M117,""))))</f>
      </c>
      <c r="AG117" s="42">
        <f>IF($B117&amp;$C117&amp;$D117&amp;$E117&amp;$H117="",0,IF(AND(OR(BUSCAR!$J$5="",ISNUMBER(SEARCH(BUSCAR!$J$5,$AI117))),OR(BUSCAR!$J$6="",ISNUMBER(SEARCH(BUSCAR!$J$6,$AI117))),OR(BUSCAR!$J$8="",ISNUMBER(SEARCH(BUSCAR!$J$8,$AI117))),OR(BUSCAR!$J$9="",ISNUMBER(SEARCH(BUSCAR!$J$9,$AI117))),OR(NOT(BUSCAR!$J$2),AND(ISNUMBER($AF117),$AF117&gt;=BUSCAR!$J$3,$AF117&lt;=BUSCAR!$J$4))),1,0))</f>
      </c>
      <c r="AH117" s="42">
        <f t="shared" si="3"/>
      </c>
      <c r="AI117" s="42">
        <f t="shared" si="4"/>
      </c>
    </row>
    <row r="118" spans="1:35" x14ac:dyDescent="0.2">
      <c r="A118" s="66">
        <f t="shared" si="5"/>
      </c>
      <c r="B118" s="4"/>
      <c r="C118" s="4"/>
      <c r="D118" s="4"/>
      <c r="E118" s="4"/>
      <c r="F118" s="32"/>
      <c r="G118" s="8"/>
      <c r="H118" s="9"/>
      <c r="I118" s="8"/>
      <c r="J118" s="10"/>
      <c r="K118" s="8"/>
      <c r="L118" s="8"/>
      <c r="M118" s="8"/>
      <c r="N118" s="11"/>
      <c r="O118" s="9"/>
      <c r="P118" s="12"/>
      <c r="Q118" s="9"/>
      <c r="R118" s="13"/>
      <c r="S118" s="11"/>
      <c r="T118" s="11"/>
      <c r="U118" s="9"/>
      <c r="V118" s="9"/>
      <c r="W118" s="9"/>
      <c r="X118" s="16"/>
      <c r="AF118" s="42">
        <f>IF(BUSCAR!$C$8="FECHA NAC.",$G118,IF(BUSCAR!$C$8="PASAPORTE EXPIRA",$J118,IF(BUSCAR!$C$8="LICENCIA EMISION",$L118,IF(BUSCAR!$C$8="LICENCIA EXPIRA",$M118,""))))</f>
      </c>
      <c r="AG118" s="42">
        <f>IF($B118&amp;$C118&amp;$D118&amp;$E118&amp;$H118="",0,IF(AND(OR(BUSCAR!$J$5="",ISNUMBER(SEARCH(BUSCAR!$J$5,$AI118))),OR(BUSCAR!$J$6="",ISNUMBER(SEARCH(BUSCAR!$J$6,$AI118))),OR(BUSCAR!$J$8="",ISNUMBER(SEARCH(BUSCAR!$J$8,$AI118))),OR(BUSCAR!$J$9="",ISNUMBER(SEARCH(BUSCAR!$J$9,$AI118))),OR(NOT(BUSCAR!$J$2),AND(ISNUMBER($AF118),$AF118&gt;=BUSCAR!$J$3,$AF118&lt;=BUSCAR!$J$4))),1,0))</f>
      </c>
      <c r="AH118" s="42">
        <f t="shared" si="3"/>
      </c>
      <c r="AI118" s="42">
        <f t="shared" si="4"/>
      </c>
    </row>
    <row r="119" spans="1:35" x14ac:dyDescent="0.2">
      <c r="A119" s="66">
        <f t="shared" si="5"/>
      </c>
      <c r="B119" s="4"/>
      <c r="C119" s="4"/>
      <c r="D119" s="4"/>
      <c r="E119" s="4"/>
      <c r="F119" s="32"/>
      <c r="G119" s="8"/>
      <c r="H119" s="9"/>
      <c r="I119" s="8"/>
      <c r="J119" s="10"/>
      <c r="K119" s="8"/>
      <c r="L119" s="8"/>
      <c r="M119" s="8"/>
      <c r="N119" s="11"/>
      <c r="O119" s="9"/>
      <c r="P119" s="12"/>
      <c r="Q119" s="9"/>
      <c r="R119" s="13"/>
      <c r="S119" s="11"/>
      <c r="T119" s="11"/>
      <c r="U119" s="9"/>
      <c r="V119" s="9"/>
      <c r="W119" s="9"/>
      <c r="X119" s="16"/>
      <c r="AF119" s="42">
        <f>IF(BUSCAR!$C$8="FECHA NAC.",$G119,IF(BUSCAR!$C$8="PASAPORTE EXPIRA",$J119,IF(BUSCAR!$C$8="LICENCIA EMISION",$L119,IF(BUSCAR!$C$8="LICENCIA EXPIRA",$M119,""))))</f>
      </c>
      <c r="AG119" s="42">
        <f>IF($B119&amp;$C119&amp;$D119&amp;$E119&amp;$H119="",0,IF(AND(OR(BUSCAR!$J$5="",ISNUMBER(SEARCH(BUSCAR!$J$5,$AI119))),OR(BUSCAR!$J$6="",ISNUMBER(SEARCH(BUSCAR!$J$6,$AI119))),OR(BUSCAR!$J$8="",ISNUMBER(SEARCH(BUSCAR!$J$8,$AI119))),OR(BUSCAR!$J$9="",ISNUMBER(SEARCH(BUSCAR!$J$9,$AI119))),OR(NOT(BUSCAR!$J$2),AND(ISNUMBER($AF119),$AF119&gt;=BUSCAR!$J$3,$AF119&lt;=BUSCAR!$J$4))),1,0))</f>
      </c>
      <c r="AH119" s="42">
        <f t="shared" si="3"/>
      </c>
      <c r="AI119" s="42">
        <f t="shared" si="4"/>
      </c>
    </row>
    <row r="120" spans="1:35" x14ac:dyDescent="0.2">
      <c r="A120" s="66">
        <f t="shared" si="5"/>
      </c>
      <c r="B120" s="4"/>
      <c r="C120" s="4"/>
      <c r="D120" s="4"/>
      <c r="E120" s="4"/>
      <c r="F120" s="32"/>
      <c r="G120" s="8"/>
      <c r="H120" s="9"/>
      <c r="I120" s="8"/>
      <c r="J120" s="10"/>
      <c r="K120" s="8"/>
      <c r="L120" s="8"/>
      <c r="M120" s="8"/>
      <c r="N120" s="11"/>
      <c r="O120" s="9"/>
      <c r="P120" s="12"/>
      <c r="Q120" s="9"/>
      <c r="R120" s="13"/>
      <c r="S120" s="11"/>
      <c r="T120" s="11"/>
      <c r="U120" s="9"/>
      <c r="V120" s="9"/>
      <c r="W120" s="9"/>
      <c r="X120" s="16"/>
      <c r="AF120" s="42">
        <f>IF(BUSCAR!$C$8="FECHA NAC.",$G120,IF(BUSCAR!$C$8="PASAPORTE EXPIRA",$J120,IF(BUSCAR!$C$8="LICENCIA EMISION",$L120,IF(BUSCAR!$C$8="LICENCIA EXPIRA",$M120,""))))</f>
      </c>
      <c r="AG120" s="42">
        <f>IF($B120&amp;$C120&amp;$D120&amp;$E120&amp;$H120="",0,IF(AND(OR(BUSCAR!$J$5="",ISNUMBER(SEARCH(BUSCAR!$J$5,$AI120))),OR(BUSCAR!$J$6="",ISNUMBER(SEARCH(BUSCAR!$J$6,$AI120))),OR(BUSCAR!$J$8="",ISNUMBER(SEARCH(BUSCAR!$J$8,$AI120))),OR(BUSCAR!$J$9="",ISNUMBER(SEARCH(BUSCAR!$J$9,$AI120))),OR(NOT(BUSCAR!$J$2),AND(ISNUMBER($AF120),$AF120&gt;=BUSCAR!$J$3,$AF120&lt;=BUSCAR!$J$4))),1,0))</f>
      </c>
      <c r="AH120" s="42">
        <f t="shared" si="3"/>
      </c>
      <c r="AI120" s="42">
        <f t="shared" si="4"/>
      </c>
    </row>
    <row r="121" spans="1:35" x14ac:dyDescent="0.2">
      <c r="A121" s="66">
        <f t="shared" si="5"/>
      </c>
      <c r="B121" s="4"/>
      <c r="C121" s="4"/>
      <c r="D121" s="4"/>
      <c r="E121" s="4"/>
      <c r="F121" s="32"/>
      <c r="G121" s="8"/>
      <c r="H121" s="9"/>
      <c r="I121" s="8"/>
      <c r="J121" s="10"/>
      <c r="K121" s="8"/>
      <c r="L121" s="8"/>
      <c r="M121" s="8"/>
      <c r="N121" s="11"/>
      <c r="O121" s="9"/>
      <c r="P121" s="12"/>
      <c r="Q121" s="9"/>
      <c r="R121" s="13"/>
      <c r="S121" s="11"/>
      <c r="T121" s="11"/>
      <c r="U121" s="9"/>
      <c r="V121" s="9"/>
      <c r="W121" s="9"/>
      <c r="X121" s="16"/>
      <c r="AF121" s="42">
        <f>IF(BUSCAR!$C$8="FECHA NAC.",$G121,IF(BUSCAR!$C$8="PASAPORTE EXPIRA",$J121,IF(BUSCAR!$C$8="LICENCIA EMISION",$L121,IF(BUSCAR!$C$8="LICENCIA EXPIRA",$M121,""))))</f>
      </c>
      <c r="AG121" s="42">
        <f>IF($B121&amp;$C121&amp;$D121&amp;$E121&amp;$H121="",0,IF(AND(OR(BUSCAR!$J$5="",ISNUMBER(SEARCH(BUSCAR!$J$5,$AI121))),OR(BUSCAR!$J$6="",ISNUMBER(SEARCH(BUSCAR!$J$6,$AI121))),OR(BUSCAR!$J$8="",ISNUMBER(SEARCH(BUSCAR!$J$8,$AI121))),OR(BUSCAR!$J$9="",ISNUMBER(SEARCH(BUSCAR!$J$9,$AI121))),OR(NOT(BUSCAR!$J$2),AND(ISNUMBER($AF121),$AF121&gt;=BUSCAR!$J$3,$AF121&lt;=BUSCAR!$J$4))),1,0))</f>
      </c>
      <c r="AH121" s="42">
        <f t="shared" si="3"/>
      </c>
      <c r="AI121" s="42">
        <f t="shared" si="4"/>
      </c>
    </row>
    <row r="122" spans="1:35" x14ac:dyDescent="0.2">
      <c r="A122" s="66">
        <f t="shared" si="5"/>
      </c>
      <c r="B122" s="4"/>
      <c r="C122" s="4"/>
      <c r="D122" s="4"/>
      <c r="E122" s="4"/>
      <c r="F122" s="32"/>
      <c r="G122" s="8"/>
      <c r="H122" s="9"/>
      <c r="I122" s="8"/>
      <c r="J122" s="10"/>
      <c r="K122" s="8"/>
      <c r="L122" s="8"/>
      <c r="M122" s="8"/>
      <c r="N122" s="11"/>
      <c r="O122" s="9"/>
      <c r="P122" s="12"/>
      <c r="Q122" s="9"/>
      <c r="R122" s="13"/>
      <c r="S122" s="11"/>
      <c r="T122" s="11"/>
      <c r="U122" s="9"/>
      <c r="V122" s="9"/>
      <c r="W122" s="9"/>
      <c r="X122" s="16"/>
      <c r="AF122" s="42">
        <f>IF(BUSCAR!$C$8="FECHA NAC.",$G122,IF(BUSCAR!$C$8="PASAPORTE EXPIRA",$J122,IF(BUSCAR!$C$8="LICENCIA EMISION",$L122,IF(BUSCAR!$C$8="LICENCIA EXPIRA",$M122,""))))</f>
      </c>
      <c r="AG122" s="42">
        <f>IF($B122&amp;$C122&amp;$D122&amp;$E122&amp;$H122="",0,IF(AND(OR(BUSCAR!$J$5="",ISNUMBER(SEARCH(BUSCAR!$J$5,$AI122))),OR(BUSCAR!$J$6="",ISNUMBER(SEARCH(BUSCAR!$J$6,$AI122))),OR(BUSCAR!$J$8="",ISNUMBER(SEARCH(BUSCAR!$J$8,$AI122))),OR(BUSCAR!$J$9="",ISNUMBER(SEARCH(BUSCAR!$J$9,$AI122))),OR(NOT(BUSCAR!$J$2),AND(ISNUMBER($AF122),$AF122&gt;=BUSCAR!$J$3,$AF122&lt;=BUSCAR!$J$4))),1,0))</f>
      </c>
      <c r="AH122" s="42">
        <f t="shared" si="3"/>
      </c>
      <c r="AI122" s="42">
        <f t="shared" si="4"/>
      </c>
    </row>
    <row r="123" spans="1:35" x14ac:dyDescent="0.2">
      <c r="A123" s="66">
        <f t="shared" si="5"/>
      </c>
      <c r="B123" s="4"/>
      <c r="C123" s="4"/>
      <c r="D123" s="4"/>
      <c r="E123" s="4"/>
      <c r="F123" s="32"/>
      <c r="G123" s="8"/>
      <c r="H123" s="9"/>
      <c r="I123" s="8"/>
      <c r="J123" s="10"/>
      <c r="K123" s="8"/>
      <c r="L123" s="8"/>
      <c r="M123" s="8"/>
      <c r="N123" s="11"/>
      <c r="O123" s="9"/>
      <c r="P123" s="12"/>
      <c r="Q123" s="9"/>
      <c r="R123" s="13"/>
      <c r="S123" s="11"/>
      <c r="T123" s="11"/>
      <c r="U123" s="9"/>
      <c r="V123" s="9"/>
      <c r="W123" s="9"/>
      <c r="X123" s="16"/>
      <c r="AF123" s="42">
        <f>IF(BUSCAR!$C$8="FECHA NAC.",$G123,IF(BUSCAR!$C$8="PASAPORTE EXPIRA",$J123,IF(BUSCAR!$C$8="LICENCIA EMISION",$L123,IF(BUSCAR!$C$8="LICENCIA EXPIRA",$M123,""))))</f>
      </c>
      <c r="AG123" s="42">
        <f>IF($B123&amp;$C123&amp;$D123&amp;$E123&amp;$H123="",0,IF(AND(OR(BUSCAR!$J$5="",ISNUMBER(SEARCH(BUSCAR!$J$5,$AI123))),OR(BUSCAR!$J$6="",ISNUMBER(SEARCH(BUSCAR!$J$6,$AI123))),OR(BUSCAR!$J$8="",ISNUMBER(SEARCH(BUSCAR!$J$8,$AI123))),OR(BUSCAR!$J$9="",ISNUMBER(SEARCH(BUSCAR!$J$9,$AI123))),OR(NOT(BUSCAR!$J$2),AND(ISNUMBER($AF123),$AF123&gt;=BUSCAR!$J$3,$AF123&lt;=BUSCAR!$J$4))),1,0))</f>
      </c>
      <c r="AH123" s="42">
        <f t="shared" si="3"/>
      </c>
      <c r="AI123" s="42">
        <f t="shared" si="4"/>
      </c>
    </row>
    <row r="124" spans="1:35" x14ac:dyDescent="0.2">
      <c r="A124" s="66">
        <f t="shared" si="5"/>
      </c>
      <c r="B124" s="4"/>
      <c r="C124" s="4"/>
      <c r="D124" s="4"/>
      <c r="E124" s="4"/>
      <c r="F124" s="32"/>
      <c r="G124" s="8"/>
      <c r="H124" s="9"/>
      <c r="I124" s="8"/>
      <c r="J124" s="10"/>
      <c r="K124" s="8"/>
      <c r="L124" s="8"/>
      <c r="M124" s="8"/>
      <c r="N124" s="11"/>
      <c r="O124" s="9"/>
      <c r="P124" s="12"/>
      <c r="Q124" s="9"/>
      <c r="R124" s="13"/>
      <c r="S124" s="11"/>
      <c r="T124" s="11"/>
      <c r="U124" s="9"/>
      <c r="V124" s="9"/>
      <c r="W124" s="9"/>
      <c r="X124" s="16"/>
      <c r="AF124" s="42">
        <f>IF(BUSCAR!$C$8="FECHA NAC.",$G124,IF(BUSCAR!$C$8="PASAPORTE EXPIRA",$J124,IF(BUSCAR!$C$8="LICENCIA EMISION",$L124,IF(BUSCAR!$C$8="LICENCIA EXPIRA",$M124,""))))</f>
      </c>
      <c r="AG124" s="42">
        <f>IF($B124&amp;$C124&amp;$D124&amp;$E124&amp;$H124="",0,IF(AND(OR(BUSCAR!$J$5="",ISNUMBER(SEARCH(BUSCAR!$J$5,$AI124))),OR(BUSCAR!$J$6="",ISNUMBER(SEARCH(BUSCAR!$J$6,$AI124))),OR(BUSCAR!$J$8="",ISNUMBER(SEARCH(BUSCAR!$J$8,$AI124))),OR(BUSCAR!$J$9="",ISNUMBER(SEARCH(BUSCAR!$J$9,$AI124))),OR(NOT(BUSCAR!$J$2),AND(ISNUMBER($AF124),$AF124&gt;=BUSCAR!$J$3,$AF124&lt;=BUSCAR!$J$4))),1,0))</f>
      </c>
      <c r="AH124" s="42">
        <f t="shared" si="3"/>
      </c>
      <c r="AI124" s="42">
        <f t="shared" si="4"/>
      </c>
    </row>
    <row r="125" spans="1:35" x14ac:dyDescent="0.2">
      <c r="A125" s="66">
        <f t="shared" si="5"/>
      </c>
      <c r="B125" s="4"/>
      <c r="C125" s="4"/>
      <c r="D125" s="4"/>
      <c r="E125" s="4"/>
      <c r="F125" s="32"/>
      <c r="G125" s="8"/>
      <c r="H125" s="9"/>
      <c r="I125" s="8"/>
      <c r="J125" s="10"/>
      <c r="K125" s="8"/>
      <c r="L125" s="8"/>
      <c r="M125" s="8"/>
      <c r="N125" s="11"/>
      <c r="O125" s="9"/>
      <c r="P125" s="12"/>
      <c r="Q125" s="9"/>
      <c r="R125" s="13"/>
      <c r="S125" s="11"/>
      <c r="T125" s="11"/>
      <c r="U125" s="9"/>
      <c r="V125" s="9"/>
      <c r="W125" s="9"/>
      <c r="X125" s="16"/>
      <c r="AF125" s="42">
        <f>IF(BUSCAR!$C$8="FECHA NAC.",$G125,IF(BUSCAR!$C$8="PASAPORTE EXPIRA",$J125,IF(BUSCAR!$C$8="LICENCIA EMISION",$L125,IF(BUSCAR!$C$8="LICENCIA EXPIRA",$M125,""))))</f>
      </c>
      <c r="AG125" s="42">
        <f>IF($B125&amp;$C125&amp;$D125&amp;$E125&amp;$H125="",0,IF(AND(OR(BUSCAR!$J$5="",ISNUMBER(SEARCH(BUSCAR!$J$5,$AI125))),OR(BUSCAR!$J$6="",ISNUMBER(SEARCH(BUSCAR!$J$6,$AI125))),OR(BUSCAR!$J$8="",ISNUMBER(SEARCH(BUSCAR!$J$8,$AI125))),OR(BUSCAR!$J$9="",ISNUMBER(SEARCH(BUSCAR!$J$9,$AI125))),OR(NOT(BUSCAR!$J$2),AND(ISNUMBER($AF125),$AF125&gt;=BUSCAR!$J$3,$AF125&lt;=BUSCAR!$J$4))),1,0))</f>
      </c>
      <c r="AH125" s="42">
        <f t="shared" si="3"/>
      </c>
      <c r="AI125" s="42">
        <f t="shared" si="4"/>
      </c>
    </row>
    <row r="126" spans="1:35" x14ac:dyDescent="0.2">
      <c r="A126" s="66">
        <f t="shared" si="5"/>
      </c>
      <c r="B126" s="4"/>
      <c r="C126" s="4"/>
      <c r="D126" s="4"/>
      <c r="E126" s="4"/>
      <c r="F126" s="32"/>
      <c r="G126" s="8"/>
      <c r="H126" s="9"/>
      <c r="I126" s="8"/>
      <c r="J126" s="10"/>
      <c r="K126" s="8"/>
      <c r="L126" s="8"/>
      <c r="M126" s="8"/>
      <c r="N126" s="11"/>
      <c r="O126" s="9"/>
      <c r="P126" s="12"/>
      <c r="Q126" s="9"/>
      <c r="R126" s="13"/>
      <c r="S126" s="11"/>
      <c r="T126" s="11"/>
      <c r="U126" s="9"/>
      <c r="V126" s="9"/>
      <c r="W126" s="9"/>
      <c r="X126" s="16"/>
      <c r="AF126" s="42">
        <f>IF(BUSCAR!$C$8="FECHA NAC.",$G126,IF(BUSCAR!$C$8="PASAPORTE EXPIRA",$J126,IF(BUSCAR!$C$8="LICENCIA EMISION",$L126,IF(BUSCAR!$C$8="LICENCIA EXPIRA",$M126,""))))</f>
      </c>
      <c r="AG126" s="42">
        <f>IF($B126&amp;$C126&amp;$D126&amp;$E126&amp;$H126="",0,IF(AND(OR(BUSCAR!$J$5="",ISNUMBER(SEARCH(BUSCAR!$J$5,$AI126))),OR(BUSCAR!$J$6="",ISNUMBER(SEARCH(BUSCAR!$J$6,$AI126))),OR(BUSCAR!$J$8="",ISNUMBER(SEARCH(BUSCAR!$J$8,$AI126))),OR(BUSCAR!$J$9="",ISNUMBER(SEARCH(BUSCAR!$J$9,$AI126))),OR(NOT(BUSCAR!$J$2),AND(ISNUMBER($AF126),$AF126&gt;=BUSCAR!$J$3,$AF126&lt;=BUSCAR!$J$4))),1,0))</f>
      </c>
      <c r="AH126" s="42">
        <f t="shared" si="3"/>
      </c>
      <c r="AI126" s="42">
        <f t="shared" si="4"/>
      </c>
    </row>
    <row r="127" spans="1:35" x14ac:dyDescent="0.2">
      <c r="A127" s="66">
        <f t="shared" si="5"/>
      </c>
      <c r="B127" s="4"/>
      <c r="C127" s="4"/>
      <c r="D127" s="4"/>
      <c r="E127" s="4"/>
      <c r="F127" s="32"/>
      <c r="G127" s="8"/>
      <c r="H127" s="9"/>
      <c r="I127" s="8"/>
      <c r="J127" s="10"/>
      <c r="K127" s="8"/>
      <c r="L127" s="8"/>
      <c r="M127" s="8"/>
      <c r="N127" s="11"/>
      <c r="O127" s="9"/>
      <c r="P127" s="12"/>
      <c r="Q127" s="9"/>
      <c r="R127" s="13"/>
      <c r="S127" s="11"/>
      <c r="T127" s="11"/>
      <c r="U127" s="9"/>
      <c r="V127" s="9"/>
      <c r="W127" s="9"/>
      <c r="X127" s="16"/>
      <c r="AF127" s="42">
        <f>IF(BUSCAR!$C$8="FECHA NAC.",$G127,IF(BUSCAR!$C$8="PASAPORTE EXPIRA",$J127,IF(BUSCAR!$C$8="LICENCIA EMISION",$L127,IF(BUSCAR!$C$8="LICENCIA EXPIRA",$M127,""))))</f>
      </c>
      <c r="AG127" s="42">
        <f>IF($B127&amp;$C127&amp;$D127&amp;$E127&amp;$H127="",0,IF(AND(OR(BUSCAR!$J$5="",ISNUMBER(SEARCH(BUSCAR!$J$5,$AI127))),OR(BUSCAR!$J$6="",ISNUMBER(SEARCH(BUSCAR!$J$6,$AI127))),OR(BUSCAR!$J$8="",ISNUMBER(SEARCH(BUSCAR!$J$8,$AI127))),OR(BUSCAR!$J$9="",ISNUMBER(SEARCH(BUSCAR!$J$9,$AI127))),OR(NOT(BUSCAR!$J$2),AND(ISNUMBER($AF127),$AF127&gt;=BUSCAR!$J$3,$AF127&lt;=BUSCAR!$J$4))),1,0))</f>
      </c>
      <c r="AH127" s="42">
        <f t="shared" si="3"/>
      </c>
      <c r="AI127" s="42">
        <f t="shared" si="4"/>
      </c>
    </row>
    <row r="128" spans="1:35" x14ac:dyDescent="0.2">
      <c r="A128" s="66">
        <f t="shared" si="5"/>
      </c>
      <c r="B128" s="4"/>
      <c r="C128" s="4"/>
      <c r="D128" s="4"/>
      <c r="E128" s="4"/>
      <c r="F128" s="32"/>
      <c r="G128" s="8"/>
      <c r="H128" s="9"/>
      <c r="I128" s="8"/>
      <c r="J128" s="10"/>
      <c r="K128" s="8"/>
      <c r="L128" s="8"/>
      <c r="M128" s="8"/>
      <c r="N128" s="11"/>
      <c r="O128" s="9"/>
      <c r="P128" s="12"/>
      <c r="Q128" s="9"/>
      <c r="R128" s="13"/>
      <c r="S128" s="11"/>
      <c r="T128" s="11"/>
      <c r="U128" s="9"/>
      <c r="V128" s="9"/>
      <c r="W128" s="9"/>
      <c r="X128" s="16"/>
      <c r="AF128" s="42">
        <f>IF(BUSCAR!$C$8="FECHA NAC.",$G128,IF(BUSCAR!$C$8="PASAPORTE EXPIRA",$J128,IF(BUSCAR!$C$8="LICENCIA EMISION",$L128,IF(BUSCAR!$C$8="LICENCIA EXPIRA",$M128,""))))</f>
      </c>
      <c r="AG128" s="42">
        <f>IF($B128&amp;$C128&amp;$D128&amp;$E128&amp;$H128="",0,IF(AND(OR(BUSCAR!$J$5="",ISNUMBER(SEARCH(BUSCAR!$J$5,$AI128))),OR(BUSCAR!$J$6="",ISNUMBER(SEARCH(BUSCAR!$J$6,$AI128))),OR(BUSCAR!$J$8="",ISNUMBER(SEARCH(BUSCAR!$J$8,$AI128))),OR(BUSCAR!$J$9="",ISNUMBER(SEARCH(BUSCAR!$J$9,$AI128))),OR(NOT(BUSCAR!$J$2),AND(ISNUMBER($AF128),$AF128&gt;=BUSCAR!$J$3,$AF128&lt;=BUSCAR!$J$4))),1,0))</f>
      </c>
      <c r="AH128" s="42">
        <f t="shared" si="3"/>
      </c>
      <c r="AI128" s="42">
        <f t="shared" si="4"/>
      </c>
    </row>
    <row r="129" spans="1:35" x14ac:dyDescent="0.2">
      <c r="A129" s="66">
        <f t="shared" si="5"/>
      </c>
      <c r="B129" s="4"/>
      <c r="C129" s="4"/>
      <c r="D129" s="4"/>
      <c r="E129" s="4"/>
      <c r="F129" s="32"/>
      <c r="G129" s="8"/>
      <c r="H129" s="9"/>
      <c r="I129" s="8"/>
      <c r="J129" s="10"/>
      <c r="K129" s="8"/>
      <c r="L129" s="8"/>
      <c r="M129" s="8"/>
      <c r="N129" s="11"/>
      <c r="O129" s="9"/>
      <c r="P129" s="12"/>
      <c r="Q129" s="9"/>
      <c r="R129" s="13"/>
      <c r="S129" s="11"/>
      <c r="T129" s="11"/>
      <c r="U129" s="9"/>
      <c r="V129" s="9"/>
      <c r="W129" s="9"/>
      <c r="X129" s="16"/>
      <c r="AF129" s="42">
        <f>IF(BUSCAR!$C$8="FECHA NAC.",$G129,IF(BUSCAR!$C$8="PASAPORTE EXPIRA",$J129,IF(BUSCAR!$C$8="LICENCIA EMISION",$L129,IF(BUSCAR!$C$8="LICENCIA EXPIRA",$M129,""))))</f>
      </c>
      <c r="AG129" s="42">
        <f>IF($B129&amp;$C129&amp;$D129&amp;$E129&amp;$H129="",0,IF(AND(OR(BUSCAR!$J$5="",ISNUMBER(SEARCH(BUSCAR!$J$5,$AI129))),OR(BUSCAR!$J$6="",ISNUMBER(SEARCH(BUSCAR!$J$6,$AI129))),OR(BUSCAR!$J$8="",ISNUMBER(SEARCH(BUSCAR!$J$8,$AI129))),OR(BUSCAR!$J$9="",ISNUMBER(SEARCH(BUSCAR!$J$9,$AI129))),OR(NOT(BUSCAR!$J$2),AND(ISNUMBER($AF129),$AF129&gt;=BUSCAR!$J$3,$AF129&lt;=BUSCAR!$J$4))),1,0))</f>
      </c>
      <c r="AH129" s="42">
        <f t="shared" si="3"/>
      </c>
      <c r="AI129" s="42">
        <f t="shared" si="4"/>
      </c>
    </row>
    <row r="130" spans="1:35" x14ac:dyDescent="0.2">
      <c r="A130" s="66">
        <f t="shared" si="5"/>
      </c>
      <c r="B130" s="4"/>
      <c r="C130" s="4"/>
      <c r="D130" s="4"/>
      <c r="E130" s="4"/>
      <c r="F130" s="32"/>
      <c r="G130" s="8"/>
      <c r="H130" s="9"/>
      <c r="I130" s="8"/>
      <c r="J130" s="10"/>
      <c r="K130" s="8"/>
      <c r="L130" s="8"/>
      <c r="M130" s="8"/>
      <c r="N130" s="11"/>
      <c r="O130" s="9"/>
      <c r="P130" s="12"/>
      <c r="Q130" s="9"/>
      <c r="R130" s="13"/>
      <c r="S130" s="11"/>
      <c r="T130" s="11"/>
      <c r="U130" s="9"/>
      <c r="V130" s="9"/>
      <c r="W130" s="9"/>
      <c r="X130" s="16"/>
      <c r="AF130" s="42">
        <f>IF(BUSCAR!$C$8="FECHA NAC.",$G130,IF(BUSCAR!$C$8="PASAPORTE EXPIRA",$J130,IF(BUSCAR!$C$8="LICENCIA EMISION",$L130,IF(BUSCAR!$C$8="LICENCIA EXPIRA",$M130,""))))</f>
      </c>
      <c r="AG130" s="42">
        <f>IF($B130&amp;$C130&amp;$D130&amp;$E130&amp;$H130="",0,IF(AND(OR(BUSCAR!$J$5="",ISNUMBER(SEARCH(BUSCAR!$J$5,$AI130))),OR(BUSCAR!$J$6="",ISNUMBER(SEARCH(BUSCAR!$J$6,$AI130))),OR(BUSCAR!$J$8="",ISNUMBER(SEARCH(BUSCAR!$J$8,$AI130))),OR(BUSCAR!$J$9="",ISNUMBER(SEARCH(BUSCAR!$J$9,$AI130))),OR(NOT(BUSCAR!$J$2),AND(ISNUMBER($AF130),$AF130&gt;=BUSCAR!$J$3,$AF130&lt;=BUSCAR!$J$4))),1,0))</f>
      </c>
      <c r="AH130" s="42">
        <f t="shared" si="3"/>
      </c>
      <c r="AI130" s="42">
        <f t="shared" si="4"/>
      </c>
    </row>
    <row r="131" spans="1:35" x14ac:dyDescent="0.2">
      <c r="A131" s="66">
        <f t="shared" si="5"/>
      </c>
      <c r="B131" s="4"/>
      <c r="C131" s="4"/>
      <c r="D131" s="4"/>
      <c r="E131" s="4"/>
      <c r="F131" s="32"/>
      <c r="G131" s="8"/>
      <c r="H131" s="9"/>
      <c r="I131" s="8"/>
      <c r="J131" s="10"/>
      <c r="K131" s="8"/>
      <c r="L131" s="8"/>
      <c r="M131" s="8"/>
      <c r="N131" s="11"/>
      <c r="O131" s="9"/>
      <c r="P131" s="12"/>
      <c r="Q131" s="9"/>
      <c r="R131" s="13"/>
      <c r="S131" s="11"/>
      <c r="T131" s="11"/>
      <c r="U131" s="9"/>
      <c r="V131" s="9"/>
      <c r="W131" s="9"/>
      <c r="X131" s="16"/>
      <c r="AF131" s="42">
        <f>IF(BUSCAR!$C$8="FECHA NAC.",$G131,IF(BUSCAR!$C$8="PASAPORTE EXPIRA",$J131,IF(BUSCAR!$C$8="LICENCIA EMISION",$L131,IF(BUSCAR!$C$8="LICENCIA EXPIRA",$M131,""))))</f>
      </c>
      <c r="AG131" s="42">
        <f>IF($B131&amp;$C131&amp;$D131&amp;$E131&amp;$H131="",0,IF(AND(OR(BUSCAR!$J$5="",ISNUMBER(SEARCH(BUSCAR!$J$5,$AI131))),OR(BUSCAR!$J$6="",ISNUMBER(SEARCH(BUSCAR!$J$6,$AI131))),OR(BUSCAR!$J$8="",ISNUMBER(SEARCH(BUSCAR!$J$8,$AI131))),OR(BUSCAR!$J$9="",ISNUMBER(SEARCH(BUSCAR!$J$9,$AI131))),OR(NOT(BUSCAR!$J$2),AND(ISNUMBER($AF131),$AF131&gt;=BUSCAR!$J$3,$AF131&lt;=BUSCAR!$J$4))),1,0))</f>
      </c>
      <c r="AH131" s="42">
        <f t="shared" ref="AH131:AH194" si="6">AH130+AG131</f>
      </c>
      <c r="AI131" s="42">
        <f t="shared" ref="AI131:AI194" si="7">IF($B131&amp;" "&amp;$C131&amp;" "&amp;$D131&amp;" "&amp;$E131&amp;" "&amp;$H131&amp;" "&amp;$K131&amp;" "&amp;$R131&amp;" "&amp;$AC131&amp;" "&amp;$AD131="","",SUBSTITUTE(SUBSTITUTE(SUBSTITUTE(SUBSTITUTE(SUBSTITUTE(SUBSTITUTE(SUBSTITUTE(UPPER($B131&amp;" "&amp;$C131&amp;" "&amp;$D131&amp;" "&amp;$E131&amp;" "&amp;$H131&amp;" "&amp;$K131&amp;" "&amp;$R131&amp;" "&amp;$AC131&amp;" "&amp;$AD131),"Á","A"),"É","E"),"Í","I"),"Ó","O"),"Ú","U"),"Ü","U"),"Ñ","N"))</f>
      </c>
    </row>
    <row r="132" spans="1:35" x14ac:dyDescent="0.2">
      <c r="A132" s="66">
        <f t="shared" ref="A132:A195" si="8">A131+1</f>
      </c>
      <c r="B132" s="4"/>
      <c r="C132" s="4"/>
      <c r="D132" s="4"/>
      <c r="E132" s="4"/>
      <c r="F132" s="32"/>
      <c r="G132" s="8"/>
      <c r="H132" s="9"/>
      <c r="I132" s="8"/>
      <c r="J132" s="10"/>
      <c r="K132" s="8"/>
      <c r="L132" s="8"/>
      <c r="M132" s="8"/>
      <c r="N132" s="11"/>
      <c r="O132" s="9"/>
      <c r="P132" s="12"/>
      <c r="Q132" s="9"/>
      <c r="R132" s="13"/>
      <c r="S132" s="11"/>
      <c r="T132" s="11"/>
      <c r="U132" s="9"/>
      <c r="V132" s="9"/>
      <c r="W132" s="9"/>
      <c r="X132" s="16"/>
      <c r="AF132" s="42">
        <f>IF(BUSCAR!$C$8="FECHA NAC.",$G132,IF(BUSCAR!$C$8="PASAPORTE EXPIRA",$J132,IF(BUSCAR!$C$8="LICENCIA EMISION",$L132,IF(BUSCAR!$C$8="LICENCIA EXPIRA",$M132,""))))</f>
      </c>
      <c r="AG132" s="42">
        <f>IF($B132&amp;$C132&amp;$D132&amp;$E132&amp;$H132="",0,IF(AND(OR(BUSCAR!$J$5="",ISNUMBER(SEARCH(BUSCAR!$J$5,$AI132))),OR(BUSCAR!$J$6="",ISNUMBER(SEARCH(BUSCAR!$J$6,$AI132))),OR(BUSCAR!$J$8="",ISNUMBER(SEARCH(BUSCAR!$J$8,$AI132))),OR(BUSCAR!$J$9="",ISNUMBER(SEARCH(BUSCAR!$J$9,$AI132))),OR(NOT(BUSCAR!$J$2),AND(ISNUMBER($AF132),$AF132&gt;=BUSCAR!$J$3,$AF132&lt;=BUSCAR!$J$4))),1,0))</f>
      </c>
      <c r="AH132" s="42">
        <f t="shared" si="6"/>
      </c>
      <c r="AI132" s="42">
        <f t="shared" si="7"/>
      </c>
    </row>
    <row r="133" spans="1:35" x14ac:dyDescent="0.2">
      <c r="A133" s="66">
        <f t="shared" si="8"/>
      </c>
      <c r="B133" s="4"/>
      <c r="C133" s="4"/>
      <c r="D133" s="4"/>
      <c r="E133" s="4"/>
      <c r="F133" s="32"/>
      <c r="G133" s="8"/>
      <c r="H133" s="9"/>
      <c r="I133" s="8"/>
      <c r="J133" s="10"/>
      <c r="K133" s="8"/>
      <c r="L133" s="8"/>
      <c r="M133" s="8"/>
      <c r="N133" s="11"/>
      <c r="O133" s="9"/>
      <c r="P133" s="12"/>
      <c r="Q133" s="9"/>
      <c r="R133" s="13"/>
      <c r="S133" s="11"/>
      <c r="T133" s="11"/>
      <c r="U133" s="9"/>
      <c r="V133" s="9"/>
      <c r="W133" s="9"/>
      <c r="X133" s="16"/>
      <c r="AF133" s="42">
        <f>IF(BUSCAR!$C$8="FECHA NAC.",$G133,IF(BUSCAR!$C$8="PASAPORTE EXPIRA",$J133,IF(BUSCAR!$C$8="LICENCIA EMISION",$L133,IF(BUSCAR!$C$8="LICENCIA EXPIRA",$M133,""))))</f>
      </c>
      <c r="AG133" s="42">
        <f>IF($B133&amp;$C133&amp;$D133&amp;$E133&amp;$H133="",0,IF(AND(OR(BUSCAR!$J$5="",ISNUMBER(SEARCH(BUSCAR!$J$5,$AI133))),OR(BUSCAR!$J$6="",ISNUMBER(SEARCH(BUSCAR!$J$6,$AI133))),OR(BUSCAR!$J$8="",ISNUMBER(SEARCH(BUSCAR!$J$8,$AI133))),OR(BUSCAR!$J$9="",ISNUMBER(SEARCH(BUSCAR!$J$9,$AI133))),OR(NOT(BUSCAR!$J$2),AND(ISNUMBER($AF133),$AF133&gt;=BUSCAR!$J$3,$AF133&lt;=BUSCAR!$J$4))),1,0))</f>
      </c>
      <c r="AH133" s="42">
        <f t="shared" si="6"/>
      </c>
      <c r="AI133" s="42">
        <f t="shared" si="7"/>
      </c>
    </row>
    <row r="134" spans="1:35" x14ac:dyDescent="0.2">
      <c r="A134" s="66">
        <f t="shared" si="8"/>
      </c>
      <c r="B134" s="4"/>
      <c r="C134" s="4"/>
      <c r="D134" s="4"/>
      <c r="E134" s="4"/>
      <c r="F134" s="32"/>
      <c r="G134" s="8"/>
      <c r="H134" s="9"/>
      <c r="I134" s="8"/>
      <c r="J134" s="10"/>
      <c r="K134" s="8"/>
      <c r="L134" s="8"/>
      <c r="M134" s="8"/>
      <c r="N134" s="11"/>
      <c r="O134" s="9"/>
      <c r="P134" s="12"/>
      <c r="Q134" s="9"/>
      <c r="R134" s="13"/>
      <c r="S134" s="11"/>
      <c r="T134" s="11"/>
      <c r="U134" s="9"/>
      <c r="V134" s="9"/>
      <c r="W134" s="9"/>
      <c r="X134" s="16"/>
      <c r="AF134" s="42">
        <f>IF(BUSCAR!$C$8="FECHA NAC.",$G134,IF(BUSCAR!$C$8="PASAPORTE EXPIRA",$J134,IF(BUSCAR!$C$8="LICENCIA EMISION",$L134,IF(BUSCAR!$C$8="LICENCIA EXPIRA",$M134,""))))</f>
      </c>
      <c r="AG134" s="42">
        <f>IF($B134&amp;$C134&amp;$D134&amp;$E134&amp;$H134="",0,IF(AND(OR(BUSCAR!$J$5="",ISNUMBER(SEARCH(BUSCAR!$J$5,$AI134))),OR(BUSCAR!$J$6="",ISNUMBER(SEARCH(BUSCAR!$J$6,$AI134))),OR(BUSCAR!$J$8="",ISNUMBER(SEARCH(BUSCAR!$J$8,$AI134))),OR(BUSCAR!$J$9="",ISNUMBER(SEARCH(BUSCAR!$J$9,$AI134))),OR(NOT(BUSCAR!$J$2),AND(ISNUMBER($AF134),$AF134&gt;=BUSCAR!$J$3,$AF134&lt;=BUSCAR!$J$4))),1,0))</f>
      </c>
      <c r="AH134" s="42">
        <f t="shared" si="6"/>
      </c>
      <c r="AI134" s="42">
        <f t="shared" si="7"/>
      </c>
    </row>
    <row r="135" spans="1:35" x14ac:dyDescent="0.2">
      <c r="A135" s="66">
        <f t="shared" si="8"/>
      </c>
      <c r="B135" s="4"/>
      <c r="C135" s="4"/>
      <c r="D135" s="4"/>
      <c r="E135" s="4"/>
      <c r="F135" s="32"/>
      <c r="G135" s="8"/>
      <c r="H135" s="9"/>
      <c r="I135" s="8"/>
      <c r="J135" s="10"/>
      <c r="K135" s="8"/>
      <c r="L135" s="8"/>
      <c r="M135" s="8"/>
      <c r="N135" s="11"/>
      <c r="O135" s="9"/>
      <c r="P135" s="12"/>
      <c r="Q135" s="9"/>
      <c r="R135" s="13"/>
      <c r="S135" s="11"/>
      <c r="T135" s="11"/>
      <c r="U135" s="9"/>
      <c r="V135" s="9"/>
      <c r="W135" s="9"/>
      <c r="X135" s="16"/>
      <c r="AF135" s="42">
        <f>IF(BUSCAR!$C$8="FECHA NAC.",$G135,IF(BUSCAR!$C$8="PASAPORTE EXPIRA",$J135,IF(BUSCAR!$C$8="LICENCIA EMISION",$L135,IF(BUSCAR!$C$8="LICENCIA EXPIRA",$M135,""))))</f>
      </c>
      <c r="AG135" s="42">
        <f>IF($B135&amp;$C135&amp;$D135&amp;$E135&amp;$H135="",0,IF(AND(OR(BUSCAR!$J$5="",ISNUMBER(SEARCH(BUSCAR!$J$5,$AI135))),OR(BUSCAR!$J$6="",ISNUMBER(SEARCH(BUSCAR!$J$6,$AI135))),OR(BUSCAR!$J$8="",ISNUMBER(SEARCH(BUSCAR!$J$8,$AI135))),OR(BUSCAR!$J$9="",ISNUMBER(SEARCH(BUSCAR!$J$9,$AI135))),OR(NOT(BUSCAR!$J$2),AND(ISNUMBER($AF135),$AF135&gt;=BUSCAR!$J$3,$AF135&lt;=BUSCAR!$J$4))),1,0))</f>
      </c>
      <c r="AH135" s="42">
        <f t="shared" si="6"/>
      </c>
      <c r="AI135" s="42">
        <f t="shared" si="7"/>
      </c>
    </row>
    <row r="136" spans="1:35" x14ac:dyDescent="0.2">
      <c r="A136" s="66">
        <f t="shared" si="8"/>
      </c>
      <c r="B136" s="4"/>
      <c r="C136" s="4"/>
      <c r="D136" s="4"/>
      <c r="E136" s="4"/>
      <c r="F136" s="32"/>
      <c r="G136" s="8"/>
      <c r="H136" s="9"/>
      <c r="I136" s="8"/>
      <c r="J136" s="10"/>
      <c r="K136" s="8"/>
      <c r="L136" s="8"/>
      <c r="M136" s="8"/>
      <c r="N136" s="11"/>
      <c r="O136" s="9"/>
      <c r="P136" s="12"/>
      <c r="Q136" s="9"/>
      <c r="R136" s="13"/>
      <c r="S136" s="11"/>
      <c r="T136" s="11"/>
      <c r="U136" s="9"/>
      <c r="V136" s="9"/>
      <c r="W136" s="9"/>
      <c r="X136" s="16"/>
      <c r="AF136" s="42">
        <f>IF(BUSCAR!$C$8="FECHA NAC.",$G136,IF(BUSCAR!$C$8="PASAPORTE EXPIRA",$J136,IF(BUSCAR!$C$8="LICENCIA EMISION",$L136,IF(BUSCAR!$C$8="LICENCIA EXPIRA",$M136,""))))</f>
      </c>
      <c r="AG136" s="42">
        <f>IF($B136&amp;$C136&amp;$D136&amp;$E136&amp;$H136="",0,IF(AND(OR(BUSCAR!$J$5="",ISNUMBER(SEARCH(BUSCAR!$J$5,$AI136))),OR(BUSCAR!$J$6="",ISNUMBER(SEARCH(BUSCAR!$J$6,$AI136))),OR(BUSCAR!$J$8="",ISNUMBER(SEARCH(BUSCAR!$J$8,$AI136))),OR(BUSCAR!$J$9="",ISNUMBER(SEARCH(BUSCAR!$J$9,$AI136))),OR(NOT(BUSCAR!$J$2),AND(ISNUMBER($AF136),$AF136&gt;=BUSCAR!$J$3,$AF136&lt;=BUSCAR!$J$4))),1,0))</f>
      </c>
      <c r="AH136" s="42">
        <f t="shared" si="6"/>
      </c>
      <c r="AI136" s="42">
        <f t="shared" si="7"/>
      </c>
    </row>
    <row r="137" spans="1:35" x14ac:dyDescent="0.2">
      <c r="A137" s="66">
        <f t="shared" si="8"/>
      </c>
      <c r="B137" s="4"/>
      <c r="C137" s="4"/>
      <c r="D137" s="4"/>
      <c r="E137" s="4"/>
      <c r="F137" s="32"/>
      <c r="G137" s="8"/>
      <c r="H137" s="9"/>
      <c r="I137" s="8"/>
      <c r="J137" s="10"/>
      <c r="K137" s="8"/>
      <c r="L137" s="8"/>
      <c r="M137" s="8"/>
      <c r="N137" s="11"/>
      <c r="O137" s="9"/>
      <c r="P137" s="12"/>
      <c r="Q137" s="9"/>
      <c r="R137" s="13"/>
      <c r="S137" s="11"/>
      <c r="T137" s="11"/>
      <c r="U137" s="9"/>
      <c r="V137" s="9"/>
      <c r="W137" s="9"/>
      <c r="X137" s="16"/>
      <c r="AF137" s="42">
        <f>IF(BUSCAR!$C$8="FECHA NAC.",$G137,IF(BUSCAR!$C$8="PASAPORTE EXPIRA",$J137,IF(BUSCAR!$C$8="LICENCIA EMISION",$L137,IF(BUSCAR!$C$8="LICENCIA EXPIRA",$M137,""))))</f>
      </c>
      <c r="AG137" s="42">
        <f>IF($B137&amp;$C137&amp;$D137&amp;$E137&amp;$H137="",0,IF(AND(OR(BUSCAR!$J$5="",ISNUMBER(SEARCH(BUSCAR!$J$5,$AI137))),OR(BUSCAR!$J$6="",ISNUMBER(SEARCH(BUSCAR!$J$6,$AI137))),OR(BUSCAR!$J$8="",ISNUMBER(SEARCH(BUSCAR!$J$8,$AI137))),OR(BUSCAR!$J$9="",ISNUMBER(SEARCH(BUSCAR!$J$9,$AI137))),OR(NOT(BUSCAR!$J$2),AND(ISNUMBER($AF137),$AF137&gt;=BUSCAR!$J$3,$AF137&lt;=BUSCAR!$J$4))),1,0))</f>
      </c>
      <c r="AH137" s="42">
        <f t="shared" si="6"/>
      </c>
      <c r="AI137" s="42">
        <f t="shared" si="7"/>
      </c>
    </row>
    <row r="138" spans="1:35" x14ac:dyDescent="0.2">
      <c r="A138" s="66">
        <f t="shared" si="8"/>
      </c>
      <c r="B138" s="4"/>
      <c r="C138" s="4"/>
      <c r="D138" s="4"/>
      <c r="E138" s="4"/>
      <c r="F138" s="32"/>
      <c r="G138" s="8"/>
      <c r="H138" s="9"/>
      <c r="I138" s="8"/>
      <c r="J138" s="10"/>
      <c r="K138" s="8"/>
      <c r="L138" s="8"/>
      <c r="M138" s="8"/>
      <c r="N138" s="11"/>
      <c r="O138" s="9"/>
      <c r="P138" s="12"/>
      <c r="Q138" s="9"/>
      <c r="R138" s="13"/>
      <c r="S138" s="11"/>
      <c r="T138" s="11"/>
      <c r="U138" s="9"/>
      <c r="V138" s="9"/>
      <c r="W138" s="9"/>
      <c r="X138" s="16"/>
      <c r="AF138" s="42">
        <f>IF(BUSCAR!$C$8="FECHA NAC.",$G138,IF(BUSCAR!$C$8="PASAPORTE EXPIRA",$J138,IF(BUSCAR!$C$8="LICENCIA EMISION",$L138,IF(BUSCAR!$C$8="LICENCIA EXPIRA",$M138,""))))</f>
      </c>
      <c r="AG138" s="42">
        <f>IF($B138&amp;$C138&amp;$D138&amp;$E138&amp;$H138="",0,IF(AND(OR(BUSCAR!$J$5="",ISNUMBER(SEARCH(BUSCAR!$J$5,$AI138))),OR(BUSCAR!$J$6="",ISNUMBER(SEARCH(BUSCAR!$J$6,$AI138))),OR(BUSCAR!$J$8="",ISNUMBER(SEARCH(BUSCAR!$J$8,$AI138))),OR(BUSCAR!$J$9="",ISNUMBER(SEARCH(BUSCAR!$J$9,$AI138))),OR(NOT(BUSCAR!$J$2),AND(ISNUMBER($AF138),$AF138&gt;=BUSCAR!$J$3,$AF138&lt;=BUSCAR!$J$4))),1,0))</f>
      </c>
      <c r="AH138" s="42">
        <f t="shared" si="6"/>
      </c>
      <c r="AI138" s="42">
        <f t="shared" si="7"/>
      </c>
    </row>
    <row r="139" spans="1:35" x14ac:dyDescent="0.2">
      <c r="A139" s="66">
        <f t="shared" si="8"/>
      </c>
      <c r="B139" s="4"/>
      <c r="C139" s="4"/>
      <c r="D139" s="4"/>
      <c r="E139" s="4"/>
      <c r="F139" s="32"/>
      <c r="G139" s="8"/>
      <c r="H139" s="9"/>
      <c r="I139" s="8"/>
      <c r="J139" s="10"/>
      <c r="K139" s="8"/>
      <c r="L139" s="8"/>
      <c r="M139" s="8"/>
      <c r="N139" s="11"/>
      <c r="O139" s="9"/>
      <c r="P139" s="12"/>
      <c r="Q139" s="9"/>
      <c r="R139" s="13"/>
      <c r="S139" s="11"/>
      <c r="T139" s="11"/>
      <c r="U139" s="9"/>
      <c r="V139" s="9"/>
      <c r="W139" s="9"/>
      <c r="X139" s="16"/>
      <c r="AF139" s="42">
        <f>IF(BUSCAR!$C$8="FECHA NAC.",$G139,IF(BUSCAR!$C$8="PASAPORTE EXPIRA",$J139,IF(BUSCAR!$C$8="LICENCIA EMISION",$L139,IF(BUSCAR!$C$8="LICENCIA EXPIRA",$M139,""))))</f>
      </c>
      <c r="AG139" s="42">
        <f>IF($B139&amp;$C139&amp;$D139&amp;$E139&amp;$H139="",0,IF(AND(OR(BUSCAR!$J$5="",ISNUMBER(SEARCH(BUSCAR!$J$5,$AI139))),OR(BUSCAR!$J$6="",ISNUMBER(SEARCH(BUSCAR!$J$6,$AI139))),OR(BUSCAR!$J$8="",ISNUMBER(SEARCH(BUSCAR!$J$8,$AI139))),OR(BUSCAR!$J$9="",ISNUMBER(SEARCH(BUSCAR!$J$9,$AI139))),OR(NOT(BUSCAR!$J$2),AND(ISNUMBER($AF139),$AF139&gt;=BUSCAR!$J$3,$AF139&lt;=BUSCAR!$J$4))),1,0))</f>
      </c>
      <c r="AH139" s="42">
        <f t="shared" si="6"/>
      </c>
      <c r="AI139" s="42">
        <f t="shared" si="7"/>
      </c>
    </row>
    <row r="140" spans="1:35" x14ac:dyDescent="0.2">
      <c r="A140" s="66">
        <f t="shared" si="8"/>
      </c>
      <c r="B140" s="4"/>
      <c r="C140" s="4"/>
      <c r="D140" s="4"/>
      <c r="E140" s="4"/>
      <c r="F140" s="32"/>
      <c r="G140" s="8"/>
      <c r="H140" s="9"/>
      <c r="I140" s="8"/>
      <c r="J140" s="10"/>
      <c r="K140" s="8"/>
      <c r="L140" s="8"/>
      <c r="M140" s="8"/>
      <c r="N140" s="11"/>
      <c r="O140" s="9"/>
      <c r="P140" s="12"/>
      <c r="Q140" s="9"/>
      <c r="R140" s="13"/>
      <c r="S140" s="11"/>
      <c r="T140" s="11"/>
      <c r="U140" s="9"/>
      <c r="V140" s="9"/>
      <c r="W140" s="9"/>
      <c r="X140" s="16"/>
      <c r="AF140" s="42">
        <f>IF(BUSCAR!$C$8="FECHA NAC.",$G140,IF(BUSCAR!$C$8="PASAPORTE EXPIRA",$J140,IF(BUSCAR!$C$8="LICENCIA EMISION",$L140,IF(BUSCAR!$C$8="LICENCIA EXPIRA",$M140,""))))</f>
      </c>
      <c r="AG140" s="42">
        <f>IF($B140&amp;$C140&amp;$D140&amp;$E140&amp;$H140="",0,IF(AND(OR(BUSCAR!$J$5="",ISNUMBER(SEARCH(BUSCAR!$J$5,$AI140))),OR(BUSCAR!$J$6="",ISNUMBER(SEARCH(BUSCAR!$J$6,$AI140))),OR(BUSCAR!$J$8="",ISNUMBER(SEARCH(BUSCAR!$J$8,$AI140))),OR(BUSCAR!$J$9="",ISNUMBER(SEARCH(BUSCAR!$J$9,$AI140))),OR(NOT(BUSCAR!$J$2),AND(ISNUMBER($AF140),$AF140&gt;=BUSCAR!$J$3,$AF140&lt;=BUSCAR!$J$4))),1,0))</f>
      </c>
      <c r="AH140" s="42">
        <f t="shared" si="6"/>
      </c>
      <c r="AI140" s="42">
        <f t="shared" si="7"/>
      </c>
    </row>
    <row r="141" spans="1:35" x14ac:dyDescent="0.2">
      <c r="A141" s="66">
        <f t="shared" si="8"/>
      </c>
      <c r="B141" s="4"/>
      <c r="C141" s="4"/>
      <c r="D141" s="4"/>
      <c r="E141" s="4"/>
      <c r="F141" s="32"/>
      <c r="G141" s="8"/>
      <c r="H141" s="9"/>
      <c r="I141" s="8"/>
      <c r="J141" s="10"/>
      <c r="K141" s="8"/>
      <c r="L141" s="8"/>
      <c r="M141" s="8"/>
      <c r="N141" s="11"/>
      <c r="O141" s="9"/>
      <c r="P141" s="12"/>
      <c r="Q141" s="9"/>
      <c r="R141" s="13"/>
      <c r="S141" s="11"/>
      <c r="T141" s="11"/>
      <c r="U141" s="9"/>
      <c r="V141" s="9"/>
      <c r="W141" s="9"/>
      <c r="X141" s="16"/>
      <c r="AF141" s="42">
        <f>IF(BUSCAR!$C$8="FECHA NAC.",$G141,IF(BUSCAR!$C$8="PASAPORTE EXPIRA",$J141,IF(BUSCAR!$C$8="LICENCIA EMISION",$L141,IF(BUSCAR!$C$8="LICENCIA EXPIRA",$M141,""))))</f>
      </c>
      <c r="AG141" s="42">
        <f>IF($B141&amp;$C141&amp;$D141&amp;$E141&amp;$H141="",0,IF(AND(OR(BUSCAR!$J$5="",ISNUMBER(SEARCH(BUSCAR!$J$5,$AI141))),OR(BUSCAR!$J$6="",ISNUMBER(SEARCH(BUSCAR!$J$6,$AI141))),OR(BUSCAR!$J$8="",ISNUMBER(SEARCH(BUSCAR!$J$8,$AI141))),OR(BUSCAR!$J$9="",ISNUMBER(SEARCH(BUSCAR!$J$9,$AI141))),OR(NOT(BUSCAR!$J$2),AND(ISNUMBER($AF141),$AF141&gt;=BUSCAR!$J$3,$AF141&lt;=BUSCAR!$J$4))),1,0))</f>
      </c>
      <c r="AH141" s="42">
        <f t="shared" si="6"/>
      </c>
      <c r="AI141" s="42">
        <f t="shared" si="7"/>
      </c>
    </row>
    <row r="142" spans="1:35" x14ac:dyDescent="0.2">
      <c r="A142" s="66">
        <f t="shared" si="8"/>
      </c>
      <c r="B142" s="4"/>
      <c r="C142" s="4"/>
      <c r="D142" s="4"/>
      <c r="E142" s="4"/>
      <c r="F142" s="32"/>
      <c r="G142" s="8"/>
      <c r="H142" s="9"/>
      <c r="I142" s="8"/>
      <c r="J142" s="10"/>
      <c r="K142" s="8"/>
      <c r="L142" s="8"/>
      <c r="M142" s="8"/>
      <c r="N142" s="11"/>
      <c r="O142" s="9"/>
      <c r="P142" s="12"/>
      <c r="Q142" s="9"/>
      <c r="R142" s="13"/>
      <c r="S142" s="11"/>
      <c r="T142" s="11"/>
      <c r="U142" s="9"/>
      <c r="V142" s="9"/>
      <c r="W142" s="9"/>
      <c r="X142" s="16"/>
      <c r="AF142" s="42">
        <f>IF(BUSCAR!$C$8="FECHA NAC.",$G142,IF(BUSCAR!$C$8="PASAPORTE EXPIRA",$J142,IF(BUSCAR!$C$8="LICENCIA EMISION",$L142,IF(BUSCAR!$C$8="LICENCIA EXPIRA",$M142,""))))</f>
      </c>
      <c r="AG142" s="42">
        <f>IF($B142&amp;$C142&amp;$D142&amp;$E142&amp;$H142="",0,IF(AND(OR(BUSCAR!$J$5="",ISNUMBER(SEARCH(BUSCAR!$J$5,$AI142))),OR(BUSCAR!$J$6="",ISNUMBER(SEARCH(BUSCAR!$J$6,$AI142))),OR(BUSCAR!$J$8="",ISNUMBER(SEARCH(BUSCAR!$J$8,$AI142))),OR(BUSCAR!$J$9="",ISNUMBER(SEARCH(BUSCAR!$J$9,$AI142))),OR(NOT(BUSCAR!$J$2),AND(ISNUMBER($AF142),$AF142&gt;=BUSCAR!$J$3,$AF142&lt;=BUSCAR!$J$4))),1,0))</f>
      </c>
      <c r="AH142" s="42">
        <f t="shared" si="6"/>
      </c>
      <c r="AI142" s="42">
        <f t="shared" si="7"/>
      </c>
    </row>
    <row r="143" spans="1:35" x14ac:dyDescent="0.2">
      <c r="A143" s="66">
        <f t="shared" si="8"/>
      </c>
      <c r="B143" s="4"/>
      <c r="C143" s="4"/>
      <c r="D143" s="4"/>
      <c r="E143" s="4"/>
      <c r="F143" s="32"/>
      <c r="G143" s="8"/>
      <c r="H143" s="9"/>
      <c r="I143" s="8"/>
      <c r="J143" s="10"/>
      <c r="K143" s="8"/>
      <c r="L143" s="8"/>
      <c r="M143" s="8"/>
      <c r="N143" s="11"/>
      <c r="O143" s="9"/>
      <c r="P143" s="12"/>
      <c r="Q143" s="9"/>
      <c r="R143" s="13"/>
      <c r="S143" s="11"/>
      <c r="T143" s="11"/>
      <c r="U143" s="9"/>
      <c r="V143" s="9"/>
      <c r="W143" s="9"/>
      <c r="X143" s="16"/>
      <c r="AF143" s="42">
        <f>IF(BUSCAR!$C$8="FECHA NAC.",$G143,IF(BUSCAR!$C$8="PASAPORTE EXPIRA",$J143,IF(BUSCAR!$C$8="LICENCIA EMISION",$L143,IF(BUSCAR!$C$8="LICENCIA EXPIRA",$M143,""))))</f>
      </c>
      <c r="AG143" s="42">
        <f>IF($B143&amp;$C143&amp;$D143&amp;$E143&amp;$H143="",0,IF(AND(OR(BUSCAR!$J$5="",ISNUMBER(SEARCH(BUSCAR!$J$5,$AI143))),OR(BUSCAR!$J$6="",ISNUMBER(SEARCH(BUSCAR!$J$6,$AI143))),OR(BUSCAR!$J$8="",ISNUMBER(SEARCH(BUSCAR!$J$8,$AI143))),OR(BUSCAR!$J$9="",ISNUMBER(SEARCH(BUSCAR!$J$9,$AI143))),OR(NOT(BUSCAR!$J$2),AND(ISNUMBER($AF143),$AF143&gt;=BUSCAR!$J$3,$AF143&lt;=BUSCAR!$J$4))),1,0))</f>
      </c>
      <c r="AH143" s="42">
        <f t="shared" si="6"/>
      </c>
      <c r="AI143" s="42">
        <f t="shared" si="7"/>
      </c>
    </row>
    <row r="144" spans="1:35" x14ac:dyDescent="0.2">
      <c r="A144" s="66">
        <f t="shared" si="8"/>
      </c>
      <c r="B144" s="4"/>
      <c r="C144" s="4"/>
      <c r="D144" s="4"/>
      <c r="E144" s="4"/>
      <c r="F144" s="32"/>
      <c r="G144" s="8"/>
      <c r="H144" s="9"/>
      <c r="I144" s="8"/>
      <c r="J144" s="10"/>
      <c r="K144" s="8"/>
      <c r="L144" s="8"/>
      <c r="M144" s="8"/>
      <c r="N144" s="11"/>
      <c r="O144" s="9"/>
      <c r="P144" s="12"/>
      <c r="Q144" s="9"/>
      <c r="R144" s="13"/>
      <c r="S144" s="11"/>
      <c r="T144" s="11"/>
      <c r="U144" s="9"/>
      <c r="V144" s="9"/>
      <c r="W144" s="9"/>
      <c r="X144" s="16"/>
      <c r="AF144" s="42">
        <f>IF(BUSCAR!$C$8="FECHA NAC.",$G144,IF(BUSCAR!$C$8="PASAPORTE EXPIRA",$J144,IF(BUSCAR!$C$8="LICENCIA EMISION",$L144,IF(BUSCAR!$C$8="LICENCIA EXPIRA",$M144,""))))</f>
      </c>
      <c r="AG144" s="42">
        <f>IF($B144&amp;$C144&amp;$D144&amp;$E144&amp;$H144="",0,IF(AND(OR(BUSCAR!$J$5="",ISNUMBER(SEARCH(BUSCAR!$J$5,$AI144))),OR(BUSCAR!$J$6="",ISNUMBER(SEARCH(BUSCAR!$J$6,$AI144))),OR(BUSCAR!$J$8="",ISNUMBER(SEARCH(BUSCAR!$J$8,$AI144))),OR(BUSCAR!$J$9="",ISNUMBER(SEARCH(BUSCAR!$J$9,$AI144))),OR(NOT(BUSCAR!$J$2),AND(ISNUMBER($AF144),$AF144&gt;=BUSCAR!$J$3,$AF144&lt;=BUSCAR!$J$4))),1,0))</f>
      </c>
      <c r="AH144" s="42">
        <f t="shared" si="6"/>
      </c>
      <c r="AI144" s="42">
        <f t="shared" si="7"/>
      </c>
    </row>
    <row r="145" spans="1:35" x14ac:dyDescent="0.2">
      <c r="A145" s="66">
        <f t="shared" si="8"/>
      </c>
      <c r="B145" s="4"/>
      <c r="C145" s="4"/>
      <c r="D145" s="4"/>
      <c r="E145" s="4"/>
      <c r="F145" s="32"/>
      <c r="G145" s="8"/>
      <c r="H145" s="9"/>
      <c r="I145" s="8"/>
      <c r="J145" s="10"/>
      <c r="K145" s="8"/>
      <c r="L145" s="8"/>
      <c r="M145" s="8"/>
      <c r="N145" s="11"/>
      <c r="O145" s="9"/>
      <c r="P145" s="12"/>
      <c r="Q145" s="9"/>
      <c r="R145" s="13"/>
      <c r="S145" s="11"/>
      <c r="T145" s="11"/>
      <c r="U145" s="9"/>
      <c r="V145" s="9"/>
      <c r="W145" s="9"/>
      <c r="X145" s="16"/>
      <c r="AF145" s="42">
        <f>IF(BUSCAR!$C$8="FECHA NAC.",$G145,IF(BUSCAR!$C$8="PASAPORTE EXPIRA",$J145,IF(BUSCAR!$C$8="LICENCIA EMISION",$L145,IF(BUSCAR!$C$8="LICENCIA EXPIRA",$M145,""))))</f>
      </c>
      <c r="AG145" s="42">
        <f>IF($B145&amp;$C145&amp;$D145&amp;$E145&amp;$H145="",0,IF(AND(OR(BUSCAR!$J$5="",ISNUMBER(SEARCH(BUSCAR!$J$5,$AI145))),OR(BUSCAR!$J$6="",ISNUMBER(SEARCH(BUSCAR!$J$6,$AI145))),OR(BUSCAR!$J$8="",ISNUMBER(SEARCH(BUSCAR!$J$8,$AI145))),OR(BUSCAR!$J$9="",ISNUMBER(SEARCH(BUSCAR!$J$9,$AI145))),OR(NOT(BUSCAR!$J$2),AND(ISNUMBER($AF145),$AF145&gt;=BUSCAR!$J$3,$AF145&lt;=BUSCAR!$J$4))),1,0))</f>
      </c>
      <c r="AH145" s="42">
        <f t="shared" si="6"/>
      </c>
      <c r="AI145" s="42">
        <f t="shared" si="7"/>
      </c>
    </row>
    <row r="146" spans="1:35" x14ac:dyDescent="0.2">
      <c r="A146" s="66">
        <f t="shared" si="8"/>
      </c>
      <c r="B146" s="4"/>
      <c r="C146" s="4"/>
      <c r="D146" s="4"/>
      <c r="E146" s="4"/>
      <c r="F146" s="32"/>
      <c r="G146" s="8"/>
      <c r="H146" s="9"/>
      <c r="I146" s="8"/>
      <c r="J146" s="10"/>
      <c r="K146" s="8"/>
      <c r="L146" s="8"/>
      <c r="M146" s="8"/>
      <c r="N146" s="11"/>
      <c r="O146" s="9"/>
      <c r="P146" s="12"/>
      <c r="Q146" s="9"/>
      <c r="R146" s="13"/>
      <c r="S146" s="11"/>
      <c r="T146" s="11"/>
      <c r="U146" s="9"/>
      <c r="V146" s="9"/>
      <c r="W146" s="9"/>
      <c r="X146" s="16"/>
      <c r="AF146" s="42">
        <f>IF(BUSCAR!$C$8="FECHA NAC.",$G146,IF(BUSCAR!$C$8="PASAPORTE EXPIRA",$J146,IF(BUSCAR!$C$8="LICENCIA EMISION",$L146,IF(BUSCAR!$C$8="LICENCIA EXPIRA",$M146,""))))</f>
      </c>
      <c r="AG146" s="42">
        <f>IF($B146&amp;$C146&amp;$D146&amp;$E146&amp;$H146="",0,IF(AND(OR(BUSCAR!$J$5="",ISNUMBER(SEARCH(BUSCAR!$J$5,$AI146))),OR(BUSCAR!$J$6="",ISNUMBER(SEARCH(BUSCAR!$J$6,$AI146))),OR(BUSCAR!$J$8="",ISNUMBER(SEARCH(BUSCAR!$J$8,$AI146))),OR(BUSCAR!$J$9="",ISNUMBER(SEARCH(BUSCAR!$J$9,$AI146))),OR(NOT(BUSCAR!$J$2),AND(ISNUMBER($AF146),$AF146&gt;=BUSCAR!$J$3,$AF146&lt;=BUSCAR!$J$4))),1,0))</f>
      </c>
      <c r="AH146" s="42">
        <f t="shared" si="6"/>
      </c>
      <c r="AI146" s="42">
        <f t="shared" si="7"/>
      </c>
    </row>
    <row r="147" spans="1:35" x14ac:dyDescent="0.2">
      <c r="A147" s="66">
        <f t="shared" si="8"/>
      </c>
      <c r="B147" s="4"/>
      <c r="C147" s="4"/>
      <c r="D147" s="4"/>
      <c r="E147" s="4"/>
      <c r="F147" s="32"/>
      <c r="G147" s="8"/>
      <c r="H147" s="9"/>
      <c r="I147" s="8"/>
      <c r="J147" s="10"/>
      <c r="K147" s="8"/>
      <c r="L147" s="8"/>
      <c r="M147" s="8"/>
      <c r="N147" s="11"/>
      <c r="O147" s="9"/>
      <c r="P147" s="12"/>
      <c r="Q147" s="9"/>
      <c r="R147" s="13"/>
      <c r="S147" s="11"/>
      <c r="T147" s="11"/>
      <c r="U147" s="9"/>
      <c r="V147" s="9"/>
      <c r="W147" s="9"/>
      <c r="X147" s="16"/>
      <c r="AF147" s="42">
        <f>IF(BUSCAR!$C$8="FECHA NAC.",$G147,IF(BUSCAR!$C$8="PASAPORTE EXPIRA",$J147,IF(BUSCAR!$C$8="LICENCIA EMISION",$L147,IF(BUSCAR!$C$8="LICENCIA EXPIRA",$M147,""))))</f>
      </c>
      <c r="AG147" s="42">
        <f>IF($B147&amp;$C147&amp;$D147&amp;$E147&amp;$H147="",0,IF(AND(OR(BUSCAR!$J$5="",ISNUMBER(SEARCH(BUSCAR!$J$5,$AI147))),OR(BUSCAR!$J$6="",ISNUMBER(SEARCH(BUSCAR!$J$6,$AI147))),OR(BUSCAR!$J$8="",ISNUMBER(SEARCH(BUSCAR!$J$8,$AI147))),OR(BUSCAR!$J$9="",ISNUMBER(SEARCH(BUSCAR!$J$9,$AI147))),OR(NOT(BUSCAR!$J$2),AND(ISNUMBER($AF147),$AF147&gt;=BUSCAR!$J$3,$AF147&lt;=BUSCAR!$J$4))),1,0))</f>
      </c>
      <c r="AH147" s="42">
        <f t="shared" si="6"/>
      </c>
      <c r="AI147" s="42">
        <f t="shared" si="7"/>
      </c>
    </row>
    <row r="148" spans="1:35" x14ac:dyDescent="0.2">
      <c r="A148" s="66">
        <f t="shared" si="8"/>
      </c>
      <c r="B148" s="4"/>
      <c r="C148" s="4"/>
      <c r="D148" s="4"/>
      <c r="E148" s="4"/>
      <c r="F148" s="32"/>
      <c r="G148" s="8"/>
      <c r="H148" s="9"/>
      <c r="I148" s="8"/>
      <c r="J148" s="10"/>
      <c r="K148" s="8"/>
      <c r="L148" s="8"/>
      <c r="M148" s="8"/>
      <c r="N148" s="11"/>
      <c r="O148" s="9"/>
      <c r="P148" s="12"/>
      <c r="Q148" s="9"/>
      <c r="R148" s="13"/>
      <c r="S148" s="11"/>
      <c r="T148" s="11"/>
      <c r="U148" s="9"/>
      <c r="V148" s="9"/>
      <c r="W148" s="9"/>
      <c r="X148" s="16"/>
      <c r="AF148" s="42">
        <f>IF(BUSCAR!$C$8="FECHA NAC.",$G148,IF(BUSCAR!$C$8="PASAPORTE EXPIRA",$J148,IF(BUSCAR!$C$8="LICENCIA EMISION",$L148,IF(BUSCAR!$C$8="LICENCIA EXPIRA",$M148,""))))</f>
      </c>
      <c r="AG148" s="42">
        <f>IF($B148&amp;$C148&amp;$D148&amp;$E148&amp;$H148="",0,IF(AND(OR(BUSCAR!$J$5="",ISNUMBER(SEARCH(BUSCAR!$J$5,$AI148))),OR(BUSCAR!$J$6="",ISNUMBER(SEARCH(BUSCAR!$J$6,$AI148))),OR(BUSCAR!$J$8="",ISNUMBER(SEARCH(BUSCAR!$J$8,$AI148))),OR(BUSCAR!$J$9="",ISNUMBER(SEARCH(BUSCAR!$J$9,$AI148))),OR(NOT(BUSCAR!$J$2),AND(ISNUMBER($AF148),$AF148&gt;=BUSCAR!$J$3,$AF148&lt;=BUSCAR!$J$4))),1,0))</f>
      </c>
      <c r="AH148" s="42">
        <f t="shared" si="6"/>
      </c>
      <c r="AI148" s="42">
        <f t="shared" si="7"/>
      </c>
    </row>
    <row r="149" spans="1:35" x14ac:dyDescent="0.2">
      <c r="A149" s="66">
        <f t="shared" si="8"/>
      </c>
      <c r="B149" s="4"/>
      <c r="C149" s="4"/>
      <c r="D149" s="4"/>
      <c r="E149" s="4"/>
      <c r="F149" s="32"/>
      <c r="G149" s="8"/>
      <c r="H149" s="9"/>
      <c r="I149" s="8"/>
      <c r="J149" s="10"/>
      <c r="K149" s="8"/>
      <c r="L149" s="8"/>
      <c r="M149" s="8"/>
      <c r="N149" s="11"/>
      <c r="O149" s="9"/>
      <c r="P149" s="12"/>
      <c r="Q149" s="9"/>
      <c r="R149" s="13"/>
      <c r="S149" s="11"/>
      <c r="T149" s="11"/>
      <c r="U149" s="9"/>
      <c r="V149" s="9"/>
      <c r="W149" s="9"/>
      <c r="X149" s="16"/>
      <c r="AF149" s="42">
        <f>IF(BUSCAR!$C$8="FECHA NAC.",$G149,IF(BUSCAR!$C$8="PASAPORTE EXPIRA",$J149,IF(BUSCAR!$C$8="LICENCIA EMISION",$L149,IF(BUSCAR!$C$8="LICENCIA EXPIRA",$M149,""))))</f>
      </c>
      <c r="AG149" s="42">
        <f>IF($B149&amp;$C149&amp;$D149&amp;$E149&amp;$H149="",0,IF(AND(OR(BUSCAR!$J$5="",ISNUMBER(SEARCH(BUSCAR!$J$5,$AI149))),OR(BUSCAR!$J$6="",ISNUMBER(SEARCH(BUSCAR!$J$6,$AI149))),OR(BUSCAR!$J$8="",ISNUMBER(SEARCH(BUSCAR!$J$8,$AI149))),OR(BUSCAR!$J$9="",ISNUMBER(SEARCH(BUSCAR!$J$9,$AI149))),OR(NOT(BUSCAR!$J$2),AND(ISNUMBER($AF149),$AF149&gt;=BUSCAR!$J$3,$AF149&lt;=BUSCAR!$J$4))),1,0))</f>
      </c>
      <c r="AH149" s="42">
        <f t="shared" si="6"/>
      </c>
      <c r="AI149" s="42">
        <f t="shared" si="7"/>
      </c>
    </row>
    <row r="150" spans="1:35" x14ac:dyDescent="0.2">
      <c r="A150" s="66">
        <f t="shared" si="8"/>
      </c>
      <c r="B150" s="4"/>
      <c r="C150" s="4"/>
      <c r="D150" s="4"/>
      <c r="E150" s="4"/>
      <c r="F150" s="32"/>
      <c r="G150" s="8"/>
      <c r="H150" s="9"/>
      <c r="I150" s="8"/>
      <c r="J150" s="10"/>
      <c r="K150" s="8"/>
      <c r="L150" s="8"/>
      <c r="M150" s="8"/>
      <c r="N150" s="11"/>
      <c r="O150" s="9"/>
      <c r="P150" s="12"/>
      <c r="Q150" s="9"/>
      <c r="R150" s="13"/>
      <c r="S150" s="11"/>
      <c r="T150" s="11"/>
      <c r="U150" s="9"/>
      <c r="V150" s="9"/>
      <c r="W150" s="9"/>
      <c r="X150" s="16"/>
      <c r="AF150" s="42">
        <f>IF(BUSCAR!$C$8="FECHA NAC.",$G150,IF(BUSCAR!$C$8="PASAPORTE EXPIRA",$J150,IF(BUSCAR!$C$8="LICENCIA EMISION",$L150,IF(BUSCAR!$C$8="LICENCIA EXPIRA",$M150,""))))</f>
      </c>
      <c r="AG150" s="42">
        <f>IF($B150&amp;$C150&amp;$D150&amp;$E150&amp;$H150="",0,IF(AND(OR(BUSCAR!$J$5="",ISNUMBER(SEARCH(BUSCAR!$J$5,$AI150))),OR(BUSCAR!$J$6="",ISNUMBER(SEARCH(BUSCAR!$J$6,$AI150))),OR(BUSCAR!$J$8="",ISNUMBER(SEARCH(BUSCAR!$J$8,$AI150))),OR(BUSCAR!$J$9="",ISNUMBER(SEARCH(BUSCAR!$J$9,$AI150))),OR(NOT(BUSCAR!$J$2),AND(ISNUMBER($AF150),$AF150&gt;=BUSCAR!$J$3,$AF150&lt;=BUSCAR!$J$4))),1,0))</f>
      </c>
      <c r="AH150" s="42">
        <f t="shared" si="6"/>
      </c>
      <c r="AI150" s="42">
        <f t="shared" si="7"/>
      </c>
    </row>
    <row r="151" spans="1:35" x14ac:dyDescent="0.2">
      <c r="A151" s="66">
        <f t="shared" si="8"/>
      </c>
      <c r="B151" s="4"/>
      <c r="C151" s="4"/>
      <c r="D151" s="4"/>
      <c r="E151" s="4"/>
      <c r="F151" s="32"/>
      <c r="G151" s="8"/>
      <c r="H151" s="9"/>
      <c r="I151" s="8"/>
      <c r="J151" s="10"/>
      <c r="K151" s="8"/>
      <c r="L151" s="8"/>
      <c r="M151" s="8"/>
      <c r="N151" s="11"/>
      <c r="O151" s="9"/>
      <c r="P151" s="12"/>
      <c r="Q151" s="9"/>
      <c r="R151" s="13"/>
      <c r="S151" s="11"/>
      <c r="T151" s="11"/>
      <c r="U151" s="9"/>
      <c r="V151" s="9"/>
      <c r="W151" s="9"/>
      <c r="X151" s="16"/>
      <c r="AF151" s="42">
        <f>IF(BUSCAR!$C$8="FECHA NAC.",$G151,IF(BUSCAR!$C$8="PASAPORTE EXPIRA",$J151,IF(BUSCAR!$C$8="LICENCIA EMISION",$L151,IF(BUSCAR!$C$8="LICENCIA EXPIRA",$M151,""))))</f>
      </c>
      <c r="AG151" s="42">
        <f>IF($B151&amp;$C151&amp;$D151&amp;$E151&amp;$H151="",0,IF(AND(OR(BUSCAR!$J$5="",ISNUMBER(SEARCH(BUSCAR!$J$5,$AI151))),OR(BUSCAR!$J$6="",ISNUMBER(SEARCH(BUSCAR!$J$6,$AI151))),OR(BUSCAR!$J$8="",ISNUMBER(SEARCH(BUSCAR!$J$8,$AI151))),OR(BUSCAR!$J$9="",ISNUMBER(SEARCH(BUSCAR!$J$9,$AI151))),OR(NOT(BUSCAR!$J$2),AND(ISNUMBER($AF151),$AF151&gt;=BUSCAR!$J$3,$AF151&lt;=BUSCAR!$J$4))),1,0))</f>
      </c>
      <c r="AH151" s="42">
        <f t="shared" si="6"/>
      </c>
      <c r="AI151" s="42">
        <f t="shared" si="7"/>
      </c>
    </row>
    <row r="152" spans="1:35" x14ac:dyDescent="0.2">
      <c r="A152" s="66">
        <f t="shared" si="8"/>
      </c>
      <c r="B152" s="4"/>
      <c r="C152" s="4"/>
      <c r="D152" s="4"/>
      <c r="E152" s="4"/>
      <c r="F152" s="32"/>
      <c r="G152" s="8"/>
      <c r="H152" s="9"/>
      <c r="I152" s="8"/>
      <c r="J152" s="10"/>
      <c r="K152" s="8"/>
      <c r="L152" s="8"/>
      <c r="M152" s="8"/>
      <c r="N152" s="11"/>
      <c r="O152" s="9"/>
      <c r="P152" s="12"/>
      <c r="Q152" s="9"/>
      <c r="R152" s="13"/>
      <c r="S152" s="11"/>
      <c r="T152" s="11"/>
      <c r="U152" s="9"/>
      <c r="V152" s="9"/>
      <c r="W152" s="9"/>
      <c r="X152" s="16"/>
      <c r="AF152" s="42">
        <f>IF(BUSCAR!$C$8="FECHA NAC.",$G152,IF(BUSCAR!$C$8="PASAPORTE EXPIRA",$J152,IF(BUSCAR!$C$8="LICENCIA EMISION",$L152,IF(BUSCAR!$C$8="LICENCIA EXPIRA",$M152,""))))</f>
      </c>
      <c r="AG152" s="42">
        <f>IF($B152&amp;$C152&amp;$D152&amp;$E152&amp;$H152="",0,IF(AND(OR(BUSCAR!$J$5="",ISNUMBER(SEARCH(BUSCAR!$J$5,$AI152))),OR(BUSCAR!$J$6="",ISNUMBER(SEARCH(BUSCAR!$J$6,$AI152))),OR(BUSCAR!$J$8="",ISNUMBER(SEARCH(BUSCAR!$J$8,$AI152))),OR(BUSCAR!$J$9="",ISNUMBER(SEARCH(BUSCAR!$J$9,$AI152))),OR(NOT(BUSCAR!$J$2),AND(ISNUMBER($AF152),$AF152&gt;=BUSCAR!$J$3,$AF152&lt;=BUSCAR!$J$4))),1,0))</f>
      </c>
      <c r="AH152" s="42">
        <f t="shared" si="6"/>
      </c>
      <c r="AI152" s="42">
        <f t="shared" si="7"/>
      </c>
    </row>
    <row r="153" spans="1:35" x14ac:dyDescent="0.2">
      <c r="A153" s="66">
        <f t="shared" si="8"/>
      </c>
      <c r="B153" s="4"/>
      <c r="C153" s="4"/>
      <c r="D153" s="4"/>
      <c r="E153" s="4"/>
      <c r="F153" s="32"/>
      <c r="G153" s="8"/>
      <c r="H153" s="9"/>
      <c r="I153" s="8"/>
      <c r="J153" s="10"/>
      <c r="K153" s="8"/>
      <c r="L153" s="8"/>
      <c r="M153" s="8"/>
      <c r="N153" s="11"/>
      <c r="O153" s="9"/>
      <c r="P153" s="12"/>
      <c r="Q153" s="9"/>
      <c r="R153" s="13"/>
      <c r="S153" s="11"/>
      <c r="T153" s="11"/>
      <c r="U153" s="9"/>
      <c r="V153" s="9"/>
      <c r="W153" s="9"/>
      <c r="X153" s="16"/>
      <c r="AF153" s="42">
        <f>IF(BUSCAR!$C$8="FECHA NAC.",$G153,IF(BUSCAR!$C$8="PASAPORTE EXPIRA",$J153,IF(BUSCAR!$C$8="LICENCIA EMISION",$L153,IF(BUSCAR!$C$8="LICENCIA EXPIRA",$M153,""))))</f>
      </c>
      <c r="AG153" s="42">
        <f>IF($B153&amp;$C153&amp;$D153&amp;$E153&amp;$H153="",0,IF(AND(OR(BUSCAR!$J$5="",ISNUMBER(SEARCH(BUSCAR!$J$5,$AI153))),OR(BUSCAR!$J$6="",ISNUMBER(SEARCH(BUSCAR!$J$6,$AI153))),OR(BUSCAR!$J$8="",ISNUMBER(SEARCH(BUSCAR!$J$8,$AI153))),OR(BUSCAR!$J$9="",ISNUMBER(SEARCH(BUSCAR!$J$9,$AI153))),OR(NOT(BUSCAR!$J$2),AND(ISNUMBER($AF153),$AF153&gt;=BUSCAR!$J$3,$AF153&lt;=BUSCAR!$J$4))),1,0))</f>
      </c>
      <c r="AH153" s="42">
        <f t="shared" si="6"/>
      </c>
      <c r="AI153" s="42">
        <f t="shared" si="7"/>
      </c>
    </row>
    <row r="154" spans="1:35" x14ac:dyDescent="0.2">
      <c r="A154" s="66">
        <f t="shared" si="8"/>
      </c>
      <c r="B154" s="4"/>
      <c r="C154" s="4"/>
      <c r="D154" s="4"/>
      <c r="E154" s="4"/>
      <c r="F154" s="32"/>
      <c r="G154" s="8"/>
      <c r="H154" s="9"/>
      <c r="I154" s="8"/>
      <c r="J154" s="10"/>
      <c r="K154" s="8"/>
      <c r="L154" s="8"/>
      <c r="M154" s="8"/>
      <c r="N154" s="11"/>
      <c r="O154" s="9"/>
      <c r="P154" s="12"/>
      <c r="Q154" s="9"/>
      <c r="R154" s="13"/>
      <c r="S154" s="11"/>
      <c r="T154" s="11"/>
      <c r="U154" s="9"/>
      <c r="V154" s="9"/>
      <c r="W154" s="9"/>
      <c r="X154" s="16"/>
      <c r="AF154" s="42">
        <f>IF(BUSCAR!$C$8="FECHA NAC.",$G154,IF(BUSCAR!$C$8="PASAPORTE EXPIRA",$J154,IF(BUSCAR!$C$8="LICENCIA EMISION",$L154,IF(BUSCAR!$C$8="LICENCIA EXPIRA",$M154,""))))</f>
      </c>
      <c r="AG154" s="42">
        <f>IF($B154&amp;$C154&amp;$D154&amp;$E154&amp;$H154="",0,IF(AND(OR(BUSCAR!$J$5="",ISNUMBER(SEARCH(BUSCAR!$J$5,$AI154))),OR(BUSCAR!$J$6="",ISNUMBER(SEARCH(BUSCAR!$J$6,$AI154))),OR(BUSCAR!$J$8="",ISNUMBER(SEARCH(BUSCAR!$J$8,$AI154))),OR(BUSCAR!$J$9="",ISNUMBER(SEARCH(BUSCAR!$J$9,$AI154))),OR(NOT(BUSCAR!$J$2),AND(ISNUMBER($AF154),$AF154&gt;=BUSCAR!$J$3,$AF154&lt;=BUSCAR!$J$4))),1,0))</f>
      </c>
      <c r="AH154" s="42">
        <f t="shared" si="6"/>
      </c>
      <c r="AI154" s="42">
        <f t="shared" si="7"/>
      </c>
    </row>
    <row r="155" spans="1:35" x14ac:dyDescent="0.2">
      <c r="A155" s="66">
        <f t="shared" si="8"/>
      </c>
      <c r="B155" s="4"/>
      <c r="C155" s="4"/>
      <c r="D155" s="4"/>
      <c r="E155" s="4"/>
      <c r="F155" s="32"/>
      <c r="G155" s="8"/>
      <c r="H155" s="9"/>
      <c r="I155" s="8"/>
      <c r="J155" s="10"/>
      <c r="K155" s="8"/>
      <c r="L155" s="8"/>
      <c r="M155" s="8"/>
      <c r="N155" s="11"/>
      <c r="O155" s="9"/>
      <c r="P155" s="12"/>
      <c r="Q155" s="9"/>
      <c r="R155" s="13"/>
      <c r="S155" s="11"/>
      <c r="T155" s="11"/>
      <c r="U155" s="9"/>
      <c r="V155" s="9"/>
      <c r="W155" s="9"/>
      <c r="X155" s="16"/>
      <c r="AF155" s="42">
        <f>IF(BUSCAR!$C$8="FECHA NAC.",$G155,IF(BUSCAR!$C$8="PASAPORTE EXPIRA",$J155,IF(BUSCAR!$C$8="LICENCIA EMISION",$L155,IF(BUSCAR!$C$8="LICENCIA EXPIRA",$M155,""))))</f>
      </c>
      <c r="AG155" s="42">
        <f>IF($B155&amp;$C155&amp;$D155&amp;$E155&amp;$H155="",0,IF(AND(OR(BUSCAR!$J$5="",ISNUMBER(SEARCH(BUSCAR!$J$5,$AI155))),OR(BUSCAR!$J$6="",ISNUMBER(SEARCH(BUSCAR!$J$6,$AI155))),OR(BUSCAR!$J$8="",ISNUMBER(SEARCH(BUSCAR!$J$8,$AI155))),OR(BUSCAR!$J$9="",ISNUMBER(SEARCH(BUSCAR!$J$9,$AI155))),OR(NOT(BUSCAR!$J$2),AND(ISNUMBER($AF155),$AF155&gt;=BUSCAR!$J$3,$AF155&lt;=BUSCAR!$J$4))),1,0))</f>
      </c>
      <c r="AH155" s="42">
        <f t="shared" si="6"/>
      </c>
      <c r="AI155" s="42">
        <f t="shared" si="7"/>
      </c>
    </row>
    <row r="156" spans="1:35" x14ac:dyDescent="0.2">
      <c r="A156" s="66">
        <f t="shared" si="8"/>
      </c>
      <c r="B156" s="4"/>
      <c r="C156" s="4"/>
      <c r="D156" s="4"/>
      <c r="E156" s="4"/>
      <c r="F156" s="32"/>
      <c r="G156" s="8"/>
      <c r="H156" s="9"/>
      <c r="I156" s="8"/>
      <c r="J156" s="10"/>
      <c r="K156" s="8"/>
      <c r="L156" s="8"/>
      <c r="M156" s="8"/>
      <c r="N156" s="11"/>
      <c r="O156" s="9"/>
      <c r="P156" s="12"/>
      <c r="Q156" s="9"/>
      <c r="R156" s="13"/>
      <c r="S156" s="11"/>
      <c r="T156" s="11"/>
      <c r="U156" s="9"/>
      <c r="V156" s="9"/>
      <c r="W156" s="9"/>
      <c r="X156" s="16"/>
      <c r="AF156" s="42">
        <f>IF(BUSCAR!$C$8="FECHA NAC.",$G156,IF(BUSCAR!$C$8="PASAPORTE EXPIRA",$J156,IF(BUSCAR!$C$8="LICENCIA EMISION",$L156,IF(BUSCAR!$C$8="LICENCIA EXPIRA",$M156,""))))</f>
      </c>
      <c r="AG156" s="42">
        <f>IF($B156&amp;$C156&amp;$D156&amp;$E156&amp;$H156="",0,IF(AND(OR(BUSCAR!$J$5="",ISNUMBER(SEARCH(BUSCAR!$J$5,$AI156))),OR(BUSCAR!$J$6="",ISNUMBER(SEARCH(BUSCAR!$J$6,$AI156))),OR(BUSCAR!$J$8="",ISNUMBER(SEARCH(BUSCAR!$J$8,$AI156))),OR(BUSCAR!$J$9="",ISNUMBER(SEARCH(BUSCAR!$J$9,$AI156))),OR(NOT(BUSCAR!$J$2),AND(ISNUMBER($AF156),$AF156&gt;=BUSCAR!$J$3,$AF156&lt;=BUSCAR!$J$4))),1,0))</f>
      </c>
      <c r="AH156" s="42">
        <f t="shared" si="6"/>
      </c>
      <c r="AI156" s="42">
        <f t="shared" si="7"/>
      </c>
    </row>
    <row r="157" spans="1:35" x14ac:dyDescent="0.2">
      <c r="A157" s="66">
        <f t="shared" si="8"/>
      </c>
      <c r="B157" s="4"/>
      <c r="C157" s="4"/>
      <c r="D157" s="4"/>
      <c r="E157" s="4"/>
      <c r="F157" s="32"/>
      <c r="G157" s="8"/>
      <c r="H157" s="9"/>
      <c r="I157" s="8"/>
      <c r="J157" s="10"/>
      <c r="K157" s="8"/>
      <c r="L157" s="8"/>
      <c r="M157" s="8"/>
      <c r="N157" s="11"/>
      <c r="O157" s="9"/>
      <c r="P157" s="12"/>
      <c r="Q157" s="9"/>
      <c r="R157" s="13"/>
      <c r="S157" s="11"/>
      <c r="T157" s="11"/>
      <c r="U157" s="9"/>
      <c r="V157" s="9"/>
      <c r="W157" s="9"/>
      <c r="X157" s="16"/>
      <c r="AF157" s="42">
        <f>IF(BUSCAR!$C$8="FECHA NAC.",$G157,IF(BUSCAR!$C$8="PASAPORTE EXPIRA",$J157,IF(BUSCAR!$C$8="LICENCIA EMISION",$L157,IF(BUSCAR!$C$8="LICENCIA EXPIRA",$M157,""))))</f>
      </c>
      <c r="AG157" s="42">
        <f>IF($B157&amp;$C157&amp;$D157&amp;$E157&amp;$H157="",0,IF(AND(OR(BUSCAR!$J$5="",ISNUMBER(SEARCH(BUSCAR!$J$5,$AI157))),OR(BUSCAR!$J$6="",ISNUMBER(SEARCH(BUSCAR!$J$6,$AI157))),OR(BUSCAR!$J$8="",ISNUMBER(SEARCH(BUSCAR!$J$8,$AI157))),OR(BUSCAR!$J$9="",ISNUMBER(SEARCH(BUSCAR!$J$9,$AI157))),OR(NOT(BUSCAR!$J$2),AND(ISNUMBER($AF157),$AF157&gt;=BUSCAR!$J$3,$AF157&lt;=BUSCAR!$J$4))),1,0))</f>
      </c>
      <c r="AH157" s="42">
        <f t="shared" si="6"/>
      </c>
      <c r="AI157" s="42">
        <f t="shared" si="7"/>
      </c>
    </row>
    <row r="158" spans="1:35" x14ac:dyDescent="0.2">
      <c r="A158" s="66">
        <f t="shared" si="8"/>
      </c>
      <c r="B158" s="4"/>
      <c r="C158" s="4"/>
      <c r="D158" s="4"/>
      <c r="E158" s="4"/>
      <c r="F158" s="32"/>
      <c r="G158" s="8"/>
      <c r="H158" s="9"/>
      <c r="I158" s="8"/>
      <c r="J158" s="10"/>
      <c r="K158" s="8"/>
      <c r="L158" s="8"/>
      <c r="M158" s="8"/>
      <c r="N158" s="11"/>
      <c r="O158" s="9"/>
      <c r="P158" s="12"/>
      <c r="Q158" s="9"/>
      <c r="R158" s="13"/>
      <c r="S158" s="11"/>
      <c r="T158" s="11"/>
      <c r="U158" s="9"/>
      <c r="V158" s="9"/>
      <c r="W158" s="9"/>
      <c r="X158" s="16"/>
      <c r="AF158" s="42">
        <f>IF(BUSCAR!$C$8="FECHA NAC.",$G158,IF(BUSCAR!$C$8="PASAPORTE EXPIRA",$J158,IF(BUSCAR!$C$8="LICENCIA EMISION",$L158,IF(BUSCAR!$C$8="LICENCIA EXPIRA",$M158,""))))</f>
      </c>
      <c r="AG158" s="42">
        <f>IF($B158&amp;$C158&amp;$D158&amp;$E158&amp;$H158="",0,IF(AND(OR(BUSCAR!$J$5="",ISNUMBER(SEARCH(BUSCAR!$J$5,$AI158))),OR(BUSCAR!$J$6="",ISNUMBER(SEARCH(BUSCAR!$J$6,$AI158))),OR(BUSCAR!$J$8="",ISNUMBER(SEARCH(BUSCAR!$J$8,$AI158))),OR(BUSCAR!$J$9="",ISNUMBER(SEARCH(BUSCAR!$J$9,$AI158))),OR(NOT(BUSCAR!$J$2),AND(ISNUMBER($AF158),$AF158&gt;=BUSCAR!$J$3,$AF158&lt;=BUSCAR!$J$4))),1,0))</f>
      </c>
      <c r="AH158" s="42">
        <f t="shared" si="6"/>
      </c>
      <c r="AI158" s="42">
        <f t="shared" si="7"/>
      </c>
    </row>
    <row r="159" spans="1:35" x14ac:dyDescent="0.2">
      <c r="A159" s="66">
        <f t="shared" si="8"/>
      </c>
      <c r="B159" s="4"/>
      <c r="C159" s="4"/>
      <c r="D159" s="4"/>
      <c r="E159" s="4"/>
      <c r="F159" s="32"/>
      <c r="G159" s="8"/>
      <c r="H159" s="9"/>
      <c r="I159" s="8"/>
      <c r="J159" s="10"/>
      <c r="K159" s="8"/>
      <c r="L159" s="8"/>
      <c r="M159" s="8"/>
      <c r="N159" s="11"/>
      <c r="O159" s="9"/>
      <c r="P159" s="12"/>
      <c r="Q159" s="9"/>
      <c r="R159" s="13"/>
      <c r="S159" s="11"/>
      <c r="T159" s="11"/>
      <c r="U159" s="9"/>
      <c r="V159" s="9"/>
      <c r="W159" s="9"/>
      <c r="X159" s="16"/>
      <c r="AF159" s="42">
        <f>IF(BUSCAR!$C$8="FECHA NAC.",$G159,IF(BUSCAR!$C$8="PASAPORTE EXPIRA",$J159,IF(BUSCAR!$C$8="LICENCIA EMISION",$L159,IF(BUSCAR!$C$8="LICENCIA EXPIRA",$M159,""))))</f>
      </c>
      <c r="AG159" s="42">
        <f>IF($B159&amp;$C159&amp;$D159&amp;$E159&amp;$H159="",0,IF(AND(OR(BUSCAR!$J$5="",ISNUMBER(SEARCH(BUSCAR!$J$5,$AI159))),OR(BUSCAR!$J$6="",ISNUMBER(SEARCH(BUSCAR!$J$6,$AI159))),OR(BUSCAR!$J$8="",ISNUMBER(SEARCH(BUSCAR!$J$8,$AI159))),OR(BUSCAR!$J$9="",ISNUMBER(SEARCH(BUSCAR!$J$9,$AI159))),OR(NOT(BUSCAR!$J$2),AND(ISNUMBER($AF159),$AF159&gt;=BUSCAR!$J$3,$AF159&lt;=BUSCAR!$J$4))),1,0))</f>
      </c>
      <c r="AH159" s="42">
        <f t="shared" si="6"/>
      </c>
      <c r="AI159" s="42">
        <f t="shared" si="7"/>
      </c>
    </row>
    <row r="160" spans="1:35" x14ac:dyDescent="0.2">
      <c r="A160" s="66">
        <f t="shared" si="8"/>
      </c>
      <c r="B160" s="4"/>
      <c r="C160" s="4"/>
      <c r="D160" s="4"/>
      <c r="E160" s="4"/>
      <c r="F160" s="32"/>
      <c r="G160" s="8"/>
      <c r="H160" s="9"/>
      <c r="I160" s="8"/>
      <c r="J160" s="10"/>
      <c r="K160" s="8"/>
      <c r="L160" s="8"/>
      <c r="M160" s="8"/>
      <c r="N160" s="11"/>
      <c r="O160" s="9"/>
      <c r="P160" s="12"/>
      <c r="Q160" s="9"/>
      <c r="R160" s="13"/>
      <c r="S160" s="11"/>
      <c r="T160" s="11"/>
      <c r="U160" s="9"/>
      <c r="V160" s="9"/>
      <c r="W160" s="9"/>
      <c r="X160" s="16"/>
      <c r="AF160" s="42">
        <f>IF(BUSCAR!$C$8="FECHA NAC.",$G160,IF(BUSCAR!$C$8="PASAPORTE EXPIRA",$J160,IF(BUSCAR!$C$8="LICENCIA EMISION",$L160,IF(BUSCAR!$C$8="LICENCIA EXPIRA",$M160,""))))</f>
      </c>
      <c r="AG160" s="42">
        <f>IF($B160&amp;$C160&amp;$D160&amp;$E160&amp;$H160="",0,IF(AND(OR(BUSCAR!$J$5="",ISNUMBER(SEARCH(BUSCAR!$J$5,$AI160))),OR(BUSCAR!$J$6="",ISNUMBER(SEARCH(BUSCAR!$J$6,$AI160))),OR(BUSCAR!$J$8="",ISNUMBER(SEARCH(BUSCAR!$J$8,$AI160))),OR(BUSCAR!$J$9="",ISNUMBER(SEARCH(BUSCAR!$J$9,$AI160))),OR(NOT(BUSCAR!$J$2),AND(ISNUMBER($AF160),$AF160&gt;=BUSCAR!$J$3,$AF160&lt;=BUSCAR!$J$4))),1,0))</f>
      </c>
      <c r="AH160" s="42">
        <f t="shared" si="6"/>
      </c>
      <c r="AI160" s="42">
        <f t="shared" si="7"/>
      </c>
    </row>
    <row r="161" spans="1:35" x14ac:dyDescent="0.2">
      <c r="A161" s="66">
        <f t="shared" si="8"/>
      </c>
      <c r="B161" s="4"/>
      <c r="C161" s="4"/>
      <c r="D161" s="4"/>
      <c r="E161" s="4"/>
      <c r="F161" s="32"/>
      <c r="G161" s="8"/>
      <c r="H161" s="9"/>
      <c r="I161" s="8"/>
      <c r="J161" s="10"/>
      <c r="K161" s="8"/>
      <c r="L161" s="8"/>
      <c r="M161" s="8"/>
      <c r="N161" s="11"/>
      <c r="O161" s="9"/>
      <c r="P161" s="12"/>
      <c r="Q161" s="9"/>
      <c r="R161" s="13"/>
      <c r="S161" s="11"/>
      <c r="T161" s="11"/>
      <c r="U161" s="9"/>
      <c r="V161" s="9"/>
      <c r="W161" s="9"/>
      <c r="X161" s="16"/>
      <c r="AF161" s="42">
        <f>IF(BUSCAR!$C$8="FECHA NAC.",$G161,IF(BUSCAR!$C$8="PASAPORTE EXPIRA",$J161,IF(BUSCAR!$C$8="LICENCIA EMISION",$L161,IF(BUSCAR!$C$8="LICENCIA EXPIRA",$M161,""))))</f>
      </c>
      <c r="AG161" s="42">
        <f>IF($B161&amp;$C161&amp;$D161&amp;$E161&amp;$H161="",0,IF(AND(OR(BUSCAR!$J$5="",ISNUMBER(SEARCH(BUSCAR!$J$5,$AI161))),OR(BUSCAR!$J$6="",ISNUMBER(SEARCH(BUSCAR!$J$6,$AI161))),OR(BUSCAR!$J$8="",ISNUMBER(SEARCH(BUSCAR!$J$8,$AI161))),OR(BUSCAR!$J$9="",ISNUMBER(SEARCH(BUSCAR!$J$9,$AI161))),OR(NOT(BUSCAR!$J$2),AND(ISNUMBER($AF161),$AF161&gt;=BUSCAR!$J$3,$AF161&lt;=BUSCAR!$J$4))),1,0))</f>
      </c>
      <c r="AH161" s="42">
        <f t="shared" si="6"/>
      </c>
      <c r="AI161" s="42">
        <f t="shared" si="7"/>
      </c>
    </row>
    <row r="162" spans="1:35" x14ac:dyDescent="0.2">
      <c r="A162" s="66">
        <f t="shared" si="8"/>
      </c>
      <c r="B162" s="4"/>
      <c r="C162" s="4"/>
      <c r="D162" s="4"/>
      <c r="E162" s="4"/>
      <c r="F162" s="32"/>
      <c r="G162" s="8"/>
      <c r="H162" s="9"/>
      <c r="I162" s="8"/>
      <c r="J162" s="10"/>
      <c r="K162" s="8"/>
      <c r="L162" s="8"/>
      <c r="M162" s="8"/>
      <c r="N162" s="11"/>
      <c r="O162" s="9"/>
      <c r="P162" s="12"/>
      <c r="Q162" s="9"/>
      <c r="R162" s="13"/>
      <c r="S162" s="11"/>
      <c r="T162" s="11"/>
      <c r="U162" s="9"/>
      <c r="V162" s="9"/>
      <c r="W162" s="9"/>
      <c r="X162" s="16"/>
      <c r="AF162" s="42">
        <f>IF(BUSCAR!$C$8="FECHA NAC.",$G162,IF(BUSCAR!$C$8="PASAPORTE EXPIRA",$J162,IF(BUSCAR!$C$8="LICENCIA EMISION",$L162,IF(BUSCAR!$C$8="LICENCIA EXPIRA",$M162,""))))</f>
      </c>
      <c r="AG162" s="42">
        <f>IF($B162&amp;$C162&amp;$D162&amp;$E162&amp;$H162="",0,IF(AND(OR(BUSCAR!$J$5="",ISNUMBER(SEARCH(BUSCAR!$J$5,$AI162))),OR(BUSCAR!$J$6="",ISNUMBER(SEARCH(BUSCAR!$J$6,$AI162))),OR(BUSCAR!$J$8="",ISNUMBER(SEARCH(BUSCAR!$J$8,$AI162))),OR(BUSCAR!$J$9="",ISNUMBER(SEARCH(BUSCAR!$J$9,$AI162))),OR(NOT(BUSCAR!$J$2),AND(ISNUMBER($AF162),$AF162&gt;=BUSCAR!$J$3,$AF162&lt;=BUSCAR!$J$4))),1,0))</f>
      </c>
      <c r="AH162" s="42">
        <f t="shared" si="6"/>
      </c>
      <c r="AI162" s="42">
        <f t="shared" si="7"/>
      </c>
    </row>
    <row r="163" spans="1:35" x14ac:dyDescent="0.2">
      <c r="A163" s="66">
        <f t="shared" si="8"/>
      </c>
      <c r="B163" s="4"/>
      <c r="C163" s="4"/>
      <c r="D163" s="4"/>
      <c r="E163" s="4"/>
      <c r="F163" s="32"/>
      <c r="G163" s="8"/>
      <c r="H163" s="9"/>
      <c r="I163" s="8"/>
      <c r="J163" s="10"/>
      <c r="K163" s="8"/>
      <c r="L163" s="8"/>
      <c r="M163" s="8"/>
      <c r="N163" s="11"/>
      <c r="O163" s="9"/>
      <c r="P163" s="12"/>
      <c r="Q163" s="9"/>
      <c r="R163" s="13"/>
      <c r="S163" s="11"/>
      <c r="T163" s="11"/>
      <c r="U163" s="9"/>
      <c r="V163" s="9"/>
      <c r="W163" s="9"/>
      <c r="X163" s="16"/>
      <c r="AF163" s="42">
        <f>IF(BUSCAR!$C$8="FECHA NAC.",$G163,IF(BUSCAR!$C$8="PASAPORTE EXPIRA",$J163,IF(BUSCAR!$C$8="LICENCIA EMISION",$L163,IF(BUSCAR!$C$8="LICENCIA EXPIRA",$M163,""))))</f>
      </c>
      <c r="AG163" s="42">
        <f>IF($B163&amp;$C163&amp;$D163&amp;$E163&amp;$H163="",0,IF(AND(OR(BUSCAR!$J$5="",ISNUMBER(SEARCH(BUSCAR!$J$5,$AI163))),OR(BUSCAR!$J$6="",ISNUMBER(SEARCH(BUSCAR!$J$6,$AI163))),OR(BUSCAR!$J$8="",ISNUMBER(SEARCH(BUSCAR!$J$8,$AI163))),OR(BUSCAR!$J$9="",ISNUMBER(SEARCH(BUSCAR!$J$9,$AI163))),OR(NOT(BUSCAR!$J$2),AND(ISNUMBER($AF163),$AF163&gt;=BUSCAR!$J$3,$AF163&lt;=BUSCAR!$J$4))),1,0))</f>
      </c>
      <c r="AH163" s="42">
        <f t="shared" si="6"/>
      </c>
      <c r="AI163" s="42">
        <f t="shared" si="7"/>
      </c>
    </row>
    <row r="164" spans="1:35" x14ac:dyDescent="0.2">
      <c r="A164" s="66">
        <f t="shared" si="8"/>
      </c>
      <c r="B164" s="4"/>
      <c r="C164" s="4"/>
      <c r="D164" s="4"/>
      <c r="E164" s="4"/>
      <c r="F164" s="32"/>
      <c r="G164" s="8"/>
      <c r="H164" s="9"/>
      <c r="I164" s="8"/>
      <c r="J164" s="10"/>
      <c r="K164" s="8"/>
      <c r="L164" s="8"/>
      <c r="M164" s="8"/>
      <c r="N164" s="11"/>
      <c r="O164" s="9"/>
      <c r="P164" s="12"/>
      <c r="Q164" s="9"/>
      <c r="R164" s="13"/>
      <c r="S164" s="11"/>
      <c r="T164" s="11"/>
      <c r="U164" s="9"/>
      <c r="V164" s="9"/>
      <c r="W164" s="9"/>
      <c r="X164" s="16"/>
      <c r="AF164" s="42">
        <f>IF(BUSCAR!$C$8="FECHA NAC.",$G164,IF(BUSCAR!$C$8="PASAPORTE EXPIRA",$J164,IF(BUSCAR!$C$8="LICENCIA EMISION",$L164,IF(BUSCAR!$C$8="LICENCIA EXPIRA",$M164,""))))</f>
      </c>
      <c r="AG164" s="42">
        <f>IF($B164&amp;$C164&amp;$D164&amp;$E164&amp;$H164="",0,IF(AND(OR(BUSCAR!$J$5="",ISNUMBER(SEARCH(BUSCAR!$J$5,$AI164))),OR(BUSCAR!$J$6="",ISNUMBER(SEARCH(BUSCAR!$J$6,$AI164))),OR(BUSCAR!$J$8="",ISNUMBER(SEARCH(BUSCAR!$J$8,$AI164))),OR(BUSCAR!$J$9="",ISNUMBER(SEARCH(BUSCAR!$J$9,$AI164))),OR(NOT(BUSCAR!$J$2),AND(ISNUMBER($AF164),$AF164&gt;=BUSCAR!$J$3,$AF164&lt;=BUSCAR!$J$4))),1,0))</f>
      </c>
      <c r="AH164" s="42">
        <f t="shared" si="6"/>
      </c>
      <c r="AI164" s="42">
        <f t="shared" si="7"/>
      </c>
    </row>
    <row r="165" spans="1:35" x14ac:dyDescent="0.2">
      <c r="A165" s="66">
        <f t="shared" si="8"/>
      </c>
      <c r="B165" s="4"/>
      <c r="C165" s="4"/>
      <c r="D165" s="4"/>
      <c r="E165" s="4"/>
      <c r="F165" s="32"/>
      <c r="G165" s="8"/>
      <c r="H165" s="9"/>
      <c r="I165" s="8"/>
      <c r="J165" s="10"/>
      <c r="K165" s="8"/>
      <c r="L165" s="8"/>
      <c r="M165" s="8"/>
      <c r="N165" s="11"/>
      <c r="O165" s="9"/>
      <c r="P165" s="12"/>
      <c r="Q165" s="9"/>
      <c r="R165" s="13"/>
      <c r="S165" s="11"/>
      <c r="T165" s="11"/>
      <c r="U165" s="9"/>
      <c r="V165" s="9"/>
      <c r="W165" s="9"/>
      <c r="X165" s="16"/>
      <c r="AF165" s="42">
        <f>IF(BUSCAR!$C$8="FECHA NAC.",$G165,IF(BUSCAR!$C$8="PASAPORTE EXPIRA",$J165,IF(BUSCAR!$C$8="LICENCIA EMISION",$L165,IF(BUSCAR!$C$8="LICENCIA EXPIRA",$M165,""))))</f>
      </c>
      <c r="AG165" s="42">
        <f>IF($B165&amp;$C165&amp;$D165&amp;$E165&amp;$H165="",0,IF(AND(OR(BUSCAR!$J$5="",ISNUMBER(SEARCH(BUSCAR!$J$5,$AI165))),OR(BUSCAR!$J$6="",ISNUMBER(SEARCH(BUSCAR!$J$6,$AI165))),OR(BUSCAR!$J$8="",ISNUMBER(SEARCH(BUSCAR!$J$8,$AI165))),OR(BUSCAR!$J$9="",ISNUMBER(SEARCH(BUSCAR!$J$9,$AI165))),OR(NOT(BUSCAR!$J$2),AND(ISNUMBER($AF165),$AF165&gt;=BUSCAR!$J$3,$AF165&lt;=BUSCAR!$J$4))),1,0))</f>
      </c>
      <c r="AH165" s="42">
        <f t="shared" si="6"/>
      </c>
      <c r="AI165" s="42">
        <f t="shared" si="7"/>
      </c>
    </row>
    <row r="166" spans="1:35" x14ac:dyDescent="0.2">
      <c r="A166" s="66">
        <f t="shared" si="8"/>
      </c>
      <c r="B166" s="4"/>
      <c r="C166" s="4"/>
      <c r="D166" s="4"/>
      <c r="E166" s="4"/>
      <c r="F166" s="32"/>
      <c r="G166" s="8"/>
      <c r="H166" s="9"/>
      <c r="I166" s="8"/>
      <c r="J166" s="10"/>
      <c r="K166" s="8"/>
      <c r="L166" s="8"/>
      <c r="M166" s="8"/>
      <c r="N166" s="11"/>
      <c r="O166" s="9"/>
      <c r="P166" s="12"/>
      <c r="Q166" s="9"/>
      <c r="R166" s="13"/>
      <c r="S166" s="11"/>
      <c r="T166" s="11"/>
      <c r="U166" s="9"/>
      <c r="V166" s="9"/>
      <c r="W166" s="9"/>
      <c r="X166" s="16"/>
      <c r="AF166" s="42">
        <f>IF(BUSCAR!$C$8="FECHA NAC.",$G166,IF(BUSCAR!$C$8="PASAPORTE EXPIRA",$J166,IF(BUSCAR!$C$8="LICENCIA EMISION",$L166,IF(BUSCAR!$C$8="LICENCIA EXPIRA",$M166,""))))</f>
      </c>
      <c r="AG166" s="42">
        <f>IF($B166&amp;$C166&amp;$D166&amp;$E166&amp;$H166="",0,IF(AND(OR(BUSCAR!$J$5="",ISNUMBER(SEARCH(BUSCAR!$J$5,$AI166))),OR(BUSCAR!$J$6="",ISNUMBER(SEARCH(BUSCAR!$J$6,$AI166))),OR(BUSCAR!$J$8="",ISNUMBER(SEARCH(BUSCAR!$J$8,$AI166))),OR(BUSCAR!$J$9="",ISNUMBER(SEARCH(BUSCAR!$J$9,$AI166))),OR(NOT(BUSCAR!$J$2),AND(ISNUMBER($AF166),$AF166&gt;=BUSCAR!$J$3,$AF166&lt;=BUSCAR!$J$4))),1,0))</f>
      </c>
      <c r="AH166" s="42">
        <f t="shared" si="6"/>
      </c>
      <c r="AI166" s="42">
        <f t="shared" si="7"/>
      </c>
    </row>
    <row r="167" spans="1:35" x14ac:dyDescent="0.2">
      <c r="A167" s="66">
        <f t="shared" si="8"/>
      </c>
      <c r="B167" s="4"/>
      <c r="C167" s="4"/>
      <c r="D167" s="4"/>
      <c r="E167" s="4"/>
      <c r="F167" s="32"/>
      <c r="G167" s="8"/>
      <c r="H167" s="9"/>
      <c r="I167" s="8"/>
      <c r="J167" s="10"/>
      <c r="K167" s="8"/>
      <c r="L167" s="8"/>
      <c r="M167" s="8"/>
      <c r="N167" s="11"/>
      <c r="O167" s="9"/>
      <c r="P167" s="12"/>
      <c r="Q167" s="9"/>
      <c r="R167" s="13"/>
      <c r="S167" s="11"/>
      <c r="T167" s="11"/>
      <c r="U167" s="9"/>
      <c r="V167" s="9"/>
      <c r="W167" s="9"/>
      <c r="X167" s="16"/>
      <c r="AF167" s="42">
        <f>IF(BUSCAR!$C$8="FECHA NAC.",$G167,IF(BUSCAR!$C$8="PASAPORTE EXPIRA",$J167,IF(BUSCAR!$C$8="LICENCIA EMISION",$L167,IF(BUSCAR!$C$8="LICENCIA EXPIRA",$M167,""))))</f>
      </c>
      <c r="AG167" s="42">
        <f>IF($B167&amp;$C167&amp;$D167&amp;$E167&amp;$H167="",0,IF(AND(OR(BUSCAR!$J$5="",ISNUMBER(SEARCH(BUSCAR!$J$5,$AI167))),OR(BUSCAR!$J$6="",ISNUMBER(SEARCH(BUSCAR!$J$6,$AI167))),OR(BUSCAR!$J$8="",ISNUMBER(SEARCH(BUSCAR!$J$8,$AI167))),OR(BUSCAR!$J$9="",ISNUMBER(SEARCH(BUSCAR!$J$9,$AI167))),OR(NOT(BUSCAR!$J$2),AND(ISNUMBER($AF167),$AF167&gt;=BUSCAR!$J$3,$AF167&lt;=BUSCAR!$J$4))),1,0))</f>
      </c>
      <c r="AH167" s="42">
        <f t="shared" si="6"/>
      </c>
      <c r="AI167" s="42">
        <f t="shared" si="7"/>
      </c>
    </row>
    <row r="168" spans="1:35" x14ac:dyDescent="0.2">
      <c r="A168" s="66">
        <f t="shared" si="8"/>
      </c>
      <c r="B168" s="4"/>
      <c r="C168" s="4"/>
      <c r="D168" s="4"/>
      <c r="E168" s="4"/>
      <c r="F168" s="32"/>
      <c r="G168" s="8"/>
      <c r="H168" s="9"/>
      <c r="I168" s="8"/>
      <c r="J168" s="10"/>
      <c r="K168" s="8"/>
      <c r="L168" s="8"/>
      <c r="M168" s="8"/>
      <c r="N168" s="11"/>
      <c r="O168" s="9"/>
      <c r="P168" s="12"/>
      <c r="Q168" s="9"/>
      <c r="R168" s="13"/>
      <c r="S168" s="11"/>
      <c r="T168" s="11"/>
      <c r="U168" s="9"/>
      <c r="V168" s="9"/>
      <c r="W168" s="9"/>
      <c r="X168" s="16"/>
      <c r="AF168" s="42">
        <f>IF(BUSCAR!$C$8="FECHA NAC.",$G168,IF(BUSCAR!$C$8="PASAPORTE EXPIRA",$J168,IF(BUSCAR!$C$8="LICENCIA EMISION",$L168,IF(BUSCAR!$C$8="LICENCIA EXPIRA",$M168,""))))</f>
      </c>
      <c r="AG168" s="42">
        <f>IF($B168&amp;$C168&amp;$D168&amp;$E168&amp;$H168="",0,IF(AND(OR(BUSCAR!$J$5="",ISNUMBER(SEARCH(BUSCAR!$J$5,$AI168))),OR(BUSCAR!$J$6="",ISNUMBER(SEARCH(BUSCAR!$J$6,$AI168))),OR(BUSCAR!$J$8="",ISNUMBER(SEARCH(BUSCAR!$J$8,$AI168))),OR(BUSCAR!$J$9="",ISNUMBER(SEARCH(BUSCAR!$J$9,$AI168))),OR(NOT(BUSCAR!$J$2),AND(ISNUMBER($AF168),$AF168&gt;=BUSCAR!$J$3,$AF168&lt;=BUSCAR!$J$4))),1,0))</f>
      </c>
      <c r="AH168" s="42">
        <f t="shared" si="6"/>
      </c>
      <c r="AI168" s="42">
        <f t="shared" si="7"/>
      </c>
    </row>
    <row r="169" spans="1:35" x14ac:dyDescent="0.2">
      <c r="A169" s="66">
        <f t="shared" si="8"/>
      </c>
      <c r="B169" s="4"/>
      <c r="C169" s="4"/>
      <c r="D169" s="4"/>
      <c r="E169" s="4"/>
      <c r="F169" s="32"/>
      <c r="G169" s="8"/>
      <c r="H169" s="9"/>
      <c r="I169" s="8"/>
      <c r="J169" s="10"/>
      <c r="K169" s="8"/>
      <c r="L169" s="8"/>
      <c r="M169" s="8"/>
      <c r="N169" s="11"/>
      <c r="O169" s="9"/>
      <c r="P169" s="12"/>
      <c r="Q169" s="9"/>
      <c r="R169" s="13"/>
      <c r="S169" s="11"/>
      <c r="T169" s="11"/>
      <c r="U169" s="9"/>
      <c r="V169" s="9"/>
      <c r="W169" s="9"/>
      <c r="X169" s="16"/>
      <c r="AF169" s="42">
        <f>IF(BUSCAR!$C$8="FECHA NAC.",$G169,IF(BUSCAR!$C$8="PASAPORTE EXPIRA",$J169,IF(BUSCAR!$C$8="LICENCIA EMISION",$L169,IF(BUSCAR!$C$8="LICENCIA EXPIRA",$M169,""))))</f>
      </c>
      <c r="AG169" s="42">
        <f>IF($B169&amp;$C169&amp;$D169&amp;$E169&amp;$H169="",0,IF(AND(OR(BUSCAR!$J$5="",ISNUMBER(SEARCH(BUSCAR!$J$5,$AI169))),OR(BUSCAR!$J$6="",ISNUMBER(SEARCH(BUSCAR!$J$6,$AI169))),OR(BUSCAR!$J$8="",ISNUMBER(SEARCH(BUSCAR!$J$8,$AI169))),OR(BUSCAR!$J$9="",ISNUMBER(SEARCH(BUSCAR!$J$9,$AI169))),OR(NOT(BUSCAR!$J$2),AND(ISNUMBER($AF169),$AF169&gt;=BUSCAR!$J$3,$AF169&lt;=BUSCAR!$J$4))),1,0))</f>
      </c>
      <c r="AH169" s="42">
        <f t="shared" si="6"/>
      </c>
      <c r="AI169" s="42">
        <f t="shared" si="7"/>
      </c>
    </row>
    <row r="170" spans="1:35" x14ac:dyDescent="0.2">
      <c r="A170" s="66">
        <f t="shared" si="8"/>
      </c>
      <c r="B170" s="4"/>
      <c r="C170" s="4"/>
      <c r="D170" s="4"/>
      <c r="E170" s="4"/>
      <c r="F170" s="32"/>
      <c r="G170" s="8"/>
      <c r="H170" s="9"/>
      <c r="I170" s="8"/>
      <c r="J170" s="10"/>
      <c r="K170" s="8"/>
      <c r="L170" s="8"/>
      <c r="M170" s="8"/>
      <c r="N170" s="11"/>
      <c r="O170" s="9"/>
      <c r="P170" s="12"/>
      <c r="Q170" s="9"/>
      <c r="R170" s="13"/>
      <c r="S170" s="11"/>
      <c r="T170" s="11"/>
      <c r="U170" s="9"/>
      <c r="V170" s="9"/>
      <c r="W170" s="9"/>
      <c r="X170" s="16"/>
      <c r="AF170" s="42">
        <f>IF(BUSCAR!$C$8="FECHA NAC.",$G170,IF(BUSCAR!$C$8="PASAPORTE EXPIRA",$J170,IF(BUSCAR!$C$8="LICENCIA EMISION",$L170,IF(BUSCAR!$C$8="LICENCIA EXPIRA",$M170,""))))</f>
      </c>
      <c r="AG170" s="42">
        <f>IF($B170&amp;$C170&amp;$D170&amp;$E170&amp;$H170="",0,IF(AND(OR(BUSCAR!$J$5="",ISNUMBER(SEARCH(BUSCAR!$J$5,$AI170))),OR(BUSCAR!$J$6="",ISNUMBER(SEARCH(BUSCAR!$J$6,$AI170))),OR(BUSCAR!$J$8="",ISNUMBER(SEARCH(BUSCAR!$J$8,$AI170))),OR(BUSCAR!$J$9="",ISNUMBER(SEARCH(BUSCAR!$J$9,$AI170))),OR(NOT(BUSCAR!$J$2),AND(ISNUMBER($AF170),$AF170&gt;=BUSCAR!$J$3,$AF170&lt;=BUSCAR!$J$4))),1,0))</f>
      </c>
      <c r="AH170" s="42">
        <f t="shared" si="6"/>
      </c>
      <c r="AI170" s="42">
        <f t="shared" si="7"/>
      </c>
    </row>
    <row r="171" spans="1:35" x14ac:dyDescent="0.2">
      <c r="A171" s="66">
        <f t="shared" si="8"/>
      </c>
      <c r="B171" s="4"/>
      <c r="C171" s="4"/>
      <c r="D171" s="4"/>
      <c r="E171" s="4"/>
      <c r="F171" s="32"/>
      <c r="G171" s="8"/>
      <c r="H171" s="9"/>
      <c r="I171" s="8"/>
      <c r="J171" s="10"/>
      <c r="K171" s="8"/>
      <c r="L171" s="8"/>
      <c r="M171" s="8"/>
      <c r="N171" s="11"/>
      <c r="O171" s="9"/>
      <c r="P171" s="12"/>
      <c r="Q171" s="9"/>
      <c r="R171" s="13"/>
      <c r="S171" s="11"/>
      <c r="T171" s="11"/>
      <c r="U171" s="9"/>
      <c r="V171" s="9"/>
      <c r="W171" s="9"/>
      <c r="X171" s="16"/>
      <c r="AF171" s="42">
        <f>IF(BUSCAR!$C$8="FECHA NAC.",$G171,IF(BUSCAR!$C$8="PASAPORTE EXPIRA",$J171,IF(BUSCAR!$C$8="LICENCIA EMISION",$L171,IF(BUSCAR!$C$8="LICENCIA EXPIRA",$M171,""))))</f>
      </c>
      <c r="AG171" s="42">
        <f>IF($B171&amp;$C171&amp;$D171&amp;$E171&amp;$H171="",0,IF(AND(OR(BUSCAR!$J$5="",ISNUMBER(SEARCH(BUSCAR!$J$5,$AI171))),OR(BUSCAR!$J$6="",ISNUMBER(SEARCH(BUSCAR!$J$6,$AI171))),OR(BUSCAR!$J$8="",ISNUMBER(SEARCH(BUSCAR!$J$8,$AI171))),OR(BUSCAR!$J$9="",ISNUMBER(SEARCH(BUSCAR!$J$9,$AI171))),OR(NOT(BUSCAR!$J$2),AND(ISNUMBER($AF171),$AF171&gt;=BUSCAR!$J$3,$AF171&lt;=BUSCAR!$J$4))),1,0))</f>
      </c>
      <c r="AH171" s="42">
        <f t="shared" si="6"/>
      </c>
      <c r="AI171" s="42">
        <f t="shared" si="7"/>
      </c>
    </row>
    <row r="172" spans="1:35" x14ac:dyDescent="0.2">
      <c r="A172" s="66">
        <f t="shared" si="8"/>
      </c>
      <c r="B172" s="4"/>
      <c r="C172" s="4"/>
      <c r="D172" s="4"/>
      <c r="E172" s="4"/>
      <c r="F172" s="32"/>
      <c r="G172" s="8"/>
      <c r="H172" s="9"/>
      <c r="I172" s="8"/>
      <c r="J172" s="10"/>
      <c r="K172" s="8"/>
      <c r="L172" s="8"/>
      <c r="M172" s="8"/>
      <c r="N172" s="11"/>
      <c r="O172" s="9"/>
      <c r="P172" s="12"/>
      <c r="Q172" s="9"/>
      <c r="R172" s="13"/>
      <c r="S172" s="11"/>
      <c r="T172" s="11"/>
      <c r="U172" s="9"/>
      <c r="V172" s="9"/>
      <c r="W172" s="9"/>
      <c r="X172" s="16"/>
      <c r="AF172" s="42">
        <f>IF(BUSCAR!$C$8="FECHA NAC.",$G172,IF(BUSCAR!$C$8="PASAPORTE EXPIRA",$J172,IF(BUSCAR!$C$8="LICENCIA EMISION",$L172,IF(BUSCAR!$C$8="LICENCIA EXPIRA",$M172,""))))</f>
      </c>
      <c r="AG172" s="42">
        <f>IF($B172&amp;$C172&amp;$D172&amp;$E172&amp;$H172="",0,IF(AND(OR(BUSCAR!$J$5="",ISNUMBER(SEARCH(BUSCAR!$J$5,$AI172))),OR(BUSCAR!$J$6="",ISNUMBER(SEARCH(BUSCAR!$J$6,$AI172))),OR(BUSCAR!$J$8="",ISNUMBER(SEARCH(BUSCAR!$J$8,$AI172))),OR(BUSCAR!$J$9="",ISNUMBER(SEARCH(BUSCAR!$J$9,$AI172))),OR(NOT(BUSCAR!$J$2),AND(ISNUMBER($AF172),$AF172&gt;=BUSCAR!$J$3,$AF172&lt;=BUSCAR!$J$4))),1,0))</f>
      </c>
      <c r="AH172" s="42">
        <f t="shared" si="6"/>
      </c>
      <c r="AI172" s="42">
        <f t="shared" si="7"/>
      </c>
    </row>
    <row r="173" spans="1:35" x14ac:dyDescent="0.2">
      <c r="A173" s="66">
        <f t="shared" si="8"/>
      </c>
      <c r="B173" s="4"/>
      <c r="C173" s="4"/>
      <c r="D173" s="4"/>
      <c r="E173" s="4"/>
      <c r="F173" s="32"/>
      <c r="G173" s="8"/>
      <c r="H173" s="9"/>
      <c r="I173" s="8"/>
      <c r="J173" s="10"/>
      <c r="K173" s="8"/>
      <c r="L173" s="8"/>
      <c r="M173" s="8"/>
      <c r="N173" s="11"/>
      <c r="O173" s="9"/>
      <c r="P173" s="12"/>
      <c r="Q173" s="9"/>
      <c r="R173" s="13"/>
      <c r="S173" s="11"/>
      <c r="T173" s="11"/>
      <c r="U173" s="9"/>
      <c r="V173" s="9"/>
      <c r="W173" s="9"/>
      <c r="X173" s="16"/>
      <c r="AF173" s="42">
        <f>IF(BUSCAR!$C$8="FECHA NAC.",$G173,IF(BUSCAR!$C$8="PASAPORTE EXPIRA",$J173,IF(BUSCAR!$C$8="LICENCIA EMISION",$L173,IF(BUSCAR!$C$8="LICENCIA EXPIRA",$M173,""))))</f>
      </c>
      <c r="AG173" s="42">
        <f>IF($B173&amp;$C173&amp;$D173&amp;$E173&amp;$H173="",0,IF(AND(OR(BUSCAR!$J$5="",ISNUMBER(SEARCH(BUSCAR!$J$5,$AI173))),OR(BUSCAR!$J$6="",ISNUMBER(SEARCH(BUSCAR!$J$6,$AI173))),OR(BUSCAR!$J$8="",ISNUMBER(SEARCH(BUSCAR!$J$8,$AI173))),OR(BUSCAR!$J$9="",ISNUMBER(SEARCH(BUSCAR!$J$9,$AI173))),OR(NOT(BUSCAR!$J$2),AND(ISNUMBER($AF173),$AF173&gt;=BUSCAR!$J$3,$AF173&lt;=BUSCAR!$J$4))),1,0))</f>
      </c>
      <c r="AH173" s="42">
        <f t="shared" si="6"/>
      </c>
      <c r="AI173" s="42">
        <f t="shared" si="7"/>
      </c>
    </row>
    <row r="174" spans="1:35" x14ac:dyDescent="0.2">
      <c r="A174" s="66">
        <f t="shared" si="8"/>
      </c>
      <c r="B174" s="4"/>
      <c r="C174" s="4"/>
      <c r="D174" s="4"/>
      <c r="E174" s="4"/>
      <c r="F174" s="32"/>
      <c r="G174" s="8"/>
      <c r="H174" s="9"/>
      <c r="I174" s="8"/>
      <c r="J174" s="10"/>
      <c r="K174" s="8"/>
      <c r="L174" s="8"/>
      <c r="M174" s="8"/>
      <c r="N174" s="11"/>
      <c r="O174" s="9"/>
      <c r="P174" s="12"/>
      <c r="Q174" s="9"/>
      <c r="R174" s="13"/>
      <c r="S174" s="11"/>
      <c r="T174" s="11"/>
      <c r="U174" s="9"/>
      <c r="V174" s="9"/>
      <c r="W174" s="9"/>
      <c r="X174" s="16"/>
      <c r="AF174" s="42">
        <f>IF(BUSCAR!$C$8="FECHA NAC.",$G174,IF(BUSCAR!$C$8="PASAPORTE EXPIRA",$J174,IF(BUSCAR!$C$8="LICENCIA EMISION",$L174,IF(BUSCAR!$C$8="LICENCIA EXPIRA",$M174,""))))</f>
      </c>
      <c r="AG174" s="42">
        <f>IF($B174&amp;$C174&amp;$D174&amp;$E174&amp;$H174="",0,IF(AND(OR(BUSCAR!$J$5="",ISNUMBER(SEARCH(BUSCAR!$J$5,$AI174))),OR(BUSCAR!$J$6="",ISNUMBER(SEARCH(BUSCAR!$J$6,$AI174))),OR(BUSCAR!$J$8="",ISNUMBER(SEARCH(BUSCAR!$J$8,$AI174))),OR(BUSCAR!$J$9="",ISNUMBER(SEARCH(BUSCAR!$J$9,$AI174))),OR(NOT(BUSCAR!$J$2),AND(ISNUMBER($AF174),$AF174&gt;=BUSCAR!$J$3,$AF174&lt;=BUSCAR!$J$4))),1,0))</f>
      </c>
      <c r="AH174" s="42">
        <f t="shared" si="6"/>
      </c>
      <c r="AI174" s="42">
        <f t="shared" si="7"/>
      </c>
    </row>
    <row r="175" spans="1:35" x14ac:dyDescent="0.2">
      <c r="A175" s="66">
        <f t="shared" si="8"/>
      </c>
      <c r="B175" s="4"/>
      <c r="C175" s="4"/>
      <c r="D175" s="4"/>
      <c r="E175" s="4"/>
      <c r="F175" s="32"/>
      <c r="G175" s="8"/>
      <c r="H175" s="9"/>
      <c r="I175" s="8"/>
      <c r="J175" s="10"/>
      <c r="K175" s="8"/>
      <c r="L175" s="8"/>
      <c r="M175" s="8"/>
      <c r="N175" s="11"/>
      <c r="O175" s="9"/>
      <c r="P175" s="12"/>
      <c r="Q175" s="9"/>
      <c r="R175" s="13"/>
      <c r="S175" s="11"/>
      <c r="T175" s="11"/>
      <c r="U175" s="9"/>
      <c r="V175" s="9"/>
      <c r="W175" s="9"/>
      <c r="X175" s="16"/>
      <c r="AF175" s="42">
        <f>IF(BUSCAR!$C$8="FECHA NAC.",$G175,IF(BUSCAR!$C$8="PASAPORTE EXPIRA",$J175,IF(BUSCAR!$C$8="LICENCIA EMISION",$L175,IF(BUSCAR!$C$8="LICENCIA EXPIRA",$M175,""))))</f>
      </c>
      <c r="AG175" s="42">
        <f>IF($B175&amp;$C175&amp;$D175&amp;$E175&amp;$H175="",0,IF(AND(OR(BUSCAR!$J$5="",ISNUMBER(SEARCH(BUSCAR!$J$5,$AI175))),OR(BUSCAR!$J$6="",ISNUMBER(SEARCH(BUSCAR!$J$6,$AI175))),OR(BUSCAR!$J$8="",ISNUMBER(SEARCH(BUSCAR!$J$8,$AI175))),OR(BUSCAR!$J$9="",ISNUMBER(SEARCH(BUSCAR!$J$9,$AI175))),OR(NOT(BUSCAR!$J$2),AND(ISNUMBER($AF175),$AF175&gt;=BUSCAR!$J$3,$AF175&lt;=BUSCAR!$J$4))),1,0))</f>
      </c>
      <c r="AH175" s="42">
        <f t="shared" si="6"/>
      </c>
      <c r="AI175" s="42">
        <f t="shared" si="7"/>
      </c>
    </row>
    <row r="176" spans="1:35" x14ac:dyDescent="0.2">
      <c r="A176" s="66">
        <f t="shared" si="8"/>
      </c>
      <c r="B176" s="4"/>
      <c r="C176" s="4"/>
      <c r="D176" s="4"/>
      <c r="E176" s="4"/>
      <c r="F176" s="32"/>
      <c r="G176" s="8"/>
      <c r="H176" s="9"/>
      <c r="I176" s="8"/>
      <c r="J176" s="10"/>
      <c r="K176" s="8"/>
      <c r="L176" s="8"/>
      <c r="M176" s="8"/>
      <c r="N176" s="11"/>
      <c r="O176" s="9"/>
      <c r="P176" s="12"/>
      <c r="Q176" s="9"/>
      <c r="R176" s="13"/>
      <c r="S176" s="11"/>
      <c r="T176" s="11"/>
      <c r="U176" s="9"/>
      <c r="V176" s="9"/>
      <c r="W176" s="9"/>
      <c r="X176" s="16"/>
      <c r="AF176" s="42">
        <f>IF(BUSCAR!$C$8="FECHA NAC.",$G176,IF(BUSCAR!$C$8="PASAPORTE EXPIRA",$J176,IF(BUSCAR!$C$8="LICENCIA EMISION",$L176,IF(BUSCAR!$C$8="LICENCIA EXPIRA",$M176,""))))</f>
      </c>
      <c r="AG176" s="42">
        <f>IF($B176&amp;$C176&amp;$D176&amp;$E176&amp;$H176="",0,IF(AND(OR(BUSCAR!$J$5="",ISNUMBER(SEARCH(BUSCAR!$J$5,$AI176))),OR(BUSCAR!$J$6="",ISNUMBER(SEARCH(BUSCAR!$J$6,$AI176))),OR(BUSCAR!$J$8="",ISNUMBER(SEARCH(BUSCAR!$J$8,$AI176))),OR(BUSCAR!$J$9="",ISNUMBER(SEARCH(BUSCAR!$J$9,$AI176))),OR(NOT(BUSCAR!$J$2),AND(ISNUMBER($AF176),$AF176&gt;=BUSCAR!$J$3,$AF176&lt;=BUSCAR!$J$4))),1,0))</f>
      </c>
      <c r="AH176" s="42">
        <f t="shared" si="6"/>
      </c>
      <c r="AI176" s="42">
        <f t="shared" si="7"/>
      </c>
    </row>
    <row r="177" spans="1:35" x14ac:dyDescent="0.2">
      <c r="A177" s="66">
        <f t="shared" si="8"/>
      </c>
      <c r="B177" s="4"/>
      <c r="C177" s="4"/>
      <c r="D177" s="4"/>
      <c r="E177" s="4"/>
      <c r="F177" s="32"/>
      <c r="G177" s="8"/>
      <c r="H177" s="9"/>
      <c r="I177" s="8"/>
      <c r="J177" s="10"/>
      <c r="K177" s="8"/>
      <c r="L177" s="8"/>
      <c r="M177" s="8"/>
      <c r="N177" s="11"/>
      <c r="O177" s="9"/>
      <c r="P177" s="12"/>
      <c r="Q177" s="9"/>
      <c r="R177" s="13"/>
      <c r="S177" s="11"/>
      <c r="T177" s="11"/>
      <c r="U177" s="9"/>
      <c r="V177" s="9"/>
      <c r="W177" s="9"/>
      <c r="X177" s="16"/>
      <c r="AF177" s="42">
        <f>IF(BUSCAR!$C$8="FECHA NAC.",$G177,IF(BUSCAR!$C$8="PASAPORTE EXPIRA",$J177,IF(BUSCAR!$C$8="LICENCIA EMISION",$L177,IF(BUSCAR!$C$8="LICENCIA EXPIRA",$M177,""))))</f>
      </c>
      <c r="AG177" s="42">
        <f>IF($B177&amp;$C177&amp;$D177&amp;$E177&amp;$H177="",0,IF(AND(OR(BUSCAR!$J$5="",ISNUMBER(SEARCH(BUSCAR!$J$5,$AI177))),OR(BUSCAR!$J$6="",ISNUMBER(SEARCH(BUSCAR!$J$6,$AI177))),OR(BUSCAR!$J$8="",ISNUMBER(SEARCH(BUSCAR!$J$8,$AI177))),OR(BUSCAR!$J$9="",ISNUMBER(SEARCH(BUSCAR!$J$9,$AI177))),OR(NOT(BUSCAR!$J$2),AND(ISNUMBER($AF177),$AF177&gt;=BUSCAR!$J$3,$AF177&lt;=BUSCAR!$J$4))),1,0))</f>
      </c>
      <c r="AH177" s="42">
        <f t="shared" si="6"/>
      </c>
      <c r="AI177" s="42">
        <f t="shared" si="7"/>
      </c>
    </row>
    <row r="178" spans="1:35" x14ac:dyDescent="0.2">
      <c r="A178" s="66">
        <f t="shared" si="8"/>
      </c>
      <c r="B178" s="4"/>
      <c r="C178" s="4"/>
      <c r="D178" s="4"/>
      <c r="E178" s="4"/>
      <c r="F178" s="32"/>
      <c r="G178" s="8"/>
      <c r="H178" s="9"/>
      <c r="I178" s="8"/>
      <c r="J178" s="10"/>
      <c r="K178" s="8"/>
      <c r="L178" s="8"/>
      <c r="M178" s="8"/>
      <c r="N178" s="11"/>
      <c r="O178" s="9"/>
      <c r="P178" s="12"/>
      <c r="Q178" s="9"/>
      <c r="R178" s="13"/>
      <c r="S178" s="11"/>
      <c r="T178" s="11"/>
      <c r="U178" s="9"/>
      <c r="V178" s="9"/>
      <c r="W178" s="9"/>
      <c r="X178" s="16"/>
      <c r="AF178" s="42">
        <f>IF(BUSCAR!$C$8="FECHA NAC.",$G178,IF(BUSCAR!$C$8="PASAPORTE EXPIRA",$J178,IF(BUSCAR!$C$8="LICENCIA EMISION",$L178,IF(BUSCAR!$C$8="LICENCIA EXPIRA",$M178,""))))</f>
      </c>
      <c r="AG178" s="42">
        <f>IF($B178&amp;$C178&amp;$D178&amp;$E178&amp;$H178="",0,IF(AND(OR(BUSCAR!$J$5="",ISNUMBER(SEARCH(BUSCAR!$J$5,$AI178))),OR(BUSCAR!$J$6="",ISNUMBER(SEARCH(BUSCAR!$J$6,$AI178))),OR(BUSCAR!$J$8="",ISNUMBER(SEARCH(BUSCAR!$J$8,$AI178))),OR(BUSCAR!$J$9="",ISNUMBER(SEARCH(BUSCAR!$J$9,$AI178))),OR(NOT(BUSCAR!$J$2),AND(ISNUMBER($AF178),$AF178&gt;=BUSCAR!$J$3,$AF178&lt;=BUSCAR!$J$4))),1,0))</f>
      </c>
      <c r="AH178" s="42">
        <f t="shared" si="6"/>
      </c>
      <c r="AI178" s="42">
        <f t="shared" si="7"/>
      </c>
    </row>
    <row r="179" spans="1:35" x14ac:dyDescent="0.2">
      <c r="A179" s="66">
        <f t="shared" si="8"/>
      </c>
      <c r="B179" s="4"/>
      <c r="C179" s="4"/>
      <c r="D179" s="4"/>
      <c r="E179" s="4"/>
      <c r="F179" s="32"/>
      <c r="G179" s="8"/>
      <c r="H179" s="9"/>
      <c r="I179" s="8"/>
      <c r="J179" s="10"/>
      <c r="K179" s="8"/>
      <c r="L179" s="8"/>
      <c r="M179" s="8"/>
      <c r="N179" s="11"/>
      <c r="O179" s="9"/>
      <c r="P179" s="12"/>
      <c r="Q179" s="9"/>
      <c r="R179" s="13"/>
      <c r="S179" s="11"/>
      <c r="T179" s="11"/>
      <c r="U179" s="9"/>
      <c r="V179" s="9"/>
      <c r="W179" s="9"/>
      <c r="X179" s="16"/>
      <c r="AF179" s="42">
        <f>IF(BUSCAR!$C$8="FECHA NAC.",$G179,IF(BUSCAR!$C$8="PASAPORTE EXPIRA",$J179,IF(BUSCAR!$C$8="LICENCIA EMISION",$L179,IF(BUSCAR!$C$8="LICENCIA EXPIRA",$M179,""))))</f>
      </c>
      <c r="AG179" s="42">
        <f>IF($B179&amp;$C179&amp;$D179&amp;$E179&amp;$H179="",0,IF(AND(OR(BUSCAR!$J$5="",ISNUMBER(SEARCH(BUSCAR!$J$5,$AI179))),OR(BUSCAR!$J$6="",ISNUMBER(SEARCH(BUSCAR!$J$6,$AI179))),OR(BUSCAR!$J$8="",ISNUMBER(SEARCH(BUSCAR!$J$8,$AI179))),OR(BUSCAR!$J$9="",ISNUMBER(SEARCH(BUSCAR!$J$9,$AI179))),OR(NOT(BUSCAR!$J$2),AND(ISNUMBER($AF179),$AF179&gt;=BUSCAR!$J$3,$AF179&lt;=BUSCAR!$J$4))),1,0))</f>
      </c>
      <c r="AH179" s="42">
        <f t="shared" si="6"/>
      </c>
      <c r="AI179" s="42">
        <f t="shared" si="7"/>
      </c>
    </row>
    <row r="180" spans="1:35" x14ac:dyDescent="0.2">
      <c r="A180" s="66">
        <f t="shared" si="8"/>
      </c>
      <c r="B180" s="4"/>
      <c r="C180" s="4"/>
      <c r="D180" s="4"/>
      <c r="E180" s="4"/>
      <c r="F180" s="32"/>
      <c r="G180" s="8"/>
      <c r="H180" s="9"/>
      <c r="I180" s="8"/>
      <c r="J180" s="10"/>
      <c r="K180" s="8"/>
      <c r="L180" s="8"/>
      <c r="M180" s="8"/>
      <c r="N180" s="11"/>
      <c r="O180" s="9"/>
      <c r="P180" s="12"/>
      <c r="Q180" s="9"/>
      <c r="R180" s="13"/>
      <c r="S180" s="11"/>
      <c r="T180" s="11"/>
      <c r="U180" s="9"/>
      <c r="V180" s="9"/>
      <c r="W180" s="9"/>
      <c r="X180" s="16"/>
      <c r="AF180" s="42">
        <f>IF(BUSCAR!$C$8="FECHA NAC.",$G180,IF(BUSCAR!$C$8="PASAPORTE EXPIRA",$J180,IF(BUSCAR!$C$8="LICENCIA EMISION",$L180,IF(BUSCAR!$C$8="LICENCIA EXPIRA",$M180,""))))</f>
      </c>
      <c r="AG180" s="42">
        <f>IF($B180&amp;$C180&amp;$D180&amp;$E180&amp;$H180="",0,IF(AND(OR(BUSCAR!$J$5="",ISNUMBER(SEARCH(BUSCAR!$J$5,$AI180))),OR(BUSCAR!$J$6="",ISNUMBER(SEARCH(BUSCAR!$J$6,$AI180))),OR(BUSCAR!$J$8="",ISNUMBER(SEARCH(BUSCAR!$J$8,$AI180))),OR(BUSCAR!$J$9="",ISNUMBER(SEARCH(BUSCAR!$J$9,$AI180))),OR(NOT(BUSCAR!$J$2),AND(ISNUMBER($AF180),$AF180&gt;=BUSCAR!$J$3,$AF180&lt;=BUSCAR!$J$4))),1,0))</f>
      </c>
      <c r="AH180" s="42">
        <f t="shared" si="6"/>
      </c>
      <c r="AI180" s="42">
        <f t="shared" si="7"/>
      </c>
    </row>
    <row r="181" spans="1:35" x14ac:dyDescent="0.2">
      <c r="A181" s="66">
        <f t="shared" si="8"/>
      </c>
      <c r="B181" s="4"/>
      <c r="C181" s="4"/>
      <c r="D181" s="4"/>
      <c r="E181" s="4"/>
      <c r="F181" s="32"/>
      <c r="G181" s="8"/>
      <c r="H181" s="9"/>
      <c r="I181" s="8"/>
      <c r="J181" s="10"/>
      <c r="K181" s="8"/>
      <c r="L181" s="8"/>
      <c r="M181" s="8"/>
      <c r="N181" s="11"/>
      <c r="O181" s="9"/>
      <c r="P181" s="12"/>
      <c r="Q181" s="9"/>
      <c r="R181" s="13"/>
      <c r="S181" s="11"/>
      <c r="T181" s="11"/>
      <c r="U181" s="9"/>
      <c r="V181" s="9"/>
      <c r="W181" s="9"/>
      <c r="X181" s="16"/>
      <c r="AF181" s="42">
        <f>IF(BUSCAR!$C$8="FECHA NAC.",$G181,IF(BUSCAR!$C$8="PASAPORTE EXPIRA",$J181,IF(BUSCAR!$C$8="LICENCIA EMISION",$L181,IF(BUSCAR!$C$8="LICENCIA EXPIRA",$M181,""))))</f>
      </c>
      <c r="AG181" s="42">
        <f>IF($B181&amp;$C181&amp;$D181&amp;$E181&amp;$H181="",0,IF(AND(OR(BUSCAR!$J$5="",ISNUMBER(SEARCH(BUSCAR!$J$5,$AI181))),OR(BUSCAR!$J$6="",ISNUMBER(SEARCH(BUSCAR!$J$6,$AI181))),OR(BUSCAR!$J$8="",ISNUMBER(SEARCH(BUSCAR!$J$8,$AI181))),OR(BUSCAR!$J$9="",ISNUMBER(SEARCH(BUSCAR!$J$9,$AI181))),OR(NOT(BUSCAR!$J$2),AND(ISNUMBER($AF181),$AF181&gt;=BUSCAR!$J$3,$AF181&lt;=BUSCAR!$J$4))),1,0))</f>
      </c>
      <c r="AH181" s="42">
        <f t="shared" si="6"/>
      </c>
      <c r="AI181" s="42">
        <f t="shared" si="7"/>
      </c>
    </row>
    <row r="182" spans="1:35" x14ac:dyDescent="0.2">
      <c r="A182" s="66">
        <f t="shared" si="8"/>
      </c>
      <c r="B182" s="4"/>
      <c r="C182" s="4"/>
      <c r="D182" s="4"/>
      <c r="E182" s="4"/>
      <c r="F182" s="32"/>
      <c r="G182" s="8"/>
      <c r="H182" s="9"/>
      <c r="I182" s="8"/>
      <c r="J182" s="10"/>
      <c r="K182" s="8"/>
      <c r="L182" s="8"/>
      <c r="M182" s="8"/>
      <c r="N182" s="11"/>
      <c r="O182" s="9"/>
      <c r="P182" s="12"/>
      <c r="Q182" s="9"/>
      <c r="R182" s="13"/>
      <c r="S182" s="11"/>
      <c r="T182" s="11"/>
      <c r="U182" s="9"/>
      <c r="V182" s="9"/>
      <c r="W182" s="9"/>
      <c r="X182" s="16"/>
      <c r="AF182" s="42">
        <f>IF(BUSCAR!$C$8="FECHA NAC.",$G182,IF(BUSCAR!$C$8="PASAPORTE EXPIRA",$J182,IF(BUSCAR!$C$8="LICENCIA EMISION",$L182,IF(BUSCAR!$C$8="LICENCIA EXPIRA",$M182,""))))</f>
      </c>
      <c r="AG182" s="42">
        <f>IF($B182&amp;$C182&amp;$D182&amp;$E182&amp;$H182="",0,IF(AND(OR(BUSCAR!$J$5="",ISNUMBER(SEARCH(BUSCAR!$J$5,$AI182))),OR(BUSCAR!$J$6="",ISNUMBER(SEARCH(BUSCAR!$J$6,$AI182))),OR(BUSCAR!$J$8="",ISNUMBER(SEARCH(BUSCAR!$J$8,$AI182))),OR(BUSCAR!$J$9="",ISNUMBER(SEARCH(BUSCAR!$J$9,$AI182))),OR(NOT(BUSCAR!$J$2),AND(ISNUMBER($AF182),$AF182&gt;=BUSCAR!$J$3,$AF182&lt;=BUSCAR!$J$4))),1,0))</f>
      </c>
      <c r="AH182" s="42">
        <f t="shared" si="6"/>
      </c>
      <c r="AI182" s="42">
        <f t="shared" si="7"/>
      </c>
    </row>
    <row r="183" spans="1:35" x14ac:dyDescent="0.2">
      <c r="A183" s="66">
        <f t="shared" si="8"/>
      </c>
      <c r="B183" s="4"/>
      <c r="C183" s="4"/>
      <c r="D183" s="4"/>
      <c r="E183" s="4"/>
      <c r="F183" s="32"/>
      <c r="G183" s="8"/>
      <c r="H183" s="9"/>
      <c r="I183" s="8"/>
      <c r="J183" s="10"/>
      <c r="K183" s="8"/>
      <c r="L183" s="8"/>
      <c r="M183" s="8"/>
      <c r="N183" s="11"/>
      <c r="O183" s="9"/>
      <c r="P183" s="12"/>
      <c r="Q183" s="9"/>
      <c r="R183" s="13"/>
      <c r="S183" s="11"/>
      <c r="T183" s="11"/>
      <c r="U183" s="9"/>
      <c r="V183" s="9"/>
      <c r="W183" s="9"/>
      <c r="X183" s="16"/>
      <c r="AF183" s="42">
        <f>IF(BUSCAR!$C$8="FECHA NAC.",$G183,IF(BUSCAR!$C$8="PASAPORTE EXPIRA",$J183,IF(BUSCAR!$C$8="LICENCIA EMISION",$L183,IF(BUSCAR!$C$8="LICENCIA EXPIRA",$M183,""))))</f>
      </c>
      <c r="AG183" s="42">
        <f>IF($B183&amp;$C183&amp;$D183&amp;$E183&amp;$H183="",0,IF(AND(OR(BUSCAR!$J$5="",ISNUMBER(SEARCH(BUSCAR!$J$5,$AI183))),OR(BUSCAR!$J$6="",ISNUMBER(SEARCH(BUSCAR!$J$6,$AI183))),OR(BUSCAR!$J$8="",ISNUMBER(SEARCH(BUSCAR!$J$8,$AI183))),OR(BUSCAR!$J$9="",ISNUMBER(SEARCH(BUSCAR!$J$9,$AI183))),OR(NOT(BUSCAR!$J$2),AND(ISNUMBER($AF183),$AF183&gt;=BUSCAR!$J$3,$AF183&lt;=BUSCAR!$J$4))),1,0))</f>
      </c>
      <c r="AH183" s="42">
        <f t="shared" si="6"/>
      </c>
      <c r="AI183" s="42">
        <f t="shared" si="7"/>
      </c>
    </row>
    <row r="184" spans="1:35" x14ac:dyDescent="0.2">
      <c r="A184" s="66">
        <f t="shared" si="8"/>
      </c>
      <c r="B184" s="4"/>
      <c r="C184" s="4"/>
      <c r="D184" s="4"/>
      <c r="E184" s="4"/>
      <c r="F184" s="32"/>
      <c r="G184" s="8"/>
      <c r="H184" s="9"/>
      <c r="I184" s="8"/>
      <c r="J184" s="10"/>
      <c r="K184" s="8"/>
      <c r="L184" s="8"/>
      <c r="M184" s="8"/>
      <c r="N184" s="11"/>
      <c r="O184" s="9"/>
      <c r="P184" s="12"/>
      <c r="Q184" s="9"/>
      <c r="R184" s="13"/>
      <c r="S184" s="11"/>
      <c r="T184" s="11"/>
      <c r="U184" s="9"/>
      <c r="V184" s="9"/>
      <c r="W184" s="9"/>
      <c r="X184" s="16"/>
      <c r="AF184" s="42">
        <f>IF(BUSCAR!$C$8="FECHA NAC.",$G184,IF(BUSCAR!$C$8="PASAPORTE EXPIRA",$J184,IF(BUSCAR!$C$8="LICENCIA EMISION",$L184,IF(BUSCAR!$C$8="LICENCIA EXPIRA",$M184,""))))</f>
      </c>
      <c r="AG184" s="42">
        <f>IF($B184&amp;$C184&amp;$D184&amp;$E184&amp;$H184="",0,IF(AND(OR(BUSCAR!$J$5="",ISNUMBER(SEARCH(BUSCAR!$J$5,$AI184))),OR(BUSCAR!$J$6="",ISNUMBER(SEARCH(BUSCAR!$J$6,$AI184))),OR(BUSCAR!$J$8="",ISNUMBER(SEARCH(BUSCAR!$J$8,$AI184))),OR(BUSCAR!$J$9="",ISNUMBER(SEARCH(BUSCAR!$J$9,$AI184))),OR(NOT(BUSCAR!$J$2),AND(ISNUMBER($AF184),$AF184&gt;=BUSCAR!$J$3,$AF184&lt;=BUSCAR!$J$4))),1,0))</f>
      </c>
      <c r="AH184" s="42">
        <f t="shared" si="6"/>
      </c>
      <c r="AI184" s="42">
        <f t="shared" si="7"/>
      </c>
    </row>
    <row r="185" spans="1:35" x14ac:dyDescent="0.2">
      <c r="A185" s="66">
        <f t="shared" si="8"/>
      </c>
      <c r="B185" s="4"/>
      <c r="C185" s="4"/>
      <c r="D185" s="4"/>
      <c r="E185" s="4"/>
      <c r="F185" s="32"/>
      <c r="G185" s="8"/>
      <c r="H185" s="9"/>
      <c r="I185" s="8"/>
      <c r="J185" s="10"/>
      <c r="K185" s="8"/>
      <c r="L185" s="8"/>
      <c r="M185" s="8"/>
      <c r="N185" s="11"/>
      <c r="O185" s="9"/>
      <c r="P185" s="12"/>
      <c r="Q185" s="9"/>
      <c r="R185" s="13"/>
      <c r="S185" s="11"/>
      <c r="T185" s="11"/>
      <c r="U185" s="9"/>
      <c r="V185" s="9"/>
      <c r="W185" s="9"/>
      <c r="X185" s="16"/>
      <c r="AF185" s="42">
        <f>IF(BUSCAR!$C$8="FECHA NAC.",$G185,IF(BUSCAR!$C$8="PASAPORTE EXPIRA",$J185,IF(BUSCAR!$C$8="LICENCIA EMISION",$L185,IF(BUSCAR!$C$8="LICENCIA EXPIRA",$M185,""))))</f>
      </c>
      <c r="AG185" s="42">
        <f>IF($B185&amp;$C185&amp;$D185&amp;$E185&amp;$H185="",0,IF(AND(OR(BUSCAR!$J$5="",ISNUMBER(SEARCH(BUSCAR!$J$5,$AI185))),OR(BUSCAR!$J$6="",ISNUMBER(SEARCH(BUSCAR!$J$6,$AI185))),OR(BUSCAR!$J$8="",ISNUMBER(SEARCH(BUSCAR!$J$8,$AI185))),OR(BUSCAR!$J$9="",ISNUMBER(SEARCH(BUSCAR!$J$9,$AI185))),OR(NOT(BUSCAR!$J$2),AND(ISNUMBER($AF185),$AF185&gt;=BUSCAR!$J$3,$AF185&lt;=BUSCAR!$J$4))),1,0))</f>
      </c>
      <c r="AH185" s="42">
        <f t="shared" si="6"/>
      </c>
      <c r="AI185" s="42">
        <f t="shared" si="7"/>
      </c>
    </row>
    <row r="186" spans="1:35" x14ac:dyDescent="0.2">
      <c r="A186" s="66">
        <f t="shared" si="8"/>
      </c>
      <c r="B186" s="4"/>
      <c r="C186" s="4"/>
      <c r="D186" s="4"/>
      <c r="E186" s="4"/>
      <c r="F186" s="32"/>
      <c r="G186" s="8"/>
      <c r="H186" s="9"/>
      <c r="I186" s="8"/>
      <c r="J186" s="10"/>
      <c r="K186" s="8"/>
      <c r="L186" s="8"/>
      <c r="M186" s="8"/>
      <c r="N186" s="11"/>
      <c r="O186" s="9"/>
      <c r="P186" s="12"/>
      <c r="Q186" s="9"/>
      <c r="R186" s="13"/>
      <c r="S186" s="11"/>
      <c r="T186" s="11"/>
      <c r="U186" s="9"/>
      <c r="V186" s="9"/>
      <c r="W186" s="9"/>
      <c r="X186" s="16"/>
      <c r="AF186" s="42">
        <f>IF(BUSCAR!$C$8="FECHA NAC.",$G186,IF(BUSCAR!$C$8="PASAPORTE EXPIRA",$J186,IF(BUSCAR!$C$8="LICENCIA EMISION",$L186,IF(BUSCAR!$C$8="LICENCIA EXPIRA",$M186,""))))</f>
      </c>
      <c r="AG186" s="42">
        <f>IF($B186&amp;$C186&amp;$D186&amp;$E186&amp;$H186="",0,IF(AND(OR(BUSCAR!$J$5="",ISNUMBER(SEARCH(BUSCAR!$J$5,$AI186))),OR(BUSCAR!$J$6="",ISNUMBER(SEARCH(BUSCAR!$J$6,$AI186))),OR(BUSCAR!$J$8="",ISNUMBER(SEARCH(BUSCAR!$J$8,$AI186))),OR(BUSCAR!$J$9="",ISNUMBER(SEARCH(BUSCAR!$J$9,$AI186))),OR(NOT(BUSCAR!$J$2),AND(ISNUMBER($AF186),$AF186&gt;=BUSCAR!$J$3,$AF186&lt;=BUSCAR!$J$4))),1,0))</f>
      </c>
      <c r="AH186" s="42">
        <f t="shared" si="6"/>
      </c>
      <c r="AI186" s="42">
        <f t="shared" si="7"/>
      </c>
    </row>
    <row r="187" spans="1:35" x14ac:dyDescent="0.2">
      <c r="A187" s="66">
        <f t="shared" si="8"/>
      </c>
      <c r="B187" s="4"/>
      <c r="C187" s="4"/>
      <c r="D187" s="4"/>
      <c r="E187" s="4"/>
      <c r="F187" s="24"/>
      <c r="G187" s="8"/>
      <c r="H187" s="9"/>
      <c r="I187" s="8"/>
      <c r="J187" s="10"/>
      <c r="K187" s="8"/>
      <c r="L187" s="8"/>
      <c r="M187" s="8"/>
      <c r="N187" s="11"/>
      <c r="O187" s="9"/>
      <c r="P187" s="12"/>
      <c r="Q187" s="9"/>
      <c r="R187" s="13"/>
      <c r="S187" s="11"/>
      <c r="T187" s="11"/>
      <c r="U187" s="9"/>
      <c r="V187" s="9"/>
      <c r="W187" s="9"/>
      <c r="X187" s="16"/>
      <c r="AF187" s="42">
        <f>IF(BUSCAR!$C$8="FECHA NAC.",$G187,IF(BUSCAR!$C$8="PASAPORTE EXPIRA",$J187,IF(BUSCAR!$C$8="LICENCIA EMISION",$L187,IF(BUSCAR!$C$8="LICENCIA EXPIRA",$M187,""))))</f>
      </c>
      <c r="AG187" s="42">
        <f>IF($B187&amp;$C187&amp;$D187&amp;$E187&amp;$H187="",0,IF(AND(OR(BUSCAR!$J$5="",ISNUMBER(SEARCH(BUSCAR!$J$5,$AI187))),OR(BUSCAR!$J$6="",ISNUMBER(SEARCH(BUSCAR!$J$6,$AI187))),OR(BUSCAR!$J$8="",ISNUMBER(SEARCH(BUSCAR!$J$8,$AI187))),OR(BUSCAR!$J$9="",ISNUMBER(SEARCH(BUSCAR!$J$9,$AI187))),OR(NOT(BUSCAR!$J$2),AND(ISNUMBER($AF187),$AF187&gt;=BUSCAR!$J$3,$AF187&lt;=BUSCAR!$J$4))),1,0))</f>
      </c>
      <c r="AH187" s="42">
        <f t="shared" si="6"/>
      </c>
      <c r="AI187" s="42">
        <f t="shared" si="7"/>
      </c>
    </row>
    <row r="188" spans="1:35" x14ac:dyDescent="0.2">
      <c r="A188" s="66">
        <f t="shared" si="8"/>
      </c>
      <c r="B188" s="4"/>
      <c r="C188" s="4"/>
      <c r="D188" s="4"/>
      <c r="E188" s="4"/>
      <c r="F188" s="32"/>
      <c r="G188" s="8"/>
      <c r="H188" s="9"/>
      <c r="I188" s="8"/>
      <c r="J188" s="10"/>
      <c r="K188" s="8"/>
      <c r="L188" s="8"/>
      <c r="M188" s="8"/>
      <c r="N188" s="11"/>
      <c r="O188" s="9"/>
      <c r="P188" s="12"/>
      <c r="Q188" s="9"/>
      <c r="R188" s="13"/>
      <c r="S188" s="11"/>
      <c r="T188" s="11"/>
      <c r="U188" s="9"/>
      <c r="V188" s="9"/>
      <c r="W188" s="9"/>
      <c r="X188" s="16"/>
      <c r="AF188" s="42">
        <f>IF(BUSCAR!$C$8="FECHA NAC.",$G188,IF(BUSCAR!$C$8="PASAPORTE EXPIRA",$J188,IF(BUSCAR!$C$8="LICENCIA EMISION",$L188,IF(BUSCAR!$C$8="LICENCIA EXPIRA",$M188,""))))</f>
      </c>
      <c r="AG188" s="42">
        <f>IF($B188&amp;$C188&amp;$D188&amp;$E188&amp;$H188="",0,IF(AND(OR(BUSCAR!$J$5="",ISNUMBER(SEARCH(BUSCAR!$J$5,$AI188))),OR(BUSCAR!$J$6="",ISNUMBER(SEARCH(BUSCAR!$J$6,$AI188))),OR(BUSCAR!$J$8="",ISNUMBER(SEARCH(BUSCAR!$J$8,$AI188))),OR(BUSCAR!$J$9="",ISNUMBER(SEARCH(BUSCAR!$J$9,$AI188))),OR(NOT(BUSCAR!$J$2),AND(ISNUMBER($AF188),$AF188&gt;=BUSCAR!$J$3,$AF188&lt;=BUSCAR!$J$4))),1,0))</f>
      </c>
      <c r="AH188" s="42">
        <f t="shared" si="6"/>
      </c>
      <c r="AI188" s="42">
        <f t="shared" si="7"/>
      </c>
    </row>
    <row r="189" spans="1:35" x14ac:dyDescent="0.2">
      <c r="A189" s="66">
        <f t="shared" si="8"/>
      </c>
      <c r="B189" s="4"/>
      <c r="C189" s="4"/>
      <c r="D189" s="4"/>
      <c r="E189" s="4"/>
      <c r="F189" s="32"/>
      <c r="G189" s="8"/>
      <c r="H189" s="9"/>
      <c r="I189" s="8"/>
      <c r="J189" s="10"/>
      <c r="K189" s="8"/>
      <c r="L189" s="8"/>
      <c r="M189" s="8"/>
      <c r="N189" s="11"/>
      <c r="O189" s="9"/>
      <c r="P189" s="12"/>
      <c r="Q189" s="9"/>
      <c r="R189" s="13"/>
      <c r="S189" s="11"/>
      <c r="T189" s="11"/>
      <c r="U189" s="9"/>
      <c r="V189" s="9"/>
      <c r="W189" s="9"/>
      <c r="X189" s="16"/>
      <c r="AF189" s="42">
        <f>IF(BUSCAR!$C$8="FECHA NAC.",$G189,IF(BUSCAR!$C$8="PASAPORTE EXPIRA",$J189,IF(BUSCAR!$C$8="LICENCIA EMISION",$L189,IF(BUSCAR!$C$8="LICENCIA EXPIRA",$M189,""))))</f>
      </c>
      <c r="AG189" s="42">
        <f>IF($B189&amp;$C189&amp;$D189&amp;$E189&amp;$H189="",0,IF(AND(OR(BUSCAR!$J$5="",ISNUMBER(SEARCH(BUSCAR!$J$5,$AI189))),OR(BUSCAR!$J$6="",ISNUMBER(SEARCH(BUSCAR!$J$6,$AI189))),OR(BUSCAR!$J$8="",ISNUMBER(SEARCH(BUSCAR!$J$8,$AI189))),OR(BUSCAR!$J$9="",ISNUMBER(SEARCH(BUSCAR!$J$9,$AI189))),OR(NOT(BUSCAR!$J$2),AND(ISNUMBER($AF189),$AF189&gt;=BUSCAR!$J$3,$AF189&lt;=BUSCAR!$J$4))),1,0))</f>
      </c>
      <c r="AH189" s="42">
        <f t="shared" si="6"/>
      </c>
      <c r="AI189" s="42">
        <f t="shared" si="7"/>
      </c>
    </row>
    <row r="190" spans="1:35" x14ac:dyDescent="0.2">
      <c r="A190" s="66">
        <f t="shared" si="8"/>
      </c>
      <c r="B190" s="4"/>
      <c r="C190" s="4"/>
      <c r="D190" s="4"/>
      <c r="E190" s="4"/>
      <c r="F190" s="32"/>
      <c r="G190" s="8"/>
      <c r="H190" s="9"/>
      <c r="I190" s="8"/>
      <c r="J190" s="10"/>
      <c r="K190" s="8"/>
      <c r="L190" s="8"/>
      <c r="M190" s="8"/>
      <c r="N190" s="11"/>
      <c r="O190" s="9"/>
      <c r="P190" s="12"/>
      <c r="Q190" s="9"/>
      <c r="R190" s="13"/>
      <c r="S190" s="11"/>
      <c r="T190" s="11"/>
      <c r="U190" s="9"/>
      <c r="V190" s="9"/>
      <c r="W190" s="9"/>
      <c r="X190" s="16"/>
      <c r="AF190" s="42">
        <f>IF(BUSCAR!$C$8="FECHA NAC.",$G190,IF(BUSCAR!$C$8="PASAPORTE EXPIRA",$J190,IF(BUSCAR!$C$8="LICENCIA EMISION",$L190,IF(BUSCAR!$C$8="LICENCIA EXPIRA",$M190,""))))</f>
      </c>
      <c r="AG190" s="42">
        <f>IF($B190&amp;$C190&amp;$D190&amp;$E190&amp;$H190="",0,IF(AND(OR(BUSCAR!$J$5="",ISNUMBER(SEARCH(BUSCAR!$J$5,$AI190))),OR(BUSCAR!$J$6="",ISNUMBER(SEARCH(BUSCAR!$J$6,$AI190))),OR(BUSCAR!$J$8="",ISNUMBER(SEARCH(BUSCAR!$J$8,$AI190))),OR(BUSCAR!$J$9="",ISNUMBER(SEARCH(BUSCAR!$J$9,$AI190))),OR(NOT(BUSCAR!$J$2),AND(ISNUMBER($AF190),$AF190&gt;=BUSCAR!$J$3,$AF190&lt;=BUSCAR!$J$4))),1,0))</f>
      </c>
      <c r="AH190" s="42">
        <f t="shared" si="6"/>
      </c>
      <c r="AI190" s="42">
        <f t="shared" si="7"/>
      </c>
    </row>
    <row r="191" spans="1:35" x14ac:dyDescent="0.2">
      <c r="A191" s="66">
        <f t="shared" si="8"/>
      </c>
      <c r="B191" s="4"/>
      <c r="C191" s="4"/>
      <c r="D191" s="4"/>
      <c r="E191" s="4"/>
      <c r="F191" s="32"/>
      <c r="G191" s="8"/>
      <c r="H191" s="9"/>
      <c r="I191" s="8"/>
      <c r="J191" s="10"/>
      <c r="K191" s="8"/>
      <c r="L191" s="8"/>
      <c r="M191" s="8"/>
      <c r="N191" s="11"/>
      <c r="O191" s="9"/>
      <c r="P191" s="12"/>
      <c r="Q191" s="9"/>
      <c r="R191" s="13"/>
      <c r="S191" s="11"/>
      <c r="T191" s="11"/>
      <c r="U191" s="9"/>
      <c r="V191" s="9"/>
      <c r="W191" s="9"/>
      <c r="X191" s="16"/>
      <c r="AF191" s="42">
        <f>IF(BUSCAR!$C$8="FECHA NAC.",$G191,IF(BUSCAR!$C$8="PASAPORTE EXPIRA",$J191,IF(BUSCAR!$C$8="LICENCIA EMISION",$L191,IF(BUSCAR!$C$8="LICENCIA EXPIRA",$M191,""))))</f>
      </c>
      <c r="AG191" s="42">
        <f>IF($B191&amp;$C191&amp;$D191&amp;$E191&amp;$H191="",0,IF(AND(OR(BUSCAR!$J$5="",ISNUMBER(SEARCH(BUSCAR!$J$5,$AI191))),OR(BUSCAR!$J$6="",ISNUMBER(SEARCH(BUSCAR!$J$6,$AI191))),OR(BUSCAR!$J$8="",ISNUMBER(SEARCH(BUSCAR!$J$8,$AI191))),OR(BUSCAR!$J$9="",ISNUMBER(SEARCH(BUSCAR!$J$9,$AI191))),OR(NOT(BUSCAR!$J$2),AND(ISNUMBER($AF191),$AF191&gt;=BUSCAR!$J$3,$AF191&lt;=BUSCAR!$J$4))),1,0))</f>
      </c>
      <c r="AH191" s="42">
        <f t="shared" si="6"/>
      </c>
      <c r="AI191" s="42">
        <f t="shared" si="7"/>
      </c>
    </row>
    <row r="192" spans="1:35" x14ac:dyDescent="0.2">
      <c r="A192" s="66">
        <f t="shared" si="8"/>
      </c>
      <c r="B192" s="4"/>
      <c r="C192" s="4"/>
      <c r="D192" s="4"/>
      <c r="E192" s="4"/>
      <c r="F192" s="32"/>
      <c r="G192" s="8"/>
      <c r="H192" s="9"/>
      <c r="I192" s="8"/>
      <c r="J192" s="10"/>
      <c r="K192" s="8"/>
      <c r="L192" s="8"/>
      <c r="M192" s="8"/>
      <c r="N192" s="11"/>
      <c r="O192" s="9"/>
      <c r="P192" s="12"/>
      <c r="Q192" s="9"/>
      <c r="R192" s="13"/>
      <c r="S192" s="11"/>
      <c r="T192" s="11"/>
      <c r="U192" s="9"/>
      <c r="V192" s="9"/>
      <c r="W192" s="9"/>
      <c r="X192" s="16"/>
      <c r="AF192" s="42">
        <f>IF(BUSCAR!$C$8="FECHA NAC.",$G192,IF(BUSCAR!$C$8="PASAPORTE EXPIRA",$J192,IF(BUSCAR!$C$8="LICENCIA EMISION",$L192,IF(BUSCAR!$C$8="LICENCIA EXPIRA",$M192,""))))</f>
      </c>
      <c r="AG192" s="42">
        <f>IF($B192&amp;$C192&amp;$D192&amp;$E192&amp;$H192="",0,IF(AND(OR(BUSCAR!$J$5="",ISNUMBER(SEARCH(BUSCAR!$J$5,$AI192))),OR(BUSCAR!$J$6="",ISNUMBER(SEARCH(BUSCAR!$J$6,$AI192))),OR(BUSCAR!$J$8="",ISNUMBER(SEARCH(BUSCAR!$J$8,$AI192))),OR(BUSCAR!$J$9="",ISNUMBER(SEARCH(BUSCAR!$J$9,$AI192))),OR(NOT(BUSCAR!$J$2),AND(ISNUMBER($AF192),$AF192&gt;=BUSCAR!$J$3,$AF192&lt;=BUSCAR!$J$4))),1,0))</f>
      </c>
      <c r="AH192" s="42">
        <f t="shared" si="6"/>
      </c>
      <c r="AI192" s="42">
        <f t="shared" si="7"/>
      </c>
    </row>
    <row r="193" spans="1:35" x14ac:dyDescent="0.2">
      <c r="A193" s="66">
        <f t="shared" si="8"/>
      </c>
      <c r="B193" s="4"/>
      <c r="C193" s="4"/>
      <c r="D193" s="4"/>
      <c r="E193" s="4"/>
      <c r="F193" s="32"/>
      <c r="G193" s="8"/>
      <c r="H193" s="9"/>
      <c r="I193" s="8"/>
      <c r="J193" s="10"/>
      <c r="K193" s="8"/>
      <c r="L193" s="8"/>
      <c r="M193" s="8"/>
      <c r="N193" s="11"/>
      <c r="O193" s="9"/>
      <c r="P193" s="12"/>
      <c r="Q193" s="9"/>
      <c r="R193" s="13"/>
      <c r="S193" s="11"/>
      <c r="T193" s="11"/>
      <c r="U193" s="9"/>
      <c r="V193" s="9"/>
      <c r="W193" s="9"/>
      <c r="X193" s="16"/>
      <c r="AF193" s="42">
        <f>IF(BUSCAR!$C$8="FECHA NAC.",$G193,IF(BUSCAR!$C$8="PASAPORTE EXPIRA",$J193,IF(BUSCAR!$C$8="LICENCIA EMISION",$L193,IF(BUSCAR!$C$8="LICENCIA EXPIRA",$M193,""))))</f>
      </c>
      <c r="AG193" s="42">
        <f>IF($B193&amp;$C193&amp;$D193&amp;$E193&amp;$H193="",0,IF(AND(OR(BUSCAR!$J$5="",ISNUMBER(SEARCH(BUSCAR!$J$5,$AI193))),OR(BUSCAR!$J$6="",ISNUMBER(SEARCH(BUSCAR!$J$6,$AI193))),OR(BUSCAR!$J$8="",ISNUMBER(SEARCH(BUSCAR!$J$8,$AI193))),OR(BUSCAR!$J$9="",ISNUMBER(SEARCH(BUSCAR!$J$9,$AI193))),OR(NOT(BUSCAR!$J$2),AND(ISNUMBER($AF193),$AF193&gt;=BUSCAR!$J$3,$AF193&lt;=BUSCAR!$J$4))),1,0))</f>
      </c>
      <c r="AH193" s="42">
        <f t="shared" si="6"/>
      </c>
      <c r="AI193" s="42">
        <f t="shared" si="7"/>
      </c>
    </row>
    <row r="194" spans="1:35" x14ac:dyDescent="0.2">
      <c r="A194" s="66">
        <f t="shared" si="8"/>
      </c>
      <c r="B194" s="4"/>
      <c r="C194" s="4"/>
      <c r="D194" s="4"/>
      <c r="E194" s="4"/>
      <c r="F194" s="32"/>
      <c r="G194" s="8"/>
      <c r="H194" s="9"/>
      <c r="I194" s="8"/>
      <c r="J194" s="10"/>
      <c r="K194" s="8"/>
      <c r="L194" s="8"/>
      <c r="M194" s="8"/>
      <c r="N194" s="11"/>
      <c r="O194" s="9"/>
      <c r="P194" s="12"/>
      <c r="Q194" s="9"/>
      <c r="R194" s="13"/>
      <c r="S194" s="11"/>
      <c r="T194" s="11"/>
      <c r="U194" s="9"/>
      <c r="V194" s="9"/>
      <c r="W194" s="9"/>
      <c r="X194" s="16"/>
      <c r="AF194" s="42">
        <f>IF(BUSCAR!$C$8="FECHA NAC.",$G194,IF(BUSCAR!$C$8="PASAPORTE EXPIRA",$J194,IF(BUSCAR!$C$8="LICENCIA EMISION",$L194,IF(BUSCAR!$C$8="LICENCIA EXPIRA",$M194,""))))</f>
      </c>
      <c r="AG194" s="42">
        <f>IF($B194&amp;$C194&amp;$D194&amp;$E194&amp;$H194="",0,IF(AND(OR(BUSCAR!$J$5="",ISNUMBER(SEARCH(BUSCAR!$J$5,$AI194))),OR(BUSCAR!$J$6="",ISNUMBER(SEARCH(BUSCAR!$J$6,$AI194))),OR(BUSCAR!$J$8="",ISNUMBER(SEARCH(BUSCAR!$J$8,$AI194))),OR(BUSCAR!$J$9="",ISNUMBER(SEARCH(BUSCAR!$J$9,$AI194))),OR(NOT(BUSCAR!$J$2),AND(ISNUMBER($AF194),$AF194&gt;=BUSCAR!$J$3,$AF194&lt;=BUSCAR!$J$4))),1,0))</f>
      </c>
      <c r="AH194" s="42">
        <f t="shared" si="6"/>
      </c>
      <c r="AI194" s="42">
        <f t="shared" si="7"/>
      </c>
    </row>
    <row r="195" spans="1:35" x14ac:dyDescent="0.2">
      <c r="A195" s="66">
        <f t="shared" si="8"/>
      </c>
      <c r="B195" s="4"/>
      <c r="C195" s="4"/>
      <c r="D195" s="4"/>
      <c r="E195" s="4"/>
      <c r="F195" s="32"/>
      <c r="G195" s="8"/>
      <c r="H195" s="9"/>
      <c r="I195" s="8"/>
      <c r="J195" s="10"/>
      <c r="K195" s="8"/>
      <c r="L195" s="8"/>
      <c r="M195" s="8"/>
      <c r="N195" s="11"/>
      <c r="O195" s="9"/>
      <c r="P195" s="12"/>
      <c r="Q195" s="9"/>
      <c r="R195" s="13"/>
      <c r="S195" s="11"/>
      <c r="T195" s="11"/>
      <c r="U195" s="9"/>
      <c r="V195" s="9"/>
      <c r="W195" s="9"/>
      <c r="X195" s="16"/>
      <c r="AF195" s="42">
        <f>IF(BUSCAR!$C$8="FECHA NAC.",$G195,IF(BUSCAR!$C$8="PASAPORTE EXPIRA",$J195,IF(BUSCAR!$C$8="LICENCIA EMISION",$L195,IF(BUSCAR!$C$8="LICENCIA EXPIRA",$M195,""))))</f>
      </c>
      <c r="AG195" s="42">
        <f>IF($B195&amp;$C195&amp;$D195&amp;$E195&amp;$H195="",0,IF(AND(OR(BUSCAR!$J$5="",ISNUMBER(SEARCH(BUSCAR!$J$5,$AI195))),OR(BUSCAR!$J$6="",ISNUMBER(SEARCH(BUSCAR!$J$6,$AI195))),OR(BUSCAR!$J$8="",ISNUMBER(SEARCH(BUSCAR!$J$8,$AI195))),OR(BUSCAR!$J$9="",ISNUMBER(SEARCH(BUSCAR!$J$9,$AI195))),OR(NOT(BUSCAR!$J$2),AND(ISNUMBER($AF195),$AF195&gt;=BUSCAR!$J$3,$AF195&lt;=BUSCAR!$J$4))),1,0))</f>
      </c>
      <c r="AH195" s="42">
        <f t="shared" ref="AH195:AH258" si="9">AH194+AG195</f>
      </c>
      <c r="AI195" s="42">
        <f t="shared" ref="AI195:AI258" si="10">IF($B195&amp;" "&amp;$C195&amp;" "&amp;$D195&amp;" "&amp;$E195&amp;" "&amp;$H195&amp;" "&amp;$K195&amp;" "&amp;$R195&amp;" "&amp;$AC195&amp;" "&amp;$AD195="","",SUBSTITUTE(SUBSTITUTE(SUBSTITUTE(SUBSTITUTE(SUBSTITUTE(SUBSTITUTE(SUBSTITUTE(UPPER($B195&amp;" "&amp;$C195&amp;" "&amp;$D195&amp;" "&amp;$E195&amp;" "&amp;$H195&amp;" "&amp;$K195&amp;" "&amp;$R195&amp;" "&amp;$AC195&amp;" "&amp;$AD195),"Á","A"),"É","E"),"Í","I"),"Ó","O"),"Ú","U"),"Ü","U"),"Ñ","N"))</f>
      </c>
    </row>
    <row r="196" spans="1:35" x14ac:dyDescent="0.2">
      <c r="A196" s="66">
        <f t="shared" ref="A196:A259" si="11">A195+1</f>
      </c>
      <c r="B196" s="4"/>
      <c r="C196" s="4"/>
      <c r="D196" s="4"/>
      <c r="E196" s="4"/>
      <c r="F196" s="32"/>
      <c r="G196" s="8"/>
      <c r="H196" s="9"/>
      <c r="I196" s="8"/>
      <c r="J196" s="10"/>
      <c r="K196" s="8"/>
      <c r="L196" s="8"/>
      <c r="M196" s="8"/>
      <c r="N196" s="11"/>
      <c r="O196" s="9"/>
      <c r="P196" s="12"/>
      <c r="Q196" s="9"/>
      <c r="R196" s="13"/>
      <c r="S196" s="11"/>
      <c r="T196" s="11"/>
      <c r="U196" s="9"/>
      <c r="V196" s="9"/>
      <c r="W196" s="9"/>
      <c r="X196" s="16"/>
      <c r="AF196" s="42">
        <f>IF(BUSCAR!$C$8="FECHA NAC.",$G196,IF(BUSCAR!$C$8="PASAPORTE EXPIRA",$J196,IF(BUSCAR!$C$8="LICENCIA EMISION",$L196,IF(BUSCAR!$C$8="LICENCIA EXPIRA",$M196,""))))</f>
      </c>
      <c r="AG196" s="42">
        <f>IF($B196&amp;$C196&amp;$D196&amp;$E196&amp;$H196="",0,IF(AND(OR(BUSCAR!$J$5="",ISNUMBER(SEARCH(BUSCAR!$J$5,$AI196))),OR(BUSCAR!$J$6="",ISNUMBER(SEARCH(BUSCAR!$J$6,$AI196))),OR(BUSCAR!$J$8="",ISNUMBER(SEARCH(BUSCAR!$J$8,$AI196))),OR(BUSCAR!$J$9="",ISNUMBER(SEARCH(BUSCAR!$J$9,$AI196))),OR(NOT(BUSCAR!$J$2),AND(ISNUMBER($AF196),$AF196&gt;=BUSCAR!$J$3,$AF196&lt;=BUSCAR!$J$4))),1,0))</f>
      </c>
      <c r="AH196" s="42">
        <f t="shared" si="9"/>
      </c>
      <c r="AI196" s="42">
        <f t="shared" si="10"/>
      </c>
    </row>
    <row r="197" spans="1:35" x14ac:dyDescent="0.2">
      <c r="A197" s="66">
        <f t="shared" si="11"/>
      </c>
      <c r="B197" s="4"/>
      <c r="C197" s="4"/>
      <c r="D197" s="4"/>
      <c r="E197" s="4"/>
      <c r="F197" s="32"/>
      <c r="G197" s="8"/>
      <c r="H197" s="9"/>
      <c r="I197" s="8"/>
      <c r="J197" s="10"/>
      <c r="K197" s="8"/>
      <c r="L197" s="8"/>
      <c r="M197" s="8"/>
      <c r="N197" s="11"/>
      <c r="O197" s="9"/>
      <c r="P197" s="12"/>
      <c r="Q197" s="9"/>
      <c r="R197" s="13"/>
      <c r="S197" s="11"/>
      <c r="T197" s="11"/>
      <c r="U197" s="9"/>
      <c r="V197" s="9"/>
      <c r="W197" s="9"/>
      <c r="X197" s="16"/>
      <c r="AF197" s="42">
        <f>IF(BUSCAR!$C$8="FECHA NAC.",$G197,IF(BUSCAR!$C$8="PASAPORTE EXPIRA",$J197,IF(BUSCAR!$C$8="LICENCIA EMISION",$L197,IF(BUSCAR!$C$8="LICENCIA EXPIRA",$M197,""))))</f>
      </c>
      <c r="AG197" s="42">
        <f>IF($B197&amp;$C197&amp;$D197&amp;$E197&amp;$H197="",0,IF(AND(OR(BUSCAR!$J$5="",ISNUMBER(SEARCH(BUSCAR!$J$5,$AI197))),OR(BUSCAR!$J$6="",ISNUMBER(SEARCH(BUSCAR!$J$6,$AI197))),OR(BUSCAR!$J$8="",ISNUMBER(SEARCH(BUSCAR!$J$8,$AI197))),OR(BUSCAR!$J$9="",ISNUMBER(SEARCH(BUSCAR!$J$9,$AI197))),OR(NOT(BUSCAR!$J$2),AND(ISNUMBER($AF197),$AF197&gt;=BUSCAR!$J$3,$AF197&lt;=BUSCAR!$J$4))),1,0))</f>
      </c>
      <c r="AH197" s="42">
        <f t="shared" si="9"/>
      </c>
      <c r="AI197" s="42">
        <f t="shared" si="10"/>
      </c>
    </row>
    <row r="198" spans="1:35" x14ac:dyDescent="0.2">
      <c r="A198" s="66">
        <f t="shared" si="11"/>
      </c>
      <c r="B198" s="4"/>
      <c r="C198" s="4"/>
      <c r="D198" s="4"/>
      <c r="E198" s="4"/>
      <c r="F198" s="32"/>
      <c r="G198" s="8"/>
      <c r="H198" s="9"/>
      <c r="I198" s="8"/>
      <c r="J198" s="10"/>
      <c r="K198" s="8"/>
      <c r="L198" s="8"/>
      <c r="M198" s="8"/>
      <c r="N198" s="11"/>
      <c r="O198" s="9"/>
      <c r="P198" s="12"/>
      <c r="Q198" s="9"/>
      <c r="R198" s="13"/>
      <c r="S198" s="11"/>
      <c r="T198" s="11"/>
      <c r="U198" s="9"/>
      <c r="V198" s="9"/>
      <c r="W198" s="9"/>
      <c r="X198" s="16"/>
      <c r="AF198" s="42">
        <f>IF(BUSCAR!$C$8="FECHA NAC.",$G198,IF(BUSCAR!$C$8="PASAPORTE EXPIRA",$J198,IF(BUSCAR!$C$8="LICENCIA EMISION",$L198,IF(BUSCAR!$C$8="LICENCIA EXPIRA",$M198,""))))</f>
      </c>
      <c r="AG198" s="42">
        <f>IF($B198&amp;$C198&amp;$D198&amp;$E198&amp;$H198="",0,IF(AND(OR(BUSCAR!$J$5="",ISNUMBER(SEARCH(BUSCAR!$J$5,$AI198))),OR(BUSCAR!$J$6="",ISNUMBER(SEARCH(BUSCAR!$J$6,$AI198))),OR(BUSCAR!$J$8="",ISNUMBER(SEARCH(BUSCAR!$J$8,$AI198))),OR(BUSCAR!$J$9="",ISNUMBER(SEARCH(BUSCAR!$J$9,$AI198))),OR(NOT(BUSCAR!$J$2),AND(ISNUMBER($AF198),$AF198&gt;=BUSCAR!$J$3,$AF198&lt;=BUSCAR!$J$4))),1,0))</f>
      </c>
      <c r="AH198" s="42">
        <f t="shared" si="9"/>
      </c>
      <c r="AI198" s="42">
        <f t="shared" si="10"/>
      </c>
    </row>
    <row r="199" spans="1:35" x14ac:dyDescent="0.2">
      <c r="A199" s="66">
        <f t="shared" si="11"/>
      </c>
      <c r="B199" s="4"/>
      <c r="C199" s="4"/>
      <c r="D199" s="4"/>
      <c r="E199" s="4"/>
      <c r="F199" s="32"/>
      <c r="G199" s="8"/>
      <c r="H199" s="9"/>
      <c r="I199" s="8"/>
      <c r="J199" s="10"/>
      <c r="K199" s="8"/>
      <c r="L199" s="8"/>
      <c r="M199" s="8"/>
      <c r="N199" s="11"/>
      <c r="O199" s="9"/>
      <c r="P199" s="12"/>
      <c r="Q199" s="9"/>
      <c r="R199" s="13"/>
      <c r="S199" s="11"/>
      <c r="T199" s="11"/>
      <c r="U199" s="9"/>
      <c r="V199" s="9"/>
      <c r="W199" s="9"/>
      <c r="X199" s="16"/>
      <c r="AF199" s="42">
        <f>IF(BUSCAR!$C$8="FECHA NAC.",$G199,IF(BUSCAR!$C$8="PASAPORTE EXPIRA",$J199,IF(BUSCAR!$C$8="LICENCIA EMISION",$L199,IF(BUSCAR!$C$8="LICENCIA EXPIRA",$M199,""))))</f>
      </c>
      <c r="AG199" s="42">
        <f>IF($B199&amp;$C199&amp;$D199&amp;$E199&amp;$H199="",0,IF(AND(OR(BUSCAR!$J$5="",ISNUMBER(SEARCH(BUSCAR!$J$5,$AI199))),OR(BUSCAR!$J$6="",ISNUMBER(SEARCH(BUSCAR!$J$6,$AI199))),OR(BUSCAR!$J$8="",ISNUMBER(SEARCH(BUSCAR!$J$8,$AI199))),OR(BUSCAR!$J$9="",ISNUMBER(SEARCH(BUSCAR!$J$9,$AI199))),OR(NOT(BUSCAR!$J$2),AND(ISNUMBER($AF199),$AF199&gt;=BUSCAR!$J$3,$AF199&lt;=BUSCAR!$J$4))),1,0))</f>
      </c>
      <c r="AH199" s="42">
        <f t="shared" si="9"/>
      </c>
      <c r="AI199" s="42">
        <f t="shared" si="10"/>
      </c>
    </row>
    <row r="200" spans="1:35" x14ac:dyDescent="0.2">
      <c r="A200" s="66">
        <f t="shared" si="11"/>
      </c>
      <c r="B200" s="4"/>
      <c r="C200" s="4"/>
      <c r="D200" s="4"/>
      <c r="E200" s="4"/>
      <c r="F200" s="32"/>
      <c r="G200" s="8"/>
      <c r="H200" s="9"/>
      <c r="I200" s="8"/>
      <c r="J200" s="10"/>
      <c r="K200" s="8"/>
      <c r="L200" s="8"/>
      <c r="M200" s="8"/>
      <c r="N200" s="11"/>
      <c r="O200" s="9"/>
      <c r="P200" s="12"/>
      <c r="Q200" s="9"/>
      <c r="R200" s="13"/>
      <c r="S200" s="11"/>
      <c r="T200" s="11"/>
      <c r="U200" s="9"/>
      <c r="V200" s="9"/>
      <c r="W200" s="9"/>
      <c r="X200" s="16"/>
      <c r="AF200" s="42">
        <f>IF(BUSCAR!$C$8="FECHA NAC.",$G200,IF(BUSCAR!$C$8="PASAPORTE EXPIRA",$J200,IF(BUSCAR!$C$8="LICENCIA EMISION",$L200,IF(BUSCAR!$C$8="LICENCIA EXPIRA",$M200,""))))</f>
      </c>
      <c r="AG200" s="42">
        <f>IF($B200&amp;$C200&amp;$D200&amp;$E200&amp;$H200="",0,IF(AND(OR(BUSCAR!$J$5="",ISNUMBER(SEARCH(BUSCAR!$J$5,$AI200))),OR(BUSCAR!$J$6="",ISNUMBER(SEARCH(BUSCAR!$J$6,$AI200))),OR(BUSCAR!$J$8="",ISNUMBER(SEARCH(BUSCAR!$J$8,$AI200))),OR(BUSCAR!$J$9="",ISNUMBER(SEARCH(BUSCAR!$J$9,$AI200))),OR(NOT(BUSCAR!$J$2),AND(ISNUMBER($AF200),$AF200&gt;=BUSCAR!$J$3,$AF200&lt;=BUSCAR!$J$4))),1,0))</f>
      </c>
      <c r="AH200" s="42">
        <f t="shared" si="9"/>
      </c>
      <c r="AI200" s="42">
        <f t="shared" si="10"/>
      </c>
    </row>
    <row r="201" spans="1:35" x14ac:dyDescent="0.2">
      <c r="A201" s="66">
        <f t="shared" si="11"/>
      </c>
      <c r="B201" s="4"/>
      <c r="C201" s="4"/>
      <c r="D201" s="4"/>
      <c r="E201" s="4"/>
      <c r="F201" s="32"/>
      <c r="G201" s="8"/>
      <c r="H201" s="9"/>
      <c r="I201" s="8"/>
      <c r="J201" s="10"/>
      <c r="K201" s="8"/>
      <c r="L201" s="8"/>
      <c r="M201" s="8"/>
      <c r="N201" s="11"/>
      <c r="O201" s="9"/>
      <c r="P201" s="12"/>
      <c r="Q201" s="9"/>
      <c r="R201" s="13"/>
      <c r="S201" s="11"/>
      <c r="T201" s="11"/>
      <c r="U201" s="9"/>
      <c r="V201" s="9"/>
      <c r="W201" s="9"/>
      <c r="X201" s="16"/>
      <c r="AF201" s="42">
        <f>IF(BUSCAR!$C$8="FECHA NAC.",$G201,IF(BUSCAR!$C$8="PASAPORTE EXPIRA",$J201,IF(BUSCAR!$C$8="LICENCIA EMISION",$L201,IF(BUSCAR!$C$8="LICENCIA EXPIRA",$M201,""))))</f>
      </c>
      <c r="AG201" s="42">
        <f>IF($B201&amp;$C201&amp;$D201&amp;$E201&amp;$H201="",0,IF(AND(OR(BUSCAR!$J$5="",ISNUMBER(SEARCH(BUSCAR!$J$5,$AI201))),OR(BUSCAR!$J$6="",ISNUMBER(SEARCH(BUSCAR!$J$6,$AI201))),OR(BUSCAR!$J$8="",ISNUMBER(SEARCH(BUSCAR!$J$8,$AI201))),OR(BUSCAR!$J$9="",ISNUMBER(SEARCH(BUSCAR!$J$9,$AI201))),OR(NOT(BUSCAR!$J$2),AND(ISNUMBER($AF201),$AF201&gt;=BUSCAR!$J$3,$AF201&lt;=BUSCAR!$J$4))),1,0))</f>
      </c>
      <c r="AH201" s="42">
        <f t="shared" si="9"/>
      </c>
      <c r="AI201" s="42">
        <f t="shared" si="10"/>
      </c>
    </row>
    <row r="202" spans="1:35" x14ac:dyDescent="0.2">
      <c r="A202" s="66">
        <f t="shared" si="11"/>
      </c>
      <c r="B202" s="4"/>
      <c r="C202" s="4"/>
      <c r="D202" s="4"/>
      <c r="E202" s="4"/>
      <c r="F202" s="32"/>
      <c r="G202" s="8"/>
      <c r="H202" s="9"/>
      <c r="I202" s="8"/>
      <c r="J202" s="10"/>
      <c r="K202" s="8"/>
      <c r="L202" s="8"/>
      <c r="M202" s="8"/>
      <c r="N202" s="11"/>
      <c r="O202" s="9"/>
      <c r="P202" s="12"/>
      <c r="Q202" s="9"/>
      <c r="R202" s="13"/>
      <c r="S202" s="11"/>
      <c r="T202" s="11"/>
      <c r="U202" s="9"/>
      <c r="V202" s="9"/>
      <c r="W202" s="9"/>
      <c r="X202" s="16"/>
      <c r="AF202" s="42">
        <f>IF(BUSCAR!$C$8="FECHA NAC.",$G202,IF(BUSCAR!$C$8="PASAPORTE EXPIRA",$J202,IF(BUSCAR!$C$8="LICENCIA EMISION",$L202,IF(BUSCAR!$C$8="LICENCIA EXPIRA",$M202,""))))</f>
      </c>
      <c r="AG202" s="42">
        <f>IF($B202&amp;$C202&amp;$D202&amp;$E202&amp;$H202="",0,IF(AND(OR(BUSCAR!$J$5="",ISNUMBER(SEARCH(BUSCAR!$J$5,$AI202))),OR(BUSCAR!$J$6="",ISNUMBER(SEARCH(BUSCAR!$J$6,$AI202))),OR(BUSCAR!$J$8="",ISNUMBER(SEARCH(BUSCAR!$J$8,$AI202))),OR(BUSCAR!$J$9="",ISNUMBER(SEARCH(BUSCAR!$J$9,$AI202))),OR(NOT(BUSCAR!$J$2),AND(ISNUMBER($AF202),$AF202&gt;=BUSCAR!$J$3,$AF202&lt;=BUSCAR!$J$4))),1,0))</f>
      </c>
      <c r="AH202" s="42">
        <f t="shared" si="9"/>
      </c>
      <c r="AI202" s="42">
        <f t="shared" si="10"/>
      </c>
    </row>
    <row r="203" spans="1:35" x14ac:dyDescent="0.2">
      <c r="A203" s="66">
        <f t="shared" si="11"/>
      </c>
      <c r="B203" s="4"/>
      <c r="C203" s="4"/>
      <c r="D203" s="4"/>
      <c r="E203" s="4"/>
      <c r="F203" s="32"/>
      <c r="G203" s="8"/>
      <c r="H203" s="9"/>
      <c r="I203" s="8"/>
      <c r="J203" s="10"/>
      <c r="K203" s="8"/>
      <c r="L203" s="8"/>
      <c r="M203" s="8"/>
      <c r="N203" s="11"/>
      <c r="O203" s="9"/>
      <c r="P203" s="12"/>
      <c r="Q203" s="9"/>
      <c r="R203" s="13"/>
      <c r="S203" s="11"/>
      <c r="T203" s="11"/>
      <c r="U203" s="9"/>
      <c r="V203" s="9"/>
      <c r="W203" s="9"/>
      <c r="X203" s="16"/>
      <c r="AF203" s="42">
        <f>IF(BUSCAR!$C$8="FECHA NAC.",$G203,IF(BUSCAR!$C$8="PASAPORTE EXPIRA",$J203,IF(BUSCAR!$C$8="LICENCIA EMISION",$L203,IF(BUSCAR!$C$8="LICENCIA EXPIRA",$M203,""))))</f>
      </c>
      <c r="AG203" s="42">
        <f>IF($B203&amp;$C203&amp;$D203&amp;$E203&amp;$H203="",0,IF(AND(OR(BUSCAR!$J$5="",ISNUMBER(SEARCH(BUSCAR!$J$5,$AI203))),OR(BUSCAR!$J$6="",ISNUMBER(SEARCH(BUSCAR!$J$6,$AI203))),OR(BUSCAR!$J$8="",ISNUMBER(SEARCH(BUSCAR!$J$8,$AI203))),OR(BUSCAR!$J$9="",ISNUMBER(SEARCH(BUSCAR!$J$9,$AI203))),OR(NOT(BUSCAR!$J$2),AND(ISNUMBER($AF203),$AF203&gt;=BUSCAR!$J$3,$AF203&lt;=BUSCAR!$J$4))),1,0))</f>
      </c>
      <c r="AH203" s="42">
        <f t="shared" si="9"/>
      </c>
      <c r="AI203" s="42">
        <f t="shared" si="10"/>
      </c>
    </row>
    <row r="204" spans="1:35" x14ac:dyDescent="0.2">
      <c r="A204" s="66">
        <f t="shared" si="11"/>
      </c>
      <c r="B204" s="4"/>
      <c r="C204" s="4"/>
      <c r="D204" s="4"/>
      <c r="E204" s="4"/>
      <c r="F204" s="32"/>
      <c r="G204" s="8"/>
      <c r="H204" s="9"/>
      <c r="I204" s="8"/>
      <c r="J204" s="10"/>
      <c r="K204" s="8"/>
      <c r="L204" s="8"/>
      <c r="M204" s="8"/>
      <c r="N204" s="11"/>
      <c r="O204" s="9"/>
      <c r="P204" s="12"/>
      <c r="Q204" s="9"/>
      <c r="R204" s="13"/>
      <c r="S204" s="11"/>
      <c r="T204" s="11"/>
      <c r="U204" s="9"/>
      <c r="V204" s="9"/>
      <c r="W204" s="9"/>
      <c r="X204" s="16"/>
      <c r="AF204" s="42">
        <f>IF(BUSCAR!$C$8="FECHA NAC.",$G204,IF(BUSCAR!$C$8="PASAPORTE EXPIRA",$J204,IF(BUSCAR!$C$8="LICENCIA EMISION",$L204,IF(BUSCAR!$C$8="LICENCIA EXPIRA",$M204,""))))</f>
      </c>
      <c r="AG204" s="42">
        <f>IF($B204&amp;$C204&amp;$D204&amp;$E204&amp;$H204="",0,IF(AND(OR(BUSCAR!$J$5="",ISNUMBER(SEARCH(BUSCAR!$J$5,$AI204))),OR(BUSCAR!$J$6="",ISNUMBER(SEARCH(BUSCAR!$J$6,$AI204))),OR(BUSCAR!$J$8="",ISNUMBER(SEARCH(BUSCAR!$J$8,$AI204))),OR(BUSCAR!$J$9="",ISNUMBER(SEARCH(BUSCAR!$J$9,$AI204))),OR(NOT(BUSCAR!$J$2),AND(ISNUMBER($AF204),$AF204&gt;=BUSCAR!$J$3,$AF204&lt;=BUSCAR!$J$4))),1,0))</f>
      </c>
      <c r="AH204" s="42">
        <f t="shared" si="9"/>
      </c>
      <c r="AI204" s="42">
        <f t="shared" si="10"/>
      </c>
    </row>
    <row r="205" spans="1:35" x14ac:dyDescent="0.2">
      <c r="A205" s="66">
        <f t="shared" si="11"/>
      </c>
      <c r="B205" s="4"/>
      <c r="C205" s="4"/>
      <c r="D205" s="4"/>
      <c r="E205" s="4"/>
      <c r="F205" s="32"/>
      <c r="G205" s="8"/>
      <c r="H205" s="9"/>
      <c r="I205" s="8"/>
      <c r="J205" s="10"/>
      <c r="K205" s="8"/>
      <c r="L205" s="8"/>
      <c r="M205" s="8"/>
      <c r="N205" s="11"/>
      <c r="O205" s="9"/>
      <c r="P205" s="12"/>
      <c r="Q205" s="9"/>
      <c r="R205" s="13"/>
      <c r="S205" s="11"/>
      <c r="T205" s="11"/>
      <c r="U205" s="9"/>
      <c r="V205" s="9"/>
      <c r="W205" s="9"/>
      <c r="X205" s="16"/>
      <c r="AF205" s="42">
        <f>IF(BUSCAR!$C$8="FECHA NAC.",$G205,IF(BUSCAR!$C$8="PASAPORTE EXPIRA",$J205,IF(BUSCAR!$C$8="LICENCIA EMISION",$L205,IF(BUSCAR!$C$8="LICENCIA EXPIRA",$M205,""))))</f>
      </c>
      <c r="AG205" s="42">
        <f>IF($B205&amp;$C205&amp;$D205&amp;$E205&amp;$H205="",0,IF(AND(OR(BUSCAR!$J$5="",ISNUMBER(SEARCH(BUSCAR!$J$5,$AI205))),OR(BUSCAR!$J$6="",ISNUMBER(SEARCH(BUSCAR!$J$6,$AI205))),OR(BUSCAR!$J$8="",ISNUMBER(SEARCH(BUSCAR!$J$8,$AI205))),OR(BUSCAR!$J$9="",ISNUMBER(SEARCH(BUSCAR!$J$9,$AI205))),OR(NOT(BUSCAR!$J$2),AND(ISNUMBER($AF205),$AF205&gt;=BUSCAR!$J$3,$AF205&lt;=BUSCAR!$J$4))),1,0))</f>
      </c>
      <c r="AH205" s="42">
        <f t="shared" si="9"/>
      </c>
      <c r="AI205" s="42">
        <f t="shared" si="10"/>
      </c>
    </row>
    <row r="206" spans="1:35" x14ac:dyDescent="0.2">
      <c r="A206" s="66">
        <f t="shared" si="11"/>
      </c>
      <c r="B206" s="4"/>
      <c r="C206" s="4"/>
      <c r="D206" s="4"/>
      <c r="E206" s="4"/>
      <c r="F206" s="32"/>
      <c r="G206" s="8"/>
      <c r="H206" s="9"/>
      <c r="I206" s="8"/>
      <c r="J206" s="10"/>
      <c r="K206" s="8"/>
      <c r="L206" s="8"/>
      <c r="M206" s="8"/>
      <c r="N206" s="11"/>
      <c r="O206" s="9"/>
      <c r="P206" s="12"/>
      <c r="Q206" s="9"/>
      <c r="R206" s="13"/>
      <c r="S206" s="11"/>
      <c r="T206" s="11"/>
      <c r="U206" s="9"/>
      <c r="V206" s="9"/>
      <c r="W206" s="9"/>
      <c r="X206" s="16"/>
      <c r="AF206" s="42">
        <f>IF(BUSCAR!$C$8="FECHA NAC.",$G206,IF(BUSCAR!$C$8="PASAPORTE EXPIRA",$J206,IF(BUSCAR!$C$8="LICENCIA EMISION",$L206,IF(BUSCAR!$C$8="LICENCIA EXPIRA",$M206,""))))</f>
      </c>
      <c r="AG206" s="42">
        <f>IF($B206&amp;$C206&amp;$D206&amp;$E206&amp;$H206="",0,IF(AND(OR(BUSCAR!$J$5="",ISNUMBER(SEARCH(BUSCAR!$J$5,$AI206))),OR(BUSCAR!$J$6="",ISNUMBER(SEARCH(BUSCAR!$J$6,$AI206))),OR(BUSCAR!$J$8="",ISNUMBER(SEARCH(BUSCAR!$J$8,$AI206))),OR(BUSCAR!$J$9="",ISNUMBER(SEARCH(BUSCAR!$J$9,$AI206))),OR(NOT(BUSCAR!$J$2),AND(ISNUMBER($AF206),$AF206&gt;=BUSCAR!$J$3,$AF206&lt;=BUSCAR!$J$4))),1,0))</f>
      </c>
      <c r="AH206" s="42">
        <f t="shared" si="9"/>
      </c>
      <c r="AI206" s="42">
        <f t="shared" si="10"/>
      </c>
    </row>
    <row r="207" spans="1:35" x14ac:dyDescent="0.2">
      <c r="A207" s="66">
        <f t="shared" si="11"/>
      </c>
      <c r="B207" s="4"/>
      <c r="C207" s="4"/>
      <c r="D207" s="4"/>
      <c r="E207" s="4"/>
      <c r="F207" s="32"/>
      <c r="G207" s="8"/>
      <c r="H207" s="9"/>
      <c r="I207" s="8"/>
      <c r="J207" s="10"/>
      <c r="K207" s="8"/>
      <c r="L207" s="8"/>
      <c r="M207" s="8"/>
      <c r="N207" s="11"/>
      <c r="O207" s="9"/>
      <c r="P207" s="12"/>
      <c r="Q207" s="9"/>
      <c r="R207" s="13"/>
      <c r="S207" s="11"/>
      <c r="T207" s="11"/>
      <c r="U207" s="9"/>
      <c r="V207" s="9"/>
      <c r="W207" s="9"/>
      <c r="X207" s="16"/>
      <c r="AF207" s="42">
        <f>IF(BUSCAR!$C$8="FECHA NAC.",$G207,IF(BUSCAR!$C$8="PASAPORTE EXPIRA",$J207,IF(BUSCAR!$C$8="LICENCIA EMISION",$L207,IF(BUSCAR!$C$8="LICENCIA EXPIRA",$M207,""))))</f>
      </c>
      <c r="AG207" s="42">
        <f>IF($B207&amp;$C207&amp;$D207&amp;$E207&amp;$H207="",0,IF(AND(OR(BUSCAR!$J$5="",ISNUMBER(SEARCH(BUSCAR!$J$5,$AI207))),OR(BUSCAR!$J$6="",ISNUMBER(SEARCH(BUSCAR!$J$6,$AI207))),OR(BUSCAR!$J$8="",ISNUMBER(SEARCH(BUSCAR!$J$8,$AI207))),OR(BUSCAR!$J$9="",ISNUMBER(SEARCH(BUSCAR!$J$9,$AI207))),OR(NOT(BUSCAR!$J$2),AND(ISNUMBER($AF207),$AF207&gt;=BUSCAR!$J$3,$AF207&lt;=BUSCAR!$J$4))),1,0))</f>
      </c>
      <c r="AH207" s="42">
        <f t="shared" si="9"/>
      </c>
      <c r="AI207" s="42">
        <f t="shared" si="10"/>
      </c>
    </row>
    <row r="208" spans="1:35" x14ac:dyDescent="0.2">
      <c r="A208" s="66">
        <f t="shared" si="11"/>
      </c>
      <c r="B208" s="4"/>
      <c r="C208" s="4"/>
      <c r="D208" s="4"/>
      <c r="E208" s="4"/>
      <c r="F208" s="32"/>
      <c r="G208" s="8"/>
      <c r="H208" s="9"/>
      <c r="I208" s="8"/>
      <c r="J208" s="10"/>
      <c r="K208" s="8"/>
      <c r="L208" s="8"/>
      <c r="M208" s="8"/>
      <c r="N208" s="11"/>
      <c r="O208" s="9"/>
      <c r="P208" s="12"/>
      <c r="Q208" s="9"/>
      <c r="R208" s="13"/>
      <c r="S208" s="11"/>
      <c r="T208" s="11"/>
      <c r="U208" s="9"/>
      <c r="V208" s="9"/>
      <c r="W208" s="9"/>
      <c r="X208" s="16"/>
      <c r="AF208" s="42">
        <f>IF(BUSCAR!$C$8="FECHA NAC.",$G208,IF(BUSCAR!$C$8="PASAPORTE EXPIRA",$J208,IF(BUSCAR!$C$8="LICENCIA EMISION",$L208,IF(BUSCAR!$C$8="LICENCIA EXPIRA",$M208,""))))</f>
      </c>
      <c r="AG208" s="42">
        <f>IF($B208&amp;$C208&amp;$D208&amp;$E208&amp;$H208="",0,IF(AND(OR(BUSCAR!$J$5="",ISNUMBER(SEARCH(BUSCAR!$J$5,$AI208))),OR(BUSCAR!$J$6="",ISNUMBER(SEARCH(BUSCAR!$J$6,$AI208))),OR(BUSCAR!$J$8="",ISNUMBER(SEARCH(BUSCAR!$J$8,$AI208))),OR(BUSCAR!$J$9="",ISNUMBER(SEARCH(BUSCAR!$J$9,$AI208))),OR(NOT(BUSCAR!$J$2),AND(ISNUMBER($AF208),$AF208&gt;=BUSCAR!$J$3,$AF208&lt;=BUSCAR!$J$4))),1,0))</f>
      </c>
      <c r="AH208" s="42">
        <f t="shared" si="9"/>
      </c>
      <c r="AI208" s="42">
        <f t="shared" si="10"/>
      </c>
    </row>
    <row r="209" spans="1:35" x14ac:dyDescent="0.2">
      <c r="A209" s="66">
        <f t="shared" si="11"/>
      </c>
      <c r="B209" s="4"/>
      <c r="C209" s="4"/>
      <c r="D209" s="4"/>
      <c r="E209" s="4"/>
      <c r="F209" s="32"/>
      <c r="G209" s="8"/>
      <c r="H209" s="9"/>
      <c r="I209" s="8"/>
      <c r="J209" s="10"/>
      <c r="K209" s="8"/>
      <c r="L209" s="8"/>
      <c r="M209" s="8"/>
      <c r="N209" s="11"/>
      <c r="O209" s="9"/>
      <c r="P209" s="12"/>
      <c r="Q209" s="9"/>
      <c r="R209" s="13"/>
      <c r="S209" s="11"/>
      <c r="T209" s="11"/>
      <c r="U209" s="9"/>
      <c r="V209" s="9"/>
      <c r="W209" s="9"/>
      <c r="X209" s="16"/>
      <c r="AF209" s="42">
        <f>IF(BUSCAR!$C$8="FECHA NAC.",$G209,IF(BUSCAR!$C$8="PASAPORTE EXPIRA",$J209,IF(BUSCAR!$C$8="LICENCIA EMISION",$L209,IF(BUSCAR!$C$8="LICENCIA EXPIRA",$M209,""))))</f>
      </c>
      <c r="AG209" s="42">
        <f>IF($B209&amp;$C209&amp;$D209&amp;$E209&amp;$H209="",0,IF(AND(OR(BUSCAR!$J$5="",ISNUMBER(SEARCH(BUSCAR!$J$5,$AI209))),OR(BUSCAR!$J$6="",ISNUMBER(SEARCH(BUSCAR!$J$6,$AI209))),OR(BUSCAR!$J$8="",ISNUMBER(SEARCH(BUSCAR!$J$8,$AI209))),OR(BUSCAR!$J$9="",ISNUMBER(SEARCH(BUSCAR!$J$9,$AI209))),OR(NOT(BUSCAR!$J$2),AND(ISNUMBER($AF209),$AF209&gt;=BUSCAR!$J$3,$AF209&lt;=BUSCAR!$J$4))),1,0))</f>
      </c>
      <c r="AH209" s="42">
        <f t="shared" si="9"/>
      </c>
      <c r="AI209" s="42">
        <f t="shared" si="10"/>
      </c>
    </row>
    <row r="210" spans="1:35" x14ac:dyDescent="0.2">
      <c r="A210" s="66">
        <f t="shared" si="11"/>
      </c>
      <c r="B210" s="4"/>
      <c r="C210" s="4"/>
      <c r="D210" s="4"/>
      <c r="E210" s="4"/>
      <c r="F210" s="32"/>
      <c r="G210" s="8"/>
      <c r="H210" s="9"/>
      <c r="I210" s="8"/>
      <c r="J210" s="10"/>
      <c r="K210" s="8"/>
      <c r="L210" s="8"/>
      <c r="M210" s="8"/>
      <c r="N210" s="11"/>
      <c r="O210" s="9"/>
      <c r="P210" s="12"/>
      <c r="Q210" s="9"/>
      <c r="R210" s="13"/>
      <c r="S210" s="11"/>
      <c r="T210" s="11"/>
      <c r="U210" s="9"/>
      <c r="V210" s="9"/>
      <c r="W210" s="9"/>
      <c r="X210" s="16"/>
      <c r="AF210" s="42">
        <f>IF(BUSCAR!$C$8="FECHA NAC.",$G210,IF(BUSCAR!$C$8="PASAPORTE EXPIRA",$J210,IF(BUSCAR!$C$8="LICENCIA EMISION",$L210,IF(BUSCAR!$C$8="LICENCIA EXPIRA",$M210,""))))</f>
      </c>
      <c r="AG210" s="42">
        <f>IF($B210&amp;$C210&amp;$D210&amp;$E210&amp;$H210="",0,IF(AND(OR(BUSCAR!$J$5="",ISNUMBER(SEARCH(BUSCAR!$J$5,$AI210))),OR(BUSCAR!$J$6="",ISNUMBER(SEARCH(BUSCAR!$J$6,$AI210))),OR(BUSCAR!$J$8="",ISNUMBER(SEARCH(BUSCAR!$J$8,$AI210))),OR(BUSCAR!$J$9="",ISNUMBER(SEARCH(BUSCAR!$J$9,$AI210))),OR(NOT(BUSCAR!$J$2),AND(ISNUMBER($AF210),$AF210&gt;=BUSCAR!$J$3,$AF210&lt;=BUSCAR!$J$4))),1,0))</f>
      </c>
      <c r="AH210" s="42">
        <f t="shared" si="9"/>
      </c>
      <c r="AI210" s="42">
        <f t="shared" si="10"/>
      </c>
    </row>
    <row r="211" spans="1:35" x14ac:dyDescent="0.2">
      <c r="A211" s="66">
        <f t="shared" si="11"/>
      </c>
      <c r="B211" s="4"/>
      <c r="C211" s="4"/>
      <c r="D211" s="4"/>
      <c r="E211" s="4"/>
      <c r="F211" s="32"/>
      <c r="G211" s="8"/>
      <c r="H211" s="9"/>
      <c r="I211" s="8"/>
      <c r="J211" s="10"/>
      <c r="K211" s="8"/>
      <c r="L211" s="8"/>
      <c r="M211" s="8"/>
      <c r="N211" s="11"/>
      <c r="O211" s="9"/>
      <c r="P211" s="12"/>
      <c r="Q211" s="9"/>
      <c r="R211" s="13"/>
      <c r="S211" s="11"/>
      <c r="T211" s="11"/>
      <c r="U211" s="9"/>
      <c r="V211" s="9"/>
      <c r="W211" s="9"/>
      <c r="X211" s="16"/>
      <c r="AF211" s="42">
        <f>IF(BUSCAR!$C$8="FECHA NAC.",$G211,IF(BUSCAR!$C$8="PASAPORTE EXPIRA",$J211,IF(BUSCAR!$C$8="LICENCIA EMISION",$L211,IF(BUSCAR!$C$8="LICENCIA EXPIRA",$M211,""))))</f>
      </c>
      <c r="AG211" s="42">
        <f>IF($B211&amp;$C211&amp;$D211&amp;$E211&amp;$H211="",0,IF(AND(OR(BUSCAR!$J$5="",ISNUMBER(SEARCH(BUSCAR!$J$5,$AI211))),OR(BUSCAR!$J$6="",ISNUMBER(SEARCH(BUSCAR!$J$6,$AI211))),OR(BUSCAR!$J$8="",ISNUMBER(SEARCH(BUSCAR!$J$8,$AI211))),OR(BUSCAR!$J$9="",ISNUMBER(SEARCH(BUSCAR!$J$9,$AI211))),OR(NOT(BUSCAR!$J$2),AND(ISNUMBER($AF211),$AF211&gt;=BUSCAR!$J$3,$AF211&lt;=BUSCAR!$J$4))),1,0))</f>
      </c>
      <c r="AH211" s="42">
        <f t="shared" si="9"/>
      </c>
      <c r="AI211" s="42">
        <f t="shared" si="10"/>
      </c>
    </row>
    <row r="212" spans="1:35" x14ac:dyDescent="0.2">
      <c r="A212" s="66">
        <f t="shared" si="11"/>
      </c>
      <c r="B212" s="4"/>
      <c r="C212" s="4"/>
      <c r="D212" s="4"/>
      <c r="E212" s="4"/>
      <c r="F212" s="32"/>
      <c r="G212" s="8"/>
      <c r="H212" s="9"/>
      <c r="I212" s="8"/>
      <c r="J212" s="10"/>
      <c r="K212" s="8"/>
      <c r="L212" s="8"/>
      <c r="M212" s="8"/>
      <c r="N212" s="11"/>
      <c r="O212" s="9"/>
      <c r="P212" s="12"/>
      <c r="Q212" s="9"/>
      <c r="R212" s="13"/>
      <c r="S212" s="11"/>
      <c r="T212" s="11"/>
      <c r="U212" s="9"/>
      <c r="V212" s="9"/>
      <c r="W212" s="9"/>
      <c r="X212" s="16"/>
      <c r="AF212" s="42">
        <f>IF(BUSCAR!$C$8="FECHA NAC.",$G212,IF(BUSCAR!$C$8="PASAPORTE EXPIRA",$J212,IF(BUSCAR!$C$8="LICENCIA EMISION",$L212,IF(BUSCAR!$C$8="LICENCIA EXPIRA",$M212,""))))</f>
      </c>
      <c r="AG212" s="42">
        <f>IF($B212&amp;$C212&amp;$D212&amp;$E212&amp;$H212="",0,IF(AND(OR(BUSCAR!$J$5="",ISNUMBER(SEARCH(BUSCAR!$J$5,$AI212))),OR(BUSCAR!$J$6="",ISNUMBER(SEARCH(BUSCAR!$J$6,$AI212))),OR(BUSCAR!$J$8="",ISNUMBER(SEARCH(BUSCAR!$J$8,$AI212))),OR(BUSCAR!$J$9="",ISNUMBER(SEARCH(BUSCAR!$J$9,$AI212))),OR(NOT(BUSCAR!$J$2),AND(ISNUMBER($AF212),$AF212&gt;=BUSCAR!$J$3,$AF212&lt;=BUSCAR!$J$4))),1,0))</f>
      </c>
      <c r="AH212" s="42">
        <f t="shared" si="9"/>
      </c>
      <c r="AI212" s="42">
        <f t="shared" si="10"/>
      </c>
    </row>
    <row r="213" spans="1:35" x14ac:dyDescent="0.2">
      <c r="A213" s="66">
        <f t="shared" si="11"/>
      </c>
      <c r="B213" s="4"/>
      <c r="C213" s="4"/>
      <c r="D213" s="4"/>
      <c r="E213" s="4"/>
      <c r="F213" s="32"/>
      <c r="G213" s="8"/>
      <c r="H213" s="9"/>
      <c r="I213" s="8"/>
      <c r="J213" s="10"/>
      <c r="K213" s="8"/>
      <c r="L213" s="8"/>
      <c r="M213" s="8"/>
      <c r="N213" s="11"/>
      <c r="O213" s="9"/>
      <c r="P213" s="12"/>
      <c r="Q213" s="9"/>
      <c r="R213" s="13"/>
      <c r="S213" s="11"/>
      <c r="T213" s="11"/>
      <c r="U213" s="9"/>
      <c r="V213" s="9"/>
      <c r="W213" s="9"/>
      <c r="X213" s="16"/>
      <c r="AF213" s="42">
        <f>IF(BUSCAR!$C$8="FECHA NAC.",$G213,IF(BUSCAR!$C$8="PASAPORTE EXPIRA",$J213,IF(BUSCAR!$C$8="LICENCIA EMISION",$L213,IF(BUSCAR!$C$8="LICENCIA EXPIRA",$M213,""))))</f>
      </c>
      <c r="AG213" s="42">
        <f>IF($B213&amp;$C213&amp;$D213&amp;$E213&amp;$H213="",0,IF(AND(OR(BUSCAR!$J$5="",ISNUMBER(SEARCH(BUSCAR!$J$5,$AI213))),OR(BUSCAR!$J$6="",ISNUMBER(SEARCH(BUSCAR!$J$6,$AI213))),OR(BUSCAR!$J$8="",ISNUMBER(SEARCH(BUSCAR!$J$8,$AI213))),OR(BUSCAR!$J$9="",ISNUMBER(SEARCH(BUSCAR!$J$9,$AI213))),OR(NOT(BUSCAR!$J$2),AND(ISNUMBER($AF213),$AF213&gt;=BUSCAR!$J$3,$AF213&lt;=BUSCAR!$J$4))),1,0))</f>
      </c>
      <c r="AH213" s="42">
        <f t="shared" si="9"/>
      </c>
      <c r="AI213" s="42">
        <f t="shared" si="10"/>
      </c>
    </row>
    <row r="214" spans="1:35" x14ac:dyDescent="0.2">
      <c r="A214" s="66">
        <f t="shared" si="11"/>
      </c>
      <c r="B214" s="4"/>
      <c r="C214" s="4"/>
      <c r="D214" s="4"/>
      <c r="E214" s="4"/>
      <c r="F214" s="32"/>
      <c r="G214" s="8"/>
      <c r="H214" s="9"/>
      <c r="I214" s="8"/>
      <c r="J214" s="10"/>
      <c r="K214" s="8"/>
      <c r="L214" s="8"/>
      <c r="M214" s="8"/>
      <c r="N214" s="11"/>
      <c r="O214" s="9"/>
      <c r="P214" s="12"/>
      <c r="Q214" s="9"/>
      <c r="R214" s="13"/>
      <c r="S214" s="11"/>
      <c r="T214" s="11"/>
      <c r="U214" s="9"/>
      <c r="V214" s="9"/>
      <c r="W214" s="9"/>
      <c r="X214" s="16"/>
      <c r="AF214" s="42">
        <f>IF(BUSCAR!$C$8="FECHA NAC.",$G214,IF(BUSCAR!$C$8="PASAPORTE EXPIRA",$J214,IF(BUSCAR!$C$8="LICENCIA EMISION",$L214,IF(BUSCAR!$C$8="LICENCIA EXPIRA",$M214,""))))</f>
      </c>
      <c r="AG214" s="42">
        <f>IF($B214&amp;$C214&amp;$D214&amp;$E214&amp;$H214="",0,IF(AND(OR(BUSCAR!$J$5="",ISNUMBER(SEARCH(BUSCAR!$J$5,$AI214))),OR(BUSCAR!$J$6="",ISNUMBER(SEARCH(BUSCAR!$J$6,$AI214))),OR(BUSCAR!$J$8="",ISNUMBER(SEARCH(BUSCAR!$J$8,$AI214))),OR(BUSCAR!$J$9="",ISNUMBER(SEARCH(BUSCAR!$J$9,$AI214))),OR(NOT(BUSCAR!$J$2),AND(ISNUMBER($AF214),$AF214&gt;=BUSCAR!$J$3,$AF214&lt;=BUSCAR!$J$4))),1,0))</f>
      </c>
      <c r="AH214" s="42">
        <f t="shared" si="9"/>
      </c>
      <c r="AI214" s="42">
        <f t="shared" si="10"/>
      </c>
    </row>
    <row r="215" spans="1:35" x14ac:dyDescent="0.2">
      <c r="A215" s="66">
        <f t="shared" si="11"/>
      </c>
      <c r="B215" s="4"/>
      <c r="C215" s="4"/>
      <c r="D215" s="4"/>
      <c r="E215" s="4"/>
      <c r="F215" s="32"/>
      <c r="G215" s="8"/>
      <c r="H215" s="9"/>
      <c r="I215" s="8"/>
      <c r="J215" s="10"/>
      <c r="K215" s="8"/>
      <c r="L215" s="8"/>
      <c r="M215" s="8"/>
      <c r="N215" s="11"/>
      <c r="O215" s="9"/>
      <c r="P215" s="12"/>
      <c r="Q215" s="9"/>
      <c r="R215" s="13"/>
      <c r="S215" s="11"/>
      <c r="T215" s="11"/>
      <c r="U215" s="9"/>
      <c r="V215" s="9"/>
      <c r="W215" s="9"/>
      <c r="X215" s="16"/>
      <c r="AF215" s="42">
        <f>IF(BUSCAR!$C$8="FECHA NAC.",$G215,IF(BUSCAR!$C$8="PASAPORTE EXPIRA",$J215,IF(BUSCAR!$C$8="LICENCIA EMISION",$L215,IF(BUSCAR!$C$8="LICENCIA EXPIRA",$M215,""))))</f>
      </c>
      <c r="AG215" s="42">
        <f>IF($B215&amp;$C215&amp;$D215&amp;$E215&amp;$H215="",0,IF(AND(OR(BUSCAR!$J$5="",ISNUMBER(SEARCH(BUSCAR!$J$5,$AI215))),OR(BUSCAR!$J$6="",ISNUMBER(SEARCH(BUSCAR!$J$6,$AI215))),OR(BUSCAR!$J$8="",ISNUMBER(SEARCH(BUSCAR!$J$8,$AI215))),OR(BUSCAR!$J$9="",ISNUMBER(SEARCH(BUSCAR!$J$9,$AI215))),OR(NOT(BUSCAR!$J$2),AND(ISNUMBER($AF215),$AF215&gt;=BUSCAR!$J$3,$AF215&lt;=BUSCAR!$J$4))),1,0))</f>
      </c>
      <c r="AH215" s="42">
        <f t="shared" si="9"/>
      </c>
      <c r="AI215" s="42">
        <f t="shared" si="10"/>
      </c>
    </row>
    <row r="216" spans="1:35" x14ac:dyDescent="0.2">
      <c r="A216" s="66">
        <f t="shared" si="11"/>
      </c>
      <c r="B216" s="4"/>
      <c r="C216" s="4"/>
      <c r="D216" s="4"/>
      <c r="E216" s="4"/>
      <c r="F216" s="32"/>
      <c r="G216" s="8"/>
      <c r="H216" s="9"/>
      <c r="I216" s="8"/>
      <c r="J216" s="10"/>
      <c r="K216" s="8"/>
      <c r="L216" s="8"/>
      <c r="M216" s="8"/>
      <c r="N216" s="11"/>
      <c r="O216" s="9"/>
      <c r="P216" s="12"/>
      <c r="Q216" s="9"/>
      <c r="R216" s="13"/>
      <c r="S216" s="11"/>
      <c r="T216" s="11"/>
      <c r="U216" s="9"/>
      <c r="V216" s="9"/>
      <c r="W216" s="9"/>
      <c r="X216" s="16"/>
      <c r="AF216" s="42">
        <f>IF(BUSCAR!$C$8="FECHA NAC.",$G216,IF(BUSCAR!$C$8="PASAPORTE EXPIRA",$J216,IF(BUSCAR!$C$8="LICENCIA EMISION",$L216,IF(BUSCAR!$C$8="LICENCIA EXPIRA",$M216,""))))</f>
      </c>
      <c r="AG216" s="42">
        <f>IF($B216&amp;$C216&amp;$D216&amp;$E216&amp;$H216="",0,IF(AND(OR(BUSCAR!$J$5="",ISNUMBER(SEARCH(BUSCAR!$J$5,$AI216))),OR(BUSCAR!$J$6="",ISNUMBER(SEARCH(BUSCAR!$J$6,$AI216))),OR(BUSCAR!$J$8="",ISNUMBER(SEARCH(BUSCAR!$J$8,$AI216))),OR(BUSCAR!$J$9="",ISNUMBER(SEARCH(BUSCAR!$J$9,$AI216))),OR(NOT(BUSCAR!$J$2),AND(ISNUMBER($AF216),$AF216&gt;=BUSCAR!$J$3,$AF216&lt;=BUSCAR!$J$4))),1,0))</f>
      </c>
      <c r="AH216" s="42">
        <f t="shared" si="9"/>
      </c>
      <c r="AI216" s="42">
        <f t="shared" si="10"/>
      </c>
    </row>
    <row r="217" spans="1:35" x14ac:dyDescent="0.2">
      <c r="A217" s="66">
        <f t="shared" si="11"/>
      </c>
      <c r="B217" s="4"/>
      <c r="C217" s="4"/>
      <c r="D217" s="4"/>
      <c r="E217" s="4"/>
      <c r="F217" s="32"/>
      <c r="G217" s="8"/>
      <c r="H217" s="9"/>
      <c r="I217" s="8"/>
      <c r="J217" s="10"/>
      <c r="K217" s="8"/>
      <c r="L217" s="8"/>
      <c r="M217" s="8"/>
      <c r="N217" s="11"/>
      <c r="O217" s="9"/>
      <c r="P217" s="12"/>
      <c r="Q217" s="9"/>
      <c r="R217" s="13"/>
      <c r="S217" s="11"/>
      <c r="T217" s="11"/>
      <c r="U217" s="9"/>
      <c r="V217" s="9"/>
      <c r="W217" s="9"/>
      <c r="X217" s="16"/>
      <c r="AF217" s="42">
        <f>IF(BUSCAR!$C$8="FECHA NAC.",$G217,IF(BUSCAR!$C$8="PASAPORTE EXPIRA",$J217,IF(BUSCAR!$C$8="LICENCIA EMISION",$L217,IF(BUSCAR!$C$8="LICENCIA EXPIRA",$M217,""))))</f>
      </c>
      <c r="AG217" s="42">
        <f>IF($B217&amp;$C217&amp;$D217&amp;$E217&amp;$H217="",0,IF(AND(OR(BUSCAR!$J$5="",ISNUMBER(SEARCH(BUSCAR!$J$5,$AI217))),OR(BUSCAR!$J$6="",ISNUMBER(SEARCH(BUSCAR!$J$6,$AI217))),OR(BUSCAR!$J$8="",ISNUMBER(SEARCH(BUSCAR!$J$8,$AI217))),OR(BUSCAR!$J$9="",ISNUMBER(SEARCH(BUSCAR!$J$9,$AI217))),OR(NOT(BUSCAR!$J$2),AND(ISNUMBER($AF217),$AF217&gt;=BUSCAR!$J$3,$AF217&lt;=BUSCAR!$J$4))),1,0))</f>
      </c>
      <c r="AH217" s="42">
        <f t="shared" si="9"/>
      </c>
      <c r="AI217" s="42">
        <f t="shared" si="10"/>
      </c>
    </row>
    <row r="218" spans="1:35" x14ac:dyDescent="0.2">
      <c r="A218" s="66">
        <f t="shared" si="11"/>
      </c>
      <c r="B218" s="4"/>
      <c r="C218" s="4"/>
      <c r="D218" s="4"/>
      <c r="E218" s="4"/>
      <c r="F218" s="32"/>
      <c r="G218" s="8"/>
      <c r="H218" s="9"/>
      <c r="I218" s="8"/>
      <c r="J218" s="10"/>
      <c r="K218" s="8"/>
      <c r="L218" s="8"/>
      <c r="M218" s="8"/>
      <c r="N218" s="11"/>
      <c r="O218" s="9"/>
      <c r="P218" s="12"/>
      <c r="Q218" s="9"/>
      <c r="R218" s="13"/>
      <c r="S218" s="11"/>
      <c r="T218" s="11"/>
      <c r="U218" s="9"/>
      <c r="V218" s="9"/>
      <c r="W218" s="9"/>
      <c r="X218" s="16"/>
      <c r="AF218" s="42">
        <f>IF(BUSCAR!$C$8="FECHA NAC.",$G218,IF(BUSCAR!$C$8="PASAPORTE EXPIRA",$J218,IF(BUSCAR!$C$8="LICENCIA EMISION",$L218,IF(BUSCAR!$C$8="LICENCIA EXPIRA",$M218,""))))</f>
      </c>
      <c r="AG218" s="42">
        <f>IF($B218&amp;$C218&amp;$D218&amp;$E218&amp;$H218="",0,IF(AND(OR(BUSCAR!$J$5="",ISNUMBER(SEARCH(BUSCAR!$J$5,$AI218))),OR(BUSCAR!$J$6="",ISNUMBER(SEARCH(BUSCAR!$J$6,$AI218))),OR(BUSCAR!$J$8="",ISNUMBER(SEARCH(BUSCAR!$J$8,$AI218))),OR(BUSCAR!$J$9="",ISNUMBER(SEARCH(BUSCAR!$J$9,$AI218))),OR(NOT(BUSCAR!$J$2),AND(ISNUMBER($AF218),$AF218&gt;=BUSCAR!$J$3,$AF218&lt;=BUSCAR!$J$4))),1,0))</f>
      </c>
      <c r="AH218" s="42">
        <f t="shared" si="9"/>
      </c>
      <c r="AI218" s="42">
        <f t="shared" si="10"/>
      </c>
    </row>
    <row r="219" spans="1:35" x14ac:dyDescent="0.2">
      <c r="A219" s="66">
        <f t="shared" si="11"/>
      </c>
      <c r="B219" s="4"/>
      <c r="C219" s="4"/>
      <c r="D219" s="4"/>
      <c r="E219" s="4"/>
      <c r="F219" s="32"/>
      <c r="G219" s="8"/>
      <c r="H219" s="9"/>
      <c r="I219" s="8"/>
      <c r="J219" s="10"/>
      <c r="K219" s="8"/>
      <c r="L219" s="8"/>
      <c r="M219" s="8"/>
      <c r="N219" s="11"/>
      <c r="O219" s="9"/>
      <c r="P219" s="12"/>
      <c r="Q219" s="9"/>
      <c r="R219" s="13"/>
      <c r="S219" s="11"/>
      <c r="T219" s="11"/>
      <c r="U219" s="9"/>
      <c r="V219" s="9"/>
      <c r="W219" s="9"/>
      <c r="X219" s="16"/>
      <c r="AF219" s="42">
        <f>IF(BUSCAR!$C$8="FECHA NAC.",$G219,IF(BUSCAR!$C$8="PASAPORTE EXPIRA",$J219,IF(BUSCAR!$C$8="LICENCIA EMISION",$L219,IF(BUSCAR!$C$8="LICENCIA EXPIRA",$M219,""))))</f>
      </c>
      <c r="AG219" s="42">
        <f>IF($B219&amp;$C219&amp;$D219&amp;$E219&amp;$H219="",0,IF(AND(OR(BUSCAR!$J$5="",ISNUMBER(SEARCH(BUSCAR!$J$5,$AI219))),OR(BUSCAR!$J$6="",ISNUMBER(SEARCH(BUSCAR!$J$6,$AI219))),OR(BUSCAR!$J$8="",ISNUMBER(SEARCH(BUSCAR!$J$8,$AI219))),OR(BUSCAR!$J$9="",ISNUMBER(SEARCH(BUSCAR!$J$9,$AI219))),OR(NOT(BUSCAR!$J$2),AND(ISNUMBER($AF219),$AF219&gt;=BUSCAR!$J$3,$AF219&lt;=BUSCAR!$J$4))),1,0))</f>
      </c>
      <c r="AH219" s="42">
        <f t="shared" si="9"/>
      </c>
      <c r="AI219" s="42">
        <f t="shared" si="10"/>
      </c>
    </row>
    <row r="220" spans="1:35" x14ac:dyDescent="0.2">
      <c r="A220" s="66">
        <f t="shared" si="11"/>
      </c>
      <c r="B220" s="4"/>
      <c r="C220" s="4"/>
      <c r="D220" s="4"/>
      <c r="E220" s="4"/>
      <c r="F220" s="32"/>
      <c r="G220" s="8"/>
      <c r="H220" s="9"/>
      <c r="I220" s="8"/>
      <c r="J220" s="10"/>
      <c r="K220" s="8"/>
      <c r="L220" s="8"/>
      <c r="M220" s="8"/>
      <c r="N220" s="11"/>
      <c r="O220" s="9"/>
      <c r="P220" s="12"/>
      <c r="Q220" s="9"/>
      <c r="R220" s="13"/>
      <c r="S220" s="11"/>
      <c r="T220" s="11"/>
      <c r="U220" s="9"/>
      <c r="V220" s="9"/>
      <c r="W220" s="9"/>
      <c r="X220" s="16"/>
      <c r="AF220" s="42">
        <f>IF(BUSCAR!$C$8="FECHA NAC.",$G220,IF(BUSCAR!$C$8="PASAPORTE EXPIRA",$J220,IF(BUSCAR!$C$8="LICENCIA EMISION",$L220,IF(BUSCAR!$C$8="LICENCIA EXPIRA",$M220,""))))</f>
      </c>
      <c r="AG220" s="42">
        <f>IF($B220&amp;$C220&amp;$D220&amp;$E220&amp;$H220="",0,IF(AND(OR(BUSCAR!$J$5="",ISNUMBER(SEARCH(BUSCAR!$J$5,$AI220))),OR(BUSCAR!$J$6="",ISNUMBER(SEARCH(BUSCAR!$J$6,$AI220))),OR(BUSCAR!$J$8="",ISNUMBER(SEARCH(BUSCAR!$J$8,$AI220))),OR(BUSCAR!$J$9="",ISNUMBER(SEARCH(BUSCAR!$J$9,$AI220))),OR(NOT(BUSCAR!$J$2),AND(ISNUMBER($AF220),$AF220&gt;=BUSCAR!$J$3,$AF220&lt;=BUSCAR!$J$4))),1,0))</f>
      </c>
      <c r="AH220" s="42">
        <f t="shared" si="9"/>
      </c>
      <c r="AI220" s="42">
        <f t="shared" si="10"/>
      </c>
    </row>
    <row r="221" spans="1:35" x14ac:dyDescent="0.2">
      <c r="A221" s="66">
        <f t="shared" si="11"/>
      </c>
      <c r="B221" s="4"/>
      <c r="C221" s="4"/>
      <c r="D221" s="4"/>
      <c r="E221" s="4"/>
      <c r="F221" s="32"/>
      <c r="G221" s="8"/>
      <c r="H221" s="9"/>
      <c r="I221" s="8"/>
      <c r="J221" s="10"/>
      <c r="K221" s="8"/>
      <c r="L221" s="8"/>
      <c r="M221" s="8"/>
      <c r="N221" s="11"/>
      <c r="O221" s="9"/>
      <c r="P221" s="12"/>
      <c r="Q221" s="9"/>
      <c r="R221" s="13"/>
      <c r="S221" s="11"/>
      <c r="T221" s="11"/>
      <c r="U221" s="9"/>
      <c r="V221" s="9"/>
      <c r="W221" s="9"/>
      <c r="X221" s="16"/>
      <c r="AF221" s="42">
        <f>IF(BUSCAR!$C$8="FECHA NAC.",$G221,IF(BUSCAR!$C$8="PASAPORTE EXPIRA",$J221,IF(BUSCAR!$C$8="LICENCIA EMISION",$L221,IF(BUSCAR!$C$8="LICENCIA EXPIRA",$M221,""))))</f>
      </c>
      <c r="AG221" s="42">
        <f>IF($B221&amp;$C221&amp;$D221&amp;$E221&amp;$H221="",0,IF(AND(OR(BUSCAR!$J$5="",ISNUMBER(SEARCH(BUSCAR!$J$5,$AI221))),OR(BUSCAR!$J$6="",ISNUMBER(SEARCH(BUSCAR!$J$6,$AI221))),OR(BUSCAR!$J$8="",ISNUMBER(SEARCH(BUSCAR!$J$8,$AI221))),OR(BUSCAR!$J$9="",ISNUMBER(SEARCH(BUSCAR!$J$9,$AI221))),OR(NOT(BUSCAR!$J$2),AND(ISNUMBER($AF221),$AF221&gt;=BUSCAR!$J$3,$AF221&lt;=BUSCAR!$J$4))),1,0))</f>
      </c>
      <c r="AH221" s="42">
        <f t="shared" si="9"/>
      </c>
      <c r="AI221" s="42">
        <f t="shared" si="10"/>
      </c>
    </row>
    <row r="222" spans="1:35" x14ac:dyDescent="0.2">
      <c r="A222" s="66">
        <f t="shared" si="11"/>
      </c>
      <c r="B222" s="4"/>
      <c r="C222" s="4"/>
      <c r="D222" s="4"/>
      <c r="E222" s="4"/>
      <c r="F222" s="24"/>
      <c r="G222" s="8"/>
      <c r="H222" s="9"/>
      <c r="I222" s="8"/>
      <c r="J222" s="10"/>
      <c r="K222" s="8"/>
      <c r="L222" s="8"/>
      <c r="M222" s="8"/>
      <c r="N222" s="11"/>
      <c r="O222" s="9"/>
      <c r="P222" s="12"/>
      <c r="Q222" s="9"/>
      <c r="R222" s="13"/>
      <c r="S222" s="11"/>
      <c r="T222" s="11"/>
      <c r="U222" s="9"/>
      <c r="V222" s="9"/>
      <c r="W222" s="9"/>
      <c r="X222" s="16"/>
      <c r="AF222" s="42">
        <f>IF(BUSCAR!$C$8="FECHA NAC.",$G222,IF(BUSCAR!$C$8="PASAPORTE EXPIRA",$J222,IF(BUSCAR!$C$8="LICENCIA EMISION",$L222,IF(BUSCAR!$C$8="LICENCIA EXPIRA",$M222,""))))</f>
      </c>
      <c r="AG222" s="42">
        <f>IF($B222&amp;$C222&amp;$D222&amp;$E222&amp;$H222="",0,IF(AND(OR(BUSCAR!$J$5="",ISNUMBER(SEARCH(BUSCAR!$J$5,$AI222))),OR(BUSCAR!$J$6="",ISNUMBER(SEARCH(BUSCAR!$J$6,$AI222))),OR(BUSCAR!$J$8="",ISNUMBER(SEARCH(BUSCAR!$J$8,$AI222))),OR(BUSCAR!$J$9="",ISNUMBER(SEARCH(BUSCAR!$J$9,$AI222))),OR(NOT(BUSCAR!$J$2),AND(ISNUMBER($AF222),$AF222&gt;=BUSCAR!$J$3,$AF222&lt;=BUSCAR!$J$4))),1,0))</f>
      </c>
      <c r="AH222" s="42">
        <f t="shared" si="9"/>
      </c>
      <c r="AI222" s="42">
        <f t="shared" si="10"/>
      </c>
    </row>
    <row r="223" spans="1:35" x14ac:dyDescent="0.2">
      <c r="A223" s="66">
        <f t="shared" si="11"/>
      </c>
      <c r="B223" s="4"/>
      <c r="C223" s="4"/>
      <c r="D223" s="4"/>
      <c r="E223" s="4"/>
      <c r="F223" s="32"/>
      <c r="G223" s="8"/>
      <c r="H223" s="9"/>
      <c r="I223" s="8"/>
      <c r="J223" s="10"/>
      <c r="K223" s="8"/>
      <c r="L223" s="8"/>
      <c r="M223" s="8"/>
      <c r="N223" s="11"/>
      <c r="O223" s="9"/>
      <c r="P223" s="12"/>
      <c r="Q223" s="9"/>
      <c r="R223" s="13"/>
      <c r="S223" s="11"/>
      <c r="T223" s="11"/>
      <c r="U223" s="9"/>
      <c r="V223" s="9"/>
      <c r="W223" s="9"/>
      <c r="X223" s="16"/>
      <c r="AF223" s="42">
        <f>IF(BUSCAR!$C$8="FECHA NAC.",$G223,IF(BUSCAR!$C$8="PASAPORTE EXPIRA",$J223,IF(BUSCAR!$C$8="LICENCIA EMISION",$L223,IF(BUSCAR!$C$8="LICENCIA EXPIRA",$M223,""))))</f>
      </c>
      <c r="AG223" s="42">
        <f>IF($B223&amp;$C223&amp;$D223&amp;$E223&amp;$H223="",0,IF(AND(OR(BUSCAR!$J$5="",ISNUMBER(SEARCH(BUSCAR!$J$5,$AI223))),OR(BUSCAR!$J$6="",ISNUMBER(SEARCH(BUSCAR!$J$6,$AI223))),OR(BUSCAR!$J$8="",ISNUMBER(SEARCH(BUSCAR!$J$8,$AI223))),OR(BUSCAR!$J$9="",ISNUMBER(SEARCH(BUSCAR!$J$9,$AI223))),OR(NOT(BUSCAR!$J$2),AND(ISNUMBER($AF223),$AF223&gt;=BUSCAR!$J$3,$AF223&lt;=BUSCAR!$J$4))),1,0))</f>
      </c>
      <c r="AH223" s="42">
        <f t="shared" si="9"/>
      </c>
      <c r="AI223" s="42">
        <f t="shared" si="10"/>
      </c>
    </row>
    <row r="224" spans="1:35" x14ac:dyDescent="0.2">
      <c r="A224" s="66">
        <f t="shared" si="11"/>
      </c>
      <c r="B224" s="4"/>
      <c r="C224" s="4"/>
      <c r="D224" s="4"/>
      <c r="E224" s="4"/>
      <c r="F224" s="32"/>
      <c r="G224" s="8"/>
      <c r="H224" s="9"/>
      <c r="I224" s="8"/>
      <c r="J224" s="10"/>
      <c r="K224" s="8"/>
      <c r="L224" s="8"/>
      <c r="M224" s="8"/>
      <c r="N224" s="11"/>
      <c r="O224" s="9"/>
      <c r="P224" s="12"/>
      <c r="Q224" s="9"/>
      <c r="R224" s="13"/>
      <c r="S224" s="11"/>
      <c r="T224" s="11"/>
      <c r="U224" s="9"/>
      <c r="V224" s="9"/>
      <c r="W224" s="9"/>
      <c r="X224" s="16"/>
      <c r="AF224" s="42">
        <f>IF(BUSCAR!$C$8="FECHA NAC.",$G224,IF(BUSCAR!$C$8="PASAPORTE EXPIRA",$J224,IF(BUSCAR!$C$8="LICENCIA EMISION",$L224,IF(BUSCAR!$C$8="LICENCIA EXPIRA",$M224,""))))</f>
      </c>
      <c r="AG224" s="42">
        <f>IF($B224&amp;$C224&amp;$D224&amp;$E224&amp;$H224="",0,IF(AND(OR(BUSCAR!$J$5="",ISNUMBER(SEARCH(BUSCAR!$J$5,$AI224))),OR(BUSCAR!$J$6="",ISNUMBER(SEARCH(BUSCAR!$J$6,$AI224))),OR(BUSCAR!$J$8="",ISNUMBER(SEARCH(BUSCAR!$J$8,$AI224))),OR(BUSCAR!$J$9="",ISNUMBER(SEARCH(BUSCAR!$J$9,$AI224))),OR(NOT(BUSCAR!$J$2),AND(ISNUMBER($AF224),$AF224&gt;=BUSCAR!$J$3,$AF224&lt;=BUSCAR!$J$4))),1,0))</f>
      </c>
      <c r="AH224" s="42">
        <f t="shared" si="9"/>
      </c>
      <c r="AI224" s="42">
        <f t="shared" si="10"/>
      </c>
    </row>
    <row r="225" spans="1:35" x14ac:dyDescent="0.2">
      <c r="A225" s="66">
        <f t="shared" si="11"/>
      </c>
      <c r="B225" s="4"/>
      <c r="C225" s="4"/>
      <c r="D225" s="4"/>
      <c r="E225" s="4"/>
      <c r="F225" s="32"/>
      <c r="G225" s="8"/>
      <c r="H225" s="9"/>
      <c r="I225" s="8"/>
      <c r="J225" s="10"/>
      <c r="K225" s="8"/>
      <c r="L225" s="8"/>
      <c r="M225" s="8"/>
      <c r="N225" s="11"/>
      <c r="O225" s="9"/>
      <c r="P225" s="12"/>
      <c r="Q225" s="9"/>
      <c r="R225" s="13"/>
      <c r="S225" s="11"/>
      <c r="T225" s="11"/>
      <c r="U225" s="9"/>
      <c r="V225" s="9"/>
      <c r="W225" s="9"/>
      <c r="X225" s="16"/>
      <c r="AF225" s="42">
        <f>IF(BUSCAR!$C$8="FECHA NAC.",$G225,IF(BUSCAR!$C$8="PASAPORTE EXPIRA",$J225,IF(BUSCAR!$C$8="LICENCIA EMISION",$L225,IF(BUSCAR!$C$8="LICENCIA EXPIRA",$M225,""))))</f>
      </c>
      <c r="AG225" s="42">
        <f>IF($B225&amp;$C225&amp;$D225&amp;$E225&amp;$H225="",0,IF(AND(OR(BUSCAR!$J$5="",ISNUMBER(SEARCH(BUSCAR!$J$5,$AI225))),OR(BUSCAR!$J$6="",ISNUMBER(SEARCH(BUSCAR!$J$6,$AI225))),OR(BUSCAR!$J$8="",ISNUMBER(SEARCH(BUSCAR!$J$8,$AI225))),OR(BUSCAR!$J$9="",ISNUMBER(SEARCH(BUSCAR!$J$9,$AI225))),OR(NOT(BUSCAR!$J$2),AND(ISNUMBER($AF225),$AF225&gt;=BUSCAR!$J$3,$AF225&lt;=BUSCAR!$J$4))),1,0))</f>
      </c>
      <c r="AH225" s="42">
        <f t="shared" si="9"/>
      </c>
      <c r="AI225" s="42">
        <f t="shared" si="10"/>
      </c>
    </row>
    <row r="226" spans="1:35" x14ac:dyDescent="0.2">
      <c r="A226" s="66">
        <f t="shared" si="11"/>
      </c>
      <c r="B226" s="4"/>
      <c r="C226" s="4"/>
      <c r="D226" s="4"/>
      <c r="E226" s="4"/>
      <c r="F226" s="32"/>
      <c r="G226" s="8"/>
      <c r="H226" s="9"/>
      <c r="I226" s="8"/>
      <c r="J226" s="10"/>
      <c r="K226" s="8"/>
      <c r="L226" s="8"/>
      <c r="M226" s="8"/>
      <c r="N226" s="11"/>
      <c r="O226" s="9"/>
      <c r="P226" s="12"/>
      <c r="Q226" s="9"/>
      <c r="R226" s="13"/>
      <c r="S226" s="11"/>
      <c r="T226" s="11"/>
      <c r="U226" s="9"/>
      <c r="V226" s="9"/>
      <c r="W226" s="9"/>
      <c r="X226" s="16"/>
      <c r="AF226" s="42">
        <f>IF(BUSCAR!$C$8="FECHA NAC.",$G226,IF(BUSCAR!$C$8="PASAPORTE EXPIRA",$J226,IF(BUSCAR!$C$8="LICENCIA EMISION",$L226,IF(BUSCAR!$C$8="LICENCIA EXPIRA",$M226,""))))</f>
      </c>
      <c r="AG226" s="42">
        <f>IF($B226&amp;$C226&amp;$D226&amp;$E226&amp;$H226="",0,IF(AND(OR(BUSCAR!$J$5="",ISNUMBER(SEARCH(BUSCAR!$J$5,$AI226))),OR(BUSCAR!$J$6="",ISNUMBER(SEARCH(BUSCAR!$J$6,$AI226))),OR(BUSCAR!$J$8="",ISNUMBER(SEARCH(BUSCAR!$J$8,$AI226))),OR(BUSCAR!$J$9="",ISNUMBER(SEARCH(BUSCAR!$J$9,$AI226))),OR(NOT(BUSCAR!$J$2),AND(ISNUMBER($AF226),$AF226&gt;=BUSCAR!$J$3,$AF226&lt;=BUSCAR!$J$4))),1,0))</f>
      </c>
      <c r="AH226" s="42">
        <f t="shared" si="9"/>
      </c>
      <c r="AI226" s="42">
        <f t="shared" si="10"/>
      </c>
    </row>
    <row r="227" spans="1:35" x14ac:dyDescent="0.2">
      <c r="A227" s="66">
        <f t="shared" si="11"/>
      </c>
      <c r="B227" s="4"/>
      <c r="C227" s="4"/>
      <c r="D227" s="4"/>
      <c r="E227" s="4"/>
      <c r="F227" s="32"/>
      <c r="G227" s="8"/>
      <c r="H227" s="9"/>
      <c r="I227" s="8"/>
      <c r="J227" s="10"/>
      <c r="K227" s="8"/>
      <c r="L227" s="8"/>
      <c r="M227" s="8"/>
      <c r="N227" s="11"/>
      <c r="O227" s="9"/>
      <c r="P227" s="12"/>
      <c r="Q227" s="9"/>
      <c r="R227" s="13"/>
      <c r="S227" s="11"/>
      <c r="T227" s="11"/>
      <c r="U227" s="9"/>
      <c r="V227" s="9"/>
      <c r="W227" s="9"/>
      <c r="X227" s="16"/>
      <c r="AF227" s="42">
        <f>IF(BUSCAR!$C$8="FECHA NAC.",$G227,IF(BUSCAR!$C$8="PASAPORTE EXPIRA",$J227,IF(BUSCAR!$C$8="LICENCIA EMISION",$L227,IF(BUSCAR!$C$8="LICENCIA EXPIRA",$M227,""))))</f>
      </c>
      <c r="AG227" s="42">
        <f>IF($B227&amp;$C227&amp;$D227&amp;$E227&amp;$H227="",0,IF(AND(OR(BUSCAR!$J$5="",ISNUMBER(SEARCH(BUSCAR!$J$5,$AI227))),OR(BUSCAR!$J$6="",ISNUMBER(SEARCH(BUSCAR!$J$6,$AI227))),OR(BUSCAR!$J$8="",ISNUMBER(SEARCH(BUSCAR!$J$8,$AI227))),OR(BUSCAR!$J$9="",ISNUMBER(SEARCH(BUSCAR!$J$9,$AI227))),OR(NOT(BUSCAR!$J$2),AND(ISNUMBER($AF227),$AF227&gt;=BUSCAR!$J$3,$AF227&lt;=BUSCAR!$J$4))),1,0))</f>
      </c>
      <c r="AH227" s="42">
        <f t="shared" si="9"/>
      </c>
      <c r="AI227" s="42">
        <f t="shared" si="10"/>
      </c>
    </row>
    <row r="228" spans="1:35" x14ac:dyDescent="0.2">
      <c r="A228" s="66">
        <f t="shared" si="11"/>
      </c>
      <c r="B228" s="4"/>
      <c r="C228" s="4"/>
      <c r="D228" s="4"/>
      <c r="E228" s="4"/>
      <c r="F228" s="32"/>
      <c r="G228" s="8"/>
      <c r="H228" s="9"/>
      <c r="I228" s="8"/>
      <c r="J228" s="10"/>
      <c r="K228" s="8"/>
      <c r="L228" s="8"/>
      <c r="M228" s="8"/>
      <c r="N228" s="11"/>
      <c r="O228" s="9"/>
      <c r="P228" s="12"/>
      <c r="Q228" s="9"/>
      <c r="R228" s="13"/>
      <c r="S228" s="11"/>
      <c r="T228" s="11"/>
      <c r="U228" s="9"/>
      <c r="V228" s="9"/>
      <c r="W228" s="9"/>
      <c r="X228" s="16"/>
      <c r="AF228" s="42">
        <f>IF(BUSCAR!$C$8="FECHA NAC.",$G228,IF(BUSCAR!$C$8="PASAPORTE EXPIRA",$J228,IF(BUSCAR!$C$8="LICENCIA EMISION",$L228,IF(BUSCAR!$C$8="LICENCIA EXPIRA",$M228,""))))</f>
      </c>
      <c r="AG228" s="42">
        <f>IF($B228&amp;$C228&amp;$D228&amp;$E228&amp;$H228="",0,IF(AND(OR(BUSCAR!$J$5="",ISNUMBER(SEARCH(BUSCAR!$J$5,$AI228))),OR(BUSCAR!$J$6="",ISNUMBER(SEARCH(BUSCAR!$J$6,$AI228))),OR(BUSCAR!$J$8="",ISNUMBER(SEARCH(BUSCAR!$J$8,$AI228))),OR(BUSCAR!$J$9="",ISNUMBER(SEARCH(BUSCAR!$J$9,$AI228))),OR(NOT(BUSCAR!$J$2),AND(ISNUMBER($AF228),$AF228&gt;=BUSCAR!$J$3,$AF228&lt;=BUSCAR!$J$4))),1,0))</f>
      </c>
      <c r="AH228" s="42">
        <f t="shared" si="9"/>
      </c>
      <c r="AI228" s="42">
        <f t="shared" si="10"/>
      </c>
    </row>
    <row r="229" spans="1:35" x14ac:dyDescent="0.2">
      <c r="A229" s="66">
        <f t="shared" si="11"/>
      </c>
      <c r="B229" s="4"/>
      <c r="C229" s="4"/>
      <c r="D229" s="4"/>
      <c r="E229" s="4"/>
      <c r="F229" s="32"/>
      <c r="G229" s="8"/>
      <c r="H229" s="9"/>
      <c r="I229" s="8"/>
      <c r="J229" s="10"/>
      <c r="K229" s="8"/>
      <c r="L229" s="8"/>
      <c r="M229" s="8"/>
      <c r="N229" s="11"/>
      <c r="O229" s="9"/>
      <c r="P229" s="12"/>
      <c r="Q229" s="9"/>
      <c r="R229" s="13"/>
      <c r="S229" s="11"/>
      <c r="T229" s="11"/>
      <c r="U229" s="9"/>
      <c r="V229" s="9"/>
      <c r="W229" s="9"/>
      <c r="X229" s="16"/>
      <c r="AF229" s="42">
        <f>IF(BUSCAR!$C$8="FECHA NAC.",$G229,IF(BUSCAR!$C$8="PASAPORTE EXPIRA",$J229,IF(BUSCAR!$C$8="LICENCIA EMISION",$L229,IF(BUSCAR!$C$8="LICENCIA EXPIRA",$M229,""))))</f>
      </c>
      <c r="AG229" s="42">
        <f>IF($B229&amp;$C229&amp;$D229&amp;$E229&amp;$H229="",0,IF(AND(OR(BUSCAR!$J$5="",ISNUMBER(SEARCH(BUSCAR!$J$5,$AI229))),OR(BUSCAR!$J$6="",ISNUMBER(SEARCH(BUSCAR!$J$6,$AI229))),OR(BUSCAR!$J$8="",ISNUMBER(SEARCH(BUSCAR!$J$8,$AI229))),OR(BUSCAR!$J$9="",ISNUMBER(SEARCH(BUSCAR!$J$9,$AI229))),OR(NOT(BUSCAR!$J$2),AND(ISNUMBER($AF229),$AF229&gt;=BUSCAR!$J$3,$AF229&lt;=BUSCAR!$J$4))),1,0))</f>
      </c>
      <c r="AH229" s="42">
        <f t="shared" si="9"/>
      </c>
      <c r="AI229" s="42">
        <f t="shared" si="10"/>
      </c>
    </row>
    <row r="230" spans="1:35" x14ac:dyDescent="0.2">
      <c r="A230" s="66">
        <f t="shared" si="11"/>
      </c>
      <c r="B230" s="4"/>
      <c r="C230" s="4"/>
      <c r="D230" s="4"/>
      <c r="E230" s="4"/>
      <c r="F230" s="32"/>
      <c r="G230" s="8"/>
      <c r="H230" s="9"/>
      <c r="I230" s="8"/>
      <c r="J230" s="10"/>
      <c r="K230" s="8"/>
      <c r="L230" s="8"/>
      <c r="M230" s="8"/>
      <c r="N230" s="11"/>
      <c r="O230" s="9"/>
      <c r="P230" s="12"/>
      <c r="Q230" s="9"/>
      <c r="R230" s="13"/>
      <c r="S230" s="11"/>
      <c r="T230" s="11"/>
      <c r="U230" s="9"/>
      <c r="V230" s="9"/>
      <c r="W230" s="9"/>
      <c r="X230" s="16"/>
      <c r="AF230" s="42">
        <f>IF(BUSCAR!$C$8="FECHA NAC.",$G230,IF(BUSCAR!$C$8="PASAPORTE EXPIRA",$J230,IF(BUSCAR!$C$8="LICENCIA EMISION",$L230,IF(BUSCAR!$C$8="LICENCIA EXPIRA",$M230,""))))</f>
      </c>
      <c r="AG230" s="42">
        <f>IF($B230&amp;$C230&amp;$D230&amp;$E230&amp;$H230="",0,IF(AND(OR(BUSCAR!$J$5="",ISNUMBER(SEARCH(BUSCAR!$J$5,$AI230))),OR(BUSCAR!$J$6="",ISNUMBER(SEARCH(BUSCAR!$J$6,$AI230))),OR(BUSCAR!$J$8="",ISNUMBER(SEARCH(BUSCAR!$J$8,$AI230))),OR(BUSCAR!$J$9="",ISNUMBER(SEARCH(BUSCAR!$J$9,$AI230))),OR(NOT(BUSCAR!$J$2),AND(ISNUMBER($AF230),$AF230&gt;=BUSCAR!$J$3,$AF230&lt;=BUSCAR!$J$4))),1,0))</f>
      </c>
      <c r="AH230" s="42">
        <f t="shared" si="9"/>
      </c>
      <c r="AI230" s="42">
        <f t="shared" si="10"/>
      </c>
    </row>
    <row r="231" spans="1:35" x14ac:dyDescent="0.2">
      <c r="A231" s="66">
        <f t="shared" si="11"/>
      </c>
      <c r="B231" s="4"/>
      <c r="C231" s="4"/>
      <c r="D231" s="4"/>
      <c r="E231" s="4"/>
      <c r="F231" s="32"/>
      <c r="G231" s="8"/>
      <c r="H231" s="9"/>
      <c r="I231" s="8"/>
      <c r="J231" s="10"/>
      <c r="K231" s="8"/>
      <c r="L231" s="8"/>
      <c r="M231" s="8"/>
      <c r="N231" s="11"/>
      <c r="O231" s="9"/>
      <c r="P231" s="12"/>
      <c r="Q231" s="9"/>
      <c r="R231" s="13"/>
      <c r="S231" s="11"/>
      <c r="T231" s="11"/>
      <c r="U231" s="9"/>
      <c r="V231" s="9"/>
      <c r="W231" s="9"/>
      <c r="X231" s="16"/>
      <c r="AF231" s="42">
        <f>IF(BUSCAR!$C$8="FECHA NAC.",$G231,IF(BUSCAR!$C$8="PASAPORTE EXPIRA",$J231,IF(BUSCAR!$C$8="LICENCIA EMISION",$L231,IF(BUSCAR!$C$8="LICENCIA EXPIRA",$M231,""))))</f>
      </c>
      <c r="AG231" s="42">
        <f>IF($B231&amp;$C231&amp;$D231&amp;$E231&amp;$H231="",0,IF(AND(OR(BUSCAR!$J$5="",ISNUMBER(SEARCH(BUSCAR!$J$5,$AI231))),OR(BUSCAR!$J$6="",ISNUMBER(SEARCH(BUSCAR!$J$6,$AI231))),OR(BUSCAR!$J$8="",ISNUMBER(SEARCH(BUSCAR!$J$8,$AI231))),OR(BUSCAR!$J$9="",ISNUMBER(SEARCH(BUSCAR!$J$9,$AI231))),OR(NOT(BUSCAR!$J$2),AND(ISNUMBER($AF231),$AF231&gt;=BUSCAR!$J$3,$AF231&lt;=BUSCAR!$J$4))),1,0))</f>
      </c>
      <c r="AH231" s="42">
        <f t="shared" si="9"/>
      </c>
      <c r="AI231" s="42">
        <f t="shared" si="10"/>
      </c>
    </row>
    <row r="232" spans="1:35" x14ac:dyDescent="0.2">
      <c r="A232" s="66">
        <f t="shared" si="11"/>
      </c>
      <c r="B232" s="4"/>
      <c r="C232" s="4"/>
      <c r="D232" s="4"/>
      <c r="E232" s="4"/>
      <c r="F232" s="32"/>
      <c r="G232" s="8"/>
      <c r="H232" s="9"/>
      <c r="I232" s="8"/>
      <c r="J232" s="10"/>
      <c r="K232" s="8"/>
      <c r="L232" s="8"/>
      <c r="M232" s="8"/>
      <c r="N232" s="11"/>
      <c r="O232" s="9"/>
      <c r="P232" s="12"/>
      <c r="Q232" s="9"/>
      <c r="R232" s="13"/>
      <c r="S232" s="11"/>
      <c r="T232" s="11"/>
      <c r="U232" s="9"/>
      <c r="V232" s="9"/>
      <c r="W232" s="9"/>
      <c r="X232" s="16"/>
      <c r="AF232" s="42">
        <f>IF(BUSCAR!$C$8="FECHA NAC.",$G232,IF(BUSCAR!$C$8="PASAPORTE EXPIRA",$J232,IF(BUSCAR!$C$8="LICENCIA EMISION",$L232,IF(BUSCAR!$C$8="LICENCIA EXPIRA",$M232,""))))</f>
      </c>
      <c r="AG232" s="42">
        <f>IF($B232&amp;$C232&amp;$D232&amp;$E232&amp;$H232="",0,IF(AND(OR(BUSCAR!$J$5="",ISNUMBER(SEARCH(BUSCAR!$J$5,$AI232))),OR(BUSCAR!$J$6="",ISNUMBER(SEARCH(BUSCAR!$J$6,$AI232))),OR(BUSCAR!$J$8="",ISNUMBER(SEARCH(BUSCAR!$J$8,$AI232))),OR(BUSCAR!$J$9="",ISNUMBER(SEARCH(BUSCAR!$J$9,$AI232))),OR(NOT(BUSCAR!$J$2),AND(ISNUMBER($AF232),$AF232&gt;=BUSCAR!$J$3,$AF232&lt;=BUSCAR!$J$4))),1,0))</f>
      </c>
      <c r="AH232" s="42">
        <f t="shared" si="9"/>
      </c>
      <c r="AI232" s="42">
        <f t="shared" si="10"/>
      </c>
    </row>
    <row r="233" spans="1:35" x14ac:dyDescent="0.2">
      <c r="A233" s="66">
        <f t="shared" si="11"/>
      </c>
      <c r="B233" s="4"/>
      <c r="C233" s="4"/>
      <c r="D233" s="4"/>
      <c r="E233" s="4"/>
      <c r="F233" s="32"/>
      <c r="G233" s="8"/>
      <c r="H233" s="9"/>
      <c r="I233" s="8"/>
      <c r="J233" s="10"/>
      <c r="K233" s="8"/>
      <c r="L233" s="8"/>
      <c r="M233" s="8"/>
      <c r="N233" s="11"/>
      <c r="O233" s="9"/>
      <c r="P233" s="12"/>
      <c r="Q233" s="9"/>
      <c r="R233" s="13"/>
      <c r="S233" s="11"/>
      <c r="T233" s="11"/>
      <c r="U233" s="9"/>
      <c r="V233" s="9"/>
      <c r="W233" s="9"/>
      <c r="X233" s="16"/>
      <c r="AF233" s="42">
        <f>IF(BUSCAR!$C$8="FECHA NAC.",$G233,IF(BUSCAR!$C$8="PASAPORTE EXPIRA",$J233,IF(BUSCAR!$C$8="LICENCIA EMISION",$L233,IF(BUSCAR!$C$8="LICENCIA EXPIRA",$M233,""))))</f>
      </c>
      <c r="AG233" s="42">
        <f>IF($B233&amp;$C233&amp;$D233&amp;$E233&amp;$H233="",0,IF(AND(OR(BUSCAR!$J$5="",ISNUMBER(SEARCH(BUSCAR!$J$5,$AI233))),OR(BUSCAR!$J$6="",ISNUMBER(SEARCH(BUSCAR!$J$6,$AI233))),OR(BUSCAR!$J$8="",ISNUMBER(SEARCH(BUSCAR!$J$8,$AI233))),OR(BUSCAR!$J$9="",ISNUMBER(SEARCH(BUSCAR!$J$9,$AI233))),OR(NOT(BUSCAR!$J$2),AND(ISNUMBER($AF233),$AF233&gt;=BUSCAR!$J$3,$AF233&lt;=BUSCAR!$J$4))),1,0))</f>
      </c>
      <c r="AH233" s="42">
        <f t="shared" si="9"/>
      </c>
      <c r="AI233" s="42">
        <f t="shared" si="10"/>
      </c>
    </row>
    <row r="234" spans="1:35" x14ac:dyDescent="0.2">
      <c r="A234" s="66">
        <f t="shared" si="11"/>
      </c>
      <c r="B234" s="4"/>
      <c r="C234" s="4"/>
      <c r="D234" s="4"/>
      <c r="E234" s="4"/>
      <c r="F234" s="32"/>
      <c r="G234" s="8"/>
      <c r="H234" s="9"/>
      <c r="I234" s="8"/>
      <c r="J234" s="10"/>
      <c r="K234" s="8"/>
      <c r="L234" s="8"/>
      <c r="M234" s="8"/>
      <c r="N234" s="11"/>
      <c r="O234" s="9"/>
      <c r="P234" s="12"/>
      <c r="Q234" s="9"/>
      <c r="R234" s="13"/>
      <c r="S234" s="11"/>
      <c r="T234" s="11"/>
      <c r="U234" s="9"/>
      <c r="V234" s="9"/>
      <c r="W234" s="9"/>
      <c r="X234" s="16"/>
      <c r="AF234" s="42">
        <f>IF(BUSCAR!$C$8="FECHA NAC.",$G234,IF(BUSCAR!$C$8="PASAPORTE EXPIRA",$J234,IF(BUSCAR!$C$8="LICENCIA EMISION",$L234,IF(BUSCAR!$C$8="LICENCIA EXPIRA",$M234,""))))</f>
      </c>
      <c r="AG234" s="42">
        <f>IF($B234&amp;$C234&amp;$D234&amp;$E234&amp;$H234="",0,IF(AND(OR(BUSCAR!$J$5="",ISNUMBER(SEARCH(BUSCAR!$J$5,$AI234))),OR(BUSCAR!$J$6="",ISNUMBER(SEARCH(BUSCAR!$J$6,$AI234))),OR(BUSCAR!$J$8="",ISNUMBER(SEARCH(BUSCAR!$J$8,$AI234))),OR(BUSCAR!$J$9="",ISNUMBER(SEARCH(BUSCAR!$J$9,$AI234))),OR(NOT(BUSCAR!$J$2),AND(ISNUMBER($AF234),$AF234&gt;=BUSCAR!$J$3,$AF234&lt;=BUSCAR!$J$4))),1,0))</f>
      </c>
      <c r="AH234" s="42">
        <f t="shared" si="9"/>
      </c>
      <c r="AI234" s="42">
        <f t="shared" si="10"/>
      </c>
    </row>
    <row r="235" spans="1:35" x14ac:dyDescent="0.2">
      <c r="A235" s="66">
        <f t="shared" si="11"/>
      </c>
      <c r="B235" s="4"/>
      <c r="C235" s="4"/>
      <c r="D235" s="4"/>
      <c r="E235" s="4"/>
      <c r="F235" s="32"/>
      <c r="G235" s="8"/>
      <c r="H235" s="9"/>
      <c r="I235" s="8"/>
      <c r="J235" s="10"/>
      <c r="K235" s="8"/>
      <c r="L235" s="8"/>
      <c r="M235" s="8"/>
      <c r="N235" s="11"/>
      <c r="O235" s="9"/>
      <c r="P235" s="12"/>
      <c r="Q235" s="9"/>
      <c r="R235" s="13"/>
      <c r="S235" s="11"/>
      <c r="T235" s="11"/>
      <c r="U235" s="9"/>
      <c r="V235" s="9"/>
      <c r="W235" s="9"/>
      <c r="X235" s="16"/>
      <c r="AF235" s="42">
        <f>IF(BUSCAR!$C$8="FECHA NAC.",$G235,IF(BUSCAR!$C$8="PASAPORTE EXPIRA",$J235,IF(BUSCAR!$C$8="LICENCIA EMISION",$L235,IF(BUSCAR!$C$8="LICENCIA EXPIRA",$M235,""))))</f>
      </c>
      <c r="AG235" s="42">
        <f>IF($B235&amp;$C235&amp;$D235&amp;$E235&amp;$H235="",0,IF(AND(OR(BUSCAR!$J$5="",ISNUMBER(SEARCH(BUSCAR!$J$5,$AI235))),OR(BUSCAR!$J$6="",ISNUMBER(SEARCH(BUSCAR!$J$6,$AI235))),OR(BUSCAR!$J$8="",ISNUMBER(SEARCH(BUSCAR!$J$8,$AI235))),OR(BUSCAR!$J$9="",ISNUMBER(SEARCH(BUSCAR!$J$9,$AI235))),OR(NOT(BUSCAR!$J$2),AND(ISNUMBER($AF235),$AF235&gt;=BUSCAR!$J$3,$AF235&lt;=BUSCAR!$J$4))),1,0))</f>
      </c>
      <c r="AH235" s="42">
        <f t="shared" si="9"/>
      </c>
      <c r="AI235" s="42">
        <f t="shared" si="10"/>
      </c>
    </row>
    <row r="236" spans="1:35" x14ac:dyDescent="0.2">
      <c r="A236" s="66">
        <f t="shared" si="11"/>
      </c>
      <c r="B236" s="4"/>
      <c r="C236" s="4"/>
      <c r="D236" s="4"/>
      <c r="E236" s="4"/>
      <c r="F236" s="32"/>
      <c r="G236" s="8"/>
      <c r="H236" s="9"/>
      <c r="I236" s="8"/>
      <c r="J236" s="10"/>
      <c r="K236" s="8"/>
      <c r="L236" s="8"/>
      <c r="M236" s="8"/>
      <c r="N236" s="11"/>
      <c r="O236" s="9"/>
      <c r="P236" s="12"/>
      <c r="Q236" s="9"/>
      <c r="R236" s="13"/>
      <c r="S236" s="11"/>
      <c r="T236" s="11"/>
      <c r="U236" s="9"/>
      <c r="V236" s="9"/>
      <c r="W236" s="9"/>
      <c r="X236" s="16"/>
      <c r="AF236" s="42">
        <f>IF(BUSCAR!$C$8="FECHA NAC.",$G236,IF(BUSCAR!$C$8="PASAPORTE EXPIRA",$J236,IF(BUSCAR!$C$8="LICENCIA EMISION",$L236,IF(BUSCAR!$C$8="LICENCIA EXPIRA",$M236,""))))</f>
      </c>
      <c r="AG236" s="42">
        <f>IF($B236&amp;$C236&amp;$D236&amp;$E236&amp;$H236="",0,IF(AND(OR(BUSCAR!$J$5="",ISNUMBER(SEARCH(BUSCAR!$J$5,$AI236))),OR(BUSCAR!$J$6="",ISNUMBER(SEARCH(BUSCAR!$J$6,$AI236))),OR(BUSCAR!$J$8="",ISNUMBER(SEARCH(BUSCAR!$J$8,$AI236))),OR(BUSCAR!$J$9="",ISNUMBER(SEARCH(BUSCAR!$J$9,$AI236))),OR(NOT(BUSCAR!$J$2),AND(ISNUMBER($AF236),$AF236&gt;=BUSCAR!$J$3,$AF236&lt;=BUSCAR!$J$4))),1,0))</f>
      </c>
      <c r="AH236" s="42">
        <f t="shared" si="9"/>
      </c>
      <c r="AI236" s="42">
        <f t="shared" si="10"/>
      </c>
    </row>
    <row r="237" spans="1:35" x14ac:dyDescent="0.2">
      <c r="A237" s="66">
        <f t="shared" si="11"/>
      </c>
      <c r="B237" s="4"/>
      <c r="C237" s="4"/>
      <c r="D237" s="4"/>
      <c r="E237" s="4"/>
      <c r="F237" s="32"/>
      <c r="G237" s="8"/>
      <c r="H237" s="9"/>
      <c r="I237" s="8"/>
      <c r="J237" s="10"/>
      <c r="K237" s="8"/>
      <c r="L237" s="8"/>
      <c r="M237" s="8"/>
      <c r="N237" s="11"/>
      <c r="O237" s="9"/>
      <c r="P237" s="12"/>
      <c r="Q237" s="9"/>
      <c r="R237" s="13"/>
      <c r="S237" s="11"/>
      <c r="T237" s="11"/>
      <c r="U237" s="9"/>
      <c r="V237" s="9"/>
      <c r="W237" s="9"/>
      <c r="X237" s="16"/>
      <c r="AF237" s="42">
        <f>IF(BUSCAR!$C$8="FECHA NAC.",$G237,IF(BUSCAR!$C$8="PASAPORTE EXPIRA",$J237,IF(BUSCAR!$C$8="LICENCIA EMISION",$L237,IF(BUSCAR!$C$8="LICENCIA EXPIRA",$M237,""))))</f>
      </c>
      <c r="AG237" s="42">
        <f>IF($B237&amp;$C237&amp;$D237&amp;$E237&amp;$H237="",0,IF(AND(OR(BUSCAR!$J$5="",ISNUMBER(SEARCH(BUSCAR!$J$5,$AI237))),OR(BUSCAR!$J$6="",ISNUMBER(SEARCH(BUSCAR!$J$6,$AI237))),OR(BUSCAR!$J$8="",ISNUMBER(SEARCH(BUSCAR!$J$8,$AI237))),OR(BUSCAR!$J$9="",ISNUMBER(SEARCH(BUSCAR!$J$9,$AI237))),OR(NOT(BUSCAR!$J$2),AND(ISNUMBER($AF237),$AF237&gt;=BUSCAR!$J$3,$AF237&lt;=BUSCAR!$J$4))),1,0))</f>
      </c>
      <c r="AH237" s="42">
        <f t="shared" si="9"/>
      </c>
      <c r="AI237" s="42">
        <f t="shared" si="10"/>
      </c>
    </row>
    <row r="238" spans="1:35" x14ac:dyDescent="0.2">
      <c r="A238" s="66">
        <f t="shared" si="11"/>
      </c>
      <c r="B238" s="4"/>
      <c r="C238" s="4"/>
      <c r="D238" s="4"/>
      <c r="E238" s="4"/>
      <c r="F238" s="32"/>
      <c r="G238" s="8"/>
      <c r="H238" s="9"/>
      <c r="I238" s="8"/>
      <c r="J238" s="10"/>
      <c r="K238" s="8"/>
      <c r="L238" s="8"/>
      <c r="M238" s="8"/>
      <c r="N238" s="11"/>
      <c r="O238" s="9"/>
      <c r="P238" s="12"/>
      <c r="Q238" s="9"/>
      <c r="R238" s="13"/>
      <c r="S238" s="11"/>
      <c r="T238" s="11"/>
      <c r="U238" s="9"/>
      <c r="V238" s="9"/>
      <c r="W238" s="9"/>
      <c r="X238" s="16"/>
      <c r="AF238" s="42">
        <f>IF(BUSCAR!$C$8="FECHA NAC.",$G238,IF(BUSCAR!$C$8="PASAPORTE EXPIRA",$J238,IF(BUSCAR!$C$8="LICENCIA EMISION",$L238,IF(BUSCAR!$C$8="LICENCIA EXPIRA",$M238,""))))</f>
      </c>
      <c r="AG238" s="42">
        <f>IF($B238&amp;$C238&amp;$D238&amp;$E238&amp;$H238="",0,IF(AND(OR(BUSCAR!$J$5="",ISNUMBER(SEARCH(BUSCAR!$J$5,$AI238))),OR(BUSCAR!$J$6="",ISNUMBER(SEARCH(BUSCAR!$J$6,$AI238))),OR(BUSCAR!$J$8="",ISNUMBER(SEARCH(BUSCAR!$J$8,$AI238))),OR(BUSCAR!$J$9="",ISNUMBER(SEARCH(BUSCAR!$J$9,$AI238))),OR(NOT(BUSCAR!$J$2),AND(ISNUMBER($AF238),$AF238&gt;=BUSCAR!$J$3,$AF238&lt;=BUSCAR!$J$4))),1,0))</f>
      </c>
      <c r="AH238" s="42">
        <f t="shared" si="9"/>
      </c>
      <c r="AI238" s="42">
        <f t="shared" si="10"/>
      </c>
    </row>
    <row r="239" spans="1:35" x14ac:dyDescent="0.2">
      <c r="A239" s="66">
        <f t="shared" si="11"/>
      </c>
      <c r="B239" s="4"/>
      <c r="C239" s="4"/>
      <c r="D239" s="4"/>
      <c r="E239" s="4"/>
      <c r="F239" s="32"/>
      <c r="G239" s="8"/>
      <c r="H239" s="9"/>
      <c r="I239" s="8"/>
      <c r="J239" s="10"/>
      <c r="K239" s="8"/>
      <c r="L239" s="8"/>
      <c r="M239" s="8"/>
      <c r="N239" s="11"/>
      <c r="O239" s="9"/>
      <c r="P239" s="12"/>
      <c r="Q239" s="9"/>
      <c r="R239" s="13"/>
      <c r="S239" s="11"/>
      <c r="T239" s="11"/>
      <c r="U239" s="9"/>
      <c r="V239" s="9"/>
      <c r="W239" s="9"/>
      <c r="X239" s="16"/>
      <c r="AF239" s="42">
        <f>IF(BUSCAR!$C$8="FECHA NAC.",$G239,IF(BUSCAR!$C$8="PASAPORTE EXPIRA",$J239,IF(BUSCAR!$C$8="LICENCIA EMISION",$L239,IF(BUSCAR!$C$8="LICENCIA EXPIRA",$M239,""))))</f>
      </c>
      <c r="AG239" s="42">
        <f>IF($B239&amp;$C239&amp;$D239&amp;$E239&amp;$H239="",0,IF(AND(OR(BUSCAR!$J$5="",ISNUMBER(SEARCH(BUSCAR!$J$5,$AI239))),OR(BUSCAR!$J$6="",ISNUMBER(SEARCH(BUSCAR!$J$6,$AI239))),OR(BUSCAR!$J$8="",ISNUMBER(SEARCH(BUSCAR!$J$8,$AI239))),OR(BUSCAR!$J$9="",ISNUMBER(SEARCH(BUSCAR!$J$9,$AI239))),OR(NOT(BUSCAR!$J$2),AND(ISNUMBER($AF239),$AF239&gt;=BUSCAR!$J$3,$AF239&lt;=BUSCAR!$J$4))),1,0))</f>
      </c>
      <c r="AH239" s="42">
        <f t="shared" si="9"/>
      </c>
      <c r="AI239" s="42">
        <f t="shared" si="10"/>
      </c>
    </row>
    <row r="240" spans="1:35" x14ac:dyDescent="0.2">
      <c r="A240" s="66">
        <f t="shared" si="11"/>
      </c>
      <c r="B240" s="4"/>
      <c r="C240" s="4"/>
      <c r="D240" s="4"/>
      <c r="E240" s="4"/>
      <c r="F240" s="32"/>
      <c r="G240" s="8"/>
      <c r="H240" s="9"/>
      <c r="I240" s="8"/>
      <c r="J240" s="10"/>
      <c r="K240" s="8"/>
      <c r="L240" s="8"/>
      <c r="M240" s="8"/>
      <c r="N240" s="11"/>
      <c r="O240" s="9"/>
      <c r="P240" s="12"/>
      <c r="Q240" s="9"/>
      <c r="R240" s="13"/>
      <c r="S240" s="11"/>
      <c r="T240" s="11"/>
      <c r="U240" s="9"/>
      <c r="V240" s="9"/>
      <c r="W240" s="9"/>
      <c r="X240" s="16"/>
      <c r="AF240" s="42">
        <f>IF(BUSCAR!$C$8="FECHA NAC.",$G240,IF(BUSCAR!$C$8="PASAPORTE EXPIRA",$J240,IF(BUSCAR!$C$8="LICENCIA EMISION",$L240,IF(BUSCAR!$C$8="LICENCIA EXPIRA",$M240,""))))</f>
      </c>
      <c r="AG240" s="42">
        <f>IF($B240&amp;$C240&amp;$D240&amp;$E240&amp;$H240="",0,IF(AND(OR(BUSCAR!$J$5="",ISNUMBER(SEARCH(BUSCAR!$J$5,$AI240))),OR(BUSCAR!$J$6="",ISNUMBER(SEARCH(BUSCAR!$J$6,$AI240))),OR(BUSCAR!$J$8="",ISNUMBER(SEARCH(BUSCAR!$J$8,$AI240))),OR(BUSCAR!$J$9="",ISNUMBER(SEARCH(BUSCAR!$J$9,$AI240))),OR(NOT(BUSCAR!$J$2),AND(ISNUMBER($AF240),$AF240&gt;=BUSCAR!$J$3,$AF240&lt;=BUSCAR!$J$4))),1,0))</f>
      </c>
      <c r="AH240" s="42">
        <f t="shared" si="9"/>
      </c>
      <c r="AI240" s="42">
        <f t="shared" si="10"/>
      </c>
    </row>
    <row r="241" spans="1:35" x14ac:dyDescent="0.2">
      <c r="A241" s="66">
        <f t="shared" si="11"/>
      </c>
      <c r="B241" s="4"/>
      <c r="C241" s="4"/>
      <c r="D241" s="4"/>
      <c r="E241" s="4"/>
      <c r="F241" s="32"/>
      <c r="G241" s="8"/>
      <c r="H241" s="9"/>
      <c r="I241" s="8"/>
      <c r="J241" s="10"/>
      <c r="K241" s="8"/>
      <c r="L241" s="8"/>
      <c r="M241" s="8"/>
      <c r="N241" s="11"/>
      <c r="O241" s="9"/>
      <c r="P241" s="12"/>
      <c r="Q241" s="9"/>
      <c r="R241" s="13"/>
      <c r="S241" s="11"/>
      <c r="T241" s="11"/>
      <c r="U241" s="9"/>
      <c r="V241" s="9"/>
      <c r="W241" s="9"/>
      <c r="X241" s="16"/>
      <c r="AF241" s="42">
        <f>IF(BUSCAR!$C$8="FECHA NAC.",$G241,IF(BUSCAR!$C$8="PASAPORTE EXPIRA",$J241,IF(BUSCAR!$C$8="LICENCIA EMISION",$L241,IF(BUSCAR!$C$8="LICENCIA EXPIRA",$M241,""))))</f>
      </c>
      <c r="AG241" s="42">
        <f>IF($B241&amp;$C241&amp;$D241&amp;$E241&amp;$H241="",0,IF(AND(OR(BUSCAR!$J$5="",ISNUMBER(SEARCH(BUSCAR!$J$5,$AI241))),OR(BUSCAR!$J$6="",ISNUMBER(SEARCH(BUSCAR!$J$6,$AI241))),OR(BUSCAR!$J$8="",ISNUMBER(SEARCH(BUSCAR!$J$8,$AI241))),OR(BUSCAR!$J$9="",ISNUMBER(SEARCH(BUSCAR!$J$9,$AI241))),OR(NOT(BUSCAR!$J$2),AND(ISNUMBER($AF241),$AF241&gt;=BUSCAR!$J$3,$AF241&lt;=BUSCAR!$J$4))),1,0))</f>
      </c>
      <c r="AH241" s="42">
        <f t="shared" si="9"/>
      </c>
      <c r="AI241" s="42">
        <f t="shared" si="10"/>
      </c>
    </row>
    <row r="242" spans="1:35" x14ac:dyDescent="0.2">
      <c r="A242" s="66">
        <f t="shared" si="11"/>
      </c>
      <c r="B242" s="4"/>
      <c r="C242" s="4"/>
      <c r="D242" s="4"/>
      <c r="E242" s="4"/>
      <c r="F242" s="32"/>
      <c r="G242" s="8"/>
      <c r="H242" s="9"/>
      <c r="I242" s="8"/>
      <c r="J242" s="10"/>
      <c r="K242" s="8"/>
      <c r="L242" s="8"/>
      <c r="M242" s="8"/>
      <c r="N242" s="11"/>
      <c r="O242" s="9"/>
      <c r="P242" s="12"/>
      <c r="Q242" s="9"/>
      <c r="R242" s="13"/>
      <c r="S242" s="11"/>
      <c r="T242" s="11"/>
      <c r="U242" s="9"/>
      <c r="V242" s="9"/>
      <c r="W242" s="9"/>
      <c r="X242" s="16"/>
      <c r="AF242" s="42">
        <f>IF(BUSCAR!$C$8="FECHA NAC.",$G242,IF(BUSCAR!$C$8="PASAPORTE EXPIRA",$J242,IF(BUSCAR!$C$8="LICENCIA EMISION",$L242,IF(BUSCAR!$C$8="LICENCIA EXPIRA",$M242,""))))</f>
      </c>
      <c r="AG242" s="42">
        <f>IF($B242&amp;$C242&amp;$D242&amp;$E242&amp;$H242="",0,IF(AND(OR(BUSCAR!$J$5="",ISNUMBER(SEARCH(BUSCAR!$J$5,$AI242))),OR(BUSCAR!$J$6="",ISNUMBER(SEARCH(BUSCAR!$J$6,$AI242))),OR(BUSCAR!$J$8="",ISNUMBER(SEARCH(BUSCAR!$J$8,$AI242))),OR(BUSCAR!$J$9="",ISNUMBER(SEARCH(BUSCAR!$J$9,$AI242))),OR(NOT(BUSCAR!$J$2),AND(ISNUMBER($AF242),$AF242&gt;=BUSCAR!$J$3,$AF242&lt;=BUSCAR!$J$4))),1,0))</f>
      </c>
      <c r="AH242" s="42">
        <f t="shared" si="9"/>
      </c>
      <c r="AI242" s="42">
        <f t="shared" si="10"/>
      </c>
    </row>
    <row r="243" spans="1:35" x14ac:dyDescent="0.2">
      <c r="A243" s="66">
        <f t="shared" si="11"/>
      </c>
      <c r="B243" s="4"/>
      <c r="C243" s="4"/>
      <c r="D243" s="4"/>
      <c r="E243" s="4"/>
      <c r="F243" s="32"/>
      <c r="G243" s="8"/>
      <c r="H243" s="9"/>
      <c r="I243" s="8"/>
      <c r="J243" s="10"/>
      <c r="K243" s="8"/>
      <c r="L243" s="8"/>
      <c r="M243" s="8"/>
      <c r="N243" s="11"/>
      <c r="O243" s="9"/>
      <c r="P243" s="12"/>
      <c r="Q243" s="9"/>
      <c r="R243" s="13"/>
      <c r="S243" s="11"/>
      <c r="T243" s="11"/>
      <c r="U243" s="9"/>
      <c r="V243" s="9"/>
      <c r="W243" s="9"/>
      <c r="X243" s="16"/>
      <c r="AF243" s="42">
        <f>IF(BUSCAR!$C$8="FECHA NAC.",$G243,IF(BUSCAR!$C$8="PASAPORTE EXPIRA",$J243,IF(BUSCAR!$C$8="LICENCIA EMISION",$L243,IF(BUSCAR!$C$8="LICENCIA EXPIRA",$M243,""))))</f>
      </c>
      <c r="AG243" s="42">
        <f>IF($B243&amp;$C243&amp;$D243&amp;$E243&amp;$H243="",0,IF(AND(OR(BUSCAR!$J$5="",ISNUMBER(SEARCH(BUSCAR!$J$5,$AI243))),OR(BUSCAR!$J$6="",ISNUMBER(SEARCH(BUSCAR!$J$6,$AI243))),OR(BUSCAR!$J$8="",ISNUMBER(SEARCH(BUSCAR!$J$8,$AI243))),OR(BUSCAR!$J$9="",ISNUMBER(SEARCH(BUSCAR!$J$9,$AI243))),OR(NOT(BUSCAR!$J$2),AND(ISNUMBER($AF243),$AF243&gt;=BUSCAR!$J$3,$AF243&lt;=BUSCAR!$J$4))),1,0))</f>
      </c>
      <c r="AH243" s="42">
        <f t="shared" si="9"/>
      </c>
      <c r="AI243" s="42">
        <f t="shared" si="10"/>
      </c>
    </row>
    <row r="244" spans="1:35" x14ac:dyDescent="0.2">
      <c r="A244" s="66">
        <f t="shared" si="11"/>
      </c>
      <c r="B244" s="4"/>
      <c r="C244" s="4"/>
      <c r="D244" s="4"/>
      <c r="E244" s="4"/>
      <c r="F244" s="32"/>
      <c r="G244" s="8"/>
      <c r="H244" s="9"/>
      <c r="I244" s="8"/>
      <c r="J244" s="10"/>
      <c r="K244" s="8"/>
      <c r="L244" s="8"/>
      <c r="M244" s="8"/>
      <c r="N244" s="11"/>
      <c r="O244" s="9"/>
      <c r="P244" s="12"/>
      <c r="Q244" s="9"/>
      <c r="R244" s="13"/>
      <c r="S244" s="11"/>
      <c r="T244" s="11"/>
      <c r="U244" s="9"/>
      <c r="V244" s="9"/>
      <c r="W244" s="9"/>
      <c r="X244" s="16"/>
      <c r="AF244" s="42">
        <f>IF(BUSCAR!$C$8="FECHA NAC.",$G244,IF(BUSCAR!$C$8="PASAPORTE EXPIRA",$J244,IF(BUSCAR!$C$8="LICENCIA EMISION",$L244,IF(BUSCAR!$C$8="LICENCIA EXPIRA",$M244,""))))</f>
      </c>
      <c r="AG244" s="42">
        <f>IF($B244&amp;$C244&amp;$D244&amp;$E244&amp;$H244="",0,IF(AND(OR(BUSCAR!$J$5="",ISNUMBER(SEARCH(BUSCAR!$J$5,$AI244))),OR(BUSCAR!$J$6="",ISNUMBER(SEARCH(BUSCAR!$J$6,$AI244))),OR(BUSCAR!$J$8="",ISNUMBER(SEARCH(BUSCAR!$J$8,$AI244))),OR(BUSCAR!$J$9="",ISNUMBER(SEARCH(BUSCAR!$J$9,$AI244))),OR(NOT(BUSCAR!$J$2),AND(ISNUMBER($AF244),$AF244&gt;=BUSCAR!$J$3,$AF244&lt;=BUSCAR!$J$4))),1,0))</f>
      </c>
      <c r="AH244" s="42">
        <f t="shared" si="9"/>
      </c>
      <c r="AI244" s="42">
        <f t="shared" si="10"/>
      </c>
    </row>
    <row r="245" spans="1:35" x14ac:dyDescent="0.2">
      <c r="A245" s="66">
        <f t="shared" si="11"/>
      </c>
      <c r="B245" s="4"/>
      <c r="C245" s="4"/>
      <c r="D245" s="4"/>
      <c r="E245" s="4"/>
      <c r="F245" s="32"/>
      <c r="G245" s="8"/>
      <c r="H245" s="9"/>
      <c r="I245" s="8"/>
      <c r="J245" s="10"/>
      <c r="K245" s="8"/>
      <c r="L245" s="8"/>
      <c r="M245" s="8"/>
      <c r="N245" s="11"/>
      <c r="O245" s="9"/>
      <c r="P245" s="12"/>
      <c r="Q245" s="9"/>
      <c r="R245" s="13"/>
      <c r="S245" s="11"/>
      <c r="T245" s="11"/>
      <c r="U245" s="9"/>
      <c r="V245" s="9"/>
      <c r="W245" s="9"/>
      <c r="X245" s="16"/>
      <c r="AF245" s="42">
        <f>IF(BUSCAR!$C$8="FECHA NAC.",$G245,IF(BUSCAR!$C$8="PASAPORTE EXPIRA",$J245,IF(BUSCAR!$C$8="LICENCIA EMISION",$L245,IF(BUSCAR!$C$8="LICENCIA EXPIRA",$M245,""))))</f>
      </c>
      <c r="AG245" s="42">
        <f>IF($B245&amp;$C245&amp;$D245&amp;$E245&amp;$H245="",0,IF(AND(OR(BUSCAR!$J$5="",ISNUMBER(SEARCH(BUSCAR!$J$5,$AI245))),OR(BUSCAR!$J$6="",ISNUMBER(SEARCH(BUSCAR!$J$6,$AI245))),OR(BUSCAR!$J$8="",ISNUMBER(SEARCH(BUSCAR!$J$8,$AI245))),OR(BUSCAR!$J$9="",ISNUMBER(SEARCH(BUSCAR!$J$9,$AI245))),OR(NOT(BUSCAR!$J$2),AND(ISNUMBER($AF245),$AF245&gt;=BUSCAR!$J$3,$AF245&lt;=BUSCAR!$J$4))),1,0))</f>
      </c>
      <c r="AH245" s="42">
        <f t="shared" si="9"/>
      </c>
      <c r="AI245" s="42">
        <f t="shared" si="10"/>
      </c>
    </row>
    <row r="246" spans="1:35" x14ac:dyDescent="0.2">
      <c r="A246" s="66">
        <f t="shared" si="11"/>
      </c>
      <c r="B246" s="4"/>
      <c r="C246" s="4"/>
      <c r="D246" s="4"/>
      <c r="E246" s="4"/>
      <c r="F246" s="32"/>
      <c r="G246" s="8"/>
      <c r="H246" s="9"/>
      <c r="I246" s="8"/>
      <c r="J246" s="10"/>
      <c r="K246" s="8"/>
      <c r="L246" s="8"/>
      <c r="M246" s="8"/>
      <c r="N246" s="11"/>
      <c r="O246" s="9"/>
      <c r="P246" s="12"/>
      <c r="Q246" s="9"/>
      <c r="R246" s="13"/>
      <c r="S246" s="11"/>
      <c r="T246" s="11"/>
      <c r="U246" s="9"/>
      <c r="V246" s="9"/>
      <c r="W246" s="9"/>
      <c r="X246" s="16"/>
      <c r="AF246" s="42">
        <f>IF(BUSCAR!$C$8="FECHA NAC.",$G246,IF(BUSCAR!$C$8="PASAPORTE EXPIRA",$J246,IF(BUSCAR!$C$8="LICENCIA EMISION",$L246,IF(BUSCAR!$C$8="LICENCIA EXPIRA",$M246,""))))</f>
      </c>
      <c r="AG246" s="42">
        <f>IF($B246&amp;$C246&amp;$D246&amp;$E246&amp;$H246="",0,IF(AND(OR(BUSCAR!$J$5="",ISNUMBER(SEARCH(BUSCAR!$J$5,$AI246))),OR(BUSCAR!$J$6="",ISNUMBER(SEARCH(BUSCAR!$J$6,$AI246))),OR(BUSCAR!$J$8="",ISNUMBER(SEARCH(BUSCAR!$J$8,$AI246))),OR(BUSCAR!$J$9="",ISNUMBER(SEARCH(BUSCAR!$J$9,$AI246))),OR(NOT(BUSCAR!$J$2),AND(ISNUMBER($AF246),$AF246&gt;=BUSCAR!$J$3,$AF246&lt;=BUSCAR!$J$4))),1,0))</f>
      </c>
      <c r="AH246" s="42">
        <f t="shared" si="9"/>
      </c>
      <c r="AI246" s="42">
        <f t="shared" si="10"/>
      </c>
    </row>
    <row r="247" spans="1:35" x14ac:dyDescent="0.2">
      <c r="A247" s="66">
        <f t="shared" si="11"/>
      </c>
      <c r="B247" s="4"/>
      <c r="C247" s="4"/>
      <c r="D247" s="4"/>
      <c r="E247" s="4"/>
      <c r="F247" s="32"/>
      <c r="G247" s="8"/>
      <c r="H247" s="9"/>
      <c r="I247" s="8"/>
      <c r="J247" s="10"/>
      <c r="K247" s="8"/>
      <c r="L247" s="8"/>
      <c r="M247" s="8"/>
      <c r="N247" s="11"/>
      <c r="O247" s="9"/>
      <c r="P247" s="12"/>
      <c r="Q247" s="9"/>
      <c r="R247" s="13"/>
      <c r="S247" s="11"/>
      <c r="T247" s="11"/>
      <c r="U247" s="9"/>
      <c r="V247" s="9"/>
      <c r="W247" s="9"/>
      <c r="X247" s="16"/>
      <c r="AF247" s="42">
        <f>IF(BUSCAR!$C$8="FECHA NAC.",$G247,IF(BUSCAR!$C$8="PASAPORTE EXPIRA",$J247,IF(BUSCAR!$C$8="LICENCIA EMISION",$L247,IF(BUSCAR!$C$8="LICENCIA EXPIRA",$M247,""))))</f>
      </c>
      <c r="AG247" s="42">
        <f>IF($B247&amp;$C247&amp;$D247&amp;$E247&amp;$H247="",0,IF(AND(OR(BUSCAR!$J$5="",ISNUMBER(SEARCH(BUSCAR!$J$5,$AI247))),OR(BUSCAR!$J$6="",ISNUMBER(SEARCH(BUSCAR!$J$6,$AI247))),OR(BUSCAR!$J$8="",ISNUMBER(SEARCH(BUSCAR!$J$8,$AI247))),OR(BUSCAR!$J$9="",ISNUMBER(SEARCH(BUSCAR!$J$9,$AI247))),OR(NOT(BUSCAR!$J$2),AND(ISNUMBER($AF247),$AF247&gt;=BUSCAR!$J$3,$AF247&lt;=BUSCAR!$J$4))),1,0))</f>
      </c>
      <c r="AH247" s="42">
        <f t="shared" si="9"/>
      </c>
      <c r="AI247" s="42">
        <f t="shared" si="10"/>
      </c>
    </row>
    <row r="248" spans="1:35" x14ac:dyDescent="0.2">
      <c r="A248" s="66">
        <f t="shared" si="11"/>
      </c>
      <c r="B248" s="4"/>
      <c r="C248" s="4"/>
      <c r="D248" s="4"/>
      <c r="E248" s="4"/>
      <c r="F248" s="32"/>
      <c r="G248" s="8"/>
      <c r="H248" s="9"/>
      <c r="I248" s="8"/>
      <c r="J248" s="10"/>
      <c r="K248" s="8"/>
      <c r="L248" s="8"/>
      <c r="M248" s="8"/>
      <c r="N248" s="11"/>
      <c r="O248" s="9"/>
      <c r="P248" s="12"/>
      <c r="Q248" s="9"/>
      <c r="R248" s="13"/>
      <c r="S248" s="11"/>
      <c r="T248" s="11"/>
      <c r="U248" s="9"/>
      <c r="V248" s="9"/>
      <c r="W248" s="9"/>
      <c r="X248" s="16"/>
      <c r="AF248" s="42">
        <f>IF(BUSCAR!$C$8="FECHA NAC.",$G248,IF(BUSCAR!$C$8="PASAPORTE EXPIRA",$J248,IF(BUSCAR!$C$8="LICENCIA EMISION",$L248,IF(BUSCAR!$C$8="LICENCIA EXPIRA",$M248,""))))</f>
      </c>
      <c r="AG248" s="42">
        <f>IF($B248&amp;$C248&amp;$D248&amp;$E248&amp;$H248="",0,IF(AND(OR(BUSCAR!$J$5="",ISNUMBER(SEARCH(BUSCAR!$J$5,$AI248))),OR(BUSCAR!$J$6="",ISNUMBER(SEARCH(BUSCAR!$J$6,$AI248))),OR(BUSCAR!$J$8="",ISNUMBER(SEARCH(BUSCAR!$J$8,$AI248))),OR(BUSCAR!$J$9="",ISNUMBER(SEARCH(BUSCAR!$J$9,$AI248))),OR(NOT(BUSCAR!$J$2),AND(ISNUMBER($AF248),$AF248&gt;=BUSCAR!$J$3,$AF248&lt;=BUSCAR!$J$4))),1,0))</f>
      </c>
      <c r="AH248" s="42">
        <f t="shared" si="9"/>
      </c>
      <c r="AI248" s="42">
        <f t="shared" si="10"/>
      </c>
    </row>
    <row r="249" spans="1:35" x14ac:dyDescent="0.2">
      <c r="A249" s="66">
        <f t="shared" si="11"/>
      </c>
      <c r="B249" s="4"/>
      <c r="C249" s="4"/>
      <c r="D249" s="4"/>
      <c r="E249" s="4"/>
      <c r="F249" s="32"/>
      <c r="G249" s="8"/>
      <c r="H249" s="9"/>
      <c r="I249" s="8"/>
      <c r="J249" s="10"/>
      <c r="K249" s="8"/>
      <c r="L249" s="8"/>
      <c r="M249" s="8"/>
      <c r="N249" s="11"/>
      <c r="O249" s="9"/>
      <c r="P249" s="12"/>
      <c r="Q249" s="9"/>
      <c r="R249" s="13"/>
      <c r="S249" s="11"/>
      <c r="T249" s="11"/>
      <c r="U249" s="9"/>
      <c r="V249" s="9"/>
      <c r="W249" s="9"/>
      <c r="X249" s="16"/>
      <c r="AF249" s="42">
        <f>IF(BUSCAR!$C$8="FECHA NAC.",$G249,IF(BUSCAR!$C$8="PASAPORTE EXPIRA",$J249,IF(BUSCAR!$C$8="LICENCIA EMISION",$L249,IF(BUSCAR!$C$8="LICENCIA EXPIRA",$M249,""))))</f>
      </c>
      <c r="AG249" s="42">
        <f>IF($B249&amp;$C249&amp;$D249&amp;$E249&amp;$H249="",0,IF(AND(OR(BUSCAR!$J$5="",ISNUMBER(SEARCH(BUSCAR!$J$5,$AI249))),OR(BUSCAR!$J$6="",ISNUMBER(SEARCH(BUSCAR!$J$6,$AI249))),OR(BUSCAR!$J$8="",ISNUMBER(SEARCH(BUSCAR!$J$8,$AI249))),OR(BUSCAR!$J$9="",ISNUMBER(SEARCH(BUSCAR!$J$9,$AI249))),OR(NOT(BUSCAR!$J$2),AND(ISNUMBER($AF249),$AF249&gt;=BUSCAR!$J$3,$AF249&lt;=BUSCAR!$J$4))),1,0))</f>
      </c>
      <c r="AH249" s="42">
        <f t="shared" si="9"/>
      </c>
      <c r="AI249" s="42">
        <f t="shared" si="10"/>
      </c>
    </row>
    <row r="250" spans="1:35" x14ac:dyDescent="0.2">
      <c r="A250" s="66">
        <f t="shared" si="11"/>
      </c>
      <c r="B250" s="4"/>
      <c r="C250" s="4"/>
      <c r="D250" s="4"/>
      <c r="E250" s="4"/>
      <c r="F250" s="32"/>
      <c r="G250" s="8"/>
      <c r="H250" s="9"/>
      <c r="I250" s="8"/>
      <c r="J250" s="10"/>
      <c r="K250" s="8"/>
      <c r="L250" s="8"/>
      <c r="M250" s="8"/>
      <c r="N250" s="11"/>
      <c r="O250" s="9"/>
      <c r="P250" s="12"/>
      <c r="Q250" s="9"/>
      <c r="R250" s="13"/>
      <c r="S250" s="11"/>
      <c r="T250" s="11"/>
      <c r="U250" s="9"/>
      <c r="V250" s="9"/>
      <c r="W250" s="9"/>
      <c r="X250" s="16"/>
      <c r="AF250" s="42">
        <f>IF(BUSCAR!$C$8="FECHA NAC.",$G250,IF(BUSCAR!$C$8="PASAPORTE EXPIRA",$J250,IF(BUSCAR!$C$8="LICENCIA EMISION",$L250,IF(BUSCAR!$C$8="LICENCIA EXPIRA",$M250,""))))</f>
      </c>
      <c r="AG250" s="42">
        <f>IF($B250&amp;$C250&amp;$D250&amp;$E250&amp;$H250="",0,IF(AND(OR(BUSCAR!$J$5="",ISNUMBER(SEARCH(BUSCAR!$J$5,$AI250))),OR(BUSCAR!$J$6="",ISNUMBER(SEARCH(BUSCAR!$J$6,$AI250))),OR(BUSCAR!$J$8="",ISNUMBER(SEARCH(BUSCAR!$J$8,$AI250))),OR(BUSCAR!$J$9="",ISNUMBER(SEARCH(BUSCAR!$J$9,$AI250))),OR(NOT(BUSCAR!$J$2),AND(ISNUMBER($AF250),$AF250&gt;=BUSCAR!$J$3,$AF250&lt;=BUSCAR!$J$4))),1,0))</f>
      </c>
      <c r="AH250" s="42">
        <f t="shared" si="9"/>
      </c>
      <c r="AI250" s="42">
        <f t="shared" si="10"/>
      </c>
    </row>
    <row r="251" spans="1:35" x14ac:dyDescent="0.2">
      <c r="A251" s="66">
        <f t="shared" si="11"/>
      </c>
      <c r="B251" s="4"/>
      <c r="C251" s="4"/>
      <c r="D251" s="4"/>
      <c r="E251" s="4"/>
      <c r="F251" s="32"/>
      <c r="G251" s="8"/>
      <c r="H251" s="9"/>
      <c r="I251" s="8"/>
      <c r="J251" s="10"/>
      <c r="K251" s="8"/>
      <c r="L251" s="8"/>
      <c r="M251" s="8"/>
      <c r="N251" s="11"/>
      <c r="O251" s="9"/>
      <c r="P251" s="12"/>
      <c r="Q251" s="9"/>
      <c r="R251" s="13"/>
      <c r="S251" s="11"/>
      <c r="T251" s="11"/>
      <c r="U251" s="9"/>
      <c r="V251" s="9"/>
      <c r="W251" s="9"/>
      <c r="X251" s="16"/>
      <c r="AF251" s="42">
        <f>IF(BUSCAR!$C$8="FECHA NAC.",$G251,IF(BUSCAR!$C$8="PASAPORTE EXPIRA",$J251,IF(BUSCAR!$C$8="LICENCIA EMISION",$L251,IF(BUSCAR!$C$8="LICENCIA EXPIRA",$M251,""))))</f>
      </c>
      <c r="AG251" s="42">
        <f>IF($B251&amp;$C251&amp;$D251&amp;$E251&amp;$H251="",0,IF(AND(OR(BUSCAR!$J$5="",ISNUMBER(SEARCH(BUSCAR!$J$5,$AI251))),OR(BUSCAR!$J$6="",ISNUMBER(SEARCH(BUSCAR!$J$6,$AI251))),OR(BUSCAR!$J$8="",ISNUMBER(SEARCH(BUSCAR!$J$8,$AI251))),OR(BUSCAR!$J$9="",ISNUMBER(SEARCH(BUSCAR!$J$9,$AI251))),OR(NOT(BUSCAR!$J$2),AND(ISNUMBER($AF251),$AF251&gt;=BUSCAR!$J$3,$AF251&lt;=BUSCAR!$J$4))),1,0))</f>
      </c>
      <c r="AH251" s="42">
        <f t="shared" si="9"/>
      </c>
      <c r="AI251" s="42">
        <f t="shared" si="10"/>
      </c>
    </row>
    <row r="252" spans="1:35" x14ac:dyDescent="0.2">
      <c r="A252" s="66">
        <f t="shared" si="11"/>
      </c>
      <c r="B252" s="4"/>
      <c r="C252" s="4"/>
      <c r="D252" s="4"/>
      <c r="E252" s="4"/>
      <c r="F252" s="32"/>
      <c r="G252" s="8"/>
      <c r="H252" s="9"/>
      <c r="I252" s="8"/>
      <c r="J252" s="10"/>
      <c r="K252" s="8"/>
      <c r="L252" s="8"/>
      <c r="M252" s="8"/>
      <c r="N252" s="11"/>
      <c r="O252" s="9"/>
      <c r="P252" s="12"/>
      <c r="Q252" s="9"/>
      <c r="R252" s="13"/>
      <c r="S252" s="11"/>
      <c r="T252" s="11"/>
      <c r="U252" s="9"/>
      <c r="V252" s="9"/>
      <c r="W252" s="9"/>
      <c r="X252" s="16"/>
      <c r="AF252" s="42">
        <f>IF(BUSCAR!$C$8="FECHA NAC.",$G252,IF(BUSCAR!$C$8="PASAPORTE EXPIRA",$J252,IF(BUSCAR!$C$8="LICENCIA EMISION",$L252,IF(BUSCAR!$C$8="LICENCIA EXPIRA",$M252,""))))</f>
      </c>
      <c r="AG252" s="42">
        <f>IF($B252&amp;$C252&amp;$D252&amp;$E252&amp;$H252="",0,IF(AND(OR(BUSCAR!$J$5="",ISNUMBER(SEARCH(BUSCAR!$J$5,$AI252))),OR(BUSCAR!$J$6="",ISNUMBER(SEARCH(BUSCAR!$J$6,$AI252))),OR(BUSCAR!$J$8="",ISNUMBER(SEARCH(BUSCAR!$J$8,$AI252))),OR(BUSCAR!$J$9="",ISNUMBER(SEARCH(BUSCAR!$J$9,$AI252))),OR(NOT(BUSCAR!$J$2),AND(ISNUMBER($AF252),$AF252&gt;=BUSCAR!$J$3,$AF252&lt;=BUSCAR!$J$4))),1,0))</f>
      </c>
      <c r="AH252" s="42">
        <f t="shared" si="9"/>
      </c>
      <c r="AI252" s="42">
        <f t="shared" si="10"/>
      </c>
    </row>
    <row r="253" spans="1:35" x14ac:dyDescent="0.2">
      <c r="A253" s="66">
        <f t="shared" si="11"/>
      </c>
      <c r="B253" s="4"/>
      <c r="C253" s="4"/>
      <c r="D253" s="4"/>
      <c r="E253" s="4"/>
      <c r="F253" s="32"/>
      <c r="G253" s="8"/>
      <c r="H253" s="9"/>
      <c r="I253" s="8"/>
      <c r="J253" s="10"/>
      <c r="K253" s="8"/>
      <c r="L253" s="8"/>
      <c r="M253" s="8"/>
      <c r="N253" s="11"/>
      <c r="O253" s="9"/>
      <c r="P253" s="12"/>
      <c r="Q253" s="9"/>
      <c r="R253" s="13"/>
      <c r="S253" s="11"/>
      <c r="T253" s="11"/>
      <c r="U253" s="9"/>
      <c r="V253" s="9"/>
      <c r="W253" s="9"/>
      <c r="X253" s="16"/>
      <c r="AF253" s="42">
        <f>IF(BUSCAR!$C$8="FECHA NAC.",$G253,IF(BUSCAR!$C$8="PASAPORTE EXPIRA",$J253,IF(BUSCAR!$C$8="LICENCIA EMISION",$L253,IF(BUSCAR!$C$8="LICENCIA EXPIRA",$M253,""))))</f>
      </c>
      <c r="AG253" s="42">
        <f>IF($B253&amp;$C253&amp;$D253&amp;$E253&amp;$H253="",0,IF(AND(OR(BUSCAR!$J$5="",ISNUMBER(SEARCH(BUSCAR!$J$5,$AI253))),OR(BUSCAR!$J$6="",ISNUMBER(SEARCH(BUSCAR!$J$6,$AI253))),OR(BUSCAR!$J$8="",ISNUMBER(SEARCH(BUSCAR!$J$8,$AI253))),OR(BUSCAR!$J$9="",ISNUMBER(SEARCH(BUSCAR!$J$9,$AI253))),OR(NOT(BUSCAR!$J$2),AND(ISNUMBER($AF253),$AF253&gt;=BUSCAR!$J$3,$AF253&lt;=BUSCAR!$J$4))),1,0))</f>
      </c>
      <c r="AH253" s="42">
        <f t="shared" si="9"/>
      </c>
      <c r="AI253" s="42">
        <f t="shared" si="10"/>
      </c>
    </row>
    <row r="254" spans="1:35" x14ac:dyDescent="0.2">
      <c r="A254" s="66">
        <f t="shared" si="11"/>
      </c>
      <c r="B254" s="4"/>
      <c r="C254" s="4"/>
      <c r="D254" s="4"/>
      <c r="E254" s="4"/>
      <c r="F254" s="32"/>
      <c r="G254" s="8"/>
      <c r="H254" s="9"/>
      <c r="I254" s="8"/>
      <c r="J254" s="10"/>
      <c r="K254" s="8"/>
      <c r="L254" s="8"/>
      <c r="M254" s="8"/>
      <c r="N254" s="11"/>
      <c r="O254" s="9"/>
      <c r="P254" s="12"/>
      <c r="Q254" s="9"/>
      <c r="R254" s="13"/>
      <c r="S254" s="11"/>
      <c r="T254" s="11"/>
      <c r="U254" s="9"/>
      <c r="V254" s="9"/>
      <c r="W254" s="9"/>
      <c r="X254" s="16"/>
      <c r="AF254" s="42">
        <f>IF(BUSCAR!$C$8="FECHA NAC.",$G254,IF(BUSCAR!$C$8="PASAPORTE EXPIRA",$J254,IF(BUSCAR!$C$8="LICENCIA EMISION",$L254,IF(BUSCAR!$C$8="LICENCIA EXPIRA",$M254,""))))</f>
      </c>
      <c r="AG254" s="42">
        <f>IF($B254&amp;$C254&amp;$D254&amp;$E254&amp;$H254="",0,IF(AND(OR(BUSCAR!$J$5="",ISNUMBER(SEARCH(BUSCAR!$J$5,$AI254))),OR(BUSCAR!$J$6="",ISNUMBER(SEARCH(BUSCAR!$J$6,$AI254))),OR(BUSCAR!$J$8="",ISNUMBER(SEARCH(BUSCAR!$J$8,$AI254))),OR(BUSCAR!$J$9="",ISNUMBER(SEARCH(BUSCAR!$J$9,$AI254))),OR(NOT(BUSCAR!$J$2),AND(ISNUMBER($AF254),$AF254&gt;=BUSCAR!$J$3,$AF254&lt;=BUSCAR!$J$4))),1,0))</f>
      </c>
      <c r="AH254" s="42">
        <f t="shared" si="9"/>
      </c>
      <c r="AI254" s="42">
        <f t="shared" si="10"/>
      </c>
    </row>
    <row r="255" spans="1:35" x14ac:dyDescent="0.2">
      <c r="A255" s="66">
        <f t="shared" si="11"/>
      </c>
      <c r="B255" s="4"/>
      <c r="C255" s="4"/>
      <c r="D255" s="4"/>
      <c r="E255" s="4"/>
      <c r="F255" s="32"/>
      <c r="G255" s="8"/>
      <c r="H255" s="9"/>
      <c r="I255" s="8"/>
      <c r="J255" s="10"/>
      <c r="K255" s="8"/>
      <c r="L255" s="8"/>
      <c r="M255" s="8"/>
      <c r="N255" s="11"/>
      <c r="O255" s="9"/>
      <c r="P255" s="12"/>
      <c r="Q255" s="9"/>
      <c r="R255" s="13"/>
      <c r="S255" s="11"/>
      <c r="T255" s="11"/>
      <c r="U255" s="9"/>
      <c r="V255" s="9"/>
      <c r="W255" s="9"/>
      <c r="X255" s="16"/>
      <c r="AF255" s="42">
        <f>IF(BUSCAR!$C$8="FECHA NAC.",$G255,IF(BUSCAR!$C$8="PASAPORTE EXPIRA",$J255,IF(BUSCAR!$C$8="LICENCIA EMISION",$L255,IF(BUSCAR!$C$8="LICENCIA EXPIRA",$M255,""))))</f>
      </c>
      <c r="AG255" s="42">
        <f>IF($B255&amp;$C255&amp;$D255&amp;$E255&amp;$H255="",0,IF(AND(OR(BUSCAR!$J$5="",ISNUMBER(SEARCH(BUSCAR!$J$5,$AI255))),OR(BUSCAR!$J$6="",ISNUMBER(SEARCH(BUSCAR!$J$6,$AI255))),OR(BUSCAR!$J$8="",ISNUMBER(SEARCH(BUSCAR!$J$8,$AI255))),OR(BUSCAR!$J$9="",ISNUMBER(SEARCH(BUSCAR!$J$9,$AI255))),OR(NOT(BUSCAR!$J$2),AND(ISNUMBER($AF255),$AF255&gt;=BUSCAR!$J$3,$AF255&lt;=BUSCAR!$J$4))),1,0))</f>
      </c>
      <c r="AH255" s="42">
        <f t="shared" si="9"/>
      </c>
      <c r="AI255" s="42">
        <f t="shared" si="10"/>
      </c>
    </row>
    <row r="256" spans="1:35" x14ac:dyDescent="0.2">
      <c r="A256" s="66">
        <f t="shared" si="11"/>
      </c>
      <c r="B256" s="4"/>
      <c r="C256" s="4"/>
      <c r="D256" s="4"/>
      <c r="E256" s="4"/>
      <c r="F256" s="32"/>
      <c r="G256" s="8"/>
      <c r="H256" s="9"/>
      <c r="I256" s="8"/>
      <c r="J256" s="10"/>
      <c r="K256" s="8"/>
      <c r="L256" s="8"/>
      <c r="M256" s="8"/>
      <c r="N256" s="11"/>
      <c r="O256" s="9"/>
      <c r="P256" s="12"/>
      <c r="Q256" s="9"/>
      <c r="R256" s="13"/>
      <c r="S256" s="11"/>
      <c r="T256" s="11"/>
      <c r="U256" s="9"/>
      <c r="V256" s="9"/>
      <c r="W256" s="9"/>
      <c r="X256" s="16"/>
      <c r="AF256" s="42">
        <f>IF(BUSCAR!$C$8="FECHA NAC.",$G256,IF(BUSCAR!$C$8="PASAPORTE EXPIRA",$J256,IF(BUSCAR!$C$8="LICENCIA EMISION",$L256,IF(BUSCAR!$C$8="LICENCIA EXPIRA",$M256,""))))</f>
      </c>
      <c r="AG256" s="42">
        <f>IF($B256&amp;$C256&amp;$D256&amp;$E256&amp;$H256="",0,IF(AND(OR(BUSCAR!$J$5="",ISNUMBER(SEARCH(BUSCAR!$J$5,$AI256))),OR(BUSCAR!$J$6="",ISNUMBER(SEARCH(BUSCAR!$J$6,$AI256))),OR(BUSCAR!$J$8="",ISNUMBER(SEARCH(BUSCAR!$J$8,$AI256))),OR(BUSCAR!$J$9="",ISNUMBER(SEARCH(BUSCAR!$J$9,$AI256))),OR(NOT(BUSCAR!$J$2),AND(ISNUMBER($AF256),$AF256&gt;=BUSCAR!$J$3,$AF256&lt;=BUSCAR!$J$4))),1,0))</f>
      </c>
      <c r="AH256" s="42">
        <f t="shared" si="9"/>
      </c>
      <c r="AI256" s="42">
        <f t="shared" si="10"/>
      </c>
    </row>
    <row r="257" spans="1:35" x14ac:dyDescent="0.2">
      <c r="A257" s="66">
        <f t="shared" si="11"/>
      </c>
      <c r="B257" s="4"/>
      <c r="C257" s="4"/>
      <c r="D257" s="4"/>
      <c r="E257" s="4"/>
      <c r="F257" s="32"/>
      <c r="G257" s="8"/>
      <c r="H257" s="9"/>
      <c r="I257" s="8"/>
      <c r="J257" s="10"/>
      <c r="K257" s="8"/>
      <c r="L257" s="8"/>
      <c r="M257" s="8"/>
      <c r="N257" s="11"/>
      <c r="O257" s="9"/>
      <c r="P257" s="12"/>
      <c r="Q257" s="9"/>
      <c r="R257" s="13"/>
      <c r="S257" s="11"/>
      <c r="T257" s="11"/>
      <c r="U257" s="9"/>
      <c r="V257" s="9"/>
      <c r="W257" s="9"/>
      <c r="X257" s="16"/>
      <c r="AF257" s="42">
        <f>IF(BUSCAR!$C$8="FECHA NAC.",$G257,IF(BUSCAR!$C$8="PASAPORTE EXPIRA",$J257,IF(BUSCAR!$C$8="LICENCIA EMISION",$L257,IF(BUSCAR!$C$8="LICENCIA EXPIRA",$M257,""))))</f>
      </c>
      <c r="AG257" s="42">
        <f>IF($B257&amp;$C257&amp;$D257&amp;$E257&amp;$H257="",0,IF(AND(OR(BUSCAR!$J$5="",ISNUMBER(SEARCH(BUSCAR!$J$5,$AI257))),OR(BUSCAR!$J$6="",ISNUMBER(SEARCH(BUSCAR!$J$6,$AI257))),OR(BUSCAR!$J$8="",ISNUMBER(SEARCH(BUSCAR!$J$8,$AI257))),OR(BUSCAR!$J$9="",ISNUMBER(SEARCH(BUSCAR!$J$9,$AI257))),OR(NOT(BUSCAR!$J$2),AND(ISNUMBER($AF257),$AF257&gt;=BUSCAR!$J$3,$AF257&lt;=BUSCAR!$J$4))),1,0))</f>
      </c>
      <c r="AH257" s="42">
        <f t="shared" si="9"/>
      </c>
      <c r="AI257" s="42">
        <f t="shared" si="10"/>
      </c>
    </row>
    <row r="258" spans="1:35" x14ac:dyDescent="0.2">
      <c r="A258" s="66">
        <f t="shared" si="11"/>
      </c>
      <c r="B258" s="4"/>
      <c r="C258" s="4"/>
      <c r="D258" s="4"/>
      <c r="E258" s="4"/>
      <c r="F258" s="32"/>
      <c r="G258" s="8"/>
      <c r="H258" s="9"/>
      <c r="I258" s="8"/>
      <c r="J258" s="10"/>
      <c r="K258" s="8"/>
      <c r="L258" s="8"/>
      <c r="M258" s="8"/>
      <c r="N258" s="11"/>
      <c r="O258" s="9"/>
      <c r="P258" s="12"/>
      <c r="Q258" s="9"/>
      <c r="R258" s="13"/>
      <c r="S258" s="11"/>
      <c r="T258" s="11"/>
      <c r="U258" s="9"/>
      <c r="V258" s="9"/>
      <c r="W258" s="9"/>
      <c r="X258" s="16"/>
      <c r="AF258" s="42">
        <f>IF(BUSCAR!$C$8="FECHA NAC.",$G258,IF(BUSCAR!$C$8="PASAPORTE EXPIRA",$J258,IF(BUSCAR!$C$8="LICENCIA EMISION",$L258,IF(BUSCAR!$C$8="LICENCIA EXPIRA",$M258,""))))</f>
      </c>
      <c r="AG258" s="42">
        <f>IF($B258&amp;$C258&amp;$D258&amp;$E258&amp;$H258="",0,IF(AND(OR(BUSCAR!$J$5="",ISNUMBER(SEARCH(BUSCAR!$J$5,$AI258))),OR(BUSCAR!$J$6="",ISNUMBER(SEARCH(BUSCAR!$J$6,$AI258))),OR(BUSCAR!$J$8="",ISNUMBER(SEARCH(BUSCAR!$J$8,$AI258))),OR(BUSCAR!$J$9="",ISNUMBER(SEARCH(BUSCAR!$J$9,$AI258))),OR(NOT(BUSCAR!$J$2),AND(ISNUMBER($AF258),$AF258&gt;=BUSCAR!$J$3,$AF258&lt;=BUSCAR!$J$4))),1,0))</f>
      </c>
      <c r="AH258" s="42">
        <f t="shared" si="9"/>
      </c>
      <c r="AI258" s="42">
        <f t="shared" si="10"/>
      </c>
    </row>
    <row r="259" spans="1:35" x14ac:dyDescent="0.2">
      <c r="A259" s="66">
        <f t="shared" si="11"/>
      </c>
      <c r="B259" s="4"/>
      <c r="C259" s="4"/>
      <c r="D259" s="4"/>
      <c r="E259" s="4"/>
      <c r="F259" s="32"/>
      <c r="G259" s="8"/>
      <c r="H259" s="9"/>
      <c r="I259" s="8"/>
      <c r="J259" s="10"/>
      <c r="K259" s="8"/>
      <c r="L259" s="8"/>
      <c r="M259" s="8"/>
      <c r="N259" s="11"/>
      <c r="O259" s="9"/>
      <c r="P259" s="12"/>
      <c r="Q259" s="9"/>
      <c r="R259" s="13"/>
      <c r="S259" s="11"/>
      <c r="T259" s="11"/>
      <c r="U259" s="9"/>
      <c r="V259" s="9"/>
      <c r="W259" s="9"/>
      <c r="X259" s="16"/>
      <c r="AF259" s="42">
        <f>IF(BUSCAR!$C$8="FECHA NAC.",$G259,IF(BUSCAR!$C$8="PASAPORTE EXPIRA",$J259,IF(BUSCAR!$C$8="LICENCIA EMISION",$L259,IF(BUSCAR!$C$8="LICENCIA EXPIRA",$M259,""))))</f>
      </c>
      <c r="AG259" s="42">
        <f>IF($B259&amp;$C259&amp;$D259&amp;$E259&amp;$H259="",0,IF(AND(OR(BUSCAR!$J$5="",ISNUMBER(SEARCH(BUSCAR!$J$5,$AI259))),OR(BUSCAR!$J$6="",ISNUMBER(SEARCH(BUSCAR!$J$6,$AI259))),OR(BUSCAR!$J$8="",ISNUMBER(SEARCH(BUSCAR!$J$8,$AI259))),OR(BUSCAR!$J$9="",ISNUMBER(SEARCH(BUSCAR!$J$9,$AI259))),OR(NOT(BUSCAR!$J$2),AND(ISNUMBER($AF259),$AF259&gt;=BUSCAR!$J$3,$AF259&lt;=BUSCAR!$J$4))),1,0))</f>
      </c>
      <c r="AH259" s="42">
        <f t="shared" ref="AH259:AH322" si="12">AH258+AG259</f>
      </c>
      <c r="AI259" s="42">
        <f t="shared" ref="AI259:AI322" si="13">IF($B259&amp;" "&amp;$C259&amp;" "&amp;$D259&amp;" "&amp;$E259&amp;" "&amp;$H259&amp;" "&amp;$K259&amp;" "&amp;$R259&amp;" "&amp;$AC259&amp;" "&amp;$AD259="","",SUBSTITUTE(SUBSTITUTE(SUBSTITUTE(SUBSTITUTE(SUBSTITUTE(SUBSTITUTE(SUBSTITUTE(UPPER($B259&amp;" "&amp;$C259&amp;" "&amp;$D259&amp;" "&amp;$E259&amp;" "&amp;$H259&amp;" "&amp;$K259&amp;" "&amp;$R259&amp;" "&amp;$AC259&amp;" "&amp;$AD259),"Á","A"),"É","E"),"Í","I"),"Ó","O"),"Ú","U"),"Ü","U"),"Ñ","N"))</f>
      </c>
    </row>
    <row r="260" spans="1:35" x14ac:dyDescent="0.2">
      <c r="A260" s="66">
        <f t="shared" ref="A260:A323" si="14">A259+1</f>
      </c>
      <c r="B260" s="4"/>
      <c r="C260" s="4"/>
      <c r="D260" s="4"/>
      <c r="E260" s="4"/>
      <c r="F260" s="32"/>
      <c r="G260" s="8"/>
      <c r="H260" s="9"/>
      <c r="I260" s="8"/>
      <c r="J260" s="10"/>
      <c r="K260" s="8"/>
      <c r="L260" s="8"/>
      <c r="M260" s="8"/>
      <c r="N260" s="11"/>
      <c r="O260" s="9"/>
      <c r="P260" s="12"/>
      <c r="Q260" s="9"/>
      <c r="R260" s="13"/>
      <c r="S260" s="11"/>
      <c r="T260" s="11"/>
      <c r="U260" s="9"/>
      <c r="V260" s="9"/>
      <c r="W260" s="9"/>
      <c r="X260" s="16"/>
      <c r="AF260" s="42">
        <f>IF(BUSCAR!$C$8="FECHA NAC.",$G260,IF(BUSCAR!$C$8="PASAPORTE EXPIRA",$J260,IF(BUSCAR!$C$8="LICENCIA EMISION",$L260,IF(BUSCAR!$C$8="LICENCIA EXPIRA",$M260,""))))</f>
      </c>
      <c r="AG260" s="42">
        <f>IF($B260&amp;$C260&amp;$D260&amp;$E260&amp;$H260="",0,IF(AND(OR(BUSCAR!$J$5="",ISNUMBER(SEARCH(BUSCAR!$J$5,$AI260))),OR(BUSCAR!$J$6="",ISNUMBER(SEARCH(BUSCAR!$J$6,$AI260))),OR(BUSCAR!$J$8="",ISNUMBER(SEARCH(BUSCAR!$J$8,$AI260))),OR(BUSCAR!$J$9="",ISNUMBER(SEARCH(BUSCAR!$J$9,$AI260))),OR(NOT(BUSCAR!$J$2),AND(ISNUMBER($AF260),$AF260&gt;=BUSCAR!$J$3,$AF260&lt;=BUSCAR!$J$4))),1,0))</f>
      </c>
      <c r="AH260" s="42">
        <f t="shared" si="12"/>
      </c>
      <c r="AI260" s="42">
        <f t="shared" si="13"/>
      </c>
    </row>
    <row r="261" spans="1:35" x14ac:dyDescent="0.2">
      <c r="A261" s="66">
        <f t="shared" si="14"/>
      </c>
      <c r="B261" s="4"/>
      <c r="C261" s="4"/>
      <c r="D261" s="4"/>
      <c r="E261" s="4"/>
      <c r="F261" s="32"/>
      <c r="G261" s="8"/>
      <c r="H261" s="9"/>
      <c r="I261" s="8"/>
      <c r="J261" s="10"/>
      <c r="K261" s="8"/>
      <c r="L261" s="8"/>
      <c r="M261" s="8"/>
      <c r="N261" s="11"/>
      <c r="O261" s="9"/>
      <c r="P261" s="12"/>
      <c r="Q261" s="9"/>
      <c r="R261" s="13"/>
      <c r="S261" s="11"/>
      <c r="T261" s="11"/>
      <c r="U261" s="9"/>
      <c r="V261" s="9"/>
      <c r="W261" s="9"/>
      <c r="X261" s="16"/>
      <c r="AF261" s="42">
        <f>IF(BUSCAR!$C$8="FECHA NAC.",$G261,IF(BUSCAR!$C$8="PASAPORTE EXPIRA",$J261,IF(BUSCAR!$C$8="LICENCIA EMISION",$L261,IF(BUSCAR!$C$8="LICENCIA EXPIRA",$M261,""))))</f>
      </c>
      <c r="AG261" s="42">
        <f>IF($B261&amp;$C261&amp;$D261&amp;$E261&amp;$H261="",0,IF(AND(OR(BUSCAR!$J$5="",ISNUMBER(SEARCH(BUSCAR!$J$5,$AI261))),OR(BUSCAR!$J$6="",ISNUMBER(SEARCH(BUSCAR!$J$6,$AI261))),OR(BUSCAR!$J$8="",ISNUMBER(SEARCH(BUSCAR!$J$8,$AI261))),OR(BUSCAR!$J$9="",ISNUMBER(SEARCH(BUSCAR!$J$9,$AI261))),OR(NOT(BUSCAR!$J$2),AND(ISNUMBER($AF261),$AF261&gt;=BUSCAR!$J$3,$AF261&lt;=BUSCAR!$J$4))),1,0))</f>
      </c>
      <c r="AH261" s="42">
        <f t="shared" si="12"/>
      </c>
      <c r="AI261" s="42">
        <f t="shared" si="13"/>
      </c>
    </row>
    <row r="262" spans="1:35" x14ac:dyDescent="0.2">
      <c r="A262" s="66">
        <f t="shared" si="14"/>
      </c>
      <c r="B262" s="4"/>
      <c r="C262" s="4"/>
      <c r="D262" s="4"/>
      <c r="E262" s="4"/>
      <c r="F262" s="32"/>
      <c r="G262" s="8"/>
      <c r="H262" s="9"/>
      <c r="I262" s="8"/>
      <c r="J262" s="10"/>
      <c r="K262" s="8"/>
      <c r="L262" s="8"/>
      <c r="M262" s="8"/>
      <c r="N262" s="11"/>
      <c r="O262" s="9"/>
      <c r="P262" s="12"/>
      <c r="Q262" s="9"/>
      <c r="R262" s="13"/>
      <c r="S262" s="11"/>
      <c r="T262" s="11"/>
      <c r="U262" s="9"/>
      <c r="V262" s="9"/>
      <c r="W262" s="9"/>
      <c r="X262" s="16"/>
      <c r="AF262" s="42">
        <f>IF(BUSCAR!$C$8="FECHA NAC.",$G262,IF(BUSCAR!$C$8="PASAPORTE EXPIRA",$J262,IF(BUSCAR!$C$8="LICENCIA EMISION",$L262,IF(BUSCAR!$C$8="LICENCIA EXPIRA",$M262,""))))</f>
      </c>
      <c r="AG262" s="42">
        <f>IF($B262&amp;$C262&amp;$D262&amp;$E262&amp;$H262="",0,IF(AND(OR(BUSCAR!$J$5="",ISNUMBER(SEARCH(BUSCAR!$J$5,$AI262))),OR(BUSCAR!$J$6="",ISNUMBER(SEARCH(BUSCAR!$J$6,$AI262))),OR(BUSCAR!$J$8="",ISNUMBER(SEARCH(BUSCAR!$J$8,$AI262))),OR(BUSCAR!$J$9="",ISNUMBER(SEARCH(BUSCAR!$J$9,$AI262))),OR(NOT(BUSCAR!$J$2),AND(ISNUMBER($AF262),$AF262&gt;=BUSCAR!$J$3,$AF262&lt;=BUSCAR!$J$4))),1,0))</f>
      </c>
      <c r="AH262" s="42">
        <f t="shared" si="12"/>
      </c>
      <c r="AI262" s="42">
        <f t="shared" si="13"/>
      </c>
    </row>
    <row r="263" spans="1:35" x14ac:dyDescent="0.2">
      <c r="A263" s="66">
        <f t="shared" si="14"/>
      </c>
      <c r="B263" s="4"/>
      <c r="C263" s="4"/>
      <c r="D263" s="4"/>
      <c r="E263" s="4"/>
      <c r="F263" s="32"/>
      <c r="G263" s="8"/>
      <c r="H263" s="9"/>
      <c r="I263" s="8"/>
      <c r="J263" s="10"/>
      <c r="K263" s="8"/>
      <c r="L263" s="8"/>
      <c r="M263" s="8"/>
      <c r="N263" s="11"/>
      <c r="O263" s="9"/>
      <c r="P263" s="12"/>
      <c r="Q263" s="9"/>
      <c r="R263" s="13"/>
      <c r="S263" s="11"/>
      <c r="T263" s="11"/>
      <c r="U263" s="9"/>
      <c r="V263" s="9"/>
      <c r="W263" s="9"/>
      <c r="X263" s="16"/>
      <c r="AF263" s="42">
        <f>IF(BUSCAR!$C$8="FECHA NAC.",$G263,IF(BUSCAR!$C$8="PASAPORTE EXPIRA",$J263,IF(BUSCAR!$C$8="LICENCIA EMISION",$L263,IF(BUSCAR!$C$8="LICENCIA EXPIRA",$M263,""))))</f>
      </c>
      <c r="AG263" s="42">
        <f>IF($B263&amp;$C263&amp;$D263&amp;$E263&amp;$H263="",0,IF(AND(OR(BUSCAR!$J$5="",ISNUMBER(SEARCH(BUSCAR!$J$5,$AI263))),OR(BUSCAR!$J$6="",ISNUMBER(SEARCH(BUSCAR!$J$6,$AI263))),OR(BUSCAR!$J$8="",ISNUMBER(SEARCH(BUSCAR!$J$8,$AI263))),OR(BUSCAR!$J$9="",ISNUMBER(SEARCH(BUSCAR!$J$9,$AI263))),OR(NOT(BUSCAR!$J$2),AND(ISNUMBER($AF263),$AF263&gt;=BUSCAR!$J$3,$AF263&lt;=BUSCAR!$J$4))),1,0))</f>
      </c>
      <c r="AH263" s="42">
        <f t="shared" si="12"/>
      </c>
      <c r="AI263" s="42">
        <f t="shared" si="13"/>
      </c>
    </row>
    <row r="264" spans="1:35" x14ac:dyDescent="0.2">
      <c r="A264" s="66">
        <f t="shared" si="14"/>
      </c>
      <c r="B264" s="4"/>
      <c r="C264" s="4"/>
      <c r="D264" s="4"/>
      <c r="E264" s="4"/>
      <c r="F264" s="32"/>
      <c r="G264" s="8"/>
      <c r="H264" s="9"/>
      <c r="I264" s="8"/>
      <c r="J264" s="10"/>
      <c r="K264" s="8"/>
      <c r="L264" s="8"/>
      <c r="M264" s="8"/>
      <c r="N264" s="11"/>
      <c r="O264" s="9"/>
      <c r="P264" s="12"/>
      <c r="Q264" s="9"/>
      <c r="R264" s="13"/>
      <c r="S264" s="11"/>
      <c r="T264" s="11"/>
      <c r="U264" s="9"/>
      <c r="V264" s="9"/>
      <c r="W264" s="9"/>
      <c r="X264" s="16"/>
      <c r="AF264" s="42">
        <f>IF(BUSCAR!$C$8="FECHA NAC.",$G264,IF(BUSCAR!$C$8="PASAPORTE EXPIRA",$J264,IF(BUSCAR!$C$8="LICENCIA EMISION",$L264,IF(BUSCAR!$C$8="LICENCIA EXPIRA",$M264,""))))</f>
      </c>
      <c r="AG264" s="42">
        <f>IF($B264&amp;$C264&amp;$D264&amp;$E264&amp;$H264="",0,IF(AND(OR(BUSCAR!$J$5="",ISNUMBER(SEARCH(BUSCAR!$J$5,$AI264))),OR(BUSCAR!$J$6="",ISNUMBER(SEARCH(BUSCAR!$J$6,$AI264))),OR(BUSCAR!$J$8="",ISNUMBER(SEARCH(BUSCAR!$J$8,$AI264))),OR(BUSCAR!$J$9="",ISNUMBER(SEARCH(BUSCAR!$J$9,$AI264))),OR(NOT(BUSCAR!$J$2),AND(ISNUMBER($AF264),$AF264&gt;=BUSCAR!$J$3,$AF264&lt;=BUSCAR!$J$4))),1,0))</f>
      </c>
      <c r="AH264" s="42">
        <f t="shared" si="12"/>
      </c>
      <c r="AI264" s="42">
        <f t="shared" si="13"/>
      </c>
    </row>
    <row r="265" spans="1:35" x14ac:dyDescent="0.2">
      <c r="A265" s="66">
        <f t="shared" si="14"/>
      </c>
      <c r="B265" s="4"/>
      <c r="C265" s="4"/>
      <c r="D265" s="4"/>
      <c r="E265" s="4"/>
      <c r="F265" s="32"/>
      <c r="G265" s="8"/>
      <c r="H265" s="9"/>
      <c r="I265" s="8"/>
      <c r="J265" s="10"/>
      <c r="K265" s="8"/>
      <c r="L265" s="8"/>
      <c r="M265" s="8"/>
      <c r="N265" s="11"/>
      <c r="O265" s="9"/>
      <c r="P265" s="12"/>
      <c r="Q265" s="9"/>
      <c r="R265" s="13"/>
      <c r="S265" s="11"/>
      <c r="T265" s="11"/>
      <c r="U265" s="9"/>
      <c r="V265" s="9"/>
      <c r="W265" s="9"/>
      <c r="X265" s="16"/>
      <c r="AF265" s="42">
        <f>IF(BUSCAR!$C$8="FECHA NAC.",$G265,IF(BUSCAR!$C$8="PASAPORTE EXPIRA",$J265,IF(BUSCAR!$C$8="LICENCIA EMISION",$L265,IF(BUSCAR!$C$8="LICENCIA EXPIRA",$M265,""))))</f>
      </c>
      <c r="AG265" s="42">
        <f>IF($B265&amp;$C265&amp;$D265&amp;$E265&amp;$H265="",0,IF(AND(OR(BUSCAR!$J$5="",ISNUMBER(SEARCH(BUSCAR!$J$5,$AI265))),OR(BUSCAR!$J$6="",ISNUMBER(SEARCH(BUSCAR!$J$6,$AI265))),OR(BUSCAR!$J$8="",ISNUMBER(SEARCH(BUSCAR!$J$8,$AI265))),OR(BUSCAR!$J$9="",ISNUMBER(SEARCH(BUSCAR!$J$9,$AI265))),OR(NOT(BUSCAR!$J$2),AND(ISNUMBER($AF265),$AF265&gt;=BUSCAR!$J$3,$AF265&lt;=BUSCAR!$J$4))),1,0))</f>
      </c>
      <c r="AH265" s="42">
        <f t="shared" si="12"/>
      </c>
      <c r="AI265" s="42">
        <f t="shared" si="13"/>
      </c>
    </row>
    <row r="266" spans="1:35" x14ac:dyDescent="0.2">
      <c r="A266" s="66">
        <f t="shared" si="14"/>
      </c>
      <c r="B266" s="4"/>
      <c r="C266" s="4"/>
      <c r="D266" s="4"/>
      <c r="E266" s="4"/>
      <c r="F266" s="32"/>
      <c r="G266" s="8"/>
      <c r="H266" s="9"/>
      <c r="I266" s="8"/>
      <c r="J266" s="10"/>
      <c r="K266" s="8"/>
      <c r="L266" s="8"/>
      <c r="M266" s="8"/>
      <c r="N266" s="11"/>
      <c r="O266" s="9"/>
      <c r="P266" s="12"/>
      <c r="Q266" s="9"/>
      <c r="R266" s="13"/>
      <c r="S266" s="11"/>
      <c r="T266" s="11"/>
      <c r="U266" s="9"/>
      <c r="V266" s="9"/>
      <c r="W266" s="9"/>
      <c r="X266" s="16"/>
      <c r="AF266" s="42">
        <f>IF(BUSCAR!$C$8="FECHA NAC.",$G266,IF(BUSCAR!$C$8="PASAPORTE EXPIRA",$J266,IF(BUSCAR!$C$8="LICENCIA EMISION",$L266,IF(BUSCAR!$C$8="LICENCIA EXPIRA",$M266,""))))</f>
      </c>
      <c r="AG266" s="42">
        <f>IF($B266&amp;$C266&amp;$D266&amp;$E266&amp;$H266="",0,IF(AND(OR(BUSCAR!$J$5="",ISNUMBER(SEARCH(BUSCAR!$J$5,$AI266))),OR(BUSCAR!$J$6="",ISNUMBER(SEARCH(BUSCAR!$J$6,$AI266))),OR(BUSCAR!$J$8="",ISNUMBER(SEARCH(BUSCAR!$J$8,$AI266))),OR(BUSCAR!$J$9="",ISNUMBER(SEARCH(BUSCAR!$J$9,$AI266))),OR(NOT(BUSCAR!$J$2),AND(ISNUMBER($AF266),$AF266&gt;=BUSCAR!$J$3,$AF266&lt;=BUSCAR!$J$4))),1,0))</f>
      </c>
      <c r="AH266" s="42">
        <f t="shared" si="12"/>
      </c>
      <c r="AI266" s="42">
        <f t="shared" si="13"/>
      </c>
    </row>
    <row r="267" spans="1:35" x14ac:dyDescent="0.2">
      <c r="A267" s="66">
        <f t="shared" si="14"/>
      </c>
      <c r="B267" s="4"/>
      <c r="C267" s="4"/>
      <c r="D267" s="4"/>
      <c r="E267" s="4"/>
      <c r="F267" s="32"/>
      <c r="G267" s="8"/>
      <c r="H267" s="9"/>
      <c r="I267" s="8"/>
      <c r="J267" s="10"/>
      <c r="K267" s="8"/>
      <c r="L267" s="8"/>
      <c r="M267" s="8"/>
      <c r="N267" s="11"/>
      <c r="O267" s="9"/>
      <c r="P267" s="12"/>
      <c r="Q267" s="9"/>
      <c r="R267" s="13"/>
      <c r="S267" s="11"/>
      <c r="T267" s="11"/>
      <c r="U267" s="9"/>
      <c r="V267" s="9"/>
      <c r="W267" s="9"/>
      <c r="X267" s="16"/>
      <c r="AF267" s="42">
        <f>IF(BUSCAR!$C$8="FECHA NAC.",$G267,IF(BUSCAR!$C$8="PASAPORTE EXPIRA",$J267,IF(BUSCAR!$C$8="LICENCIA EMISION",$L267,IF(BUSCAR!$C$8="LICENCIA EXPIRA",$M267,""))))</f>
      </c>
      <c r="AG267" s="42">
        <f>IF($B267&amp;$C267&amp;$D267&amp;$E267&amp;$H267="",0,IF(AND(OR(BUSCAR!$J$5="",ISNUMBER(SEARCH(BUSCAR!$J$5,$AI267))),OR(BUSCAR!$J$6="",ISNUMBER(SEARCH(BUSCAR!$J$6,$AI267))),OR(BUSCAR!$J$8="",ISNUMBER(SEARCH(BUSCAR!$J$8,$AI267))),OR(BUSCAR!$J$9="",ISNUMBER(SEARCH(BUSCAR!$J$9,$AI267))),OR(NOT(BUSCAR!$J$2),AND(ISNUMBER($AF267),$AF267&gt;=BUSCAR!$J$3,$AF267&lt;=BUSCAR!$J$4))),1,0))</f>
      </c>
      <c r="AH267" s="42">
        <f t="shared" si="12"/>
      </c>
      <c r="AI267" s="42">
        <f t="shared" si="13"/>
      </c>
    </row>
    <row r="268" spans="1:35" x14ac:dyDescent="0.2">
      <c r="A268" s="66">
        <f t="shared" si="14"/>
      </c>
      <c r="B268" s="4"/>
      <c r="C268" s="4"/>
      <c r="D268" s="4"/>
      <c r="E268" s="4"/>
      <c r="F268" s="32"/>
      <c r="G268" s="8"/>
      <c r="H268" s="9"/>
      <c r="I268" s="8"/>
      <c r="J268" s="10"/>
      <c r="K268" s="8"/>
      <c r="L268" s="8"/>
      <c r="M268" s="8"/>
      <c r="N268" s="11"/>
      <c r="O268" s="9"/>
      <c r="P268" s="12"/>
      <c r="Q268" s="9"/>
      <c r="R268" s="13"/>
      <c r="S268" s="11"/>
      <c r="T268" s="11"/>
      <c r="U268" s="9"/>
      <c r="V268" s="9"/>
      <c r="W268" s="9"/>
      <c r="X268" s="16"/>
      <c r="AF268" s="42">
        <f>IF(BUSCAR!$C$8="FECHA NAC.",$G268,IF(BUSCAR!$C$8="PASAPORTE EXPIRA",$J268,IF(BUSCAR!$C$8="LICENCIA EMISION",$L268,IF(BUSCAR!$C$8="LICENCIA EXPIRA",$M268,""))))</f>
      </c>
      <c r="AG268" s="42">
        <f>IF($B268&amp;$C268&amp;$D268&amp;$E268&amp;$H268="",0,IF(AND(OR(BUSCAR!$J$5="",ISNUMBER(SEARCH(BUSCAR!$J$5,$AI268))),OR(BUSCAR!$J$6="",ISNUMBER(SEARCH(BUSCAR!$J$6,$AI268))),OR(BUSCAR!$J$8="",ISNUMBER(SEARCH(BUSCAR!$J$8,$AI268))),OR(BUSCAR!$J$9="",ISNUMBER(SEARCH(BUSCAR!$J$9,$AI268))),OR(NOT(BUSCAR!$J$2),AND(ISNUMBER($AF268),$AF268&gt;=BUSCAR!$J$3,$AF268&lt;=BUSCAR!$J$4))),1,0))</f>
      </c>
      <c r="AH268" s="42">
        <f t="shared" si="12"/>
      </c>
      <c r="AI268" s="42">
        <f t="shared" si="13"/>
      </c>
    </row>
    <row r="269" spans="1:35" x14ac:dyDescent="0.2">
      <c r="A269" s="66">
        <f t="shared" si="14"/>
      </c>
      <c r="B269" s="4"/>
      <c r="C269" s="4"/>
      <c r="D269" s="4"/>
      <c r="E269" s="4"/>
      <c r="F269" s="32"/>
      <c r="G269" s="8"/>
      <c r="H269" s="9"/>
      <c r="I269" s="8"/>
      <c r="J269" s="10"/>
      <c r="K269" s="8"/>
      <c r="L269" s="8"/>
      <c r="M269" s="8"/>
      <c r="N269" s="11"/>
      <c r="O269" s="9"/>
      <c r="P269" s="12"/>
      <c r="Q269" s="9"/>
      <c r="R269" s="13"/>
      <c r="S269" s="11"/>
      <c r="T269" s="11"/>
      <c r="U269" s="9"/>
      <c r="V269" s="9"/>
      <c r="W269" s="9"/>
      <c r="X269" s="16"/>
      <c r="AF269" s="42">
        <f>IF(BUSCAR!$C$8="FECHA NAC.",$G269,IF(BUSCAR!$C$8="PASAPORTE EXPIRA",$J269,IF(BUSCAR!$C$8="LICENCIA EMISION",$L269,IF(BUSCAR!$C$8="LICENCIA EXPIRA",$M269,""))))</f>
      </c>
      <c r="AG269" s="42">
        <f>IF($B269&amp;$C269&amp;$D269&amp;$E269&amp;$H269="",0,IF(AND(OR(BUSCAR!$J$5="",ISNUMBER(SEARCH(BUSCAR!$J$5,$AI269))),OR(BUSCAR!$J$6="",ISNUMBER(SEARCH(BUSCAR!$J$6,$AI269))),OR(BUSCAR!$J$8="",ISNUMBER(SEARCH(BUSCAR!$J$8,$AI269))),OR(BUSCAR!$J$9="",ISNUMBER(SEARCH(BUSCAR!$J$9,$AI269))),OR(NOT(BUSCAR!$J$2),AND(ISNUMBER($AF269),$AF269&gt;=BUSCAR!$J$3,$AF269&lt;=BUSCAR!$J$4))),1,0))</f>
      </c>
      <c r="AH269" s="42">
        <f t="shared" si="12"/>
      </c>
      <c r="AI269" s="42">
        <f t="shared" si="13"/>
      </c>
    </row>
    <row r="270" spans="1:35" x14ac:dyDescent="0.2">
      <c r="A270" s="66">
        <f t="shared" si="14"/>
      </c>
      <c r="B270" s="4"/>
      <c r="C270" s="4"/>
      <c r="D270" s="4"/>
      <c r="E270" s="4"/>
      <c r="F270" s="32"/>
      <c r="G270" s="8"/>
      <c r="H270" s="9"/>
      <c r="I270" s="8"/>
      <c r="J270" s="10"/>
      <c r="K270" s="8"/>
      <c r="L270" s="8"/>
      <c r="M270" s="8"/>
      <c r="N270" s="11"/>
      <c r="O270" s="9"/>
      <c r="P270" s="12"/>
      <c r="Q270" s="9"/>
      <c r="R270" s="13"/>
      <c r="S270" s="11"/>
      <c r="T270" s="11"/>
      <c r="U270" s="9"/>
      <c r="V270" s="9"/>
      <c r="W270" s="9"/>
      <c r="X270" s="16"/>
      <c r="AF270" s="42">
        <f>IF(BUSCAR!$C$8="FECHA NAC.",$G270,IF(BUSCAR!$C$8="PASAPORTE EXPIRA",$J270,IF(BUSCAR!$C$8="LICENCIA EMISION",$L270,IF(BUSCAR!$C$8="LICENCIA EXPIRA",$M270,""))))</f>
      </c>
      <c r="AG270" s="42">
        <f>IF($B270&amp;$C270&amp;$D270&amp;$E270&amp;$H270="",0,IF(AND(OR(BUSCAR!$J$5="",ISNUMBER(SEARCH(BUSCAR!$J$5,$AI270))),OR(BUSCAR!$J$6="",ISNUMBER(SEARCH(BUSCAR!$J$6,$AI270))),OR(BUSCAR!$J$8="",ISNUMBER(SEARCH(BUSCAR!$J$8,$AI270))),OR(BUSCAR!$J$9="",ISNUMBER(SEARCH(BUSCAR!$J$9,$AI270))),OR(NOT(BUSCAR!$J$2),AND(ISNUMBER($AF270),$AF270&gt;=BUSCAR!$J$3,$AF270&lt;=BUSCAR!$J$4))),1,0))</f>
      </c>
      <c r="AH270" s="42">
        <f t="shared" si="12"/>
      </c>
      <c r="AI270" s="42">
        <f t="shared" si="13"/>
      </c>
    </row>
    <row r="271" spans="1:35" x14ac:dyDescent="0.2">
      <c r="A271" s="66">
        <f t="shared" si="14"/>
      </c>
      <c r="B271" s="4"/>
      <c r="C271" s="4"/>
      <c r="D271" s="4"/>
      <c r="E271" s="4"/>
      <c r="F271" s="32"/>
      <c r="G271" s="8"/>
      <c r="H271" s="9"/>
      <c r="I271" s="8"/>
      <c r="J271" s="10"/>
      <c r="K271" s="8"/>
      <c r="L271" s="8"/>
      <c r="M271" s="8"/>
      <c r="N271" s="11"/>
      <c r="O271" s="9"/>
      <c r="P271" s="12"/>
      <c r="Q271" s="9"/>
      <c r="R271" s="13"/>
      <c r="S271" s="11"/>
      <c r="T271" s="11"/>
      <c r="U271" s="9"/>
      <c r="V271" s="9"/>
      <c r="W271" s="9"/>
      <c r="X271" s="16"/>
      <c r="AF271" s="42">
        <f>IF(BUSCAR!$C$8="FECHA NAC.",$G271,IF(BUSCAR!$C$8="PASAPORTE EXPIRA",$J271,IF(BUSCAR!$C$8="LICENCIA EMISION",$L271,IF(BUSCAR!$C$8="LICENCIA EXPIRA",$M271,""))))</f>
      </c>
      <c r="AG271" s="42">
        <f>IF($B271&amp;$C271&amp;$D271&amp;$E271&amp;$H271="",0,IF(AND(OR(BUSCAR!$J$5="",ISNUMBER(SEARCH(BUSCAR!$J$5,$AI271))),OR(BUSCAR!$J$6="",ISNUMBER(SEARCH(BUSCAR!$J$6,$AI271))),OR(BUSCAR!$J$8="",ISNUMBER(SEARCH(BUSCAR!$J$8,$AI271))),OR(BUSCAR!$J$9="",ISNUMBER(SEARCH(BUSCAR!$J$9,$AI271))),OR(NOT(BUSCAR!$J$2),AND(ISNUMBER($AF271),$AF271&gt;=BUSCAR!$J$3,$AF271&lt;=BUSCAR!$J$4))),1,0))</f>
      </c>
      <c r="AH271" s="42">
        <f t="shared" si="12"/>
      </c>
      <c r="AI271" s="42">
        <f t="shared" si="13"/>
      </c>
    </row>
    <row r="272" spans="1:35" x14ac:dyDescent="0.2">
      <c r="A272" s="66">
        <f t="shared" si="14"/>
      </c>
      <c r="B272" s="4"/>
      <c r="C272" s="4"/>
      <c r="D272" s="4"/>
      <c r="E272" s="4"/>
      <c r="F272" s="32"/>
      <c r="G272" s="8"/>
      <c r="H272" s="9"/>
      <c r="I272" s="8"/>
      <c r="J272" s="10"/>
      <c r="K272" s="8"/>
      <c r="L272" s="8"/>
      <c r="M272" s="8"/>
      <c r="N272" s="11"/>
      <c r="O272" s="9"/>
      <c r="P272" s="12"/>
      <c r="Q272" s="9"/>
      <c r="R272" s="13"/>
      <c r="S272" s="11"/>
      <c r="T272" s="11"/>
      <c r="U272" s="9"/>
      <c r="V272" s="9"/>
      <c r="W272" s="9"/>
      <c r="X272" s="16"/>
      <c r="AF272" s="42">
        <f>IF(BUSCAR!$C$8="FECHA NAC.",$G272,IF(BUSCAR!$C$8="PASAPORTE EXPIRA",$J272,IF(BUSCAR!$C$8="LICENCIA EMISION",$L272,IF(BUSCAR!$C$8="LICENCIA EXPIRA",$M272,""))))</f>
      </c>
      <c r="AG272" s="42">
        <f>IF($B272&amp;$C272&amp;$D272&amp;$E272&amp;$H272="",0,IF(AND(OR(BUSCAR!$J$5="",ISNUMBER(SEARCH(BUSCAR!$J$5,$AI272))),OR(BUSCAR!$J$6="",ISNUMBER(SEARCH(BUSCAR!$J$6,$AI272))),OR(BUSCAR!$J$8="",ISNUMBER(SEARCH(BUSCAR!$J$8,$AI272))),OR(BUSCAR!$J$9="",ISNUMBER(SEARCH(BUSCAR!$J$9,$AI272))),OR(NOT(BUSCAR!$J$2),AND(ISNUMBER($AF272),$AF272&gt;=BUSCAR!$J$3,$AF272&lt;=BUSCAR!$J$4))),1,0))</f>
      </c>
      <c r="AH272" s="42">
        <f t="shared" si="12"/>
      </c>
      <c r="AI272" s="42">
        <f t="shared" si="13"/>
      </c>
    </row>
    <row r="273" spans="1:35" x14ac:dyDescent="0.2">
      <c r="A273" s="66">
        <f t="shared" si="14"/>
      </c>
      <c r="B273" s="4"/>
      <c r="C273" s="4"/>
      <c r="D273" s="4"/>
      <c r="E273" s="4"/>
      <c r="F273" s="32"/>
      <c r="G273" s="8"/>
      <c r="H273" s="9"/>
      <c r="I273" s="8"/>
      <c r="J273" s="10"/>
      <c r="K273" s="8"/>
      <c r="L273" s="8"/>
      <c r="M273" s="8"/>
      <c r="N273" s="11"/>
      <c r="O273" s="9"/>
      <c r="P273" s="12"/>
      <c r="Q273" s="9"/>
      <c r="R273" s="13"/>
      <c r="S273" s="11"/>
      <c r="T273" s="11"/>
      <c r="U273" s="9"/>
      <c r="V273" s="9"/>
      <c r="W273" s="9"/>
      <c r="X273" s="16"/>
      <c r="AF273" s="42">
        <f>IF(BUSCAR!$C$8="FECHA NAC.",$G273,IF(BUSCAR!$C$8="PASAPORTE EXPIRA",$J273,IF(BUSCAR!$C$8="LICENCIA EMISION",$L273,IF(BUSCAR!$C$8="LICENCIA EXPIRA",$M273,""))))</f>
      </c>
      <c r="AG273" s="42">
        <f>IF($B273&amp;$C273&amp;$D273&amp;$E273&amp;$H273="",0,IF(AND(OR(BUSCAR!$J$5="",ISNUMBER(SEARCH(BUSCAR!$J$5,$AI273))),OR(BUSCAR!$J$6="",ISNUMBER(SEARCH(BUSCAR!$J$6,$AI273))),OR(BUSCAR!$J$8="",ISNUMBER(SEARCH(BUSCAR!$J$8,$AI273))),OR(BUSCAR!$J$9="",ISNUMBER(SEARCH(BUSCAR!$J$9,$AI273))),OR(NOT(BUSCAR!$J$2),AND(ISNUMBER($AF273),$AF273&gt;=BUSCAR!$J$3,$AF273&lt;=BUSCAR!$J$4))),1,0))</f>
      </c>
      <c r="AH273" s="42">
        <f t="shared" si="12"/>
      </c>
      <c r="AI273" s="42">
        <f t="shared" si="13"/>
      </c>
    </row>
    <row r="274" spans="1:35" x14ac:dyDescent="0.2">
      <c r="A274" s="66">
        <f t="shared" si="14"/>
      </c>
      <c r="B274" s="4"/>
      <c r="C274" s="4"/>
      <c r="D274" s="4"/>
      <c r="E274" s="4"/>
      <c r="F274" s="32"/>
      <c r="G274" s="8"/>
      <c r="H274" s="9"/>
      <c r="I274" s="8"/>
      <c r="J274" s="10"/>
      <c r="K274" s="8"/>
      <c r="L274" s="8"/>
      <c r="M274" s="8"/>
      <c r="N274" s="11"/>
      <c r="O274" s="9"/>
      <c r="P274" s="12"/>
      <c r="Q274" s="9"/>
      <c r="R274" s="13"/>
      <c r="S274" s="11"/>
      <c r="T274" s="11"/>
      <c r="U274" s="9"/>
      <c r="V274" s="9"/>
      <c r="W274" s="9"/>
      <c r="X274" s="16"/>
      <c r="AF274" s="42">
        <f>IF(BUSCAR!$C$8="FECHA NAC.",$G274,IF(BUSCAR!$C$8="PASAPORTE EXPIRA",$J274,IF(BUSCAR!$C$8="LICENCIA EMISION",$L274,IF(BUSCAR!$C$8="LICENCIA EXPIRA",$M274,""))))</f>
      </c>
      <c r="AG274" s="42">
        <f>IF($B274&amp;$C274&amp;$D274&amp;$E274&amp;$H274="",0,IF(AND(OR(BUSCAR!$J$5="",ISNUMBER(SEARCH(BUSCAR!$J$5,$AI274))),OR(BUSCAR!$J$6="",ISNUMBER(SEARCH(BUSCAR!$J$6,$AI274))),OR(BUSCAR!$J$8="",ISNUMBER(SEARCH(BUSCAR!$J$8,$AI274))),OR(BUSCAR!$J$9="",ISNUMBER(SEARCH(BUSCAR!$J$9,$AI274))),OR(NOT(BUSCAR!$J$2),AND(ISNUMBER($AF274),$AF274&gt;=BUSCAR!$J$3,$AF274&lt;=BUSCAR!$J$4))),1,0))</f>
      </c>
      <c r="AH274" s="42">
        <f t="shared" si="12"/>
      </c>
      <c r="AI274" s="42">
        <f t="shared" si="13"/>
      </c>
    </row>
    <row r="275" spans="1:35" x14ac:dyDescent="0.2">
      <c r="A275" s="66">
        <f t="shared" si="14"/>
      </c>
      <c r="B275" s="4"/>
      <c r="C275" s="4"/>
      <c r="D275" s="4"/>
      <c r="E275" s="4"/>
      <c r="F275" s="32"/>
      <c r="G275" s="8"/>
      <c r="H275" s="9"/>
      <c r="I275" s="8"/>
      <c r="J275" s="10"/>
      <c r="K275" s="8"/>
      <c r="L275" s="8"/>
      <c r="M275" s="8"/>
      <c r="N275" s="11"/>
      <c r="O275" s="9"/>
      <c r="P275" s="12"/>
      <c r="Q275" s="9"/>
      <c r="R275" s="13"/>
      <c r="S275" s="11"/>
      <c r="T275" s="11"/>
      <c r="U275" s="9"/>
      <c r="V275" s="9"/>
      <c r="W275" s="9"/>
      <c r="X275" s="16"/>
      <c r="AF275" s="42">
        <f>IF(BUSCAR!$C$8="FECHA NAC.",$G275,IF(BUSCAR!$C$8="PASAPORTE EXPIRA",$J275,IF(BUSCAR!$C$8="LICENCIA EMISION",$L275,IF(BUSCAR!$C$8="LICENCIA EXPIRA",$M275,""))))</f>
      </c>
      <c r="AG275" s="42">
        <f>IF($B275&amp;$C275&amp;$D275&amp;$E275&amp;$H275="",0,IF(AND(OR(BUSCAR!$J$5="",ISNUMBER(SEARCH(BUSCAR!$J$5,$AI275))),OR(BUSCAR!$J$6="",ISNUMBER(SEARCH(BUSCAR!$J$6,$AI275))),OR(BUSCAR!$J$8="",ISNUMBER(SEARCH(BUSCAR!$J$8,$AI275))),OR(BUSCAR!$J$9="",ISNUMBER(SEARCH(BUSCAR!$J$9,$AI275))),OR(NOT(BUSCAR!$J$2),AND(ISNUMBER($AF275),$AF275&gt;=BUSCAR!$J$3,$AF275&lt;=BUSCAR!$J$4))),1,0))</f>
      </c>
      <c r="AH275" s="42">
        <f t="shared" si="12"/>
      </c>
      <c r="AI275" s="42">
        <f t="shared" si="13"/>
      </c>
    </row>
    <row r="276" spans="1:35" x14ac:dyDescent="0.2">
      <c r="A276" s="66">
        <f t="shared" si="14"/>
      </c>
      <c r="B276" s="4"/>
      <c r="C276" s="4"/>
      <c r="D276" s="4"/>
      <c r="E276" s="4"/>
      <c r="F276" s="32"/>
      <c r="G276" s="8"/>
      <c r="H276" s="9"/>
      <c r="I276" s="8"/>
      <c r="J276" s="10"/>
      <c r="K276" s="8"/>
      <c r="L276" s="8"/>
      <c r="M276" s="8"/>
      <c r="N276" s="11"/>
      <c r="O276" s="9"/>
      <c r="P276" s="12"/>
      <c r="Q276" s="9"/>
      <c r="R276" s="13"/>
      <c r="S276" s="11"/>
      <c r="T276" s="11"/>
      <c r="U276" s="9"/>
      <c r="V276" s="9"/>
      <c r="W276" s="9"/>
      <c r="X276" s="16"/>
      <c r="AF276" s="42">
        <f>IF(BUSCAR!$C$8="FECHA NAC.",$G276,IF(BUSCAR!$C$8="PASAPORTE EXPIRA",$J276,IF(BUSCAR!$C$8="LICENCIA EMISION",$L276,IF(BUSCAR!$C$8="LICENCIA EXPIRA",$M276,""))))</f>
      </c>
      <c r="AG276" s="42">
        <f>IF($B276&amp;$C276&amp;$D276&amp;$E276&amp;$H276="",0,IF(AND(OR(BUSCAR!$J$5="",ISNUMBER(SEARCH(BUSCAR!$J$5,$AI276))),OR(BUSCAR!$J$6="",ISNUMBER(SEARCH(BUSCAR!$J$6,$AI276))),OR(BUSCAR!$J$8="",ISNUMBER(SEARCH(BUSCAR!$J$8,$AI276))),OR(BUSCAR!$J$9="",ISNUMBER(SEARCH(BUSCAR!$J$9,$AI276))),OR(NOT(BUSCAR!$J$2),AND(ISNUMBER($AF276),$AF276&gt;=BUSCAR!$J$3,$AF276&lt;=BUSCAR!$J$4))),1,0))</f>
      </c>
      <c r="AH276" s="42">
        <f t="shared" si="12"/>
      </c>
      <c r="AI276" s="42">
        <f t="shared" si="13"/>
      </c>
    </row>
    <row r="277" spans="1:35" x14ac:dyDescent="0.2">
      <c r="A277" s="66">
        <f t="shared" si="14"/>
      </c>
      <c r="B277" s="4"/>
      <c r="C277" s="4"/>
      <c r="D277" s="4"/>
      <c r="E277" s="4"/>
      <c r="F277" s="32"/>
      <c r="G277" s="8"/>
      <c r="H277" s="9"/>
      <c r="I277" s="8"/>
      <c r="J277" s="10"/>
      <c r="K277" s="8"/>
      <c r="L277" s="8"/>
      <c r="M277" s="8"/>
      <c r="N277" s="11"/>
      <c r="O277" s="9"/>
      <c r="P277" s="12"/>
      <c r="Q277" s="9"/>
      <c r="R277" s="13"/>
      <c r="S277" s="11"/>
      <c r="T277" s="11"/>
      <c r="U277" s="9"/>
      <c r="V277" s="9"/>
      <c r="W277" s="9"/>
      <c r="X277" s="16"/>
      <c r="AF277" s="42">
        <f>IF(BUSCAR!$C$8="FECHA NAC.",$G277,IF(BUSCAR!$C$8="PASAPORTE EXPIRA",$J277,IF(BUSCAR!$C$8="LICENCIA EMISION",$L277,IF(BUSCAR!$C$8="LICENCIA EXPIRA",$M277,""))))</f>
      </c>
      <c r="AG277" s="42">
        <f>IF($B277&amp;$C277&amp;$D277&amp;$E277&amp;$H277="",0,IF(AND(OR(BUSCAR!$J$5="",ISNUMBER(SEARCH(BUSCAR!$J$5,$AI277))),OR(BUSCAR!$J$6="",ISNUMBER(SEARCH(BUSCAR!$J$6,$AI277))),OR(BUSCAR!$J$8="",ISNUMBER(SEARCH(BUSCAR!$J$8,$AI277))),OR(BUSCAR!$J$9="",ISNUMBER(SEARCH(BUSCAR!$J$9,$AI277))),OR(NOT(BUSCAR!$J$2),AND(ISNUMBER($AF277),$AF277&gt;=BUSCAR!$J$3,$AF277&lt;=BUSCAR!$J$4))),1,0))</f>
      </c>
      <c r="AH277" s="42">
        <f t="shared" si="12"/>
      </c>
      <c r="AI277" s="42">
        <f t="shared" si="13"/>
      </c>
    </row>
    <row r="278" spans="1:35" x14ac:dyDescent="0.2">
      <c r="A278" s="66">
        <f t="shared" si="14"/>
      </c>
      <c r="B278" s="4"/>
      <c r="C278" s="4"/>
      <c r="D278" s="4"/>
      <c r="E278" s="4"/>
      <c r="F278" s="32"/>
      <c r="G278" s="8"/>
      <c r="H278" s="9"/>
      <c r="I278" s="8"/>
      <c r="J278" s="10"/>
      <c r="K278" s="8"/>
      <c r="L278" s="8"/>
      <c r="M278" s="8"/>
      <c r="N278" s="11"/>
      <c r="O278" s="9"/>
      <c r="P278" s="12"/>
      <c r="Q278" s="9"/>
      <c r="R278" s="13"/>
      <c r="S278" s="11"/>
      <c r="T278" s="11"/>
      <c r="U278" s="9"/>
      <c r="V278" s="9"/>
      <c r="W278" s="9"/>
      <c r="X278" s="16"/>
      <c r="AF278" s="42">
        <f>IF(BUSCAR!$C$8="FECHA NAC.",$G278,IF(BUSCAR!$C$8="PASAPORTE EXPIRA",$J278,IF(BUSCAR!$C$8="LICENCIA EMISION",$L278,IF(BUSCAR!$C$8="LICENCIA EXPIRA",$M278,""))))</f>
      </c>
      <c r="AG278" s="42">
        <f>IF($B278&amp;$C278&amp;$D278&amp;$E278&amp;$H278="",0,IF(AND(OR(BUSCAR!$J$5="",ISNUMBER(SEARCH(BUSCAR!$J$5,$AI278))),OR(BUSCAR!$J$6="",ISNUMBER(SEARCH(BUSCAR!$J$6,$AI278))),OR(BUSCAR!$J$8="",ISNUMBER(SEARCH(BUSCAR!$J$8,$AI278))),OR(BUSCAR!$J$9="",ISNUMBER(SEARCH(BUSCAR!$J$9,$AI278))),OR(NOT(BUSCAR!$J$2),AND(ISNUMBER($AF278),$AF278&gt;=BUSCAR!$J$3,$AF278&lt;=BUSCAR!$J$4))),1,0))</f>
      </c>
      <c r="AH278" s="42">
        <f t="shared" si="12"/>
      </c>
      <c r="AI278" s="42">
        <f t="shared" si="13"/>
      </c>
    </row>
    <row r="279" spans="1:35" x14ac:dyDescent="0.2">
      <c r="A279" s="66">
        <f t="shared" si="14"/>
      </c>
      <c r="B279" s="4"/>
      <c r="C279" s="4"/>
      <c r="D279" s="4"/>
      <c r="E279" s="4"/>
      <c r="F279" s="32"/>
      <c r="G279" s="8"/>
      <c r="H279" s="9"/>
      <c r="I279" s="8"/>
      <c r="J279" s="10"/>
      <c r="K279" s="8"/>
      <c r="L279" s="8"/>
      <c r="M279" s="8"/>
      <c r="N279" s="11"/>
      <c r="O279" s="9"/>
      <c r="P279" s="12"/>
      <c r="Q279" s="9"/>
      <c r="R279" s="13"/>
      <c r="S279" s="11"/>
      <c r="T279" s="11"/>
      <c r="U279" s="9"/>
      <c r="V279" s="9"/>
      <c r="W279" s="9"/>
      <c r="X279" s="16"/>
      <c r="AF279" s="42">
        <f>IF(BUSCAR!$C$8="FECHA NAC.",$G279,IF(BUSCAR!$C$8="PASAPORTE EXPIRA",$J279,IF(BUSCAR!$C$8="LICENCIA EMISION",$L279,IF(BUSCAR!$C$8="LICENCIA EXPIRA",$M279,""))))</f>
      </c>
      <c r="AG279" s="42">
        <f>IF($B279&amp;$C279&amp;$D279&amp;$E279&amp;$H279="",0,IF(AND(OR(BUSCAR!$J$5="",ISNUMBER(SEARCH(BUSCAR!$J$5,$AI279))),OR(BUSCAR!$J$6="",ISNUMBER(SEARCH(BUSCAR!$J$6,$AI279))),OR(BUSCAR!$J$8="",ISNUMBER(SEARCH(BUSCAR!$J$8,$AI279))),OR(BUSCAR!$J$9="",ISNUMBER(SEARCH(BUSCAR!$J$9,$AI279))),OR(NOT(BUSCAR!$J$2),AND(ISNUMBER($AF279),$AF279&gt;=BUSCAR!$J$3,$AF279&lt;=BUSCAR!$J$4))),1,0))</f>
      </c>
      <c r="AH279" s="42">
        <f t="shared" si="12"/>
      </c>
      <c r="AI279" s="42">
        <f t="shared" si="13"/>
      </c>
    </row>
    <row r="280" spans="1:35" x14ac:dyDescent="0.2">
      <c r="A280" s="66">
        <f t="shared" si="14"/>
      </c>
      <c r="B280" s="4"/>
      <c r="C280" s="4"/>
      <c r="D280" s="4"/>
      <c r="E280" s="4"/>
      <c r="F280" s="32"/>
      <c r="G280" s="8"/>
      <c r="H280" s="9"/>
      <c r="I280" s="8"/>
      <c r="J280" s="10"/>
      <c r="K280" s="8"/>
      <c r="L280" s="8"/>
      <c r="M280" s="8"/>
      <c r="N280" s="11"/>
      <c r="O280" s="9"/>
      <c r="P280" s="12"/>
      <c r="Q280" s="9"/>
      <c r="R280" s="13"/>
      <c r="S280" s="11"/>
      <c r="T280" s="11"/>
      <c r="U280" s="9"/>
      <c r="V280" s="9"/>
      <c r="W280" s="9"/>
      <c r="X280" s="16"/>
      <c r="AF280" s="42">
        <f>IF(BUSCAR!$C$8="FECHA NAC.",$G280,IF(BUSCAR!$C$8="PASAPORTE EXPIRA",$J280,IF(BUSCAR!$C$8="LICENCIA EMISION",$L280,IF(BUSCAR!$C$8="LICENCIA EXPIRA",$M280,""))))</f>
      </c>
      <c r="AG280" s="42">
        <f>IF($B280&amp;$C280&amp;$D280&amp;$E280&amp;$H280="",0,IF(AND(OR(BUSCAR!$J$5="",ISNUMBER(SEARCH(BUSCAR!$J$5,$AI280))),OR(BUSCAR!$J$6="",ISNUMBER(SEARCH(BUSCAR!$J$6,$AI280))),OR(BUSCAR!$J$8="",ISNUMBER(SEARCH(BUSCAR!$J$8,$AI280))),OR(BUSCAR!$J$9="",ISNUMBER(SEARCH(BUSCAR!$J$9,$AI280))),OR(NOT(BUSCAR!$J$2),AND(ISNUMBER($AF280),$AF280&gt;=BUSCAR!$J$3,$AF280&lt;=BUSCAR!$J$4))),1,0))</f>
      </c>
      <c r="AH280" s="42">
        <f t="shared" si="12"/>
      </c>
      <c r="AI280" s="42">
        <f t="shared" si="13"/>
      </c>
    </row>
    <row r="281" spans="1:35" x14ac:dyDescent="0.2">
      <c r="A281" s="66">
        <f t="shared" si="14"/>
      </c>
      <c r="B281" s="4"/>
      <c r="C281" s="4"/>
      <c r="D281" s="4"/>
      <c r="E281" s="4"/>
      <c r="F281" s="32"/>
      <c r="G281" s="8"/>
      <c r="H281" s="9"/>
      <c r="I281" s="8"/>
      <c r="J281" s="10"/>
      <c r="K281" s="8"/>
      <c r="L281" s="8"/>
      <c r="M281" s="8"/>
      <c r="N281" s="11"/>
      <c r="O281" s="9"/>
      <c r="P281" s="12"/>
      <c r="Q281" s="9"/>
      <c r="R281" s="13"/>
      <c r="S281" s="11"/>
      <c r="T281" s="11"/>
      <c r="U281" s="9"/>
      <c r="V281" s="9"/>
      <c r="W281" s="9"/>
      <c r="X281" s="16"/>
      <c r="AF281" s="42">
        <f>IF(BUSCAR!$C$8="FECHA NAC.",$G281,IF(BUSCAR!$C$8="PASAPORTE EXPIRA",$J281,IF(BUSCAR!$C$8="LICENCIA EMISION",$L281,IF(BUSCAR!$C$8="LICENCIA EXPIRA",$M281,""))))</f>
      </c>
      <c r="AG281" s="42">
        <f>IF($B281&amp;$C281&amp;$D281&amp;$E281&amp;$H281="",0,IF(AND(OR(BUSCAR!$J$5="",ISNUMBER(SEARCH(BUSCAR!$J$5,$AI281))),OR(BUSCAR!$J$6="",ISNUMBER(SEARCH(BUSCAR!$J$6,$AI281))),OR(BUSCAR!$J$8="",ISNUMBER(SEARCH(BUSCAR!$J$8,$AI281))),OR(BUSCAR!$J$9="",ISNUMBER(SEARCH(BUSCAR!$J$9,$AI281))),OR(NOT(BUSCAR!$J$2),AND(ISNUMBER($AF281),$AF281&gt;=BUSCAR!$J$3,$AF281&lt;=BUSCAR!$J$4))),1,0))</f>
      </c>
      <c r="AH281" s="42">
        <f t="shared" si="12"/>
      </c>
      <c r="AI281" s="42">
        <f t="shared" si="13"/>
      </c>
    </row>
    <row r="282" spans="1:35" x14ac:dyDescent="0.2">
      <c r="A282" s="66">
        <f t="shared" si="14"/>
      </c>
      <c r="B282" s="4"/>
      <c r="C282" s="4"/>
      <c r="D282" s="4"/>
      <c r="E282" s="4"/>
      <c r="F282" s="32"/>
      <c r="G282" s="8"/>
      <c r="H282" s="9"/>
      <c r="I282" s="8"/>
      <c r="J282" s="10"/>
      <c r="K282" s="8"/>
      <c r="L282" s="8"/>
      <c r="M282" s="8"/>
      <c r="N282" s="11"/>
      <c r="O282" s="9"/>
      <c r="P282" s="12"/>
      <c r="Q282" s="9"/>
      <c r="R282" s="13"/>
      <c r="S282" s="11"/>
      <c r="T282" s="11"/>
      <c r="U282" s="9"/>
      <c r="V282" s="9"/>
      <c r="W282" s="9"/>
      <c r="X282" s="16"/>
      <c r="AF282" s="42">
        <f>IF(BUSCAR!$C$8="FECHA NAC.",$G282,IF(BUSCAR!$C$8="PASAPORTE EXPIRA",$J282,IF(BUSCAR!$C$8="LICENCIA EMISION",$L282,IF(BUSCAR!$C$8="LICENCIA EXPIRA",$M282,""))))</f>
      </c>
      <c r="AG282" s="42">
        <f>IF($B282&amp;$C282&amp;$D282&amp;$E282&amp;$H282="",0,IF(AND(OR(BUSCAR!$J$5="",ISNUMBER(SEARCH(BUSCAR!$J$5,$AI282))),OR(BUSCAR!$J$6="",ISNUMBER(SEARCH(BUSCAR!$J$6,$AI282))),OR(BUSCAR!$J$8="",ISNUMBER(SEARCH(BUSCAR!$J$8,$AI282))),OR(BUSCAR!$J$9="",ISNUMBER(SEARCH(BUSCAR!$J$9,$AI282))),OR(NOT(BUSCAR!$J$2),AND(ISNUMBER($AF282),$AF282&gt;=BUSCAR!$J$3,$AF282&lt;=BUSCAR!$J$4))),1,0))</f>
      </c>
      <c r="AH282" s="42">
        <f t="shared" si="12"/>
      </c>
      <c r="AI282" s="42">
        <f t="shared" si="13"/>
      </c>
    </row>
    <row r="283" spans="1:35" x14ac:dyDescent="0.2">
      <c r="A283" s="66">
        <f t="shared" si="14"/>
      </c>
      <c r="B283" s="4"/>
      <c r="C283" s="4"/>
      <c r="D283" s="4"/>
      <c r="E283" s="4"/>
      <c r="F283" s="32"/>
      <c r="G283" s="8"/>
      <c r="H283" s="9"/>
      <c r="I283" s="8"/>
      <c r="J283" s="10"/>
      <c r="K283" s="8"/>
      <c r="L283" s="8"/>
      <c r="M283" s="8"/>
      <c r="N283" s="11"/>
      <c r="O283" s="9"/>
      <c r="P283" s="12"/>
      <c r="Q283" s="9"/>
      <c r="R283" s="13"/>
      <c r="S283" s="11"/>
      <c r="T283" s="11"/>
      <c r="U283" s="9"/>
      <c r="V283" s="9"/>
      <c r="W283" s="9"/>
      <c r="X283" s="16"/>
      <c r="AF283" s="42">
        <f>IF(BUSCAR!$C$8="FECHA NAC.",$G283,IF(BUSCAR!$C$8="PASAPORTE EXPIRA",$J283,IF(BUSCAR!$C$8="LICENCIA EMISION",$L283,IF(BUSCAR!$C$8="LICENCIA EXPIRA",$M283,""))))</f>
      </c>
      <c r="AG283" s="42">
        <f>IF($B283&amp;$C283&amp;$D283&amp;$E283&amp;$H283="",0,IF(AND(OR(BUSCAR!$J$5="",ISNUMBER(SEARCH(BUSCAR!$J$5,$AI283))),OR(BUSCAR!$J$6="",ISNUMBER(SEARCH(BUSCAR!$J$6,$AI283))),OR(BUSCAR!$J$8="",ISNUMBER(SEARCH(BUSCAR!$J$8,$AI283))),OR(BUSCAR!$J$9="",ISNUMBER(SEARCH(BUSCAR!$J$9,$AI283))),OR(NOT(BUSCAR!$J$2),AND(ISNUMBER($AF283),$AF283&gt;=BUSCAR!$J$3,$AF283&lt;=BUSCAR!$J$4))),1,0))</f>
      </c>
      <c r="AH283" s="42">
        <f t="shared" si="12"/>
      </c>
      <c r="AI283" s="42">
        <f t="shared" si="13"/>
      </c>
    </row>
    <row r="284" spans="1:35" x14ac:dyDescent="0.2">
      <c r="A284" s="66">
        <f t="shared" si="14"/>
      </c>
      <c r="B284" s="4"/>
      <c r="C284" s="4"/>
      <c r="D284" s="4"/>
      <c r="E284" s="4"/>
      <c r="F284" s="32"/>
      <c r="G284" s="8"/>
      <c r="H284" s="9"/>
      <c r="I284" s="8"/>
      <c r="J284" s="10"/>
      <c r="K284" s="8"/>
      <c r="L284" s="8"/>
      <c r="M284" s="8"/>
      <c r="N284" s="11"/>
      <c r="O284" s="9"/>
      <c r="P284" s="12"/>
      <c r="Q284" s="9"/>
      <c r="R284" s="13"/>
      <c r="S284" s="11"/>
      <c r="T284" s="11"/>
      <c r="U284" s="9"/>
      <c r="V284" s="9"/>
      <c r="W284" s="9"/>
      <c r="X284" s="16"/>
      <c r="AF284" s="42">
        <f>IF(BUSCAR!$C$8="FECHA NAC.",$G284,IF(BUSCAR!$C$8="PASAPORTE EXPIRA",$J284,IF(BUSCAR!$C$8="LICENCIA EMISION",$L284,IF(BUSCAR!$C$8="LICENCIA EXPIRA",$M284,""))))</f>
      </c>
      <c r="AG284" s="42">
        <f>IF($B284&amp;$C284&amp;$D284&amp;$E284&amp;$H284="",0,IF(AND(OR(BUSCAR!$J$5="",ISNUMBER(SEARCH(BUSCAR!$J$5,$AI284))),OR(BUSCAR!$J$6="",ISNUMBER(SEARCH(BUSCAR!$J$6,$AI284))),OR(BUSCAR!$J$8="",ISNUMBER(SEARCH(BUSCAR!$J$8,$AI284))),OR(BUSCAR!$J$9="",ISNUMBER(SEARCH(BUSCAR!$J$9,$AI284))),OR(NOT(BUSCAR!$J$2),AND(ISNUMBER($AF284),$AF284&gt;=BUSCAR!$J$3,$AF284&lt;=BUSCAR!$J$4))),1,0))</f>
      </c>
      <c r="AH284" s="42">
        <f t="shared" si="12"/>
      </c>
      <c r="AI284" s="42">
        <f t="shared" si="13"/>
      </c>
    </row>
    <row r="285" spans="1:35" x14ac:dyDescent="0.2">
      <c r="A285" s="66">
        <f t="shared" si="14"/>
      </c>
      <c r="B285" s="4"/>
      <c r="C285" s="4"/>
      <c r="D285" s="4"/>
      <c r="E285" s="4"/>
      <c r="F285" s="32"/>
      <c r="G285" s="8"/>
      <c r="H285" s="9"/>
      <c r="I285" s="8"/>
      <c r="J285" s="10"/>
      <c r="K285" s="8"/>
      <c r="L285" s="8"/>
      <c r="M285" s="8"/>
      <c r="N285" s="11"/>
      <c r="O285" s="9"/>
      <c r="P285" s="12"/>
      <c r="Q285" s="9"/>
      <c r="R285" s="13"/>
      <c r="S285" s="11"/>
      <c r="T285" s="11"/>
      <c r="U285" s="9"/>
      <c r="V285" s="9"/>
      <c r="W285" s="9"/>
      <c r="X285" s="16"/>
      <c r="AF285" s="42">
        <f>IF(BUSCAR!$C$8="FECHA NAC.",$G285,IF(BUSCAR!$C$8="PASAPORTE EXPIRA",$J285,IF(BUSCAR!$C$8="LICENCIA EMISION",$L285,IF(BUSCAR!$C$8="LICENCIA EXPIRA",$M285,""))))</f>
      </c>
      <c r="AG285" s="42">
        <f>IF($B285&amp;$C285&amp;$D285&amp;$E285&amp;$H285="",0,IF(AND(OR(BUSCAR!$J$5="",ISNUMBER(SEARCH(BUSCAR!$J$5,$AI285))),OR(BUSCAR!$J$6="",ISNUMBER(SEARCH(BUSCAR!$J$6,$AI285))),OR(BUSCAR!$J$8="",ISNUMBER(SEARCH(BUSCAR!$J$8,$AI285))),OR(BUSCAR!$J$9="",ISNUMBER(SEARCH(BUSCAR!$J$9,$AI285))),OR(NOT(BUSCAR!$J$2),AND(ISNUMBER($AF285),$AF285&gt;=BUSCAR!$J$3,$AF285&lt;=BUSCAR!$J$4))),1,0))</f>
      </c>
      <c r="AH285" s="42">
        <f t="shared" si="12"/>
      </c>
      <c r="AI285" s="42">
        <f t="shared" si="13"/>
      </c>
    </row>
    <row r="286" spans="1:35" x14ac:dyDescent="0.2">
      <c r="A286" s="66">
        <f t="shared" si="14"/>
      </c>
      <c r="B286" s="4"/>
      <c r="C286" s="4"/>
      <c r="D286" s="4"/>
      <c r="E286" s="4"/>
      <c r="F286" s="32"/>
      <c r="G286" s="8"/>
      <c r="H286" s="9"/>
      <c r="I286" s="8"/>
      <c r="J286" s="10"/>
      <c r="K286" s="8"/>
      <c r="L286" s="8"/>
      <c r="M286" s="8"/>
      <c r="N286" s="11"/>
      <c r="O286" s="9"/>
      <c r="P286" s="12"/>
      <c r="Q286" s="9"/>
      <c r="R286" s="13"/>
      <c r="S286" s="11"/>
      <c r="T286" s="11"/>
      <c r="U286" s="9"/>
      <c r="V286" s="9"/>
      <c r="W286" s="9"/>
      <c r="X286" s="16"/>
      <c r="AF286" s="42">
        <f>IF(BUSCAR!$C$8="FECHA NAC.",$G286,IF(BUSCAR!$C$8="PASAPORTE EXPIRA",$J286,IF(BUSCAR!$C$8="LICENCIA EMISION",$L286,IF(BUSCAR!$C$8="LICENCIA EXPIRA",$M286,""))))</f>
      </c>
      <c r="AG286" s="42">
        <f>IF($B286&amp;$C286&amp;$D286&amp;$E286&amp;$H286="",0,IF(AND(OR(BUSCAR!$J$5="",ISNUMBER(SEARCH(BUSCAR!$J$5,$AI286))),OR(BUSCAR!$J$6="",ISNUMBER(SEARCH(BUSCAR!$J$6,$AI286))),OR(BUSCAR!$J$8="",ISNUMBER(SEARCH(BUSCAR!$J$8,$AI286))),OR(BUSCAR!$J$9="",ISNUMBER(SEARCH(BUSCAR!$J$9,$AI286))),OR(NOT(BUSCAR!$J$2),AND(ISNUMBER($AF286),$AF286&gt;=BUSCAR!$J$3,$AF286&lt;=BUSCAR!$J$4))),1,0))</f>
      </c>
      <c r="AH286" s="42">
        <f t="shared" si="12"/>
      </c>
      <c r="AI286" s="42">
        <f t="shared" si="13"/>
      </c>
    </row>
    <row r="287" spans="1:35" x14ac:dyDescent="0.2">
      <c r="A287" s="66">
        <f t="shared" si="14"/>
      </c>
      <c r="B287" s="4"/>
      <c r="C287" s="4"/>
      <c r="D287" s="4"/>
      <c r="E287" s="4"/>
      <c r="F287" s="32"/>
      <c r="G287" s="8"/>
      <c r="H287" s="9"/>
      <c r="I287" s="8"/>
      <c r="J287" s="10"/>
      <c r="K287" s="8"/>
      <c r="L287" s="8"/>
      <c r="M287" s="8"/>
      <c r="N287" s="11"/>
      <c r="O287" s="9"/>
      <c r="P287" s="12"/>
      <c r="Q287" s="9"/>
      <c r="R287" s="13"/>
      <c r="S287" s="11"/>
      <c r="T287" s="11"/>
      <c r="U287" s="9"/>
      <c r="V287" s="9"/>
      <c r="W287" s="9"/>
      <c r="X287" s="16"/>
      <c r="AF287" s="42">
        <f>IF(BUSCAR!$C$8="FECHA NAC.",$G287,IF(BUSCAR!$C$8="PASAPORTE EXPIRA",$J287,IF(BUSCAR!$C$8="LICENCIA EMISION",$L287,IF(BUSCAR!$C$8="LICENCIA EXPIRA",$M287,""))))</f>
      </c>
      <c r="AG287" s="42">
        <f>IF($B287&amp;$C287&amp;$D287&amp;$E287&amp;$H287="",0,IF(AND(OR(BUSCAR!$J$5="",ISNUMBER(SEARCH(BUSCAR!$J$5,$AI287))),OR(BUSCAR!$J$6="",ISNUMBER(SEARCH(BUSCAR!$J$6,$AI287))),OR(BUSCAR!$J$8="",ISNUMBER(SEARCH(BUSCAR!$J$8,$AI287))),OR(BUSCAR!$J$9="",ISNUMBER(SEARCH(BUSCAR!$J$9,$AI287))),OR(NOT(BUSCAR!$J$2),AND(ISNUMBER($AF287),$AF287&gt;=BUSCAR!$J$3,$AF287&lt;=BUSCAR!$J$4))),1,0))</f>
      </c>
      <c r="AH287" s="42">
        <f t="shared" si="12"/>
      </c>
      <c r="AI287" s="42">
        <f t="shared" si="13"/>
      </c>
    </row>
    <row r="288" spans="1:35" x14ac:dyDescent="0.2">
      <c r="A288" s="66">
        <f t="shared" si="14"/>
      </c>
      <c r="B288" s="4"/>
      <c r="C288" s="4"/>
      <c r="D288" s="4"/>
      <c r="E288" s="4"/>
      <c r="F288" s="32"/>
      <c r="G288" s="8"/>
      <c r="H288" s="9"/>
      <c r="I288" s="8"/>
      <c r="J288" s="10"/>
      <c r="K288" s="8"/>
      <c r="L288" s="8"/>
      <c r="M288" s="8"/>
      <c r="N288" s="11"/>
      <c r="O288" s="9"/>
      <c r="P288" s="12"/>
      <c r="Q288" s="9"/>
      <c r="R288" s="13"/>
      <c r="S288" s="11"/>
      <c r="T288" s="11"/>
      <c r="U288" s="9"/>
      <c r="V288" s="9"/>
      <c r="W288" s="9"/>
      <c r="X288" s="16"/>
      <c r="AF288" s="42">
        <f>IF(BUSCAR!$C$8="FECHA NAC.",$G288,IF(BUSCAR!$C$8="PASAPORTE EXPIRA",$J288,IF(BUSCAR!$C$8="LICENCIA EMISION",$L288,IF(BUSCAR!$C$8="LICENCIA EXPIRA",$M288,""))))</f>
      </c>
      <c r="AG288" s="42">
        <f>IF($B288&amp;$C288&amp;$D288&amp;$E288&amp;$H288="",0,IF(AND(OR(BUSCAR!$J$5="",ISNUMBER(SEARCH(BUSCAR!$J$5,$AI288))),OR(BUSCAR!$J$6="",ISNUMBER(SEARCH(BUSCAR!$J$6,$AI288))),OR(BUSCAR!$J$8="",ISNUMBER(SEARCH(BUSCAR!$J$8,$AI288))),OR(BUSCAR!$J$9="",ISNUMBER(SEARCH(BUSCAR!$J$9,$AI288))),OR(NOT(BUSCAR!$J$2),AND(ISNUMBER($AF288),$AF288&gt;=BUSCAR!$J$3,$AF288&lt;=BUSCAR!$J$4))),1,0))</f>
      </c>
      <c r="AH288" s="42">
        <f t="shared" si="12"/>
      </c>
      <c r="AI288" s="42">
        <f t="shared" si="13"/>
      </c>
    </row>
    <row r="289" spans="1:35" x14ac:dyDescent="0.2">
      <c r="A289" s="66">
        <f t="shared" si="14"/>
      </c>
      <c r="B289" s="4"/>
      <c r="C289" s="4"/>
      <c r="D289" s="4"/>
      <c r="E289" s="4"/>
      <c r="F289" s="24"/>
      <c r="G289" s="8"/>
      <c r="H289" s="9"/>
      <c r="I289" s="8"/>
      <c r="J289" s="10"/>
      <c r="K289" s="8"/>
      <c r="L289" s="8"/>
      <c r="M289" s="8"/>
      <c r="N289" s="11"/>
      <c r="O289" s="9"/>
      <c r="P289" s="12"/>
      <c r="Q289" s="9"/>
      <c r="R289" s="13"/>
      <c r="S289" s="11"/>
      <c r="T289" s="11"/>
      <c r="U289" s="9"/>
      <c r="V289" s="9"/>
      <c r="W289" s="9"/>
      <c r="X289" s="16"/>
      <c r="AF289" s="42">
        <f>IF(BUSCAR!$C$8="FECHA NAC.",$G289,IF(BUSCAR!$C$8="PASAPORTE EXPIRA",$J289,IF(BUSCAR!$C$8="LICENCIA EMISION",$L289,IF(BUSCAR!$C$8="LICENCIA EXPIRA",$M289,""))))</f>
      </c>
      <c r="AG289" s="42">
        <f>IF($B289&amp;$C289&amp;$D289&amp;$E289&amp;$H289="",0,IF(AND(OR(BUSCAR!$J$5="",ISNUMBER(SEARCH(BUSCAR!$J$5,$AI289))),OR(BUSCAR!$J$6="",ISNUMBER(SEARCH(BUSCAR!$J$6,$AI289))),OR(BUSCAR!$J$8="",ISNUMBER(SEARCH(BUSCAR!$J$8,$AI289))),OR(BUSCAR!$J$9="",ISNUMBER(SEARCH(BUSCAR!$J$9,$AI289))),OR(NOT(BUSCAR!$J$2),AND(ISNUMBER($AF289),$AF289&gt;=BUSCAR!$J$3,$AF289&lt;=BUSCAR!$J$4))),1,0))</f>
      </c>
      <c r="AH289" s="42">
        <f t="shared" si="12"/>
      </c>
      <c r="AI289" s="42">
        <f t="shared" si="13"/>
      </c>
    </row>
    <row r="290" spans="1:35" x14ac:dyDescent="0.2">
      <c r="A290" s="66">
        <f t="shared" si="14"/>
      </c>
      <c r="B290" s="4"/>
      <c r="C290" s="4"/>
      <c r="D290" s="4"/>
      <c r="E290" s="4"/>
      <c r="F290" s="32"/>
      <c r="G290" s="8"/>
      <c r="H290" s="9"/>
      <c r="I290" s="8"/>
      <c r="J290" s="10"/>
      <c r="K290" s="8"/>
      <c r="L290" s="8"/>
      <c r="M290" s="8"/>
      <c r="N290" s="11"/>
      <c r="O290" s="9"/>
      <c r="P290" s="12"/>
      <c r="Q290" s="9"/>
      <c r="R290" s="13"/>
      <c r="S290" s="11"/>
      <c r="T290" s="11"/>
      <c r="U290" s="9"/>
      <c r="V290" s="9"/>
      <c r="W290" s="9"/>
      <c r="X290" s="16"/>
      <c r="AF290" s="42">
        <f>IF(BUSCAR!$C$8="FECHA NAC.",$G290,IF(BUSCAR!$C$8="PASAPORTE EXPIRA",$J290,IF(BUSCAR!$C$8="LICENCIA EMISION",$L290,IF(BUSCAR!$C$8="LICENCIA EXPIRA",$M290,""))))</f>
      </c>
      <c r="AG290" s="42">
        <f>IF($B290&amp;$C290&amp;$D290&amp;$E290&amp;$H290="",0,IF(AND(OR(BUSCAR!$J$5="",ISNUMBER(SEARCH(BUSCAR!$J$5,$AI290))),OR(BUSCAR!$J$6="",ISNUMBER(SEARCH(BUSCAR!$J$6,$AI290))),OR(BUSCAR!$J$8="",ISNUMBER(SEARCH(BUSCAR!$J$8,$AI290))),OR(BUSCAR!$J$9="",ISNUMBER(SEARCH(BUSCAR!$J$9,$AI290))),OR(NOT(BUSCAR!$J$2),AND(ISNUMBER($AF290),$AF290&gt;=BUSCAR!$J$3,$AF290&lt;=BUSCAR!$J$4))),1,0))</f>
      </c>
      <c r="AH290" s="42">
        <f t="shared" si="12"/>
      </c>
      <c r="AI290" s="42">
        <f t="shared" si="13"/>
      </c>
    </row>
    <row r="291" spans="1:35" x14ac:dyDescent="0.2">
      <c r="A291" s="66">
        <f t="shared" si="14"/>
      </c>
      <c r="B291" s="4"/>
      <c r="C291" s="4"/>
      <c r="D291" s="4"/>
      <c r="E291" s="4"/>
      <c r="F291" s="32"/>
      <c r="G291" s="8"/>
      <c r="H291" s="9"/>
      <c r="I291" s="8"/>
      <c r="J291" s="10"/>
      <c r="K291" s="8"/>
      <c r="L291" s="8"/>
      <c r="M291" s="8"/>
      <c r="N291" s="11"/>
      <c r="O291" s="9"/>
      <c r="P291" s="12"/>
      <c r="Q291" s="9"/>
      <c r="R291" s="13"/>
      <c r="S291" s="11"/>
      <c r="T291" s="11"/>
      <c r="U291" s="9"/>
      <c r="V291" s="9"/>
      <c r="W291" s="9"/>
      <c r="X291" s="16"/>
      <c r="AF291" s="42">
        <f>IF(BUSCAR!$C$8="FECHA NAC.",$G291,IF(BUSCAR!$C$8="PASAPORTE EXPIRA",$J291,IF(BUSCAR!$C$8="LICENCIA EMISION",$L291,IF(BUSCAR!$C$8="LICENCIA EXPIRA",$M291,""))))</f>
      </c>
      <c r="AG291" s="42">
        <f>IF($B291&amp;$C291&amp;$D291&amp;$E291&amp;$H291="",0,IF(AND(OR(BUSCAR!$J$5="",ISNUMBER(SEARCH(BUSCAR!$J$5,$AI291))),OR(BUSCAR!$J$6="",ISNUMBER(SEARCH(BUSCAR!$J$6,$AI291))),OR(BUSCAR!$J$8="",ISNUMBER(SEARCH(BUSCAR!$J$8,$AI291))),OR(BUSCAR!$J$9="",ISNUMBER(SEARCH(BUSCAR!$J$9,$AI291))),OR(NOT(BUSCAR!$J$2),AND(ISNUMBER($AF291),$AF291&gt;=BUSCAR!$J$3,$AF291&lt;=BUSCAR!$J$4))),1,0))</f>
      </c>
      <c r="AH291" s="42">
        <f t="shared" si="12"/>
      </c>
      <c r="AI291" s="42">
        <f t="shared" si="13"/>
      </c>
    </row>
    <row r="292" spans="1:35" x14ac:dyDescent="0.2">
      <c r="A292" s="66">
        <f t="shared" si="14"/>
      </c>
      <c r="B292" s="4"/>
      <c r="C292" s="4"/>
      <c r="D292" s="4"/>
      <c r="E292" s="4"/>
      <c r="F292" s="32"/>
      <c r="G292" s="8"/>
      <c r="H292" s="9"/>
      <c r="I292" s="8"/>
      <c r="J292" s="10"/>
      <c r="K292" s="8"/>
      <c r="L292" s="8"/>
      <c r="M292" s="8"/>
      <c r="N292" s="11"/>
      <c r="O292" s="9"/>
      <c r="P292" s="12"/>
      <c r="Q292" s="9"/>
      <c r="R292" s="13"/>
      <c r="S292" s="11"/>
      <c r="T292" s="11"/>
      <c r="U292" s="9"/>
      <c r="V292" s="9"/>
      <c r="W292" s="9"/>
      <c r="X292" s="16"/>
      <c r="AF292" s="42">
        <f>IF(BUSCAR!$C$8="FECHA NAC.",$G292,IF(BUSCAR!$C$8="PASAPORTE EXPIRA",$J292,IF(BUSCAR!$C$8="LICENCIA EMISION",$L292,IF(BUSCAR!$C$8="LICENCIA EXPIRA",$M292,""))))</f>
      </c>
      <c r="AG292" s="42">
        <f>IF($B292&amp;$C292&amp;$D292&amp;$E292&amp;$H292="",0,IF(AND(OR(BUSCAR!$J$5="",ISNUMBER(SEARCH(BUSCAR!$J$5,$AI292))),OR(BUSCAR!$J$6="",ISNUMBER(SEARCH(BUSCAR!$J$6,$AI292))),OR(BUSCAR!$J$8="",ISNUMBER(SEARCH(BUSCAR!$J$8,$AI292))),OR(BUSCAR!$J$9="",ISNUMBER(SEARCH(BUSCAR!$J$9,$AI292))),OR(NOT(BUSCAR!$J$2),AND(ISNUMBER($AF292),$AF292&gt;=BUSCAR!$J$3,$AF292&lt;=BUSCAR!$J$4))),1,0))</f>
      </c>
      <c r="AH292" s="42">
        <f t="shared" si="12"/>
      </c>
      <c r="AI292" s="42">
        <f t="shared" si="13"/>
      </c>
    </row>
    <row r="293" spans="1:35" x14ac:dyDescent="0.2">
      <c r="A293" s="66">
        <f t="shared" si="14"/>
      </c>
      <c r="B293" s="4"/>
      <c r="C293" s="4"/>
      <c r="D293" s="4"/>
      <c r="E293" s="4"/>
      <c r="F293" s="32"/>
      <c r="G293" s="8"/>
      <c r="H293" s="9"/>
      <c r="I293" s="8"/>
      <c r="J293" s="10"/>
      <c r="K293" s="8"/>
      <c r="L293" s="8"/>
      <c r="M293" s="8"/>
      <c r="N293" s="11"/>
      <c r="O293" s="9"/>
      <c r="P293" s="12"/>
      <c r="Q293" s="9"/>
      <c r="R293" s="13"/>
      <c r="S293" s="11"/>
      <c r="T293" s="11"/>
      <c r="U293" s="9"/>
      <c r="V293" s="9"/>
      <c r="W293" s="9"/>
      <c r="X293" s="16"/>
      <c r="AF293" s="42">
        <f>IF(BUSCAR!$C$8="FECHA NAC.",$G293,IF(BUSCAR!$C$8="PASAPORTE EXPIRA",$J293,IF(BUSCAR!$C$8="LICENCIA EMISION",$L293,IF(BUSCAR!$C$8="LICENCIA EXPIRA",$M293,""))))</f>
      </c>
      <c r="AG293" s="42">
        <f>IF($B293&amp;$C293&amp;$D293&amp;$E293&amp;$H293="",0,IF(AND(OR(BUSCAR!$J$5="",ISNUMBER(SEARCH(BUSCAR!$J$5,$AI293))),OR(BUSCAR!$J$6="",ISNUMBER(SEARCH(BUSCAR!$J$6,$AI293))),OR(BUSCAR!$J$8="",ISNUMBER(SEARCH(BUSCAR!$J$8,$AI293))),OR(BUSCAR!$J$9="",ISNUMBER(SEARCH(BUSCAR!$J$9,$AI293))),OR(NOT(BUSCAR!$J$2),AND(ISNUMBER($AF293),$AF293&gt;=BUSCAR!$J$3,$AF293&lt;=BUSCAR!$J$4))),1,0))</f>
      </c>
      <c r="AH293" s="42">
        <f t="shared" si="12"/>
      </c>
      <c r="AI293" s="42">
        <f t="shared" si="13"/>
      </c>
    </row>
    <row r="294" spans="1:35" x14ac:dyDescent="0.2">
      <c r="A294" s="66">
        <f t="shared" si="14"/>
      </c>
      <c r="B294" s="4"/>
      <c r="C294" s="4"/>
      <c r="D294" s="4"/>
      <c r="E294" s="4"/>
      <c r="F294" s="32"/>
      <c r="G294" s="8"/>
      <c r="H294" s="9"/>
      <c r="I294" s="8"/>
      <c r="J294" s="10"/>
      <c r="K294" s="8"/>
      <c r="L294" s="8"/>
      <c r="M294" s="8"/>
      <c r="N294" s="11"/>
      <c r="O294" s="9"/>
      <c r="P294" s="12"/>
      <c r="Q294" s="9"/>
      <c r="R294" s="13"/>
      <c r="S294" s="11"/>
      <c r="T294" s="11"/>
      <c r="U294" s="9"/>
      <c r="V294" s="9"/>
      <c r="W294" s="9"/>
      <c r="X294" s="16"/>
      <c r="AF294" s="42">
        <f>IF(BUSCAR!$C$8="FECHA NAC.",$G294,IF(BUSCAR!$C$8="PASAPORTE EXPIRA",$J294,IF(BUSCAR!$C$8="LICENCIA EMISION",$L294,IF(BUSCAR!$C$8="LICENCIA EXPIRA",$M294,""))))</f>
      </c>
      <c r="AG294" s="42">
        <f>IF($B294&amp;$C294&amp;$D294&amp;$E294&amp;$H294="",0,IF(AND(OR(BUSCAR!$J$5="",ISNUMBER(SEARCH(BUSCAR!$J$5,$AI294))),OR(BUSCAR!$J$6="",ISNUMBER(SEARCH(BUSCAR!$J$6,$AI294))),OR(BUSCAR!$J$8="",ISNUMBER(SEARCH(BUSCAR!$J$8,$AI294))),OR(BUSCAR!$J$9="",ISNUMBER(SEARCH(BUSCAR!$J$9,$AI294))),OR(NOT(BUSCAR!$J$2),AND(ISNUMBER($AF294),$AF294&gt;=BUSCAR!$J$3,$AF294&lt;=BUSCAR!$J$4))),1,0))</f>
      </c>
      <c r="AH294" s="42">
        <f t="shared" si="12"/>
      </c>
      <c r="AI294" s="42">
        <f t="shared" si="13"/>
      </c>
    </row>
    <row r="295" spans="1:35" x14ac:dyDescent="0.2">
      <c r="A295" s="66">
        <f t="shared" si="14"/>
      </c>
      <c r="B295" s="4"/>
      <c r="C295" s="4"/>
      <c r="D295" s="4"/>
      <c r="E295" s="4"/>
      <c r="F295" s="32"/>
      <c r="G295" s="8"/>
      <c r="H295" s="9"/>
      <c r="I295" s="8"/>
      <c r="J295" s="10"/>
      <c r="K295" s="8"/>
      <c r="L295" s="8"/>
      <c r="M295" s="8"/>
      <c r="N295" s="11"/>
      <c r="O295" s="9"/>
      <c r="P295" s="12"/>
      <c r="Q295" s="9"/>
      <c r="R295" s="13"/>
      <c r="S295" s="11"/>
      <c r="T295" s="11"/>
      <c r="U295" s="9"/>
      <c r="V295" s="9"/>
      <c r="W295" s="9"/>
      <c r="X295" s="16"/>
      <c r="AF295" s="42">
        <f>IF(BUSCAR!$C$8="FECHA NAC.",$G295,IF(BUSCAR!$C$8="PASAPORTE EXPIRA",$J295,IF(BUSCAR!$C$8="LICENCIA EMISION",$L295,IF(BUSCAR!$C$8="LICENCIA EXPIRA",$M295,""))))</f>
      </c>
      <c r="AG295" s="42">
        <f>IF($B295&amp;$C295&amp;$D295&amp;$E295&amp;$H295="",0,IF(AND(OR(BUSCAR!$J$5="",ISNUMBER(SEARCH(BUSCAR!$J$5,$AI295))),OR(BUSCAR!$J$6="",ISNUMBER(SEARCH(BUSCAR!$J$6,$AI295))),OR(BUSCAR!$J$8="",ISNUMBER(SEARCH(BUSCAR!$J$8,$AI295))),OR(BUSCAR!$J$9="",ISNUMBER(SEARCH(BUSCAR!$J$9,$AI295))),OR(NOT(BUSCAR!$J$2),AND(ISNUMBER($AF295),$AF295&gt;=BUSCAR!$J$3,$AF295&lt;=BUSCAR!$J$4))),1,0))</f>
      </c>
      <c r="AH295" s="42">
        <f t="shared" si="12"/>
      </c>
      <c r="AI295" s="42">
        <f t="shared" si="13"/>
      </c>
    </row>
    <row r="296" spans="1:35" x14ac:dyDescent="0.2">
      <c r="A296" s="66">
        <f t="shared" si="14"/>
      </c>
      <c r="B296" s="4"/>
      <c r="C296" s="4"/>
      <c r="D296" s="4"/>
      <c r="E296" s="4"/>
      <c r="F296" s="32"/>
      <c r="G296" s="8"/>
      <c r="H296" s="9"/>
      <c r="I296" s="8"/>
      <c r="J296" s="10"/>
      <c r="K296" s="8"/>
      <c r="L296" s="8"/>
      <c r="M296" s="8"/>
      <c r="N296" s="11"/>
      <c r="O296" s="9"/>
      <c r="P296" s="12"/>
      <c r="Q296" s="9"/>
      <c r="R296" s="13"/>
      <c r="S296" s="11"/>
      <c r="T296" s="11"/>
      <c r="U296" s="9"/>
      <c r="V296" s="9"/>
      <c r="W296" s="9"/>
      <c r="X296" s="16"/>
      <c r="AF296" s="42">
        <f>IF(BUSCAR!$C$8="FECHA NAC.",$G296,IF(BUSCAR!$C$8="PASAPORTE EXPIRA",$J296,IF(BUSCAR!$C$8="LICENCIA EMISION",$L296,IF(BUSCAR!$C$8="LICENCIA EXPIRA",$M296,""))))</f>
      </c>
      <c r="AG296" s="42">
        <f>IF($B296&amp;$C296&amp;$D296&amp;$E296&amp;$H296="",0,IF(AND(OR(BUSCAR!$J$5="",ISNUMBER(SEARCH(BUSCAR!$J$5,$AI296))),OR(BUSCAR!$J$6="",ISNUMBER(SEARCH(BUSCAR!$J$6,$AI296))),OR(BUSCAR!$J$8="",ISNUMBER(SEARCH(BUSCAR!$J$8,$AI296))),OR(BUSCAR!$J$9="",ISNUMBER(SEARCH(BUSCAR!$J$9,$AI296))),OR(NOT(BUSCAR!$J$2),AND(ISNUMBER($AF296),$AF296&gt;=BUSCAR!$J$3,$AF296&lt;=BUSCAR!$J$4))),1,0))</f>
      </c>
      <c r="AH296" s="42">
        <f t="shared" si="12"/>
      </c>
      <c r="AI296" s="42">
        <f t="shared" si="13"/>
      </c>
    </row>
    <row r="297" spans="1:35" x14ac:dyDescent="0.2">
      <c r="A297" s="66">
        <f t="shared" si="14"/>
      </c>
      <c r="B297" s="4"/>
      <c r="C297" s="4"/>
      <c r="D297" s="4"/>
      <c r="E297" s="4"/>
      <c r="F297" s="32"/>
      <c r="G297" s="8"/>
      <c r="H297" s="9"/>
      <c r="I297" s="8"/>
      <c r="J297" s="10"/>
      <c r="K297" s="8"/>
      <c r="L297" s="8"/>
      <c r="M297" s="8"/>
      <c r="N297" s="11"/>
      <c r="O297" s="9"/>
      <c r="P297" s="12"/>
      <c r="Q297" s="9"/>
      <c r="R297" s="13"/>
      <c r="S297" s="11"/>
      <c r="T297" s="11"/>
      <c r="U297" s="9"/>
      <c r="V297" s="9"/>
      <c r="W297" s="9"/>
      <c r="X297" s="16"/>
      <c r="AF297" s="42">
        <f>IF(BUSCAR!$C$8="FECHA NAC.",$G297,IF(BUSCAR!$C$8="PASAPORTE EXPIRA",$J297,IF(BUSCAR!$C$8="LICENCIA EMISION",$L297,IF(BUSCAR!$C$8="LICENCIA EXPIRA",$M297,""))))</f>
      </c>
      <c r="AG297" s="42">
        <f>IF($B297&amp;$C297&amp;$D297&amp;$E297&amp;$H297="",0,IF(AND(OR(BUSCAR!$J$5="",ISNUMBER(SEARCH(BUSCAR!$J$5,$AI297))),OR(BUSCAR!$J$6="",ISNUMBER(SEARCH(BUSCAR!$J$6,$AI297))),OR(BUSCAR!$J$8="",ISNUMBER(SEARCH(BUSCAR!$J$8,$AI297))),OR(BUSCAR!$J$9="",ISNUMBER(SEARCH(BUSCAR!$J$9,$AI297))),OR(NOT(BUSCAR!$J$2),AND(ISNUMBER($AF297),$AF297&gt;=BUSCAR!$J$3,$AF297&lt;=BUSCAR!$J$4))),1,0))</f>
      </c>
      <c r="AH297" s="42">
        <f t="shared" si="12"/>
      </c>
      <c r="AI297" s="42">
        <f t="shared" si="13"/>
      </c>
    </row>
    <row r="298" spans="1:35" x14ac:dyDescent="0.2">
      <c r="A298" s="66">
        <f t="shared" si="14"/>
      </c>
      <c r="B298" s="4"/>
      <c r="C298" s="4"/>
      <c r="D298" s="4"/>
      <c r="E298" s="4"/>
      <c r="F298" s="32"/>
      <c r="G298" s="8"/>
      <c r="H298" s="9"/>
      <c r="I298" s="8"/>
      <c r="J298" s="10"/>
      <c r="K298" s="8"/>
      <c r="L298" s="8"/>
      <c r="M298" s="8"/>
      <c r="N298" s="11"/>
      <c r="O298" s="9"/>
      <c r="P298" s="12"/>
      <c r="Q298" s="9"/>
      <c r="R298" s="13"/>
      <c r="S298" s="11"/>
      <c r="T298" s="11"/>
      <c r="U298" s="9"/>
      <c r="V298" s="9"/>
      <c r="W298" s="9"/>
      <c r="X298" s="16"/>
      <c r="AF298" s="42">
        <f>IF(BUSCAR!$C$8="FECHA NAC.",$G298,IF(BUSCAR!$C$8="PASAPORTE EXPIRA",$J298,IF(BUSCAR!$C$8="LICENCIA EMISION",$L298,IF(BUSCAR!$C$8="LICENCIA EXPIRA",$M298,""))))</f>
      </c>
      <c r="AG298" s="42">
        <f>IF($B298&amp;$C298&amp;$D298&amp;$E298&amp;$H298="",0,IF(AND(OR(BUSCAR!$J$5="",ISNUMBER(SEARCH(BUSCAR!$J$5,$AI298))),OR(BUSCAR!$J$6="",ISNUMBER(SEARCH(BUSCAR!$J$6,$AI298))),OR(BUSCAR!$J$8="",ISNUMBER(SEARCH(BUSCAR!$J$8,$AI298))),OR(BUSCAR!$J$9="",ISNUMBER(SEARCH(BUSCAR!$J$9,$AI298))),OR(NOT(BUSCAR!$J$2),AND(ISNUMBER($AF298),$AF298&gt;=BUSCAR!$J$3,$AF298&lt;=BUSCAR!$J$4))),1,0))</f>
      </c>
      <c r="AH298" s="42">
        <f t="shared" si="12"/>
      </c>
      <c r="AI298" s="42">
        <f t="shared" si="13"/>
      </c>
    </row>
    <row r="299" spans="1:35" x14ac:dyDescent="0.2">
      <c r="A299" s="66">
        <f t="shared" si="14"/>
      </c>
      <c r="B299" s="4"/>
      <c r="C299" s="4"/>
      <c r="D299" s="4"/>
      <c r="E299" s="4"/>
      <c r="F299" s="32"/>
      <c r="G299" s="8"/>
      <c r="H299" s="9"/>
      <c r="I299" s="8"/>
      <c r="J299" s="10"/>
      <c r="K299" s="8"/>
      <c r="L299" s="8"/>
      <c r="M299" s="8"/>
      <c r="N299" s="11"/>
      <c r="O299" s="9"/>
      <c r="P299" s="12"/>
      <c r="Q299" s="9"/>
      <c r="R299" s="13"/>
      <c r="S299" s="11"/>
      <c r="T299" s="11"/>
      <c r="U299" s="9"/>
      <c r="V299" s="9"/>
      <c r="W299" s="9"/>
      <c r="X299" s="16"/>
      <c r="AF299" s="42">
        <f>IF(BUSCAR!$C$8="FECHA NAC.",$G299,IF(BUSCAR!$C$8="PASAPORTE EXPIRA",$J299,IF(BUSCAR!$C$8="LICENCIA EMISION",$L299,IF(BUSCAR!$C$8="LICENCIA EXPIRA",$M299,""))))</f>
      </c>
      <c r="AG299" s="42">
        <f>IF($B299&amp;$C299&amp;$D299&amp;$E299&amp;$H299="",0,IF(AND(OR(BUSCAR!$J$5="",ISNUMBER(SEARCH(BUSCAR!$J$5,$AI299))),OR(BUSCAR!$J$6="",ISNUMBER(SEARCH(BUSCAR!$J$6,$AI299))),OR(BUSCAR!$J$8="",ISNUMBER(SEARCH(BUSCAR!$J$8,$AI299))),OR(BUSCAR!$J$9="",ISNUMBER(SEARCH(BUSCAR!$J$9,$AI299))),OR(NOT(BUSCAR!$J$2),AND(ISNUMBER($AF299),$AF299&gt;=BUSCAR!$J$3,$AF299&lt;=BUSCAR!$J$4))),1,0))</f>
      </c>
      <c r="AH299" s="42">
        <f t="shared" si="12"/>
      </c>
      <c r="AI299" s="42">
        <f t="shared" si="13"/>
      </c>
    </row>
    <row r="300" spans="1:35" x14ac:dyDescent="0.2">
      <c r="A300" s="66">
        <f t="shared" si="14"/>
      </c>
      <c r="B300" s="4"/>
      <c r="C300" s="4"/>
      <c r="D300" s="4"/>
      <c r="E300" s="4"/>
      <c r="F300" s="32"/>
      <c r="G300" s="8"/>
      <c r="H300" s="9"/>
      <c r="I300" s="8"/>
      <c r="J300" s="10"/>
      <c r="K300" s="8"/>
      <c r="L300" s="8"/>
      <c r="M300" s="8"/>
      <c r="N300" s="11"/>
      <c r="O300" s="9"/>
      <c r="P300" s="12"/>
      <c r="Q300" s="9"/>
      <c r="R300" s="13"/>
      <c r="S300" s="11"/>
      <c r="T300" s="11"/>
      <c r="U300" s="9"/>
      <c r="V300" s="9"/>
      <c r="W300" s="9"/>
      <c r="X300" s="16"/>
      <c r="AF300" s="42">
        <f>IF(BUSCAR!$C$8="FECHA NAC.",$G300,IF(BUSCAR!$C$8="PASAPORTE EXPIRA",$J300,IF(BUSCAR!$C$8="LICENCIA EMISION",$L300,IF(BUSCAR!$C$8="LICENCIA EXPIRA",$M300,""))))</f>
      </c>
      <c r="AG300" s="42">
        <f>IF($B300&amp;$C300&amp;$D300&amp;$E300&amp;$H300="",0,IF(AND(OR(BUSCAR!$J$5="",ISNUMBER(SEARCH(BUSCAR!$J$5,$AI300))),OR(BUSCAR!$J$6="",ISNUMBER(SEARCH(BUSCAR!$J$6,$AI300))),OR(BUSCAR!$J$8="",ISNUMBER(SEARCH(BUSCAR!$J$8,$AI300))),OR(BUSCAR!$J$9="",ISNUMBER(SEARCH(BUSCAR!$J$9,$AI300))),OR(NOT(BUSCAR!$J$2),AND(ISNUMBER($AF300),$AF300&gt;=BUSCAR!$J$3,$AF300&lt;=BUSCAR!$J$4))),1,0))</f>
      </c>
      <c r="AH300" s="42">
        <f t="shared" si="12"/>
      </c>
      <c r="AI300" s="42">
        <f t="shared" si="13"/>
      </c>
    </row>
    <row r="301" spans="1:35" x14ac:dyDescent="0.2">
      <c r="A301" s="66">
        <f t="shared" si="14"/>
      </c>
      <c r="B301" s="4"/>
      <c r="C301" s="4"/>
      <c r="D301" s="4"/>
      <c r="E301" s="4"/>
      <c r="F301" s="32"/>
      <c r="G301" s="8"/>
      <c r="H301" s="9"/>
      <c r="I301" s="8"/>
      <c r="J301" s="10"/>
      <c r="K301" s="8"/>
      <c r="L301" s="8"/>
      <c r="M301" s="8"/>
      <c r="N301" s="11"/>
      <c r="O301" s="9"/>
      <c r="P301" s="12"/>
      <c r="Q301" s="9"/>
      <c r="R301" s="13"/>
      <c r="S301" s="11"/>
      <c r="T301" s="11"/>
      <c r="U301" s="9"/>
      <c r="V301" s="9"/>
      <c r="W301" s="9"/>
      <c r="X301" s="16"/>
      <c r="AF301" s="42">
        <f>IF(BUSCAR!$C$8="FECHA NAC.",$G301,IF(BUSCAR!$C$8="PASAPORTE EXPIRA",$J301,IF(BUSCAR!$C$8="LICENCIA EMISION",$L301,IF(BUSCAR!$C$8="LICENCIA EXPIRA",$M301,""))))</f>
      </c>
      <c r="AG301" s="42">
        <f>IF($B301&amp;$C301&amp;$D301&amp;$E301&amp;$H301="",0,IF(AND(OR(BUSCAR!$J$5="",ISNUMBER(SEARCH(BUSCAR!$J$5,$AI301))),OR(BUSCAR!$J$6="",ISNUMBER(SEARCH(BUSCAR!$J$6,$AI301))),OR(BUSCAR!$J$8="",ISNUMBER(SEARCH(BUSCAR!$J$8,$AI301))),OR(BUSCAR!$J$9="",ISNUMBER(SEARCH(BUSCAR!$J$9,$AI301))),OR(NOT(BUSCAR!$J$2),AND(ISNUMBER($AF301),$AF301&gt;=BUSCAR!$J$3,$AF301&lt;=BUSCAR!$J$4))),1,0))</f>
      </c>
      <c r="AH301" s="42">
        <f t="shared" si="12"/>
      </c>
      <c r="AI301" s="42">
        <f t="shared" si="13"/>
      </c>
    </row>
    <row r="302" spans="1:35" x14ac:dyDescent="0.2">
      <c r="A302" s="66">
        <f t="shared" si="14"/>
      </c>
      <c r="B302" s="4"/>
      <c r="C302" s="4"/>
      <c r="D302" s="4"/>
      <c r="E302" s="4"/>
      <c r="F302" s="32"/>
      <c r="G302" s="8"/>
      <c r="H302" s="9"/>
      <c r="I302" s="8"/>
      <c r="J302" s="10"/>
      <c r="K302" s="8"/>
      <c r="L302" s="8"/>
      <c r="M302" s="8"/>
      <c r="N302" s="11"/>
      <c r="O302" s="9"/>
      <c r="P302" s="12"/>
      <c r="Q302" s="9"/>
      <c r="R302" s="13"/>
      <c r="S302" s="11"/>
      <c r="T302" s="11"/>
      <c r="U302" s="9"/>
      <c r="V302" s="9"/>
      <c r="W302" s="9"/>
      <c r="X302" s="16"/>
      <c r="AF302" s="42">
        <f>IF(BUSCAR!$C$8="FECHA NAC.",$G302,IF(BUSCAR!$C$8="PASAPORTE EXPIRA",$J302,IF(BUSCAR!$C$8="LICENCIA EMISION",$L302,IF(BUSCAR!$C$8="LICENCIA EXPIRA",$M302,""))))</f>
      </c>
      <c r="AG302" s="42">
        <f>IF($B302&amp;$C302&amp;$D302&amp;$E302&amp;$H302="",0,IF(AND(OR(BUSCAR!$J$5="",ISNUMBER(SEARCH(BUSCAR!$J$5,$AI302))),OR(BUSCAR!$J$6="",ISNUMBER(SEARCH(BUSCAR!$J$6,$AI302))),OR(BUSCAR!$J$8="",ISNUMBER(SEARCH(BUSCAR!$J$8,$AI302))),OR(BUSCAR!$J$9="",ISNUMBER(SEARCH(BUSCAR!$J$9,$AI302))),OR(NOT(BUSCAR!$J$2),AND(ISNUMBER($AF302),$AF302&gt;=BUSCAR!$J$3,$AF302&lt;=BUSCAR!$J$4))),1,0))</f>
      </c>
      <c r="AH302" s="42">
        <f t="shared" si="12"/>
      </c>
      <c r="AI302" s="42">
        <f t="shared" si="13"/>
      </c>
    </row>
    <row r="303" spans="1:35" x14ac:dyDescent="0.2">
      <c r="A303" s="66">
        <f t="shared" si="14"/>
      </c>
      <c r="B303" s="4"/>
      <c r="C303" s="4"/>
      <c r="D303" s="4"/>
      <c r="E303" s="4"/>
      <c r="F303" s="32"/>
      <c r="G303" s="8"/>
      <c r="H303" s="9"/>
      <c r="I303" s="8"/>
      <c r="J303" s="10"/>
      <c r="K303" s="8"/>
      <c r="L303" s="8"/>
      <c r="M303" s="8"/>
      <c r="N303" s="11"/>
      <c r="O303" s="9"/>
      <c r="P303" s="12"/>
      <c r="Q303" s="9"/>
      <c r="R303" s="13"/>
      <c r="S303" s="11"/>
      <c r="T303" s="11"/>
      <c r="U303" s="9"/>
      <c r="V303" s="9"/>
      <c r="W303" s="9"/>
      <c r="X303" s="16"/>
      <c r="AF303" s="42">
        <f>IF(BUSCAR!$C$8="FECHA NAC.",$G303,IF(BUSCAR!$C$8="PASAPORTE EXPIRA",$J303,IF(BUSCAR!$C$8="LICENCIA EMISION",$L303,IF(BUSCAR!$C$8="LICENCIA EXPIRA",$M303,""))))</f>
      </c>
      <c r="AG303" s="42">
        <f>IF($B303&amp;$C303&amp;$D303&amp;$E303&amp;$H303="",0,IF(AND(OR(BUSCAR!$J$5="",ISNUMBER(SEARCH(BUSCAR!$J$5,$AI303))),OR(BUSCAR!$J$6="",ISNUMBER(SEARCH(BUSCAR!$J$6,$AI303))),OR(BUSCAR!$J$8="",ISNUMBER(SEARCH(BUSCAR!$J$8,$AI303))),OR(BUSCAR!$J$9="",ISNUMBER(SEARCH(BUSCAR!$J$9,$AI303))),OR(NOT(BUSCAR!$J$2),AND(ISNUMBER($AF303),$AF303&gt;=BUSCAR!$J$3,$AF303&lt;=BUSCAR!$J$4))),1,0))</f>
      </c>
      <c r="AH303" s="42">
        <f t="shared" si="12"/>
      </c>
      <c r="AI303" s="42">
        <f t="shared" si="13"/>
      </c>
    </row>
    <row r="304" spans="1:35" x14ac:dyDescent="0.2">
      <c r="A304" s="66">
        <f t="shared" si="14"/>
      </c>
      <c r="B304" s="4"/>
      <c r="C304" s="4"/>
      <c r="D304" s="4"/>
      <c r="E304" s="4"/>
      <c r="F304" s="32"/>
      <c r="G304" s="8"/>
      <c r="H304" s="9"/>
      <c r="I304" s="8"/>
      <c r="J304" s="10"/>
      <c r="K304" s="8"/>
      <c r="L304" s="8"/>
      <c r="M304" s="8"/>
      <c r="N304" s="11"/>
      <c r="O304" s="9"/>
      <c r="P304" s="12"/>
      <c r="Q304" s="9"/>
      <c r="R304" s="13"/>
      <c r="S304" s="11"/>
      <c r="T304" s="11"/>
      <c r="U304" s="9"/>
      <c r="V304" s="9"/>
      <c r="W304" s="9"/>
      <c r="X304" s="16"/>
      <c r="AF304" s="42">
        <f>IF(BUSCAR!$C$8="FECHA NAC.",$G304,IF(BUSCAR!$C$8="PASAPORTE EXPIRA",$J304,IF(BUSCAR!$C$8="LICENCIA EMISION",$L304,IF(BUSCAR!$C$8="LICENCIA EXPIRA",$M304,""))))</f>
      </c>
      <c r="AG304" s="42">
        <f>IF($B304&amp;$C304&amp;$D304&amp;$E304&amp;$H304="",0,IF(AND(OR(BUSCAR!$J$5="",ISNUMBER(SEARCH(BUSCAR!$J$5,$AI304))),OR(BUSCAR!$J$6="",ISNUMBER(SEARCH(BUSCAR!$J$6,$AI304))),OR(BUSCAR!$J$8="",ISNUMBER(SEARCH(BUSCAR!$J$8,$AI304))),OR(BUSCAR!$J$9="",ISNUMBER(SEARCH(BUSCAR!$J$9,$AI304))),OR(NOT(BUSCAR!$J$2),AND(ISNUMBER($AF304),$AF304&gt;=BUSCAR!$J$3,$AF304&lt;=BUSCAR!$J$4))),1,0))</f>
      </c>
      <c r="AH304" s="42">
        <f t="shared" si="12"/>
      </c>
      <c r="AI304" s="42">
        <f t="shared" si="13"/>
      </c>
    </row>
    <row r="305" spans="1:35" x14ac:dyDescent="0.2">
      <c r="A305" s="66">
        <f t="shared" si="14"/>
      </c>
      <c r="B305" s="4"/>
      <c r="C305" s="4"/>
      <c r="D305" s="4"/>
      <c r="E305" s="4"/>
      <c r="F305" s="32"/>
      <c r="G305" s="8"/>
      <c r="H305" s="9"/>
      <c r="I305" s="8"/>
      <c r="J305" s="10"/>
      <c r="K305" s="8"/>
      <c r="L305" s="8"/>
      <c r="M305" s="8"/>
      <c r="N305" s="11"/>
      <c r="O305" s="9"/>
      <c r="P305" s="12"/>
      <c r="Q305" s="9"/>
      <c r="R305" s="13"/>
      <c r="S305" s="11"/>
      <c r="T305" s="11"/>
      <c r="U305" s="9"/>
      <c r="V305" s="9"/>
      <c r="W305" s="9"/>
      <c r="X305" s="16"/>
      <c r="AF305" s="42">
        <f>IF(BUSCAR!$C$8="FECHA NAC.",$G305,IF(BUSCAR!$C$8="PASAPORTE EXPIRA",$J305,IF(BUSCAR!$C$8="LICENCIA EMISION",$L305,IF(BUSCAR!$C$8="LICENCIA EXPIRA",$M305,""))))</f>
      </c>
      <c r="AG305" s="42">
        <f>IF($B305&amp;$C305&amp;$D305&amp;$E305&amp;$H305="",0,IF(AND(OR(BUSCAR!$J$5="",ISNUMBER(SEARCH(BUSCAR!$J$5,$AI305))),OR(BUSCAR!$J$6="",ISNUMBER(SEARCH(BUSCAR!$J$6,$AI305))),OR(BUSCAR!$J$8="",ISNUMBER(SEARCH(BUSCAR!$J$8,$AI305))),OR(BUSCAR!$J$9="",ISNUMBER(SEARCH(BUSCAR!$J$9,$AI305))),OR(NOT(BUSCAR!$J$2),AND(ISNUMBER($AF305),$AF305&gt;=BUSCAR!$J$3,$AF305&lt;=BUSCAR!$J$4))),1,0))</f>
      </c>
      <c r="AH305" s="42">
        <f t="shared" si="12"/>
      </c>
      <c r="AI305" s="42">
        <f t="shared" si="13"/>
      </c>
    </row>
    <row r="306" spans="1:35" x14ac:dyDescent="0.2">
      <c r="A306" s="66">
        <f t="shared" si="14"/>
      </c>
      <c r="B306" s="4"/>
      <c r="C306" s="4"/>
      <c r="D306" s="4"/>
      <c r="E306" s="4"/>
      <c r="F306" s="32"/>
      <c r="G306" s="8"/>
      <c r="H306" s="9"/>
      <c r="I306" s="8"/>
      <c r="J306" s="10"/>
      <c r="K306" s="8"/>
      <c r="L306" s="8"/>
      <c r="M306" s="8"/>
      <c r="N306" s="11"/>
      <c r="O306" s="9"/>
      <c r="P306" s="12"/>
      <c r="Q306" s="9"/>
      <c r="R306" s="13"/>
      <c r="S306" s="11"/>
      <c r="T306" s="11"/>
      <c r="U306" s="9"/>
      <c r="V306" s="9"/>
      <c r="W306" s="9"/>
      <c r="X306" s="16"/>
      <c r="AF306" s="42">
        <f>IF(BUSCAR!$C$8="FECHA NAC.",$G306,IF(BUSCAR!$C$8="PASAPORTE EXPIRA",$J306,IF(BUSCAR!$C$8="LICENCIA EMISION",$L306,IF(BUSCAR!$C$8="LICENCIA EXPIRA",$M306,""))))</f>
      </c>
      <c r="AG306" s="42">
        <f>IF($B306&amp;$C306&amp;$D306&amp;$E306&amp;$H306="",0,IF(AND(OR(BUSCAR!$J$5="",ISNUMBER(SEARCH(BUSCAR!$J$5,$AI306))),OR(BUSCAR!$J$6="",ISNUMBER(SEARCH(BUSCAR!$J$6,$AI306))),OR(BUSCAR!$J$8="",ISNUMBER(SEARCH(BUSCAR!$J$8,$AI306))),OR(BUSCAR!$J$9="",ISNUMBER(SEARCH(BUSCAR!$J$9,$AI306))),OR(NOT(BUSCAR!$J$2),AND(ISNUMBER($AF306),$AF306&gt;=BUSCAR!$J$3,$AF306&lt;=BUSCAR!$J$4))),1,0))</f>
      </c>
      <c r="AH306" s="42">
        <f t="shared" si="12"/>
      </c>
      <c r="AI306" s="42">
        <f t="shared" si="13"/>
      </c>
    </row>
    <row r="307" spans="1:35" x14ac:dyDescent="0.2">
      <c r="A307" s="66">
        <f t="shared" si="14"/>
      </c>
      <c r="B307" s="4"/>
      <c r="C307" s="4"/>
      <c r="D307" s="4"/>
      <c r="E307" s="4"/>
      <c r="F307" s="32"/>
      <c r="G307" s="8"/>
      <c r="H307" s="9"/>
      <c r="I307" s="8"/>
      <c r="J307" s="10"/>
      <c r="K307" s="8"/>
      <c r="L307" s="8"/>
      <c r="M307" s="8"/>
      <c r="N307" s="11"/>
      <c r="O307" s="9"/>
      <c r="P307" s="12"/>
      <c r="Q307" s="9"/>
      <c r="R307" s="13"/>
      <c r="S307" s="11"/>
      <c r="T307" s="11"/>
      <c r="U307" s="9"/>
      <c r="V307" s="9"/>
      <c r="W307" s="9"/>
      <c r="X307" s="16"/>
      <c r="AF307" s="42">
        <f>IF(BUSCAR!$C$8="FECHA NAC.",$G307,IF(BUSCAR!$C$8="PASAPORTE EXPIRA",$J307,IF(BUSCAR!$C$8="LICENCIA EMISION",$L307,IF(BUSCAR!$C$8="LICENCIA EXPIRA",$M307,""))))</f>
      </c>
      <c r="AG307" s="42">
        <f>IF($B307&amp;$C307&amp;$D307&amp;$E307&amp;$H307="",0,IF(AND(OR(BUSCAR!$J$5="",ISNUMBER(SEARCH(BUSCAR!$J$5,$AI307))),OR(BUSCAR!$J$6="",ISNUMBER(SEARCH(BUSCAR!$J$6,$AI307))),OR(BUSCAR!$J$8="",ISNUMBER(SEARCH(BUSCAR!$J$8,$AI307))),OR(BUSCAR!$J$9="",ISNUMBER(SEARCH(BUSCAR!$J$9,$AI307))),OR(NOT(BUSCAR!$J$2),AND(ISNUMBER($AF307),$AF307&gt;=BUSCAR!$J$3,$AF307&lt;=BUSCAR!$J$4))),1,0))</f>
      </c>
      <c r="AH307" s="42">
        <f t="shared" si="12"/>
      </c>
      <c r="AI307" s="42">
        <f t="shared" si="13"/>
      </c>
    </row>
    <row r="308" spans="1:35" x14ac:dyDescent="0.2">
      <c r="A308" s="66">
        <f t="shared" si="14"/>
      </c>
      <c r="B308" s="4"/>
      <c r="C308" s="4"/>
      <c r="D308" s="4"/>
      <c r="E308" s="4"/>
      <c r="F308" s="32"/>
      <c r="G308" s="8"/>
      <c r="H308" s="9"/>
      <c r="I308" s="8"/>
      <c r="J308" s="10"/>
      <c r="K308" s="8"/>
      <c r="L308" s="8"/>
      <c r="M308" s="8"/>
      <c r="N308" s="11"/>
      <c r="O308" s="9"/>
      <c r="P308" s="12"/>
      <c r="Q308" s="9"/>
      <c r="R308" s="13"/>
      <c r="S308" s="11"/>
      <c r="T308" s="11"/>
      <c r="U308" s="9"/>
      <c r="V308" s="9"/>
      <c r="W308" s="9"/>
      <c r="X308" s="16"/>
      <c r="AF308" s="42">
        <f>IF(BUSCAR!$C$8="FECHA NAC.",$G308,IF(BUSCAR!$C$8="PASAPORTE EXPIRA",$J308,IF(BUSCAR!$C$8="LICENCIA EMISION",$L308,IF(BUSCAR!$C$8="LICENCIA EXPIRA",$M308,""))))</f>
      </c>
      <c r="AG308" s="42">
        <f>IF($B308&amp;$C308&amp;$D308&amp;$E308&amp;$H308="",0,IF(AND(OR(BUSCAR!$J$5="",ISNUMBER(SEARCH(BUSCAR!$J$5,$AI308))),OR(BUSCAR!$J$6="",ISNUMBER(SEARCH(BUSCAR!$J$6,$AI308))),OR(BUSCAR!$J$8="",ISNUMBER(SEARCH(BUSCAR!$J$8,$AI308))),OR(BUSCAR!$J$9="",ISNUMBER(SEARCH(BUSCAR!$J$9,$AI308))),OR(NOT(BUSCAR!$J$2),AND(ISNUMBER($AF308),$AF308&gt;=BUSCAR!$J$3,$AF308&lt;=BUSCAR!$J$4))),1,0))</f>
      </c>
      <c r="AH308" s="42">
        <f t="shared" si="12"/>
      </c>
      <c r="AI308" s="42">
        <f t="shared" si="13"/>
      </c>
    </row>
    <row r="309" spans="1:35" x14ac:dyDescent="0.2">
      <c r="A309" s="66">
        <f t="shared" si="14"/>
      </c>
      <c r="B309" s="4"/>
      <c r="C309" s="4"/>
      <c r="D309" s="4"/>
      <c r="E309" s="4"/>
      <c r="F309" s="32"/>
      <c r="G309" s="8"/>
      <c r="H309" s="9"/>
      <c r="I309" s="8"/>
      <c r="J309" s="10"/>
      <c r="K309" s="8"/>
      <c r="L309" s="8"/>
      <c r="M309" s="8"/>
      <c r="N309" s="11"/>
      <c r="O309" s="9"/>
      <c r="P309" s="12"/>
      <c r="Q309" s="9"/>
      <c r="R309" s="13"/>
      <c r="S309" s="11"/>
      <c r="T309" s="11"/>
      <c r="U309" s="9"/>
      <c r="V309" s="9"/>
      <c r="W309" s="9"/>
      <c r="X309" s="16"/>
      <c r="AF309" s="42">
        <f>IF(BUSCAR!$C$8="FECHA NAC.",$G309,IF(BUSCAR!$C$8="PASAPORTE EXPIRA",$J309,IF(BUSCAR!$C$8="LICENCIA EMISION",$L309,IF(BUSCAR!$C$8="LICENCIA EXPIRA",$M309,""))))</f>
      </c>
      <c r="AG309" s="42">
        <f>IF($B309&amp;$C309&amp;$D309&amp;$E309&amp;$H309="",0,IF(AND(OR(BUSCAR!$J$5="",ISNUMBER(SEARCH(BUSCAR!$J$5,$AI309))),OR(BUSCAR!$J$6="",ISNUMBER(SEARCH(BUSCAR!$J$6,$AI309))),OR(BUSCAR!$J$8="",ISNUMBER(SEARCH(BUSCAR!$J$8,$AI309))),OR(BUSCAR!$J$9="",ISNUMBER(SEARCH(BUSCAR!$J$9,$AI309))),OR(NOT(BUSCAR!$J$2),AND(ISNUMBER($AF309),$AF309&gt;=BUSCAR!$J$3,$AF309&lt;=BUSCAR!$J$4))),1,0))</f>
      </c>
      <c r="AH309" s="42">
        <f t="shared" si="12"/>
      </c>
      <c r="AI309" s="42">
        <f t="shared" si="13"/>
      </c>
    </row>
    <row r="310" spans="1:35" x14ac:dyDescent="0.2">
      <c r="A310" s="66">
        <f t="shared" si="14"/>
      </c>
      <c r="B310" s="4"/>
      <c r="C310" s="4"/>
      <c r="D310" s="4"/>
      <c r="E310" s="4"/>
      <c r="F310" s="32"/>
      <c r="G310" s="8"/>
      <c r="H310" s="9"/>
      <c r="I310" s="8"/>
      <c r="J310" s="10"/>
      <c r="K310" s="8"/>
      <c r="L310" s="8"/>
      <c r="M310" s="8"/>
      <c r="N310" s="11"/>
      <c r="O310" s="9"/>
      <c r="P310" s="12"/>
      <c r="Q310" s="9"/>
      <c r="R310" s="13"/>
      <c r="S310" s="11"/>
      <c r="T310" s="11"/>
      <c r="U310" s="9"/>
      <c r="V310" s="9"/>
      <c r="W310" s="9"/>
      <c r="X310" s="16"/>
      <c r="AF310" s="42">
        <f>IF(BUSCAR!$C$8="FECHA NAC.",$G310,IF(BUSCAR!$C$8="PASAPORTE EXPIRA",$J310,IF(BUSCAR!$C$8="LICENCIA EMISION",$L310,IF(BUSCAR!$C$8="LICENCIA EXPIRA",$M310,""))))</f>
      </c>
      <c r="AG310" s="42">
        <f>IF($B310&amp;$C310&amp;$D310&amp;$E310&amp;$H310="",0,IF(AND(OR(BUSCAR!$J$5="",ISNUMBER(SEARCH(BUSCAR!$J$5,$AI310))),OR(BUSCAR!$J$6="",ISNUMBER(SEARCH(BUSCAR!$J$6,$AI310))),OR(BUSCAR!$J$8="",ISNUMBER(SEARCH(BUSCAR!$J$8,$AI310))),OR(BUSCAR!$J$9="",ISNUMBER(SEARCH(BUSCAR!$J$9,$AI310))),OR(NOT(BUSCAR!$J$2),AND(ISNUMBER($AF310),$AF310&gt;=BUSCAR!$J$3,$AF310&lt;=BUSCAR!$J$4))),1,0))</f>
      </c>
      <c r="AH310" s="42">
        <f t="shared" si="12"/>
      </c>
      <c r="AI310" s="42">
        <f t="shared" si="13"/>
      </c>
    </row>
    <row r="311" spans="1:35" x14ac:dyDescent="0.2">
      <c r="A311" s="66">
        <f t="shared" si="14"/>
      </c>
      <c r="B311" s="4"/>
      <c r="C311" s="4"/>
      <c r="D311" s="4"/>
      <c r="E311" s="4"/>
      <c r="F311" s="32"/>
      <c r="G311" s="8"/>
      <c r="H311" s="9"/>
      <c r="I311" s="8"/>
      <c r="J311" s="10"/>
      <c r="K311" s="8"/>
      <c r="L311" s="8"/>
      <c r="M311" s="8"/>
      <c r="N311" s="11"/>
      <c r="O311" s="9"/>
      <c r="P311" s="12"/>
      <c r="Q311" s="9"/>
      <c r="R311" s="13"/>
      <c r="S311" s="11"/>
      <c r="T311" s="11"/>
      <c r="U311" s="9"/>
      <c r="V311" s="9"/>
      <c r="W311" s="9"/>
      <c r="X311" s="16"/>
      <c r="AF311" s="42">
        <f>IF(BUSCAR!$C$8="FECHA NAC.",$G311,IF(BUSCAR!$C$8="PASAPORTE EXPIRA",$J311,IF(BUSCAR!$C$8="LICENCIA EMISION",$L311,IF(BUSCAR!$C$8="LICENCIA EXPIRA",$M311,""))))</f>
      </c>
      <c r="AG311" s="42">
        <f>IF($B311&amp;$C311&amp;$D311&amp;$E311&amp;$H311="",0,IF(AND(OR(BUSCAR!$J$5="",ISNUMBER(SEARCH(BUSCAR!$J$5,$AI311))),OR(BUSCAR!$J$6="",ISNUMBER(SEARCH(BUSCAR!$J$6,$AI311))),OR(BUSCAR!$J$8="",ISNUMBER(SEARCH(BUSCAR!$J$8,$AI311))),OR(BUSCAR!$J$9="",ISNUMBER(SEARCH(BUSCAR!$J$9,$AI311))),OR(NOT(BUSCAR!$J$2),AND(ISNUMBER($AF311),$AF311&gt;=BUSCAR!$J$3,$AF311&lt;=BUSCAR!$J$4))),1,0))</f>
      </c>
      <c r="AH311" s="42">
        <f t="shared" si="12"/>
      </c>
      <c r="AI311" s="42">
        <f t="shared" si="13"/>
      </c>
    </row>
    <row r="312" spans="1:35" x14ac:dyDescent="0.2">
      <c r="A312" s="66">
        <f t="shared" si="14"/>
      </c>
      <c r="B312" s="4"/>
      <c r="C312" s="4"/>
      <c r="D312" s="4"/>
      <c r="E312" s="4"/>
      <c r="F312" s="32"/>
      <c r="G312" s="8"/>
      <c r="H312" s="9"/>
      <c r="I312" s="8"/>
      <c r="J312" s="10"/>
      <c r="K312" s="8"/>
      <c r="L312" s="8"/>
      <c r="M312" s="8"/>
      <c r="N312" s="11"/>
      <c r="O312" s="9"/>
      <c r="P312" s="12"/>
      <c r="Q312" s="9"/>
      <c r="R312" s="13"/>
      <c r="S312" s="11"/>
      <c r="T312" s="11"/>
      <c r="U312" s="9"/>
      <c r="V312" s="9"/>
      <c r="W312" s="9"/>
      <c r="X312" s="16"/>
      <c r="AF312" s="42">
        <f>IF(BUSCAR!$C$8="FECHA NAC.",$G312,IF(BUSCAR!$C$8="PASAPORTE EXPIRA",$J312,IF(BUSCAR!$C$8="LICENCIA EMISION",$L312,IF(BUSCAR!$C$8="LICENCIA EXPIRA",$M312,""))))</f>
      </c>
      <c r="AG312" s="42">
        <f>IF($B312&amp;$C312&amp;$D312&amp;$E312&amp;$H312="",0,IF(AND(OR(BUSCAR!$J$5="",ISNUMBER(SEARCH(BUSCAR!$J$5,$AI312))),OR(BUSCAR!$J$6="",ISNUMBER(SEARCH(BUSCAR!$J$6,$AI312))),OR(BUSCAR!$J$8="",ISNUMBER(SEARCH(BUSCAR!$J$8,$AI312))),OR(BUSCAR!$J$9="",ISNUMBER(SEARCH(BUSCAR!$J$9,$AI312))),OR(NOT(BUSCAR!$J$2),AND(ISNUMBER($AF312),$AF312&gt;=BUSCAR!$J$3,$AF312&lt;=BUSCAR!$J$4))),1,0))</f>
      </c>
      <c r="AH312" s="42">
        <f t="shared" si="12"/>
      </c>
      <c r="AI312" s="42">
        <f t="shared" si="13"/>
      </c>
    </row>
    <row r="313" spans="1:35" x14ac:dyDescent="0.2">
      <c r="A313" s="66">
        <f t="shared" si="14"/>
      </c>
      <c r="B313" s="4"/>
      <c r="C313" s="4"/>
      <c r="D313" s="4"/>
      <c r="E313" s="4"/>
      <c r="F313" s="32"/>
      <c r="G313" s="8"/>
      <c r="H313" s="9"/>
      <c r="I313" s="8"/>
      <c r="J313" s="10"/>
      <c r="K313" s="8"/>
      <c r="L313" s="8"/>
      <c r="M313" s="8"/>
      <c r="N313" s="11"/>
      <c r="O313" s="9"/>
      <c r="P313" s="12"/>
      <c r="Q313" s="9"/>
      <c r="R313" s="13"/>
      <c r="S313" s="11"/>
      <c r="T313" s="11"/>
      <c r="U313" s="9"/>
      <c r="V313" s="9"/>
      <c r="W313" s="9"/>
      <c r="X313" s="16"/>
      <c r="AF313" s="42">
        <f>IF(BUSCAR!$C$8="FECHA NAC.",$G313,IF(BUSCAR!$C$8="PASAPORTE EXPIRA",$J313,IF(BUSCAR!$C$8="LICENCIA EMISION",$L313,IF(BUSCAR!$C$8="LICENCIA EXPIRA",$M313,""))))</f>
      </c>
      <c r="AG313" s="42">
        <f>IF($B313&amp;$C313&amp;$D313&amp;$E313&amp;$H313="",0,IF(AND(OR(BUSCAR!$J$5="",ISNUMBER(SEARCH(BUSCAR!$J$5,$AI313))),OR(BUSCAR!$J$6="",ISNUMBER(SEARCH(BUSCAR!$J$6,$AI313))),OR(BUSCAR!$J$8="",ISNUMBER(SEARCH(BUSCAR!$J$8,$AI313))),OR(BUSCAR!$J$9="",ISNUMBER(SEARCH(BUSCAR!$J$9,$AI313))),OR(NOT(BUSCAR!$J$2),AND(ISNUMBER($AF313),$AF313&gt;=BUSCAR!$J$3,$AF313&lt;=BUSCAR!$J$4))),1,0))</f>
      </c>
      <c r="AH313" s="42">
        <f t="shared" si="12"/>
      </c>
      <c r="AI313" s="42">
        <f t="shared" si="13"/>
      </c>
    </row>
    <row r="314" spans="1:35" x14ac:dyDescent="0.2">
      <c r="A314" s="66">
        <f t="shared" si="14"/>
      </c>
      <c r="B314" s="4"/>
      <c r="C314" s="4"/>
      <c r="D314" s="4"/>
      <c r="E314" s="4"/>
      <c r="F314" s="32"/>
      <c r="G314" s="8"/>
      <c r="H314" s="9"/>
      <c r="I314" s="8"/>
      <c r="J314" s="10"/>
      <c r="K314" s="8"/>
      <c r="L314" s="8"/>
      <c r="M314" s="8"/>
      <c r="N314" s="11"/>
      <c r="O314" s="9"/>
      <c r="P314" s="12"/>
      <c r="Q314" s="9"/>
      <c r="R314" s="13"/>
      <c r="S314" s="11"/>
      <c r="T314" s="11"/>
      <c r="U314" s="9"/>
      <c r="V314" s="9"/>
      <c r="W314" s="9"/>
      <c r="X314" s="16"/>
      <c r="AF314" s="42">
        <f>IF(BUSCAR!$C$8="FECHA NAC.",$G314,IF(BUSCAR!$C$8="PASAPORTE EXPIRA",$J314,IF(BUSCAR!$C$8="LICENCIA EMISION",$L314,IF(BUSCAR!$C$8="LICENCIA EXPIRA",$M314,""))))</f>
      </c>
      <c r="AG314" s="42">
        <f>IF($B314&amp;$C314&amp;$D314&amp;$E314&amp;$H314="",0,IF(AND(OR(BUSCAR!$J$5="",ISNUMBER(SEARCH(BUSCAR!$J$5,$AI314))),OR(BUSCAR!$J$6="",ISNUMBER(SEARCH(BUSCAR!$J$6,$AI314))),OR(BUSCAR!$J$8="",ISNUMBER(SEARCH(BUSCAR!$J$8,$AI314))),OR(BUSCAR!$J$9="",ISNUMBER(SEARCH(BUSCAR!$J$9,$AI314))),OR(NOT(BUSCAR!$J$2),AND(ISNUMBER($AF314),$AF314&gt;=BUSCAR!$J$3,$AF314&lt;=BUSCAR!$J$4))),1,0))</f>
      </c>
      <c r="AH314" s="42">
        <f t="shared" si="12"/>
      </c>
      <c r="AI314" s="42">
        <f t="shared" si="13"/>
      </c>
    </row>
    <row r="315" spans="1:35" x14ac:dyDescent="0.2">
      <c r="A315" s="66">
        <f t="shared" si="14"/>
      </c>
      <c r="B315" s="4"/>
      <c r="C315" s="4"/>
      <c r="D315" s="4"/>
      <c r="E315" s="4"/>
      <c r="F315" s="32"/>
      <c r="G315" s="8"/>
      <c r="H315" s="9"/>
      <c r="I315" s="8"/>
      <c r="J315" s="10"/>
      <c r="K315" s="8"/>
      <c r="L315" s="8"/>
      <c r="M315" s="8"/>
      <c r="N315" s="11"/>
      <c r="O315" s="9"/>
      <c r="P315" s="12"/>
      <c r="Q315" s="9"/>
      <c r="R315" s="13"/>
      <c r="S315" s="11"/>
      <c r="T315" s="11"/>
      <c r="U315" s="9"/>
      <c r="V315" s="9"/>
      <c r="W315" s="9"/>
      <c r="X315" s="16"/>
      <c r="AF315" s="42">
        <f>IF(BUSCAR!$C$8="FECHA NAC.",$G315,IF(BUSCAR!$C$8="PASAPORTE EXPIRA",$J315,IF(BUSCAR!$C$8="LICENCIA EMISION",$L315,IF(BUSCAR!$C$8="LICENCIA EXPIRA",$M315,""))))</f>
      </c>
      <c r="AG315" s="42">
        <f>IF($B315&amp;$C315&amp;$D315&amp;$E315&amp;$H315="",0,IF(AND(OR(BUSCAR!$J$5="",ISNUMBER(SEARCH(BUSCAR!$J$5,$AI315))),OR(BUSCAR!$J$6="",ISNUMBER(SEARCH(BUSCAR!$J$6,$AI315))),OR(BUSCAR!$J$8="",ISNUMBER(SEARCH(BUSCAR!$J$8,$AI315))),OR(BUSCAR!$J$9="",ISNUMBER(SEARCH(BUSCAR!$J$9,$AI315))),OR(NOT(BUSCAR!$J$2),AND(ISNUMBER($AF315),$AF315&gt;=BUSCAR!$J$3,$AF315&lt;=BUSCAR!$J$4))),1,0))</f>
      </c>
      <c r="AH315" s="42">
        <f t="shared" si="12"/>
      </c>
      <c r="AI315" s="42">
        <f t="shared" si="13"/>
      </c>
    </row>
    <row r="316" spans="1:35" x14ac:dyDescent="0.2">
      <c r="A316" s="66">
        <f t="shared" si="14"/>
      </c>
      <c r="B316" s="4"/>
      <c r="C316" s="4"/>
      <c r="D316" s="4"/>
      <c r="E316" s="4"/>
      <c r="F316" s="32"/>
      <c r="G316" s="8"/>
      <c r="H316" s="9"/>
      <c r="I316" s="8"/>
      <c r="J316" s="10"/>
      <c r="K316" s="8"/>
      <c r="L316" s="8"/>
      <c r="M316" s="8"/>
      <c r="N316" s="11"/>
      <c r="O316" s="9"/>
      <c r="P316" s="12"/>
      <c r="Q316" s="9"/>
      <c r="R316" s="13"/>
      <c r="S316" s="11"/>
      <c r="T316" s="11"/>
      <c r="U316" s="9"/>
      <c r="V316" s="9"/>
      <c r="W316" s="9"/>
      <c r="X316" s="16"/>
      <c r="AF316" s="42">
        <f>IF(BUSCAR!$C$8="FECHA NAC.",$G316,IF(BUSCAR!$C$8="PASAPORTE EXPIRA",$J316,IF(BUSCAR!$C$8="LICENCIA EMISION",$L316,IF(BUSCAR!$C$8="LICENCIA EXPIRA",$M316,""))))</f>
      </c>
      <c r="AG316" s="42">
        <f>IF($B316&amp;$C316&amp;$D316&amp;$E316&amp;$H316="",0,IF(AND(OR(BUSCAR!$J$5="",ISNUMBER(SEARCH(BUSCAR!$J$5,$AI316))),OR(BUSCAR!$J$6="",ISNUMBER(SEARCH(BUSCAR!$J$6,$AI316))),OR(BUSCAR!$J$8="",ISNUMBER(SEARCH(BUSCAR!$J$8,$AI316))),OR(BUSCAR!$J$9="",ISNUMBER(SEARCH(BUSCAR!$J$9,$AI316))),OR(NOT(BUSCAR!$J$2),AND(ISNUMBER($AF316),$AF316&gt;=BUSCAR!$J$3,$AF316&lt;=BUSCAR!$J$4))),1,0))</f>
      </c>
      <c r="AH316" s="42">
        <f t="shared" si="12"/>
      </c>
      <c r="AI316" s="42">
        <f t="shared" si="13"/>
      </c>
    </row>
    <row r="317" spans="1:35" x14ac:dyDescent="0.2">
      <c r="A317" s="66">
        <f t="shared" si="14"/>
      </c>
      <c r="B317" s="4"/>
      <c r="C317" s="4"/>
      <c r="D317" s="4"/>
      <c r="E317" s="4"/>
      <c r="F317" s="32"/>
      <c r="G317" s="8"/>
      <c r="H317" s="9"/>
      <c r="I317" s="8"/>
      <c r="J317" s="10"/>
      <c r="K317" s="8"/>
      <c r="L317" s="8"/>
      <c r="M317" s="8"/>
      <c r="N317" s="11"/>
      <c r="O317" s="9"/>
      <c r="P317" s="12"/>
      <c r="Q317" s="9"/>
      <c r="R317" s="13"/>
      <c r="S317" s="11"/>
      <c r="T317" s="11"/>
      <c r="U317" s="9"/>
      <c r="V317" s="9"/>
      <c r="W317" s="9"/>
      <c r="X317" s="16"/>
      <c r="AF317" s="42">
        <f>IF(BUSCAR!$C$8="FECHA NAC.",$G317,IF(BUSCAR!$C$8="PASAPORTE EXPIRA",$J317,IF(BUSCAR!$C$8="LICENCIA EMISION",$L317,IF(BUSCAR!$C$8="LICENCIA EXPIRA",$M317,""))))</f>
      </c>
      <c r="AG317" s="42">
        <f>IF($B317&amp;$C317&amp;$D317&amp;$E317&amp;$H317="",0,IF(AND(OR(BUSCAR!$J$5="",ISNUMBER(SEARCH(BUSCAR!$J$5,$AI317))),OR(BUSCAR!$J$6="",ISNUMBER(SEARCH(BUSCAR!$J$6,$AI317))),OR(BUSCAR!$J$8="",ISNUMBER(SEARCH(BUSCAR!$J$8,$AI317))),OR(BUSCAR!$J$9="",ISNUMBER(SEARCH(BUSCAR!$J$9,$AI317))),OR(NOT(BUSCAR!$J$2),AND(ISNUMBER($AF317),$AF317&gt;=BUSCAR!$J$3,$AF317&lt;=BUSCAR!$J$4))),1,0))</f>
      </c>
      <c r="AH317" s="42">
        <f t="shared" si="12"/>
      </c>
      <c r="AI317" s="42">
        <f t="shared" si="13"/>
      </c>
    </row>
    <row r="318" spans="1:35" x14ac:dyDescent="0.2">
      <c r="A318" s="66">
        <f t="shared" si="14"/>
      </c>
      <c r="B318" s="4"/>
      <c r="C318" s="4"/>
      <c r="D318" s="4"/>
      <c r="E318" s="4"/>
      <c r="F318" s="32"/>
      <c r="G318" s="8"/>
      <c r="H318" s="9"/>
      <c r="I318" s="8"/>
      <c r="J318" s="10"/>
      <c r="K318" s="8"/>
      <c r="L318" s="8"/>
      <c r="M318" s="8"/>
      <c r="N318" s="11"/>
      <c r="O318" s="9"/>
      <c r="P318" s="12"/>
      <c r="Q318" s="9"/>
      <c r="R318" s="13"/>
      <c r="S318" s="11"/>
      <c r="T318" s="11"/>
      <c r="U318" s="9"/>
      <c r="V318" s="9"/>
      <c r="W318" s="9"/>
      <c r="X318" s="16"/>
      <c r="AF318" s="42">
        <f>IF(BUSCAR!$C$8="FECHA NAC.",$G318,IF(BUSCAR!$C$8="PASAPORTE EXPIRA",$J318,IF(BUSCAR!$C$8="LICENCIA EMISION",$L318,IF(BUSCAR!$C$8="LICENCIA EXPIRA",$M318,""))))</f>
      </c>
      <c r="AG318" s="42">
        <f>IF($B318&amp;$C318&amp;$D318&amp;$E318&amp;$H318="",0,IF(AND(OR(BUSCAR!$J$5="",ISNUMBER(SEARCH(BUSCAR!$J$5,$AI318))),OR(BUSCAR!$J$6="",ISNUMBER(SEARCH(BUSCAR!$J$6,$AI318))),OR(BUSCAR!$J$8="",ISNUMBER(SEARCH(BUSCAR!$J$8,$AI318))),OR(BUSCAR!$J$9="",ISNUMBER(SEARCH(BUSCAR!$J$9,$AI318))),OR(NOT(BUSCAR!$J$2),AND(ISNUMBER($AF318),$AF318&gt;=BUSCAR!$J$3,$AF318&lt;=BUSCAR!$J$4))),1,0))</f>
      </c>
      <c r="AH318" s="42">
        <f t="shared" si="12"/>
      </c>
      <c r="AI318" s="42">
        <f t="shared" si="13"/>
      </c>
    </row>
    <row r="319" spans="1:35" x14ac:dyDescent="0.2">
      <c r="A319" s="66">
        <f t="shared" si="14"/>
      </c>
      <c r="B319" s="4"/>
      <c r="C319" s="4"/>
      <c r="D319" s="4"/>
      <c r="E319" s="4"/>
      <c r="F319" s="32"/>
      <c r="G319" s="8"/>
      <c r="H319" s="9"/>
      <c r="I319" s="8"/>
      <c r="J319" s="10"/>
      <c r="K319" s="8"/>
      <c r="L319" s="8"/>
      <c r="M319" s="8"/>
      <c r="N319" s="11"/>
      <c r="O319" s="9"/>
      <c r="P319" s="12"/>
      <c r="Q319" s="9"/>
      <c r="R319" s="13"/>
      <c r="S319" s="11"/>
      <c r="T319" s="11"/>
      <c r="U319" s="9"/>
      <c r="V319" s="9"/>
      <c r="W319" s="9"/>
      <c r="X319" s="16"/>
      <c r="AF319" s="42">
        <f>IF(BUSCAR!$C$8="FECHA NAC.",$G319,IF(BUSCAR!$C$8="PASAPORTE EXPIRA",$J319,IF(BUSCAR!$C$8="LICENCIA EMISION",$L319,IF(BUSCAR!$C$8="LICENCIA EXPIRA",$M319,""))))</f>
      </c>
      <c r="AG319" s="42">
        <f>IF($B319&amp;$C319&amp;$D319&amp;$E319&amp;$H319="",0,IF(AND(OR(BUSCAR!$J$5="",ISNUMBER(SEARCH(BUSCAR!$J$5,$AI319))),OR(BUSCAR!$J$6="",ISNUMBER(SEARCH(BUSCAR!$J$6,$AI319))),OR(BUSCAR!$J$8="",ISNUMBER(SEARCH(BUSCAR!$J$8,$AI319))),OR(BUSCAR!$J$9="",ISNUMBER(SEARCH(BUSCAR!$J$9,$AI319))),OR(NOT(BUSCAR!$J$2),AND(ISNUMBER($AF319),$AF319&gt;=BUSCAR!$J$3,$AF319&lt;=BUSCAR!$J$4))),1,0))</f>
      </c>
      <c r="AH319" s="42">
        <f t="shared" si="12"/>
      </c>
      <c r="AI319" s="42">
        <f t="shared" si="13"/>
      </c>
    </row>
    <row r="320" spans="1:35" x14ac:dyDescent="0.2">
      <c r="A320" s="66">
        <f t="shared" si="14"/>
      </c>
      <c r="B320" s="4"/>
      <c r="C320" s="4"/>
      <c r="D320" s="4"/>
      <c r="E320" s="4"/>
      <c r="F320" s="32"/>
      <c r="G320" s="8"/>
      <c r="H320" s="9"/>
      <c r="I320" s="8"/>
      <c r="J320" s="10"/>
      <c r="K320" s="8"/>
      <c r="L320" s="8"/>
      <c r="M320" s="8"/>
      <c r="N320" s="11"/>
      <c r="O320" s="9"/>
      <c r="P320" s="12"/>
      <c r="Q320" s="9"/>
      <c r="R320" s="13"/>
      <c r="S320" s="11"/>
      <c r="T320" s="11"/>
      <c r="U320" s="9"/>
      <c r="V320" s="9"/>
      <c r="W320" s="9"/>
      <c r="X320" s="16"/>
      <c r="AF320" s="42">
        <f>IF(BUSCAR!$C$8="FECHA NAC.",$G320,IF(BUSCAR!$C$8="PASAPORTE EXPIRA",$J320,IF(BUSCAR!$C$8="LICENCIA EMISION",$L320,IF(BUSCAR!$C$8="LICENCIA EXPIRA",$M320,""))))</f>
      </c>
      <c r="AG320" s="42">
        <f>IF($B320&amp;$C320&amp;$D320&amp;$E320&amp;$H320="",0,IF(AND(OR(BUSCAR!$J$5="",ISNUMBER(SEARCH(BUSCAR!$J$5,$AI320))),OR(BUSCAR!$J$6="",ISNUMBER(SEARCH(BUSCAR!$J$6,$AI320))),OR(BUSCAR!$J$8="",ISNUMBER(SEARCH(BUSCAR!$J$8,$AI320))),OR(BUSCAR!$J$9="",ISNUMBER(SEARCH(BUSCAR!$J$9,$AI320))),OR(NOT(BUSCAR!$J$2),AND(ISNUMBER($AF320),$AF320&gt;=BUSCAR!$J$3,$AF320&lt;=BUSCAR!$J$4))),1,0))</f>
      </c>
      <c r="AH320" s="42">
        <f t="shared" si="12"/>
      </c>
      <c r="AI320" s="42">
        <f t="shared" si="13"/>
      </c>
    </row>
    <row r="321" spans="1:35" x14ac:dyDescent="0.2">
      <c r="A321" s="66">
        <f t="shared" si="14"/>
      </c>
      <c r="B321" s="4"/>
      <c r="C321" s="4"/>
      <c r="D321" s="4"/>
      <c r="E321" s="4"/>
      <c r="F321" s="32"/>
      <c r="G321" s="8"/>
      <c r="H321" s="9"/>
      <c r="I321" s="8"/>
      <c r="J321" s="10"/>
      <c r="K321" s="8"/>
      <c r="L321" s="8"/>
      <c r="M321" s="8"/>
      <c r="N321" s="11"/>
      <c r="O321" s="9"/>
      <c r="P321" s="12"/>
      <c r="Q321" s="9"/>
      <c r="R321" s="13"/>
      <c r="S321" s="11"/>
      <c r="T321" s="11"/>
      <c r="U321" s="9"/>
      <c r="V321" s="9"/>
      <c r="W321" s="9"/>
      <c r="X321" s="16"/>
      <c r="AF321" s="42">
        <f>IF(BUSCAR!$C$8="FECHA NAC.",$G321,IF(BUSCAR!$C$8="PASAPORTE EXPIRA",$J321,IF(BUSCAR!$C$8="LICENCIA EMISION",$L321,IF(BUSCAR!$C$8="LICENCIA EXPIRA",$M321,""))))</f>
      </c>
      <c r="AG321" s="42">
        <f>IF($B321&amp;$C321&amp;$D321&amp;$E321&amp;$H321="",0,IF(AND(OR(BUSCAR!$J$5="",ISNUMBER(SEARCH(BUSCAR!$J$5,$AI321))),OR(BUSCAR!$J$6="",ISNUMBER(SEARCH(BUSCAR!$J$6,$AI321))),OR(BUSCAR!$J$8="",ISNUMBER(SEARCH(BUSCAR!$J$8,$AI321))),OR(BUSCAR!$J$9="",ISNUMBER(SEARCH(BUSCAR!$J$9,$AI321))),OR(NOT(BUSCAR!$J$2),AND(ISNUMBER($AF321),$AF321&gt;=BUSCAR!$J$3,$AF321&lt;=BUSCAR!$J$4))),1,0))</f>
      </c>
      <c r="AH321" s="42">
        <f t="shared" si="12"/>
      </c>
      <c r="AI321" s="42">
        <f t="shared" si="13"/>
      </c>
    </row>
    <row r="322" spans="1:35" x14ac:dyDescent="0.2">
      <c r="A322" s="66">
        <f t="shared" si="14"/>
      </c>
      <c r="B322" s="4"/>
      <c r="C322" s="4"/>
      <c r="D322" s="4"/>
      <c r="E322" s="4"/>
      <c r="F322" s="32"/>
      <c r="G322" s="8"/>
      <c r="H322" s="9"/>
      <c r="I322" s="8"/>
      <c r="J322" s="10"/>
      <c r="K322" s="8"/>
      <c r="L322" s="8"/>
      <c r="M322" s="8"/>
      <c r="N322" s="11"/>
      <c r="O322" s="9"/>
      <c r="P322" s="12"/>
      <c r="Q322" s="9"/>
      <c r="R322" s="13"/>
      <c r="S322" s="11"/>
      <c r="T322" s="11"/>
      <c r="U322" s="9"/>
      <c r="V322" s="9"/>
      <c r="W322" s="9"/>
      <c r="X322" s="16"/>
      <c r="AF322" s="42">
        <f>IF(BUSCAR!$C$8="FECHA NAC.",$G322,IF(BUSCAR!$C$8="PASAPORTE EXPIRA",$J322,IF(BUSCAR!$C$8="LICENCIA EMISION",$L322,IF(BUSCAR!$C$8="LICENCIA EXPIRA",$M322,""))))</f>
      </c>
      <c r="AG322" s="42">
        <f>IF($B322&amp;$C322&amp;$D322&amp;$E322&amp;$H322="",0,IF(AND(OR(BUSCAR!$J$5="",ISNUMBER(SEARCH(BUSCAR!$J$5,$AI322))),OR(BUSCAR!$J$6="",ISNUMBER(SEARCH(BUSCAR!$J$6,$AI322))),OR(BUSCAR!$J$8="",ISNUMBER(SEARCH(BUSCAR!$J$8,$AI322))),OR(BUSCAR!$J$9="",ISNUMBER(SEARCH(BUSCAR!$J$9,$AI322))),OR(NOT(BUSCAR!$J$2),AND(ISNUMBER($AF322),$AF322&gt;=BUSCAR!$J$3,$AF322&lt;=BUSCAR!$J$4))),1,0))</f>
      </c>
      <c r="AH322" s="42">
        <f t="shared" si="12"/>
      </c>
      <c r="AI322" s="42">
        <f t="shared" si="13"/>
      </c>
    </row>
    <row r="323" spans="1:35" x14ac:dyDescent="0.2">
      <c r="A323" s="66">
        <f t="shared" si="14"/>
      </c>
      <c r="B323" s="4"/>
      <c r="C323" s="4"/>
      <c r="D323" s="4"/>
      <c r="E323" s="4"/>
      <c r="F323" s="32"/>
      <c r="G323" s="8"/>
      <c r="H323" s="9"/>
      <c r="I323" s="8"/>
      <c r="J323" s="10"/>
      <c r="K323" s="8"/>
      <c r="L323" s="8"/>
      <c r="M323" s="8"/>
      <c r="N323" s="11"/>
      <c r="O323" s="9"/>
      <c r="P323" s="12"/>
      <c r="Q323" s="9"/>
      <c r="R323" s="13"/>
      <c r="S323" s="11"/>
      <c r="T323" s="11"/>
      <c r="U323" s="9"/>
      <c r="V323" s="9"/>
      <c r="W323" s="9"/>
      <c r="X323" s="16"/>
      <c r="AF323" s="42">
        <f>IF(BUSCAR!$C$8="FECHA NAC.",$G323,IF(BUSCAR!$C$8="PASAPORTE EXPIRA",$J323,IF(BUSCAR!$C$8="LICENCIA EMISION",$L323,IF(BUSCAR!$C$8="LICENCIA EXPIRA",$M323,""))))</f>
      </c>
      <c r="AG323" s="42">
        <f>IF($B323&amp;$C323&amp;$D323&amp;$E323&amp;$H323="",0,IF(AND(OR(BUSCAR!$J$5="",ISNUMBER(SEARCH(BUSCAR!$J$5,$AI323))),OR(BUSCAR!$J$6="",ISNUMBER(SEARCH(BUSCAR!$J$6,$AI323))),OR(BUSCAR!$J$8="",ISNUMBER(SEARCH(BUSCAR!$J$8,$AI323))),OR(BUSCAR!$J$9="",ISNUMBER(SEARCH(BUSCAR!$J$9,$AI323))),OR(NOT(BUSCAR!$J$2),AND(ISNUMBER($AF323),$AF323&gt;=BUSCAR!$J$3,$AF323&lt;=BUSCAR!$J$4))),1,0))</f>
      </c>
      <c r="AH323" s="42">
        <f t="shared" ref="AH323:AH386" si="15">AH322+AG323</f>
      </c>
      <c r="AI323" s="42">
        <f t="shared" ref="AI323:AI386" si="16">IF($B323&amp;" "&amp;$C323&amp;" "&amp;$D323&amp;" "&amp;$E323&amp;" "&amp;$H323&amp;" "&amp;$K323&amp;" "&amp;$R323&amp;" "&amp;$AC323&amp;" "&amp;$AD323="","",SUBSTITUTE(SUBSTITUTE(SUBSTITUTE(SUBSTITUTE(SUBSTITUTE(SUBSTITUTE(SUBSTITUTE(UPPER($B323&amp;" "&amp;$C323&amp;" "&amp;$D323&amp;" "&amp;$E323&amp;" "&amp;$H323&amp;" "&amp;$K323&amp;" "&amp;$R323&amp;" "&amp;$AC323&amp;" "&amp;$AD323),"Á","A"),"É","E"),"Í","I"),"Ó","O"),"Ú","U"),"Ü","U"),"Ñ","N"))</f>
      </c>
    </row>
    <row r="324" spans="1:35" x14ac:dyDescent="0.2">
      <c r="A324" s="66">
        <f t="shared" ref="A324:A387" si="17">A323+1</f>
      </c>
      <c r="B324" s="4"/>
      <c r="C324" s="4"/>
      <c r="D324" s="4"/>
      <c r="E324" s="4"/>
      <c r="F324" s="32"/>
      <c r="G324" s="8"/>
      <c r="H324" s="9"/>
      <c r="I324" s="8"/>
      <c r="J324" s="10"/>
      <c r="K324" s="8"/>
      <c r="L324" s="8"/>
      <c r="M324" s="8"/>
      <c r="N324" s="11"/>
      <c r="O324" s="9"/>
      <c r="P324" s="12"/>
      <c r="Q324" s="9"/>
      <c r="R324" s="13"/>
      <c r="S324" s="11"/>
      <c r="T324" s="11"/>
      <c r="U324" s="9"/>
      <c r="V324" s="9"/>
      <c r="W324" s="9"/>
      <c r="X324" s="16"/>
      <c r="AF324" s="42">
        <f>IF(BUSCAR!$C$8="FECHA NAC.",$G324,IF(BUSCAR!$C$8="PASAPORTE EXPIRA",$J324,IF(BUSCAR!$C$8="LICENCIA EMISION",$L324,IF(BUSCAR!$C$8="LICENCIA EXPIRA",$M324,""))))</f>
      </c>
      <c r="AG324" s="42">
        <f>IF($B324&amp;$C324&amp;$D324&amp;$E324&amp;$H324="",0,IF(AND(OR(BUSCAR!$J$5="",ISNUMBER(SEARCH(BUSCAR!$J$5,$AI324))),OR(BUSCAR!$J$6="",ISNUMBER(SEARCH(BUSCAR!$J$6,$AI324))),OR(BUSCAR!$J$8="",ISNUMBER(SEARCH(BUSCAR!$J$8,$AI324))),OR(BUSCAR!$J$9="",ISNUMBER(SEARCH(BUSCAR!$J$9,$AI324))),OR(NOT(BUSCAR!$J$2),AND(ISNUMBER($AF324),$AF324&gt;=BUSCAR!$J$3,$AF324&lt;=BUSCAR!$J$4))),1,0))</f>
      </c>
      <c r="AH324" s="42">
        <f t="shared" si="15"/>
      </c>
      <c r="AI324" s="42">
        <f t="shared" si="16"/>
      </c>
    </row>
    <row r="325" spans="1:35" x14ac:dyDescent="0.2">
      <c r="A325" s="66">
        <f t="shared" si="17"/>
      </c>
      <c r="B325" s="4"/>
      <c r="C325" s="4"/>
      <c r="D325" s="4"/>
      <c r="E325" s="4"/>
      <c r="F325" s="32"/>
      <c r="G325" s="8"/>
      <c r="H325" s="9"/>
      <c r="I325" s="8"/>
      <c r="J325" s="10"/>
      <c r="K325" s="8"/>
      <c r="L325" s="8"/>
      <c r="M325" s="8"/>
      <c r="N325" s="11"/>
      <c r="O325" s="9"/>
      <c r="P325" s="12"/>
      <c r="Q325" s="9"/>
      <c r="R325" s="13"/>
      <c r="S325" s="11"/>
      <c r="T325" s="11"/>
      <c r="U325" s="9"/>
      <c r="V325" s="9"/>
      <c r="W325" s="9"/>
      <c r="X325" s="16"/>
      <c r="AF325" s="42">
        <f>IF(BUSCAR!$C$8="FECHA NAC.",$G325,IF(BUSCAR!$C$8="PASAPORTE EXPIRA",$J325,IF(BUSCAR!$C$8="LICENCIA EMISION",$L325,IF(BUSCAR!$C$8="LICENCIA EXPIRA",$M325,""))))</f>
      </c>
      <c r="AG325" s="42">
        <f>IF($B325&amp;$C325&amp;$D325&amp;$E325&amp;$H325="",0,IF(AND(OR(BUSCAR!$J$5="",ISNUMBER(SEARCH(BUSCAR!$J$5,$AI325))),OR(BUSCAR!$J$6="",ISNUMBER(SEARCH(BUSCAR!$J$6,$AI325))),OR(BUSCAR!$J$8="",ISNUMBER(SEARCH(BUSCAR!$J$8,$AI325))),OR(BUSCAR!$J$9="",ISNUMBER(SEARCH(BUSCAR!$J$9,$AI325))),OR(NOT(BUSCAR!$J$2),AND(ISNUMBER($AF325),$AF325&gt;=BUSCAR!$J$3,$AF325&lt;=BUSCAR!$J$4))),1,0))</f>
      </c>
      <c r="AH325" s="42">
        <f t="shared" si="15"/>
      </c>
      <c r="AI325" s="42">
        <f t="shared" si="16"/>
      </c>
    </row>
    <row r="326" spans="1:35" x14ac:dyDescent="0.2">
      <c r="A326" s="66">
        <f t="shared" si="17"/>
      </c>
      <c r="B326" s="4"/>
      <c r="C326" s="4"/>
      <c r="D326" s="4"/>
      <c r="E326" s="4"/>
      <c r="F326" s="32"/>
      <c r="G326" s="8"/>
      <c r="H326" s="9"/>
      <c r="I326" s="8"/>
      <c r="J326" s="10"/>
      <c r="K326" s="8"/>
      <c r="L326" s="8"/>
      <c r="M326" s="8"/>
      <c r="N326" s="11"/>
      <c r="O326" s="9"/>
      <c r="P326" s="12"/>
      <c r="Q326" s="9"/>
      <c r="R326" s="13"/>
      <c r="S326" s="11"/>
      <c r="T326" s="11"/>
      <c r="U326" s="9"/>
      <c r="V326" s="9"/>
      <c r="W326" s="9"/>
      <c r="X326" s="16"/>
      <c r="AF326" s="42">
        <f>IF(BUSCAR!$C$8="FECHA NAC.",$G326,IF(BUSCAR!$C$8="PASAPORTE EXPIRA",$J326,IF(BUSCAR!$C$8="LICENCIA EMISION",$L326,IF(BUSCAR!$C$8="LICENCIA EXPIRA",$M326,""))))</f>
      </c>
      <c r="AG326" s="42">
        <f>IF($B326&amp;$C326&amp;$D326&amp;$E326&amp;$H326="",0,IF(AND(OR(BUSCAR!$J$5="",ISNUMBER(SEARCH(BUSCAR!$J$5,$AI326))),OR(BUSCAR!$J$6="",ISNUMBER(SEARCH(BUSCAR!$J$6,$AI326))),OR(BUSCAR!$J$8="",ISNUMBER(SEARCH(BUSCAR!$J$8,$AI326))),OR(BUSCAR!$J$9="",ISNUMBER(SEARCH(BUSCAR!$J$9,$AI326))),OR(NOT(BUSCAR!$J$2),AND(ISNUMBER($AF326),$AF326&gt;=BUSCAR!$J$3,$AF326&lt;=BUSCAR!$J$4))),1,0))</f>
      </c>
      <c r="AH326" s="42">
        <f t="shared" si="15"/>
      </c>
      <c r="AI326" s="42">
        <f t="shared" si="16"/>
      </c>
    </row>
    <row r="327" spans="1:35" x14ac:dyDescent="0.2">
      <c r="A327" s="66">
        <f t="shared" si="17"/>
      </c>
      <c r="B327" s="4"/>
      <c r="C327" s="4"/>
      <c r="D327" s="4"/>
      <c r="E327" s="4"/>
      <c r="F327" s="32"/>
      <c r="G327" s="8"/>
      <c r="H327" s="9"/>
      <c r="I327" s="8"/>
      <c r="J327" s="10"/>
      <c r="K327" s="8"/>
      <c r="L327" s="8"/>
      <c r="M327" s="8"/>
      <c r="N327" s="11"/>
      <c r="O327" s="9"/>
      <c r="P327" s="12"/>
      <c r="Q327" s="9"/>
      <c r="R327" s="13"/>
      <c r="S327" s="11"/>
      <c r="T327" s="11"/>
      <c r="U327" s="9"/>
      <c r="V327" s="9"/>
      <c r="W327" s="9"/>
      <c r="X327" s="16"/>
      <c r="AF327" s="42">
        <f>IF(BUSCAR!$C$8="FECHA NAC.",$G327,IF(BUSCAR!$C$8="PASAPORTE EXPIRA",$J327,IF(BUSCAR!$C$8="LICENCIA EMISION",$L327,IF(BUSCAR!$C$8="LICENCIA EXPIRA",$M327,""))))</f>
      </c>
      <c r="AG327" s="42">
        <f>IF($B327&amp;$C327&amp;$D327&amp;$E327&amp;$H327="",0,IF(AND(OR(BUSCAR!$J$5="",ISNUMBER(SEARCH(BUSCAR!$J$5,$AI327))),OR(BUSCAR!$J$6="",ISNUMBER(SEARCH(BUSCAR!$J$6,$AI327))),OR(BUSCAR!$J$8="",ISNUMBER(SEARCH(BUSCAR!$J$8,$AI327))),OR(BUSCAR!$J$9="",ISNUMBER(SEARCH(BUSCAR!$J$9,$AI327))),OR(NOT(BUSCAR!$J$2),AND(ISNUMBER($AF327),$AF327&gt;=BUSCAR!$J$3,$AF327&lt;=BUSCAR!$J$4))),1,0))</f>
      </c>
      <c r="AH327" s="42">
        <f t="shared" si="15"/>
      </c>
      <c r="AI327" s="42">
        <f t="shared" si="16"/>
      </c>
    </row>
    <row r="328" spans="1:35" x14ac:dyDescent="0.2">
      <c r="A328" s="66">
        <f t="shared" si="17"/>
      </c>
      <c r="B328" s="4"/>
      <c r="C328" s="4"/>
      <c r="D328" s="4"/>
      <c r="E328" s="4"/>
      <c r="F328" s="32"/>
      <c r="G328" s="8"/>
      <c r="H328" s="9"/>
      <c r="I328" s="8"/>
      <c r="J328" s="10"/>
      <c r="K328" s="8"/>
      <c r="L328" s="8"/>
      <c r="M328" s="8"/>
      <c r="N328" s="11"/>
      <c r="O328" s="9"/>
      <c r="P328" s="12"/>
      <c r="Q328" s="9"/>
      <c r="R328" s="13"/>
      <c r="S328" s="11"/>
      <c r="T328" s="11"/>
      <c r="U328" s="9"/>
      <c r="V328" s="9"/>
      <c r="W328" s="9"/>
      <c r="X328" s="16"/>
      <c r="AF328" s="42">
        <f>IF(BUSCAR!$C$8="FECHA NAC.",$G328,IF(BUSCAR!$C$8="PASAPORTE EXPIRA",$J328,IF(BUSCAR!$C$8="LICENCIA EMISION",$L328,IF(BUSCAR!$C$8="LICENCIA EXPIRA",$M328,""))))</f>
      </c>
      <c r="AG328" s="42">
        <f>IF($B328&amp;$C328&amp;$D328&amp;$E328&amp;$H328="",0,IF(AND(OR(BUSCAR!$J$5="",ISNUMBER(SEARCH(BUSCAR!$J$5,$AI328))),OR(BUSCAR!$J$6="",ISNUMBER(SEARCH(BUSCAR!$J$6,$AI328))),OR(BUSCAR!$J$8="",ISNUMBER(SEARCH(BUSCAR!$J$8,$AI328))),OR(BUSCAR!$J$9="",ISNUMBER(SEARCH(BUSCAR!$J$9,$AI328))),OR(NOT(BUSCAR!$J$2),AND(ISNUMBER($AF328),$AF328&gt;=BUSCAR!$J$3,$AF328&lt;=BUSCAR!$J$4))),1,0))</f>
      </c>
      <c r="AH328" s="42">
        <f t="shared" si="15"/>
      </c>
      <c r="AI328" s="42">
        <f t="shared" si="16"/>
      </c>
    </row>
    <row r="329" spans="1:35" x14ac:dyDescent="0.2">
      <c r="A329" s="66">
        <f t="shared" si="17"/>
      </c>
      <c r="B329" s="4"/>
      <c r="C329" s="4"/>
      <c r="D329" s="4"/>
      <c r="E329" s="4"/>
      <c r="F329" s="32"/>
      <c r="G329" s="8"/>
      <c r="H329" s="9"/>
      <c r="I329" s="8"/>
      <c r="J329" s="10"/>
      <c r="K329" s="8"/>
      <c r="L329" s="8"/>
      <c r="M329" s="8"/>
      <c r="N329" s="11"/>
      <c r="O329" s="9"/>
      <c r="P329" s="12"/>
      <c r="Q329" s="9"/>
      <c r="R329" s="13"/>
      <c r="S329" s="11"/>
      <c r="T329" s="11"/>
      <c r="U329" s="9"/>
      <c r="V329" s="9"/>
      <c r="W329" s="9"/>
      <c r="X329" s="16"/>
      <c r="AF329" s="42">
        <f>IF(BUSCAR!$C$8="FECHA NAC.",$G329,IF(BUSCAR!$C$8="PASAPORTE EXPIRA",$J329,IF(BUSCAR!$C$8="LICENCIA EMISION",$L329,IF(BUSCAR!$C$8="LICENCIA EXPIRA",$M329,""))))</f>
      </c>
      <c r="AG329" s="42">
        <f>IF($B329&amp;$C329&amp;$D329&amp;$E329&amp;$H329="",0,IF(AND(OR(BUSCAR!$J$5="",ISNUMBER(SEARCH(BUSCAR!$J$5,$AI329))),OR(BUSCAR!$J$6="",ISNUMBER(SEARCH(BUSCAR!$J$6,$AI329))),OR(BUSCAR!$J$8="",ISNUMBER(SEARCH(BUSCAR!$J$8,$AI329))),OR(BUSCAR!$J$9="",ISNUMBER(SEARCH(BUSCAR!$J$9,$AI329))),OR(NOT(BUSCAR!$J$2),AND(ISNUMBER($AF329),$AF329&gt;=BUSCAR!$J$3,$AF329&lt;=BUSCAR!$J$4))),1,0))</f>
      </c>
      <c r="AH329" s="42">
        <f t="shared" si="15"/>
      </c>
      <c r="AI329" s="42">
        <f t="shared" si="16"/>
      </c>
    </row>
    <row r="330" spans="1:35" x14ac:dyDescent="0.2">
      <c r="A330" s="66">
        <f t="shared" si="17"/>
      </c>
      <c r="B330" s="4"/>
      <c r="C330" s="4"/>
      <c r="D330" s="4"/>
      <c r="E330" s="4"/>
      <c r="F330" s="32"/>
      <c r="G330" s="8"/>
      <c r="H330" s="9"/>
      <c r="I330" s="8"/>
      <c r="J330" s="10"/>
      <c r="K330" s="8"/>
      <c r="L330" s="8"/>
      <c r="M330" s="8"/>
      <c r="N330" s="11"/>
      <c r="O330" s="9"/>
      <c r="P330" s="12"/>
      <c r="Q330" s="9"/>
      <c r="R330" s="13"/>
      <c r="S330" s="11"/>
      <c r="T330" s="11"/>
      <c r="U330" s="9"/>
      <c r="V330" s="9"/>
      <c r="W330" s="9"/>
      <c r="X330" s="16"/>
      <c r="AF330" s="42">
        <f>IF(BUSCAR!$C$8="FECHA NAC.",$G330,IF(BUSCAR!$C$8="PASAPORTE EXPIRA",$J330,IF(BUSCAR!$C$8="LICENCIA EMISION",$L330,IF(BUSCAR!$C$8="LICENCIA EXPIRA",$M330,""))))</f>
      </c>
      <c r="AG330" s="42">
        <f>IF($B330&amp;$C330&amp;$D330&amp;$E330&amp;$H330="",0,IF(AND(OR(BUSCAR!$J$5="",ISNUMBER(SEARCH(BUSCAR!$J$5,$AI330))),OR(BUSCAR!$J$6="",ISNUMBER(SEARCH(BUSCAR!$J$6,$AI330))),OR(BUSCAR!$J$8="",ISNUMBER(SEARCH(BUSCAR!$J$8,$AI330))),OR(BUSCAR!$J$9="",ISNUMBER(SEARCH(BUSCAR!$J$9,$AI330))),OR(NOT(BUSCAR!$J$2),AND(ISNUMBER($AF330),$AF330&gt;=BUSCAR!$J$3,$AF330&lt;=BUSCAR!$J$4))),1,0))</f>
      </c>
      <c r="AH330" s="42">
        <f t="shared" si="15"/>
      </c>
      <c r="AI330" s="42">
        <f t="shared" si="16"/>
      </c>
    </row>
    <row r="331" spans="1:35" x14ac:dyDescent="0.2">
      <c r="A331" s="66">
        <f t="shared" si="17"/>
      </c>
      <c r="B331" s="4"/>
      <c r="C331" s="4"/>
      <c r="D331" s="4"/>
      <c r="E331" s="4"/>
      <c r="F331" s="32"/>
      <c r="G331" s="8"/>
      <c r="H331" s="9"/>
      <c r="I331" s="8"/>
      <c r="J331" s="10"/>
      <c r="K331" s="8"/>
      <c r="L331" s="8"/>
      <c r="M331" s="8"/>
      <c r="N331" s="11"/>
      <c r="O331" s="9"/>
      <c r="P331" s="12"/>
      <c r="Q331" s="9"/>
      <c r="R331" s="13"/>
      <c r="S331" s="11"/>
      <c r="T331" s="11"/>
      <c r="U331" s="9"/>
      <c r="V331" s="9"/>
      <c r="W331" s="9"/>
      <c r="X331" s="16"/>
      <c r="AF331" s="42">
        <f>IF(BUSCAR!$C$8="FECHA NAC.",$G331,IF(BUSCAR!$C$8="PASAPORTE EXPIRA",$J331,IF(BUSCAR!$C$8="LICENCIA EMISION",$L331,IF(BUSCAR!$C$8="LICENCIA EXPIRA",$M331,""))))</f>
      </c>
      <c r="AG331" s="42">
        <f>IF($B331&amp;$C331&amp;$D331&amp;$E331&amp;$H331="",0,IF(AND(OR(BUSCAR!$J$5="",ISNUMBER(SEARCH(BUSCAR!$J$5,$AI331))),OR(BUSCAR!$J$6="",ISNUMBER(SEARCH(BUSCAR!$J$6,$AI331))),OR(BUSCAR!$J$8="",ISNUMBER(SEARCH(BUSCAR!$J$8,$AI331))),OR(BUSCAR!$J$9="",ISNUMBER(SEARCH(BUSCAR!$J$9,$AI331))),OR(NOT(BUSCAR!$J$2),AND(ISNUMBER($AF331),$AF331&gt;=BUSCAR!$J$3,$AF331&lt;=BUSCAR!$J$4))),1,0))</f>
      </c>
      <c r="AH331" s="42">
        <f t="shared" si="15"/>
      </c>
      <c r="AI331" s="42">
        <f t="shared" si="16"/>
      </c>
    </row>
    <row r="332" spans="1:35" x14ac:dyDescent="0.2">
      <c r="A332" s="66">
        <f t="shared" si="17"/>
      </c>
      <c r="B332" s="4"/>
      <c r="C332" s="4"/>
      <c r="D332" s="4"/>
      <c r="E332" s="4"/>
      <c r="F332" s="32"/>
      <c r="G332" s="8"/>
      <c r="H332" s="9"/>
      <c r="I332" s="8"/>
      <c r="J332" s="10"/>
      <c r="K332" s="8"/>
      <c r="L332" s="8"/>
      <c r="M332" s="8"/>
      <c r="N332" s="11"/>
      <c r="O332" s="9"/>
      <c r="P332" s="12"/>
      <c r="Q332" s="9"/>
      <c r="R332" s="13"/>
      <c r="S332" s="11"/>
      <c r="T332" s="11"/>
      <c r="U332" s="9"/>
      <c r="V332" s="9"/>
      <c r="W332" s="9"/>
      <c r="X332" s="16"/>
      <c r="AF332" s="42">
        <f>IF(BUSCAR!$C$8="FECHA NAC.",$G332,IF(BUSCAR!$C$8="PASAPORTE EXPIRA",$J332,IF(BUSCAR!$C$8="LICENCIA EMISION",$L332,IF(BUSCAR!$C$8="LICENCIA EXPIRA",$M332,""))))</f>
      </c>
      <c r="AG332" s="42">
        <f>IF($B332&amp;$C332&amp;$D332&amp;$E332&amp;$H332="",0,IF(AND(OR(BUSCAR!$J$5="",ISNUMBER(SEARCH(BUSCAR!$J$5,$AI332))),OR(BUSCAR!$J$6="",ISNUMBER(SEARCH(BUSCAR!$J$6,$AI332))),OR(BUSCAR!$J$8="",ISNUMBER(SEARCH(BUSCAR!$J$8,$AI332))),OR(BUSCAR!$J$9="",ISNUMBER(SEARCH(BUSCAR!$J$9,$AI332))),OR(NOT(BUSCAR!$J$2),AND(ISNUMBER($AF332),$AF332&gt;=BUSCAR!$J$3,$AF332&lt;=BUSCAR!$J$4))),1,0))</f>
      </c>
      <c r="AH332" s="42">
        <f t="shared" si="15"/>
      </c>
      <c r="AI332" s="42">
        <f t="shared" si="16"/>
      </c>
    </row>
    <row r="333" spans="1:35" x14ac:dyDescent="0.2">
      <c r="A333" s="66">
        <f t="shared" si="17"/>
      </c>
      <c r="B333" s="4"/>
      <c r="C333" s="4"/>
      <c r="D333" s="4"/>
      <c r="E333" s="4"/>
      <c r="F333" s="32"/>
      <c r="G333" s="8"/>
      <c r="H333" s="9"/>
      <c r="I333" s="8"/>
      <c r="J333" s="10"/>
      <c r="K333" s="8"/>
      <c r="L333" s="8"/>
      <c r="M333" s="8"/>
      <c r="N333" s="11"/>
      <c r="O333" s="9"/>
      <c r="P333" s="12"/>
      <c r="Q333" s="9"/>
      <c r="R333" s="13"/>
      <c r="S333" s="11"/>
      <c r="T333" s="11"/>
      <c r="U333" s="9"/>
      <c r="V333" s="9"/>
      <c r="W333" s="9"/>
      <c r="X333" s="16"/>
      <c r="AF333" s="42">
        <f>IF(BUSCAR!$C$8="FECHA NAC.",$G333,IF(BUSCAR!$C$8="PASAPORTE EXPIRA",$J333,IF(BUSCAR!$C$8="LICENCIA EMISION",$L333,IF(BUSCAR!$C$8="LICENCIA EXPIRA",$M333,""))))</f>
      </c>
      <c r="AG333" s="42">
        <f>IF($B333&amp;$C333&amp;$D333&amp;$E333&amp;$H333="",0,IF(AND(OR(BUSCAR!$J$5="",ISNUMBER(SEARCH(BUSCAR!$J$5,$AI333))),OR(BUSCAR!$J$6="",ISNUMBER(SEARCH(BUSCAR!$J$6,$AI333))),OR(BUSCAR!$J$8="",ISNUMBER(SEARCH(BUSCAR!$J$8,$AI333))),OR(BUSCAR!$J$9="",ISNUMBER(SEARCH(BUSCAR!$J$9,$AI333))),OR(NOT(BUSCAR!$J$2),AND(ISNUMBER($AF333),$AF333&gt;=BUSCAR!$J$3,$AF333&lt;=BUSCAR!$J$4))),1,0))</f>
      </c>
      <c r="AH333" s="42">
        <f t="shared" si="15"/>
      </c>
      <c r="AI333" s="42">
        <f t="shared" si="16"/>
      </c>
    </row>
    <row r="334" spans="1:35" x14ac:dyDescent="0.2">
      <c r="A334" s="66">
        <f t="shared" si="17"/>
      </c>
      <c r="B334" s="4"/>
      <c r="C334" s="4"/>
      <c r="D334" s="4"/>
      <c r="E334" s="4"/>
      <c r="F334" s="32"/>
      <c r="G334" s="8"/>
      <c r="H334" s="9"/>
      <c r="I334" s="8"/>
      <c r="J334" s="10"/>
      <c r="K334" s="8"/>
      <c r="L334" s="8"/>
      <c r="M334" s="8"/>
      <c r="N334" s="11"/>
      <c r="O334" s="9"/>
      <c r="P334" s="12"/>
      <c r="Q334" s="9"/>
      <c r="R334" s="13"/>
      <c r="S334" s="11"/>
      <c r="T334" s="11"/>
      <c r="U334" s="9"/>
      <c r="V334" s="9"/>
      <c r="W334" s="9"/>
      <c r="X334" s="16"/>
      <c r="AF334" s="42">
        <f>IF(BUSCAR!$C$8="FECHA NAC.",$G334,IF(BUSCAR!$C$8="PASAPORTE EXPIRA",$J334,IF(BUSCAR!$C$8="LICENCIA EMISION",$L334,IF(BUSCAR!$C$8="LICENCIA EXPIRA",$M334,""))))</f>
      </c>
      <c r="AG334" s="42">
        <f>IF($B334&amp;$C334&amp;$D334&amp;$E334&amp;$H334="",0,IF(AND(OR(BUSCAR!$J$5="",ISNUMBER(SEARCH(BUSCAR!$J$5,$AI334))),OR(BUSCAR!$J$6="",ISNUMBER(SEARCH(BUSCAR!$J$6,$AI334))),OR(BUSCAR!$J$8="",ISNUMBER(SEARCH(BUSCAR!$J$8,$AI334))),OR(BUSCAR!$J$9="",ISNUMBER(SEARCH(BUSCAR!$J$9,$AI334))),OR(NOT(BUSCAR!$J$2),AND(ISNUMBER($AF334),$AF334&gt;=BUSCAR!$J$3,$AF334&lt;=BUSCAR!$J$4))),1,0))</f>
      </c>
      <c r="AH334" s="42">
        <f t="shared" si="15"/>
      </c>
      <c r="AI334" s="42">
        <f t="shared" si="16"/>
      </c>
    </row>
    <row r="335" spans="1:35" x14ac:dyDescent="0.2">
      <c r="A335" s="66">
        <f t="shared" si="17"/>
      </c>
      <c r="B335" s="4"/>
      <c r="C335" s="4"/>
      <c r="D335" s="4"/>
      <c r="E335" s="4"/>
      <c r="F335" s="32"/>
      <c r="G335" s="8"/>
      <c r="H335" s="9"/>
      <c r="I335" s="8"/>
      <c r="J335" s="10"/>
      <c r="K335" s="8"/>
      <c r="L335" s="8"/>
      <c r="M335" s="8"/>
      <c r="N335" s="11"/>
      <c r="O335" s="9"/>
      <c r="P335" s="12"/>
      <c r="Q335" s="9"/>
      <c r="R335" s="13"/>
      <c r="S335" s="11"/>
      <c r="T335" s="11"/>
      <c r="U335" s="9"/>
      <c r="V335" s="9"/>
      <c r="W335" s="9"/>
      <c r="X335" s="16"/>
      <c r="AF335" s="42">
        <f>IF(BUSCAR!$C$8="FECHA NAC.",$G335,IF(BUSCAR!$C$8="PASAPORTE EXPIRA",$J335,IF(BUSCAR!$C$8="LICENCIA EMISION",$L335,IF(BUSCAR!$C$8="LICENCIA EXPIRA",$M335,""))))</f>
      </c>
      <c r="AG335" s="42">
        <f>IF($B335&amp;$C335&amp;$D335&amp;$E335&amp;$H335="",0,IF(AND(OR(BUSCAR!$J$5="",ISNUMBER(SEARCH(BUSCAR!$J$5,$AI335))),OR(BUSCAR!$J$6="",ISNUMBER(SEARCH(BUSCAR!$J$6,$AI335))),OR(BUSCAR!$J$8="",ISNUMBER(SEARCH(BUSCAR!$J$8,$AI335))),OR(BUSCAR!$J$9="",ISNUMBER(SEARCH(BUSCAR!$J$9,$AI335))),OR(NOT(BUSCAR!$J$2),AND(ISNUMBER($AF335),$AF335&gt;=BUSCAR!$J$3,$AF335&lt;=BUSCAR!$J$4))),1,0))</f>
      </c>
      <c r="AH335" s="42">
        <f t="shared" si="15"/>
      </c>
      <c r="AI335" s="42">
        <f t="shared" si="16"/>
      </c>
    </row>
    <row r="336" spans="1:35" x14ac:dyDescent="0.2">
      <c r="A336" s="66">
        <f t="shared" si="17"/>
      </c>
      <c r="B336" s="4"/>
      <c r="C336" s="4"/>
      <c r="D336" s="4"/>
      <c r="E336" s="4"/>
      <c r="F336" s="32"/>
      <c r="G336" s="8"/>
      <c r="H336" s="9"/>
      <c r="I336" s="8"/>
      <c r="J336" s="10"/>
      <c r="K336" s="8"/>
      <c r="L336" s="8"/>
      <c r="M336" s="8"/>
      <c r="N336" s="11"/>
      <c r="O336" s="9"/>
      <c r="P336" s="12"/>
      <c r="Q336" s="9"/>
      <c r="R336" s="13"/>
      <c r="S336" s="11"/>
      <c r="T336" s="11"/>
      <c r="U336" s="9"/>
      <c r="V336" s="9"/>
      <c r="W336" s="9"/>
      <c r="X336" s="16"/>
      <c r="AF336" s="42">
        <f>IF(BUSCAR!$C$8="FECHA NAC.",$G336,IF(BUSCAR!$C$8="PASAPORTE EXPIRA",$J336,IF(BUSCAR!$C$8="LICENCIA EMISION",$L336,IF(BUSCAR!$C$8="LICENCIA EXPIRA",$M336,""))))</f>
      </c>
      <c r="AG336" s="42">
        <f>IF($B336&amp;$C336&amp;$D336&amp;$E336&amp;$H336="",0,IF(AND(OR(BUSCAR!$J$5="",ISNUMBER(SEARCH(BUSCAR!$J$5,$AI336))),OR(BUSCAR!$J$6="",ISNUMBER(SEARCH(BUSCAR!$J$6,$AI336))),OR(BUSCAR!$J$8="",ISNUMBER(SEARCH(BUSCAR!$J$8,$AI336))),OR(BUSCAR!$J$9="",ISNUMBER(SEARCH(BUSCAR!$J$9,$AI336))),OR(NOT(BUSCAR!$J$2),AND(ISNUMBER($AF336),$AF336&gt;=BUSCAR!$J$3,$AF336&lt;=BUSCAR!$J$4))),1,0))</f>
      </c>
      <c r="AH336" s="42">
        <f t="shared" si="15"/>
      </c>
      <c r="AI336" s="42">
        <f t="shared" si="16"/>
      </c>
    </row>
    <row r="337" spans="1:35" x14ac:dyDescent="0.2">
      <c r="A337" s="66">
        <f t="shared" si="17"/>
      </c>
      <c r="B337" s="4"/>
      <c r="C337" s="4"/>
      <c r="D337" s="4"/>
      <c r="E337" s="4"/>
      <c r="F337" s="32"/>
      <c r="G337" s="8"/>
      <c r="H337" s="9"/>
      <c r="I337" s="8"/>
      <c r="J337" s="10"/>
      <c r="K337" s="8"/>
      <c r="L337" s="8"/>
      <c r="M337" s="8"/>
      <c r="N337" s="11"/>
      <c r="O337" s="9"/>
      <c r="P337" s="12"/>
      <c r="Q337" s="9"/>
      <c r="R337" s="13"/>
      <c r="S337" s="11"/>
      <c r="T337" s="11"/>
      <c r="U337" s="9"/>
      <c r="V337" s="9"/>
      <c r="W337" s="9"/>
      <c r="X337" s="16"/>
      <c r="AF337" s="42">
        <f>IF(BUSCAR!$C$8="FECHA NAC.",$G337,IF(BUSCAR!$C$8="PASAPORTE EXPIRA",$J337,IF(BUSCAR!$C$8="LICENCIA EMISION",$L337,IF(BUSCAR!$C$8="LICENCIA EXPIRA",$M337,""))))</f>
      </c>
      <c r="AG337" s="42">
        <f>IF($B337&amp;$C337&amp;$D337&amp;$E337&amp;$H337="",0,IF(AND(OR(BUSCAR!$J$5="",ISNUMBER(SEARCH(BUSCAR!$J$5,$AI337))),OR(BUSCAR!$J$6="",ISNUMBER(SEARCH(BUSCAR!$J$6,$AI337))),OR(BUSCAR!$J$8="",ISNUMBER(SEARCH(BUSCAR!$J$8,$AI337))),OR(BUSCAR!$J$9="",ISNUMBER(SEARCH(BUSCAR!$J$9,$AI337))),OR(NOT(BUSCAR!$J$2),AND(ISNUMBER($AF337),$AF337&gt;=BUSCAR!$J$3,$AF337&lt;=BUSCAR!$J$4))),1,0))</f>
      </c>
      <c r="AH337" s="42">
        <f t="shared" si="15"/>
      </c>
      <c r="AI337" s="42">
        <f t="shared" si="16"/>
      </c>
    </row>
    <row r="338" spans="1:35" x14ac:dyDescent="0.2">
      <c r="A338" s="66">
        <f t="shared" si="17"/>
      </c>
      <c r="B338" s="4"/>
      <c r="C338" s="4"/>
      <c r="D338" s="4"/>
      <c r="E338" s="4"/>
      <c r="F338" s="32"/>
      <c r="G338" s="8"/>
      <c r="H338" s="9"/>
      <c r="I338" s="8"/>
      <c r="J338" s="10"/>
      <c r="K338" s="8"/>
      <c r="L338" s="8"/>
      <c r="M338" s="8"/>
      <c r="N338" s="11"/>
      <c r="O338" s="9"/>
      <c r="P338" s="12"/>
      <c r="Q338" s="9"/>
      <c r="R338" s="13"/>
      <c r="S338" s="11"/>
      <c r="T338" s="11"/>
      <c r="U338" s="9"/>
      <c r="V338" s="9"/>
      <c r="W338" s="9"/>
      <c r="X338" s="16"/>
      <c r="AF338" s="42">
        <f>IF(BUSCAR!$C$8="FECHA NAC.",$G338,IF(BUSCAR!$C$8="PASAPORTE EXPIRA",$J338,IF(BUSCAR!$C$8="LICENCIA EMISION",$L338,IF(BUSCAR!$C$8="LICENCIA EXPIRA",$M338,""))))</f>
      </c>
      <c r="AG338" s="42">
        <f>IF($B338&amp;$C338&amp;$D338&amp;$E338&amp;$H338="",0,IF(AND(OR(BUSCAR!$J$5="",ISNUMBER(SEARCH(BUSCAR!$J$5,$AI338))),OR(BUSCAR!$J$6="",ISNUMBER(SEARCH(BUSCAR!$J$6,$AI338))),OR(BUSCAR!$J$8="",ISNUMBER(SEARCH(BUSCAR!$J$8,$AI338))),OR(BUSCAR!$J$9="",ISNUMBER(SEARCH(BUSCAR!$J$9,$AI338))),OR(NOT(BUSCAR!$J$2),AND(ISNUMBER($AF338),$AF338&gt;=BUSCAR!$J$3,$AF338&lt;=BUSCAR!$J$4))),1,0))</f>
      </c>
      <c r="AH338" s="42">
        <f t="shared" si="15"/>
      </c>
      <c r="AI338" s="42">
        <f t="shared" si="16"/>
      </c>
    </row>
    <row r="339" spans="1:35" x14ac:dyDescent="0.2">
      <c r="A339" s="66">
        <f t="shared" si="17"/>
      </c>
      <c r="B339" s="4"/>
      <c r="C339" s="4"/>
      <c r="D339" s="4"/>
      <c r="E339" s="4"/>
      <c r="F339" s="32"/>
      <c r="G339" s="8"/>
      <c r="H339" s="9"/>
      <c r="I339" s="8"/>
      <c r="J339" s="10"/>
      <c r="K339" s="8"/>
      <c r="L339" s="8"/>
      <c r="M339" s="8"/>
      <c r="N339" s="11"/>
      <c r="O339" s="9"/>
      <c r="P339" s="12"/>
      <c r="Q339" s="9"/>
      <c r="R339" s="13"/>
      <c r="S339" s="11"/>
      <c r="T339" s="11"/>
      <c r="U339" s="9"/>
      <c r="V339" s="9"/>
      <c r="W339" s="9"/>
      <c r="X339" s="16"/>
      <c r="AF339" s="42">
        <f>IF(BUSCAR!$C$8="FECHA NAC.",$G339,IF(BUSCAR!$C$8="PASAPORTE EXPIRA",$J339,IF(BUSCAR!$C$8="LICENCIA EMISION",$L339,IF(BUSCAR!$C$8="LICENCIA EXPIRA",$M339,""))))</f>
      </c>
      <c r="AG339" s="42">
        <f>IF($B339&amp;$C339&amp;$D339&amp;$E339&amp;$H339="",0,IF(AND(OR(BUSCAR!$J$5="",ISNUMBER(SEARCH(BUSCAR!$J$5,$AI339))),OR(BUSCAR!$J$6="",ISNUMBER(SEARCH(BUSCAR!$J$6,$AI339))),OR(BUSCAR!$J$8="",ISNUMBER(SEARCH(BUSCAR!$J$8,$AI339))),OR(BUSCAR!$J$9="",ISNUMBER(SEARCH(BUSCAR!$J$9,$AI339))),OR(NOT(BUSCAR!$J$2),AND(ISNUMBER($AF339),$AF339&gt;=BUSCAR!$J$3,$AF339&lt;=BUSCAR!$J$4))),1,0))</f>
      </c>
      <c r="AH339" s="42">
        <f t="shared" si="15"/>
      </c>
      <c r="AI339" s="42">
        <f t="shared" si="16"/>
      </c>
    </row>
    <row r="340" spans="1:35" x14ac:dyDescent="0.2">
      <c r="A340" s="66">
        <f t="shared" si="17"/>
      </c>
      <c r="B340" s="4"/>
      <c r="C340" s="4"/>
      <c r="D340" s="4"/>
      <c r="E340" s="4"/>
      <c r="F340" s="32"/>
      <c r="G340" s="8"/>
      <c r="H340" s="9"/>
      <c r="I340" s="8"/>
      <c r="J340" s="10"/>
      <c r="K340" s="8"/>
      <c r="L340" s="8"/>
      <c r="M340" s="8"/>
      <c r="N340" s="11"/>
      <c r="O340" s="9"/>
      <c r="P340" s="12"/>
      <c r="Q340" s="9"/>
      <c r="R340" s="13"/>
      <c r="S340" s="11"/>
      <c r="T340" s="11"/>
      <c r="U340" s="9"/>
      <c r="V340" s="9"/>
      <c r="W340" s="9"/>
      <c r="X340" s="16"/>
      <c r="AF340" s="42">
        <f>IF(BUSCAR!$C$8="FECHA NAC.",$G340,IF(BUSCAR!$C$8="PASAPORTE EXPIRA",$J340,IF(BUSCAR!$C$8="LICENCIA EMISION",$L340,IF(BUSCAR!$C$8="LICENCIA EXPIRA",$M340,""))))</f>
      </c>
      <c r="AG340" s="42">
        <f>IF($B340&amp;$C340&amp;$D340&amp;$E340&amp;$H340="",0,IF(AND(OR(BUSCAR!$J$5="",ISNUMBER(SEARCH(BUSCAR!$J$5,$AI340))),OR(BUSCAR!$J$6="",ISNUMBER(SEARCH(BUSCAR!$J$6,$AI340))),OR(BUSCAR!$J$8="",ISNUMBER(SEARCH(BUSCAR!$J$8,$AI340))),OR(BUSCAR!$J$9="",ISNUMBER(SEARCH(BUSCAR!$J$9,$AI340))),OR(NOT(BUSCAR!$J$2),AND(ISNUMBER($AF340),$AF340&gt;=BUSCAR!$J$3,$AF340&lt;=BUSCAR!$J$4))),1,0))</f>
      </c>
      <c r="AH340" s="42">
        <f t="shared" si="15"/>
      </c>
      <c r="AI340" s="42">
        <f t="shared" si="16"/>
      </c>
    </row>
    <row r="341" spans="1:35" x14ac:dyDescent="0.2">
      <c r="A341" s="66">
        <f t="shared" si="17"/>
      </c>
      <c r="B341" s="4"/>
      <c r="C341" s="4"/>
      <c r="D341" s="4"/>
      <c r="E341" s="4"/>
      <c r="F341" s="32"/>
      <c r="G341" s="8"/>
      <c r="H341" s="9"/>
      <c r="I341" s="8"/>
      <c r="J341" s="10"/>
      <c r="K341" s="8"/>
      <c r="L341" s="8"/>
      <c r="M341" s="8"/>
      <c r="N341" s="11"/>
      <c r="O341" s="9"/>
      <c r="P341" s="12"/>
      <c r="Q341" s="9"/>
      <c r="R341" s="13"/>
      <c r="S341" s="11"/>
      <c r="T341" s="11"/>
      <c r="U341" s="9"/>
      <c r="V341" s="9"/>
      <c r="W341" s="9"/>
      <c r="X341" s="16"/>
      <c r="AF341" s="42">
        <f>IF(BUSCAR!$C$8="FECHA NAC.",$G341,IF(BUSCAR!$C$8="PASAPORTE EXPIRA",$J341,IF(BUSCAR!$C$8="LICENCIA EMISION",$L341,IF(BUSCAR!$C$8="LICENCIA EXPIRA",$M341,""))))</f>
      </c>
      <c r="AG341" s="42">
        <f>IF($B341&amp;$C341&amp;$D341&amp;$E341&amp;$H341="",0,IF(AND(OR(BUSCAR!$J$5="",ISNUMBER(SEARCH(BUSCAR!$J$5,$AI341))),OR(BUSCAR!$J$6="",ISNUMBER(SEARCH(BUSCAR!$J$6,$AI341))),OR(BUSCAR!$J$8="",ISNUMBER(SEARCH(BUSCAR!$J$8,$AI341))),OR(BUSCAR!$J$9="",ISNUMBER(SEARCH(BUSCAR!$J$9,$AI341))),OR(NOT(BUSCAR!$J$2),AND(ISNUMBER($AF341),$AF341&gt;=BUSCAR!$J$3,$AF341&lt;=BUSCAR!$J$4))),1,0))</f>
      </c>
      <c r="AH341" s="42">
        <f t="shared" si="15"/>
      </c>
      <c r="AI341" s="42">
        <f t="shared" si="16"/>
      </c>
    </row>
    <row r="342" spans="1:35" x14ac:dyDescent="0.2">
      <c r="A342" s="66">
        <f t="shared" si="17"/>
      </c>
      <c r="B342" s="4"/>
      <c r="C342" s="4"/>
      <c r="D342" s="4"/>
      <c r="E342" s="4"/>
      <c r="F342" s="32"/>
      <c r="G342" s="8"/>
      <c r="H342" s="9"/>
      <c r="I342" s="8"/>
      <c r="J342" s="10"/>
      <c r="K342" s="8"/>
      <c r="L342" s="8"/>
      <c r="M342" s="8"/>
      <c r="N342" s="11"/>
      <c r="O342" s="9"/>
      <c r="P342" s="12"/>
      <c r="Q342" s="9"/>
      <c r="R342" s="13"/>
      <c r="S342" s="11"/>
      <c r="T342" s="11"/>
      <c r="U342" s="9"/>
      <c r="V342" s="9"/>
      <c r="W342" s="9"/>
      <c r="X342" s="16"/>
      <c r="AF342" s="42">
        <f>IF(BUSCAR!$C$8="FECHA NAC.",$G342,IF(BUSCAR!$C$8="PASAPORTE EXPIRA",$J342,IF(BUSCAR!$C$8="LICENCIA EMISION",$L342,IF(BUSCAR!$C$8="LICENCIA EXPIRA",$M342,""))))</f>
      </c>
      <c r="AG342" s="42">
        <f>IF($B342&amp;$C342&amp;$D342&amp;$E342&amp;$H342="",0,IF(AND(OR(BUSCAR!$J$5="",ISNUMBER(SEARCH(BUSCAR!$J$5,$AI342))),OR(BUSCAR!$J$6="",ISNUMBER(SEARCH(BUSCAR!$J$6,$AI342))),OR(BUSCAR!$J$8="",ISNUMBER(SEARCH(BUSCAR!$J$8,$AI342))),OR(BUSCAR!$J$9="",ISNUMBER(SEARCH(BUSCAR!$J$9,$AI342))),OR(NOT(BUSCAR!$J$2),AND(ISNUMBER($AF342),$AF342&gt;=BUSCAR!$J$3,$AF342&lt;=BUSCAR!$J$4))),1,0))</f>
      </c>
      <c r="AH342" s="42">
        <f t="shared" si="15"/>
      </c>
      <c r="AI342" s="42">
        <f t="shared" si="16"/>
      </c>
    </row>
    <row r="343" spans="1:35" x14ac:dyDescent="0.2">
      <c r="A343" s="66">
        <f t="shared" si="17"/>
      </c>
      <c r="B343" s="4"/>
      <c r="C343" s="4"/>
      <c r="D343" s="4"/>
      <c r="E343" s="4"/>
      <c r="F343" s="32"/>
      <c r="G343" s="8"/>
      <c r="H343" s="9"/>
      <c r="I343" s="8"/>
      <c r="J343" s="10"/>
      <c r="K343" s="8"/>
      <c r="L343" s="8"/>
      <c r="M343" s="8"/>
      <c r="N343" s="11"/>
      <c r="O343" s="9"/>
      <c r="P343" s="12"/>
      <c r="Q343" s="9"/>
      <c r="R343" s="13"/>
      <c r="S343" s="11"/>
      <c r="T343" s="11"/>
      <c r="U343" s="9"/>
      <c r="V343" s="9"/>
      <c r="W343" s="9"/>
      <c r="X343" s="16"/>
      <c r="AF343" s="42">
        <f>IF(BUSCAR!$C$8="FECHA NAC.",$G343,IF(BUSCAR!$C$8="PASAPORTE EXPIRA",$J343,IF(BUSCAR!$C$8="LICENCIA EMISION",$L343,IF(BUSCAR!$C$8="LICENCIA EXPIRA",$M343,""))))</f>
      </c>
      <c r="AG343" s="42">
        <f>IF($B343&amp;$C343&amp;$D343&amp;$E343&amp;$H343="",0,IF(AND(OR(BUSCAR!$J$5="",ISNUMBER(SEARCH(BUSCAR!$J$5,$AI343))),OR(BUSCAR!$J$6="",ISNUMBER(SEARCH(BUSCAR!$J$6,$AI343))),OR(BUSCAR!$J$8="",ISNUMBER(SEARCH(BUSCAR!$J$8,$AI343))),OR(BUSCAR!$J$9="",ISNUMBER(SEARCH(BUSCAR!$J$9,$AI343))),OR(NOT(BUSCAR!$J$2),AND(ISNUMBER($AF343),$AF343&gt;=BUSCAR!$J$3,$AF343&lt;=BUSCAR!$J$4))),1,0))</f>
      </c>
      <c r="AH343" s="42">
        <f t="shared" si="15"/>
      </c>
      <c r="AI343" s="42">
        <f t="shared" si="16"/>
      </c>
    </row>
    <row r="344" spans="1:35" x14ac:dyDescent="0.2">
      <c r="A344" s="66">
        <f t="shared" si="17"/>
      </c>
      <c r="B344" s="4"/>
      <c r="C344" s="4"/>
      <c r="D344" s="4"/>
      <c r="E344" s="4"/>
      <c r="F344" s="32"/>
      <c r="G344" s="8"/>
      <c r="H344" s="9"/>
      <c r="I344" s="8"/>
      <c r="J344" s="10"/>
      <c r="K344" s="8"/>
      <c r="L344" s="8"/>
      <c r="M344" s="8"/>
      <c r="N344" s="11"/>
      <c r="O344" s="9"/>
      <c r="P344" s="12"/>
      <c r="Q344" s="9"/>
      <c r="R344" s="13"/>
      <c r="S344" s="11"/>
      <c r="T344" s="11"/>
      <c r="U344" s="9"/>
      <c r="V344" s="9"/>
      <c r="W344" s="9"/>
      <c r="X344" s="16"/>
      <c r="AF344" s="42">
        <f>IF(BUSCAR!$C$8="FECHA NAC.",$G344,IF(BUSCAR!$C$8="PASAPORTE EXPIRA",$J344,IF(BUSCAR!$C$8="LICENCIA EMISION",$L344,IF(BUSCAR!$C$8="LICENCIA EXPIRA",$M344,""))))</f>
      </c>
      <c r="AG344" s="42">
        <f>IF($B344&amp;$C344&amp;$D344&amp;$E344&amp;$H344="",0,IF(AND(OR(BUSCAR!$J$5="",ISNUMBER(SEARCH(BUSCAR!$J$5,$AI344))),OR(BUSCAR!$J$6="",ISNUMBER(SEARCH(BUSCAR!$J$6,$AI344))),OR(BUSCAR!$J$8="",ISNUMBER(SEARCH(BUSCAR!$J$8,$AI344))),OR(BUSCAR!$J$9="",ISNUMBER(SEARCH(BUSCAR!$J$9,$AI344))),OR(NOT(BUSCAR!$J$2),AND(ISNUMBER($AF344),$AF344&gt;=BUSCAR!$J$3,$AF344&lt;=BUSCAR!$J$4))),1,0))</f>
      </c>
      <c r="AH344" s="42">
        <f t="shared" si="15"/>
      </c>
      <c r="AI344" s="42">
        <f t="shared" si="16"/>
      </c>
    </row>
    <row r="345" spans="1:35" x14ac:dyDescent="0.2">
      <c r="A345" s="66">
        <f t="shared" si="17"/>
      </c>
      <c r="B345" s="4"/>
      <c r="C345" s="4"/>
      <c r="D345" s="4"/>
      <c r="E345" s="4"/>
      <c r="F345" s="32"/>
      <c r="G345" s="8"/>
      <c r="H345" s="9"/>
      <c r="I345" s="8"/>
      <c r="J345" s="10"/>
      <c r="K345" s="8"/>
      <c r="L345" s="8"/>
      <c r="M345" s="8"/>
      <c r="N345" s="11"/>
      <c r="O345" s="9"/>
      <c r="P345" s="12"/>
      <c r="Q345" s="9"/>
      <c r="R345" s="13"/>
      <c r="S345" s="11"/>
      <c r="T345" s="11"/>
      <c r="U345" s="9"/>
      <c r="V345" s="9"/>
      <c r="W345" s="9"/>
      <c r="X345" s="13"/>
      <c r="AF345" s="42">
        <f>IF(BUSCAR!$C$8="FECHA NAC.",$G345,IF(BUSCAR!$C$8="PASAPORTE EXPIRA",$J345,IF(BUSCAR!$C$8="LICENCIA EMISION",$L345,IF(BUSCAR!$C$8="LICENCIA EXPIRA",$M345,""))))</f>
      </c>
      <c r="AG345" s="42">
        <f>IF($B345&amp;$C345&amp;$D345&amp;$E345&amp;$H345="",0,IF(AND(OR(BUSCAR!$J$5="",ISNUMBER(SEARCH(BUSCAR!$J$5,$AI345))),OR(BUSCAR!$J$6="",ISNUMBER(SEARCH(BUSCAR!$J$6,$AI345))),OR(BUSCAR!$J$8="",ISNUMBER(SEARCH(BUSCAR!$J$8,$AI345))),OR(BUSCAR!$J$9="",ISNUMBER(SEARCH(BUSCAR!$J$9,$AI345))),OR(NOT(BUSCAR!$J$2),AND(ISNUMBER($AF345),$AF345&gt;=BUSCAR!$J$3,$AF345&lt;=BUSCAR!$J$4))),1,0))</f>
      </c>
      <c r="AH345" s="42">
        <f t="shared" si="15"/>
      </c>
      <c r="AI345" s="42">
        <f t="shared" si="16"/>
      </c>
    </row>
    <row r="346" spans="1:35" x14ac:dyDescent="0.2">
      <c r="A346" s="66">
        <f t="shared" si="17"/>
      </c>
      <c r="B346" s="4"/>
      <c r="C346" s="4"/>
      <c r="D346" s="4"/>
      <c r="E346" s="4"/>
      <c r="F346" s="32"/>
      <c r="G346" s="8"/>
      <c r="H346" s="9"/>
      <c r="I346" s="8"/>
      <c r="J346" s="10"/>
      <c r="K346" s="8"/>
      <c r="L346" s="8"/>
      <c r="M346" s="8"/>
      <c r="N346" s="11"/>
      <c r="O346" s="9"/>
      <c r="P346" s="12"/>
      <c r="Q346" s="9"/>
      <c r="R346" s="13"/>
      <c r="S346" s="11"/>
      <c r="T346" s="11"/>
      <c r="U346" s="9"/>
      <c r="V346" s="9"/>
      <c r="W346" s="9"/>
      <c r="X346" s="16"/>
      <c r="AF346" s="42">
        <f>IF(BUSCAR!$C$8="FECHA NAC.",$G346,IF(BUSCAR!$C$8="PASAPORTE EXPIRA",$J346,IF(BUSCAR!$C$8="LICENCIA EMISION",$L346,IF(BUSCAR!$C$8="LICENCIA EXPIRA",$M346,""))))</f>
      </c>
      <c r="AG346" s="42">
        <f>IF($B346&amp;$C346&amp;$D346&amp;$E346&amp;$H346="",0,IF(AND(OR(BUSCAR!$J$5="",ISNUMBER(SEARCH(BUSCAR!$J$5,$AI346))),OR(BUSCAR!$J$6="",ISNUMBER(SEARCH(BUSCAR!$J$6,$AI346))),OR(BUSCAR!$J$8="",ISNUMBER(SEARCH(BUSCAR!$J$8,$AI346))),OR(BUSCAR!$J$9="",ISNUMBER(SEARCH(BUSCAR!$J$9,$AI346))),OR(NOT(BUSCAR!$J$2),AND(ISNUMBER($AF346),$AF346&gt;=BUSCAR!$J$3,$AF346&lt;=BUSCAR!$J$4))),1,0))</f>
      </c>
      <c r="AH346" s="42">
        <f t="shared" si="15"/>
      </c>
      <c r="AI346" s="42">
        <f t="shared" si="16"/>
      </c>
    </row>
    <row r="347" spans="1:35" x14ac:dyDescent="0.2">
      <c r="A347" s="66">
        <f t="shared" si="17"/>
      </c>
      <c r="B347" s="4"/>
      <c r="C347" s="4"/>
      <c r="D347" s="4"/>
      <c r="E347" s="4"/>
      <c r="F347" s="32"/>
      <c r="G347" s="8"/>
      <c r="H347" s="9"/>
      <c r="I347" s="8"/>
      <c r="J347" s="10"/>
      <c r="K347" s="8"/>
      <c r="L347" s="8"/>
      <c r="M347" s="8"/>
      <c r="N347" s="11"/>
      <c r="O347" s="9"/>
      <c r="P347" s="12"/>
      <c r="Q347" s="9"/>
      <c r="R347" s="13"/>
      <c r="S347" s="11"/>
      <c r="T347" s="11"/>
      <c r="U347" s="9"/>
      <c r="V347" s="9"/>
      <c r="W347" s="9"/>
      <c r="X347" s="16"/>
      <c r="AF347" s="42">
        <f>IF(BUSCAR!$C$8="FECHA NAC.",$G347,IF(BUSCAR!$C$8="PASAPORTE EXPIRA",$J347,IF(BUSCAR!$C$8="LICENCIA EMISION",$L347,IF(BUSCAR!$C$8="LICENCIA EXPIRA",$M347,""))))</f>
      </c>
      <c r="AG347" s="42">
        <f>IF($B347&amp;$C347&amp;$D347&amp;$E347&amp;$H347="",0,IF(AND(OR(BUSCAR!$J$5="",ISNUMBER(SEARCH(BUSCAR!$J$5,$AI347))),OR(BUSCAR!$J$6="",ISNUMBER(SEARCH(BUSCAR!$J$6,$AI347))),OR(BUSCAR!$J$8="",ISNUMBER(SEARCH(BUSCAR!$J$8,$AI347))),OR(BUSCAR!$J$9="",ISNUMBER(SEARCH(BUSCAR!$J$9,$AI347))),OR(NOT(BUSCAR!$J$2),AND(ISNUMBER($AF347),$AF347&gt;=BUSCAR!$J$3,$AF347&lt;=BUSCAR!$J$4))),1,0))</f>
      </c>
      <c r="AH347" s="42">
        <f t="shared" si="15"/>
      </c>
      <c r="AI347" s="42">
        <f t="shared" si="16"/>
      </c>
    </row>
    <row r="348" spans="1:35" x14ac:dyDescent="0.2">
      <c r="A348" s="66">
        <f t="shared" si="17"/>
      </c>
      <c r="B348" s="4"/>
      <c r="C348" s="4"/>
      <c r="D348" s="4"/>
      <c r="E348" s="4"/>
      <c r="F348" s="32"/>
      <c r="G348" s="8"/>
      <c r="H348" s="9"/>
      <c r="I348" s="8"/>
      <c r="J348" s="10"/>
      <c r="K348" s="8"/>
      <c r="L348" s="8"/>
      <c r="M348" s="8"/>
      <c r="N348" s="11"/>
      <c r="O348" s="9"/>
      <c r="P348" s="12"/>
      <c r="Q348" s="9"/>
      <c r="R348" s="13"/>
      <c r="S348" s="11"/>
      <c r="T348" s="11"/>
      <c r="U348" s="9"/>
      <c r="V348" s="9"/>
      <c r="W348" s="9"/>
      <c r="X348" s="16"/>
      <c r="AF348" s="42">
        <f>IF(BUSCAR!$C$8="FECHA NAC.",$G348,IF(BUSCAR!$C$8="PASAPORTE EXPIRA",$J348,IF(BUSCAR!$C$8="LICENCIA EMISION",$L348,IF(BUSCAR!$C$8="LICENCIA EXPIRA",$M348,""))))</f>
      </c>
      <c r="AG348" s="42">
        <f>IF($B348&amp;$C348&amp;$D348&amp;$E348&amp;$H348="",0,IF(AND(OR(BUSCAR!$J$5="",ISNUMBER(SEARCH(BUSCAR!$J$5,$AI348))),OR(BUSCAR!$J$6="",ISNUMBER(SEARCH(BUSCAR!$J$6,$AI348))),OR(BUSCAR!$J$8="",ISNUMBER(SEARCH(BUSCAR!$J$8,$AI348))),OR(BUSCAR!$J$9="",ISNUMBER(SEARCH(BUSCAR!$J$9,$AI348))),OR(NOT(BUSCAR!$J$2),AND(ISNUMBER($AF348),$AF348&gt;=BUSCAR!$J$3,$AF348&lt;=BUSCAR!$J$4))),1,0))</f>
      </c>
      <c r="AH348" s="42">
        <f t="shared" si="15"/>
      </c>
      <c r="AI348" s="42">
        <f t="shared" si="16"/>
      </c>
    </row>
    <row r="349" spans="1:35" x14ac:dyDescent="0.2">
      <c r="A349" s="66">
        <f t="shared" si="17"/>
      </c>
      <c r="B349" s="4"/>
      <c r="C349" s="4"/>
      <c r="D349" s="4"/>
      <c r="E349" s="4"/>
      <c r="F349" s="32"/>
      <c r="G349" s="8"/>
      <c r="H349" s="9"/>
      <c r="I349" s="8"/>
      <c r="J349" s="10"/>
      <c r="K349" s="8"/>
      <c r="L349" s="8"/>
      <c r="M349" s="8"/>
      <c r="N349" s="11"/>
      <c r="O349" s="9"/>
      <c r="P349" s="12"/>
      <c r="Q349" s="9"/>
      <c r="R349" s="13"/>
      <c r="S349" s="11"/>
      <c r="T349" s="11"/>
      <c r="U349" s="9"/>
      <c r="V349" s="9"/>
      <c r="W349" s="9"/>
      <c r="X349" s="16"/>
      <c r="AF349" s="42">
        <f>IF(BUSCAR!$C$8="FECHA NAC.",$G349,IF(BUSCAR!$C$8="PASAPORTE EXPIRA",$J349,IF(BUSCAR!$C$8="LICENCIA EMISION",$L349,IF(BUSCAR!$C$8="LICENCIA EXPIRA",$M349,""))))</f>
      </c>
      <c r="AG349" s="42">
        <f>IF($B349&amp;$C349&amp;$D349&amp;$E349&amp;$H349="",0,IF(AND(OR(BUSCAR!$J$5="",ISNUMBER(SEARCH(BUSCAR!$J$5,$AI349))),OR(BUSCAR!$J$6="",ISNUMBER(SEARCH(BUSCAR!$J$6,$AI349))),OR(BUSCAR!$J$8="",ISNUMBER(SEARCH(BUSCAR!$J$8,$AI349))),OR(BUSCAR!$J$9="",ISNUMBER(SEARCH(BUSCAR!$J$9,$AI349))),OR(NOT(BUSCAR!$J$2),AND(ISNUMBER($AF349),$AF349&gt;=BUSCAR!$J$3,$AF349&lt;=BUSCAR!$J$4))),1,0))</f>
      </c>
      <c r="AH349" s="42">
        <f t="shared" si="15"/>
      </c>
      <c r="AI349" s="42">
        <f t="shared" si="16"/>
      </c>
    </row>
    <row r="350" spans="1:35" x14ac:dyDescent="0.2">
      <c r="A350" s="66">
        <f t="shared" si="17"/>
      </c>
      <c r="B350" s="4"/>
      <c r="C350" s="4"/>
      <c r="D350" s="4"/>
      <c r="E350" s="4"/>
      <c r="F350" s="32"/>
      <c r="G350" s="8"/>
      <c r="H350" s="9"/>
      <c r="I350" s="8"/>
      <c r="J350" s="10"/>
      <c r="K350" s="8"/>
      <c r="L350" s="8"/>
      <c r="M350" s="8"/>
      <c r="N350" s="11"/>
      <c r="O350" s="9"/>
      <c r="P350" s="12"/>
      <c r="Q350" s="9"/>
      <c r="R350" s="13"/>
      <c r="S350" s="11"/>
      <c r="T350" s="11"/>
      <c r="U350" s="9"/>
      <c r="V350" s="9"/>
      <c r="W350" s="9"/>
      <c r="X350" s="16"/>
      <c r="AF350" s="42">
        <f>IF(BUSCAR!$C$8="FECHA NAC.",$G350,IF(BUSCAR!$C$8="PASAPORTE EXPIRA",$J350,IF(BUSCAR!$C$8="LICENCIA EMISION",$L350,IF(BUSCAR!$C$8="LICENCIA EXPIRA",$M350,""))))</f>
      </c>
      <c r="AG350" s="42">
        <f>IF($B350&amp;$C350&amp;$D350&amp;$E350&amp;$H350="",0,IF(AND(OR(BUSCAR!$J$5="",ISNUMBER(SEARCH(BUSCAR!$J$5,$AI350))),OR(BUSCAR!$J$6="",ISNUMBER(SEARCH(BUSCAR!$J$6,$AI350))),OR(BUSCAR!$J$8="",ISNUMBER(SEARCH(BUSCAR!$J$8,$AI350))),OR(BUSCAR!$J$9="",ISNUMBER(SEARCH(BUSCAR!$J$9,$AI350))),OR(NOT(BUSCAR!$J$2),AND(ISNUMBER($AF350),$AF350&gt;=BUSCAR!$J$3,$AF350&lt;=BUSCAR!$J$4))),1,0))</f>
      </c>
      <c r="AH350" s="42">
        <f t="shared" si="15"/>
      </c>
      <c r="AI350" s="42">
        <f t="shared" si="16"/>
      </c>
    </row>
    <row r="351" spans="1:35" x14ac:dyDescent="0.2">
      <c r="A351" s="66">
        <f t="shared" si="17"/>
      </c>
      <c r="B351" s="4"/>
      <c r="C351" s="4"/>
      <c r="D351" s="4"/>
      <c r="E351" s="4"/>
      <c r="F351" s="32"/>
      <c r="G351" s="8"/>
      <c r="H351" s="9"/>
      <c r="I351" s="8"/>
      <c r="J351" s="10"/>
      <c r="K351" s="8"/>
      <c r="L351" s="8"/>
      <c r="M351" s="8"/>
      <c r="N351" s="11"/>
      <c r="O351" s="9"/>
      <c r="P351" s="12"/>
      <c r="Q351" s="9"/>
      <c r="R351" s="13"/>
      <c r="S351" s="11"/>
      <c r="T351" s="11"/>
      <c r="U351" s="9"/>
      <c r="V351" s="9"/>
      <c r="W351" s="9"/>
      <c r="X351" s="16"/>
      <c r="AF351" s="42">
        <f>IF(BUSCAR!$C$8="FECHA NAC.",$G351,IF(BUSCAR!$C$8="PASAPORTE EXPIRA",$J351,IF(BUSCAR!$C$8="LICENCIA EMISION",$L351,IF(BUSCAR!$C$8="LICENCIA EXPIRA",$M351,""))))</f>
      </c>
      <c r="AG351" s="42">
        <f>IF($B351&amp;$C351&amp;$D351&amp;$E351&amp;$H351="",0,IF(AND(OR(BUSCAR!$J$5="",ISNUMBER(SEARCH(BUSCAR!$J$5,$AI351))),OR(BUSCAR!$J$6="",ISNUMBER(SEARCH(BUSCAR!$J$6,$AI351))),OR(BUSCAR!$J$8="",ISNUMBER(SEARCH(BUSCAR!$J$8,$AI351))),OR(BUSCAR!$J$9="",ISNUMBER(SEARCH(BUSCAR!$J$9,$AI351))),OR(NOT(BUSCAR!$J$2),AND(ISNUMBER($AF351),$AF351&gt;=BUSCAR!$J$3,$AF351&lt;=BUSCAR!$J$4))),1,0))</f>
      </c>
      <c r="AH351" s="42">
        <f t="shared" si="15"/>
      </c>
      <c r="AI351" s="42">
        <f t="shared" si="16"/>
      </c>
    </row>
    <row r="352" spans="1:35" x14ac:dyDescent="0.2">
      <c r="A352" s="66">
        <f t="shared" si="17"/>
      </c>
      <c r="B352" s="4"/>
      <c r="C352" s="4"/>
      <c r="D352" s="4"/>
      <c r="E352" s="4"/>
      <c r="F352" s="32"/>
      <c r="G352" s="8"/>
      <c r="H352" s="9"/>
      <c r="I352" s="8"/>
      <c r="J352" s="10"/>
      <c r="K352" s="8"/>
      <c r="L352" s="8"/>
      <c r="M352" s="8"/>
      <c r="N352" s="11"/>
      <c r="O352" s="9"/>
      <c r="P352" s="12"/>
      <c r="Q352" s="9"/>
      <c r="R352" s="13"/>
      <c r="S352" s="11"/>
      <c r="T352" s="11"/>
      <c r="U352" s="9"/>
      <c r="V352" s="9"/>
      <c r="W352" s="9"/>
      <c r="X352" s="16"/>
      <c r="AF352" s="42">
        <f>IF(BUSCAR!$C$8="FECHA NAC.",$G352,IF(BUSCAR!$C$8="PASAPORTE EXPIRA",$J352,IF(BUSCAR!$C$8="LICENCIA EMISION",$L352,IF(BUSCAR!$C$8="LICENCIA EXPIRA",$M352,""))))</f>
      </c>
      <c r="AG352" s="42">
        <f>IF($B352&amp;$C352&amp;$D352&amp;$E352&amp;$H352="",0,IF(AND(OR(BUSCAR!$J$5="",ISNUMBER(SEARCH(BUSCAR!$J$5,$AI352))),OR(BUSCAR!$J$6="",ISNUMBER(SEARCH(BUSCAR!$J$6,$AI352))),OR(BUSCAR!$J$8="",ISNUMBER(SEARCH(BUSCAR!$J$8,$AI352))),OR(BUSCAR!$J$9="",ISNUMBER(SEARCH(BUSCAR!$J$9,$AI352))),OR(NOT(BUSCAR!$J$2),AND(ISNUMBER($AF352),$AF352&gt;=BUSCAR!$J$3,$AF352&lt;=BUSCAR!$J$4))),1,0))</f>
      </c>
      <c r="AH352" s="42">
        <f t="shared" si="15"/>
      </c>
      <c r="AI352" s="42">
        <f t="shared" si="16"/>
      </c>
    </row>
    <row r="353" spans="1:35" x14ac:dyDescent="0.2">
      <c r="A353" s="66">
        <f t="shared" si="17"/>
      </c>
      <c r="B353" s="4"/>
      <c r="C353" s="4"/>
      <c r="D353" s="4"/>
      <c r="E353" s="4"/>
      <c r="F353" s="32"/>
      <c r="G353" s="8"/>
      <c r="H353" s="9"/>
      <c r="I353" s="8"/>
      <c r="J353" s="10"/>
      <c r="K353" s="8"/>
      <c r="L353" s="8"/>
      <c r="M353" s="8"/>
      <c r="N353" s="11"/>
      <c r="O353" s="9"/>
      <c r="P353" s="12"/>
      <c r="Q353" s="9"/>
      <c r="R353" s="13"/>
      <c r="S353" s="11"/>
      <c r="T353" s="11"/>
      <c r="U353" s="9"/>
      <c r="V353" s="9"/>
      <c r="W353" s="9"/>
      <c r="X353" s="16"/>
      <c r="AF353" s="42">
        <f>IF(BUSCAR!$C$8="FECHA NAC.",$G353,IF(BUSCAR!$C$8="PASAPORTE EXPIRA",$J353,IF(BUSCAR!$C$8="LICENCIA EMISION",$L353,IF(BUSCAR!$C$8="LICENCIA EXPIRA",$M353,""))))</f>
      </c>
      <c r="AG353" s="42">
        <f>IF($B353&amp;$C353&amp;$D353&amp;$E353&amp;$H353="",0,IF(AND(OR(BUSCAR!$J$5="",ISNUMBER(SEARCH(BUSCAR!$J$5,$AI353))),OR(BUSCAR!$J$6="",ISNUMBER(SEARCH(BUSCAR!$J$6,$AI353))),OR(BUSCAR!$J$8="",ISNUMBER(SEARCH(BUSCAR!$J$8,$AI353))),OR(BUSCAR!$J$9="",ISNUMBER(SEARCH(BUSCAR!$J$9,$AI353))),OR(NOT(BUSCAR!$J$2),AND(ISNUMBER($AF353),$AF353&gt;=BUSCAR!$J$3,$AF353&lt;=BUSCAR!$J$4))),1,0))</f>
      </c>
      <c r="AH353" s="42">
        <f t="shared" si="15"/>
      </c>
      <c r="AI353" s="42">
        <f t="shared" si="16"/>
      </c>
    </row>
    <row r="354" spans="1:35" x14ac:dyDescent="0.2">
      <c r="A354" s="66">
        <f t="shared" si="17"/>
      </c>
      <c r="B354" s="4"/>
      <c r="C354" s="4"/>
      <c r="D354" s="4"/>
      <c r="E354" s="4"/>
      <c r="F354" s="32"/>
      <c r="G354" s="8"/>
      <c r="H354" s="9"/>
      <c r="I354" s="8"/>
      <c r="J354" s="10"/>
      <c r="K354" s="8"/>
      <c r="L354" s="8"/>
      <c r="M354" s="8"/>
      <c r="N354" s="11"/>
      <c r="O354" s="9"/>
      <c r="P354" s="12"/>
      <c r="Q354" s="9"/>
      <c r="R354" s="13"/>
      <c r="S354" s="11"/>
      <c r="T354" s="11"/>
      <c r="U354" s="9"/>
      <c r="V354" s="9"/>
      <c r="W354" s="9"/>
      <c r="X354" s="16"/>
      <c r="AF354" s="42">
        <f>IF(BUSCAR!$C$8="FECHA NAC.",$G354,IF(BUSCAR!$C$8="PASAPORTE EXPIRA",$J354,IF(BUSCAR!$C$8="LICENCIA EMISION",$L354,IF(BUSCAR!$C$8="LICENCIA EXPIRA",$M354,""))))</f>
      </c>
      <c r="AG354" s="42">
        <f>IF($B354&amp;$C354&amp;$D354&amp;$E354&amp;$H354="",0,IF(AND(OR(BUSCAR!$J$5="",ISNUMBER(SEARCH(BUSCAR!$J$5,$AI354))),OR(BUSCAR!$J$6="",ISNUMBER(SEARCH(BUSCAR!$J$6,$AI354))),OR(BUSCAR!$J$8="",ISNUMBER(SEARCH(BUSCAR!$J$8,$AI354))),OR(BUSCAR!$J$9="",ISNUMBER(SEARCH(BUSCAR!$J$9,$AI354))),OR(NOT(BUSCAR!$J$2),AND(ISNUMBER($AF354),$AF354&gt;=BUSCAR!$J$3,$AF354&lt;=BUSCAR!$J$4))),1,0))</f>
      </c>
      <c r="AH354" s="42">
        <f t="shared" si="15"/>
      </c>
      <c r="AI354" s="42">
        <f t="shared" si="16"/>
      </c>
    </row>
    <row r="355" spans="1:35" x14ac:dyDescent="0.2">
      <c r="A355" s="66">
        <f t="shared" si="17"/>
      </c>
      <c r="B355" s="4"/>
      <c r="C355" s="4"/>
      <c r="D355" s="4"/>
      <c r="E355" s="4"/>
      <c r="F355" s="32"/>
      <c r="G355" s="8"/>
      <c r="H355" s="9"/>
      <c r="I355" s="8"/>
      <c r="J355" s="10"/>
      <c r="K355" s="8"/>
      <c r="L355" s="8"/>
      <c r="M355" s="8"/>
      <c r="N355" s="11"/>
      <c r="O355" s="9"/>
      <c r="P355" s="12"/>
      <c r="Q355" s="9"/>
      <c r="R355" s="13"/>
      <c r="S355" s="11"/>
      <c r="T355" s="11"/>
      <c r="U355" s="9"/>
      <c r="V355" s="9"/>
      <c r="W355" s="9"/>
      <c r="X355" s="16"/>
      <c r="AF355" s="42">
        <f>IF(BUSCAR!$C$8="FECHA NAC.",$G355,IF(BUSCAR!$C$8="PASAPORTE EXPIRA",$J355,IF(BUSCAR!$C$8="LICENCIA EMISION",$L355,IF(BUSCAR!$C$8="LICENCIA EXPIRA",$M355,""))))</f>
      </c>
      <c r="AG355" s="42">
        <f>IF($B355&amp;$C355&amp;$D355&amp;$E355&amp;$H355="",0,IF(AND(OR(BUSCAR!$J$5="",ISNUMBER(SEARCH(BUSCAR!$J$5,$AI355))),OR(BUSCAR!$J$6="",ISNUMBER(SEARCH(BUSCAR!$J$6,$AI355))),OR(BUSCAR!$J$8="",ISNUMBER(SEARCH(BUSCAR!$J$8,$AI355))),OR(BUSCAR!$J$9="",ISNUMBER(SEARCH(BUSCAR!$J$9,$AI355))),OR(NOT(BUSCAR!$J$2),AND(ISNUMBER($AF355),$AF355&gt;=BUSCAR!$J$3,$AF355&lt;=BUSCAR!$J$4))),1,0))</f>
      </c>
      <c r="AH355" s="42">
        <f t="shared" si="15"/>
      </c>
      <c r="AI355" s="42">
        <f t="shared" si="16"/>
      </c>
    </row>
    <row r="356" spans="1:35" x14ac:dyDescent="0.2">
      <c r="A356" s="66">
        <f t="shared" si="17"/>
      </c>
      <c r="B356" s="4"/>
      <c r="C356" s="4"/>
      <c r="D356" s="4"/>
      <c r="E356" s="4"/>
      <c r="F356" s="32"/>
      <c r="G356" s="8"/>
      <c r="H356" s="9"/>
      <c r="I356" s="8"/>
      <c r="J356" s="10"/>
      <c r="K356" s="8"/>
      <c r="L356" s="8"/>
      <c r="M356" s="8"/>
      <c r="N356" s="11"/>
      <c r="O356" s="9"/>
      <c r="P356" s="12"/>
      <c r="Q356" s="9"/>
      <c r="R356" s="13"/>
      <c r="S356" s="11"/>
      <c r="T356" s="11"/>
      <c r="U356" s="9"/>
      <c r="V356" s="9"/>
      <c r="W356" s="9"/>
      <c r="X356" s="16"/>
      <c r="AF356" s="42">
        <f>IF(BUSCAR!$C$8="FECHA NAC.",$G356,IF(BUSCAR!$C$8="PASAPORTE EXPIRA",$J356,IF(BUSCAR!$C$8="LICENCIA EMISION",$L356,IF(BUSCAR!$C$8="LICENCIA EXPIRA",$M356,""))))</f>
      </c>
      <c r="AG356" s="42">
        <f>IF($B356&amp;$C356&amp;$D356&amp;$E356&amp;$H356="",0,IF(AND(OR(BUSCAR!$J$5="",ISNUMBER(SEARCH(BUSCAR!$J$5,$AI356))),OR(BUSCAR!$J$6="",ISNUMBER(SEARCH(BUSCAR!$J$6,$AI356))),OR(BUSCAR!$J$8="",ISNUMBER(SEARCH(BUSCAR!$J$8,$AI356))),OR(BUSCAR!$J$9="",ISNUMBER(SEARCH(BUSCAR!$J$9,$AI356))),OR(NOT(BUSCAR!$J$2),AND(ISNUMBER($AF356),$AF356&gt;=BUSCAR!$J$3,$AF356&lt;=BUSCAR!$J$4))),1,0))</f>
      </c>
      <c r="AH356" s="42">
        <f t="shared" si="15"/>
      </c>
      <c r="AI356" s="42">
        <f t="shared" si="16"/>
      </c>
    </row>
    <row r="357" spans="1:35" x14ac:dyDescent="0.2">
      <c r="A357" s="66">
        <f t="shared" si="17"/>
      </c>
      <c r="B357" s="4"/>
      <c r="C357" s="4"/>
      <c r="D357" s="4"/>
      <c r="E357" s="4"/>
      <c r="F357" s="32"/>
      <c r="G357" s="8"/>
      <c r="H357" s="9"/>
      <c r="I357" s="8"/>
      <c r="J357" s="10"/>
      <c r="K357" s="8"/>
      <c r="L357" s="8"/>
      <c r="M357" s="8"/>
      <c r="N357" s="11"/>
      <c r="O357" s="9"/>
      <c r="P357" s="12"/>
      <c r="Q357" s="9"/>
      <c r="R357" s="13"/>
      <c r="S357" s="11"/>
      <c r="T357" s="11"/>
      <c r="U357" s="9"/>
      <c r="V357" s="9"/>
      <c r="W357" s="9"/>
      <c r="X357" s="16"/>
      <c r="AF357" s="42">
        <f>IF(BUSCAR!$C$8="FECHA NAC.",$G357,IF(BUSCAR!$C$8="PASAPORTE EXPIRA",$J357,IF(BUSCAR!$C$8="LICENCIA EMISION",$L357,IF(BUSCAR!$C$8="LICENCIA EXPIRA",$M357,""))))</f>
      </c>
      <c r="AG357" s="42">
        <f>IF($B357&amp;$C357&amp;$D357&amp;$E357&amp;$H357="",0,IF(AND(OR(BUSCAR!$J$5="",ISNUMBER(SEARCH(BUSCAR!$J$5,$AI357))),OR(BUSCAR!$J$6="",ISNUMBER(SEARCH(BUSCAR!$J$6,$AI357))),OR(BUSCAR!$J$8="",ISNUMBER(SEARCH(BUSCAR!$J$8,$AI357))),OR(BUSCAR!$J$9="",ISNUMBER(SEARCH(BUSCAR!$J$9,$AI357))),OR(NOT(BUSCAR!$J$2),AND(ISNUMBER($AF357),$AF357&gt;=BUSCAR!$J$3,$AF357&lt;=BUSCAR!$J$4))),1,0))</f>
      </c>
      <c r="AH357" s="42">
        <f t="shared" si="15"/>
      </c>
      <c r="AI357" s="42">
        <f t="shared" si="16"/>
      </c>
    </row>
    <row r="358" spans="1:35" x14ac:dyDescent="0.2">
      <c r="A358" s="66">
        <f t="shared" si="17"/>
      </c>
      <c r="B358" s="4"/>
      <c r="C358" s="4"/>
      <c r="D358" s="4"/>
      <c r="E358" s="4"/>
      <c r="F358" s="32"/>
      <c r="G358" s="8"/>
      <c r="H358" s="9"/>
      <c r="I358" s="8"/>
      <c r="J358" s="10"/>
      <c r="K358" s="8"/>
      <c r="L358" s="8"/>
      <c r="M358" s="8"/>
      <c r="N358" s="11"/>
      <c r="O358" s="9"/>
      <c r="P358" s="12"/>
      <c r="Q358" s="9"/>
      <c r="R358" s="13"/>
      <c r="S358" s="11"/>
      <c r="T358" s="11"/>
      <c r="U358" s="9"/>
      <c r="V358" s="9"/>
      <c r="W358" s="9"/>
      <c r="X358" s="16"/>
      <c r="AF358" s="42">
        <f>IF(BUSCAR!$C$8="FECHA NAC.",$G358,IF(BUSCAR!$C$8="PASAPORTE EXPIRA",$J358,IF(BUSCAR!$C$8="LICENCIA EMISION",$L358,IF(BUSCAR!$C$8="LICENCIA EXPIRA",$M358,""))))</f>
      </c>
      <c r="AG358" s="42">
        <f>IF($B358&amp;$C358&amp;$D358&amp;$E358&amp;$H358="",0,IF(AND(OR(BUSCAR!$J$5="",ISNUMBER(SEARCH(BUSCAR!$J$5,$AI358))),OR(BUSCAR!$J$6="",ISNUMBER(SEARCH(BUSCAR!$J$6,$AI358))),OR(BUSCAR!$J$8="",ISNUMBER(SEARCH(BUSCAR!$J$8,$AI358))),OR(BUSCAR!$J$9="",ISNUMBER(SEARCH(BUSCAR!$J$9,$AI358))),OR(NOT(BUSCAR!$J$2),AND(ISNUMBER($AF358),$AF358&gt;=BUSCAR!$J$3,$AF358&lt;=BUSCAR!$J$4))),1,0))</f>
      </c>
      <c r="AH358" s="42">
        <f t="shared" si="15"/>
      </c>
      <c r="AI358" s="42">
        <f t="shared" si="16"/>
      </c>
    </row>
    <row r="359" spans="1:35" x14ac:dyDescent="0.2">
      <c r="A359" s="66">
        <f t="shared" si="17"/>
      </c>
      <c r="B359" s="4"/>
      <c r="C359" s="4"/>
      <c r="D359" s="4"/>
      <c r="E359" s="4"/>
      <c r="F359" s="32"/>
      <c r="G359" s="8"/>
      <c r="H359" s="9"/>
      <c r="I359" s="8"/>
      <c r="J359" s="10"/>
      <c r="K359" s="8"/>
      <c r="L359" s="8"/>
      <c r="M359" s="8"/>
      <c r="N359" s="11"/>
      <c r="O359" s="9"/>
      <c r="P359" s="12"/>
      <c r="Q359" s="9"/>
      <c r="R359" s="13"/>
      <c r="S359" s="11"/>
      <c r="T359" s="11"/>
      <c r="U359" s="9"/>
      <c r="V359" s="9"/>
      <c r="W359" s="9"/>
      <c r="X359" s="16"/>
      <c r="AF359" s="42">
        <f>IF(BUSCAR!$C$8="FECHA NAC.",$G359,IF(BUSCAR!$C$8="PASAPORTE EXPIRA",$J359,IF(BUSCAR!$C$8="LICENCIA EMISION",$L359,IF(BUSCAR!$C$8="LICENCIA EXPIRA",$M359,""))))</f>
      </c>
      <c r="AG359" s="42">
        <f>IF($B359&amp;$C359&amp;$D359&amp;$E359&amp;$H359="",0,IF(AND(OR(BUSCAR!$J$5="",ISNUMBER(SEARCH(BUSCAR!$J$5,$AI359))),OR(BUSCAR!$J$6="",ISNUMBER(SEARCH(BUSCAR!$J$6,$AI359))),OR(BUSCAR!$J$8="",ISNUMBER(SEARCH(BUSCAR!$J$8,$AI359))),OR(BUSCAR!$J$9="",ISNUMBER(SEARCH(BUSCAR!$J$9,$AI359))),OR(NOT(BUSCAR!$J$2),AND(ISNUMBER($AF359),$AF359&gt;=BUSCAR!$J$3,$AF359&lt;=BUSCAR!$J$4))),1,0))</f>
      </c>
      <c r="AH359" s="42">
        <f t="shared" si="15"/>
      </c>
      <c r="AI359" s="42">
        <f t="shared" si="16"/>
      </c>
    </row>
    <row r="360" spans="1:35" x14ac:dyDescent="0.2">
      <c r="A360" s="66">
        <f t="shared" si="17"/>
      </c>
      <c r="B360" s="4"/>
      <c r="C360" s="4"/>
      <c r="D360" s="4"/>
      <c r="E360" s="4"/>
      <c r="F360" s="32"/>
      <c r="G360" s="8"/>
      <c r="H360" s="9"/>
      <c r="I360" s="8"/>
      <c r="J360" s="10"/>
      <c r="K360" s="8"/>
      <c r="L360" s="8"/>
      <c r="M360" s="8"/>
      <c r="N360" s="11"/>
      <c r="O360" s="9"/>
      <c r="P360" s="12"/>
      <c r="Q360" s="9"/>
      <c r="R360" s="13"/>
      <c r="S360" s="11"/>
      <c r="T360" s="11"/>
      <c r="U360" s="9"/>
      <c r="V360" s="9"/>
      <c r="W360" s="9"/>
      <c r="X360" s="16"/>
      <c r="AF360" s="42">
        <f>IF(BUSCAR!$C$8="FECHA NAC.",$G360,IF(BUSCAR!$C$8="PASAPORTE EXPIRA",$J360,IF(BUSCAR!$C$8="LICENCIA EMISION",$L360,IF(BUSCAR!$C$8="LICENCIA EXPIRA",$M360,""))))</f>
      </c>
      <c r="AG360" s="42">
        <f>IF($B360&amp;$C360&amp;$D360&amp;$E360&amp;$H360="",0,IF(AND(OR(BUSCAR!$J$5="",ISNUMBER(SEARCH(BUSCAR!$J$5,$AI360))),OR(BUSCAR!$J$6="",ISNUMBER(SEARCH(BUSCAR!$J$6,$AI360))),OR(BUSCAR!$J$8="",ISNUMBER(SEARCH(BUSCAR!$J$8,$AI360))),OR(BUSCAR!$J$9="",ISNUMBER(SEARCH(BUSCAR!$J$9,$AI360))),OR(NOT(BUSCAR!$J$2),AND(ISNUMBER($AF360),$AF360&gt;=BUSCAR!$J$3,$AF360&lt;=BUSCAR!$J$4))),1,0))</f>
      </c>
      <c r="AH360" s="42">
        <f t="shared" si="15"/>
      </c>
      <c r="AI360" s="42">
        <f t="shared" si="16"/>
      </c>
    </row>
    <row r="361" spans="1:35" x14ac:dyDescent="0.2">
      <c r="A361" s="66">
        <f t="shared" si="17"/>
      </c>
      <c r="B361" s="4"/>
      <c r="C361" s="4"/>
      <c r="D361" s="4"/>
      <c r="E361" s="4"/>
      <c r="F361" s="32"/>
      <c r="G361" s="8"/>
      <c r="H361" s="9"/>
      <c r="I361" s="8"/>
      <c r="J361" s="10"/>
      <c r="K361" s="8"/>
      <c r="L361" s="8"/>
      <c r="M361" s="8"/>
      <c r="N361" s="11"/>
      <c r="O361" s="9"/>
      <c r="P361" s="12"/>
      <c r="Q361" s="9"/>
      <c r="R361" s="13"/>
      <c r="S361" s="11"/>
      <c r="T361" s="11"/>
      <c r="U361" s="9"/>
      <c r="V361" s="9"/>
      <c r="W361" s="9"/>
      <c r="X361" s="16"/>
      <c r="AF361" s="42">
        <f>IF(BUSCAR!$C$8="FECHA NAC.",$G361,IF(BUSCAR!$C$8="PASAPORTE EXPIRA",$J361,IF(BUSCAR!$C$8="LICENCIA EMISION",$L361,IF(BUSCAR!$C$8="LICENCIA EXPIRA",$M361,""))))</f>
      </c>
      <c r="AG361" s="42">
        <f>IF($B361&amp;$C361&amp;$D361&amp;$E361&amp;$H361="",0,IF(AND(OR(BUSCAR!$J$5="",ISNUMBER(SEARCH(BUSCAR!$J$5,$AI361))),OR(BUSCAR!$J$6="",ISNUMBER(SEARCH(BUSCAR!$J$6,$AI361))),OR(BUSCAR!$J$8="",ISNUMBER(SEARCH(BUSCAR!$J$8,$AI361))),OR(BUSCAR!$J$9="",ISNUMBER(SEARCH(BUSCAR!$J$9,$AI361))),OR(NOT(BUSCAR!$J$2),AND(ISNUMBER($AF361),$AF361&gt;=BUSCAR!$J$3,$AF361&lt;=BUSCAR!$J$4))),1,0))</f>
      </c>
      <c r="AH361" s="42">
        <f t="shared" si="15"/>
      </c>
      <c r="AI361" s="42">
        <f t="shared" si="16"/>
      </c>
    </row>
    <row r="362" spans="1:35" x14ac:dyDescent="0.2">
      <c r="A362" s="66">
        <f t="shared" si="17"/>
      </c>
      <c r="B362" s="4"/>
      <c r="C362" s="4"/>
      <c r="D362" s="4"/>
      <c r="E362" s="4"/>
      <c r="F362" s="32"/>
      <c r="G362" s="8"/>
      <c r="H362" s="9"/>
      <c r="I362" s="8"/>
      <c r="J362" s="10"/>
      <c r="K362" s="8"/>
      <c r="L362" s="8"/>
      <c r="M362" s="8"/>
      <c r="N362" s="11"/>
      <c r="O362" s="9"/>
      <c r="P362" s="12"/>
      <c r="Q362" s="9"/>
      <c r="R362" s="13"/>
      <c r="S362" s="11"/>
      <c r="T362" s="11"/>
      <c r="U362" s="9"/>
      <c r="V362" s="9"/>
      <c r="W362" s="9"/>
      <c r="X362" s="16"/>
      <c r="AF362" s="42">
        <f>IF(BUSCAR!$C$8="FECHA NAC.",$G362,IF(BUSCAR!$C$8="PASAPORTE EXPIRA",$J362,IF(BUSCAR!$C$8="LICENCIA EMISION",$L362,IF(BUSCAR!$C$8="LICENCIA EXPIRA",$M362,""))))</f>
      </c>
      <c r="AG362" s="42">
        <f>IF($B362&amp;$C362&amp;$D362&amp;$E362&amp;$H362="",0,IF(AND(OR(BUSCAR!$J$5="",ISNUMBER(SEARCH(BUSCAR!$J$5,$AI362))),OR(BUSCAR!$J$6="",ISNUMBER(SEARCH(BUSCAR!$J$6,$AI362))),OR(BUSCAR!$J$8="",ISNUMBER(SEARCH(BUSCAR!$J$8,$AI362))),OR(BUSCAR!$J$9="",ISNUMBER(SEARCH(BUSCAR!$J$9,$AI362))),OR(NOT(BUSCAR!$J$2),AND(ISNUMBER($AF362),$AF362&gt;=BUSCAR!$J$3,$AF362&lt;=BUSCAR!$J$4))),1,0))</f>
      </c>
      <c r="AH362" s="42">
        <f t="shared" si="15"/>
      </c>
      <c r="AI362" s="42">
        <f t="shared" si="16"/>
      </c>
    </row>
    <row r="363" spans="1:35" x14ac:dyDescent="0.2">
      <c r="A363" s="66">
        <f t="shared" si="17"/>
      </c>
      <c r="B363" s="4"/>
      <c r="C363" s="4"/>
      <c r="D363" s="4"/>
      <c r="E363" s="4"/>
      <c r="F363" s="32"/>
      <c r="G363" s="8"/>
      <c r="H363" s="9"/>
      <c r="I363" s="8"/>
      <c r="J363" s="10"/>
      <c r="K363" s="8"/>
      <c r="L363" s="8"/>
      <c r="M363" s="8"/>
      <c r="N363" s="11"/>
      <c r="O363" s="9"/>
      <c r="P363" s="12"/>
      <c r="Q363" s="9"/>
      <c r="R363" s="13"/>
      <c r="S363" s="11"/>
      <c r="T363" s="11"/>
      <c r="U363" s="9"/>
      <c r="V363" s="9"/>
      <c r="W363" s="9"/>
      <c r="X363" s="16"/>
      <c r="AF363" s="42">
        <f>IF(BUSCAR!$C$8="FECHA NAC.",$G363,IF(BUSCAR!$C$8="PASAPORTE EXPIRA",$J363,IF(BUSCAR!$C$8="LICENCIA EMISION",$L363,IF(BUSCAR!$C$8="LICENCIA EXPIRA",$M363,""))))</f>
      </c>
      <c r="AG363" s="42">
        <f>IF($B363&amp;$C363&amp;$D363&amp;$E363&amp;$H363="",0,IF(AND(OR(BUSCAR!$J$5="",ISNUMBER(SEARCH(BUSCAR!$J$5,$AI363))),OR(BUSCAR!$J$6="",ISNUMBER(SEARCH(BUSCAR!$J$6,$AI363))),OR(BUSCAR!$J$8="",ISNUMBER(SEARCH(BUSCAR!$J$8,$AI363))),OR(BUSCAR!$J$9="",ISNUMBER(SEARCH(BUSCAR!$J$9,$AI363))),OR(NOT(BUSCAR!$J$2),AND(ISNUMBER($AF363),$AF363&gt;=BUSCAR!$J$3,$AF363&lt;=BUSCAR!$J$4))),1,0))</f>
      </c>
      <c r="AH363" s="42">
        <f t="shared" si="15"/>
      </c>
      <c r="AI363" s="42">
        <f t="shared" si="16"/>
      </c>
    </row>
    <row r="364" spans="1:35" x14ac:dyDescent="0.2">
      <c r="A364" s="66">
        <f t="shared" si="17"/>
      </c>
      <c r="B364" s="4"/>
      <c r="C364" s="4"/>
      <c r="D364" s="4"/>
      <c r="E364" s="4"/>
      <c r="F364" s="32"/>
      <c r="G364" s="8"/>
      <c r="H364" s="9"/>
      <c r="I364" s="8"/>
      <c r="J364" s="10"/>
      <c r="K364" s="8"/>
      <c r="L364" s="8"/>
      <c r="M364" s="8"/>
      <c r="N364" s="11"/>
      <c r="O364" s="9"/>
      <c r="P364" s="12"/>
      <c r="Q364" s="9"/>
      <c r="R364" s="13"/>
      <c r="S364" s="11"/>
      <c r="T364" s="11"/>
      <c r="U364" s="9"/>
      <c r="V364" s="9"/>
      <c r="W364" s="9"/>
      <c r="X364" s="16"/>
      <c r="AF364" s="42">
        <f>IF(BUSCAR!$C$8="FECHA NAC.",$G364,IF(BUSCAR!$C$8="PASAPORTE EXPIRA",$J364,IF(BUSCAR!$C$8="LICENCIA EMISION",$L364,IF(BUSCAR!$C$8="LICENCIA EXPIRA",$M364,""))))</f>
      </c>
      <c r="AG364" s="42">
        <f>IF($B364&amp;$C364&amp;$D364&amp;$E364&amp;$H364="",0,IF(AND(OR(BUSCAR!$J$5="",ISNUMBER(SEARCH(BUSCAR!$J$5,$AI364))),OR(BUSCAR!$J$6="",ISNUMBER(SEARCH(BUSCAR!$J$6,$AI364))),OR(BUSCAR!$J$8="",ISNUMBER(SEARCH(BUSCAR!$J$8,$AI364))),OR(BUSCAR!$J$9="",ISNUMBER(SEARCH(BUSCAR!$J$9,$AI364))),OR(NOT(BUSCAR!$J$2),AND(ISNUMBER($AF364),$AF364&gt;=BUSCAR!$J$3,$AF364&lt;=BUSCAR!$J$4))),1,0))</f>
      </c>
      <c r="AH364" s="42">
        <f t="shared" si="15"/>
      </c>
      <c r="AI364" s="42">
        <f t="shared" si="16"/>
      </c>
    </row>
    <row r="365" spans="1:35" x14ac:dyDescent="0.2">
      <c r="A365" s="66">
        <f t="shared" si="17"/>
      </c>
      <c r="B365" s="4"/>
      <c r="C365" s="4"/>
      <c r="D365" s="4"/>
      <c r="E365" s="4"/>
      <c r="F365" s="32"/>
      <c r="G365" s="8"/>
      <c r="H365" s="9"/>
      <c r="I365" s="8"/>
      <c r="J365" s="10"/>
      <c r="K365" s="8"/>
      <c r="L365" s="8"/>
      <c r="M365" s="8"/>
      <c r="N365" s="11"/>
      <c r="O365" s="9"/>
      <c r="P365" s="12"/>
      <c r="Q365" s="9"/>
      <c r="R365" s="13"/>
      <c r="S365" s="11"/>
      <c r="T365" s="11"/>
      <c r="U365" s="9"/>
      <c r="V365" s="9"/>
      <c r="W365" s="9"/>
      <c r="X365" s="16"/>
      <c r="AF365" s="42">
        <f>IF(BUSCAR!$C$8="FECHA NAC.",$G365,IF(BUSCAR!$C$8="PASAPORTE EXPIRA",$J365,IF(BUSCAR!$C$8="LICENCIA EMISION",$L365,IF(BUSCAR!$C$8="LICENCIA EXPIRA",$M365,""))))</f>
      </c>
      <c r="AG365" s="42">
        <f>IF($B365&amp;$C365&amp;$D365&amp;$E365&amp;$H365="",0,IF(AND(OR(BUSCAR!$J$5="",ISNUMBER(SEARCH(BUSCAR!$J$5,$AI365))),OR(BUSCAR!$J$6="",ISNUMBER(SEARCH(BUSCAR!$J$6,$AI365))),OR(BUSCAR!$J$8="",ISNUMBER(SEARCH(BUSCAR!$J$8,$AI365))),OR(BUSCAR!$J$9="",ISNUMBER(SEARCH(BUSCAR!$J$9,$AI365))),OR(NOT(BUSCAR!$J$2),AND(ISNUMBER($AF365),$AF365&gt;=BUSCAR!$J$3,$AF365&lt;=BUSCAR!$J$4))),1,0))</f>
      </c>
      <c r="AH365" s="42">
        <f t="shared" si="15"/>
      </c>
      <c r="AI365" s="42">
        <f t="shared" si="16"/>
      </c>
    </row>
    <row r="366" spans="1:35" x14ac:dyDescent="0.2">
      <c r="A366" s="66">
        <f t="shared" si="17"/>
      </c>
      <c r="B366" s="4"/>
      <c r="C366" s="4"/>
      <c r="D366" s="4"/>
      <c r="E366" s="4"/>
      <c r="F366" s="32"/>
      <c r="G366" s="8"/>
      <c r="H366" s="9"/>
      <c r="I366" s="8"/>
      <c r="J366" s="10"/>
      <c r="K366" s="8"/>
      <c r="L366" s="8"/>
      <c r="M366" s="8"/>
      <c r="N366" s="11"/>
      <c r="O366" s="9"/>
      <c r="P366" s="12"/>
      <c r="Q366" s="9"/>
      <c r="R366" s="13"/>
      <c r="S366" s="11"/>
      <c r="T366" s="11"/>
      <c r="U366" s="9"/>
      <c r="V366" s="9"/>
      <c r="W366" s="9"/>
      <c r="X366" s="16"/>
      <c r="AF366" s="42">
        <f>IF(BUSCAR!$C$8="FECHA NAC.",$G366,IF(BUSCAR!$C$8="PASAPORTE EXPIRA",$J366,IF(BUSCAR!$C$8="LICENCIA EMISION",$L366,IF(BUSCAR!$C$8="LICENCIA EXPIRA",$M366,""))))</f>
      </c>
      <c r="AG366" s="42">
        <f>IF($B366&amp;$C366&amp;$D366&amp;$E366&amp;$H366="",0,IF(AND(OR(BUSCAR!$J$5="",ISNUMBER(SEARCH(BUSCAR!$J$5,$AI366))),OR(BUSCAR!$J$6="",ISNUMBER(SEARCH(BUSCAR!$J$6,$AI366))),OR(BUSCAR!$J$8="",ISNUMBER(SEARCH(BUSCAR!$J$8,$AI366))),OR(BUSCAR!$J$9="",ISNUMBER(SEARCH(BUSCAR!$J$9,$AI366))),OR(NOT(BUSCAR!$J$2),AND(ISNUMBER($AF366),$AF366&gt;=BUSCAR!$J$3,$AF366&lt;=BUSCAR!$J$4))),1,0))</f>
      </c>
      <c r="AH366" s="42">
        <f t="shared" si="15"/>
      </c>
      <c r="AI366" s="42">
        <f t="shared" si="16"/>
      </c>
    </row>
    <row r="367" spans="1:35" x14ac:dyDescent="0.2">
      <c r="A367" s="66">
        <f t="shared" si="17"/>
      </c>
      <c r="B367" s="4"/>
      <c r="C367" s="4"/>
      <c r="D367" s="4"/>
      <c r="E367" s="4"/>
      <c r="F367" s="32"/>
      <c r="G367" s="8"/>
      <c r="H367" s="9"/>
      <c r="I367" s="8"/>
      <c r="J367" s="10"/>
      <c r="K367" s="8"/>
      <c r="L367" s="8"/>
      <c r="M367" s="8"/>
      <c r="N367" s="11"/>
      <c r="O367" s="9"/>
      <c r="P367" s="12"/>
      <c r="Q367" s="9"/>
      <c r="R367" s="13"/>
      <c r="S367" s="11"/>
      <c r="T367" s="11"/>
      <c r="U367" s="9"/>
      <c r="V367" s="9"/>
      <c r="W367" s="9"/>
      <c r="X367" s="16"/>
      <c r="AF367" s="42">
        <f>IF(BUSCAR!$C$8="FECHA NAC.",$G367,IF(BUSCAR!$C$8="PASAPORTE EXPIRA",$J367,IF(BUSCAR!$C$8="LICENCIA EMISION",$L367,IF(BUSCAR!$C$8="LICENCIA EXPIRA",$M367,""))))</f>
      </c>
      <c r="AG367" s="42">
        <f>IF($B367&amp;$C367&amp;$D367&amp;$E367&amp;$H367="",0,IF(AND(OR(BUSCAR!$J$5="",ISNUMBER(SEARCH(BUSCAR!$J$5,$AI367))),OR(BUSCAR!$J$6="",ISNUMBER(SEARCH(BUSCAR!$J$6,$AI367))),OR(BUSCAR!$J$8="",ISNUMBER(SEARCH(BUSCAR!$J$8,$AI367))),OR(BUSCAR!$J$9="",ISNUMBER(SEARCH(BUSCAR!$J$9,$AI367))),OR(NOT(BUSCAR!$J$2),AND(ISNUMBER($AF367),$AF367&gt;=BUSCAR!$J$3,$AF367&lt;=BUSCAR!$J$4))),1,0))</f>
      </c>
      <c r="AH367" s="42">
        <f t="shared" si="15"/>
      </c>
      <c r="AI367" s="42">
        <f t="shared" si="16"/>
      </c>
    </row>
    <row r="368" spans="1:35" x14ac:dyDescent="0.2">
      <c r="A368" s="66">
        <f t="shared" si="17"/>
      </c>
      <c r="B368" s="4"/>
      <c r="C368" s="4"/>
      <c r="D368" s="4"/>
      <c r="E368" s="4"/>
      <c r="F368" s="32"/>
      <c r="G368" s="8"/>
      <c r="H368" s="9"/>
      <c r="I368" s="8"/>
      <c r="J368" s="10"/>
      <c r="K368" s="8"/>
      <c r="L368" s="8"/>
      <c r="M368" s="8"/>
      <c r="N368" s="11"/>
      <c r="O368" s="9"/>
      <c r="P368" s="12"/>
      <c r="Q368" s="9"/>
      <c r="R368" s="13"/>
      <c r="S368" s="11"/>
      <c r="T368" s="11"/>
      <c r="U368" s="9"/>
      <c r="V368" s="9"/>
      <c r="W368" s="9"/>
      <c r="X368" s="16"/>
      <c r="AF368" s="42">
        <f>IF(BUSCAR!$C$8="FECHA NAC.",$G368,IF(BUSCAR!$C$8="PASAPORTE EXPIRA",$J368,IF(BUSCAR!$C$8="LICENCIA EMISION",$L368,IF(BUSCAR!$C$8="LICENCIA EXPIRA",$M368,""))))</f>
      </c>
      <c r="AG368" s="42">
        <f>IF($B368&amp;$C368&amp;$D368&amp;$E368&amp;$H368="",0,IF(AND(OR(BUSCAR!$J$5="",ISNUMBER(SEARCH(BUSCAR!$J$5,$AI368))),OR(BUSCAR!$J$6="",ISNUMBER(SEARCH(BUSCAR!$J$6,$AI368))),OR(BUSCAR!$J$8="",ISNUMBER(SEARCH(BUSCAR!$J$8,$AI368))),OR(BUSCAR!$J$9="",ISNUMBER(SEARCH(BUSCAR!$J$9,$AI368))),OR(NOT(BUSCAR!$J$2),AND(ISNUMBER($AF368),$AF368&gt;=BUSCAR!$J$3,$AF368&lt;=BUSCAR!$J$4))),1,0))</f>
      </c>
      <c r="AH368" s="42">
        <f t="shared" si="15"/>
      </c>
      <c r="AI368" s="42">
        <f t="shared" si="16"/>
      </c>
    </row>
    <row r="369" spans="1:35" x14ac:dyDescent="0.2">
      <c r="A369" s="66">
        <f t="shared" si="17"/>
      </c>
      <c r="B369" s="4"/>
      <c r="C369" s="4"/>
      <c r="D369" s="4"/>
      <c r="E369" s="4"/>
      <c r="F369" s="32"/>
      <c r="G369" s="8"/>
      <c r="H369" s="9"/>
      <c r="I369" s="8"/>
      <c r="J369" s="10"/>
      <c r="K369" s="8"/>
      <c r="L369" s="8"/>
      <c r="M369" s="8"/>
      <c r="N369" s="11"/>
      <c r="O369" s="9"/>
      <c r="P369" s="12"/>
      <c r="Q369" s="9"/>
      <c r="R369" s="13"/>
      <c r="S369" s="11"/>
      <c r="T369" s="11"/>
      <c r="U369" s="9"/>
      <c r="V369" s="9"/>
      <c r="W369" s="9"/>
      <c r="X369" s="16"/>
      <c r="AF369" s="42">
        <f>IF(BUSCAR!$C$8="FECHA NAC.",$G369,IF(BUSCAR!$C$8="PASAPORTE EXPIRA",$J369,IF(BUSCAR!$C$8="LICENCIA EMISION",$L369,IF(BUSCAR!$C$8="LICENCIA EXPIRA",$M369,""))))</f>
      </c>
      <c r="AG369" s="42">
        <f>IF($B369&amp;$C369&amp;$D369&amp;$E369&amp;$H369="",0,IF(AND(OR(BUSCAR!$J$5="",ISNUMBER(SEARCH(BUSCAR!$J$5,$AI369))),OR(BUSCAR!$J$6="",ISNUMBER(SEARCH(BUSCAR!$J$6,$AI369))),OR(BUSCAR!$J$8="",ISNUMBER(SEARCH(BUSCAR!$J$8,$AI369))),OR(BUSCAR!$J$9="",ISNUMBER(SEARCH(BUSCAR!$J$9,$AI369))),OR(NOT(BUSCAR!$J$2),AND(ISNUMBER($AF369),$AF369&gt;=BUSCAR!$J$3,$AF369&lt;=BUSCAR!$J$4))),1,0))</f>
      </c>
      <c r="AH369" s="42">
        <f t="shared" si="15"/>
      </c>
      <c r="AI369" s="42">
        <f t="shared" si="16"/>
      </c>
    </row>
    <row r="370" spans="1:35" x14ac:dyDescent="0.2">
      <c r="A370" s="66">
        <f t="shared" si="17"/>
      </c>
      <c r="B370" s="4"/>
      <c r="C370" s="4"/>
      <c r="D370" s="4"/>
      <c r="E370" s="4"/>
      <c r="F370" s="32"/>
      <c r="G370" s="8"/>
      <c r="H370" s="9"/>
      <c r="I370" s="8"/>
      <c r="J370" s="10"/>
      <c r="K370" s="8"/>
      <c r="L370" s="8"/>
      <c r="M370" s="8"/>
      <c r="N370" s="11"/>
      <c r="O370" s="9"/>
      <c r="P370" s="12"/>
      <c r="Q370" s="9"/>
      <c r="R370" s="13"/>
      <c r="S370" s="11"/>
      <c r="T370" s="11"/>
      <c r="U370" s="9"/>
      <c r="V370" s="9"/>
      <c r="W370" s="9"/>
      <c r="X370" s="16"/>
      <c r="AF370" s="42">
        <f>IF(BUSCAR!$C$8="FECHA NAC.",$G370,IF(BUSCAR!$C$8="PASAPORTE EXPIRA",$J370,IF(BUSCAR!$C$8="LICENCIA EMISION",$L370,IF(BUSCAR!$C$8="LICENCIA EXPIRA",$M370,""))))</f>
      </c>
      <c r="AG370" s="42">
        <f>IF($B370&amp;$C370&amp;$D370&amp;$E370&amp;$H370="",0,IF(AND(OR(BUSCAR!$J$5="",ISNUMBER(SEARCH(BUSCAR!$J$5,$AI370))),OR(BUSCAR!$J$6="",ISNUMBER(SEARCH(BUSCAR!$J$6,$AI370))),OR(BUSCAR!$J$8="",ISNUMBER(SEARCH(BUSCAR!$J$8,$AI370))),OR(BUSCAR!$J$9="",ISNUMBER(SEARCH(BUSCAR!$J$9,$AI370))),OR(NOT(BUSCAR!$J$2),AND(ISNUMBER($AF370),$AF370&gt;=BUSCAR!$J$3,$AF370&lt;=BUSCAR!$J$4))),1,0))</f>
      </c>
      <c r="AH370" s="42">
        <f t="shared" si="15"/>
      </c>
      <c r="AI370" s="42">
        <f t="shared" si="16"/>
      </c>
    </row>
    <row r="371" spans="1:35" x14ac:dyDescent="0.2">
      <c r="A371" s="66">
        <f t="shared" si="17"/>
      </c>
      <c r="B371" s="4"/>
      <c r="C371" s="4"/>
      <c r="D371" s="4"/>
      <c r="E371" s="4"/>
      <c r="F371" s="32"/>
      <c r="G371" s="8"/>
      <c r="H371" s="9"/>
      <c r="I371" s="8"/>
      <c r="J371" s="10"/>
      <c r="K371" s="8"/>
      <c r="L371" s="8"/>
      <c r="M371" s="8"/>
      <c r="N371" s="11"/>
      <c r="O371" s="9"/>
      <c r="P371" s="12"/>
      <c r="Q371" s="9"/>
      <c r="R371" s="13"/>
      <c r="S371" s="11"/>
      <c r="T371" s="11"/>
      <c r="U371" s="9"/>
      <c r="V371" s="9"/>
      <c r="W371" s="9"/>
      <c r="X371" s="16"/>
      <c r="AF371" s="42">
        <f>IF(BUSCAR!$C$8="FECHA NAC.",$G371,IF(BUSCAR!$C$8="PASAPORTE EXPIRA",$J371,IF(BUSCAR!$C$8="LICENCIA EMISION",$L371,IF(BUSCAR!$C$8="LICENCIA EXPIRA",$M371,""))))</f>
      </c>
      <c r="AG371" s="42">
        <f>IF($B371&amp;$C371&amp;$D371&amp;$E371&amp;$H371="",0,IF(AND(OR(BUSCAR!$J$5="",ISNUMBER(SEARCH(BUSCAR!$J$5,$AI371))),OR(BUSCAR!$J$6="",ISNUMBER(SEARCH(BUSCAR!$J$6,$AI371))),OR(BUSCAR!$J$8="",ISNUMBER(SEARCH(BUSCAR!$J$8,$AI371))),OR(BUSCAR!$J$9="",ISNUMBER(SEARCH(BUSCAR!$J$9,$AI371))),OR(NOT(BUSCAR!$J$2),AND(ISNUMBER($AF371),$AF371&gt;=BUSCAR!$J$3,$AF371&lt;=BUSCAR!$J$4))),1,0))</f>
      </c>
      <c r="AH371" s="42">
        <f t="shared" si="15"/>
      </c>
      <c r="AI371" s="42">
        <f t="shared" si="16"/>
      </c>
    </row>
    <row r="372" spans="1:35" x14ac:dyDescent="0.2">
      <c r="A372" s="66">
        <f t="shared" si="17"/>
      </c>
      <c r="B372" s="4"/>
      <c r="C372" s="4"/>
      <c r="D372" s="4"/>
      <c r="E372" s="4"/>
      <c r="F372" s="32"/>
      <c r="G372" s="8"/>
      <c r="H372" s="9"/>
      <c r="I372" s="8"/>
      <c r="J372" s="10"/>
      <c r="K372" s="8"/>
      <c r="L372" s="8"/>
      <c r="M372" s="8"/>
      <c r="N372" s="11"/>
      <c r="O372" s="9"/>
      <c r="P372" s="12"/>
      <c r="Q372" s="9"/>
      <c r="R372" s="13"/>
      <c r="S372" s="11"/>
      <c r="T372" s="11"/>
      <c r="U372" s="9"/>
      <c r="V372" s="9"/>
      <c r="W372" s="9"/>
      <c r="X372" s="16"/>
      <c r="AF372" s="42">
        <f>IF(BUSCAR!$C$8="FECHA NAC.",$G372,IF(BUSCAR!$C$8="PASAPORTE EXPIRA",$J372,IF(BUSCAR!$C$8="LICENCIA EMISION",$L372,IF(BUSCAR!$C$8="LICENCIA EXPIRA",$M372,""))))</f>
      </c>
      <c r="AG372" s="42">
        <f>IF($B372&amp;$C372&amp;$D372&amp;$E372&amp;$H372="",0,IF(AND(OR(BUSCAR!$J$5="",ISNUMBER(SEARCH(BUSCAR!$J$5,$AI372))),OR(BUSCAR!$J$6="",ISNUMBER(SEARCH(BUSCAR!$J$6,$AI372))),OR(BUSCAR!$J$8="",ISNUMBER(SEARCH(BUSCAR!$J$8,$AI372))),OR(BUSCAR!$J$9="",ISNUMBER(SEARCH(BUSCAR!$J$9,$AI372))),OR(NOT(BUSCAR!$J$2),AND(ISNUMBER($AF372),$AF372&gt;=BUSCAR!$J$3,$AF372&lt;=BUSCAR!$J$4))),1,0))</f>
      </c>
      <c r="AH372" s="42">
        <f t="shared" si="15"/>
      </c>
      <c r="AI372" s="42">
        <f t="shared" si="16"/>
      </c>
    </row>
    <row r="373" spans="1:35" x14ac:dyDescent="0.2">
      <c r="A373" s="66">
        <f t="shared" si="17"/>
      </c>
      <c r="B373" s="4"/>
      <c r="C373" s="4"/>
      <c r="D373" s="4"/>
      <c r="E373" s="4"/>
      <c r="F373" s="32"/>
      <c r="G373" s="8"/>
      <c r="H373" s="9"/>
      <c r="I373" s="8"/>
      <c r="J373" s="10"/>
      <c r="K373" s="8"/>
      <c r="L373" s="8"/>
      <c r="M373" s="8"/>
      <c r="N373" s="11"/>
      <c r="O373" s="9"/>
      <c r="P373" s="12"/>
      <c r="Q373" s="9"/>
      <c r="R373" s="13"/>
      <c r="S373" s="11"/>
      <c r="T373" s="11"/>
      <c r="U373" s="9"/>
      <c r="V373" s="9"/>
      <c r="W373" s="9"/>
      <c r="X373" s="16"/>
      <c r="AF373" s="42">
        <f>IF(BUSCAR!$C$8="FECHA NAC.",$G373,IF(BUSCAR!$C$8="PASAPORTE EXPIRA",$J373,IF(BUSCAR!$C$8="LICENCIA EMISION",$L373,IF(BUSCAR!$C$8="LICENCIA EXPIRA",$M373,""))))</f>
      </c>
      <c r="AG373" s="42">
        <f>IF($B373&amp;$C373&amp;$D373&amp;$E373&amp;$H373="",0,IF(AND(OR(BUSCAR!$J$5="",ISNUMBER(SEARCH(BUSCAR!$J$5,$AI373))),OR(BUSCAR!$J$6="",ISNUMBER(SEARCH(BUSCAR!$J$6,$AI373))),OR(BUSCAR!$J$8="",ISNUMBER(SEARCH(BUSCAR!$J$8,$AI373))),OR(BUSCAR!$J$9="",ISNUMBER(SEARCH(BUSCAR!$J$9,$AI373))),OR(NOT(BUSCAR!$J$2),AND(ISNUMBER($AF373),$AF373&gt;=BUSCAR!$J$3,$AF373&lt;=BUSCAR!$J$4))),1,0))</f>
      </c>
      <c r="AH373" s="42">
        <f t="shared" si="15"/>
      </c>
      <c r="AI373" s="42">
        <f t="shared" si="16"/>
      </c>
    </row>
    <row r="374" spans="1:35" x14ac:dyDescent="0.2">
      <c r="A374" s="66">
        <f t="shared" si="17"/>
      </c>
      <c r="B374" s="4"/>
      <c r="C374" s="4"/>
      <c r="D374" s="4"/>
      <c r="E374" s="4"/>
      <c r="F374" s="32"/>
      <c r="G374" s="8"/>
      <c r="H374" s="9"/>
      <c r="I374" s="8"/>
      <c r="J374" s="10"/>
      <c r="K374" s="8"/>
      <c r="L374" s="8"/>
      <c r="M374" s="8"/>
      <c r="N374" s="11"/>
      <c r="O374" s="9"/>
      <c r="P374" s="12"/>
      <c r="Q374" s="9"/>
      <c r="R374" s="13"/>
      <c r="S374" s="11"/>
      <c r="T374" s="11"/>
      <c r="U374" s="9"/>
      <c r="V374" s="9"/>
      <c r="W374" s="9"/>
      <c r="X374" s="16"/>
      <c r="AF374" s="42">
        <f>IF(BUSCAR!$C$8="FECHA NAC.",$G374,IF(BUSCAR!$C$8="PASAPORTE EXPIRA",$J374,IF(BUSCAR!$C$8="LICENCIA EMISION",$L374,IF(BUSCAR!$C$8="LICENCIA EXPIRA",$M374,""))))</f>
      </c>
      <c r="AG374" s="42">
        <f>IF($B374&amp;$C374&amp;$D374&amp;$E374&amp;$H374="",0,IF(AND(OR(BUSCAR!$J$5="",ISNUMBER(SEARCH(BUSCAR!$J$5,$AI374))),OR(BUSCAR!$J$6="",ISNUMBER(SEARCH(BUSCAR!$J$6,$AI374))),OR(BUSCAR!$J$8="",ISNUMBER(SEARCH(BUSCAR!$J$8,$AI374))),OR(BUSCAR!$J$9="",ISNUMBER(SEARCH(BUSCAR!$J$9,$AI374))),OR(NOT(BUSCAR!$J$2),AND(ISNUMBER($AF374),$AF374&gt;=BUSCAR!$J$3,$AF374&lt;=BUSCAR!$J$4))),1,0))</f>
      </c>
      <c r="AH374" s="42">
        <f t="shared" si="15"/>
      </c>
      <c r="AI374" s="42">
        <f t="shared" si="16"/>
      </c>
    </row>
    <row r="375" spans="1:35" x14ac:dyDescent="0.2">
      <c r="A375" s="66">
        <f t="shared" si="17"/>
      </c>
      <c r="B375" s="4"/>
      <c r="C375" s="4"/>
      <c r="D375" s="4"/>
      <c r="E375" s="4"/>
      <c r="F375" s="32"/>
      <c r="G375" s="8"/>
      <c r="H375" s="9"/>
      <c r="I375" s="8"/>
      <c r="J375" s="10"/>
      <c r="K375" s="8"/>
      <c r="L375" s="8"/>
      <c r="M375" s="8"/>
      <c r="N375" s="11"/>
      <c r="O375" s="9"/>
      <c r="P375" s="12"/>
      <c r="Q375" s="9"/>
      <c r="R375" s="13"/>
      <c r="S375" s="11"/>
      <c r="T375" s="11"/>
      <c r="U375" s="9"/>
      <c r="V375" s="9"/>
      <c r="W375" s="9"/>
      <c r="X375" s="16"/>
      <c r="AF375" s="42">
        <f>IF(BUSCAR!$C$8="FECHA NAC.",$G375,IF(BUSCAR!$C$8="PASAPORTE EXPIRA",$J375,IF(BUSCAR!$C$8="LICENCIA EMISION",$L375,IF(BUSCAR!$C$8="LICENCIA EXPIRA",$M375,""))))</f>
      </c>
      <c r="AG375" s="42">
        <f>IF($B375&amp;$C375&amp;$D375&amp;$E375&amp;$H375="",0,IF(AND(OR(BUSCAR!$J$5="",ISNUMBER(SEARCH(BUSCAR!$J$5,$AI375))),OR(BUSCAR!$J$6="",ISNUMBER(SEARCH(BUSCAR!$J$6,$AI375))),OR(BUSCAR!$J$8="",ISNUMBER(SEARCH(BUSCAR!$J$8,$AI375))),OR(BUSCAR!$J$9="",ISNUMBER(SEARCH(BUSCAR!$J$9,$AI375))),OR(NOT(BUSCAR!$J$2),AND(ISNUMBER($AF375),$AF375&gt;=BUSCAR!$J$3,$AF375&lt;=BUSCAR!$J$4))),1,0))</f>
      </c>
      <c r="AH375" s="42">
        <f t="shared" si="15"/>
      </c>
      <c r="AI375" s="42">
        <f t="shared" si="16"/>
      </c>
    </row>
    <row r="376" spans="1:35" x14ac:dyDescent="0.2">
      <c r="A376" s="66">
        <f t="shared" si="17"/>
      </c>
      <c r="B376" s="4"/>
      <c r="C376" s="4"/>
      <c r="D376" s="4"/>
      <c r="E376" s="4"/>
      <c r="F376" s="32"/>
      <c r="G376" s="8"/>
      <c r="H376" s="9"/>
      <c r="I376" s="8"/>
      <c r="J376" s="10"/>
      <c r="K376" s="8"/>
      <c r="L376" s="8"/>
      <c r="M376" s="8"/>
      <c r="N376" s="11"/>
      <c r="O376" s="9"/>
      <c r="P376" s="12"/>
      <c r="Q376" s="9"/>
      <c r="R376" s="13"/>
      <c r="S376" s="11"/>
      <c r="T376" s="11"/>
      <c r="U376" s="9"/>
      <c r="V376" s="9"/>
      <c r="W376" s="9"/>
      <c r="X376" s="16"/>
      <c r="AF376" s="42">
        <f>IF(BUSCAR!$C$8="FECHA NAC.",$G376,IF(BUSCAR!$C$8="PASAPORTE EXPIRA",$J376,IF(BUSCAR!$C$8="LICENCIA EMISION",$L376,IF(BUSCAR!$C$8="LICENCIA EXPIRA",$M376,""))))</f>
      </c>
      <c r="AG376" s="42">
        <f>IF($B376&amp;$C376&amp;$D376&amp;$E376&amp;$H376="",0,IF(AND(OR(BUSCAR!$J$5="",ISNUMBER(SEARCH(BUSCAR!$J$5,$AI376))),OR(BUSCAR!$J$6="",ISNUMBER(SEARCH(BUSCAR!$J$6,$AI376))),OR(BUSCAR!$J$8="",ISNUMBER(SEARCH(BUSCAR!$J$8,$AI376))),OR(BUSCAR!$J$9="",ISNUMBER(SEARCH(BUSCAR!$J$9,$AI376))),OR(NOT(BUSCAR!$J$2),AND(ISNUMBER($AF376),$AF376&gt;=BUSCAR!$J$3,$AF376&lt;=BUSCAR!$J$4))),1,0))</f>
      </c>
      <c r="AH376" s="42">
        <f t="shared" si="15"/>
      </c>
      <c r="AI376" s="42">
        <f t="shared" si="16"/>
      </c>
    </row>
    <row r="377" spans="1:35" x14ac:dyDescent="0.2">
      <c r="A377" s="66">
        <f t="shared" si="17"/>
      </c>
      <c r="B377" s="4"/>
      <c r="C377" s="4"/>
      <c r="D377" s="4"/>
      <c r="E377" s="4"/>
      <c r="F377" s="32"/>
      <c r="G377" s="8"/>
      <c r="H377" s="9"/>
      <c r="I377" s="8"/>
      <c r="J377" s="10"/>
      <c r="K377" s="8"/>
      <c r="L377" s="8"/>
      <c r="M377" s="8"/>
      <c r="N377" s="11"/>
      <c r="O377" s="9"/>
      <c r="P377" s="12"/>
      <c r="Q377" s="9"/>
      <c r="R377" s="13"/>
      <c r="S377" s="11"/>
      <c r="T377" s="11"/>
      <c r="U377" s="9"/>
      <c r="V377" s="9"/>
      <c r="W377" s="9"/>
      <c r="X377" s="16"/>
      <c r="AF377" s="42">
        <f>IF(BUSCAR!$C$8="FECHA NAC.",$G377,IF(BUSCAR!$C$8="PASAPORTE EXPIRA",$J377,IF(BUSCAR!$C$8="LICENCIA EMISION",$L377,IF(BUSCAR!$C$8="LICENCIA EXPIRA",$M377,""))))</f>
      </c>
      <c r="AG377" s="42">
        <f>IF($B377&amp;$C377&amp;$D377&amp;$E377&amp;$H377="",0,IF(AND(OR(BUSCAR!$J$5="",ISNUMBER(SEARCH(BUSCAR!$J$5,$AI377))),OR(BUSCAR!$J$6="",ISNUMBER(SEARCH(BUSCAR!$J$6,$AI377))),OR(BUSCAR!$J$8="",ISNUMBER(SEARCH(BUSCAR!$J$8,$AI377))),OR(BUSCAR!$J$9="",ISNUMBER(SEARCH(BUSCAR!$J$9,$AI377))),OR(NOT(BUSCAR!$J$2),AND(ISNUMBER($AF377),$AF377&gt;=BUSCAR!$J$3,$AF377&lt;=BUSCAR!$J$4))),1,0))</f>
      </c>
      <c r="AH377" s="42">
        <f t="shared" si="15"/>
      </c>
      <c r="AI377" s="42">
        <f t="shared" si="16"/>
      </c>
    </row>
    <row r="378" spans="1:35" x14ac:dyDescent="0.2">
      <c r="A378" s="66">
        <f t="shared" si="17"/>
      </c>
      <c r="B378" s="4"/>
      <c r="C378" s="4"/>
      <c r="D378" s="4"/>
      <c r="E378" s="4"/>
      <c r="F378" s="32"/>
      <c r="G378" s="8"/>
      <c r="H378" s="9"/>
      <c r="I378" s="8"/>
      <c r="J378" s="10"/>
      <c r="K378" s="8"/>
      <c r="L378" s="8"/>
      <c r="M378" s="8"/>
      <c r="N378" s="11"/>
      <c r="O378" s="9"/>
      <c r="P378" s="12"/>
      <c r="Q378" s="9"/>
      <c r="R378" s="13"/>
      <c r="S378" s="11"/>
      <c r="T378" s="11"/>
      <c r="U378" s="9"/>
      <c r="V378" s="9"/>
      <c r="W378" s="9"/>
      <c r="X378" s="16"/>
      <c r="AF378" s="42">
        <f>IF(BUSCAR!$C$8="FECHA NAC.",$G378,IF(BUSCAR!$C$8="PASAPORTE EXPIRA",$J378,IF(BUSCAR!$C$8="LICENCIA EMISION",$L378,IF(BUSCAR!$C$8="LICENCIA EXPIRA",$M378,""))))</f>
      </c>
      <c r="AG378" s="42">
        <f>IF($B378&amp;$C378&amp;$D378&amp;$E378&amp;$H378="",0,IF(AND(OR(BUSCAR!$J$5="",ISNUMBER(SEARCH(BUSCAR!$J$5,$AI378))),OR(BUSCAR!$J$6="",ISNUMBER(SEARCH(BUSCAR!$J$6,$AI378))),OR(BUSCAR!$J$8="",ISNUMBER(SEARCH(BUSCAR!$J$8,$AI378))),OR(BUSCAR!$J$9="",ISNUMBER(SEARCH(BUSCAR!$J$9,$AI378))),OR(NOT(BUSCAR!$J$2),AND(ISNUMBER($AF378),$AF378&gt;=BUSCAR!$J$3,$AF378&lt;=BUSCAR!$J$4))),1,0))</f>
      </c>
      <c r="AH378" s="42">
        <f t="shared" si="15"/>
      </c>
      <c r="AI378" s="42">
        <f t="shared" si="16"/>
      </c>
    </row>
    <row r="379" spans="1:35" x14ac:dyDescent="0.2">
      <c r="A379" s="66">
        <f t="shared" si="17"/>
      </c>
      <c r="B379" s="4"/>
      <c r="C379" s="4"/>
      <c r="D379" s="4"/>
      <c r="E379" s="4"/>
      <c r="F379" s="32"/>
      <c r="G379" s="8"/>
      <c r="H379" s="9"/>
      <c r="I379" s="8"/>
      <c r="J379" s="10"/>
      <c r="K379" s="8"/>
      <c r="L379" s="8"/>
      <c r="M379" s="8"/>
      <c r="N379" s="11"/>
      <c r="O379" s="9"/>
      <c r="P379" s="12"/>
      <c r="Q379" s="9"/>
      <c r="R379" s="13"/>
      <c r="S379" s="11"/>
      <c r="T379" s="11"/>
      <c r="U379" s="9"/>
      <c r="V379" s="9"/>
      <c r="W379" s="9"/>
      <c r="X379" s="16"/>
      <c r="AF379" s="42">
        <f>IF(BUSCAR!$C$8="FECHA NAC.",$G379,IF(BUSCAR!$C$8="PASAPORTE EXPIRA",$J379,IF(BUSCAR!$C$8="LICENCIA EMISION",$L379,IF(BUSCAR!$C$8="LICENCIA EXPIRA",$M379,""))))</f>
      </c>
      <c r="AG379" s="42">
        <f>IF($B379&amp;$C379&amp;$D379&amp;$E379&amp;$H379="",0,IF(AND(OR(BUSCAR!$J$5="",ISNUMBER(SEARCH(BUSCAR!$J$5,$AI379))),OR(BUSCAR!$J$6="",ISNUMBER(SEARCH(BUSCAR!$J$6,$AI379))),OR(BUSCAR!$J$8="",ISNUMBER(SEARCH(BUSCAR!$J$8,$AI379))),OR(BUSCAR!$J$9="",ISNUMBER(SEARCH(BUSCAR!$J$9,$AI379))),OR(NOT(BUSCAR!$J$2),AND(ISNUMBER($AF379),$AF379&gt;=BUSCAR!$J$3,$AF379&lt;=BUSCAR!$J$4))),1,0))</f>
      </c>
      <c r="AH379" s="42">
        <f t="shared" si="15"/>
      </c>
      <c r="AI379" s="42">
        <f t="shared" si="16"/>
      </c>
    </row>
    <row r="380" spans="1:35" x14ac:dyDescent="0.2">
      <c r="A380" s="66">
        <f t="shared" si="17"/>
      </c>
      <c r="B380" s="4"/>
      <c r="C380" s="4"/>
      <c r="D380" s="4"/>
      <c r="E380" s="4"/>
      <c r="F380" s="32"/>
      <c r="G380" s="8"/>
      <c r="H380" s="9"/>
      <c r="I380" s="8"/>
      <c r="J380" s="10"/>
      <c r="K380" s="8"/>
      <c r="L380" s="8"/>
      <c r="M380" s="8"/>
      <c r="N380" s="11"/>
      <c r="O380" s="9"/>
      <c r="P380" s="12"/>
      <c r="Q380" s="9"/>
      <c r="R380" s="13"/>
      <c r="S380" s="11"/>
      <c r="T380" s="11"/>
      <c r="U380" s="9"/>
      <c r="V380" s="9"/>
      <c r="W380" s="9"/>
      <c r="X380" s="16"/>
      <c r="AF380" s="42">
        <f>IF(BUSCAR!$C$8="FECHA NAC.",$G380,IF(BUSCAR!$C$8="PASAPORTE EXPIRA",$J380,IF(BUSCAR!$C$8="LICENCIA EMISION",$L380,IF(BUSCAR!$C$8="LICENCIA EXPIRA",$M380,""))))</f>
      </c>
      <c r="AG380" s="42">
        <f>IF($B380&amp;$C380&amp;$D380&amp;$E380&amp;$H380="",0,IF(AND(OR(BUSCAR!$J$5="",ISNUMBER(SEARCH(BUSCAR!$J$5,$AI380))),OR(BUSCAR!$J$6="",ISNUMBER(SEARCH(BUSCAR!$J$6,$AI380))),OR(BUSCAR!$J$8="",ISNUMBER(SEARCH(BUSCAR!$J$8,$AI380))),OR(BUSCAR!$J$9="",ISNUMBER(SEARCH(BUSCAR!$J$9,$AI380))),OR(NOT(BUSCAR!$J$2),AND(ISNUMBER($AF380),$AF380&gt;=BUSCAR!$J$3,$AF380&lt;=BUSCAR!$J$4))),1,0))</f>
      </c>
      <c r="AH380" s="42">
        <f t="shared" si="15"/>
      </c>
      <c r="AI380" s="42">
        <f t="shared" si="16"/>
      </c>
    </row>
    <row r="381" spans="1:35" x14ac:dyDescent="0.2">
      <c r="A381" s="66">
        <f t="shared" si="17"/>
      </c>
      <c r="B381" s="4"/>
      <c r="C381" s="4"/>
      <c r="D381" s="4"/>
      <c r="E381" s="4"/>
      <c r="F381" s="32"/>
      <c r="G381" s="8"/>
      <c r="H381" s="9"/>
      <c r="I381" s="8"/>
      <c r="J381" s="10"/>
      <c r="K381" s="8"/>
      <c r="L381" s="8"/>
      <c r="M381" s="8"/>
      <c r="N381" s="11"/>
      <c r="O381" s="9"/>
      <c r="P381" s="12"/>
      <c r="Q381" s="9"/>
      <c r="R381" s="13"/>
      <c r="S381" s="11"/>
      <c r="T381" s="11"/>
      <c r="U381" s="9"/>
      <c r="V381" s="9"/>
      <c r="W381" s="9"/>
      <c r="X381" s="16"/>
      <c r="AF381" s="42">
        <f>IF(BUSCAR!$C$8="FECHA NAC.",$G381,IF(BUSCAR!$C$8="PASAPORTE EXPIRA",$J381,IF(BUSCAR!$C$8="LICENCIA EMISION",$L381,IF(BUSCAR!$C$8="LICENCIA EXPIRA",$M381,""))))</f>
      </c>
      <c r="AG381" s="42">
        <f>IF($B381&amp;$C381&amp;$D381&amp;$E381&amp;$H381="",0,IF(AND(OR(BUSCAR!$J$5="",ISNUMBER(SEARCH(BUSCAR!$J$5,$AI381))),OR(BUSCAR!$J$6="",ISNUMBER(SEARCH(BUSCAR!$J$6,$AI381))),OR(BUSCAR!$J$8="",ISNUMBER(SEARCH(BUSCAR!$J$8,$AI381))),OR(BUSCAR!$J$9="",ISNUMBER(SEARCH(BUSCAR!$J$9,$AI381))),OR(NOT(BUSCAR!$J$2),AND(ISNUMBER($AF381),$AF381&gt;=BUSCAR!$J$3,$AF381&lt;=BUSCAR!$J$4))),1,0))</f>
      </c>
      <c r="AH381" s="42">
        <f t="shared" si="15"/>
      </c>
      <c r="AI381" s="42">
        <f t="shared" si="16"/>
      </c>
    </row>
    <row r="382" spans="1:35" x14ac:dyDescent="0.2">
      <c r="A382" s="66">
        <f t="shared" si="17"/>
      </c>
      <c r="B382" s="4"/>
      <c r="C382" s="4"/>
      <c r="D382" s="4"/>
      <c r="E382" s="4"/>
      <c r="F382" s="32"/>
      <c r="G382" s="8"/>
      <c r="H382" s="9"/>
      <c r="I382" s="8"/>
      <c r="J382" s="10"/>
      <c r="K382" s="8"/>
      <c r="L382" s="8"/>
      <c r="M382" s="8"/>
      <c r="N382" s="11"/>
      <c r="O382" s="9"/>
      <c r="P382" s="12"/>
      <c r="Q382" s="9"/>
      <c r="R382" s="13"/>
      <c r="S382" s="11"/>
      <c r="T382" s="11"/>
      <c r="U382" s="9"/>
      <c r="V382" s="9"/>
      <c r="W382" s="9"/>
      <c r="X382" s="16"/>
      <c r="AF382" s="42">
        <f>IF(BUSCAR!$C$8="FECHA NAC.",$G382,IF(BUSCAR!$C$8="PASAPORTE EXPIRA",$J382,IF(BUSCAR!$C$8="LICENCIA EMISION",$L382,IF(BUSCAR!$C$8="LICENCIA EXPIRA",$M382,""))))</f>
      </c>
      <c r="AG382" s="42">
        <f>IF($B382&amp;$C382&amp;$D382&amp;$E382&amp;$H382="",0,IF(AND(OR(BUSCAR!$J$5="",ISNUMBER(SEARCH(BUSCAR!$J$5,$AI382))),OR(BUSCAR!$J$6="",ISNUMBER(SEARCH(BUSCAR!$J$6,$AI382))),OR(BUSCAR!$J$8="",ISNUMBER(SEARCH(BUSCAR!$J$8,$AI382))),OR(BUSCAR!$J$9="",ISNUMBER(SEARCH(BUSCAR!$J$9,$AI382))),OR(NOT(BUSCAR!$J$2),AND(ISNUMBER($AF382),$AF382&gt;=BUSCAR!$J$3,$AF382&lt;=BUSCAR!$J$4))),1,0))</f>
      </c>
      <c r="AH382" s="42">
        <f t="shared" si="15"/>
      </c>
      <c r="AI382" s="42">
        <f t="shared" si="16"/>
      </c>
    </row>
    <row r="383" spans="1:35" x14ac:dyDescent="0.2">
      <c r="A383" s="66">
        <f t="shared" si="17"/>
      </c>
      <c r="B383" s="4"/>
      <c r="C383" s="4"/>
      <c r="D383" s="4"/>
      <c r="E383" s="4"/>
      <c r="F383" s="32"/>
      <c r="G383" s="8"/>
      <c r="H383" s="9"/>
      <c r="I383" s="8"/>
      <c r="J383" s="10"/>
      <c r="K383" s="8"/>
      <c r="L383" s="8"/>
      <c r="M383" s="8"/>
      <c r="N383" s="11"/>
      <c r="O383" s="9"/>
      <c r="P383" s="12"/>
      <c r="Q383" s="9"/>
      <c r="R383" s="13"/>
      <c r="S383" s="11"/>
      <c r="T383" s="11"/>
      <c r="U383" s="9"/>
      <c r="V383" s="9"/>
      <c r="W383" s="9"/>
      <c r="X383" s="16"/>
      <c r="AF383" s="42">
        <f>IF(BUSCAR!$C$8="FECHA NAC.",$G383,IF(BUSCAR!$C$8="PASAPORTE EXPIRA",$J383,IF(BUSCAR!$C$8="LICENCIA EMISION",$L383,IF(BUSCAR!$C$8="LICENCIA EXPIRA",$M383,""))))</f>
      </c>
      <c r="AG383" s="42">
        <f>IF($B383&amp;$C383&amp;$D383&amp;$E383&amp;$H383="",0,IF(AND(OR(BUSCAR!$J$5="",ISNUMBER(SEARCH(BUSCAR!$J$5,$AI383))),OR(BUSCAR!$J$6="",ISNUMBER(SEARCH(BUSCAR!$J$6,$AI383))),OR(BUSCAR!$J$8="",ISNUMBER(SEARCH(BUSCAR!$J$8,$AI383))),OR(BUSCAR!$J$9="",ISNUMBER(SEARCH(BUSCAR!$J$9,$AI383))),OR(NOT(BUSCAR!$J$2),AND(ISNUMBER($AF383),$AF383&gt;=BUSCAR!$J$3,$AF383&lt;=BUSCAR!$J$4))),1,0))</f>
      </c>
      <c r="AH383" s="42">
        <f t="shared" si="15"/>
      </c>
      <c r="AI383" s="42">
        <f t="shared" si="16"/>
      </c>
    </row>
    <row r="384" spans="1:35" x14ac:dyDescent="0.2">
      <c r="A384" s="66">
        <f t="shared" si="17"/>
      </c>
      <c r="B384" s="4"/>
      <c r="C384" s="4"/>
      <c r="D384" s="4"/>
      <c r="E384" s="4"/>
      <c r="F384" s="32"/>
      <c r="G384" s="8"/>
      <c r="H384" s="9"/>
      <c r="I384" s="8"/>
      <c r="J384" s="10"/>
      <c r="K384" s="8"/>
      <c r="L384" s="8"/>
      <c r="M384" s="8"/>
      <c r="N384" s="11"/>
      <c r="O384" s="9"/>
      <c r="P384" s="12"/>
      <c r="Q384" s="9"/>
      <c r="R384" s="13"/>
      <c r="S384" s="11"/>
      <c r="T384" s="11"/>
      <c r="U384" s="9"/>
      <c r="V384" s="9"/>
      <c r="W384" s="9"/>
      <c r="X384" s="16"/>
      <c r="AF384" s="42">
        <f>IF(BUSCAR!$C$8="FECHA NAC.",$G384,IF(BUSCAR!$C$8="PASAPORTE EXPIRA",$J384,IF(BUSCAR!$C$8="LICENCIA EMISION",$L384,IF(BUSCAR!$C$8="LICENCIA EXPIRA",$M384,""))))</f>
      </c>
      <c r="AG384" s="42">
        <f>IF($B384&amp;$C384&amp;$D384&amp;$E384&amp;$H384="",0,IF(AND(OR(BUSCAR!$J$5="",ISNUMBER(SEARCH(BUSCAR!$J$5,$AI384))),OR(BUSCAR!$J$6="",ISNUMBER(SEARCH(BUSCAR!$J$6,$AI384))),OR(BUSCAR!$J$8="",ISNUMBER(SEARCH(BUSCAR!$J$8,$AI384))),OR(BUSCAR!$J$9="",ISNUMBER(SEARCH(BUSCAR!$J$9,$AI384))),OR(NOT(BUSCAR!$J$2),AND(ISNUMBER($AF384),$AF384&gt;=BUSCAR!$J$3,$AF384&lt;=BUSCAR!$J$4))),1,0))</f>
      </c>
      <c r="AH384" s="42">
        <f t="shared" si="15"/>
      </c>
      <c r="AI384" s="42">
        <f t="shared" si="16"/>
      </c>
    </row>
    <row r="385" spans="1:35" x14ac:dyDescent="0.2">
      <c r="A385" s="66">
        <f t="shared" si="17"/>
      </c>
      <c r="B385" s="4"/>
      <c r="C385" s="4"/>
      <c r="D385" s="4"/>
      <c r="E385" s="4"/>
      <c r="F385" s="32"/>
      <c r="G385" s="8"/>
      <c r="H385" s="9"/>
      <c r="I385" s="8"/>
      <c r="J385" s="10"/>
      <c r="K385" s="8"/>
      <c r="L385" s="8"/>
      <c r="M385" s="8"/>
      <c r="N385" s="11"/>
      <c r="O385" s="9"/>
      <c r="P385" s="12"/>
      <c r="Q385" s="9"/>
      <c r="R385" s="13"/>
      <c r="S385" s="11"/>
      <c r="T385" s="11"/>
      <c r="U385" s="9"/>
      <c r="V385" s="9"/>
      <c r="W385" s="9"/>
      <c r="X385" s="16"/>
      <c r="AF385" s="42">
        <f>IF(BUSCAR!$C$8="FECHA NAC.",$G385,IF(BUSCAR!$C$8="PASAPORTE EXPIRA",$J385,IF(BUSCAR!$C$8="LICENCIA EMISION",$L385,IF(BUSCAR!$C$8="LICENCIA EXPIRA",$M385,""))))</f>
      </c>
      <c r="AG385" s="42">
        <f>IF($B385&amp;$C385&amp;$D385&amp;$E385&amp;$H385="",0,IF(AND(OR(BUSCAR!$J$5="",ISNUMBER(SEARCH(BUSCAR!$J$5,$AI385))),OR(BUSCAR!$J$6="",ISNUMBER(SEARCH(BUSCAR!$J$6,$AI385))),OR(BUSCAR!$J$8="",ISNUMBER(SEARCH(BUSCAR!$J$8,$AI385))),OR(BUSCAR!$J$9="",ISNUMBER(SEARCH(BUSCAR!$J$9,$AI385))),OR(NOT(BUSCAR!$J$2),AND(ISNUMBER($AF385),$AF385&gt;=BUSCAR!$J$3,$AF385&lt;=BUSCAR!$J$4))),1,0))</f>
      </c>
      <c r="AH385" s="42">
        <f t="shared" si="15"/>
      </c>
      <c r="AI385" s="42">
        <f t="shared" si="16"/>
      </c>
    </row>
    <row r="386" spans="1:35" x14ac:dyDescent="0.2">
      <c r="A386" s="66">
        <f t="shared" si="17"/>
      </c>
      <c r="B386" s="4"/>
      <c r="C386" s="4"/>
      <c r="D386" s="4"/>
      <c r="E386" s="4"/>
      <c r="F386" s="32"/>
      <c r="G386" s="8"/>
      <c r="H386" s="9"/>
      <c r="I386" s="8"/>
      <c r="J386" s="10"/>
      <c r="K386" s="8"/>
      <c r="L386" s="8"/>
      <c r="M386" s="8"/>
      <c r="N386" s="11"/>
      <c r="O386" s="9"/>
      <c r="P386" s="12"/>
      <c r="Q386" s="9"/>
      <c r="R386" s="13"/>
      <c r="S386" s="11"/>
      <c r="T386" s="11"/>
      <c r="U386" s="9"/>
      <c r="V386" s="9"/>
      <c r="W386" s="9"/>
      <c r="X386" s="16"/>
      <c r="AF386" s="42">
        <f>IF(BUSCAR!$C$8="FECHA NAC.",$G386,IF(BUSCAR!$C$8="PASAPORTE EXPIRA",$J386,IF(BUSCAR!$C$8="LICENCIA EMISION",$L386,IF(BUSCAR!$C$8="LICENCIA EXPIRA",$M386,""))))</f>
      </c>
      <c r="AG386" s="42">
        <f>IF($B386&amp;$C386&amp;$D386&amp;$E386&amp;$H386="",0,IF(AND(OR(BUSCAR!$J$5="",ISNUMBER(SEARCH(BUSCAR!$J$5,$AI386))),OR(BUSCAR!$J$6="",ISNUMBER(SEARCH(BUSCAR!$J$6,$AI386))),OR(BUSCAR!$J$8="",ISNUMBER(SEARCH(BUSCAR!$J$8,$AI386))),OR(BUSCAR!$J$9="",ISNUMBER(SEARCH(BUSCAR!$J$9,$AI386))),OR(NOT(BUSCAR!$J$2),AND(ISNUMBER($AF386),$AF386&gt;=BUSCAR!$J$3,$AF386&lt;=BUSCAR!$J$4))),1,0))</f>
      </c>
      <c r="AH386" s="42">
        <f t="shared" si="15"/>
      </c>
      <c r="AI386" s="42">
        <f t="shared" si="16"/>
      </c>
    </row>
    <row r="387" spans="1:35" x14ac:dyDescent="0.2">
      <c r="A387" s="66">
        <f t="shared" si="17"/>
      </c>
      <c r="B387" s="4"/>
      <c r="C387" s="4"/>
      <c r="D387" s="4"/>
      <c r="E387" s="4"/>
      <c r="F387" s="32"/>
      <c r="G387" s="8"/>
      <c r="H387" s="9"/>
      <c r="I387" s="8"/>
      <c r="J387" s="10"/>
      <c r="K387" s="8"/>
      <c r="L387" s="8"/>
      <c r="M387" s="8"/>
      <c r="N387" s="11"/>
      <c r="O387" s="9"/>
      <c r="P387" s="12"/>
      <c r="Q387" s="9"/>
      <c r="R387" s="13"/>
      <c r="S387" s="11"/>
      <c r="T387" s="11"/>
      <c r="U387" s="9"/>
      <c r="V387" s="9"/>
      <c r="W387" s="9"/>
      <c r="X387" s="16"/>
      <c r="AF387" s="42">
        <f>IF(BUSCAR!$C$8="FECHA NAC.",$G387,IF(BUSCAR!$C$8="PASAPORTE EXPIRA",$J387,IF(BUSCAR!$C$8="LICENCIA EMISION",$L387,IF(BUSCAR!$C$8="LICENCIA EXPIRA",$M387,""))))</f>
      </c>
      <c r="AG387" s="42">
        <f>IF($B387&amp;$C387&amp;$D387&amp;$E387&amp;$H387="",0,IF(AND(OR(BUSCAR!$J$5="",ISNUMBER(SEARCH(BUSCAR!$J$5,$AI387))),OR(BUSCAR!$J$6="",ISNUMBER(SEARCH(BUSCAR!$J$6,$AI387))),OR(BUSCAR!$J$8="",ISNUMBER(SEARCH(BUSCAR!$J$8,$AI387))),OR(BUSCAR!$J$9="",ISNUMBER(SEARCH(BUSCAR!$J$9,$AI387))),OR(NOT(BUSCAR!$J$2),AND(ISNUMBER($AF387),$AF387&gt;=BUSCAR!$J$3,$AF387&lt;=BUSCAR!$J$4))),1,0))</f>
      </c>
      <c r="AH387" s="42">
        <f t="shared" ref="AH387:AH450" si="18">AH386+AG387</f>
      </c>
      <c r="AI387" s="42">
        <f t="shared" ref="AI387:AI450" si="19">IF($B387&amp;" "&amp;$C387&amp;" "&amp;$D387&amp;" "&amp;$E387&amp;" "&amp;$H387&amp;" "&amp;$K387&amp;" "&amp;$R387&amp;" "&amp;$AC387&amp;" "&amp;$AD387="","",SUBSTITUTE(SUBSTITUTE(SUBSTITUTE(SUBSTITUTE(SUBSTITUTE(SUBSTITUTE(SUBSTITUTE(UPPER($B387&amp;" "&amp;$C387&amp;" "&amp;$D387&amp;" "&amp;$E387&amp;" "&amp;$H387&amp;" "&amp;$K387&amp;" "&amp;$R387&amp;" "&amp;$AC387&amp;" "&amp;$AD387),"Á","A"),"É","E"),"Í","I"),"Ó","O"),"Ú","U"),"Ü","U"),"Ñ","N"))</f>
      </c>
    </row>
    <row r="388" spans="1:35" x14ac:dyDescent="0.2">
      <c r="A388" s="66">
        <f t="shared" ref="A388:A451" si="20">A387+1</f>
      </c>
      <c r="B388" s="4"/>
      <c r="C388" s="4"/>
      <c r="D388" s="4"/>
      <c r="E388" s="4"/>
      <c r="F388" s="32"/>
      <c r="G388" s="8"/>
      <c r="H388" s="9"/>
      <c r="I388" s="8"/>
      <c r="J388" s="10"/>
      <c r="K388" s="8"/>
      <c r="L388" s="8"/>
      <c r="M388" s="8"/>
      <c r="N388" s="11"/>
      <c r="O388" s="9"/>
      <c r="P388" s="12"/>
      <c r="Q388" s="9"/>
      <c r="R388" s="13"/>
      <c r="S388" s="11"/>
      <c r="T388" s="11"/>
      <c r="U388" s="9"/>
      <c r="V388" s="9"/>
      <c r="W388" s="9"/>
      <c r="X388" s="16"/>
      <c r="AF388" s="42">
        <f>IF(BUSCAR!$C$8="FECHA NAC.",$G388,IF(BUSCAR!$C$8="PASAPORTE EXPIRA",$J388,IF(BUSCAR!$C$8="LICENCIA EMISION",$L388,IF(BUSCAR!$C$8="LICENCIA EXPIRA",$M388,""))))</f>
      </c>
      <c r="AG388" s="42">
        <f>IF($B388&amp;$C388&amp;$D388&amp;$E388&amp;$H388="",0,IF(AND(OR(BUSCAR!$J$5="",ISNUMBER(SEARCH(BUSCAR!$J$5,$AI388))),OR(BUSCAR!$J$6="",ISNUMBER(SEARCH(BUSCAR!$J$6,$AI388))),OR(BUSCAR!$J$8="",ISNUMBER(SEARCH(BUSCAR!$J$8,$AI388))),OR(BUSCAR!$J$9="",ISNUMBER(SEARCH(BUSCAR!$J$9,$AI388))),OR(NOT(BUSCAR!$J$2),AND(ISNUMBER($AF388),$AF388&gt;=BUSCAR!$J$3,$AF388&lt;=BUSCAR!$J$4))),1,0))</f>
      </c>
      <c r="AH388" s="42">
        <f t="shared" si="18"/>
      </c>
      <c r="AI388" s="42">
        <f t="shared" si="19"/>
      </c>
    </row>
    <row r="389" spans="1:35" x14ac:dyDescent="0.2">
      <c r="A389" s="66">
        <f t="shared" si="20"/>
      </c>
      <c r="B389" s="4"/>
      <c r="C389" s="4"/>
      <c r="D389" s="4"/>
      <c r="E389" s="4"/>
      <c r="F389" s="32"/>
      <c r="G389" s="8"/>
      <c r="H389" s="9"/>
      <c r="I389" s="8"/>
      <c r="J389" s="10"/>
      <c r="K389" s="8"/>
      <c r="L389" s="8"/>
      <c r="M389" s="8"/>
      <c r="N389" s="11"/>
      <c r="O389" s="9"/>
      <c r="P389" s="12"/>
      <c r="Q389" s="9"/>
      <c r="R389" s="13"/>
      <c r="S389" s="11"/>
      <c r="T389" s="11"/>
      <c r="U389" s="9"/>
      <c r="V389" s="9"/>
      <c r="W389" s="9"/>
      <c r="X389" s="16"/>
      <c r="AF389" s="42">
        <f>IF(BUSCAR!$C$8="FECHA NAC.",$G389,IF(BUSCAR!$C$8="PASAPORTE EXPIRA",$J389,IF(BUSCAR!$C$8="LICENCIA EMISION",$L389,IF(BUSCAR!$C$8="LICENCIA EXPIRA",$M389,""))))</f>
      </c>
      <c r="AG389" s="42">
        <f>IF($B389&amp;$C389&amp;$D389&amp;$E389&amp;$H389="",0,IF(AND(OR(BUSCAR!$J$5="",ISNUMBER(SEARCH(BUSCAR!$J$5,$AI389))),OR(BUSCAR!$J$6="",ISNUMBER(SEARCH(BUSCAR!$J$6,$AI389))),OR(BUSCAR!$J$8="",ISNUMBER(SEARCH(BUSCAR!$J$8,$AI389))),OR(BUSCAR!$J$9="",ISNUMBER(SEARCH(BUSCAR!$J$9,$AI389))),OR(NOT(BUSCAR!$J$2),AND(ISNUMBER($AF389),$AF389&gt;=BUSCAR!$J$3,$AF389&lt;=BUSCAR!$J$4))),1,0))</f>
      </c>
      <c r="AH389" s="42">
        <f t="shared" si="18"/>
      </c>
      <c r="AI389" s="42">
        <f t="shared" si="19"/>
      </c>
    </row>
    <row r="390" spans="1:35" x14ac:dyDescent="0.2">
      <c r="A390" s="66">
        <f t="shared" si="20"/>
      </c>
      <c r="B390" s="4"/>
      <c r="C390" s="4"/>
      <c r="D390" s="4"/>
      <c r="E390" s="4"/>
      <c r="F390" s="32"/>
      <c r="G390" s="8"/>
      <c r="H390" s="9"/>
      <c r="I390" s="8"/>
      <c r="J390" s="10"/>
      <c r="K390" s="8"/>
      <c r="L390" s="8"/>
      <c r="M390" s="8"/>
      <c r="N390" s="11"/>
      <c r="O390" s="9"/>
      <c r="P390" s="12"/>
      <c r="Q390" s="9"/>
      <c r="R390" s="13"/>
      <c r="S390" s="11"/>
      <c r="T390" s="11"/>
      <c r="U390" s="9"/>
      <c r="V390" s="9"/>
      <c r="W390" s="9"/>
      <c r="X390" s="16"/>
      <c r="AF390" s="42">
        <f>IF(BUSCAR!$C$8="FECHA NAC.",$G390,IF(BUSCAR!$C$8="PASAPORTE EXPIRA",$J390,IF(BUSCAR!$C$8="LICENCIA EMISION",$L390,IF(BUSCAR!$C$8="LICENCIA EXPIRA",$M390,""))))</f>
      </c>
      <c r="AG390" s="42">
        <f>IF($B390&amp;$C390&amp;$D390&amp;$E390&amp;$H390="",0,IF(AND(OR(BUSCAR!$J$5="",ISNUMBER(SEARCH(BUSCAR!$J$5,$AI390))),OR(BUSCAR!$J$6="",ISNUMBER(SEARCH(BUSCAR!$J$6,$AI390))),OR(BUSCAR!$J$8="",ISNUMBER(SEARCH(BUSCAR!$J$8,$AI390))),OR(BUSCAR!$J$9="",ISNUMBER(SEARCH(BUSCAR!$J$9,$AI390))),OR(NOT(BUSCAR!$J$2),AND(ISNUMBER($AF390),$AF390&gt;=BUSCAR!$J$3,$AF390&lt;=BUSCAR!$J$4))),1,0))</f>
      </c>
      <c r="AH390" s="42">
        <f t="shared" si="18"/>
      </c>
      <c r="AI390" s="42">
        <f t="shared" si="19"/>
      </c>
    </row>
    <row r="391" spans="1:35" x14ac:dyDescent="0.2">
      <c r="A391" s="66">
        <f t="shared" si="20"/>
      </c>
      <c r="B391" s="4"/>
      <c r="C391" s="4"/>
      <c r="D391" s="4"/>
      <c r="E391" s="4"/>
      <c r="F391" s="32"/>
      <c r="G391" s="8"/>
      <c r="H391" s="9"/>
      <c r="I391" s="8"/>
      <c r="J391" s="10"/>
      <c r="K391" s="8"/>
      <c r="L391" s="8"/>
      <c r="M391" s="8"/>
      <c r="N391" s="11"/>
      <c r="O391" s="9"/>
      <c r="P391" s="12"/>
      <c r="Q391" s="9"/>
      <c r="R391" s="13"/>
      <c r="S391" s="11"/>
      <c r="T391" s="11"/>
      <c r="U391" s="9"/>
      <c r="V391" s="9"/>
      <c r="W391" s="9"/>
      <c r="X391" s="16"/>
      <c r="AF391" s="42">
        <f>IF(BUSCAR!$C$8="FECHA NAC.",$G391,IF(BUSCAR!$C$8="PASAPORTE EXPIRA",$J391,IF(BUSCAR!$C$8="LICENCIA EMISION",$L391,IF(BUSCAR!$C$8="LICENCIA EXPIRA",$M391,""))))</f>
      </c>
      <c r="AG391" s="42">
        <f>IF($B391&amp;$C391&amp;$D391&amp;$E391&amp;$H391="",0,IF(AND(OR(BUSCAR!$J$5="",ISNUMBER(SEARCH(BUSCAR!$J$5,$AI391))),OR(BUSCAR!$J$6="",ISNUMBER(SEARCH(BUSCAR!$J$6,$AI391))),OR(BUSCAR!$J$8="",ISNUMBER(SEARCH(BUSCAR!$J$8,$AI391))),OR(BUSCAR!$J$9="",ISNUMBER(SEARCH(BUSCAR!$J$9,$AI391))),OR(NOT(BUSCAR!$J$2),AND(ISNUMBER($AF391),$AF391&gt;=BUSCAR!$J$3,$AF391&lt;=BUSCAR!$J$4))),1,0))</f>
      </c>
      <c r="AH391" s="42">
        <f t="shared" si="18"/>
      </c>
      <c r="AI391" s="42">
        <f t="shared" si="19"/>
      </c>
    </row>
    <row r="392" spans="1:35" x14ac:dyDescent="0.2">
      <c r="A392" s="66">
        <f t="shared" si="20"/>
      </c>
      <c r="B392" s="4"/>
      <c r="C392" s="4"/>
      <c r="D392" s="4"/>
      <c r="E392" s="4"/>
      <c r="F392" s="32"/>
      <c r="G392" s="8"/>
      <c r="H392" s="9"/>
      <c r="I392" s="8"/>
      <c r="J392" s="10"/>
      <c r="K392" s="8"/>
      <c r="L392" s="8"/>
      <c r="M392" s="8"/>
      <c r="N392" s="11"/>
      <c r="O392" s="9"/>
      <c r="P392" s="12"/>
      <c r="Q392" s="9"/>
      <c r="R392" s="13"/>
      <c r="S392" s="11"/>
      <c r="T392" s="11"/>
      <c r="U392" s="9"/>
      <c r="V392" s="9"/>
      <c r="W392" s="9"/>
      <c r="X392" s="16"/>
      <c r="AF392" s="42">
        <f>IF(BUSCAR!$C$8="FECHA NAC.",$G392,IF(BUSCAR!$C$8="PASAPORTE EXPIRA",$J392,IF(BUSCAR!$C$8="LICENCIA EMISION",$L392,IF(BUSCAR!$C$8="LICENCIA EXPIRA",$M392,""))))</f>
      </c>
      <c r="AG392" s="42">
        <f>IF($B392&amp;$C392&amp;$D392&amp;$E392&amp;$H392="",0,IF(AND(OR(BUSCAR!$J$5="",ISNUMBER(SEARCH(BUSCAR!$J$5,$AI392))),OR(BUSCAR!$J$6="",ISNUMBER(SEARCH(BUSCAR!$J$6,$AI392))),OR(BUSCAR!$J$8="",ISNUMBER(SEARCH(BUSCAR!$J$8,$AI392))),OR(BUSCAR!$J$9="",ISNUMBER(SEARCH(BUSCAR!$J$9,$AI392))),OR(NOT(BUSCAR!$J$2),AND(ISNUMBER($AF392),$AF392&gt;=BUSCAR!$J$3,$AF392&lt;=BUSCAR!$J$4))),1,0))</f>
      </c>
      <c r="AH392" s="42">
        <f t="shared" si="18"/>
      </c>
      <c r="AI392" s="42">
        <f t="shared" si="19"/>
      </c>
    </row>
    <row r="393" spans="1:35" x14ac:dyDescent="0.2">
      <c r="A393" s="66">
        <f t="shared" si="20"/>
      </c>
      <c r="B393" s="4"/>
      <c r="C393" s="4"/>
      <c r="D393" s="4"/>
      <c r="E393" s="4"/>
      <c r="F393" s="32"/>
      <c r="G393" s="8"/>
      <c r="H393" s="9"/>
      <c r="I393" s="8"/>
      <c r="J393" s="10"/>
      <c r="K393" s="8"/>
      <c r="L393" s="8"/>
      <c r="M393" s="8"/>
      <c r="N393" s="11"/>
      <c r="O393" s="9"/>
      <c r="P393" s="12"/>
      <c r="Q393" s="9"/>
      <c r="R393" s="13"/>
      <c r="S393" s="11"/>
      <c r="T393" s="11"/>
      <c r="U393" s="9"/>
      <c r="V393" s="9"/>
      <c r="W393" s="9"/>
      <c r="X393" s="16"/>
      <c r="AF393" s="42">
        <f>IF(BUSCAR!$C$8="FECHA NAC.",$G393,IF(BUSCAR!$C$8="PASAPORTE EXPIRA",$J393,IF(BUSCAR!$C$8="LICENCIA EMISION",$L393,IF(BUSCAR!$C$8="LICENCIA EXPIRA",$M393,""))))</f>
      </c>
      <c r="AG393" s="42">
        <f>IF($B393&amp;$C393&amp;$D393&amp;$E393&amp;$H393="",0,IF(AND(OR(BUSCAR!$J$5="",ISNUMBER(SEARCH(BUSCAR!$J$5,$AI393))),OR(BUSCAR!$J$6="",ISNUMBER(SEARCH(BUSCAR!$J$6,$AI393))),OR(BUSCAR!$J$8="",ISNUMBER(SEARCH(BUSCAR!$J$8,$AI393))),OR(BUSCAR!$J$9="",ISNUMBER(SEARCH(BUSCAR!$J$9,$AI393))),OR(NOT(BUSCAR!$J$2),AND(ISNUMBER($AF393),$AF393&gt;=BUSCAR!$J$3,$AF393&lt;=BUSCAR!$J$4))),1,0))</f>
      </c>
      <c r="AH393" s="42">
        <f t="shared" si="18"/>
      </c>
      <c r="AI393" s="42">
        <f t="shared" si="19"/>
      </c>
    </row>
    <row r="394" spans="1:35" x14ac:dyDescent="0.2">
      <c r="A394" s="66">
        <f t="shared" si="20"/>
      </c>
      <c r="B394" s="4"/>
      <c r="C394" s="4"/>
      <c r="D394" s="4"/>
      <c r="E394" s="4"/>
      <c r="F394" s="32"/>
      <c r="G394" s="8"/>
      <c r="H394" s="9"/>
      <c r="I394" s="8"/>
      <c r="J394" s="10"/>
      <c r="K394" s="8"/>
      <c r="L394" s="8"/>
      <c r="M394" s="8"/>
      <c r="N394" s="11"/>
      <c r="O394" s="9"/>
      <c r="P394" s="12"/>
      <c r="Q394" s="9"/>
      <c r="R394" s="13"/>
      <c r="S394" s="11"/>
      <c r="T394" s="11"/>
      <c r="U394" s="9"/>
      <c r="V394" s="9"/>
      <c r="W394" s="9"/>
      <c r="X394" s="16"/>
      <c r="AF394" s="42">
        <f>IF(BUSCAR!$C$8="FECHA NAC.",$G394,IF(BUSCAR!$C$8="PASAPORTE EXPIRA",$J394,IF(BUSCAR!$C$8="LICENCIA EMISION",$L394,IF(BUSCAR!$C$8="LICENCIA EXPIRA",$M394,""))))</f>
      </c>
      <c r="AG394" s="42">
        <f>IF($B394&amp;$C394&amp;$D394&amp;$E394&amp;$H394="",0,IF(AND(OR(BUSCAR!$J$5="",ISNUMBER(SEARCH(BUSCAR!$J$5,$AI394))),OR(BUSCAR!$J$6="",ISNUMBER(SEARCH(BUSCAR!$J$6,$AI394))),OR(BUSCAR!$J$8="",ISNUMBER(SEARCH(BUSCAR!$J$8,$AI394))),OR(BUSCAR!$J$9="",ISNUMBER(SEARCH(BUSCAR!$J$9,$AI394))),OR(NOT(BUSCAR!$J$2),AND(ISNUMBER($AF394),$AF394&gt;=BUSCAR!$J$3,$AF394&lt;=BUSCAR!$J$4))),1,0))</f>
      </c>
      <c r="AH394" s="42">
        <f t="shared" si="18"/>
      </c>
      <c r="AI394" s="42">
        <f t="shared" si="19"/>
      </c>
    </row>
    <row r="395" spans="1:35" x14ac:dyDescent="0.2">
      <c r="A395" s="66">
        <f t="shared" si="20"/>
      </c>
      <c r="B395" s="4"/>
      <c r="C395" s="4"/>
      <c r="D395" s="4"/>
      <c r="E395" s="4"/>
      <c r="F395" s="32"/>
      <c r="G395" s="8"/>
      <c r="H395" s="9"/>
      <c r="I395" s="8"/>
      <c r="J395" s="10"/>
      <c r="K395" s="8"/>
      <c r="L395" s="8"/>
      <c r="M395" s="8"/>
      <c r="N395" s="11"/>
      <c r="O395" s="9"/>
      <c r="P395" s="12"/>
      <c r="Q395" s="9"/>
      <c r="R395" s="13"/>
      <c r="S395" s="11"/>
      <c r="T395" s="11"/>
      <c r="U395" s="9"/>
      <c r="V395" s="9"/>
      <c r="W395" s="9"/>
      <c r="X395" s="16"/>
      <c r="AF395" s="42">
        <f>IF(BUSCAR!$C$8="FECHA NAC.",$G395,IF(BUSCAR!$C$8="PASAPORTE EXPIRA",$J395,IF(BUSCAR!$C$8="LICENCIA EMISION",$L395,IF(BUSCAR!$C$8="LICENCIA EXPIRA",$M395,""))))</f>
      </c>
      <c r="AG395" s="42">
        <f>IF($B395&amp;$C395&amp;$D395&amp;$E395&amp;$H395="",0,IF(AND(OR(BUSCAR!$J$5="",ISNUMBER(SEARCH(BUSCAR!$J$5,$AI395))),OR(BUSCAR!$J$6="",ISNUMBER(SEARCH(BUSCAR!$J$6,$AI395))),OR(BUSCAR!$J$8="",ISNUMBER(SEARCH(BUSCAR!$J$8,$AI395))),OR(BUSCAR!$J$9="",ISNUMBER(SEARCH(BUSCAR!$J$9,$AI395))),OR(NOT(BUSCAR!$J$2),AND(ISNUMBER($AF395),$AF395&gt;=BUSCAR!$J$3,$AF395&lt;=BUSCAR!$J$4))),1,0))</f>
      </c>
      <c r="AH395" s="42">
        <f t="shared" si="18"/>
      </c>
      <c r="AI395" s="42">
        <f t="shared" si="19"/>
      </c>
    </row>
    <row r="396" spans="1:35" x14ac:dyDescent="0.2">
      <c r="A396" s="66">
        <f t="shared" si="20"/>
      </c>
      <c r="B396" s="4"/>
      <c r="C396" s="4"/>
      <c r="D396" s="4"/>
      <c r="E396" s="4"/>
      <c r="F396" s="32"/>
      <c r="G396" s="8"/>
      <c r="H396" s="9"/>
      <c r="I396" s="8"/>
      <c r="J396" s="10"/>
      <c r="K396" s="8"/>
      <c r="L396" s="8"/>
      <c r="M396" s="8"/>
      <c r="N396" s="11"/>
      <c r="O396" s="9"/>
      <c r="P396" s="12"/>
      <c r="Q396" s="9"/>
      <c r="R396" s="13"/>
      <c r="S396" s="11"/>
      <c r="T396" s="11"/>
      <c r="U396" s="9"/>
      <c r="V396" s="9"/>
      <c r="W396" s="9"/>
      <c r="X396" s="16"/>
      <c r="AF396" s="42">
        <f>IF(BUSCAR!$C$8="FECHA NAC.",$G396,IF(BUSCAR!$C$8="PASAPORTE EXPIRA",$J396,IF(BUSCAR!$C$8="LICENCIA EMISION",$L396,IF(BUSCAR!$C$8="LICENCIA EXPIRA",$M396,""))))</f>
      </c>
      <c r="AG396" s="42">
        <f>IF($B396&amp;$C396&amp;$D396&amp;$E396&amp;$H396="",0,IF(AND(OR(BUSCAR!$J$5="",ISNUMBER(SEARCH(BUSCAR!$J$5,$AI396))),OR(BUSCAR!$J$6="",ISNUMBER(SEARCH(BUSCAR!$J$6,$AI396))),OR(BUSCAR!$J$8="",ISNUMBER(SEARCH(BUSCAR!$J$8,$AI396))),OR(BUSCAR!$J$9="",ISNUMBER(SEARCH(BUSCAR!$J$9,$AI396))),OR(NOT(BUSCAR!$J$2),AND(ISNUMBER($AF396),$AF396&gt;=BUSCAR!$J$3,$AF396&lt;=BUSCAR!$J$4))),1,0))</f>
      </c>
      <c r="AH396" s="42">
        <f t="shared" si="18"/>
      </c>
      <c r="AI396" s="42">
        <f t="shared" si="19"/>
      </c>
    </row>
    <row r="397" spans="1:35" x14ac:dyDescent="0.2">
      <c r="A397" s="66">
        <f t="shared" si="20"/>
      </c>
      <c r="B397" s="4"/>
      <c r="C397" s="4"/>
      <c r="D397" s="4"/>
      <c r="E397" s="4"/>
      <c r="F397" s="32"/>
      <c r="G397" s="8"/>
      <c r="H397" s="9"/>
      <c r="I397" s="8"/>
      <c r="J397" s="10"/>
      <c r="K397" s="8"/>
      <c r="L397" s="8"/>
      <c r="M397" s="8"/>
      <c r="N397" s="11"/>
      <c r="O397" s="9"/>
      <c r="P397" s="12"/>
      <c r="Q397" s="9"/>
      <c r="R397" s="13"/>
      <c r="S397" s="11"/>
      <c r="T397" s="11"/>
      <c r="U397" s="9"/>
      <c r="V397" s="9"/>
      <c r="W397" s="9"/>
      <c r="X397" s="16"/>
      <c r="AF397" s="42">
        <f>IF(BUSCAR!$C$8="FECHA NAC.",$G397,IF(BUSCAR!$C$8="PASAPORTE EXPIRA",$J397,IF(BUSCAR!$C$8="LICENCIA EMISION",$L397,IF(BUSCAR!$C$8="LICENCIA EXPIRA",$M397,""))))</f>
      </c>
      <c r="AG397" s="42">
        <f>IF($B397&amp;$C397&amp;$D397&amp;$E397&amp;$H397="",0,IF(AND(OR(BUSCAR!$J$5="",ISNUMBER(SEARCH(BUSCAR!$J$5,$AI397))),OR(BUSCAR!$J$6="",ISNUMBER(SEARCH(BUSCAR!$J$6,$AI397))),OR(BUSCAR!$J$8="",ISNUMBER(SEARCH(BUSCAR!$J$8,$AI397))),OR(BUSCAR!$J$9="",ISNUMBER(SEARCH(BUSCAR!$J$9,$AI397))),OR(NOT(BUSCAR!$J$2),AND(ISNUMBER($AF397),$AF397&gt;=BUSCAR!$J$3,$AF397&lt;=BUSCAR!$J$4))),1,0))</f>
      </c>
      <c r="AH397" s="42">
        <f t="shared" si="18"/>
      </c>
      <c r="AI397" s="42">
        <f t="shared" si="19"/>
      </c>
    </row>
    <row r="398" spans="1:35" x14ac:dyDescent="0.2">
      <c r="A398" s="66">
        <f t="shared" si="20"/>
      </c>
      <c r="B398" s="4"/>
      <c r="C398" s="4"/>
      <c r="D398" s="4"/>
      <c r="E398" s="4"/>
      <c r="F398" s="32"/>
      <c r="G398" s="8"/>
      <c r="H398" s="9"/>
      <c r="I398" s="8"/>
      <c r="J398" s="10"/>
      <c r="K398" s="8"/>
      <c r="L398" s="8"/>
      <c r="M398" s="8"/>
      <c r="N398" s="11"/>
      <c r="O398" s="9"/>
      <c r="P398" s="12"/>
      <c r="Q398" s="9"/>
      <c r="R398" s="13"/>
      <c r="S398" s="11"/>
      <c r="T398" s="11"/>
      <c r="U398" s="9"/>
      <c r="V398" s="9"/>
      <c r="W398" s="9"/>
      <c r="X398" s="16"/>
      <c r="AF398" s="42">
        <f>IF(BUSCAR!$C$8="FECHA NAC.",$G398,IF(BUSCAR!$C$8="PASAPORTE EXPIRA",$J398,IF(BUSCAR!$C$8="LICENCIA EMISION",$L398,IF(BUSCAR!$C$8="LICENCIA EXPIRA",$M398,""))))</f>
      </c>
      <c r="AG398" s="42">
        <f>IF($B398&amp;$C398&amp;$D398&amp;$E398&amp;$H398="",0,IF(AND(OR(BUSCAR!$J$5="",ISNUMBER(SEARCH(BUSCAR!$J$5,$AI398))),OR(BUSCAR!$J$6="",ISNUMBER(SEARCH(BUSCAR!$J$6,$AI398))),OR(BUSCAR!$J$8="",ISNUMBER(SEARCH(BUSCAR!$J$8,$AI398))),OR(BUSCAR!$J$9="",ISNUMBER(SEARCH(BUSCAR!$J$9,$AI398))),OR(NOT(BUSCAR!$J$2),AND(ISNUMBER($AF398),$AF398&gt;=BUSCAR!$J$3,$AF398&lt;=BUSCAR!$J$4))),1,0))</f>
      </c>
      <c r="AH398" s="42">
        <f t="shared" si="18"/>
      </c>
      <c r="AI398" s="42">
        <f t="shared" si="19"/>
      </c>
    </row>
    <row r="399" spans="1:35" x14ac:dyDescent="0.2">
      <c r="A399" s="66">
        <f t="shared" si="20"/>
      </c>
      <c r="B399" s="4"/>
      <c r="C399" s="4"/>
      <c r="D399" s="4"/>
      <c r="E399" s="4"/>
      <c r="F399" s="32"/>
      <c r="G399" s="8"/>
      <c r="H399" s="9"/>
      <c r="I399" s="8"/>
      <c r="J399" s="10"/>
      <c r="K399" s="8"/>
      <c r="L399" s="8"/>
      <c r="M399" s="8"/>
      <c r="N399" s="11"/>
      <c r="O399" s="9"/>
      <c r="P399" s="12"/>
      <c r="Q399" s="9"/>
      <c r="R399" s="13"/>
      <c r="S399" s="11"/>
      <c r="T399" s="11"/>
      <c r="U399" s="9"/>
      <c r="V399" s="9"/>
      <c r="W399" s="9"/>
      <c r="X399" s="16"/>
      <c r="AF399" s="42">
        <f>IF(BUSCAR!$C$8="FECHA NAC.",$G399,IF(BUSCAR!$C$8="PASAPORTE EXPIRA",$J399,IF(BUSCAR!$C$8="LICENCIA EMISION",$L399,IF(BUSCAR!$C$8="LICENCIA EXPIRA",$M399,""))))</f>
      </c>
      <c r="AG399" s="42">
        <f>IF($B399&amp;$C399&amp;$D399&amp;$E399&amp;$H399="",0,IF(AND(OR(BUSCAR!$J$5="",ISNUMBER(SEARCH(BUSCAR!$J$5,$AI399))),OR(BUSCAR!$J$6="",ISNUMBER(SEARCH(BUSCAR!$J$6,$AI399))),OR(BUSCAR!$J$8="",ISNUMBER(SEARCH(BUSCAR!$J$8,$AI399))),OR(BUSCAR!$J$9="",ISNUMBER(SEARCH(BUSCAR!$J$9,$AI399))),OR(NOT(BUSCAR!$J$2),AND(ISNUMBER($AF399),$AF399&gt;=BUSCAR!$J$3,$AF399&lt;=BUSCAR!$J$4))),1,0))</f>
      </c>
      <c r="AH399" s="42">
        <f t="shared" si="18"/>
      </c>
      <c r="AI399" s="42">
        <f t="shared" si="19"/>
      </c>
    </row>
    <row r="400" spans="1:35" x14ac:dyDescent="0.2">
      <c r="A400" s="66">
        <f t="shared" si="20"/>
      </c>
      <c r="B400" s="4"/>
      <c r="C400" s="4"/>
      <c r="D400" s="4"/>
      <c r="E400" s="4"/>
      <c r="F400" s="32"/>
      <c r="G400" s="8"/>
      <c r="H400" s="9"/>
      <c r="I400" s="8"/>
      <c r="J400" s="10"/>
      <c r="K400" s="8"/>
      <c r="L400" s="8"/>
      <c r="M400" s="8"/>
      <c r="N400" s="11"/>
      <c r="O400" s="9"/>
      <c r="P400" s="12"/>
      <c r="Q400" s="9"/>
      <c r="R400" s="13"/>
      <c r="S400" s="11"/>
      <c r="T400" s="11"/>
      <c r="U400" s="9"/>
      <c r="V400" s="9"/>
      <c r="W400" s="9"/>
      <c r="X400" s="16"/>
      <c r="AF400" s="42">
        <f>IF(BUSCAR!$C$8="FECHA NAC.",$G400,IF(BUSCAR!$C$8="PASAPORTE EXPIRA",$J400,IF(BUSCAR!$C$8="LICENCIA EMISION",$L400,IF(BUSCAR!$C$8="LICENCIA EXPIRA",$M400,""))))</f>
      </c>
      <c r="AG400" s="42">
        <f>IF($B400&amp;$C400&amp;$D400&amp;$E400&amp;$H400="",0,IF(AND(OR(BUSCAR!$J$5="",ISNUMBER(SEARCH(BUSCAR!$J$5,$AI400))),OR(BUSCAR!$J$6="",ISNUMBER(SEARCH(BUSCAR!$J$6,$AI400))),OR(BUSCAR!$J$8="",ISNUMBER(SEARCH(BUSCAR!$J$8,$AI400))),OR(BUSCAR!$J$9="",ISNUMBER(SEARCH(BUSCAR!$J$9,$AI400))),OR(NOT(BUSCAR!$J$2),AND(ISNUMBER($AF400),$AF400&gt;=BUSCAR!$J$3,$AF400&lt;=BUSCAR!$J$4))),1,0))</f>
      </c>
      <c r="AH400" s="42">
        <f t="shared" si="18"/>
      </c>
      <c r="AI400" s="42">
        <f t="shared" si="19"/>
      </c>
    </row>
    <row r="401" spans="1:35" x14ac:dyDescent="0.2">
      <c r="A401" s="66">
        <f t="shared" si="20"/>
      </c>
      <c r="B401" s="4"/>
      <c r="C401" s="4"/>
      <c r="D401" s="4"/>
      <c r="E401" s="4"/>
      <c r="F401" s="32"/>
      <c r="G401" s="8"/>
      <c r="H401" s="9"/>
      <c r="I401" s="8"/>
      <c r="J401" s="10"/>
      <c r="K401" s="8"/>
      <c r="L401" s="8"/>
      <c r="M401" s="8"/>
      <c r="N401" s="11"/>
      <c r="O401" s="9"/>
      <c r="P401" s="12"/>
      <c r="Q401" s="9"/>
      <c r="R401" s="13"/>
      <c r="S401" s="11"/>
      <c r="T401" s="11"/>
      <c r="U401" s="9"/>
      <c r="V401" s="9"/>
      <c r="W401" s="9"/>
      <c r="X401" s="16"/>
      <c r="AF401" s="42">
        <f>IF(BUSCAR!$C$8="FECHA NAC.",$G401,IF(BUSCAR!$C$8="PASAPORTE EXPIRA",$J401,IF(BUSCAR!$C$8="LICENCIA EMISION",$L401,IF(BUSCAR!$C$8="LICENCIA EXPIRA",$M401,""))))</f>
      </c>
      <c r="AG401" s="42">
        <f>IF($B401&amp;$C401&amp;$D401&amp;$E401&amp;$H401="",0,IF(AND(OR(BUSCAR!$J$5="",ISNUMBER(SEARCH(BUSCAR!$J$5,$AI401))),OR(BUSCAR!$J$6="",ISNUMBER(SEARCH(BUSCAR!$J$6,$AI401))),OR(BUSCAR!$J$8="",ISNUMBER(SEARCH(BUSCAR!$J$8,$AI401))),OR(BUSCAR!$J$9="",ISNUMBER(SEARCH(BUSCAR!$J$9,$AI401))),OR(NOT(BUSCAR!$J$2),AND(ISNUMBER($AF401),$AF401&gt;=BUSCAR!$J$3,$AF401&lt;=BUSCAR!$J$4))),1,0))</f>
      </c>
      <c r="AH401" s="42">
        <f t="shared" si="18"/>
      </c>
      <c r="AI401" s="42">
        <f t="shared" si="19"/>
      </c>
    </row>
    <row r="402" spans="1:35" x14ac:dyDescent="0.2">
      <c r="A402" s="66">
        <f t="shared" si="20"/>
      </c>
      <c r="B402" s="4"/>
      <c r="C402" s="4"/>
      <c r="D402" s="4"/>
      <c r="E402" s="4"/>
      <c r="F402" s="32"/>
      <c r="G402" s="8"/>
      <c r="H402" s="9"/>
      <c r="I402" s="8"/>
      <c r="J402" s="10"/>
      <c r="K402" s="8"/>
      <c r="L402" s="8"/>
      <c r="M402" s="8"/>
      <c r="N402" s="11"/>
      <c r="O402" s="9"/>
      <c r="P402" s="12"/>
      <c r="Q402" s="9"/>
      <c r="R402" s="13"/>
      <c r="S402" s="11"/>
      <c r="T402" s="11"/>
      <c r="U402" s="9"/>
      <c r="V402" s="9"/>
      <c r="W402" s="9"/>
      <c r="X402" s="16"/>
      <c r="AF402" s="42">
        <f>IF(BUSCAR!$C$8="FECHA NAC.",$G402,IF(BUSCAR!$C$8="PASAPORTE EXPIRA",$J402,IF(BUSCAR!$C$8="LICENCIA EMISION",$L402,IF(BUSCAR!$C$8="LICENCIA EXPIRA",$M402,""))))</f>
      </c>
      <c r="AG402" s="42">
        <f>IF($B402&amp;$C402&amp;$D402&amp;$E402&amp;$H402="",0,IF(AND(OR(BUSCAR!$J$5="",ISNUMBER(SEARCH(BUSCAR!$J$5,$AI402))),OR(BUSCAR!$J$6="",ISNUMBER(SEARCH(BUSCAR!$J$6,$AI402))),OR(BUSCAR!$J$8="",ISNUMBER(SEARCH(BUSCAR!$J$8,$AI402))),OR(BUSCAR!$J$9="",ISNUMBER(SEARCH(BUSCAR!$J$9,$AI402))),OR(NOT(BUSCAR!$J$2),AND(ISNUMBER($AF402),$AF402&gt;=BUSCAR!$J$3,$AF402&lt;=BUSCAR!$J$4))),1,0))</f>
      </c>
      <c r="AH402" s="42">
        <f t="shared" si="18"/>
      </c>
      <c r="AI402" s="42">
        <f t="shared" si="19"/>
      </c>
    </row>
    <row r="403" spans="1:35" x14ac:dyDescent="0.2">
      <c r="A403" s="66">
        <f t="shared" si="20"/>
      </c>
      <c r="B403" s="4"/>
      <c r="C403" s="4"/>
      <c r="D403" s="4"/>
      <c r="E403" s="4"/>
      <c r="F403" s="32"/>
      <c r="G403" s="8"/>
      <c r="H403" s="9"/>
      <c r="I403" s="8"/>
      <c r="J403" s="10"/>
      <c r="K403" s="8"/>
      <c r="L403" s="8"/>
      <c r="M403" s="8"/>
      <c r="N403" s="11"/>
      <c r="O403" s="9"/>
      <c r="P403" s="12"/>
      <c r="Q403" s="9"/>
      <c r="R403" s="13"/>
      <c r="S403" s="11"/>
      <c r="T403" s="11"/>
      <c r="U403" s="9"/>
      <c r="V403" s="9"/>
      <c r="W403" s="9"/>
      <c r="X403" s="16"/>
      <c r="AF403" s="42">
        <f>IF(BUSCAR!$C$8="FECHA NAC.",$G403,IF(BUSCAR!$C$8="PASAPORTE EXPIRA",$J403,IF(BUSCAR!$C$8="LICENCIA EMISION",$L403,IF(BUSCAR!$C$8="LICENCIA EXPIRA",$M403,""))))</f>
      </c>
      <c r="AG403" s="42">
        <f>IF($B403&amp;$C403&amp;$D403&amp;$E403&amp;$H403="",0,IF(AND(OR(BUSCAR!$J$5="",ISNUMBER(SEARCH(BUSCAR!$J$5,$AI403))),OR(BUSCAR!$J$6="",ISNUMBER(SEARCH(BUSCAR!$J$6,$AI403))),OR(BUSCAR!$J$8="",ISNUMBER(SEARCH(BUSCAR!$J$8,$AI403))),OR(BUSCAR!$J$9="",ISNUMBER(SEARCH(BUSCAR!$J$9,$AI403))),OR(NOT(BUSCAR!$J$2),AND(ISNUMBER($AF403),$AF403&gt;=BUSCAR!$J$3,$AF403&lt;=BUSCAR!$J$4))),1,0))</f>
      </c>
      <c r="AH403" s="42">
        <f t="shared" si="18"/>
      </c>
      <c r="AI403" s="42">
        <f t="shared" si="19"/>
      </c>
    </row>
    <row r="404" spans="1:35" x14ac:dyDescent="0.2">
      <c r="A404" s="66">
        <f t="shared" si="20"/>
      </c>
      <c r="B404" s="4"/>
      <c r="C404" s="4"/>
      <c r="D404" s="4"/>
      <c r="E404" s="4"/>
      <c r="F404" s="32"/>
      <c r="G404" s="8"/>
      <c r="H404" s="9"/>
      <c r="I404" s="8"/>
      <c r="J404" s="10"/>
      <c r="K404" s="8"/>
      <c r="L404" s="8"/>
      <c r="M404" s="8"/>
      <c r="N404" s="11"/>
      <c r="O404" s="9"/>
      <c r="P404" s="12"/>
      <c r="Q404" s="9"/>
      <c r="R404" s="13"/>
      <c r="S404" s="11"/>
      <c r="T404" s="11"/>
      <c r="U404" s="9"/>
      <c r="V404" s="9"/>
      <c r="W404" s="9"/>
      <c r="X404" s="16"/>
      <c r="AF404" s="42">
        <f>IF(BUSCAR!$C$8="FECHA NAC.",$G404,IF(BUSCAR!$C$8="PASAPORTE EXPIRA",$J404,IF(BUSCAR!$C$8="LICENCIA EMISION",$L404,IF(BUSCAR!$C$8="LICENCIA EXPIRA",$M404,""))))</f>
      </c>
      <c r="AG404" s="42">
        <f>IF($B404&amp;$C404&amp;$D404&amp;$E404&amp;$H404="",0,IF(AND(OR(BUSCAR!$J$5="",ISNUMBER(SEARCH(BUSCAR!$J$5,$AI404))),OR(BUSCAR!$J$6="",ISNUMBER(SEARCH(BUSCAR!$J$6,$AI404))),OR(BUSCAR!$J$8="",ISNUMBER(SEARCH(BUSCAR!$J$8,$AI404))),OR(BUSCAR!$J$9="",ISNUMBER(SEARCH(BUSCAR!$J$9,$AI404))),OR(NOT(BUSCAR!$J$2),AND(ISNUMBER($AF404),$AF404&gt;=BUSCAR!$J$3,$AF404&lt;=BUSCAR!$J$4))),1,0))</f>
      </c>
      <c r="AH404" s="42">
        <f t="shared" si="18"/>
      </c>
      <c r="AI404" s="42">
        <f t="shared" si="19"/>
      </c>
    </row>
    <row r="405" spans="1:35" x14ac:dyDescent="0.2">
      <c r="A405" s="66">
        <f t="shared" si="20"/>
      </c>
      <c r="B405" s="4"/>
      <c r="C405" s="4"/>
      <c r="D405" s="4"/>
      <c r="E405" s="4"/>
      <c r="F405" s="32"/>
      <c r="G405" s="8"/>
      <c r="H405" s="9"/>
      <c r="I405" s="8"/>
      <c r="J405" s="10"/>
      <c r="K405" s="8"/>
      <c r="L405" s="8"/>
      <c r="M405" s="8"/>
      <c r="N405" s="11"/>
      <c r="O405" s="9"/>
      <c r="P405" s="12"/>
      <c r="Q405" s="9"/>
      <c r="R405" s="13"/>
      <c r="S405" s="11"/>
      <c r="T405" s="11"/>
      <c r="U405" s="9"/>
      <c r="V405" s="9"/>
      <c r="W405" s="9"/>
      <c r="X405" s="16"/>
      <c r="AF405" s="42">
        <f>IF(BUSCAR!$C$8="FECHA NAC.",$G405,IF(BUSCAR!$C$8="PASAPORTE EXPIRA",$J405,IF(BUSCAR!$C$8="LICENCIA EMISION",$L405,IF(BUSCAR!$C$8="LICENCIA EXPIRA",$M405,""))))</f>
      </c>
      <c r="AG405" s="42">
        <f>IF($B405&amp;$C405&amp;$D405&amp;$E405&amp;$H405="",0,IF(AND(OR(BUSCAR!$J$5="",ISNUMBER(SEARCH(BUSCAR!$J$5,$AI405))),OR(BUSCAR!$J$6="",ISNUMBER(SEARCH(BUSCAR!$J$6,$AI405))),OR(BUSCAR!$J$8="",ISNUMBER(SEARCH(BUSCAR!$J$8,$AI405))),OR(BUSCAR!$J$9="",ISNUMBER(SEARCH(BUSCAR!$J$9,$AI405))),OR(NOT(BUSCAR!$J$2),AND(ISNUMBER($AF405),$AF405&gt;=BUSCAR!$J$3,$AF405&lt;=BUSCAR!$J$4))),1,0))</f>
      </c>
      <c r="AH405" s="42">
        <f t="shared" si="18"/>
      </c>
      <c r="AI405" s="42">
        <f t="shared" si="19"/>
      </c>
    </row>
    <row r="406" spans="1:35" x14ac:dyDescent="0.2">
      <c r="A406" s="66">
        <f t="shared" si="20"/>
      </c>
      <c r="B406" s="4"/>
      <c r="C406" s="4"/>
      <c r="D406" s="4"/>
      <c r="E406" s="4"/>
      <c r="F406" s="32"/>
      <c r="G406" s="8"/>
      <c r="H406" s="9"/>
      <c r="I406" s="8"/>
      <c r="J406" s="10"/>
      <c r="K406" s="8"/>
      <c r="L406" s="8"/>
      <c r="M406" s="8"/>
      <c r="N406" s="11"/>
      <c r="O406" s="9"/>
      <c r="P406" s="12"/>
      <c r="Q406" s="9"/>
      <c r="R406" s="13"/>
      <c r="S406" s="11"/>
      <c r="T406" s="11"/>
      <c r="U406" s="9"/>
      <c r="V406" s="9"/>
      <c r="W406" s="9"/>
      <c r="X406" s="16"/>
      <c r="AF406" s="42">
        <f>IF(BUSCAR!$C$8="FECHA NAC.",$G406,IF(BUSCAR!$C$8="PASAPORTE EXPIRA",$J406,IF(BUSCAR!$C$8="LICENCIA EMISION",$L406,IF(BUSCAR!$C$8="LICENCIA EXPIRA",$M406,""))))</f>
      </c>
      <c r="AG406" s="42">
        <f>IF($B406&amp;$C406&amp;$D406&amp;$E406&amp;$H406="",0,IF(AND(OR(BUSCAR!$J$5="",ISNUMBER(SEARCH(BUSCAR!$J$5,$AI406))),OR(BUSCAR!$J$6="",ISNUMBER(SEARCH(BUSCAR!$J$6,$AI406))),OR(BUSCAR!$J$8="",ISNUMBER(SEARCH(BUSCAR!$J$8,$AI406))),OR(BUSCAR!$J$9="",ISNUMBER(SEARCH(BUSCAR!$J$9,$AI406))),OR(NOT(BUSCAR!$J$2),AND(ISNUMBER($AF406),$AF406&gt;=BUSCAR!$J$3,$AF406&lt;=BUSCAR!$J$4))),1,0))</f>
      </c>
      <c r="AH406" s="42">
        <f t="shared" si="18"/>
      </c>
      <c r="AI406" s="42">
        <f t="shared" si="19"/>
      </c>
    </row>
    <row r="407" spans="1:35" x14ac:dyDescent="0.2">
      <c r="A407" s="66">
        <f t="shared" si="20"/>
      </c>
      <c r="B407" s="4"/>
      <c r="C407" s="4"/>
      <c r="D407" s="4"/>
      <c r="E407" s="4"/>
      <c r="F407" s="32"/>
      <c r="G407" s="8"/>
      <c r="H407" s="9"/>
      <c r="I407" s="8"/>
      <c r="J407" s="10"/>
      <c r="K407" s="8"/>
      <c r="L407" s="8"/>
      <c r="M407" s="8"/>
      <c r="N407" s="11"/>
      <c r="O407" s="9"/>
      <c r="P407" s="12"/>
      <c r="Q407" s="9"/>
      <c r="R407" s="13"/>
      <c r="S407" s="11"/>
      <c r="T407" s="11"/>
      <c r="U407" s="9"/>
      <c r="V407" s="9"/>
      <c r="W407" s="9"/>
      <c r="X407" s="16"/>
      <c r="AF407" s="42">
        <f>IF(BUSCAR!$C$8="FECHA NAC.",$G407,IF(BUSCAR!$C$8="PASAPORTE EXPIRA",$J407,IF(BUSCAR!$C$8="LICENCIA EMISION",$L407,IF(BUSCAR!$C$8="LICENCIA EXPIRA",$M407,""))))</f>
      </c>
      <c r="AG407" s="42">
        <f>IF($B407&amp;$C407&amp;$D407&amp;$E407&amp;$H407="",0,IF(AND(OR(BUSCAR!$J$5="",ISNUMBER(SEARCH(BUSCAR!$J$5,$AI407))),OR(BUSCAR!$J$6="",ISNUMBER(SEARCH(BUSCAR!$J$6,$AI407))),OR(BUSCAR!$J$8="",ISNUMBER(SEARCH(BUSCAR!$J$8,$AI407))),OR(BUSCAR!$J$9="",ISNUMBER(SEARCH(BUSCAR!$J$9,$AI407))),OR(NOT(BUSCAR!$J$2),AND(ISNUMBER($AF407),$AF407&gt;=BUSCAR!$J$3,$AF407&lt;=BUSCAR!$J$4))),1,0))</f>
      </c>
      <c r="AH407" s="42">
        <f t="shared" si="18"/>
      </c>
      <c r="AI407" s="42">
        <f t="shared" si="19"/>
      </c>
    </row>
    <row r="408" spans="1:35" x14ac:dyDescent="0.2">
      <c r="A408" s="66">
        <f t="shared" si="20"/>
      </c>
      <c r="B408" s="4"/>
      <c r="C408" s="4"/>
      <c r="D408" s="4"/>
      <c r="E408" s="4"/>
      <c r="F408" s="32"/>
      <c r="G408" s="8"/>
      <c r="H408" s="9"/>
      <c r="I408" s="8"/>
      <c r="J408" s="10"/>
      <c r="K408" s="8"/>
      <c r="L408" s="8"/>
      <c r="M408" s="8"/>
      <c r="N408" s="11"/>
      <c r="O408" s="9"/>
      <c r="P408" s="12"/>
      <c r="Q408" s="9"/>
      <c r="R408" s="13"/>
      <c r="S408" s="11"/>
      <c r="T408" s="11"/>
      <c r="U408" s="9"/>
      <c r="V408" s="9"/>
      <c r="W408" s="9"/>
      <c r="X408" s="16"/>
      <c r="AF408" s="42">
        <f>IF(BUSCAR!$C$8="FECHA NAC.",$G408,IF(BUSCAR!$C$8="PASAPORTE EXPIRA",$J408,IF(BUSCAR!$C$8="LICENCIA EMISION",$L408,IF(BUSCAR!$C$8="LICENCIA EXPIRA",$M408,""))))</f>
      </c>
      <c r="AG408" s="42">
        <f>IF($B408&amp;$C408&amp;$D408&amp;$E408&amp;$H408="",0,IF(AND(OR(BUSCAR!$J$5="",ISNUMBER(SEARCH(BUSCAR!$J$5,$AI408))),OR(BUSCAR!$J$6="",ISNUMBER(SEARCH(BUSCAR!$J$6,$AI408))),OR(BUSCAR!$J$8="",ISNUMBER(SEARCH(BUSCAR!$J$8,$AI408))),OR(BUSCAR!$J$9="",ISNUMBER(SEARCH(BUSCAR!$J$9,$AI408))),OR(NOT(BUSCAR!$J$2),AND(ISNUMBER($AF408),$AF408&gt;=BUSCAR!$J$3,$AF408&lt;=BUSCAR!$J$4))),1,0))</f>
      </c>
      <c r="AH408" s="42">
        <f t="shared" si="18"/>
      </c>
      <c r="AI408" s="42">
        <f t="shared" si="19"/>
      </c>
    </row>
    <row r="409" spans="1:35" x14ac:dyDescent="0.2">
      <c r="A409" s="66">
        <f t="shared" si="20"/>
      </c>
      <c r="B409" s="4"/>
      <c r="C409" s="4"/>
      <c r="D409" s="4"/>
      <c r="E409" s="4"/>
      <c r="F409" s="32"/>
      <c r="G409" s="8"/>
      <c r="H409" s="9"/>
      <c r="I409" s="8"/>
      <c r="J409" s="10"/>
      <c r="K409" s="8"/>
      <c r="L409" s="8"/>
      <c r="M409" s="8"/>
      <c r="N409" s="11"/>
      <c r="O409" s="9"/>
      <c r="P409" s="12"/>
      <c r="Q409" s="9"/>
      <c r="R409" s="13"/>
      <c r="S409" s="11"/>
      <c r="T409" s="11"/>
      <c r="U409" s="9"/>
      <c r="V409" s="9"/>
      <c r="W409" s="9"/>
      <c r="X409" s="16"/>
      <c r="AF409" s="42">
        <f>IF(BUSCAR!$C$8="FECHA NAC.",$G409,IF(BUSCAR!$C$8="PASAPORTE EXPIRA",$J409,IF(BUSCAR!$C$8="LICENCIA EMISION",$L409,IF(BUSCAR!$C$8="LICENCIA EXPIRA",$M409,""))))</f>
      </c>
      <c r="AG409" s="42">
        <f>IF($B409&amp;$C409&amp;$D409&amp;$E409&amp;$H409="",0,IF(AND(OR(BUSCAR!$J$5="",ISNUMBER(SEARCH(BUSCAR!$J$5,$AI409))),OR(BUSCAR!$J$6="",ISNUMBER(SEARCH(BUSCAR!$J$6,$AI409))),OR(BUSCAR!$J$8="",ISNUMBER(SEARCH(BUSCAR!$J$8,$AI409))),OR(BUSCAR!$J$9="",ISNUMBER(SEARCH(BUSCAR!$J$9,$AI409))),OR(NOT(BUSCAR!$J$2),AND(ISNUMBER($AF409),$AF409&gt;=BUSCAR!$J$3,$AF409&lt;=BUSCAR!$J$4))),1,0))</f>
      </c>
      <c r="AH409" s="42">
        <f t="shared" si="18"/>
      </c>
      <c r="AI409" s="42">
        <f t="shared" si="19"/>
      </c>
    </row>
    <row r="410" spans="1:35" x14ac:dyDescent="0.2">
      <c r="A410" s="66">
        <f t="shared" si="20"/>
      </c>
      <c r="B410" s="4"/>
      <c r="C410" s="4"/>
      <c r="D410" s="4"/>
      <c r="E410" s="4"/>
      <c r="F410" s="32"/>
      <c r="G410" s="8"/>
      <c r="H410" s="9"/>
      <c r="I410" s="8"/>
      <c r="J410" s="10"/>
      <c r="K410" s="8"/>
      <c r="L410" s="8"/>
      <c r="M410" s="8"/>
      <c r="N410" s="11"/>
      <c r="O410" s="9"/>
      <c r="P410" s="12"/>
      <c r="Q410" s="9"/>
      <c r="R410" s="13"/>
      <c r="S410" s="11"/>
      <c r="T410" s="11"/>
      <c r="U410" s="9"/>
      <c r="V410" s="9"/>
      <c r="W410" s="9"/>
      <c r="X410" s="16"/>
      <c r="AF410" s="42">
        <f>IF(BUSCAR!$C$8="FECHA NAC.",$G410,IF(BUSCAR!$C$8="PASAPORTE EXPIRA",$J410,IF(BUSCAR!$C$8="LICENCIA EMISION",$L410,IF(BUSCAR!$C$8="LICENCIA EXPIRA",$M410,""))))</f>
      </c>
      <c r="AG410" s="42">
        <f>IF($B410&amp;$C410&amp;$D410&amp;$E410&amp;$H410="",0,IF(AND(OR(BUSCAR!$J$5="",ISNUMBER(SEARCH(BUSCAR!$J$5,$AI410))),OR(BUSCAR!$J$6="",ISNUMBER(SEARCH(BUSCAR!$J$6,$AI410))),OR(BUSCAR!$J$8="",ISNUMBER(SEARCH(BUSCAR!$J$8,$AI410))),OR(BUSCAR!$J$9="",ISNUMBER(SEARCH(BUSCAR!$J$9,$AI410))),OR(NOT(BUSCAR!$J$2),AND(ISNUMBER($AF410),$AF410&gt;=BUSCAR!$J$3,$AF410&lt;=BUSCAR!$J$4))),1,0))</f>
      </c>
      <c r="AH410" s="42">
        <f t="shared" si="18"/>
      </c>
      <c r="AI410" s="42">
        <f t="shared" si="19"/>
      </c>
    </row>
    <row r="411" spans="1:35" x14ac:dyDescent="0.2">
      <c r="A411" s="66">
        <f t="shared" si="20"/>
      </c>
      <c r="B411" s="4"/>
      <c r="C411" s="4"/>
      <c r="D411" s="4"/>
      <c r="E411" s="4"/>
      <c r="F411" s="32"/>
      <c r="G411" s="8"/>
      <c r="H411" s="9"/>
      <c r="I411" s="8"/>
      <c r="J411" s="10"/>
      <c r="K411" s="8"/>
      <c r="L411" s="8"/>
      <c r="M411" s="8"/>
      <c r="N411" s="11"/>
      <c r="O411" s="9"/>
      <c r="P411" s="12"/>
      <c r="Q411" s="9"/>
      <c r="R411" s="13"/>
      <c r="S411" s="11"/>
      <c r="T411" s="11"/>
      <c r="U411" s="9"/>
      <c r="V411" s="9"/>
      <c r="W411" s="9"/>
      <c r="X411" s="16"/>
      <c r="AF411" s="42">
        <f>IF(BUSCAR!$C$8="FECHA NAC.",$G411,IF(BUSCAR!$C$8="PASAPORTE EXPIRA",$J411,IF(BUSCAR!$C$8="LICENCIA EMISION",$L411,IF(BUSCAR!$C$8="LICENCIA EXPIRA",$M411,""))))</f>
      </c>
      <c r="AG411" s="42">
        <f>IF($B411&amp;$C411&amp;$D411&amp;$E411&amp;$H411="",0,IF(AND(OR(BUSCAR!$J$5="",ISNUMBER(SEARCH(BUSCAR!$J$5,$AI411))),OR(BUSCAR!$J$6="",ISNUMBER(SEARCH(BUSCAR!$J$6,$AI411))),OR(BUSCAR!$J$8="",ISNUMBER(SEARCH(BUSCAR!$J$8,$AI411))),OR(BUSCAR!$J$9="",ISNUMBER(SEARCH(BUSCAR!$J$9,$AI411))),OR(NOT(BUSCAR!$J$2),AND(ISNUMBER($AF411),$AF411&gt;=BUSCAR!$J$3,$AF411&lt;=BUSCAR!$J$4))),1,0))</f>
      </c>
      <c r="AH411" s="42">
        <f t="shared" si="18"/>
      </c>
      <c r="AI411" s="42">
        <f t="shared" si="19"/>
      </c>
    </row>
    <row r="412" spans="1:35" x14ac:dyDescent="0.2">
      <c r="A412" s="66">
        <f t="shared" si="20"/>
      </c>
      <c r="B412" s="4"/>
      <c r="C412" s="4"/>
      <c r="D412" s="4"/>
      <c r="E412" s="4"/>
      <c r="F412" s="32"/>
      <c r="G412" s="8"/>
      <c r="H412" s="9"/>
      <c r="I412" s="8"/>
      <c r="J412" s="10"/>
      <c r="K412" s="8"/>
      <c r="L412" s="8"/>
      <c r="M412" s="8"/>
      <c r="N412" s="11"/>
      <c r="O412" s="9"/>
      <c r="P412" s="12"/>
      <c r="Q412" s="9"/>
      <c r="R412" s="13"/>
      <c r="S412" s="11"/>
      <c r="T412" s="11"/>
      <c r="U412" s="9"/>
      <c r="V412" s="9"/>
      <c r="W412" s="9"/>
      <c r="X412" s="16"/>
      <c r="AF412" s="42">
        <f>IF(BUSCAR!$C$8="FECHA NAC.",$G412,IF(BUSCAR!$C$8="PASAPORTE EXPIRA",$J412,IF(BUSCAR!$C$8="LICENCIA EMISION",$L412,IF(BUSCAR!$C$8="LICENCIA EXPIRA",$M412,""))))</f>
      </c>
      <c r="AG412" s="42">
        <f>IF($B412&amp;$C412&amp;$D412&amp;$E412&amp;$H412="",0,IF(AND(OR(BUSCAR!$J$5="",ISNUMBER(SEARCH(BUSCAR!$J$5,$AI412))),OR(BUSCAR!$J$6="",ISNUMBER(SEARCH(BUSCAR!$J$6,$AI412))),OR(BUSCAR!$J$8="",ISNUMBER(SEARCH(BUSCAR!$J$8,$AI412))),OR(BUSCAR!$J$9="",ISNUMBER(SEARCH(BUSCAR!$J$9,$AI412))),OR(NOT(BUSCAR!$J$2),AND(ISNUMBER($AF412),$AF412&gt;=BUSCAR!$J$3,$AF412&lt;=BUSCAR!$J$4))),1,0))</f>
      </c>
      <c r="AH412" s="42">
        <f t="shared" si="18"/>
      </c>
      <c r="AI412" s="42">
        <f t="shared" si="19"/>
      </c>
    </row>
    <row r="413" spans="1:35" x14ac:dyDescent="0.2">
      <c r="A413" s="66">
        <f t="shared" si="20"/>
      </c>
      <c r="B413" s="4"/>
      <c r="C413" s="4"/>
      <c r="D413" s="4"/>
      <c r="E413" s="4"/>
      <c r="F413" s="32"/>
      <c r="G413" s="8"/>
      <c r="H413" s="9"/>
      <c r="I413" s="8"/>
      <c r="J413" s="10"/>
      <c r="K413" s="8"/>
      <c r="L413" s="8"/>
      <c r="M413" s="8"/>
      <c r="N413" s="11"/>
      <c r="O413" s="9"/>
      <c r="P413" s="12"/>
      <c r="Q413" s="9"/>
      <c r="R413" s="13"/>
      <c r="S413" s="11"/>
      <c r="T413" s="11"/>
      <c r="U413" s="9"/>
      <c r="V413" s="9"/>
      <c r="W413" s="9"/>
      <c r="X413" s="16"/>
      <c r="AF413" s="42">
        <f>IF(BUSCAR!$C$8="FECHA NAC.",$G413,IF(BUSCAR!$C$8="PASAPORTE EXPIRA",$J413,IF(BUSCAR!$C$8="LICENCIA EMISION",$L413,IF(BUSCAR!$C$8="LICENCIA EXPIRA",$M413,""))))</f>
      </c>
      <c r="AG413" s="42">
        <f>IF($B413&amp;$C413&amp;$D413&amp;$E413&amp;$H413="",0,IF(AND(OR(BUSCAR!$J$5="",ISNUMBER(SEARCH(BUSCAR!$J$5,$AI413))),OR(BUSCAR!$J$6="",ISNUMBER(SEARCH(BUSCAR!$J$6,$AI413))),OR(BUSCAR!$J$8="",ISNUMBER(SEARCH(BUSCAR!$J$8,$AI413))),OR(BUSCAR!$J$9="",ISNUMBER(SEARCH(BUSCAR!$J$9,$AI413))),OR(NOT(BUSCAR!$J$2),AND(ISNUMBER($AF413),$AF413&gt;=BUSCAR!$J$3,$AF413&lt;=BUSCAR!$J$4))),1,0))</f>
      </c>
      <c r="AH413" s="42">
        <f t="shared" si="18"/>
      </c>
      <c r="AI413" s="42">
        <f t="shared" si="19"/>
      </c>
    </row>
    <row r="414" spans="1:35" x14ac:dyDescent="0.2">
      <c r="A414" s="66">
        <f t="shared" si="20"/>
      </c>
      <c r="B414" s="4"/>
      <c r="C414" s="4"/>
      <c r="D414" s="4"/>
      <c r="E414" s="4"/>
      <c r="F414" s="32"/>
      <c r="G414" s="8"/>
      <c r="H414" s="9"/>
      <c r="I414" s="8"/>
      <c r="J414" s="10"/>
      <c r="K414" s="8"/>
      <c r="L414" s="8"/>
      <c r="M414" s="8"/>
      <c r="N414" s="11"/>
      <c r="O414" s="9"/>
      <c r="P414" s="12"/>
      <c r="Q414" s="9"/>
      <c r="R414" s="13"/>
      <c r="S414" s="11"/>
      <c r="T414" s="11"/>
      <c r="U414" s="9"/>
      <c r="V414" s="9"/>
      <c r="W414" s="9"/>
      <c r="X414" s="16"/>
      <c r="AF414" s="42">
        <f>IF(BUSCAR!$C$8="FECHA NAC.",$G414,IF(BUSCAR!$C$8="PASAPORTE EXPIRA",$J414,IF(BUSCAR!$C$8="LICENCIA EMISION",$L414,IF(BUSCAR!$C$8="LICENCIA EXPIRA",$M414,""))))</f>
      </c>
      <c r="AG414" s="42">
        <f>IF($B414&amp;$C414&amp;$D414&amp;$E414&amp;$H414="",0,IF(AND(OR(BUSCAR!$J$5="",ISNUMBER(SEARCH(BUSCAR!$J$5,$AI414))),OR(BUSCAR!$J$6="",ISNUMBER(SEARCH(BUSCAR!$J$6,$AI414))),OR(BUSCAR!$J$8="",ISNUMBER(SEARCH(BUSCAR!$J$8,$AI414))),OR(BUSCAR!$J$9="",ISNUMBER(SEARCH(BUSCAR!$J$9,$AI414))),OR(NOT(BUSCAR!$J$2),AND(ISNUMBER($AF414),$AF414&gt;=BUSCAR!$J$3,$AF414&lt;=BUSCAR!$J$4))),1,0))</f>
      </c>
      <c r="AH414" s="42">
        <f t="shared" si="18"/>
      </c>
      <c r="AI414" s="42">
        <f t="shared" si="19"/>
      </c>
    </row>
    <row r="415" spans="1:35" x14ac:dyDescent="0.2">
      <c r="A415" s="66">
        <f t="shared" si="20"/>
      </c>
      <c r="B415" s="4"/>
      <c r="C415" s="4"/>
      <c r="D415" s="4"/>
      <c r="E415" s="4"/>
      <c r="F415" s="32"/>
      <c r="G415" s="8"/>
      <c r="H415" s="9"/>
      <c r="I415" s="8"/>
      <c r="J415" s="10"/>
      <c r="K415" s="8"/>
      <c r="L415" s="8"/>
      <c r="M415" s="8"/>
      <c r="N415" s="11"/>
      <c r="O415" s="9"/>
      <c r="P415" s="12"/>
      <c r="Q415" s="9"/>
      <c r="R415" s="13"/>
      <c r="S415" s="11"/>
      <c r="T415" s="11"/>
      <c r="U415" s="9"/>
      <c r="V415" s="9"/>
      <c r="W415" s="9"/>
      <c r="X415" s="16"/>
      <c r="AF415" s="42">
        <f>IF(BUSCAR!$C$8="FECHA NAC.",$G415,IF(BUSCAR!$C$8="PASAPORTE EXPIRA",$J415,IF(BUSCAR!$C$8="LICENCIA EMISION",$L415,IF(BUSCAR!$C$8="LICENCIA EXPIRA",$M415,""))))</f>
      </c>
      <c r="AG415" s="42">
        <f>IF($B415&amp;$C415&amp;$D415&amp;$E415&amp;$H415="",0,IF(AND(OR(BUSCAR!$J$5="",ISNUMBER(SEARCH(BUSCAR!$J$5,$AI415))),OR(BUSCAR!$J$6="",ISNUMBER(SEARCH(BUSCAR!$J$6,$AI415))),OR(BUSCAR!$J$8="",ISNUMBER(SEARCH(BUSCAR!$J$8,$AI415))),OR(BUSCAR!$J$9="",ISNUMBER(SEARCH(BUSCAR!$J$9,$AI415))),OR(NOT(BUSCAR!$J$2),AND(ISNUMBER($AF415),$AF415&gt;=BUSCAR!$J$3,$AF415&lt;=BUSCAR!$J$4))),1,0))</f>
      </c>
      <c r="AH415" s="42">
        <f t="shared" si="18"/>
      </c>
      <c r="AI415" s="42">
        <f t="shared" si="19"/>
      </c>
    </row>
    <row r="416" spans="1:35" x14ac:dyDescent="0.2">
      <c r="A416" s="66">
        <f t="shared" si="20"/>
      </c>
      <c r="B416" s="4"/>
      <c r="C416" s="4"/>
      <c r="D416" s="4"/>
      <c r="E416" s="4"/>
      <c r="F416" s="32"/>
      <c r="G416" s="8"/>
      <c r="H416" s="9"/>
      <c r="I416" s="8"/>
      <c r="J416" s="10"/>
      <c r="K416" s="8"/>
      <c r="L416" s="8"/>
      <c r="M416" s="8"/>
      <c r="N416" s="11"/>
      <c r="O416" s="9"/>
      <c r="P416" s="12"/>
      <c r="Q416" s="9"/>
      <c r="R416" s="13"/>
      <c r="S416" s="11"/>
      <c r="T416" s="11"/>
      <c r="U416" s="9"/>
      <c r="V416" s="9"/>
      <c r="W416" s="9"/>
      <c r="X416" s="16"/>
      <c r="AF416" s="42">
        <f>IF(BUSCAR!$C$8="FECHA NAC.",$G416,IF(BUSCAR!$C$8="PASAPORTE EXPIRA",$J416,IF(BUSCAR!$C$8="LICENCIA EMISION",$L416,IF(BUSCAR!$C$8="LICENCIA EXPIRA",$M416,""))))</f>
      </c>
      <c r="AG416" s="42">
        <f>IF($B416&amp;$C416&amp;$D416&amp;$E416&amp;$H416="",0,IF(AND(OR(BUSCAR!$J$5="",ISNUMBER(SEARCH(BUSCAR!$J$5,$AI416))),OR(BUSCAR!$J$6="",ISNUMBER(SEARCH(BUSCAR!$J$6,$AI416))),OR(BUSCAR!$J$8="",ISNUMBER(SEARCH(BUSCAR!$J$8,$AI416))),OR(BUSCAR!$J$9="",ISNUMBER(SEARCH(BUSCAR!$J$9,$AI416))),OR(NOT(BUSCAR!$J$2),AND(ISNUMBER($AF416),$AF416&gt;=BUSCAR!$J$3,$AF416&lt;=BUSCAR!$J$4))),1,0))</f>
      </c>
      <c r="AH416" s="42">
        <f t="shared" si="18"/>
      </c>
      <c r="AI416" s="42">
        <f t="shared" si="19"/>
      </c>
    </row>
    <row r="417" spans="1:35" x14ac:dyDescent="0.2">
      <c r="A417" s="66">
        <f t="shared" si="20"/>
      </c>
      <c r="B417" s="4"/>
      <c r="C417" s="4"/>
      <c r="D417" s="4"/>
      <c r="E417" s="4"/>
      <c r="F417" s="32"/>
      <c r="G417" s="8"/>
      <c r="H417" s="9"/>
      <c r="I417" s="8"/>
      <c r="J417" s="10"/>
      <c r="K417" s="8"/>
      <c r="L417" s="8"/>
      <c r="M417" s="8"/>
      <c r="N417" s="11"/>
      <c r="O417" s="9"/>
      <c r="P417" s="12"/>
      <c r="Q417" s="9"/>
      <c r="R417" s="13"/>
      <c r="S417" s="11"/>
      <c r="T417" s="11"/>
      <c r="U417" s="9"/>
      <c r="V417" s="9"/>
      <c r="W417" s="9"/>
      <c r="X417" s="16"/>
      <c r="AF417" s="42">
        <f>IF(BUSCAR!$C$8="FECHA NAC.",$G417,IF(BUSCAR!$C$8="PASAPORTE EXPIRA",$J417,IF(BUSCAR!$C$8="LICENCIA EMISION",$L417,IF(BUSCAR!$C$8="LICENCIA EXPIRA",$M417,""))))</f>
      </c>
      <c r="AG417" s="42">
        <f>IF($B417&amp;$C417&amp;$D417&amp;$E417&amp;$H417="",0,IF(AND(OR(BUSCAR!$J$5="",ISNUMBER(SEARCH(BUSCAR!$J$5,$AI417))),OR(BUSCAR!$J$6="",ISNUMBER(SEARCH(BUSCAR!$J$6,$AI417))),OR(BUSCAR!$J$8="",ISNUMBER(SEARCH(BUSCAR!$J$8,$AI417))),OR(BUSCAR!$J$9="",ISNUMBER(SEARCH(BUSCAR!$J$9,$AI417))),OR(NOT(BUSCAR!$J$2),AND(ISNUMBER($AF417),$AF417&gt;=BUSCAR!$J$3,$AF417&lt;=BUSCAR!$J$4))),1,0))</f>
      </c>
      <c r="AH417" s="42">
        <f t="shared" si="18"/>
      </c>
      <c r="AI417" s="42">
        <f t="shared" si="19"/>
      </c>
    </row>
    <row r="418" spans="1:35" x14ac:dyDescent="0.2">
      <c r="A418" s="66">
        <f t="shared" si="20"/>
      </c>
      <c r="B418" s="4"/>
      <c r="C418" s="4"/>
      <c r="D418" s="4"/>
      <c r="E418" s="4"/>
      <c r="F418" s="32"/>
      <c r="G418" s="8"/>
      <c r="H418" s="9"/>
      <c r="I418" s="8"/>
      <c r="J418" s="10"/>
      <c r="K418" s="8"/>
      <c r="L418" s="8"/>
      <c r="M418" s="8"/>
      <c r="N418" s="11"/>
      <c r="O418" s="9"/>
      <c r="P418" s="12"/>
      <c r="Q418" s="9"/>
      <c r="R418" s="13"/>
      <c r="S418" s="11"/>
      <c r="T418" s="11"/>
      <c r="U418" s="9"/>
      <c r="V418" s="9"/>
      <c r="W418" s="9"/>
      <c r="X418" s="16"/>
      <c r="AF418" s="42">
        <f>IF(BUSCAR!$C$8="FECHA NAC.",$G418,IF(BUSCAR!$C$8="PASAPORTE EXPIRA",$J418,IF(BUSCAR!$C$8="LICENCIA EMISION",$L418,IF(BUSCAR!$C$8="LICENCIA EXPIRA",$M418,""))))</f>
      </c>
      <c r="AG418" s="42">
        <f>IF($B418&amp;$C418&amp;$D418&amp;$E418&amp;$H418="",0,IF(AND(OR(BUSCAR!$J$5="",ISNUMBER(SEARCH(BUSCAR!$J$5,$AI418))),OR(BUSCAR!$J$6="",ISNUMBER(SEARCH(BUSCAR!$J$6,$AI418))),OR(BUSCAR!$J$8="",ISNUMBER(SEARCH(BUSCAR!$J$8,$AI418))),OR(BUSCAR!$J$9="",ISNUMBER(SEARCH(BUSCAR!$J$9,$AI418))),OR(NOT(BUSCAR!$J$2),AND(ISNUMBER($AF418),$AF418&gt;=BUSCAR!$J$3,$AF418&lt;=BUSCAR!$J$4))),1,0))</f>
      </c>
      <c r="AH418" s="42">
        <f t="shared" si="18"/>
      </c>
      <c r="AI418" s="42">
        <f t="shared" si="19"/>
      </c>
    </row>
    <row r="419" spans="1:35" x14ac:dyDescent="0.2">
      <c r="A419" s="66">
        <f t="shared" si="20"/>
      </c>
      <c r="B419" s="4"/>
      <c r="C419" s="4"/>
      <c r="D419" s="4"/>
      <c r="E419" s="4"/>
      <c r="F419" s="32"/>
      <c r="G419" s="8"/>
      <c r="H419" s="9"/>
      <c r="I419" s="8"/>
      <c r="J419" s="10"/>
      <c r="K419" s="8"/>
      <c r="L419" s="8"/>
      <c r="M419" s="8"/>
      <c r="N419" s="11"/>
      <c r="O419" s="9"/>
      <c r="P419" s="12"/>
      <c r="Q419" s="9"/>
      <c r="R419" s="13"/>
      <c r="S419" s="11"/>
      <c r="T419" s="11"/>
      <c r="U419" s="9"/>
      <c r="V419" s="9"/>
      <c r="W419" s="9"/>
      <c r="X419" s="16"/>
      <c r="AF419" s="42">
        <f>IF(BUSCAR!$C$8="FECHA NAC.",$G419,IF(BUSCAR!$C$8="PASAPORTE EXPIRA",$J419,IF(BUSCAR!$C$8="LICENCIA EMISION",$L419,IF(BUSCAR!$C$8="LICENCIA EXPIRA",$M419,""))))</f>
      </c>
      <c r="AG419" s="42">
        <f>IF($B419&amp;$C419&amp;$D419&amp;$E419&amp;$H419="",0,IF(AND(OR(BUSCAR!$J$5="",ISNUMBER(SEARCH(BUSCAR!$J$5,$AI419))),OR(BUSCAR!$J$6="",ISNUMBER(SEARCH(BUSCAR!$J$6,$AI419))),OR(BUSCAR!$J$8="",ISNUMBER(SEARCH(BUSCAR!$J$8,$AI419))),OR(BUSCAR!$J$9="",ISNUMBER(SEARCH(BUSCAR!$J$9,$AI419))),OR(NOT(BUSCAR!$J$2),AND(ISNUMBER($AF419),$AF419&gt;=BUSCAR!$J$3,$AF419&lt;=BUSCAR!$J$4))),1,0))</f>
      </c>
      <c r="AH419" s="42">
        <f t="shared" si="18"/>
      </c>
      <c r="AI419" s="42">
        <f t="shared" si="19"/>
      </c>
    </row>
    <row r="420" spans="1:35" x14ac:dyDescent="0.2">
      <c r="A420" s="66">
        <f t="shared" si="20"/>
      </c>
      <c r="B420" s="4"/>
      <c r="C420" s="4"/>
      <c r="D420" s="4"/>
      <c r="E420" s="4"/>
      <c r="F420" s="32"/>
      <c r="G420" s="8"/>
      <c r="H420" s="9"/>
      <c r="I420" s="8"/>
      <c r="J420" s="10"/>
      <c r="K420" s="8"/>
      <c r="L420" s="8"/>
      <c r="M420" s="10"/>
      <c r="N420" s="11"/>
      <c r="O420" s="9"/>
      <c r="P420" s="12"/>
      <c r="Q420" s="9"/>
      <c r="R420" s="13"/>
      <c r="S420" s="11"/>
      <c r="T420" s="11"/>
      <c r="U420" s="9"/>
      <c r="V420" s="9"/>
      <c r="W420" s="9"/>
      <c r="X420" s="16"/>
      <c r="AF420" s="42">
        <f>IF(BUSCAR!$C$8="FECHA NAC.",$G420,IF(BUSCAR!$C$8="PASAPORTE EXPIRA",$J420,IF(BUSCAR!$C$8="LICENCIA EMISION",$L420,IF(BUSCAR!$C$8="LICENCIA EXPIRA",$M420,""))))</f>
      </c>
      <c r="AG420" s="42">
        <f>IF($B420&amp;$C420&amp;$D420&amp;$E420&amp;$H420="",0,IF(AND(OR(BUSCAR!$J$5="",ISNUMBER(SEARCH(BUSCAR!$J$5,$AI420))),OR(BUSCAR!$J$6="",ISNUMBER(SEARCH(BUSCAR!$J$6,$AI420))),OR(BUSCAR!$J$8="",ISNUMBER(SEARCH(BUSCAR!$J$8,$AI420))),OR(BUSCAR!$J$9="",ISNUMBER(SEARCH(BUSCAR!$J$9,$AI420))),OR(NOT(BUSCAR!$J$2),AND(ISNUMBER($AF420),$AF420&gt;=BUSCAR!$J$3,$AF420&lt;=BUSCAR!$J$4))),1,0))</f>
      </c>
      <c r="AH420" s="42">
        <f t="shared" si="18"/>
      </c>
      <c r="AI420" s="42">
        <f t="shared" si="19"/>
      </c>
    </row>
    <row r="421" spans="1:35" x14ac:dyDescent="0.2">
      <c r="A421" s="66">
        <f t="shared" si="20"/>
      </c>
      <c r="B421" s="4"/>
      <c r="C421" s="4"/>
      <c r="D421" s="4"/>
      <c r="E421" s="4"/>
      <c r="F421" s="32"/>
      <c r="G421" s="8"/>
      <c r="H421" s="9"/>
      <c r="I421" s="8"/>
      <c r="J421" s="10"/>
      <c r="K421" s="8"/>
      <c r="L421" s="8"/>
      <c r="M421" s="8"/>
      <c r="N421" s="11"/>
      <c r="O421" s="9"/>
      <c r="P421" s="12"/>
      <c r="Q421" s="9"/>
      <c r="R421" s="13"/>
      <c r="S421" s="11"/>
      <c r="T421" s="11"/>
      <c r="U421" s="9"/>
      <c r="V421" s="9"/>
      <c r="W421" s="9"/>
      <c r="X421" s="16"/>
      <c r="AF421" s="42">
        <f>IF(BUSCAR!$C$8="FECHA NAC.",$G421,IF(BUSCAR!$C$8="PASAPORTE EXPIRA",$J421,IF(BUSCAR!$C$8="LICENCIA EMISION",$L421,IF(BUSCAR!$C$8="LICENCIA EXPIRA",$M421,""))))</f>
      </c>
      <c r="AG421" s="42">
        <f>IF($B421&amp;$C421&amp;$D421&amp;$E421&amp;$H421="",0,IF(AND(OR(BUSCAR!$J$5="",ISNUMBER(SEARCH(BUSCAR!$J$5,$AI421))),OR(BUSCAR!$J$6="",ISNUMBER(SEARCH(BUSCAR!$J$6,$AI421))),OR(BUSCAR!$J$8="",ISNUMBER(SEARCH(BUSCAR!$J$8,$AI421))),OR(BUSCAR!$J$9="",ISNUMBER(SEARCH(BUSCAR!$J$9,$AI421))),OR(NOT(BUSCAR!$J$2),AND(ISNUMBER($AF421),$AF421&gt;=BUSCAR!$J$3,$AF421&lt;=BUSCAR!$J$4))),1,0))</f>
      </c>
      <c r="AH421" s="42">
        <f t="shared" si="18"/>
      </c>
      <c r="AI421" s="42">
        <f t="shared" si="19"/>
      </c>
    </row>
    <row r="422" spans="1:35" x14ac:dyDescent="0.2">
      <c r="A422" s="66">
        <f t="shared" si="20"/>
      </c>
      <c r="B422" s="4"/>
      <c r="C422" s="4"/>
      <c r="D422" s="4"/>
      <c r="E422" s="4"/>
      <c r="F422" s="32"/>
      <c r="G422" s="8"/>
      <c r="H422" s="9"/>
      <c r="I422" s="8"/>
      <c r="J422" s="10"/>
      <c r="K422" s="8"/>
      <c r="L422" s="8"/>
      <c r="M422" s="8"/>
      <c r="N422" s="11"/>
      <c r="O422" s="9"/>
      <c r="P422" s="12"/>
      <c r="Q422" s="9"/>
      <c r="R422" s="13"/>
      <c r="S422" s="11"/>
      <c r="T422" s="11"/>
      <c r="U422" s="9"/>
      <c r="V422" s="9"/>
      <c r="W422" s="9"/>
      <c r="X422" s="16"/>
      <c r="AF422" s="42">
        <f>IF(BUSCAR!$C$8="FECHA NAC.",$G422,IF(BUSCAR!$C$8="PASAPORTE EXPIRA",$J422,IF(BUSCAR!$C$8="LICENCIA EMISION",$L422,IF(BUSCAR!$C$8="LICENCIA EXPIRA",$M422,""))))</f>
      </c>
      <c r="AG422" s="42">
        <f>IF($B422&amp;$C422&amp;$D422&amp;$E422&amp;$H422="",0,IF(AND(OR(BUSCAR!$J$5="",ISNUMBER(SEARCH(BUSCAR!$J$5,$AI422))),OR(BUSCAR!$J$6="",ISNUMBER(SEARCH(BUSCAR!$J$6,$AI422))),OR(BUSCAR!$J$8="",ISNUMBER(SEARCH(BUSCAR!$J$8,$AI422))),OR(BUSCAR!$J$9="",ISNUMBER(SEARCH(BUSCAR!$J$9,$AI422))),OR(NOT(BUSCAR!$J$2),AND(ISNUMBER($AF422),$AF422&gt;=BUSCAR!$J$3,$AF422&lt;=BUSCAR!$J$4))),1,0))</f>
      </c>
      <c r="AH422" s="42">
        <f t="shared" si="18"/>
      </c>
      <c r="AI422" s="42">
        <f t="shared" si="19"/>
      </c>
    </row>
    <row r="423" spans="1:35" x14ac:dyDescent="0.2">
      <c r="A423" s="66">
        <f t="shared" si="20"/>
      </c>
      <c r="B423" s="4"/>
      <c r="C423" s="4"/>
      <c r="D423" s="4"/>
      <c r="E423" s="4"/>
      <c r="F423" s="32"/>
      <c r="G423" s="8"/>
      <c r="H423" s="9"/>
      <c r="I423" s="8"/>
      <c r="J423" s="10"/>
      <c r="K423" s="8"/>
      <c r="L423" s="8"/>
      <c r="M423" s="8"/>
      <c r="N423" s="11"/>
      <c r="O423" s="9"/>
      <c r="P423" s="12"/>
      <c r="Q423" s="9"/>
      <c r="R423" s="13"/>
      <c r="S423" s="11"/>
      <c r="T423" s="11"/>
      <c r="U423" s="9"/>
      <c r="V423" s="9"/>
      <c r="W423" s="9"/>
      <c r="X423" s="16"/>
      <c r="AF423" s="42">
        <f>IF(BUSCAR!$C$8="FECHA NAC.",$G423,IF(BUSCAR!$C$8="PASAPORTE EXPIRA",$J423,IF(BUSCAR!$C$8="LICENCIA EMISION",$L423,IF(BUSCAR!$C$8="LICENCIA EXPIRA",$M423,""))))</f>
      </c>
      <c r="AG423" s="42">
        <f>IF($B423&amp;$C423&amp;$D423&amp;$E423&amp;$H423="",0,IF(AND(OR(BUSCAR!$J$5="",ISNUMBER(SEARCH(BUSCAR!$J$5,$AI423))),OR(BUSCAR!$J$6="",ISNUMBER(SEARCH(BUSCAR!$J$6,$AI423))),OR(BUSCAR!$J$8="",ISNUMBER(SEARCH(BUSCAR!$J$8,$AI423))),OR(BUSCAR!$J$9="",ISNUMBER(SEARCH(BUSCAR!$J$9,$AI423))),OR(NOT(BUSCAR!$J$2),AND(ISNUMBER($AF423),$AF423&gt;=BUSCAR!$J$3,$AF423&lt;=BUSCAR!$J$4))),1,0))</f>
      </c>
      <c r="AH423" s="42">
        <f t="shared" si="18"/>
      </c>
      <c r="AI423" s="42">
        <f t="shared" si="19"/>
      </c>
    </row>
    <row r="424" spans="1:35" x14ac:dyDescent="0.2">
      <c r="A424" s="66">
        <f t="shared" si="20"/>
      </c>
      <c r="B424" s="4"/>
      <c r="C424" s="4"/>
      <c r="D424" s="4"/>
      <c r="E424" s="4"/>
      <c r="F424" s="32"/>
      <c r="G424" s="8"/>
      <c r="H424" s="9"/>
      <c r="I424" s="8"/>
      <c r="J424" s="10"/>
      <c r="K424" s="8"/>
      <c r="L424" s="8"/>
      <c r="M424" s="8"/>
      <c r="N424" s="11"/>
      <c r="O424" s="9"/>
      <c r="P424" s="12"/>
      <c r="Q424" s="9"/>
      <c r="R424" s="13"/>
      <c r="S424" s="11"/>
      <c r="T424" s="11"/>
      <c r="U424" s="9"/>
      <c r="V424" s="9"/>
      <c r="W424" s="9"/>
      <c r="X424" s="16"/>
      <c r="AF424" s="42">
        <f>IF(BUSCAR!$C$8="FECHA NAC.",$G424,IF(BUSCAR!$C$8="PASAPORTE EXPIRA",$J424,IF(BUSCAR!$C$8="LICENCIA EMISION",$L424,IF(BUSCAR!$C$8="LICENCIA EXPIRA",$M424,""))))</f>
      </c>
      <c r="AG424" s="42">
        <f>IF($B424&amp;$C424&amp;$D424&amp;$E424&amp;$H424="",0,IF(AND(OR(BUSCAR!$J$5="",ISNUMBER(SEARCH(BUSCAR!$J$5,$AI424))),OR(BUSCAR!$J$6="",ISNUMBER(SEARCH(BUSCAR!$J$6,$AI424))),OR(BUSCAR!$J$8="",ISNUMBER(SEARCH(BUSCAR!$J$8,$AI424))),OR(BUSCAR!$J$9="",ISNUMBER(SEARCH(BUSCAR!$J$9,$AI424))),OR(NOT(BUSCAR!$J$2),AND(ISNUMBER($AF424),$AF424&gt;=BUSCAR!$J$3,$AF424&lt;=BUSCAR!$J$4))),1,0))</f>
      </c>
      <c r="AH424" s="42">
        <f t="shared" si="18"/>
      </c>
      <c r="AI424" s="42">
        <f t="shared" si="19"/>
      </c>
    </row>
    <row r="425" spans="1:35" x14ac:dyDescent="0.2">
      <c r="A425" s="66">
        <f t="shared" si="20"/>
      </c>
      <c r="B425" s="4"/>
      <c r="C425" s="4"/>
      <c r="D425" s="4"/>
      <c r="E425" s="4"/>
      <c r="F425" s="32"/>
      <c r="G425" s="8"/>
      <c r="H425" s="9"/>
      <c r="I425" s="8"/>
      <c r="J425" s="10"/>
      <c r="K425" s="8"/>
      <c r="L425" s="8"/>
      <c r="M425" s="8"/>
      <c r="N425" s="11"/>
      <c r="O425" s="9"/>
      <c r="P425" s="12"/>
      <c r="Q425" s="9"/>
      <c r="R425" s="13"/>
      <c r="S425" s="11"/>
      <c r="T425" s="11"/>
      <c r="U425" s="9"/>
      <c r="V425" s="9"/>
      <c r="W425" s="9"/>
      <c r="X425" s="16"/>
      <c r="AF425" s="42">
        <f>IF(BUSCAR!$C$8="FECHA NAC.",$G425,IF(BUSCAR!$C$8="PASAPORTE EXPIRA",$J425,IF(BUSCAR!$C$8="LICENCIA EMISION",$L425,IF(BUSCAR!$C$8="LICENCIA EXPIRA",$M425,""))))</f>
      </c>
      <c r="AG425" s="42">
        <f>IF($B425&amp;$C425&amp;$D425&amp;$E425&amp;$H425="",0,IF(AND(OR(BUSCAR!$J$5="",ISNUMBER(SEARCH(BUSCAR!$J$5,$AI425))),OR(BUSCAR!$J$6="",ISNUMBER(SEARCH(BUSCAR!$J$6,$AI425))),OR(BUSCAR!$J$8="",ISNUMBER(SEARCH(BUSCAR!$J$8,$AI425))),OR(BUSCAR!$J$9="",ISNUMBER(SEARCH(BUSCAR!$J$9,$AI425))),OR(NOT(BUSCAR!$J$2),AND(ISNUMBER($AF425),$AF425&gt;=BUSCAR!$J$3,$AF425&lt;=BUSCAR!$J$4))),1,0))</f>
      </c>
      <c r="AH425" s="42">
        <f t="shared" si="18"/>
      </c>
      <c r="AI425" s="42">
        <f t="shared" si="19"/>
      </c>
    </row>
    <row r="426" spans="1:35" x14ac:dyDescent="0.2">
      <c r="A426" s="66">
        <f t="shared" si="20"/>
      </c>
      <c r="B426" s="4"/>
      <c r="C426" s="4"/>
      <c r="D426" s="4"/>
      <c r="E426" s="4"/>
      <c r="F426" s="32"/>
      <c r="G426" s="8"/>
      <c r="H426" s="9"/>
      <c r="I426" s="8"/>
      <c r="J426" s="10"/>
      <c r="K426" s="8"/>
      <c r="L426" s="8"/>
      <c r="M426" s="8"/>
      <c r="N426" s="11"/>
      <c r="O426" s="9"/>
      <c r="P426" s="12"/>
      <c r="Q426" s="9"/>
      <c r="R426" s="13"/>
      <c r="S426" s="11"/>
      <c r="T426" s="11"/>
      <c r="U426" s="9"/>
      <c r="V426" s="9"/>
      <c r="W426" s="9"/>
      <c r="X426" s="16"/>
      <c r="AF426" s="42">
        <f>IF(BUSCAR!$C$8="FECHA NAC.",$G426,IF(BUSCAR!$C$8="PASAPORTE EXPIRA",$J426,IF(BUSCAR!$C$8="LICENCIA EMISION",$L426,IF(BUSCAR!$C$8="LICENCIA EXPIRA",$M426,""))))</f>
      </c>
      <c r="AG426" s="42">
        <f>IF($B426&amp;$C426&amp;$D426&amp;$E426&amp;$H426="",0,IF(AND(OR(BUSCAR!$J$5="",ISNUMBER(SEARCH(BUSCAR!$J$5,$AI426))),OR(BUSCAR!$J$6="",ISNUMBER(SEARCH(BUSCAR!$J$6,$AI426))),OR(BUSCAR!$J$8="",ISNUMBER(SEARCH(BUSCAR!$J$8,$AI426))),OR(BUSCAR!$J$9="",ISNUMBER(SEARCH(BUSCAR!$J$9,$AI426))),OR(NOT(BUSCAR!$J$2),AND(ISNUMBER($AF426),$AF426&gt;=BUSCAR!$J$3,$AF426&lt;=BUSCAR!$J$4))),1,0))</f>
      </c>
      <c r="AH426" s="42">
        <f t="shared" si="18"/>
      </c>
      <c r="AI426" s="42">
        <f t="shared" si="19"/>
      </c>
    </row>
    <row r="427" spans="1:35" x14ac:dyDescent="0.2">
      <c r="A427" s="66">
        <f t="shared" si="20"/>
      </c>
      <c r="B427" s="4"/>
      <c r="C427" s="4"/>
      <c r="D427" s="4"/>
      <c r="E427" s="4"/>
      <c r="F427" s="32"/>
      <c r="G427" s="8"/>
      <c r="H427" s="9"/>
      <c r="I427" s="8"/>
      <c r="J427" s="10"/>
      <c r="K427" s="8"/>
      <c r="L427" s="8"/>
      <c r="M427" s="8"/>
      <c r="N427" s="11"/>
      <c r="O427" s="9"/>
      <c r="P427" s="12"/>
      <c r="Q427" s="9"/>
      <c r="R427" s="13"/>
      <c r="S427" s="11"/>
      <c r="T427" s="11"/>
      <c r="U427" s="9"/>
      <c r="V427" s="9"/>
      <c r="W427" s="9"/>
      <c r="X427" s="16"/>
      <c r="AF427" s="42">
        <f>IF(BUSCAR!$C$8="FECHA NAC.",$G427,IF(BUSCAR!$C$8="PASAPORTE EXPIRA",$J427,IF(BUSCAR!$C$8="LICENCIA EMISION",$L427,IF(BUSCAR!$C$8="LICENCIA EXPIRA",$M427,""))))</f>
      </c>
      <c r="AG427" s="42">
        <f>IF($B427&amp;$C427&amp;$D427&amp;$E427&amp;$H427="",0,IF(AND(OR(BUSCAR!$J$5="",ISNUMBER(SEARCH(BUSCAR!$J$5,$AI427))),OR(BUSCAR!$J$6="",ISNUMBER(SEARCH(BUSCAR!$J$6,$AI427))),OR(BUSCAR!$J$8="",ISNUMBER(SEARCH(BUSCAR!$J$8,$AI427))),OR(BUSCAR!$J$9="",ISNUMBER(SEARCH(BUSCAR!$J$9,$AI427))),OR(NOT(BUSCAR!$J$2),AND(ISNUMBER($AF427),$AF427&gt;=BUSCAR!$J$3,$AF427&lt;=BUSCAR!$J$4))),1,0))</f>
      </c>
      <c r="AH427" s="42">
        <f t="shared" si="18"/>
      </c>
      <c r="AI427" s="42">
        <f t="shared" si="19"/>
      </c>
    </row>
    <row r="428" spans="1:35" x14ac:dyDescent="0.2">
      <c r="A428" s="66">
        <f t="shared" si="20"/>
      </c>
      <c r="B428" s="4"/>
      <c r="C428" s="4"/>
      <c r="D428" s="4"/>
      <c r="E428" s="4"/>
      <c r="F428" s="32"/>
      <c r="G428" s="8"/>
      <c r="H428" s="9"/>
      <c r="I428" s="8"/>
      <c r="J428" s="10"/>
      <c r="K428" s="8"/>
      <c r="L428" s="8"/>
      <c r="M428" s="8"/>
      <c r="N428" s="11"/>
      <c r="O428" s="9"/>
      <c r="P428" s="12"/>
      <c r="Q428" s="9"/>
      <c r="R428" s="13"/>
      <c r="S428" s="11"/>
      <c r="T428" s="11"/>
      <c r="U428" s="9"/>
      <c r="V428" s="9"/>
      <c r="W428" s="9"/>
      <c r="X428" s="16"/>
      <c r="AF428" s="42">
        <f>IF(BUSCAR!$C$8="FECHA NAC.",$G428,IF(BUSCAR!$C$8="PASAPORTE EXPIRA",$J428,IF(BUSCAR!$C$8="LICENCIA EMISION",$L428,IF(BUSCAR!$C$8="LICENCIA EXPIRA",$M428,""))))</f>
      </c>
      <c r="AG428" s="42">
        <f>IF($B428&amp;$C428&amp;$D428&amp;$E428&amp;$H428="",0,IF(AND(OR(BUSCAR!$J$5="",ISNUMBER(SEARCH(BUSCAR!$J$5,$AI428))),OR(BUSCAR!$J$6="",ISNUMBER(SEARCH(BUSCAR!$J$6,$AI428))),OR(BUSCAR!$J$8="",ISNUMBER(SEARCH(BUSCAR!$J$8,$AI428))),OR(BUSCAR!$J$9="",ISNUMBER(SEARCH(BUSCAR!$J$9,$AI428))),OR(NOT(BUSCAR!$J$2),AND(ISNUMBER($AF428),$AF428&gt;=BUSCAR!$J$3,$AF428&lt;=BUSCAR!$J$4))),1,0))</f>
      </c>
      <c r="AH428" s="42">
        <f t="shared" si="18"/>
      </c>
      <c r="AI428" s="42">
        <f t="shared" si="19"/>
      </c>
    </row>
    <row r="429" spans="1:35" x14ac:dyDescent="0.2">
      <c r="A429" s="66">
        <f t="shared" si="20"/>
      </c>
      <c r="B429" s="4"/>
      <c r="C429" s="4"/>
      <c r="D429" s="4"/>
      <c r="E429" s="4"/>
      <c r="F429" s="32"/>
      <c r="G429" s="8"/>
      <c r="H429" s="9"/>
      <c r="I429" s="8"/>
      <c r="J429" s="10"/>
      <c r="K429" s="8"/>
      <c r="L429" s="8"/>
      <c r="M429" s="8"/>
      <c r="N429" s="11"/>
      <c r="O429" s="9"/>
      <c r="P429" s="12"/>
      <c r="Q429" s="9"/>
      <c r="R429" s="13"/>
      <c r="S429" s="11"/>
      <c r="T429" s="11"/>
      <c r="U429" s="9"/>
      <c r="V429" s="9"/>
      <c r="W429" s="9"/>
      <c r="X429" s="16"/>
      <c r="AF429" s="42">
        <f>IF(BUSCAR!$C$8="FECHA NAC.",$G429,IF(BUSCAR!$C$8="PASAPORTE EXPIRA",$J429,IF(BUSCAR!$C$8="LICENCIA EMISION",$L429,IF(BUSCAR!$C$8="LICENCIA EXPIRA",$M429,""))))</f>
      </c>
      <c r="AG429" s="42">
        <f>IF($B429&amp;$C429&amp;$D429&amp;$E429&amp;$H429="",0,IF(AND(OR(BUSCAR!$J$5="",ISNUMBER(SEARCH(BUSCAR!$J$5,$AI429))),OR(BUSCAR!$J$6="",ISNUMBER(SEARCH(BUSCAR!$J$6,$AI429))),OR(BUSCAR!$J$8="",ISNUMBER(SEARCH(BUSCAR!$J$8,$AI429))),OR(BUSCAR!$J$9="",ISNUMBER(SEARCH(BUSCAR!$J$9,$AI429))),OR(NOT(BUSCAR!$J$2),AND(ISNUMBER($AF429),$AF429&gt;=BUSCAR!$J$3,$AF429&lt;=BUSCAR!$J$4))),1,0))</f>
      </c>
      <c r="AH429" s="42">
        <f t="shared" si="18"/>
      </c>
      <c r="AI429" s="42">
        <f t="shared" si="19"/>
      </c>
    </row>
    <row r="430" spans="1:35" x14ac:dyDescent="0.2">
      <c r="A430" s="66">
        <f t="shared" si="20"/>
      </c>
      <c r="B430" s="4"/>
      <c r="C430" s="4"/>
      <c r="D430" s="4"/>
      <c r="E430" s="4"/>
      <c r="F430" s="32"/>
      <c r="G430" s="8"/>
      <c r="H430" s="9"/>
      <c r="I430" s="8"/>
      <c r="J430" s="10"/>
      <c r="K430" s="8"/>
      <c r="L430" s="8"/>
      <c r="M430" s="8"/>
      <c r="N430" s="11"/>
      <c r="O430" s="9"/>
      <c r="P430" s="12"/>
      <c r="Q430" s="9"/>
      <c r="R430" s="13"/>
      <c r="S430" s="11"/>
      <c r="T430" s="11"/>
      <c r="U430" s="9"/>
      <c r="V430" s="9"/>
      <c r="W430" s="9"/>
      <c r="X430" s="16"/>
      <c r="AF430" s="42">
        <f>IF(BUSCAR!$C$8="FECHA NAC.",$G430,IF(BUSCAR!$C$8="PASAPORTE EXPIRA",$J430,IF(BUSCAR!$C$8="LICENCIA EMISION",$L430,IF(BUSCAR!$C$8="LICENCIA EXPIRA",$M430,""))))</f>
      </c>
      <c r="AG430" s="42">
        <f>IF($B430&amp;$C430&amp;$D430&amp;$E430&amp;$H430="",0,IF(AND(OR(BUSCAR!$J$5="",ISNUMBER(SEARCH(BUSCAR!$J$5,$AI430))),OR(BUSCAR!$J$6="",ISNUMBER(SEARCH(BUSCAR!$J$6,$AI430))),OR(BUSCAR!$J$8="",ISNUMBER(SEARCH(BUSCAR!$J$8,$AI430))),OR(BUSCAR!$J$9="",ISNUMBER(SEARCH(BUSCAR!$J$9,$AI430))),OR(NOT(BUSCAR!$J$2),AND(ISNUMBER($AF430),$AF430&gt;=BUSCAR!$J$3,$AF430&lt;=BUSCAR!$J$4))),1,0))</f>
      </c>
      <c r="AH430" s="42">
        <f t="shared" si="18"/>
      </c>
      <c r="AI430" s="42">
        <f t="shared" si="19"/>
      </c>
    </row>
    <row r="431" spans="1:35" x14ac:dyDescent="0.2">
      <c r="A431" s="66">
        <f t="shared" si="20"/>
      </c>
      <c r="B431" s="4"/>
      <c r="C431" s="4"/>
      <c r="D431" s="4"/>
      <c r="E431" s="4"/>
      <c r="F431" s="32"/>
      <c r="G431" s="8"/>
      <c r="H431" s="9"/>
      <c r="I431" s="8"/>
      <c r="J431" s="10"/>
      <c r="K431" s="8"/>
      <c r="L431" s="8"/>
      <c r="M431" s="8"/>
      <c r="N431" s="11"/>
      <c r="O431" s="9"/>
      <c r="P431" s="12"/>
      <c r="Q431" s="9"/>
      <c r="R431" s="13"/>
      <c r="S431" s="11"/>
      <c r="T431" s="11"/>
      <c r="U431" s="9"/>
      <c r="V431" s="9"/>
      <c r="W431" s="9"/>
      <c r="X431" s="16"/>
      <c r="AF431" s="42">
        <f>IF(BUSCAR!$C$8="FECHA NAC.",$G431,IF(BUSCAR!$C$8="PASAPORTE EXPIRA",$J431,IF(BUSCAR!$C$8="LICENCIA EMISION",$L431,IF(BUSCAR!$C$8="LICENCIA EXPIRA",$M431,""))))</f>
      </c>
      <c r="AG431" s="42">
        <f>IF($B431&amp;$C431&amp;$D431&amp;$E431&amp;$H431="",0,IF(AND(OR(BUSCAR!$J$5="",ISNUMBER(SEARCH(BUSCAR!$J$5,$AI431))),OR(BUSCAR!$J$6="",ISNUMBER(SEARCH(BUSCAR!$J$6,$AI431))),OR(BUSCAR!$J$8="",ISNUMBER(SEARCH(BUSCAR!$J$8,$AI431))),OR(BUSCAR!$J$9="",ISNUMBER(SEARCH(BUSCAR!$J$9,$AI431))),OR(NOT(BUSCAR!$J$2),AND(ISNUMBER($AF431),$AF431&gt;=BUSCAR!$J$3,$AF431&lt;=BUSCAR!$J$4))),1,0))</f>
      </c>
      <c r="AH431" s="42">
        <f t="shared" si="18"/>
      </c>
      <c r="AI431" s="42">
        <f t="shared" si="19"/>
      </c>
    </row>
    <row r="432" spans="1:35" x14ac:dyDescent="0.2">
      <c r="A432" s="66">
        <f t="shared" si="20"/>
      </c>
      <c r="B432" s="4"/>
      <c r="C432" s="4"/>
      <c r="D432" s="4"/>
      <c r="E432" s="4"/>
      <c r="F432" s="32"/>
      <c r="G432" s="8"/>
      <c r="H432" s="9"/>
      <c r="I432" s="8"/>
      <c r="J432" s="10"/>
      <c r="K432" s="8"/>
      <c r="L432" s="8"/>
      <c r="M432" s="8"/>
      <c r="N432" s="11"/>
      <c r="O432" s="9"/>
      <c r="P432" s="12"/>
      <c r="Q432" s="9"/>
      <c r="R432" s="13"/>
      <c r="S432" s="11"/>
      <c r="T432" s="11"/>
      <c r="U432" s="9"/>
      <c r="V432" s="9"/>
      <c r="W432" s="9"/>
      <c r="X432" s="16"/>
      <c r="AF432" s="42">
        <f>IF(BUSCAR!$C$8="FECHA NAC.",$G432,IF(BUSCAR!$C$8="PASAPORTE EXPIRA",$J432,IF(BUSCAR!$C$8="LICENCIA EMISION",$L432,IF(BUSCAR!$C$8="LICENCIA EXPIRA",$M432,""))))</f>
      </c>
      <c r="AG432" s="42">
        <f>IF($B432&amp;$C432&amp;$D432&amp;$E432&amp;$H432="",0,IF(AND(OR(BUSCAR!$J$5="",ISNUMBER(SEARCH(BUSCAR!$J$5,$AI432))),OR(BUSCAR!$J$6="",ISNUMBER(SEARCH(BUSCAR!$J$6,$AI432))),OR(BUSCAR!$J$8="",ISNUMBER(SEARCH(BUSCAR!$J$8,$AI432))),OR(BUSCAR!$J$9="",ISNUMBER(SEARCH(BUSCAR!$J$9,$AI432))),OR(NOT(BUSCAR!$J$2),AND(ISNUMBER($AF432),$AF432&gt;=BUSCAR!$J$3,$AF432&lt;=BUSCAR!$J$4))),1,0))</f>
      </c>
      <c r="AH432" s="42">
        <f t="shared" si="18"/>
      </c>
      <c r="AI432" s="42">
        <f t="shared" si="19"/>
      </c>
    </row>
    <row r="433" spans="1:35" x14ac:dyDescent="0.2">
      <c r="A433" s="66">
        <f t="shared" si="20"/>
      </c>
      <c r="B433" s="4"/>
      <c r="C433" s="4"/>
      <c r="D433" s="4"/>
      <c r="E433" s="4"/>
      <c r="F433" s="32"/>
      <c r="G433" s="8"/>
      <c r="H433" s="9"/>
      <c r="I433" s="8"/>
      <c r="J433" s="10"/>
      <c r="K433" s="8"/>
      <c r="L433" s="8"/>
      <c r="M433" s="8"/>
      <c r="N433" s="11"/>
      <c r="O433" s="9"/>
      <c r="P433" s="12"/>
      <c r="Q433" s="9"/>
      <c r="R433" s="13"/>
      <c r="S433" s="11"/>
      <c r="T433" s="11"/>
      <c r="U433" s="9"/>
      <c r="V433" s="9"/>
      <c r="W433" s="9"/>
      <c r="X433" s="16"/>
      <c r="AF433" s="42">
        <f>IF(BUSCAR!$C$8="FECHA NAC.",$G433,IF(BUSCAR!$C$8="PASAPORTE EXPIRA",$J433,IF(BUSCAR!$C$8="LICENCIA EMISION",$L433,IF(BUSCAR!$C$8="LICENCIA EXPIRA",$M433,""))))</f>
      </c>
      <c r="AG433" s="42">
        <f>IF($B433&amp;$C433&amp;$D433&amp;$E433&amp;$H433="",0,IF(AND(OR(BUSCAR!$J$5="",ISNUMBER(SEARCH(BUSCAR!$J$5,$AI433))),OR(BUSCAR!$J$6="",ISNUMBER(SEARCH(BUSCAR!$J$6,$AI433))),OR(BUSCAR!$J$8="",ISNUMBER(SEARCH(BUSCAR!$J$8,$AI433))),OR(BUSCAR!$J$9="",ISNUMBER(SEARCH(BUSCAR!$J$9,$AI433))),OR(NOT(BUSCAR!$J$2),AND(ISNUMBER($AF433),$AF433&gt;=BUSCAR!$J$3,$AF433&lt;=BUSCAR!$J$4))),1,0))</f>
      </c>
      <c r="AH433" s="42">
        <f t="shared" si="18"/>
      </c>
      <c r="AI433" s="42">
        <f t="shared" si="19"/>
      </c>
    </row>
    <row r="434" spans="1:35" x14ac:dyDescent="0.2">
      <c r="A434" s="66">
        <f t="shared" si="20"/>
      </c>
      <c r="B434" s="4"/>
      <c r="C434" s="4"/>
      <c r="D434" s="4"/>
      <c r="E434" s="4"/>
      <c r="F434" s="32"/>
      <c r="G434" s="8"/>
      <c r="H434" s="9"/>
      <c r="I434" s="8"/>
      <c r="J434" s="10"/>
      <c r="K434" s="8"/>
      <c r="L434" s="8"/>
      <c r="M434" s="8"/>
      <c r="N434" s="11"/>
      <c r="O434" s="9"/>
      <c r="P434" s="12"/>
      <c r="Q434" s="9"/>
      <c r="R434" s="13"/>
      <c r="S434" s="11"/>
      <c r="T434" s="11"/>
      <c r="U434" s="9"/>
      <c r="V434" s="9"/>
      <c r="W434" s="9"/>
      <c r="X434" s="16"/>
      <c r="AF434" s="42">
        <f>IF(BUSCAR!$C$8="FECHA NAC.",$G434,IF(BUSCAR!$C$8="PASAPORTE EXPIRA",$J434,IF(BUSCAR!$C$8="LICENCIA EMISION",$L434,IF(BUSCAR!$C$8="LICENCIA EXPIRA",$M434,""))))</f>
      </c>
      <c r="AG434" s="42">
        <f>IF($B434&amp;$C434&amp;$D434&amp;$E434&amp;$H434="",0,IF(AND(OR(BUSCAR!$J$5="",ISNUMBER(SEARCH(BUSCAR!$J$5,$AI434))),OR(BUSCAR!$J$6="",ISNUMBER(SEARCH(BUSCAR!$J$6,$AI434))),OR(BUSCAR!$J$8="",ISNUMBER(SEARCH(BUSCAR!$J$8,$AI434))),OR(BUSCAR!$J$9="",ISNUMBER(SEARCH(BUSCAR!$J$9,$AI434))),OR(NOT(BUSCAR!$J$2),AND(ISNUMBER($AF434),$AF434&gt;=BUSCAR!$J$3,$AF434&lt;=BUSCAR!$J$4))),1,0))</f>
      </c>
      <c r="AH434" s="42">
        <f t="shared" si="18"/>
      </c>
      <c r="AI434" s="42">
        <f t="shared" si="19"/>
      </c>
    </row>
    <row r="435" spans="1:35" x14ac:dyDescent="0.2">
      <c r="A435" s="66">
        <f t="shared" si="20"/>
      </c>
      <c r="B435" s="4"/>
      <c r="C435" s="4"/>
      <c r="D435" s="4"/>
      <c r="E435" s="4"/>
      <c r="F435" s="32"/>
      <c r="G435" s="8"/>
      <c r="H435" s="9"/>
      <c r="I435" s="8"/>
      <c r="J435" s="10"/>
      <c r="K435" s="8"/>
      <c r="L435" s="8"/>
      <c r="M435" s="8"/>
      <c r="N435" s="11"/>
      <c r="O435" s="9"/>
      <c r="P435" s="12"/>
      <c r="Q435" s="9"/>
      <c r="R435" s="13"/>
      <c r="S435" s="11"/>
      <c r="T435" s="11"/>
      <c r="U435" s="9"/>
      <c r="V435" s="9"/>
      <c r="W435" s="9"/>
      <c r="X435" s="16"/>
      <c r="AF435" s="42">
        <f>IF(BUSCAR!$C$8="FECHA NAC.",$G435,IF(BUSCAR!$C$8="PASAPORTE EXPIRA",$J435,IF(BUSCAR!$C$8="LICENCIA EMISION",$L435,IF(BUSCAR!$C$8="LICENCIA EXPIRA",$M435,""))))</f>
      </c>
      <c r="AG435" s="42">
        <f>IF($B435&amp;$C435&amp;$D435&amp;$E435&amp;$H435="",0,IF(AND(OR(BUSCAR!$J$5="",ISNUMBER(SEARCH(BUSCAR!$J$5,$AI435))),OR(BUSCAR!$J$6="",ISNUMBER(SEARCH(BUSCAR!$J$6,$AI435))),OR(BUSCAR!$J$8="",ISNUMBER(SEARCH(BUSCAR!$J$8,$AI435))),OR(BUSCAR!$J$9="",ISNUMBER(SEARCH(BUSCAR!$J$9,$AI435))),OR(NOT(BUSCAR!$J$2),AND(ISNUMBER($AF435),$AF435&gt;=BUSCAR!$J$3,$AF435&lt;=BUSCAR!$J$4))),1,0))</f>
      </c>
      <c r="AH435" s="42">
        <f t="shared" si="18"/>
      </c>
      <c r="AI435" s="42">
        <f t="shared" si="19"/>
      </c>
    </row>
    <row r="436" spans="1:35" x14ac:dyDescent="0.2">
      <c r="A436" s="66">
        <f t="shared" si="20"/>
      </c>
      <c r="B436" s="4"/>
      <c r="C436" s="4"/>
      <c r="D436" s="4"/>
      <c r="E436" s="4"/>
      <c r="F436" s="32"/>
      <c r="G436" s="8"/>
      <c r="H436" s="9"/>
      <c r="I436" s="8"/>
      <c r="J436" s="10"/>
      <c r="K436" s="8"/>
      <c r="L436" s="8"/>
      <c r="M436" s="8"/>
      <c r="N436" s="11"/>
      <c r="O436" s="9"/>
      <c r="P436" s="12"/>
      <c r="Q436" s="9"/>
      <c r="R436" s="13"/>
      <c r="S436" s="11"/>
      <c r="T436" s="11"/>
      <c r="U436" s="9"/>
      <c r="V436" s="9"/>
      <c r="W436" s="9"/>
      <c r="X436" s="16"/>
      <c r="AF436" s="42">
        <f>IF(BUSCAR!$C$8="FECHA NAC.",$G436,IF(BUSCAR!$C$8="PASAPORTE EXPIRA",$J436,IF(BUSCAR!$C$8="LICENCIA EMISION",$L436,IF(BUSCAR!$C$8="LICENCIA EXPIRA",$M436,""))))</f>
      </c>
      <c r="AG436" s="42">
        <f>IF($B436&amp;$C436&amp;$D436&amp;$E436&amp;$H436="",0,IF(AND(OR(BUSCAR!$J$5="",ISNUMBER(SEARCH(BUSCAR!$J$5,$AI436))),OR(BUSCAR!$J$6="",ISNUMBER(SEARCH(BUSCAR!$J$6,$AI436))),OR(BUSCAR!$J$8="",ISNUMBER(SEARCH(BUSCAR!$J$8,$AI436))),OR(BUSCAR!$J$9="",ISNUMBER(SEARCH(BUSCAR!$J$9,$AI436))),OR(NOT(BUSCAR!$J$2),AND(ISNUMBER($AF436),$AF436&gt;=BUSCAR!$J$3,$AF436&lt;=BUSCAR!$J$4))),1,0))</f>
      </c>
      <c r="AH436" s="42">
        <f t="shared" si="18"/>
      </c>
      <c r="AI436" s="42">
        <f t="shared" si="19"/>
      </c>
    </row>
    <row r="437" spans="1:35" x14ac:dyDescent="0.2">
      <c r="A437" s="66">
        <f t="shared" si="20"/>
      </c>
      <c r="B437" s="4"/>
      <c r="C437" s="4"/>
      <c r="D437" s="4"/>
      <c r="E437" s="4"/>
      <c r="F437" s="32"/>
      <c r="G437" s="8"/>
      <c r="H437" s="9"/>
      <c r="I437" s="8"/>
      <c r="J437" s="10"/>
      <c r="K437" s="8"/>
      <c r="L437" s="8"/>
      <c r="M437" s="8"/>
      <c r="N437" s="11"/>
      <c r="O437" s="9"/>
      <c r="P437" s="12"/>
      <c r="Q437" s="9"/>
      <c r="R437" s="13"/>
      <c r="S437" s="11"/>
      <c r="T437" s="11"/>
      <c r="U437" s="9"/>
      <c r="V437" s="9"/>
      <c r="W437" s="9"/>
      <c r="X437" s="16"/>
      <c r="AF437" s="42">
        <f>IF(BUSCAR!$C$8="FECHA NAC.",$G437,IF(BUSCAR!$C$8="PASAPORTE EXPIRA",$J437,IF(BUSCAR!$C$8="LICENCIA EMISION",$L437,IF(BUSCAR!$C$8="LICENCIA EXPIRA",$M437,""))))</f>
      </c>
      <c r="AG437" s="42">
        <f>IF($B437&amp;$C437&amp;$D437&amp;$E437&amp;$H437="",0,IF(AND(OR(BUSCAR!$J$5="",ISNUMBER(SEARCH(BUSCAR!$J$5,$AI437))),OR(BUSCAR!$J$6="",ISNUMBER(SEARCH(BUSCAR!$J$6,$AI437))),OR(BUSCAR!$J$8="",ISNUMBER(SEARCH(BUSCAR!$J$8,$AI437))),OR(BUSCAR!$J$9="",ISNUMBER(SEARCH(BUSCAR!$J$9,$AI437))),OR(NOT(BUSCAR!$J$2),AND(ISNUMBER($AF437),$AF437&gt;=BUSCAR!$J$3,$AF437&lt;=BUSCAR!$J$4))),1,0))</f>
      </c>
      <c r="AH437" s="42">
        <f t="shared" si="18"/>
      </c>
      <c r="AI437" s="42">
        <f t="shared" si="19"/>
      </c>
    </row>
    <row r="438" spans="1:35" x14ac:dyDescent="0.2">
      <c r="A438" s="66">
        <f t="shared" si="20"/>
      </c>
      <c r="B438" s="4"/>
      <c r="C438" s="4"/>
      <c r="D438" s="4"/>
      <c r="E438" s="4"/>
      <c r="F438" s="32"/>
      <c r="G438" s="8"/>
      <c r="H438" s="9"/>
      <c r="I438" s="8"/>
      <c r="J438" s="10"/>
      <c r="K438" s="8"/>
      <c r="L438" s="8"/>
      <c r="M438" s="8"/>
      <c r="N438" s="11"/>
      <c r="O438" s="9"/>
      <c r="P438" s="12"/>
      <c r="Q438" s="9"/>
      <c r="R438" s="13"/>
      <c r="S438" s="11"/>
      <c r="T438" s="11"/>
      <c r="U438" s="9"/>
      <c r="V438" s="9"/>
      <c r="W438" s="9"/>
      <c r="X438" s="16"/>
      <c r="AF438" s="42">
        <f>IF(BUSCAR!$C$8="FECHA NAC.",$G438,IF(BUSCAR!$C$8="PASAPORTE EXPIRA",$J438,IF(BUSCAR!$C$8="LICENCIA EMISION",$L438,IF(BUSCAR!$C$8="LICENCIA EXPIRA",$M438,""))))</f>
      </c>
      <c r="AG438" s="42">
        <f>IF($B438&amp;$C438&amp;$D438&amp;$E438&amp;$H438="",0,IF(AND(OR(BUSCAR!$J$5="",ISNUMBER(SEARCH(BUSCAR!$J$5,$AI438))),OR(BUSCAR!$J$6="",ISNUMBER(SEARCH(BUSCAR!$J$6,$AI438))),OR(BUSCAR!$J$8="",ISNUMBER(SEARCH(BUSCAR!$J$8,$AI438))),OR(BUSCAR!$J$9="",ISNUMBER(SEARCH(BUSCAR!$J$9,$AI438))),OR(NOT(BUSCAR!$J$2),AND(ISNUMBER($AF438),$AF438&gt;=BUSCAR!$J$3,$AF438&lt;=BUSCAR!$J$4))),1,0))</f>
      </c>
      <c r="AH438" s="42">
        <f t="shared" si="18"/>
      </c>
      <c r="AI438" s="42">
        <f t="shared" si="19"/>
      </c>
    </row>
    <row r="439" spans="1:35" x14ac:dyDescent="0.2">
      <c r="A439" s="66">
        <f t="shared" si="20"/>
      </c>
      <c r="B439" s="4"/>
      <c r="C439" s="4"/>
      <c r="D439" s="4"/>
      <c r="E439" s="4"/>
      <c r="F439" s="32"/>
      <c r="G439" s="8"/>
      <c r="H439" s="9"/>
      <c r="I439" s="8"/>
      <c r="J439" s="10"/>
      <c r="K439" s="8"/>
      <c r="L439" s="8"/>
      <c r="M439" s="8"/>
      <c r="N439" s="11"/>
      <c r="O439" s="9"/>
      <c r="P439" s="12"/>
      <c r="Q439" s="9"/>
      <c r="R439" s="13"/>
      <c r="S439" s="11"/>
      <c r="T439" s="11"/>
      <c r="U439" s="9"/>
      <c r="V439" s="9"/>
      <c r="W439" s="9"/>
      <c r="X439" s="16"/>
      <c r="AF439" s="42">
        <f>IF(BUSCAR!$C$8="FECHA NAC.",$G439,IF(BUSCAR!$C$8="PASAPORTE EXPIRA",$J439,IF(BUSCAR!$C$8="LICENCIA EMISION",$L439,IF(BUSCAR!$C$8="LICENCIA EXPIRA",$M439,""))))</f>
      </c>
      <c r="AG439" s="42">
        <f>IF($B439&amp;$C439&amp;$D439&amp;$E439&amp;$H439="",0,IF(AND(OR(BUSCAR!$J$5="",ISNUMBER(SEARCH(BUSCAR!$J$5,$AI439))),OR(BUSCAR!$J$6="",ISNUMBER(SEARCH(BUSCAR!$J$6,$AI439))),OR(BUSCAR!$J$8="",ISNUMBER(SEARCH(BUSCAR!$J$8,$AI439))),OR(BUSCAR!$J$9="",ISNUMBER(SEARCH(BUSCAR!$J$9,$AI439))),OR(NOT(BUSCAR!$J$2),AND(ISNUMBER($AF439),$AF439&gt;=BUSCAR!$J$3,$AF439&lt;=BUSCAR!$J$4))),1,0))</f>
      </c>
      <c r="AH439" s="42">
        <f t="shared" si="18"/>
      </c>
      <c r="AI439" s="42">
        <f t="shared" si="19"/>
      </c>
    </row>
    <row r="440" spans="1:35" x14ac:dyDescent="0.2">
      <c r="A440" s="66">
        <f t="shared" si="20"/>
      </c>
      <c r="B440" s="4"/>
      <c r="C440" s="4"/>
      <c r="D440" s="4"/>
      <c r="E440" s="4"/>
      <c r="F440" s="32"/>
      <c r="G440" s="8"/>
      <c r="H440" s="9"/>
      <c r="I440" s="8"/>
      <c r="J440" s="10"/>
      <c r="K440" s="8"/>
      <c r="L440" s="8"/>
      <c r="M440" s="8"/>
      <c r="N440" s="11"/>
      <c r="O440" s="9"/>
      <c r="P440" s="12"/>
      <c r="Q440" s="9"/>
      <c r="R440" s="13"/>
      <c r="S440" s="11"/>
      <c r="T440" s="11"/>
      <c r="U440" s="9"/>
      <c r="V440" s="9"/>
      <c r="W440" s="9"/>
      <c r="X440" s="16"/>
      <c r="AF440" s="42">
        <f>IF(BUSCAR!$C$8="FECHA NAC.",$G440,IF(BUSCAR!$C$8="PASAPORTE EXPIRA",$J440,IF(BUSCAR!$C$8="LICENCIA EMISION",$L440,IF(BUSCAR!$C$8="LICENCIA EXPIRA",$M440,""))))</f>
      </c>
      <c r="AG440" s="42">
        <f>IF($B440&amp;$C440&amp;$D440&amp;$E440&amp;$H440="",0,IF(AND(OR(BUSCAR!$J$5="",ISNUMBER(SEARCH(BUSCAR!$J$5,$AI440))),OR(BUSCAR!$J$6="",ISNUMBER(SEARCH(BUSCAR!$J$6,$AI440))),OR(BUSCAR!$J$8="",ISNUMBER(SEARCH(BUSCAR!$J$8,$AI440))),OR(BUSCAR!$J$9="",ISNUMBER(SEARCH(BUSCAR!$J$9,$AI440))),OR(NOT(BUSCAR!$J$2),AND(ISNUMBER($AF440),$AF440&gt;=BUSCAR!$J$3,$AF440&lt;=BUSCAR!$J$4))),1,0))</f>
      </c>
      <c r="AH440" s="42">
        <f t="shared" si="18"/>
      </c>
      <c r="AI440" s="42">
        <f t="shared" si="19"/>
      </c>
    </row>
    <row r="441" spans="1:35" x14ac:dyDescent="0.2">
      <c r="A441" s="66">
        <f t="shared" si="20"/>
      </c>
      <c r="B441" s="4"/>
      <c r="C441" s="4"/>
      <c r="D441" s="4"/>
      <c r="E441" s="4"/>
      <c r="F441" s="32"/>
      <c r="G441" s="8"/>
      <c r="H441" s="9"/>
      <c r="I441" s="8"/>
      <c r="J441" s="10"/>
      <c r="K441" s="8"/>
      <c r="L441" s="8"/>
      <c r="M441" s="8"/>
      <c r="N441" s="11"/>
      <c r="O441" s="9"/>
      <c r="P441" s="12"/>
      <c r="Q441" s="9"/>
      <c r="R441" s="13"/>
      <c r="S441" s="11"/>
      <c r="T441" s="11"/>
      <c r="U441" s="9"/>
      <c r="V441" s="9"/>
      <c r="W441" s="9"/>
      <c r="X441" s="16"/>
      <c r="AF441" s="42">
        <f>IF(BUSCAR!$C$8="FECHA NAC.",$G441,IF(BUSCAR!$C$8="PASAPORTE EXPIRA",$J441,IF(BUSCAR!$C$8="LICENCIA EMISION",$L441,IF(BUSCAR!$C$8="LICENCIA EXPIRA",$M441,""))))</f>
      </c>
      <c r="AG441" s="42">
        <f>IF($B441&amp;$C441&amp;$D441&amp;$E441&amp;$H441="",0,IF(AND(OR(BUSCAR!$J$5="",ISNUMBER(SEARCH(BUSCAR!$J$5,$AI441))),OR(BUSCAR!$J$6="",ISNUMBER(SEARCH(BUSCAR!$J$6,$AI441))),OR(BUSCAR!$J$8="",ISNUMBER(SEARCH(BUSCAR!$J$8,$AI441))),OR(BUSCAR!$J$9="",ISNUMBER(SEARCH(BUSCAR!$J$9,$AI441))),OR(NOT(BUSCAR!$J$2),AND(ISNUMBER($AF441),$AF441&gt;=BUSCAR!$J$3,$AF441&lt;=BUSCAR!$J$4))),1,0))</f>
      </c>
      <c r="AH441" s="42">
        <f t="shared" si="18"/>
      </c>
      <c r="AI441" s="42">
        <f t="shared" si="19"/>
      </c>
    </row>
    <row r="442" spans="1:35" x14ac:dyDescent="0.2">
      <c r="A442" s="66">
        <f t="shared" si="20"/>
      </c>
      <c r="B442" s="4"/>
      <c r="C442" s="4"/>
      <c r="D442" s="4"/>
      <c r="E442" s="4"/>
      <c r="F442" s="32"/>
      <c r="G442" s="8"/>
      <c r="H442" s="9"/>
      <c r="I442" s="8"/>
      <c r="J442" s="10"/>
      <c r="K442" s="8"/>
      <c r="L442" s="8"/>
      <c r="M442" s="8"/>
      <c r="N442" s="11"/>
      <c r="O442" s="9"/>
      <c r="P442" s="12"/>
      <c r="Q442" s="9"/>
      <c r="R442" s="13"/>
      <c r="S442" s="11"/>
      <c r="T442" s="11"/>
      <c r="U442" s="9"/>
      <c r="V442" s="9"/>
      <c r="W442" s="9"/>
      <c r="X442" s="16"/>
      <c r="AF442" s="42">
        <f>IF(BUSCAR!$C$8="FECHA NAC.",$G442,IF(BUSCAR!$C$8="PASAPORTE EXPIRA",$J442,IF(BUSCAR!$C$8="LICENCIA EMISION",$L442,IF(BUSCAR!$C$8="LICENCIA EXPIRA",$M442,""))))</f>
      </c>
      <c r="AG442" s="42">
        <f>IF($B442&amp;$C442&amp;$D442&amp;$E442&amp;$H442="",0,IF(AND(OR(BUSCAR!$J$5="",ISNUMBER(SEARCH(BUSCAR!$J$5,$AI442))),OR(BUSCAR!$J$6="",ISNUMBER(SEARCH(BUSCAR!$J$6,$AI442))),OR(BUSCAR!$J$8="",ISNUMBER(SEARCH(BUSCAR!$J$8,$AI442))),OR(BUSCAR!$J$9="",ISNUMBER(SEARCH(BUSCAR!$J$9,$AI442))),OR(NOT(BUSCAR!$J$2),AND(ISNUMBER($AF442),$AF442&gt;=BUSCAR!$J$3,$AF442&lt;=BUSCAR!$J$4))),1,0))</f>
      </c>
      <c r="AH442" s="42">
        <f t="shared" si="18"/>
      </c>
      <c r="AI442" s="42">
        <f t="shared" si="19"/>
      </c>
    </row>
    <row r="443" spans="1:35" x14ac:dyDescent="0.2">
      <c r="A443" s="66">
        <f t="shared" si="20"/>
      </c>
      <c r="B443" s="4"/>
      <c r="C443" s="4"/>
      <c r="D443" s="4"/>
      <c r="E443" s="4"/>
      <c r="F443" s="32"/>
      <c r="G443" s="8"/>
      <c r="H443" s="9"/>
      <c r="I443" s="8"/>
      <c r="J443" s="10"/>
      <c r="K443" s="8"/>
      <c r="L443" s="8"/>
      <c r="M443" s="8"/>
      <c r="N443" s="11"/>
      <c r="O443" s="9"/>
      <c r="P443" s="12"/>
      <c r="Q443" s="9"/>
      <c r="R443" s="13"/>
      <c r="S443" s="11"/>
      <c r="T443" s="11"/>
      <c r="U443" s="9"/>
      <c r="V443" s="9"/>
      <c r="W443" s="9"/>
      <c r="X443" s="16"/>
      <c r="AF443" s="42">
        <f>IF(BUSCAR!$C$8="FECHA NAC.",$G443,IF(BUSCAR!$C$8="PASAPORTE EXPIRA",$J443,IF(BUSCAR!$C$8="LICENCIA EMISION",$L443,IF(BUSCAR!$C$8="LICENCIA EXPIRA",$M443,""))))</f>
      </c>
      <c r="AG443" s="42">
        <f>IF($B443&amp;$C443&amp;$D443&amp;$E443&amp;$H443="",0,IF(AND(OR(BUSCAR!$J$5="",ISNUMBER(SEARCH(BUSCAR!$J$5,$AI443))),OR(BUSCAR!$J$6="",ISNUMBER(SEARCH(BUSCAR!$J$6,$AI443))),OR(BUSCAR!$J$8="",ISNUMBER(SEARCH(BUSCAR!$J$8,$AI443))),OR(BUSCAR!$J$9="",ISNUMBER(SEARCH(BUSCAR!$J$9,$AI443))),OR(NOT(BUSCAR!$J$2),AND(ISNUMBER($AF443),$AF443&gt;=BUSCAR!$J$3,$AF443&lt;=BUSCAR!$J$4))),1,0))</f>
      </c>
      <c r="AH443" s="42">
        <f t="shared" si="18"/>
      </c>
      <c r="AI443" s="42">
        <f t="shared" si="19"/>
      </c>
    </row>
    <row r="444" spans="1:35" x14ac:dyDescent="0.2">
      <c r="A444" s="66">
        <f t="shared" si="20"/>
      </c>
      <c r="B444" s="4"/>
      <c r="C444" s="4"/>
      <c r="D444" s="4"/>
      <c r="E444" s="4"/>
      <c r="F444" s="32"/>
      <c r="G444" s="8"/>
      <c r="H444" s="9"/>
      <c r="I444" s="8"/>
      <c r="J444" s="10"/>
      <c r="K444" s="8"/>
      <c r="L444" s="8"/>
      <c r="M444" s="8"/>
      <c r="N444" s="11"/>
      <c r="O444" s="9"/>
      <c r="P444" s="12"/>
      <c r="Q444" s="9"/>
      <c r="R444" s="13"/>
      <c r="S444" s="11"/>
      <c r="T444" s="11"/>
      <c r="U444" s="9"/>
      <c r="V444" s="9"/>
      <c r="W444" s="9"/>
      <c r="X444" s="16"/>
      <c r="AF444" s="42">
        <f>IF(BUSCAR!$C$8="FECHA NAC.",$G444,IF(BUSCAR!$C$8="PASAPORTE EXPIRA",$J444,IF(BUSCAR!$C$8="LICENCIA EMISION",$L444,IF(BUSCAR!$C$8="LICENCIA EXPIRA",$M444,""))))</f>
      </c>
      <c r="AG444" s="42">
        <f>IF($B444&amp;$C444&amp;$D444&amp;$E444&amp;$H444="",0,IF(AND(OR(BUSCAR!$J$5="",ISNUMBER(SEARCH(BUSCAR!$J$5,$AI444))),OR(BUSCAR!$J$6="",ISNUMBER(SEARCH(BUSCAR!$J$6,$AI444))),OR(BUSCAR!$J$8="",ISNUMBER(SEARCH(BUSCAR!$J$8,$AI444))),OR(BUSCAR!$J$9="",ISNUMBER(SEARCH(BUSCAR!$J$9,$AI444))),OR(NOT(BUSCAR!$J$2),AND(ISNUMBER($AF444),$AF444&gt;=BUSCAR!$J$3,$AF444&lt;=BUSCAR!$J$4))),1,0))</f>
      </c>
      <c r="AH444" s="42">
        <f t="shared" si="18"/>
      </c>
      <c r="AI444" s="42">
        <f t="shared" si="19"/>
      </c>
    </row>
    <row r="445" spans="1:35" x14ac:dyDescent="0.2">
      <c r="A445" s="66">
        <f t="shared" si="20"/>
      </c>
      <c r="B445" s="4"/>
      <c r="C445" s="4"/>
      <c r="D445" s="4"/>
      <c r="E445" s="4"/>
      <c r="F445" s="32"/>
      <c r="G445" s="8"/>
      <c r="H445" s="9"/>
      <c r="I445" s="8"/>
      <c r="J445" s="10"/>
      <c r="K445" s="8"/>
      <c r="L445" s="8"/>
      <c r="M445" s="8"/>
      <c r="N445" s="11"/>
      <c r="O445" s="9"/>
      <c r="P445" s="12"/>
      <c r="Q445" s="9"/>
      <c r="R445" s="13"/>
      <c r="S445" s="11"/>
      <c r="T445" s="11"/>
      <c r="U445" s="9"/>
      <c r="V445" s="9"/>
      <c r="W445" s="9"/>
      <c r="X445" s="16"/>
      <c r="AF445" s="42">
        <f>IF(BUSCAR!$C$8="FECHA NAC.",$G445,IF(BUSCAR!$C$8="PASAPORTE EXPIRA",$J445,IF(BUSCAR!$C$8="LICENCIA EMISION",$L445,IF(BUSCAR!$C$8="LICENCIA EXPIRA",$M445,""))))</f>
      </c>
      <c r="AG445" s="42">
        <f>IF($B445&amp;$C445&amp;$D445&amp;$E445&amp;$H445="",0,IF(AND(OR(BUSCAR!$J$5="",ISNUMBER(SEARCH(BUSCAR!$J$5,$AI445))),OR(BUSCAR!$J$6="",ISNUMBER(SEARCH(BUSCAR!$J$6,$AI445))),OR(BUSCAR!$J$8="",ISNUMBER(SEARCH(BUSCAR!$J$8,$AI445))),OR(BUSCAR!$J$9="",ISNUMBER(SEARCH(BUSCAR!$J$9,$AI445))),OR(NOT(BUSCAR!$J$2),AND(ISNUMBER($AF445),$AF445&gt;=BUSCAR!$J$3,$AF445&lt;=BUSCAR!$J$4))),1,0))</f>
      </c>
      <c r="AH445" s="42">
        <f t="shared" si="18"/>
      </c>
      <c r="AI445" s="42">
        <f t="shared" si="19"/>
      </c>
    </row>
    <row r="446" spans="1:35" x14ac:dyDescent="0.2">
      <c r="A446" s="66">
        <f t="shared" si="20"/>
      </c>
      <c r="B446" s="4"/>
      <c r="C446" s="4"/>
      <c r="D446" s="4"/>
      <c r="E446" s="4"/>
      <c r="F446" s="32"/>
      <c r="G446" s="8"/>
      <c r="H446" s="9"/>
      <c r="I446" s="8"/>
      <c r="J446" s="10"/>
      <c r="K446" s="8"/>
      <c r="L446" s="8"/>
      <c r="M446" s="8"/>
      <c r="N446" s="11"/>
      <c r="O446" s="9"/>
      <c r="P446" s="12"/>
      <c r="Q446" s="9"/>
      <c r="R446" s="13"/>
      <c r="S446" s="11"/>
      <c r="T446" s="11"/>
      <c r="U446" s="9"/>
      <c r="V446" s="9"/>
      <c r="W446" s="9"/>
      <c r="X446" s="16"/>
      <c r="AF446" s="42">
        <f>IF(BUSCAR!$C$8="FECHA NAC.",$G446,IF(BUSCAR!$C$8="PASAPORTE EXPIRA",$J446,IF(BUSCAR!$C$8="LICENCIA EMISION",$L446,IF(BUSCAR!$C$8="LICENCIA EXPIRA",$M446,""))))</f>
      </c>
      <c r="AG446" s="42">
        <f>IF($B446&amp;$C446&amp;$D446&amp;$E446&amp;$H446="",0,IF(AND(OR(BUSCAR!$J$5="",ISNUMBER(SEARCH(BUSCAR!$J$5,$AI446))),OR(BUSCAR!$J$6="",ISNUMBER(SEARCH(BUSCAR!$J$6,$AI446))),OR(BUSCAR!$J$8="",ISNUMBER(SEARCH(BUSCAR!$J$8,$AI446))),OR(BUSCAR!$J$9="",ISNUMBER(SEARCH(BUSCAR!$J$9,$AI446))),OR(NOT(BUSCAR!$J$2),AND(ISNUMBER($AF446),$AF446&gt;=BUSCAR!$J$3,$AF446&lt;=BUSCAR!$J$4))),1,0))</f>
      </c>
      <c r="AH446" s="42">
        <f t="shared" si="18"/>
      </c>
      <c r="AI446" s="42">
        <f t="shared" si="19"/>
      </c>
    </row>
    <row r="447" spans="1:35" x14ac:dyDescent="0.2">
      <c r="A447" s="66">
        <f t="shared" si="20"/>
      </c>
      <c r="B447" s="4"/>
      <c r="C447" s="4"/>
      <c r="D447" s="4"/>
      <c r="E447" s="4"/>
      <c r="F447" s="32"/>
      <c r="G447" s="8"/>
      <c r="H447" s="9"/>
      <c r="I447" s="8"/>
      <c r="J447" s="10"/>
      <c r="K447" s="8"/>
      <c r="L447" s="8"/>
      <c r="M447" s="8"/>
      <c r="N447" s="11"/>
      <c r="O447" s="9"/>
      <c r="P447" s="12"/>
      <c r="Q447" s="9"/>
      <c r="R447" s="13"/>
      <c r="S447" s="11"/>
      <c r="T447" s="11"/>
      <c r="U447" s="9"/>
      <c r="V447" s="9"/>
      <c r="W447" s="9"/>
      <c r="X447" s="16"/>
      <c r="AF447" s="42">
        <f>IF(BUSCAR!$C$8="FECHA NAC.",$G447,IF(BUSCAR!$C$8="PASAPORTE EXPIRA",$J447,IF(BUSCAR!$C$8="LICENCIA EMISION",$L447,IF(BUSCAR!$C$8="LICENCIA EXPIRA",$M447,""))))</f>
      </c>
      <c r="AG447" s="42">
        <f>IF($B447&amp;$C447&amp;$D447&amp;$E447&amp;$H447="",0,IF(AND(OR(BUSCAR!$J$5="",ISNUMBER(SEARCH(BUSCAR!$J$5,$AI447))),OR(BUSCAR!$J$6="",ISNUMBER(SEARCH(BUSCAR!$J$6,$AI447))),OR(BUSCAR!$J$8="",ISNUMBER(SEARCH(BUSCAR!$J$8,$AI447))),OR(BUSCAR!$J$9="",ISNUMBER(SEARCH(BUSCAR!$J$9,$AI447))),OR(NOT(BUSCAR!$J$2),AND(ISNUMBER($AF447),$AF447&gt;=BUSCAR!$J$3,$AF447&lt;=BUSCAR!$J$4))),1,0))</f>
      </c>
      <c r="AH447" s="42">
        <f t="shared" si="18"/>
      </c>
      <c r="AI447" s="42">
        <f t="shared" si="19"/>
      </c>
    </row>
    <row r="448" spans="1:35" x14ac:dyDescent="0.2">
      <c r="A448" s="66">
        <f t="shared" si="20"/>
      </c>
      <c r="B448" s="4"/>
      <c r="C448" s="4"/>
      <c r="D448" s="4"/>
      <c r="E448" s="4"/>
      <c r="F448" s="32"/>
      <c r="G448" s="8"/>
      <c r="H448" s="9"/>
      <c r="I448" s="8"/>
      <c r="J448" s="10"/>
      <c r="K448" s="8"/>
      <c r="L448" s="8"/>
      <c r="M448" s="8"/>
      <c r="N448" s="11"/>
      <c r="O448" s="9"/>
      <c r="P448" s="12"/>
      <c r="Q448" s="9"/>
      <c r="R448" s="13"/>
      <c r="S448" s="11"/>
      <c r="T448" s="11"/>
      <c r="U448" s="9"/>
      <c r="V448" s="9"/>
      <c r="W448" s="9"/>
      <c r="X448" s="16"/>
      <c r="AF448" s="42">
        <f>IF(BUSCAR!$C$8="FECHA NAC.",$G448,IF(BUSCAR!$C$8="PASAPORTE EXPIRA",$J448,IF(BUSCAR!$C$8="LICENCIA EMISION",$L448,IF(BUSCAR!$C$8="LICENCIA EXPIRA",$M448,""))))</f>
      </c>
      <c r="AG448" s="42">
        <f>IF($B448&amp;$C448&amp;$D448&amp;$E448&amp;$H448="",0,IF(AND(OR(BUSCAR!$J$5="",ISNUMBER(SEARCH(BUSCAR!$J$5,$AI448))),OR(BUSCAR!$J$6="",ISNUMBER(SEARCH(BUSCAR!$J$6,$AI448))),OR(BUSCAR!$J$8="",ISNUMBER(SEARCH(BUSCAR!$J$8,$AI448))),OR(BUSCAR!$J$9="",ISNUMBER(SEARCH(BUSCAR!$J$9,$AI448))),OR(NOT(BUSCAR!$J$2),AND(ISNUMBER($AF448),$AF448&gt;=BUSCAR!$J$3,$AF448&lt;=BUSCAR!$J$4))),1,0))</f>
      </c>
      <c r="AH448" s="42">
        <f t="shared" si="18"/>
      </c>
      <c r="AI448" s="42">
        <f t="shared" si="19"/>
      </c>
    </row>
    <row r="449" spans="1:35" x14ac:dyDescent="0.2">
      <c r="A449" s="66">
        <f t="shared" si="20"/>
      </c>
      <c r="B449" s="4"/>
      <c r="C449" s="4"/>
      <c r="D449" s="4"/>
      <c r="E449" s="4"/>
      <c r="F449" s="32"/>
      <c r="G449" s="8"/>
      <c r="H449" s="9"/>
      <c r="I449" s="8"/>
      <c r="J449" s="10"/>
      <c r="K449" s="8"/>
      <c r="L449" s="8"/>
      <c r="M449" s="8"/>
      <c r="N449" s="11"/>
      <c r="O449" s="9"/>
      <c r="P449" s="12"/>
      <c r="Q449" s="9"/>
      <c r="R449" s="13"/>
      <c r="S449" s="11"/>
      <c r="T449" s="11"/>
      <c r="U449" s="9"/>
      <c r="V449" s="9"/>
      <c r="W449" s="9"/>
      <c r="X449" s="16"/>
      <c r="AF449" s="42">
        <f>IF(BUSCAR!$C$8="FECHA NAC.",$G449,IF(BUSCAR!$C$8="PASAPORTE EXPIRA",$J449,IF(BUSCAR!$C$8="LICENCIA EMISION",$L449,IF(BUSCAR!$C$8="LICENCIA EXPIRA",$M449,""))))</f>
      </c>
      <c r="AG449" s="42">
        <f>IF($B449&amp;$C449&amp;$D449&amp;$E449&amp;$H449="",0,IF(AND(OR(BUSCAR!$J$5="",ISNUMBER(SEARCH(BUSCAR!$J$5,$AI449))),OR(BUSCAR!$J$6="",ISNUMBER(SEARCH(BUSCAR!$J$6,$AI449))),OR(BUSCAR!$J$8="",ISNUMBER(SEARCH(BUSCAR!$J$8,$AI449))),OR(BUSCAR!$J$9="",ISNUMBER(SEARCH(BUSCAR!$J$9,$AI449))),OR(NOT(BUSCAR!$J$2),AND(ISNUMBER($AF449),$AF449&gt;=BUSCAR!$J$3,$AF449&lt;=BUSCAR!$J$4))),1,0))</f>
      </c>
      <c r="AH449" s="42">
        <f t="shared" si="18"/>
      </c>
      <c r="AI449" s="42">
        <f t="shared" si="19"/>
      </c>
    </row>
    <row r="450" spans="1:35" x14ac:dyDescent="0.2">
      <c r="A450" s="66">
        <f t="shared" si="20"/>
      </c>
      <c r="B450" s="4"/>
      <c r="C450" s="4"/>
      <c r="D450" s="4"/>
      <c r="E450" s="4"/>
      <c r="F450" s="32"/>
      <c r="G450" s="8"/>
      <c r="H450" s="9"/>
      <c r="I450" s="8"/>
      <c r="J450" s="10"/>
      <c r="K450" s="8"/>
      <c r="L450" s="8"/>
      <c r="M450" s="8"/>
      <c r="N450" s="11"/>
      <c r="O450" s="9"/>
      <c r="P450" s="12"/>
      <c r="Q450" s="9"/>
      <c r="R450" s="13"/>
      <c r="S450" s="11"/>
      <c r="T450" s="11"/>
      <c r="U450" s="9"/>
      <c r="V450" s="9"/>
      <c r="W450" s="9"/>
      <c r="X450" s="16"/>
      <c r="AF450" s="42">
        <f>IF(BUSCAR!$C$8="FECHA NAC.",$G450,IF(BUSCAR!$C$8="PASAPORTE EXPIRA",$J450,IF(BUSCAR!$C$8="LICENCIA EMISION",$L450,IF(BUSCAR!$C$8="LICENCIA EXPIRA",$M450,""))))</f>
      </c>
      <c r="AG450" s="42">
        <f>IF($B450&amp;$C450&amp;$D450&amp;$E450&amp;$H450="",0,IF(AND(OR(BUSCAR!$J$5="",ISNUMBER(SEARCH(BUSCAR!$J$5,$AI450))),OR(BUSCAR!$J$6="",ISNUMBER(SEARCH(BUSCAR!$J$6,$AI450))),OR(BUSCAR!$J$8="",ISNUMBER(SEARCH(BUSCAR!$J$8,$AI450))),OR(BUSCAR!$J$9="",ISNUMBER(SEARCH(BUSCAR!$J$9,$AI450))),OR(NOT(BUSCAR!$J$2),AND(ISNUMBER($AF450),$AF450&gt;=BUSCAR!$J$3,$AF450&lt;=BUSCAR!$J$4))),1,0))</f>
      </c>
      <c r="AH450" s="42">
        <f t="shared" si="18"/>
      </c>
      <c r="AI450" s="42">
        <f t="shared" si="19"/>
      </c>
    </row>
    <row r="451" spans="1:35" x14ac:dyDescent="0.2">
      <c r="A451" s="66">
        <f t="shared" si="20"/>
      </c>
      <c r="B451" s="4"/>
      <c r="C451" s="4"/>
      <c r="D451" s="4"/>
      <c r="E451" s="4"/>
      <c r="F451" s="32"/>
      <c r="G451" s="8"/>
      <c r="H451" s="9"/>
      <c r="I451" s="8"/>
      <c r="J451" s="10"/>
      <c r="K451" s="8"/>
      <c r="L451" s="8"/>
      <c r="M451" s="8"/>
      <c r="N451" s="11"/>
      <c r="O451" s="9"/>
      <c r="P451" s="12"/>
      <c r="Q451" s="9"/>
      <c r="R451" s="13"/>
      <c r="S451" s="11"/>
      <c r="T451" s="11"/>
      <c r="U451" s="9"/>
      <c r="V451" s="9"/>
      <c r="W451" s="9"/>
      <c r="X451" s="16"/>
      <c r="AF451" s="42">
        <f>IF(BUSCAR!$C$8="FECHA NAC.",$G451,IF(BUSCAR!$C$8="PASAPORTE EXPIRA",$J451,IF(BUSCAR!$C$8="LICENCIA EMISION",$L451,IF(BUSCAR!$C$8="LICENCIA EXPIRA",$M451,""))))</f>
      </c>
      <c r="AG451" s="42">
        <f>IF($B451&amp;$C451&amp;$D451&amp;$E451&amp;$H451="",0,IF(AND(OR(BUSCAR!$J$5="",ISNUMBER(SEARCH(BUSCAR!$J$5,$AI451))),OR(BUSCAR!$J$6="",ISNUMBER(SEARCH(BUSCAR!$J$6,$AI451))),OR(BUSCAR!$J$8="",ISNUMBER(SEARCH(BUSCAR!$J$8,$AI451))),OR(BUSCAR!$J$9="",ISNUMBER(SEARCH(BUSCAR!$J$9,$AI451))),OR(NOT(BUSCAR!$J$2),AND(ISNUMBER($AF451),$AF451&gt;=BUSCAR!$J$3,$AF451&lt;=BUSCAR!$J$4))),1,0))</f>
      </c>
      <c r="AH451" s="42">
        <f t="shared" ref="AH451:AH514" si="21">AH450+AG451</f>
      </c>
      <c r="AI451" s="42">
        <f t="shared" ref="AI451:AI514" si="22">IF($B451&amp;" "&amp;$C451&amp;" "&amp;$D451&amp;" "&amp;$E451&amp;" "&amp;$H451&amp;" "&amp;$K451&amp;" "&amp;$R451&amp;" "&amp;$AC451&amp;" "&amp;$AD451="","",SUBSTITUTE(SUBSTITUTE(SUBSTITUTE(SUBSTITUTE(SUBSTITUTE(SUBSTITUTE(SUBSTITUTE(UPPER($B451&amp;" "&amp;$C451&amp;" "&amp;$D451&amp;" "&amp;$E451&amp;" "&amp;$H451&amp;" "&amp;$K451&amp;" "&amp;$R451&amp;" "&amp;$AC451&amp;" "&amp;$AD451),"Á","A"),"É","E"),"Í","I"),"Ó","O"),"Ú","U"),"Ü","U"),"Ñ","N"))</f>
      </c>
    </row>
    <row r="452" spans="1:35" x14ac:dyDescent="0.2">
      <c r="A452" s="66">
        <f t="shared" ref="A452:A515" si="23">A451+1</f>
      </c>
      <c r="B452" s="4"/>
      <c r="C452" s="4"/>
      <c r="D452" s="4"/>
      <c r="E452" s="4"/>
      <c r="F452" s="32"/>
      <c r="G452" s="8"/>
      <c r="H452" s="9"/>
      <c r="I452" s="8"/>
      <c r="J452" s="10"/>
      <c r="K452" s="8"/>
      <c r="L452" s="8"/>
      <c r="M452" s="8"/>
      <c r="N452" s="11"/>
      <c r="O452" s="9"/>
      <c r="P452" s="12"/>
      <c r="Q452" s="9"/>
      <c r="R452" s="13"/>
      <c r="S452" s="11"/>
      <c r="T452" s="11"/>
      <c r="U452" s="9"/>
      <c r="V452" s="9"/>
      <c r="W452" s="9"/>
      <c r="X452" s="16"/>
      <c r="AF452" s="42">
        <f>IF(BUSCAR!$C$8="FECHA NAC.",$G452,IF(BUSCAR!$C$8="PASAPORTE EXPIRA",$J452,IF(BUSCAR!$C$8="LICENCIA EMISION",$L452,IF(BUSCAR!$C$8="LICENCIA EXPIRA",$M452,""))))</f>
      </c>
      <c r="AG452" s="42">
        <f>IF($B452&amp;$C452&amp;$D452&amp;$E452&amp;$H452="",0,IF(AND(OR(BUSCAR!$J$5="",ISNUMBER(SEARCH(BUSCAR!$J$5,$AI452))),OR(BUSCAR!$J$6="",ISNUMBER(SEARCH(BUSCAR!$J$6,$AI452))),OR(BUSCAR!$J$8="",ISNUMBER(SEARCH(BUSCAR!$J$8,$AI452))),OR(BUSCAR!$J$9="",ISNUMBER(SEARCH(BUSCAR!$J$9,$AI452))),OR(NOT(BUSCAR!$J$2),AND(ISNUMBER($AF452),$AF452&gt;=BUSCAR!$J$3,$AF452&lt;=BUSCAR!$J$4))),1,0))</f>
      </c>
      <c r="AH452" s="42">
        <f t="shared" si="21"/>
      </c>
      <c r="AI452" s="42">
        <f t="shared" si="22"/>
      </c>
    </row>
    <row r="453" spans="1:35" x14ac:dyDescent="0.2">
      <c r="A453" s="66">
        <f t="shared" si="23"/>
      </c>
      <c r="B453" s="4"/>
      <c r="C453" s="4"/>
      <c r="D453" s="4"/>
      <c r="E453" s="4"/>
      <c r="F453" s="32"/>
      <c r="G453" s="8"/>
      <c r="H453" s="9"/>
      <c r="I453" s="8"/>
      <c r="J453" s="10"/>
      <c r="K453" s="8"/>
      <c r="L453" s="8"/>
      <c r="M453" s="8"/>
      <c r="N453" s="11"/>
      <c r="O453" s="9"/>
      <c r="P453" s="12"/>
      <c r="Q453" s="9"/>
      <c r="R453" s="13"/>
      <c r="S453" s="11"/>
      <c r="T453" s="11"/>
      <c r="U453" s="9"/>
      <c r="V453" s="9"/>
      <c r="W453" s="9"/>
      <c r="X453" s="16"/>
      <c r="AF453" s="42">
        <f>IF(BUSCAR!$C$8="FECHA NAC.",$G453,IF(BUSCAR!$C$8="PASAPORTE EXPIRA",$J453,IF(BUSCAR!$C$8="LICENCIA EMISION",$L453,IF(BUSCAR!$C$8="LICENCIA EXPIRA",$M453,""))))</f>
      </c>
      <c r="AG453" s="42">
        <f>IF($B453&amp;$C453&amp;$D453&amp;$E453&amp;$H453="",0,IF(AND(OR(BUSCAR!$J$5="",ISNUMBER(SEARCH(BUSCAR!$J$5,$AI453))),OR(BUSCAR!$J$6="",ISNUMBER(SEARCH(BUSCAR!$J$6,$AI453))),OR(BUSCAR!$J$8="",ISNUMBER(SEARCH(BUSCAR!$J$8,$AI453))),OR(BUSCAR!$J$9="",ISNUMBER(SEARCH(BUSCAR!$J$9,$AI453))),OR(NOT(BUSCAR!$J$2),AND(ISNUMBER($AF453),$AF453&gt;=BUSCAR!$J$3,$AF453&lt;=BUSCAR!$J$4))),1,0))</f>
      </c>
      <c r="AH453" s="42">
        <f t="shared" si="21"/>
      </c>
      <c r="AI453" s="42">
        <f t="shared" si="22"/>
      </c>
    </row>
    <row r="454" spans="1:35" x14ac:dyDescent="0.2">
      <c r="A454" s="66">
        <f t="shared" si="23"/>
      </c>
      <c r="B454" s="4"/>
      <c r="C454" s="4"/>
      <c r="D454" s="4"/>
      <c r="E454" s="4"/>
      <c r="F454" s="32"/>
      <c r="G454" s="8"/>
      <c r="H454" s="9"/>
      <c r="I454" s="8"/>
      <c r="J454" s="10"/>
      <c r="K454" s="8"/>
      <c r="L454" s="8"/>
      <c r="M454" s="8"/>
      <c r="N454" s="11"/>
      <c r="O454" s="9"/>
      <c r="P454" s="12"/>
      <c r="Q454" s="9"/>
      <c r="R454" s="13"/>
      <c r="S454" s="11"/>
      <c r="T454" s="11"/>
      <c r="U454" s="9"/>
      <c r="V454" s="9"/>
      <c r="W454" s="9"/>
      <c r="X454" s="16"/>
      <c r="AF454" s="42">
        <f>IF(BUSCAR!$C$8="FECHA NAC.",$G454,IF(BUSCAR!$C$8="PASAPORTE EXPIRA",$J454,IF(BUSCAR!$C$8="LICENCIA EMISION",$L454,IF(BUSCAR!$C$8="LICENCIA EXPIRA",$M454,""))))</f>
      </c>
      <c r="AG454" s="42">
        <f>IF($B454&amp;$C454&amp;$D454&amp;$E454&amp;$H454="",0,IF(AND(OR(BUSCAR!$J$5="",ISNUMBER(SEARCH(BUSCAR!$J$5,$AI454))),OR(BUSCAR!$J$6="",ISNUMBER(SEARCH(BUSCAR!$J$6,$AI454))),OR(BUSCAR!$J$8="",ISNUMBER(SEARCH(BUSCAR!$J$8,$AI454))),OR(BUSCAR!$J$9="",ISNUMBER(SEARCH(BUSCAR!$J$9,$AI454))),OR(NOT(BUSCAR!$J$2),AND(ISNUMBER($AF454),$AF454&gt;=BUSCAR!$J$3,$AF454&lt;=BUSCAR!$J$4))),1,0))</f>
      </c>
      <c r="AH454" s="42">
        <f t="shared" si="21"/>
      </c>
      <c r="AI454" s="42">
        <f t="shared" si="22"/>
      </c>
    </row>
    <row r="455" spans="1:35" x14ac:dyDescent="0.2">
      <c r="A455" s="66">
        <f t="shared" si="23"/>
      </c>
      <c r="B455" s="4"/>
      <c r="C455" s="4"/>
      <c r="D455" s="4"/>
      <c r="E455" s="4"/>
      <c r="F455" s="32"/>
      <c r="G455" s="8"/>
      <c r="H455" s="9"/>
      <c r="I455" s="8"/>
      <c r="J455" s="10"/>
      <c r="K455" s="8"/>
      <c r="L455" s="8"/>
      <c r="M455" s="8"/>
      <c r="N455" s="11"/>
      <c r="O455" s="9"/>
      <c r="P455" s="12"/>
      <c r="Q455" s="9"/>
      <c r="R455" s="13"/>
      <c r="S455" s="11"/>
      <c r="T455" s="11"/>
      <c r="U455" s="9"/>
      <c r="V455" s="9"/>
      <c r="W455" s="9"/>
      <c r="X455" s="16"/>
      <c r="AF455" s="42">
        <f>IF(BUSCAR!$C$8="FECHA NAC.",$G455,IF(BUSCAR!$C$8="PASAPORTE EXPIRA",$J455,IF(BUSCAR!$C$8="LICENCIA EMISION",$L455,IF(BUSCAR!$C$8="LICENCIA EXPIRA",$M455,""))))</f>
      </c>
      <c r="AG455" s="42">
        <f>IF($B455&amp;$C455&amp;$D455&amp;$E455&amp;$H455="",0,IF(AND(OR(BUSCAR!$J$5="",ISNUMBER(SEARCH(BUSCAR!$J$5,$AI455))),OR(BUSCAR!$J$6="",ISNUMBER(SEARCH(BUSCAR!$J$6,$AI455))),OR(BUSCAR!$J$8="",ISNUMBER(SEARCH(BUSCAR!$J$8,$AI455))),OR(BUSCAR!$J$9="",ISNUMBER(SEARCH(BUSCAR!$J$9,$AI455))),OR(NOT(BUSCAR!$J$2),AND(ISNUMBER($AF455),$AF455&gt;=BUSCAR!$J$3,$AF455&lt;=BUSCAR!$J$4))),1,0))</f>
      </c>
      <c r="AH455" s="42">
        <f t="shared" si="21"/>
      </c>
      <c r="AI455" s="42">
        <f t="shared" si="22"/>
      </c>
    </row>
    <row r="456" spans="1:35" x14ac:dyDescent="0.2">
      <c r="A456" s="66">
        <f t="shared" si="23"/>
      </c>
      <c r="B456" s="4"/>
      <c r="C456" s="4"/>
      <c r="D456" s="4"/>
      <c r="E456" s="4"/>
      <c r="F456" s="32"/>
      <c r="G456" s="8"/>
      <c r="H456" s="9"/>
      <c r="I456" s="8"/>
      <c r="J456" s="10"/>
      <c r="K456" s="8"/>
      <c r="L456" s="8"/>
      <c r="M456" s="8"/>
      <c r="N456" s="11"/>
      <c r="O456" s="9"/>
      <c r="P456" s="12"/>
      <c r="Q456" s="9"/>
      <c r="R456" s="13"/>
      <c r="S456" s="11"/>
      <c r="T456" s="11"/>
      <c r="U456" s="9"/>
      <c r="V456" s="9"/>
      <c r="W456" s="9"/>
      <c r="X456" s="16"/>
      <c r="AF456" s="42">
        <f>IF(BUSCAR!$C$8="FECHA NAC.",$G456,IF(BUSCAR!$C$8="PASAPORTE EXPIRA",$J456,IF(BUSCAR!$C$8="LICENCIA EMISION",$L456,IF(BUSCAR!$C$8="LICENCIA EXPIRA",$M456,""))))</f>
      </c>
      <c r="AG456" s="42">
        <f>IF($B456&amp;$C456&amp;$D456&amp;$E456&amp;$H456="",0,IF(AND(OR(BUSCAR!$J$5="",ISNUMBER(SEARCH(BUSCAR!$J$5,$AI456))),OR(BUSCAR!$J$6="",ISNUMBER(SEARCH(BUSCAR!$J$6,$AI456))),OR(BUSCAR!$J$8="",ISNUMBER(SEARCH(BUSCAR!$J$8,$AI456))),OR(BUSCAR!$J$9="",ISNUMBER(SEARCH(BUSCAR!$J$9,$AI456))),OR(NOT(BUSCAR!$J$2),AND(ISNUMBER($AF456),$AF456&gt;=BUSCAR!$J$3,$AF456&lt;=BUSCAR!$J$4))),1,0))</f>
      </c>
      <c r="AH456" s="42">
        <f t="shared" si="21"/>
      </c>
      <c r="AI456" s="42">
        <f t="shared" si="22"/>
      </c>
    </row>
    <row r="457" spans="1:35" x14ac:dyDescent="0.2">
      <c r="A457" s="66">
        <f t="shared" si="23"/>
      </c>
      <c r="B457" s="4"/>
      <c r="C457" s="4"/>
      <c r="D457" s="4"/>
      <c r="E457" s="4"/>
      <c r="F457" s="32"/>
      <c r="G457" s="8"/>
      <c r="H457" s="9"/>
      <c r="I457" s="8"/>
      <c r="J457" s="10"/>
      <c r="K457" s="8"/>
      <c r="L457" s="8"/>
      <c r="M457" s="8"/>
      <c r="N457" s="11"/>
      <c r="O457" s="9"/>
      <c r="P457" s="12"/>
      <c r="Q457" s="9"/>
      <c r="R457" s="13"/>
      <c r="S457" s="11"/>
      <c r="T457" s="11"/>
      <c r="U457" s="9"/>
      <c r="V457" s="9"/>
      <c r="W457" s="9"/>
      <c r="X457" s="16"/>
      <c r="AF457" s="42">
        <f>IF(BUSCAR!$C$8="FECHA NAC.",$G457,IF(BUSCAR!$C$8="PASAPORTE EXPIRA",$J457,IF(BUSCAR!$C$8="LICENCIA EMISION",$L457,IF(BUSCAR!$C$8="LICENCIA EXPIRA",$M457,""))))</f>
      </c>
      <c r="AG457" s="42">
        <f>IF($B457&amp;$C457&amp;$D457&amp;$E457&amp;$H457="",0,IF(AND(OR(BUSCAR!$J$5="",ISNUMBER(SEARCH(BUSCAR!$J$5,$AI457))),OR(BUSCAR!$J$6="",ISNUMBER(SEARCH(BUSCAR!$J$6,$AI457))),OR(BUSCAR!$J$8="",ISNUMBER(SEARCH(BUSCAR!$J$8,$AI457))),OR(BUSCAR!$J$9="",ISNUMBER(SEARCH(BUSCAR!$J$9,$AI457))),OR(NOT(BUSCAR!$J$2),AND(ISNUMBER($AF457),$AF457&gt;=BUSCAR!$J$3,$AF457&lt;=BUSCAR!$J$4))),1,0))</f>
      </c>
      <c r="AH457" s="42">
        <f t="shared" si="21"/>
      </c>
      <c r="AI457" s="42">
        <f t="shared" si="22"/>
      </c>
    </row>
    <row r="458" spans="1:35" x14ac:dyDescent="0.2">
      <c r="A458" s="66">
        <f t="shared" si="23"/>
      </c>
      <c r="B458" s="4"/>
      <c r="C458" s="4"/>
      <c r="D458" s="4"/>
      <c r="E458" s="4"/>
      <c r="F458" s="32"/>
      <c r="G458" s="8"/>
      <c r="H458" s="9"/>
      <c r="I458" s="8"/>
      <c r="J458" s="10"/>
      <c r="K458" s="8"/>
      <c r="L458" s="8"/>
      <c r="M458" s="8"/>
      <c r="N458" s="11"/>
      <c r="O458" s="9"/>
      <c r="P458" s="12"/>
      <c r="Q458" s="9"/>
      <c r="R458" s="13"/>
      <c r="S458" s="11"/>
      <c r="T458" s="11"/>
      <c r="U458" s="9"/>
      <c r="V458" s="9"/>
      <c r="W458" s="9"/>
      <c r="X458" s="16"/>
      <c r="AF458" s="42">
        <f>IF(BUSCAR!$C$8="FECHA NAC.",$G458,IF(BUSCAR!$C$8="PASAPORTE EXPIRA",$J458,IF(BUSCAR!$C$8="LICENCIA EMISION",$L458,IF(BUSCAR!$C$8="LICENCIA EXPIRA",$M458,""))))</f>
      </c>
      <c r="AG458" s="42">
        <f>IF($B458&amp;$C458&amp;$D458&amp;$E458&amp;$H458="",0,IF(AND(OR(BUSCAR!$J$5="",ISNUMBER(SEARCH(BUSCAR!$J$5,$AI458))),OR(BUSCAR!$J$6="",ISNUMBER(SEARCH(BUSCAR!$J$6,$AI458))),OR(BUSCAR!$J$8="",ISNUMBER(SEARCH(BUSCAR!$J$8,$AI458))),OR(BUSCAR!$J$9="",ISNUMBER(SEARCH(BUSCAR!$J$9,$AI458))),OR(NOT(BUSCAR!$J$2),AND(ISNUMBER($AF458),$AF458&gt;=BUSCAR!$J$3,$AF458&lt;=BUSCAR!$J$4))),1,0))</f>
      </c>
      <c r="AH458" s="42">
        <f t="shared" si="21"/>
      </c>
      <c r="AI458" s="42">
        <f t="shared" si="22"/>
      </c>
    </row>
    <row r="459" spans="1:35" x14ac:dyDescent="0.2">
      <c r="A459" s="66">
        <f t="shared" si="23"/>
      </c>
      <c r="B459" s="4"/>
      <c r="C459" s="4"/>
      <c r="D459" s="4"/>
      <c r="E459" s="4"/>
      <c r="F459" s="32"/>
      <c r="G459" s="8"/>
      <c r="H459" s="9"/>
      <c r="I459" s="8"/>
      <c r="J459" s="10"/>
      <c r="K459" s="8"/>
      <c r="L459" s="8"/>
      <c r="M459" s="8"/>
      <c r="N459" s="11"/>
      <c r="O459" s="9"/>
      <c r="P459" s="12"/>
      <c r="Q459" s="9"/>
      <c r="R459" s="13"/>
      <c r="S459" s="11"/>
      <c r="T459" s="11"/>
      <c r="U459" s="9"/>
      <c r="V459" s="9"/>
      <c r="W459" s="9"/>
      <c r="X459" s="16"/>
      <c r="AF459" s="42">
        <f>IF(BUSCAR!$C$8="FECHA NAC.",$G459,IF(BUSCAR!$C$8="PASAPORTE EXPIRA",$J459,IF(BUSCAR!$C$8="LICENCIA EMISION",$L459,IF(BUSCAR!$C$8="LICENCIA EXPIRA",$M459,""))))</f>
      </c>
      <c r="AG459" s="42">
        <f>IF($B459&amp;$C459&amp;$D459&amp;$E459&amp;$H459="",0,IF(AND(OR(BUSCAR!$J$5="",ISNUMBER(SEARCH(BUSCAR!$J$5,$AI459))),OR(BUSCAR!$J$6="",ISNUMBER(SEARCH(BUSCAR!$J$6,$AI459))),OR(BUSCAR!$J$8="",ISNUMBER(SEARCH(BUSCAR!$J$8,$AI459))),OR(BUSCAR!$J$9="",ISNUMBER(SEARCH(BUSCAR!$J$9,$AI459))),OR(NOT(BUSCAR!$J$2),AND(ISNUMBER($AF459),$AF459&gt;=BUSCAR!$J$3,$AF459&lt;=BUSCAR!$J$4))),1,0))</f>
      </c>
      <c r="AH459" s="42">
        <f t="shared" si="21"/>
      </c>
      <c r="AI459" s="42">
        <f t="shared" si="22"/>
      </c>
    </row>
    <row r="460" spans="1:35" x14ac:dyDescent="0.2">
      <c r="A460" s="66">
        <f t="shared" si="23"/>
      </c>
      <c r="B460" s="4"/>
      <c r="C460" s="4"/>
      <c r="D460" s="4"/>
      <c r="E460" s="4"/>
      <c r="F460" s="32"/>
      <c r="G460" s="8"/>
      <c r="H460" s="9"/>
      <c r="I460" s="8"/>
      <c r="J460" s="10"/>
      <c r="K460" s="8"/>
      <c r="L460" s="8"/>
      <c r="M460" s="8"/>
      <c r="N460" s="11"/>
      <c r="O460" s="9"/>
      <c r="P460" s="12"/>
      <c r="Q460" s="9"/>
      <c r="R460" s="13"/>
      <c r="S460" s="11"/>
      <c r="T460" s="11"/>
      <c r="U460" s="9"/>
      <c r="V460" s="9"/>
      <c r="W460" s="9"/>
      <c r="X460" s="16"/>
      <c r="AF460" s="42">
        <f>IF(BUSCAR!$C$8="FECHA NAC.",$G460,IF(BUSCAR!$C$8="PASAPORTE EXPIRA",$J460,IF(BUSCAR!$C$8="LICENCIA EMISION",$L460,IF(BUSCAR!$C$8="LICENCIA EXPIRA",$M460,""))))</f>
      </c>
      <c r="AG460" s="42">
        <f>IF($B460&amp;$C460&amp;$D460&amp;$E460&amp;$H460="",0,IF(AND(OR(BUSCAR!$J$5="",ISNUMBER(SEARCH(BUSCAR!$J$5,$AI460))),OR(BUSCAR!$J$6="",ISNUMBER(SEARCH(BUSCAR!$J$6,$AI460))),OR(BUSCAR!$J$8="",ISNUMBER(SEARCH(BUSCAR!$J$8,$AI460))),OR(BUSCAR!$J$9="",ISNUMBER(SEARCH(BUSCAR!$J$9,$AI460))),OR(NOT(BUSCAR!$J$2),AND(ISNUMBER($AF460),$AF460&gt;=BUSCAR!$J$3,$AF460&lt;=BUSCAR!$J$4))),1,0))</f>
      </c>
      <c r="AH460" s="42">
        <f t="shared" si="21"/>
      </c>
      <c r="AI460" s="42">
        <f t="shared" si="22"/>
      </c>
    </row>
    <row r="461" spans="1:35" x14ac:dyDescent="0.2">
      <c r="A461" s="66">
        <f t="shared" si="23"/>
      </c>
      <c r="B461" s="4"/>
      <c r="C461" s="4"/>
      <c r="D461" s="4"/>
      <c r="E461" s="4"/>
      <c r="F461" s="32"/>
      <c r="G461" s="8"/>
      <c r="H461" s="9"/>
      <c r="I461" s="8"/>
      <c r="J461" s="10"/>
      <c r="K461" s="8"/>
      <c r="L461" s="8"/>
      <c r="M461" s="8"/>
      <c r="N461" s="11"/>
      <c r="O461" s="9"/>
      <c r="P461" s="12"/>
      <c r="Q461" s="9"/>
      <c r="R461" s="13"/>
      <c r="S461" s="11"/>
      <c r="T461" s="11"/>
      <c r="U461" s="9"/>
      <c r="V461" s="9"/>
      <c r="W461" s="9"/>
      <c r="X461" s="16"/>
      <c r="AF461" s="42">
        <f>IF(BUSCAR!$C$8="FECHA NAC.",$G461,IF(BUSCAR!$C$8="PASAPORTE EXPIRA",$J461,IF(BUSCAR!$C$8="LICENCIA EMISION",$L461,IF(BUSCAR!$C$8="LICENCIA EXPIRA",$M461,""))))</f>
      </c>
      <c r="AG461" s="42">
        <f>IF($B461&amp;$C461&amp;$D461&amp;$E461&amp;$H461="",0,IF(AND(OR(BUSCAR!$J$5="",ISNUMBER(SEARCH(BUSCAR!$J$5,$AI461))),OR(BUSCAR!$J$6="",ISNUMBER(SEARCH(BUSCAR!$J$6,$AI461))),OR(BUSCAR!$J$8="",ISNUMBER(SEARCH(BUSCAR!$J$8,$AI461))),OR(BUSCAR!$J$9="",ISNUMBER(SEARCH(BUSCAR!$J$9,$AI461))),OR(NOT(BUSCAR!$J$2),AND(ISNUMBER($AF461),$AF461&gt;=BUSCAR!$J$3,$AF461&lt;=BUSCAR!$J$4))),1,0))</f>
      </c>
      <c r="AH461" s="42">
        <f t="shared" si="21"/>
      </c>
      <c r="AI461" s="42">
        <f t="shared" si="22"/>
      </c>
    </row>
    <row r="462" spans="1:35" x14ac:dyDescent="0.2">
      <c r="A462" s="66">
        <f t="shared" si="23"/>
      </c>
      <c r="B462" s="4"/>
      <c r="C462" s="4"/>
      <c r="D462" s="4"/>
      <c r="E462" s="4"/>
      <c r="F462" s="32"/>
      <c r="G462" s="8"/>
      <c r="H462" s="9"/>
      <c r="I462" s="8"/>
      <c r="J462" s="10"/>
      <c r="K462" s="8"/>
      <c r="L462" s="8"/>
      <c r="M462" s="8"/>
      <c r="N462" s="11"/>
      <c r="O462" s="9"/>
      <c r="P462" s="12"/>
      <c r="Q462" s="9"/>
      <c r="R462" s="13"/>
      <c r="S462" s="11"/>
      <c r="T462" s="11"/>
      <c r="U462" s="9"/>
      <c r="V462" s="9"/>
      <c r="W462" s="9"/>
      <c r="X462" s="16"/>
      <c r="AF462" s="42">
        <f>IF(BUSCAR!$C$8="FECHA NAC.",$G462,IF(BUSCAR!$C$8="PASAPORTE EXPIRA",$J462,IF(BUSCAR!$C$8="LICENCIA EMISION",$L462,IF(BUSCAR!$C$8="LICENCIA EXPIRA",$M462,""))))</f>
      </c>
      <c r="AG462" s="42">
        <f>IF($B462&amp;$C462&amp;$D462&amp;$E462&amp;$H462="",0,IF(AND(OR(BUSCAR!$J$5="",ISNUMBER(SEARCH(BUSCAR!$J$5,$AI462))),OR(BUSCAR!$J$6="",ISNUMBER(SEARCH(BUSCAR!$J$6,$AI462))),OR(BUSCAR!$J$8="",ISNUMBER(SEARCH(BUSCAR!$J$8,$AI462))),OR(BUSCAR!$J$9="",ISNUMBER(SEARCH(BUSCAR!$J$9,$AI462))),OR(NOT(BUSCAR!$J$2),AND(ISNUMBER($AF462),$AF462&gt;=BUSCAR!$J$3,$AF462&lt;=BUSCAR!$J$4))),1,0))</f>
      </c>
      <c r="AH462" s="42">
        <f t="shared" si="21"/>
      </c>
      <c r="AI462" s="42">
        <f t="shared" si="22"/>
      </c>
    </row>
    <row r="463" spans="1:35" x14ac:dyDescent="0.2">
      <c r="A463" s="66">
        <f t="shared" si="23"/>
      </c>
      <c r="B463" s="4"/>
      <c r="C463" s="4"/>
      <c r="D463" s="4"/>
      <c r="E463" s="4"/>
      <c r="F463" s="32"/>
      <c r="G463" s="8"/>
      <c r="H463" s="9"/>
      <c r="I463" s="8"/>
      <c r="J463" s="10"/>
      <c r="K463" s="8"/>
      <c r="L463" s="8"/>
      <c r="M463" s="8"/>
      <c r="N463" s="11"/>
      <c r="O463" s="9"/>
      <c r="P463" s="12"/>
      <c r="Q463" s="9"/>
      <c r="R463" s="13"/>
      <c r="S463" s="11"/>
      <c r="T463" s="11"/>
      <c r="U463" s="9"/>
      <c r="V463" s="9"/>
      <c r="W463" s="9"/>
      <c r="X463" s="16"/>
      <c r="AF463" s="42">
        <f>IF(BUSCAR!$C$8="FECHA NAC.",$G463,IF(BUSCAR!$C$8="PASAPORTE EXPIRA",$J463,IF(BUSCAR!$C$8="LICENCIA EMISION",$L463,IF(BUSCAR!$C$8="LICENCIA EXPIRA",$M463,""))))</f>
      </c>
      <c r="AG463" s="42">
        <f>IF($B463&amp;$C463&amp;$D463&amp;$E463&amp;$H463="",0,IF(AND(OR(BUSCAR!$J$5="",ISNUMBER(SEARCH(BUSCAR!$J$5,$AI463))),OR(BUSCAR!$J$6="",ISNUMBER(SEARCH(BUSCAR!$J$6,$AI463))),OR(BUSCAR!$J$8="",ISNUMBER(SEARCH(BUSCAR!$J$8,$AI463))),OR(BUSCAR!$J$9="",ISNUMBER(SEARCH(BUSCAR!$J$9,$AI463))),OR(NOT(BUSCAR!$J$2),AND(ISNUMBER($AF463),$AF463&gt;=BUSCAR!$J$3,$AF463&lt;=BUSCAR!$J$4))),1,0))</f>
      </c>
      <c r="AH463" s="42">
        <f t="shared" si="21"/>
      </c>
      <c r="AI463" s="42">
        <f t="shared" si="22"/>
      </c>
    </row>
    <row r="464" spans="1:35" x14ac:dyDescent="0.2">
      <c r="A464" s="66">
        <f t="shared" si="23"/>
      </c>
      <c r="B464" s="4"/>
      <c r="C464" s="4"/>
      <c r="D464" s="4"/>
      <c r="E464" s="4"/>
      <c r="F464" s="32"/>
      <c r="G464" s="8"/>
      <c r="H464" s="9"/>
      <c r="I464" s="8"/>
      <c r="J464" s="10"/>
      <c r="K464" s="8"/>
      <c r="L464" s="8"/>
      <c r="M464" s="8"/>
      <c r="N464" s="11"/>
      <c r="O464" s="9"/>
      <c r="P464" s="12"/>
      <c r="Q464" s="9"/>
      <c r="R464" s="13"/>
      <c r="S464" s="11"/>
      <c r="T464" s="11"/>
      <c r="U464" s="9"/>
      <c r="V464" s="9"/>
      <c r="W464" s="9"/>
      <c r="X464" s="16"/>
      <c r="AF464" s="42">
        <f>IF(BUSCAR!$C$8="FECHA NAC.",$G464,IF(BUSCAR!$C$8="PASAPORTE EXPIRA",$J464,IF(BUSCAR!$C$8="LICENCIA EMISION",$L464,IF(BUSCAR!$C$8="LICENCIA EXPIRA",$M464,""))))</f>
      </c>
      <c r="AG464" s="42">
        <f>IF($B464&amp;$C464&amp;$D464&amp;$E464&amp;$H464="",0,IF(AND(OR(BUSCAR!$J$5="",ISNUMBER(SEARCH(BUSCAR!$J$5,$AI464))),OR(BUSCAR!$J$6="",ISNUMBER(SEARCH(BUSCAR!$J$6,$AI464))),OR(BUSCAR!$J$8="",ISNUMBER(SEARCH(BUSCAR!$J$8,$AI464))),OR(BUSCAR!$J$9="",ISNUMBER(SEARCH(BUSCAR!$J$9,$AI464))),OR(NOT(BUSCAR!$J$2),AND(ISNUMBER($AF464),$AF464&gt;=BUSCAR!$J$3,$AF464&lt;=BUSCAR!$J$4))),1,0))</f>
      </c>
      <c r="AH464" s="42">
        <f t="shared" si="21"/>
      </c>
      <c r="AI464" s="42">
        <f t="shared" si="22"/>
      </c>
    </row>
    <row r="465" spans="1:35" x14ac:dyDescent="0.2">
      <c r="A465" s="66">
        <f t="shared" si="23"/>
      </c>
      <c r="B465" s="4"/>
      <c r="C465" s="4"/>
      <c r="D465" s="4"/>
      <c r="E465" s="4"/>
      <c r="F465" s="32"/>
      <c r="G465" s="8"/>
      <c r="H465" s="9"/>
      <c r="I465" s="8"/>
      <c r="J465" s="10"/>
      <c r="K465" s="8"/>
      <c r="L465" s="8"/>
      <c r="M465" s="8"/>
      <c r="N465" s="11"/>
      <c r="O465" s="9"/>
      <c r="P465" s="12"/>
      <c r="Q465" s="9"/>
      <c r="R465" s="13"/>
      <c r="S465" s="11"/>
      <c r="T465" s="11"/>
      <c r="U465" s="9"/>
      <c r="V465" s="9"/>
      <c r="W465" s="9"/>
      <c r="X465" s="16"/>
      <c r="AF465" s="42">
        <f>IF(BUSCAR!$C$8="FECHA NAC.",$G465,IF(BUSCAR!$C$8="PASAPORTE EXPIRA",$J465,IF(BUSCAR!$C$8="LICENCIA EMISION",$L465,IF(BUSCAR!$C$8="LICENCIA EXPIRA",$M465,""))))</f>
      </c>
      <c r="AG465" s="42">
        <f>IF($B465&amp;$C465&amp;$D465&amp;$E465&amp;$H465="",0,IF(AND(OR(BUSCAR!$J$5="",ISNUMBER(SEARCH(BUSCAR!$J$5,$AI465))),OR(BUSCAR!$J$6="",ISNUMBER(SEARCH(BUSCAR!$J$6,$AI465))),OR(BUSCAR!$J$8="",ISNUMBER(SEARCH(BUSCAR!$J$8,$AI465))),OR(BUSCAR!$J$9="",ISNUMBER(SEARCH(BUSCAR!$J$9,$AI465))),OR(NOT(BUSCAR!$J$2),AND(ISNUMBER($AF465),$AF465&gt;=BUSCAR!$J$3,$AF465&lt;=BUSCAR!$J$4))),1,0))</f>
      </c>
      <c r="AH465" s="42">
        <f t="shared" si="21"/>
      </c>
      <c r="AI465" s="42">
        <f t="shared" si="22"/>
      </c>
    </row>
    <row r="466" spans="1:35" x14ac:dyDescent="0.2">
      <c r="A466" s="66">
        <f t="shared" si="23"/>
      </c>
      <c r="B466" s="4"/>
      <c r="C466" s="4"/>
      <c r="D466" s="4"/>
      <c r="E466" s="4"/>
      <c r="F466" s="32"/>
      <c r="G466" s="8"/>
      <c r="H466" s="9"/>
      <c r="I466" s="8"/>
      <c r="J466" s="10"/>
      <c r="K466" s="8"/>
      <c r="L466" s="8"/>
      <c r="M466" s="8"/>
      <c r="N466" s="11"/>
      <c r="O466" s="9"/>
      <c r="P466" s="12"/>
      <c r="Q466" s="9"/>
      <c r="R466" s="13"/>
      <c r="S466" s="11"/>
      <c r="T466" s="11"/>
      <c r="U466" s="9"/>
      <c r="V466" s="9"/>
      <c r="W466" s="9"/>
      <c r="X466" s="16"/>
      <c r="AF466" s="42">
        <f>IF(BUSCAR!$C$8="FECHA NAC.",$G466,IF(BUSCAR!$C$8="PASAPORTE EXPIRA",$J466,IF(BUSCAR!$C$8="LICENCIA EMISION",$L466,IF(BUSCAR!$C$8="LICENCIA EXPIRA",$M466,""))))</f>
      </c>
      <c r="AG466" s="42">
        <f>IF($B466&amp;$C466&amp;$D466&amp;$E466&amp;$H466="",0,IF(AND(OR(BUSCAR!$J$5="",ISNUMBER(SEARCH(BUSCAR!$J$5,$AI466))),OR(BUSCAR!$J$6="",ISNUMBER(SEARCH(BUSCAR!$J$6,$AI466))),OR(BUSCAR!$J$8="",ISNUMBER(SEARCH(BUSCAR!$J$8,$AI466))),OR(BUSCAR!$J$9="",ISNUMBER(SEARCH(BUSCAR!$J$9,$AI466))),OR(NOT(BUSCAR!$J$2),AND(ISNUMBER($AF466),$AF466&gt;=BUSCAR!$J$3,$AF466&lt;=BUSCAR!$J$4))),1,0))</f>
      </c>
      <c r="AH466" s="42">
        <f t="shared" si="21"/>
      </c>
      <c r="AI466" s="42">
        <f t="shared" si="22"/>
      </c>
    </row>
    <row r="467" spans="1:35" x14ac:dyDescent="0.2">
      <c r="A467" s="66">
        <f t="shared" si="23"/>
      </c>
      <c r="B467" s="4"/>
      <c r="C467" s="4"/>
      <c r="D467" s="4"/>
      <c r="E467" s="4"/>
      <c r="F467" s="32"/>
      <c r="G467" s="8"/>
      <c r="H467" s="9"/>
      <c r="I467" s="8"/>
      <c r="J467" s="10"/>
      <c r="K467" s="8"/>
      <c r="L467" s="8"/>
      <c r="M467" s="8"/>
      <c r="N467" s="11"/>
      <c r="O467" s="9"/>
      <c r="P467" s="12"/>
      <c r="Q467" s="9"/>
      <c r="R467" s="13"/>
      <c r="S467" s="11"/>
      <c r="T467" s="11"/>
      <c r="U467" s="9"/>
      <c r="V467" s="9"/>
      <c r="W467" s="9"/>
      <c r="X467" s="16"/>
      <c r="AF467" s="42">
        <f>IF(BUSCAR!$C$8="FECHA NAC.",$G467,IF(BUSCAR!$C$8="PASAPORTE EXPIRA",$J467,IF(BUSCAR!$C$8="LICENCIA EMISION",$L467,IF(BUSCAR!$C$8="LICENCIA EXPIRA",$M467,""))))</f>
      </c>
      <c r="AG467" s="42">
        <f>IF($B467&amp;$C467&amp;$D467&amp;$E467&amp;$H467="",0,IF(AND(OR(BUSCAR!$J$5="",ISNUMBER(SEARCH(BUSCAR!$J$5,$AI467))),OR(BUSCAR!$J$6="",ISNUMBER(SEARCH(BUSCAR!$J$6,$AI467))),OR(BUSCAR!$J$8="",ISNUMBER(SEARCH(BUSCAR!$J$8,$AI467))),OR(BUSCAR!$J$9="",ISNUMBER(SEARCH(BUSCAR!$J$9,$AI467))),OR(NOT(BUSCAR!$J$2),AND(ISNUMBER($AF467),$AF467&gt;=BUSCAR!$J$3,$AF467&lt;=BUSCAR!$J$4))),1,0))</f>
      </c>
      <c r="AH467" s="42">
        <f t="shared" si="21"/>
      </c>
      <c r="AI467" s="42">
        <f t="shared" si="22"/>
      </c>
    </row>
    <row r="468" spans="1:35" x14ac:dyDescent="0.2">
      <c r="A468" s="66">
        <f t="shared" si="23"/>
      </c>
      <c r="B468" s="4"/>
      <c r="C468" s="4"/>
      <c r="D468" s="4"/>
      <c r="E468" s="4"/>
      <c r="F468" s="32"/>
      <c r="G468" s="8"/>
      <c r="H468" s="9"/>
      <c r="I468" s="8"/>
      <c r="J468" s="10"/>
      <c r="K468" s="8"/>
      <c r="L468" s="8"/>
      <c r="M468" s="8"/>
      <c r="N468" s="11"/>
      <c r="O468" s="9"/>
      <c r="P468" s="12"/>
      <c r="Q468" s="9"/>
      <c r="R468" s="13"/>
      <c r="S468" s="11"/>
      <c r="T468" s="11"/>
      <c r="U468" s="9"/>
      <c r="V468" s="9"/>
      <c r="W468" s="9"/>
      <c r="X468" s="16"/>
      <c r="AF468" s="42">
        <f>IF(BUSCAR!$C$8="FECHA NAC.",$G468,IF(BUSCAR!$C$8="PASAPORTE EXPIRA",$J468,IF(BUSCAR!$C$8="LICENCIA EMISION",$L468,IF(BUSCAR!$C$8="LICENCIA EXPIRA",$M468,""))))</f>
      </c>
      <c r="AG468" s="42">
        <f>IF($B468&amp;$C468&amp;$D468&amp;$E468&amp;$H468="",0,IF(AND(OR(BUSCAR!$J$5="",ISNUMBER(SEARCH(BUSCAR!$J$5,$AI468))),OR(BUSCAR!$J$6="",ISNUMBER(SEARCH(BUSCAR!$J$6,$AI468))),OR(BUSCAR!$J$8="",ISNUMBER(SEARCH(BUSCAR!$J$8,$AI468))),OR(BUSCAR!$J$9="",ISNUMBER(SEARCH(BUSCAR!$J$9,$AI468))),OR(NOT(BUSCAR!$J$2),AND(ISNUMBER($AF468),$AF468&gt;=BUSCAR!$J$3,$AF468&lt;=BUSCAR!$J$4))),1,0))</f>
      </c>
      <c r="AH468" s="42">
        <f t="shared" si="21"/>
      </c>
      <c r="AI468" s="42">
        <f t="shared" si="22"/>
      </c>
    </row>
    <row r="469" spans="1:35" x14ac:dyDescent="0.2">
      <c r="A469" s="66">
        <f t="shared" si="23"/>
      </c>
      <c r="B469" s="4"/>
      <c r="C469" s="4"/>
      <c r="D469" s="4"/>
      <c r="E469" s="4"/>
      <c r="F469" s="32"/>
      <c r="G469" s="8"/>
      <c r="H469" s="9"/>
      <c r="I469" s="8"/>
      <c r="J469" s="10"/>
      <c r="K469" s="8"/>
      <c r="L469" s="8"/>
      <c r="M469" s="8"/>
      <c r="N469" s="11"/>
      <c r="O469" s="9"/>
      <c r="P469" s="12"/>
      <c r="Q469" s="9"/>
      <c r="R469" s="13"/>
      <c r="S469" s="11"/>
      <c r="T469" s="11"/>
      <c r="U469" s="9"/>
      <c r="V469" s="9"/>
      <c r="W469" s="9"/>
      <c r="X469" s="16"/>
      <c r="AF469" s="42">
        <f>IF(BUSCAR!$C$8="FECHA NAC.",$G469,IF(BUSCAR!$C$8="PASAPORTE EXPIRA",$J469,IF(BUSCAR!$C$8="LICENCIA EMISION",$L469,IF(BUSCAR!$C$8="LICENCIA EXPIRA",$M469,""))))</f>
      </c>
      <c r="AG469" s="42">
        <f>IF($B469&amp;$C469&amp;$D469&amp;$E469&amp;$H469="",0,IF(AND(OR(BUSCAR!$J$5="",ISNUMBER(SEARCH(BUSCAR!$J$5,$AI469))),OR(BUSCAR!$J$6="",ISNUMBER(SEARCH(BUSCAR!$J$6,$AI469))),OR(BUSCAR!$J$8="",ISNUMBER(SEARCH(BUSCAR!$J$8,$AI469))),OR(BUSCAR!$J$9="",ISNUMBER(SEARCH(BUSCAR!$J$9,$AI469))),OR(NOT(BUSCAR!$J$2),AND(ISNUMBER($AF469),$AF469&gt;=BUSCAR!$J$3,$AF469&lt;=BUSCAR!$J$4))),1,0))</f>
      </c>
      <c r="AH469" s="42">
        <f t="shared" si="21"/>
      </c>
      <c r="AI469" s="42">
        <f t="shared" si="22"/>
      </c>
    </row>
    <row r="470" spans="1:35" x14ac:dyDescent="0.2">
      <c r="A470" s="66">
        <f t="shared" si="23"/>
      </c>
      <c r="B470" s="4"/>
      <c r="C470" s="4"/>
      <c r="D470" s="4"/>
      <c r="E470" s="4"/>
      <c r="F470" s="32"/>
      <c r="G470" s="8"/>
      <c r="H470" s="9"/>
      <c r="I470" s="8"/>
      <c r="J470" s="10"/>
      <c r="K470" s="8"/>
      <c r="L470" s="8"/>
      <c r="M470" s="8"/>
      <c r="N470" s="11"/>
      <c r="O470" s="9"/>
      <c r="P470" s="12"/>
      <c r="Q470" s="9"/>
      <c r="R470" s="13"/>
      <c r="S470" s="11"/>
      <c r="T470" s="11"/>
      <c r="U470" s="9"/>
      <c r="V470" s="9"/>
      <c r="W470" s="9"/>
      <c r="X470" s="16"/>
      <c r="AF470" s="42">
        <f>IF(BUSCAR!$C$8="FECHA NAC.",$G470,IF(BUSCAR!$C$8="PASAPORTE EXPIRA",$J470,IF(BUSCAR!$C$8="LICENCIA EMISION",$L470,IF(BUSCAR!$C$8="LICENCIA EXPIRA",$M470,""))))</f>
      </c>
      <c r="AG470" s="42">
        <f>IF($B470&amp;$C470&amp;$D470&amp;$E470&amp;$H470="",0,IF(AND(OR(BUSCAR!$J$5="",ISNUMBER(SEARCH(BUSCAR!$J$5,$AI470))),OR(BUSCAR!$J$6="",ISNUMBER(SEARCH(BUSCAR!$J$6,$AI470))),OR(BUSCAR!$J$8="",ISNUMBER(SEARCH(BUSCAR!$J$8,$AI470))),OR(BUSCAR!$J$9="",ISNUMBER(SEARCH(BUSCAR!$J$9,$AI470))),OR(NOT(BUSCAR!$J$2),AND(ISNUMBER($AF470),$AF470&gt;=BUSCAR!$J$3,$AF470&lt;=BUSCAR!$J$4))),1,0))</f>
      </c>
      <c r="AH470" s="42">
        <f t="shared" si="21"/>
      </c>
      <c r="AI470" s="42">
        <f t="shared" si="22"/>
      </c>
    </row>
    <row r="471" spans="1:35" x14ac:dyDescent="0.2">
      <c r="A471" s="66">
        <f t="shared" si="23"/>
      </c>
      <c r="B471" s="4"/>
      <c r="C471" s="4"/>
      <c r="D471" s="4"/>
      <c r="E471" s="4"/>
      <c r="F471" s="32"/>
      <c r="G471" s="8"/>
      <c r="H471" s="9"/>
      <c r="I471" s="8"/>
      <c r="J471" s="10"/>
      <c r="K471" s="8"/>
      <c r="L471" s="8"/>
      <c r="M471" s="8"/>
      <c r="N471" s="11"/>
      <c r="O471" s="9"/>
      <c r="P471" s="12"/>
      <c r="Q471" s="9"/>
      <c r="R471" s="13"/>
      <c r="S471" s="11"/>
      <c r="T471" s="11"/>
      <c r="U471" s="9"/>
      <c r="V471" s="9"/>
      <c r="W471" s="9"/>
      <c r="X471" s="16"/>
      <c r="AF471" s="42">
        <f>IF(BUSCAR!$C$8="FECHA NAC.",$G471,IF(BUSCAR!$C$8="PASAPORTE EXPIRA",$J471,IF(BUSCAR!$C$8="LICENCIA EMISION",$L471,IF(BUSCAR!$C$8="LICENCIA EXPIRA",$M471,""))))</f>
      </c>
      <c r="AG471" s="42">
        <f>IF($B471&amp;$C471&amp;$D471&amp;$E471&amp;$H471="",0,IF(AND(OR(BUSCAR!$J$5="",ISNUMBER(SEARCH(BUSCAR!$J$5,$AI471))),OR(BUSCAR!$J$6="",ISNUMBER(SEARCH(BUSCAR!$J$6,$AI471))),OR(BUSCAR!$J$8="",ISNUMBER(SEARCH(BUSCAR!$J$8,$AI471))),OR(BUSCAR!$J$9="",ISNUMBER(SEARCH(BUSCAR!$J$9,$AI471))),OR(NOT(BUSCAR!$J$2),AND(ISNUMBER($AF471),$AF471&gt;=BUSCAR!$J$3,$AF471&lt;=BUSCAR!$J$4))),1,0))</f>
      </c>
      <c r="AH471" s="42">
        <f t="shared" si="21"/>
      </c>
      <c r="AI471" s="42">
        <f t="shared" si="22"/>
      </c>
    </row>
    <row r="472" spans="1:35" x14ac:dyDescent="0.2">
      <c r="A472" s="66">
        <f t="shared" si="23"/>
      </c>
      <c r="B472" s="4"/>
      <c r="C472" s="4"/>
      <c r="D472" s="4"/>
      <c r="E472" s="4"/>
      <c r="F472" s="32"/>
      <c r="G472" s="8"/>
      <c r="H472" s="9"/>
      <c r="I472" s="8"/>
      <c r="J472" s="10"/>
      <c r="K472" s="8"/>
      <c r="L472" s="8"/>
      <c r="M472" s="8"/>
      <c r="N472" s="11"/>
      <c r="O472" s="9"/>
      <c r="P472" s="12"/>
      <c r="Q472" s="9"/>
      <c r="R472" s="13"/>
      <c r="S472" s="11"/>
      <c r="T472" s="11"/>
      <c r="U472" s="9"/>
      <c r="V472" s="9"/>
      <c r="W472" s="9"/>
      <c r="X472" s="16"/>
      <c r="AF472" s="42">
        <f>IF(BUSCAR!$C$8="FECHA NAC.",$G472,IF(BUSCAR!$C$8="PASAPORTE EXPIRA",$J472,IF(BUSCAR!$C$8="LICENCIA EMISION",$L472,IF(BUSCAR!$C$8="LICENCIA EXPIRA",$M472,""))))</f>
      </c>
      <c r="AG472" s="42">
        <f>IF($B472&amp;$C472&amp;$D472&amp;$E472&amp;$H472="",0,IF(AND(OR(BUSCAR!$J$5="",ISNUMBER(SEARCH(BUSCAR!$J$5,$AI472))),OR(BUSCAR!$J$6="",ISNUMBER(SEARCH(BUSCAR!$J$6,$AI472))),OR(BUSCAR!$J$8="",ISNUMBER(SEARCH(BUSCAR!$J$8,$AI472))),OR(BUSCAR!$J$9="",ISNUMBER(SEARCH(BUSCAR!$J$9,$AI472))),OR(NOT(BUSCAR!$J$2),AND(ISNUMBER($AF472),$AF472&gt;=BUSCAR!$J$3,$AF472&lt;=BUSCAR!$J$4))),1,0))</f>
      </c>
      <c r="AH472" s="42">
        <f t="shared" si="21"/>
      </c>
      <c r="AI472" s="42">
        <f t="shared" si="22"/>
      </c>
    </row>
    <row r="473" spans="1:35" x14ac:dyDescent="0.2">
      <c r="A473" s="66">
        <f t="shared" si="23"/>
      </c>
      <c r="B473" s="4"/>
      <c r="C473" s="4"/>
      <c r="D473" s="4"/>
      <c r="E473" s="4"/>
      <c r="F473" s="32"/>
      <c r="G473" s="8"/>
      <c r="H473" s="9"/>
      <c r="I473" s="8"/>
      <c r="J473" s="10"/>
      <c r="K473" s="8"/>
      <c r="L473" s="8"/>
      <c r="M473" s="8"/>
      <c r="N473" s="11"/>
      <c r="O473" s="9"/>
      <c r="P473" s="12"/>
      <c r="Q473" s="9"/>
      <c r="R473" s="13"/>
      <c r="S473" s="11"/>
      <c r="T473" s="11"/>
      <c r="U473" s="9"/>
      <c r="V473" s="9"/>
      <c r="W473" s="9"/>
      <c r="X473" s="16"/>
      <c r="AF473" s="42">
        <f>IF(BUSCAR!$C$8="FECHA NAC.",$G473,IF(BUSCAR!$C$8="PASAPORTE EXPIRA",$J473,IF(BUSCAR!$C$8="LICENCIA EMISION",$L473,IF(BUSCAR!$C$8="LICENCIA EXPIRA",$M473,""))))</f>
      </c>
      <c r="AG473" s="42">
        <f>IF($B473&amp;$C473&amp;$D473&amp;$E473&amp;$H473="",0,IF(AND(OR(BUSCAR!$J$5="",ISNUMBER(SEARCH(BUSCAR!$J$5,$AI473))),OR(BUSCAR!$J$6="",ISNUMBER(SEARCH(BUSCAR!$J$6,$AI473))),OR(BUSCAR!$J$8="",ISNUMBER(SEARCH(BUSCAR!$J$8,$AI473))),OR(BUSCAR!$J$9="",ISNUMBER(SEARCH(BUSCAR!$J$9,$AI473))),OR(NOT(BUSCAR!$J$2),AND(ISNUMBER($AF473),$AF473&gt;=BUSCAR!$J$3,$AF473&lt;=BUSCAR!$J$4))),1,0))</f>
      </c>
      <c r="AH473" s="42">
        <f t="shared" si="21"/>
      </c>
      <c r="AI473" s="42">
        <f t="shared" si="22"/>
      </c>
    </row>
    <row r="474" spans="1:35" x14ac:dyDescent="0.2">
      <c r="A474" s="66">
        <f t="shared" si="23"/>
      </c>
      <c r="B474" s="4"/>
      <c r="C474" s="4"/>
      <c r="D474" s="4"/>
      <c r="E474" s="4"/>
      <c r="F474" s="32"/>
      <c r="G474" s="8"/>
      <c r="H474" s="9"/>
      <c r="I474" s="8"/>
      <c r="J474" s="10"/>
      <c r="K474" s="8"/>
      <c r="L474" s="8"/>
      <c r="M474" s="8"/>
      <c r="N474" s="11"/>
      <c r="O474" s="9"/>
      <c r="P474" s="12"/>
      <c r="Q474" s="9"/>
      <c r="R474" s="13"/>
      <c r="S474" s="11"/>
      <c r="T474" s="11"/>
      <c r="U474" s="9"/>
      <c r="V474" s="9"/>
      <c r="W474" s="9"/>
      <c r="X474" s="16"/>
      <c r="AF474" s="42">
        <f>IF(BUSCAR!$C$8="FECHA NAC.",$G474,IF(BUSCAR!$C$8="PASAPORTE EXPIRA",$J474,IF(BUSCAR!$C$8="LICENCIA EMISION",$L474,IF(BUSCAR!$C$8="LICENCIA EXPIRA",$M474,""))))</f>
      </c>
      <c r="AG474" s="42">
        <f>IF($B474&amp;$C474&amp;$D474&amp;$E474&amp;$H474="",0,IF(AND(OR(BUSCAR!$J$5="",ISNUMBER(SEARCH(BUSCAR!$J$5,$AI474))),OR(BUSCAR!$J$6="",ISNUMBER(SEARCH(BUSCAR!$J$6,$AI474))),OR(BUSCAR!$J$8="",ISNUMBER(SEARCH(BUSCAR!$J$8,$AI474))),OR(BUSCAR!$J$9="",ISNUMBER(SEARCH(BUSCAR!$J$9,$AI474))),OR(NOT(BUSCAR!$J$2),AND(ISNUMBER($AF474),$AF474&gt;=BUSCAR!$J$3,$AF474&lt;=BUSCAR!$J$4))),1,0))</f>
      </c>
      <c r="AH474" s="42">
        <f t="shared" si="21"/>
      </c>
      <c r="AI474" s="42">
        <f t="shared" si="22"/>
      </c>
    </row>
    <row r="475" spans="1:35" x14ac:dyDescent="0.2">
      <c r="A475" s="66">
        <f t="shared" si="23"/>
      </c>
      <c r="B475" s="4"/>
      <c r="C475" s="4"/>
      <c r="D475" s="4"/>
      <c r="E475" s="4"/>
      <c r="F475" s="32"/>
      <c r="G475" s="8"/>
      <c r="H475" s="9"/>
      <c r="I475" s="8"/>
      <c r="J475" s="10"/>
      <c r="K475" s="8"/>
      <c r="L475" s="8"/>
      <c r="M475" s="8"/>
      <c r="N475" s="11"/>
      <c r="O475" s="9"/>
      <c r="P475" s="12"/>
      <c r="Q475" s="9"/>
      <c r="R475" s="13"/>
      <c r="S475" s="11"/>
      <c r="T475" s="11"/>
      <c r="U475" s="9"/>
      <c r="V475" s="9"/>
      <c r="W475" s="9"/>
      <c r="X475" s="16"/>
      <c r="AF475" s="42">
        <f>IF(BUSCAR!$C$8="FECHA NAC.",$G475,IF(BUSCAR!$C$8="PASAPORTE EXPIRA",$J475,IF(BUSCAR!$C$8="LICENCIA EMISION",$L475,IF(BUSCAR!$C$8="LICENCIA EXPIRA",$M475,""))))</f>
      </c>
      <c r="AG475" s="42">
        <f>IF($B475&amp;$C475&amp;$D475&amp;$E475&amp;$H475="",0,IF(AND(OR(BUSCAR!$J$5="",ISNUMBER(SEARCH(BUSCAR!$J$5,$AI475))),OR(BUSCAR!$J$6="",ISNUMBER(SEARCH(BUSCAR!$J$6,$AI475))),OR(BUSCAR!$J$8="",ISNUMBER(SEARCH(BUSCAR!$J$8,$AI475))),OR(BUSCAR!$J$9="",ISNUMBER(SEARCH(BUSCAR!$J$9,$AI475))),OR(NOT(BUSCAR!$J$2),AND(ISNUMBER($AF475),$AF475&gt;=BUSCAR!$J$3,$AF475&lt;=BUSCAR!$J$4))),1,0))</f>
      </c>
      <c r="AH475" s="42">
        <f t="shared" si="21"/>
      </c>
      <c r="AI475" s="42">
        <f t="shared" si="22"/>
      </c>
    </row>
    <row r="476" spans="1:35" x14ac:dyDescent="0.2">
      <c r="A476" s="66">
        <f t="shared" si="23"/>
      </c>
      <c r="B476" s="4"/>
      <c r="C476" s="4"/>
      <c r="D476" s="4"/>
      <c r="E476" s="4"/>
      <c r="F476" s="32"/>
      <c r="G476" s="8"/>
      <c r="H476" s="9"/>
      <c r="I476" s="8"/>
      <c r="J476" s="10"/>
      <c r="K476" s="8"/>
      <c r="L476" s="8"/>
      <c r="M476" s="8"/>
      <c r="N476" s="11"/>
      <c r="O476" s="9"/>
      <c r="P476" s="12"/>
      <c r="Q476" s="9"/>
      <c r="R476" s="13"/>
      <c r="S476" s="11"/>
      <c r="T476" s="11"/>
      <c r="U476" s="9"/>
      <c r="V476" s="9"/>
      <c r="W476" s="9"/>
      <c r="X476" s="16"/>
      <c r="AF476" s="42">
        <f>IF(BUSCAR!$C$8="FECHA NAC.",$G476,IF(BUSCAR!$C$8="PASAPORTE EXPIRA",$J476,IF(BUSCAR!$C$8="LICENCIA EMISION",$L476,IF(BUSCAR!$C$8="LICENCIA EXPIRA",$M476,""))))</f>
      </c>
      <c r="AG476" s="42">
        <f>IF($B476&amp;$C476&amp;$D476&amp;$E476&amp;$H476="",0,IF(AND(OR(BUSCAR!$J$5="",ISNUMBER(SEARCH(BUSCAR!$J$5,$AI476))),OR(BUSCAR!$J$6="",ISNUMBER(SEARCH(BUSCAR!$J$6,$AI476))),OR(BUSCAR!$J$8="",ISNUMBER(SEARCH(BUSCAR!$J$8,$AI476))),OR(BUSCAR!$J$9="",ISNUMBER(SEARCH(BUSCAR!$J$9,$AI476))),OR(NOT(BUSCAR!$J$2),AND(ISNUMBER($AF476),$AF476&gt;=BUSCAR!$J$3,$AF476&lt;=BUSCAR!$J$4))),1,0))</f>
      </c>
      <c r="AH476" s="42">
        <f t="shared" si="21"/>
      </c>
      <c r="AI476" s="42">
        <f t="shared" si="22"/>
      </c>
    </row>
    <row r="477" spans="1:35" x14ac:dyDescent="0.2">
      <c r="A477" s="66">
        <f t="shared" si="23"/>
      </c>
      <c r="B477" s="4"/>
      <c r="C477" s="4"/>
      <c r="D477" s="4"/>
      <c r="E477" s="4"/>
      <c r="F477" s="32"/>
      <c r="G477" s="8"/>
      <c r="H477" s="9"/>
      <c r="I477" s="8"/>
      <c r="J477" s="10"/>
      <c r="K477" s="8"/>
      <c r="L477" s="8"/>
      <c r="M477" s="8"/>
      <c r="N477" s="11"/>
      <c r="O477" s="9"/>
      <c r="P477" s="12"/>
      <c r="Q477" s="9"/>
      <c r="R477" s="13"/>
      <c r="S477" s="11"/>
      <c r="T477" s="11"/>
      <c r="U477" s="9"/>
      <c r="V477" s="9"/>
      <c r="W477" s="9"/>
      <c r="X477" s="16"/>
      <c r="AF477" s="42">
        <f>IF(BUSCAR!$C$8="FECHA NAC.",$G477,IF(BUSCAR!$C$8="PASAPORTE EXPIRA",$J477,IF(BUSCAR!$C$8="LICENCIA EMISION",$L477,IF(BUSCAR!$C$8="LICENCIA EXPIRA",$M477,""))))</f>
      </c>
      <c r="AG477" s="42">
        <f>IF($B477&amp;$C477&amp;$D477&amp;$E477&amp;$H477="",0,IF(AND(OR(BUSCAR!$J$5="",ISNUMBER(SEARCH(BUSCAR!$J$5,$AI477))),OR(BUSCAR!$J$6="",ISNUMBER(SEARCH(BUSCAR!$J$6,$AI477))),OR(BUSCAR!$J$8="",ISNUMBER(SEARCH(BUSCAR!$J$8,$AI477))),OR(BUSCAR!$J$9="",ISNUMBER(SEARCH(BUSCAR!$J$9,$AI477))),OR(NOT(BUSCAR!$J$2),AND(ISNUMBER($AF477),$AF477&gt;=BUSCAR!$J$3,$AF477&lt;=BUSCAR!$J$4))),1,0))</f>
      </c>
      <c r="AH477" s="42">
        <f t="shared" si="21"/>
      </c>
      <c r="AI477" s="42">
        <f t="shared" si="22"/>
      </c>
    </row>
    <row r="478" spans="1:35" x14ac:dyDescent="0.2">
      <c r="A478" s="66">
        <f t="shared" si="23"/>
      </c>
      <c r="B478" s="4"/>
      <c r="C478" s="4"/>
      <c r="D478" s="4"/>
      <c r="E478" s="4"/>
      <c r="F478" s="32"/>
      <c r="G478" s="8"/>
      <c r="H478" s="9"/>
      <c r="I478" s="8"/>
      <c r="J478" s="10"/>
      <c r="K478" s="8"/>
      <c r="L478" s="8"/>
      <c r="M478" s="8"/>
      <c r="N478" s="11"/>
      <c r="O478" s="9"/>
      <c r="P478" s="12"/>
      <c r="Q478" s="9"/>
      <c r="R478" s="13"/>
      <c r="S478" s="11"/>
      <c r="T478" s="11"/>
      <c r="U478" s="9"/>
      <c r="V478" s="9"/>
      <c r="W478" s="9"/>
      <c r="X478" s="16"/>
      <c r="AF478" s="42">
        <f>IF(BUSCAR!$C$8="FECHA NAC.",$G478,IF(BUSCAR!$C$8="PASAPORTE EXPIRA",$J478,IF(BUSCAR!$C$8="LICENCIA EMISION",$L478,IF(BUSCAR!$C$8="LICENCIA EXPIRA",$M478,""))))</f>
      </c>
      <c r="AG478" s="42">
        <f>IF($B478&amp;$C478&amp;$D478&amp;$E478&amp;$H478="",0,IF(AND(OR(BUSCAR!$J$5="",ISNUMBER(SEARCH(BUSCAR!$J$5,$AI478))),OR(BUSCAR!$J$6="",ISNUMBER(SEARCH(BUSCAR!$J$6,$AI478))),OR(BUSCAR!$J$8="",ISNUMBER(SEARCH(BUSCAR!$J$8,$AI478))),OR(BUSCAR!$J$9="",ISNUMBER(SEARCH(BUSCAR!$J$9,$AI478))),OR(NOT(BUSCAR!$J$2),AND(ISNUMBER($AF478),$AF478&gt;=BUSCAR!$J$3,$AF478&lt;=BUSCAR!$J$4))),1,0))</f>
      </c>
      <c r="AH478" s="42">
        <f t="shared" si="21"/>
      </c>
      <c r="AI478" s="42">
        <f t="shared" si="22"/>
      </c>
    </row>
    <row r="479" spans="1:35" x14ac:dyDescent="0.2">
      <c r="A479" s="66">
        <f t="shared" si="23"/>
      </c>
      <c r="B479" s="4"/>
      <c r="C479" s="4"/>
      <c r="D479" s="4"/>
      <c r="E479" s="4"/>
      <c r="F479" s="32"/>
      <c r="G479" s="8"/>
      <c r="H479" s="9"/>
      <c r="I479" s="8"/>
      <c r="J479" s="10"/>
      <c r="K479" s="8"/>
      <c r="L479" s="8"/>
      <c r="M479" s="8"/>
      <c r="N479" s="11"/>
      <c r="O479" s="9"/>
      <c r="P479" s="12"/>
      <c r="Q479" s="9"/>
      <c r="R479" s="13"/>
      <c r="S479" s="11"/>
      <c r="T479" s="11"/>
      <c r="U479" s="9"/>
      <c r="V479" s="9"/>
      <c r="W479" s="9"/>
      <c r="X479" s="16"/>
      <c r="AF479" s="42">
        <f>IF(BUSCAR!$C$8="FECHA NAC.",$G479,IF(BUSCAR!$C$8="PASAPORTE EXPIRA",$J479,IF(BUSCAR!$C$8="LICENCIA EMISION",$L479,IF(BUSCAR!$C$8="LICENCIA EXPIRA",$M479,""))))</f>
      </c>
      <c r="AG479" s="42">
        <f>IF($B479&amp;$C479&amp;$D479&amp;$E479&amp;$H479="",0,IF(AND(OR(BUSCAR!$J$5="",ISNUMBER(SEARCH(BUSCAR!$J$5,$AI479))),OR(BUSCAR!$J$6="",ISNUMBER(SEARCH(BUSCAR!$J$6,$AI479))),OR(BUSCAR!$J$8="",ISNUMBER(SEARCH(BUSCAR!$J$8,$AI479))),OR(BUSCAR!$J$9="",ISNUMBER(SEARCH(BUSCAR!$J$9,$AI479))),OR(NOT(BUSCAR!$J$2),AND(ISNUMBER($AF479),$AF479&gt;=BUSCAR!$J$3,$AF479&lt;=BUSCAR!$J$4))),1,0))</f>
      </c>
      <c r="AH479" s="42">
        <f t="shared" si="21"/>
      </c>
      <c r="AI479" s="42">
        <f t="shared" si="22"/>
      </c>
    </row>
    <row r="480" spans="1:35" x14ac:dyDescent="0.2">
      <c r="A480" s="66">
        <f t="shared" si="23"/>
      </c>
      <c r="B480" s="4"/>
      <c r="C480" s="4"/>
      <c r="D480" s="4"/>
      <c r="E480" s="4"/>
      <c r="F480" s="32"/>
      <c r="G480" s="8"/>
      <c r="H480" s="9"/>
      <c r="I480" s="8"/>
      <c r="J480" s="10"/>
      <c r="K480" s="8"/>
      <c r="L480" s="8"/>
      <c r="M480" s="8"/>
      <c r="N480" s="11"/>
      <c r="O480" s="9"/>
      <c r="P480" s="12"/>
      <c r="Q480" s="9"/>
      <c r="R480" s="13"/>
      <c r="S480" s="11"/>
      <c r="T480" s="11"/>
      <c r="U480" s="9"/>
      <c r="V480" s="9"/>
      <c r="W480" s="9"/>
      <c r="X480" s="16"/>
      <c r="AF480" s="42">
        <f>IF(BUSCAR!$C$8="FECHA NAC.",$G480,IF(BUSCAR!$C$8="PASAPORTE EXPIRA",$J480,IF(BUSCAR!$C$8="LICENCIA EMISION",$L480,IF(BUSCAR!$C$8="LICENCIA EXPIRA",$M480,""))))</f>
      </c>
      <c r="AG480" s="42">
        <f>IF($B480&amp;$C480&amp;$D480&amp;$E480&amp;$H480="",0,IF(AND(OR(BUSCAR!$J$5="",ISNUMBER(SEARCH(BUSCAR!$J$5,$AI480))),OR(BUSCAR!$J$6="",ISNUMBER(SEARCH(BUSCAR!$J$6,$AI480))),OR(BUSCAR!$J$8="",ISNUMBER(SEARCH(BUSCAR!$J$8,$AI480))),OR(BUSCAR!$J$9="",ISNUMBER(SEARCH(BUSCAR!$J$9,$AI480))),OR(NOT(BUSCAR!$J$2),AND(ISNUMBER($AF480),$AF480&gt;=BUSCAR!$J$3,$AF480&lt;=BUSCAR!$J$4))),1,0))</f>
      </c>
      <c r="AH480" s="42">
        <f t="shared" si="21"/>
      </c>
      <c r="AI480" s="42">
        <f t="shared" si="22"/>
      </c>
    </row>
    <row r="481" spans="1:35" x14ac:dyDescent="0.2">
      <c r="A481" s="66">
        <f t="shared" si="23"/>
      </c>
      <c r="B481" s="4"/>
      <c r="C481" s="4"/>
      <c r="D481" s="4"/>
      <c r="E481" s="4"/>
      <c r="F481" s="24"/>
      <c r="G481" s="8"/>
      <c r="H481" s="9"/>
      <c r="I481" s="8"/>
      <c r="J481" s="10"/>
      <c r="K481" s="8"/>
      <c r="L481" s="8"/>
      <c r="M481" s="8"/>
      <c r="N481" s="11"/>
      <c r="O481" s="9"/>
      <c r="P481" s="12"/>
      <c r="Q481" s="9"/>
      <c r="R481" s="13"/>
      <c r="S481" s="11"/>
      <c r="T481" s="11"/>
      <c r="U481" s="9"/>
      <c r="V481" s="9"/>
      <c r="W481" s="9"/>
      <c r="X481" s="16"/>
      <c r="AF481" s="42">
        <f>IF(BUSCAR!$C$8="FECHA NAC.",$G481,IF(BUSCAR!$C$8="PASAPORTE EXPIRA",$J481,IF(BUSCAR!$C$8="LICENCIA EMISION",$L481,IF(BUSCAR!$C$8="LICENCIA EXPIRA",$M481,""))))</f>
      </c>
      <c r="AG481" s="42">
        <f>IF($B481&amp;$C481&amp;$D481&amp;$E481&amp;$H481="",0,IF(AND(OR(BUSCAR!$J$5="",ISNUMBER(SEARCH(BUSCAR!$J$5,$AI481))),OR(BUSCAR!$J$6="",ISNUMBER(SEARCH(BUSCAR!$J$6,$AI481))),OR(BUSCAR!$J$8="",ISNUMBER(SEARCH(BUSCAR!$J$8,$AI481))),OR(BUSCAR!$J$9="",ISNUMBER(SEARCH(BUSCAR!$J$9,$AI481))),OR(NOT(BUSCAR!$J$2),AND(ISNUMBER($AF481),$AF481&gt;=BUSCAR!$J$3,$AF481&lt;=BUSCAR!$J$4))),1,0))</f>
      </c>
      <c r="AH481" s="42">
        <f t="shared" si="21"/>
      </c>
      <c r="AI481" s="42">
        <f t="shared" si="22"/>
      </c>
    </row>
    <row r="482" spans="1:35" x14ac:dyDescent="0.2">
      <c r="A482" s="66">
        <f t="shared" si="23"/>
      </c>
      <c r="B482" s="4"/>
      <c r="C482" s="4"/>
      <c r="D482" s="4"/>
      <c r="E482" s="4"/>
      <c r="F482" s="32"/>
      <c r="G482" s="8"/>
      <c r="H482" s="9"/>
      <c r="I482" s="8"/>
      <c r="J482" s="10"/>
      <c r="K482" s="8"/>
      <c r="L482" s="8"/>
      <c r="M482" s="8"/>
      <c r="N482" s="11"/>
      <c r="O482" s="9"/>
      <c r="P482" s="12"/>
      <c r="Q482" s="9"/>
      <c r="R482" s="13"/>
      <c r="S482" s="11"/>
      <c r="T482" s="11"/>
      <c r="U482" s="9"/>
      <c r="V482" s="9"/>
      <c r="W482" s="9"/>
      <c r="X482" s="16"/>
      <c r="AF482" s="42">
        <f>IF(BUSCAR!$C$8="FECHA NAC.",$G482,IF(BUSCAR!$C$8="PASAPORTE EXPIRA",$J482,IF(BUSCAR!$C$8="LICENCIA EMISION",$L482,IF(BUSCAR!$C$8="LICENCIA EXPIRA",$M482,""))))</f>
      </c>
      <c r="AG482" s="42">
        <f>IF($B482&amp;$C482&amp;$D482&amp;$E482&amp;$H482="",0,IF(AND(OR(BUSCAR!$J$5="",ISNUMBER(SEARCH(BUSCAR!$J$5,$AI482))),OR(BUSCAR!$J$6="",ISNUMBER(SEARCH(BUSCAR!$J$6,$AI482))),OR(BUSCAR!$J$8="",ISNUMBER(SEARCH(BUSCAR!$J$8,$AI482))),OR(BUSCAR!$J$9="",ISNUMBER(SEARCH(BUSCAR!$J$9,$AI482))),OR(NOT(BUSCAR!$J$2),AND(ISNUMBER($AF482),$AF482&gt;=BUSCAR!$J$3,$AF482&lt;=BUSCAR!$J$4))),1,0))</f>
      </c>
      <c r="AH482" s="42">
        <f t="shared" si="21"/>
      </c>
      <c r="AI482" s="42">
        <f t="shared" si="22"/>
      </c>
    </row>
    <row r="483" spans="1:35" x14ac:dyDescent="0.2">
      <c r="A483" s="66">
        <f t="shared" si="23"/>
      </c>
      <c r="B483" s="4"/>
      <c r="C483" s="4"/>
      <c r="D483" s="4"/>
      <c r="E483" s="4"/>
      <c r="F483" s="32"/>
      <c r="G483" s="8"/>
      <c r="H483" s="9"/>
      <c r="I483" s="8"/>
      <c r="J483" s="10"/>
      <c r="K483" s="8"/>
      <c r="L483" s="8"/>
      <c r="M483" s="8"/>
      <c r="N483" s="11"/>
      <c r="O483" s="9"/>
      <c r="P483" s="12"/>
      <c r="Q483" s="9"/>
      <c r="R483" s="13"/>
      <c r="S483" s="11"/>
      <c r="T483" s="11"/>
      <c r="U483" s="9"/>
      <c r="V483" s="9"/>
      <c r="W483" s="9"/>
      <c r="X483" s="16"/>
      <c r="AF483" s="42">
        <f>IF(BUSCAR!$C$8="FECHA NAC.",$G483,IF(BUSCAR!$C$8="PASAPORTE EXPIRA",$J483,IF(BUSCAR!$C$8="LICENCIA EMISION",$L483,IF(BUSCAR!$C$8="LICENCIA EXPIRA",$M483,""))))</f>
      </c>
      <c r="AG483" s="42">
        <f>IF($B483&amp;$C483&amp;$D483&amp;$E483&amp;$H483="",0,IF(AND(OR(BUSCAR!$J$5="",ISNUMBER(SEARCH(BUSCAR!$J$5,$AI483))),OR(BUSCAR!$J$6="",ISNUMBER(SEARCH(BUSCAR!$J$6,$AI483))),OR(BUSCAR!$J$8="",ISNUMBER(SEARCH(BUSCAR!$J$8,$AI483))),OR(BUSCAR!$J$9="",ISNUMBER(SEARCH(BUSCAR!$J$9,$AI483))),OR(NOT(BUSCAR!$J$2),AND(ISNUMBER($AF483),$AF483&gt;=BUSCAR!$J$3,$AF483&lt;=BUSCAR!$J$4))),1,0))</f>
      </c>
      <c r="AH483" s="42">
        <f t="shared" si="21"/>
      </c>
      <c r="AI483" s="42">
        <f t="shared" si="22"/>
      </c>
    </row>
    <row r="484" spans="1:35" x14ac:dyDescent="0.2">
      <c r="A484" s="66">
        <f t="shared" si="23"/>
      </c>
      <c r="B484" s="4"/>
      <c r="C484" s="4"/>
      <c r="D484" s="4"/>
      <c r="E484" s="4"/>
      <c r="F484" s="32"/>
      <c r="G484" s="8"/>
      <c r="H484" s="9"/>
      <c r="I484" s="8"/>
      <c r="J484" s="10"/>
      <c r="K484" s="8"/>
      <c r="L484" s="8"/>
      <c r="M484" s="8"/>
      <c r="N484" s="11"/>
      <c r="O484" s="9"/>
      <c r="P484" s="12"/>
      <c r="Q484" s="9"/>
      <c r="R484" s="13"/>
      <c r="S484" s="11"/>
      <c r="T484" s="11"/>
      <c r="U484" s="9"/>
      <c r="V484" s="9"/>
      <c r="W484" s="9"/>
      <c r="X484" s="16"/>
      <c r="AF484" s="42">
        <f>IF(BUSCAR!$C$8="FECHA NAC.",$G484,IF(BUSCAR!$C$8="PASAPORTE EXPIRA",$J484,IF(BUSCAR!$C$8="LICENCIA EMISION",$L484,IF(BUSCAR!$C$8="LICENCIA EXPIRA",$M484,""))))</f>
      </c>
      <c r="AG484" s="42">
        <f>IF($B484&amp;$C484&amp;$D484&amp;$E484&amp;$H484="",0,IF(AND(OR(BUSCAR!$J$5="",ISNUMBER(SEARCH(BUSCAR!$J$5,$AI484))),OR(BUSCAR!$J$6="",ISNUMBER(SEARCH(BUSCAR!$J$6,$AI484))),OR(BUSCAR!$J$8="",ISNUMBER(SEARCH(BUSCAR!$J$8,$AI484))),OR(BUSCAR!$J$9="",ISNUMBER(SEARCH(BUSCAR!$J$9,$AI484))),OR(NOT(BUSCAR!$J$2),AND(ISNUMBER($AF484),$AF484&gt;=BUSCAR!$J$3,$AF484&lt;=BUSCAR!$J$4))),1,0))</f>
      </c>
      <c r="AH484" s="42">
        <f t="shared" si="21"/>
      </c>
      <c r="AI484" s="42">
        <f t="shared" si="22"/>
      </c>
    </row>
    <row r="485" spans="1:35" x14ac:dyDescent="0.2">
      <c r="A485" s="66">
        <f t="shared" si="23"/>
      </c>
      <c r="B485" s="4"/>
      <c r="C485" s="4"/>
      <c r="D485" s="4"/>
      <c r="E485" s="4"/>
      <c r="F485" s="32"/>
      <c r="G485" s="8"/>
      <c r="H485" s="9"/>
      <c r="I485" s="8"/>
      <c r="J485" s="10"/>
      <c r="K485" s="8"/>
      <c r="L485" s="8"/>
      <c r="M485" s="8"/>
      <c r="N485" s="11"/>
      <c r="O485" s="9"/>
      <c r="P485" s="12"/>
      <c r="Q485" s="9"/>
      <c r="R485" s="13"/>
      <c r="S485" s="11"/>
      <c r="T485" s="11"/>
      <c r="U485" s="9"/>
      <c r="V485" s="9"/>
      <c r="W485" s="9"/>
      <c r="X485" s="16"/>
      <c r="AF485" s="42">
        <f>IF(BUSCAR!$C$8="FECHA NAC.",$G485,IF(BUSCAR!$C$8="PASAPORTE EXPIRA",$J485,IF(BUSCAR!$C$8="LICENCIA EMISION",$L485,IF(BUSCAR!$C$8="LICENCIA EXPIRA",$M485,""))))</f>
      </c>
      <c r="AG485" s="42">
        <f>IF($B485&amp;$C485&amp;$D485&amp;$E485&amp;$H485="",0,IF(AND(OR(BUSCAR!$J$5="",ISNUMBER(SEARCH(BUSCAR!$J$5,$AI485))),OR(BUSCAR!$J$6="",ISNUMBER(SEARCH(BUSCAR!$J$6,$AI485))),OR(BUSCAR!$J$8="",ISNUMBER(SEARCH(BUSCAR!$J$8,$AI485))),OR(BUSCAR!$J$9="",ISNUMBER(SEARCH(BUSCAR!$J$9,$AI485))),OR(NOT(BUSCAR!$J$2),AND(ISNUMBER($AF485),$AF485&gt;=BUSCAR!$J$3,$AF485&lt;=BUSCAR!$J$4))),1,0))</f>
      </c>
      <c r="AH485" s="42">
        <f t="shared" si="21"/>
      </c>
      <c r="AI485" s="42">
        <f t="shared" si="22"/>
      </c>
    </row>
    <row r="486" spans="1:35" x14ac:dyDescent="0.2">
      <c r="A486" s="66">
        <f t="shared" si="23"/>
      </c>
      <c r="B486" s="4"/>
      <c r="C486" s="4"/>
      <c r="D486" s="4"/>
      <c r="E486" s="4"/>
      <c r="F486" s="32"/>
      <c r="G486" s="8"/>
      <c r="H486" s="9"/>
      <c r="I486" s="8"/>
      <c r="J486" s="10"/>
      <c r="K486" s="8"/>
      <c r="L486" s="8"/>
      <c r="M486" s="8"/>
      <c r="N486" s="11"/>
      <c r="O486" s="9"/>
      <c r="P486" s="12"/>
      <c r="Q486" s="9"/>
      <c r="R486" s="13"/>
      <c r="S486" s="11"/>
      <c r="T486" s="11"/>
      <c r="U486" s="9"/>
      <c r="V486" s="9"/>
      <c r="W486" s="9"/>
      <c r="X486" s="16"/>
      <c r="AF486" s="42">
        <f>IF(BUSCAR!$C$8="FECHA NAC.",$G486,IF(BUSCAR!$C$8="PASAPORTE EXPIRA",$J486,IF(BUSCAR!$C$8="LICENCIA EMISION",$L486,IF(BUSCAR!$C$8="LICENCIA EXPIRA",$M486,""))))</f>
      </c>
      <c r="AG486" s="42">
        <f>IF($B486&amp;$C486&amp;$D486&amp;$E486&amp;$H486="",0,IF(AND(OR(BUSCAR!$J$5="",ISNUMBER(SEARCH(BUSCAR!$J$5,$AI486))),OR(BUSCAR!$J$6="",ISNUMBER(SEARCH(BUSCAR!$J$6,$AI486))),OR(BUSCAR!$J$8="",ISNUMBER(SEARCH(BUSCAR!$J$8,$AI486))),OR(BUSCAR!$J$9="",ISNUMBER(SEARCH(BUSCAR!$J$9,$AI486))),OR(NOT(BUSCAR!$J$2),AND(ISNUMBER($AF486),$AF486&gt;=BUSCAR!$J$3,$AF486&lt;=BUSCAR!$J$4))),1,0))</f>
      </c>
      <c r="AH486" s="42">
        <f t="shared" si="21"/>
      </c>
      <c r="AI486" s="42">
        <f t="shared" si="22"/>
      </c>
    </row>
    <row r="487" spans="1:35" x14ac:dyDescent="0.2">
      <c r="A487" s="66">
        <f t="shared" si="23"/>
      </c>
      <c r="B487" s="4"/>
      <c r="C487" s="4"/>
      <c r="D487" s="4"/>
      <c r="E487" s="4"/>
      <c r="F487" s="32"/>
      <c r="G487" s="8"/>
      <c r="H487" s="9"/>
      <c r="I487" s="8"/>
      <c r="J487" s="10"/>
      <c r="K487" s="8"/>
      <c r="L487" s="8"/>
      <c r="M487" s="8"/>
      <c r="N487" s="11"/>
      <c r="O487" s="9"/>
      <c r="P487" s="12"/>
      <c r="Q487" s="9"/>
      <c r="R487" s="13"/>
      <c r="S487" s="11"/>
      <c r="T487" s="11"/>
      <c r="U487" s="9"/>
      <c r="V487" s="9"/>
      <c r="W487" s="9"/>
      <c r="X487" s="16"/>
      <c r="AF487" s="42">
        <f>IF(BUSCAR!$C$8="FECHA NAC.",$G487,IF(BUSCAR!$C$8="PASAPORTE EXPIRA",$J487,IF(BUSCAR!$C$8="LICENCIA EMISION",$L487,IF(BUSCAR!$C$8="LICENCIA EXPIRA",$M487,""))))</f>
      </c>
      <c r="AG487" s="42">
        <f>IF($B487&amp;$C487&amp;$D487&amp;$E487&amp;$H487="",0,IF(AND(OR(BUSCAR!$J$5="",ISNUMBER(SEARCH(BUSCAR!$J$5,$AI487))),OR(BUSCAR!$J$6="",ISNUMBER(SEARCH(BUSCAR!$J$6,$AI487))),OR(BUSCAR!$J$8="",ISNUMBER(SEARCH(BUSCAR!$J$8,$AI487))),OR(BUSCAR!$J$9="",ISNUMBER(SEARCH(BUSCAR!$J$9,$AI487))),OR(NOT(BUSCAR!$J$2),AND(ISNUMBER($AF487),$AF487&gt;=BUSCAR!$J$3,$AF487&lt;=BUSCAR!$J$4))),1,0))</f>
      </c>
      <c r="AH487" s="42">
        <f t="shared" si="21"/>
      </c>
      <c r="AI487" s="42">
        <f t="shared" si="22"/>
      </c>
    </row>
    <row r="488" spans="1:35" x14ac:dyDescent="0.2">
      <c r="A488" s="66">
        <f t="shared" si="23"/>
      </c>
      <c r="B488" s="4"/>
      <c r="C488" s="4"/>
      <c r="D488" s="4"/>
      <c r="E488" s="4"/>
      <c r="F488" s="32"/>
      <c r="G488" s="8"/>
      <c r="H488" s="9"/>
      <c r="I488" s="8"/>
      <c r="J488" s="10"/>
      <c r="K488" s="8"/>
      <c r="L488" s="8"/>
      <c r="M488" s="8"/>
      <c r="N488" s="11"/>
      <c r="O488" s="9"/>
      <c r="P488" s="12"/>
      <c r="Q488" s="9"/>
      <c r="R488" s="13"/>
      <c r="S488" s="11"/>
      <c r="T488" s="11"/>
      <c r="U488" s="9"/>
      <c r="V488" s="9"/>
      <c r="W488" s="9"/>
      <c r="X488" s="16"/>
      <c r="AF488" s="42">
        <f>IF(BUSCAR!$C$8="FECHA NAC.",$G488,IF(BUSCAR!$C$8="PASAPORTE EXPIRA",$J488,IF(BUSCAR!$C$8="LICENCIA EMISION",$L488,IF(BUSCAR!$C$8="LICENCIA EXPIRA",$M488,""))))</f>
      </c>
      <c r="AG488" s="42">
        <f>IF($B488&amp;$C488&amp;$D488&amp;$E488&amp;$H488="",0,IF(AND(OR(BUSCAR!$J$5="",ISNUMBER(SEARCH(BUSCAR!$J$5,$AI488))),OR(BUSCAR!$J$6="",ISNUMBER(SEARCH(BUSCAR!$J$6,$AI488))),OR(BUSCAR!$J$8="",ISNUMBER(SEARCH(BUSCAR!$J$8,$AI488))),OR(BUSCAR!$J$9="",ISNUMBER(SEARCH(BUSCAR!$J$9,$AI488))),OR(NOT(BUSCAR!$J$2),AND(ISNUMBER($AF488),$AF488&gt;=BUSCAR!$J$3,$AF488&lt;=BUSCAR!$J$4))),1,0))</f>
      </c>
      <c r="AH488" s="42">
        <f t="shared" si="21"/>
      </c>
      <c r="AI488" s="42">
        <f t="shared" si="22"/>
      </c>
    </row>
    <row r="489" spans="1:35" x14ac:dyDescent="0.2">
      <c r="A489" s="66">
        <f t="shared" si="23"/>
      </c>
      <c r="B489" s="4"/>
      <c r="C489" s="4"/>
      <c r="D489" s="4"/>
      <c r="E489" s="4"/>
      <c r="F489" s="32"/>
      <c r="G489" s="8"/>
      <c r="H489" s="9"/>
      <c r="I489" s="8"/>
      <c r="J489" s="10"/>
      <c r="K489" s="8"/>
      <c r="L489" s="8"/>
      <c r="M489" s="8"/>
      <c r="N489" s="11"/>
      <c r="O489" s="9"/>
      <c r="P489" s="12"/>
      <c r="Q489" s="9"/>
      <c r="R489" s="13"/>
      <c r="S489" s="11"/>
      <c r="T489" s="11"/>
      <c r="U489" s="9"/>
      <c r="V489" s="9"/>
      <c r="W489" s="9"/>
      <c r="X489" s="16"/>
      <c r="AF489" s="42">
        <f>IF(BUSCAR!$C$8="FECHA NAC.",$G489,IF(BUSCAR!$C$8="PASAPORTE EXPIRA",$J489,IF(BUSCAR!$C$8="LICENCIA EMISION",$L489,IF(BUSCAR!$C$8="LICENCIA EXPIRA",$M489,""))))</f>
      </c>
      <c r="AG489" s="42">
        <f>IF($B489&amp;$C489&amp;$D489&amp;$E489&amp;$H489="",0,IF(AND(OR(BUSCAR!$J$5="",ISNUMBER(SEARCH(BUSCAR!$J$5,$AI489))),OR(BUSCAR!$J$6="",ISNUMBER(SEARCH(BUSCAR!$J$6,$AI489))),OR(BUSCAR!$J$8="",ISNUMBER(SEARCH(BUSCAR!$J$8,$AI489))),OR(BUSCAR!$J$9="",ISNUMBER(SEARCH(BUSCAR!$J$9,$AI489))),OR(NOT(BUSCAR!$J$2),AND(ISNUMBER($AF489),$AF489&gt;=BUSCAR!$J$3,$AF489&lt;=BUSCAR!$J$4))),1,0))</f>
      </c>
      <c r="AH489" s="42">
        <f t="shared" si="21"/>
      </c>
      <c r="AI489" s="42">
        <f t="shared" si="22"/>
      </c>
    </row>
    <row r="490" spans="1:35" x14ac:dyDescent="0.2">
      <c r="A490" s="66">
        <f t="shared" si="23"/>
      </c>
      <c r="B490" s="4"/>
      <c r="C490" s="4"/>
      <c r="D490" s="4"/>
      <c r="E490" s="4"/>
      <c r="F490" s="32"/>
      <c r="G490" s="8"/>
      <c r="H490" s="9"/>
      <c r="I490" s="8"/>
      <c r="J490" s="10"/>
      <c r="K490" s="8"/>
      <c r="L490" s="8"/>
      <c r="M490" s="8"/>
      <c r="N490" s="11"/>
      <c r="O490" s="9"/>
      <c r="P490" s="12"/>
      <c r="Q490" s="9"/>
      <c r="R490" s="13"/>
      <c r="S490" s="11"/>
      <c r="T490" s="11"/>
      <c r="U490" s="9"/>
      <c r="V490" s="9"/>
      <c r="W490" s="9"/>
      <c r="X490" s="16"/>
      <c r="AF490" s="42">
        <f>IF(BUSCAR!$C$8="FECHA NAC.",$G490,IF(BUSCAR!$C$8="PASAPORTE EXPIRA",$J490,IF(BUSCAR!$C$8="LICENCIA EMISION",$L490,IF(BUSCAR!$C$8="LICENCIA EXPIRA",$M490,""))))</f>
      </c>
      <c r="AG490" s="42">
        <f>IF($B490&amp;$C490&amp;$D490&amp;$E490&amp;$H490="",0,IF(AND(OR(BUSCAR!$J$5="",ISNUMBER(SEARCH(BUSCAR!$J$5,$AI490))),OR(BUSCAR!$J$6="",ISNUMBER(SEARCH(BUSCAR!$J$6,$AI490))),OR(BUSCAR!$J$8="",ISNUMBER(SEARCH(BUSCAR!$J$8,$AI490))),OR(BUSCAR!$J$9="",ISNUMBER(SEARCH(BUSCAR!$J$9,$AI490))),OR(NOT(BUSCAR!$J$2),AND(ISNUMBER($AF490),$AF490&gt;=BUSCAR!$J$3,$AF490&lt;=BUSCAR!$J$4))),1,0))</f>
      </c>
      <c r="AH490" s="42">
        <f t="shared" si="21"/>
      </c>
      <c r="AI490" s="42">
        <f t="shared" si="22"/>
      </c>
    </row>
    <row r="491" spans="1:35" x14ac:dyDescent="0.2">
      <c r="A491" s="66">
        <f t="shared" si="23"/>
      </c>
      <c r="B491" s="4"/>
      <c r="C491" s="4"/>
      <c r="D491" s="4"/>
      <c r="E491" s="4"/>
      <c r="F491" s="32"/>
      <c r="G491" s="8"/>
      <c r="H491" s="9"/>
      <c r="I491" s="8"/>
      <c r="J491" s="10"/>
      <c r="K491" s="8"/>
      <c r="L491" s="8"/>
      <c r="M491" s="8"/>
      <c r="N491" s="11"/>
      <c r="O491" s="9"/>
      <c r="P491" s="12"/>
      <c r="Q491" s="9"/>
      <c r="R491" s="13"/>
      <c r="S491" s="11"/>
      <c r="T491" s="11"/>
      <c r="U491" s="9"/>
      <c r="V491" s="9"/>
      <c r="W491" s="9"/>
      <c r="X491" s="16"/>
      <c r="AF491" s="42">
        <f>IF(BUSCAR!$C$8="FECHA NAC.",$G491,IF(BUSCAR!$C$8="PASAPORTE EXPIRA",$J491,IF(BUSCAR!$C$8="LICENCIA EMISION",$L491,IF(BUSCAR!$C$8="LICENCIA EXPIRA",$M491,""))))</f>
      </c>
      <c r="AG491" s="42">
        <f>IF($B491&amp;$C491&amp;$D491&amp;$E491&amp;$H491="",0,IF(AND(OR(BUSCAR!$J$5="",ISNUMBER(SEARCH(BUSCAR!$J$5,$AI491))),OR(BUSCAR!$J$6="",ISNUMBER(SEARCH(BUSCAR!$J$6,$AI491))),OR(BUSCAR!$J$8="",ISNUMBER(SEARCH(BUSCAR!$J$8,$AI491))),OR(BUSCAR!$J$9="",ISNUMBER(SEARCH(BUSCAR!$J$9,$AI491))),OR(NOT(BUSCAR!$J$2),AND(ISNUMBER($AF491),$AF491&gt;=BUSCAR!$J$3,$AF491&lt;=BUSCAR!$J$4))),1,0))</f>
      </c>
      <c r="AH491" s="42">
        <f t="shared" si="21"/>
      </c>
      <c r="AI491" s="42">
        <f t="shared" si="22"/>
      </c>
    </row>
    <row r="492" spans="1:35" x14ac:dyDescent="0.2">
      <c r="A492" s="66">
        <f t="shared" si="23"/>
      </c>
      <c r="B492" s="4"/>
      <c r="C492" s="4"/>
      <c r="D492" s="4"/>
      <c r="E492" s="4"/>
      <c r="F492" s="32"/>
      <c r="G492" s="8"/>
      <c r="H492" s="9"/>
      <c r="I492" s="8"/>
      <c r="J492" s="10"/>
      <c r="K492" s="8"/>
      <c r="L492" s="8"/>
      <c r="M492" s="8"/>
      <c r="N492" s="11"/>
      <c r="O492" s="9"/>
      <c r="P492" s="12"/>
      <c r="Q492" s="9"/>
      <c r="R492" s="13"/>
      <c r="S492" s="11"/>
      <c r="T492" s="11"/>
      <c r="U492" s="9"/>
      <c r="V492" s="9"/>
      <c r="W492" s="9"/>
      <c r="X492" s="16"/>
      <c r="AF492" s="42">
        <f>IF(BUSCAR!$C$8="FECHA NAC.",$G492,IF(BUSCAR!$C$8="PASAPORTE EXPIRA",$J492,IF(BUSCAR!$C$8="LICENCIA EMISION",$L492,IF(BUSCAR!$C$8="LICENCIA EXPIRA",$M492,""))))</f>
      </c>
      <c r="AG492" s="42">
        <f>IF($B492&amp;$C492&amp;$D492&amp;$E492&amp;$H492="",0,IF(AND(OR(BUSCAR!$J$5="",ISNUMBER(SEARCH(BUSCAR!$J$5,$AI492))),OR(BUSCAR!$J$6="",ISNUMBER(SEARCH(BUSCAR!$J$6,$AI492))),OR(BUSCAR!$J$8="",ISNUMBER(SEARCH(BUSCAR!$J$8,$AI492))),OR(BUSCAR!$J$9="",ISNUMBER(SEARCH(BUSCAR!$J$9,$AI492))),OR(NOT(BUSCAR!$J$2),AND(ISNUMBER($AF492),$AF492&gt;=BUSCAR!$J$3,$AF492&lt;=BUSCAR!$J$4))),1,0))</f>
      </c>
      <c r="AH492" s="42">
        <f t="shared" si="21"/>
      </c>
      <c r="AI492" s="42">
        <f t="shared" si="22"/>
      </c>
    </row>
    <row r="493" spans="1:35" x14ac:dyDescent="0.2">
      <c r="A493" s="66">
        <f t="shared" si="23"/>
      </c>
      <c r="B493" s="4"/>
      <c r="C493" s="4"/>
      <c r="D493" s="4"/>
      <c r="E493" s="4"/>
      <c r="F493" s="32"/>
      <c r="G493" s="8"/>
      <c r="H493" s="9"/>
      <c r="I493" s="8"/>
      <c r="J493" s="10"/>
      <c r="K493" s="8"/>
      <c r="L493" s="8"/>
      <c r="M493" s="8"/>
      <c r="N493" s="11"/>
      <c r="O493" s="9"/>
      <c r="P493" s="12"/>
      <c r="Q493" s="9"/>
      <c r="R493" s="13"/>
      <c r="S493" s="11"/>
      <c r="T493" s="11"/>
      <c r="U493" s="9"/>
      <c r="V493" s="9"/>
      <c r="W493" s="9"/>
      <c r="X493" s="16"/>
      <c r="AF493" s="42">
        <f>IF(BUSCAR!$C$8="FECHA NAC.",$G493,IF(BUSCAR!$C$8="PASAPORTE EXPIRA",$J493,IF(BUSCAR!$C$8="LICENCIA EMISION",$L493,IF(BUSCAR!$C$8="LICENCIA EXPIRA",$M493,""))))</f>
      </c>
      <c r="AG493" s="42">
        <f>IF($B493&amp;$C493&amp;$D493&amp;$E493&amp;$H493="",0,IF(AND(OR(BUSCAR!$J$5="",ISNUMBER(SEARCH(BUSCAR!$J$5,$AI493))),OR(BUSCAR!$J$6="",ISNUMBER(SEARCH(BUSCAR!$J$6,$AI493))),OR(BUSCAR!$J$8="",ISNUMBER(SEARCH(BUSCAR!$J$8,$AI493))),OR(BUSCAR!$J$9="",ISNUMBER(SEARCH(BUSCAR!$J$9,$AI493))),OR(NOT(BUSCAR!$J$2),AND(ISNUMBER($AF493),$AF493&gt;=BUSCAR!$J$3,$AF493&lt;=BUSCAR!$J$4))),1,0))</f>
      </c>
      <c r="AH493" s="42">
        <f t="shared" si="21"/>
      </c>
      <c r="AI493" s="42">
        <f t="shared" si="22"/>
      </c>
    </row>
    <row r="494" spans="1:35" x14ac:dyDescent="0.2">
      <c r="A494" s="66">
        <f t="shared" si="23"/>
      </c>
      <c r="B494" s="4"/>
      <c r="C494" s="4"/>
      <c r="D494" s="4"/>
      <c r="E494" s="4"/>
      <c r="F494" s="32"/>
      <c r="G494" s="8"/>
      <c r="H494" s="9"/>
      <c r="I494" s="8"/>
      <c r="J494" s="10"/>
      <c r="K494" s="8"/>
      <c r="L494" s="8"/>
      <c r="M494" s="8"/>
      <c r="N494" s="11"/>
      <c r="O494" s="9"/>
      <c r="P494" s="12"/>
      <c r="Q494" s="9"/>
      <c r="R494" s="13"/>
      <c r="S494" s="11"/>
      <c r="T494" s="11"/>
      <c r="U494" s="9"/>
      <c r="V494" s="9"/>
      <c r="W494" s="9"/>
      <c r="X494" s="16"/>
      <c r="AF494" s="42">
        <f>IF(BUSCAR!$C$8="FECHA NAC.",$G494,IF(BUSCAR!$C$8="PASAPORTE EXPIRA",$J494,IF(BUSCAR!$C$8="LICENCIA EMISION",$L494,IF(BUSCAR!$C$8="LICENCIA EXPIRA",$M494,""))))</f>
      </c>
      <c r="AG494" s="42">
        <f>IF($B494&amp;$C494&amp;$D494&amp;$E494&amp;$H494="",0,IF(AND(OR(BUSCAR!$J$5="",ISNUMBER(SEARCH(BUSCAR!$J$5,$AI494))),OR(BUSCAR!$J$6="",ISNUMBER(SEARCH(BUSCAR!$J$6,$AI494))),OR(BUSCAR!$J$8="",ISNUMBER(SEARCH(BUSCAR!$J$8,$AI494))),OR(BUSCAR!$J$9="",ISNUMBER(SEARCH(BUSCAR!$J$9,$AI494))),OR(NOT(BUSCAR!$J$2),AND(ISNUMBER($AF494),$AF494&gt;=BUSCAR!$J$3,$AF494&lt;=BUSCAR!$J$4))),1,0))</f>
      </c>
      <c r="AH494" s="42">
        <f t="shared" si="21"/>
      </c>
      <c r="AI494" s="42">
        <f t="shared" si="22"/>
      </c>
    </row>
    <row r="495" spans="1:35" x14ac:dyDescent="0.2">
      <c r="A495" s="66">
        <f t="shared" si="23"/>
      </c>
      <c r="B495" s="4"/>
      <c r="C495" s="4"/>
      <c r="D495" s="4"/>
      <c r="E495" s="4"/>
      <c r="F495" s="32"/>
      <c r="G495" s="8"/>
      <c r="H495" s="9"/>
      <c r="I495" s="8"/>
      <c r="J495" s="10"/>
      <c r="K495" s="8"/>
      <c r="L495" s="8"/>
      <c r="M495" s="8"/>
      <c r="N495" s="11"/>
      <c r="O495" s="9"/>
      <c r="P495" s="12"/>
      <c r="Q495" s="9"/>
      <c r="R495" s="13"/>
      <c r="S495" s="11"/>
      <c r="T495" s="11"/>
      <c r="U495" s="9"/>
      <c r="V495" s="9"/>
      <c r="W495" s="9"/>
      <c r="X495" s="16"/>
      <c r="AF495" s="42">
        <f>IF(BUSCAR!$C$8="FECHA NAC.",$G495,IF(BUSCAR!$C$8="PASAPORTE EXPIRA",$J495,IF(BUSCAR!$C$8="LICENCIA EMISION",$L495,IF(BUSCAR!$C$8="LICENCIA EXPIRA",$M495,""))))</f>
      </c>
      <c r="AG495" s="42">
        <f>IF($B495&amp;$C495&amp;$D495&amp;$E495&amp;$H495="",0,IF(AND(OR(BUSCAR!$J$5="",ISNUMBER(SEARCH(BUSCAR!$J$5,$AI495))),OR(BUSCAR!$J$6="",ISNUMBER(SEARCH(BUSCAR!$J$6,$AI495))),OR(BUSCAR!$J$8="",ISNUMBER(SEARCH(BUSCAR!$J$8,$AI495))),OR(BUSCAR!$J$9="",ISNUMBER(SEARCH(BUSCAR!$J$9,$AI495))),OR(NOT(BUSCAR!$J$2),AND(ISNUMBER($AF495),$AF495&gt;=BUSCAR!$J$3,$AF495&lt;=BUSCAR!$J$4))),1,0))</f>
      </c>
      <c r="AH495" s="42">
        <f t="shared" si="21"/>
      </c>
      <c r="AI495" s="42">
        <f t="shared" si="22"/>
      </c>
    </row>
    <row r="496" spans="1:35" x14ac:dyDescent="0.2">
      <c r="A496" s="66">
        <f t="shared" si="23"/>
      </c>
      <c r="B496" s="4"/>
      <c r="C496" s="4"/>
      <c r="D496" s="4"/>
      <c r="E496" s="4"/>
      <c r="F496" s="32"/>
      <c r="G496" s="8"/>
      <c r="H496" s="9"/>
      <c r="I496" s="8"/>
      <c r="J496" s="10"/>
      <c r="K496" s="8"/>
      <c r="L496" s="8"/>
      <c r="M496" s="8"/>
      <c r="N496" s="11"/>
      <c r="O496" s="9"/>
      <c r="P496" s="12"/>
      <c r="Q496" s="9"/>
      <c r="R496" s="13"/>
      <c r="S496" s="11"/>
      <c r="T496" s="11"/>
      <c r="U496" s="9"/>
      <c r="V496" s="9"/>
      <c r="W496" s="9"/>
      <c r="X496" s="16"/>
      <c r="AF496" s="42">
        <f>IF(BUSCAR!$C$8="FECHA NAC.",$G496,IF(BUSCAR!$C$8="PASAPORTE EXPIRA",$J496,IF(BUSCAR!$C$8="LICENCIA EMISION",$L496,IF(BUSCAR!$C$8="LICENCIA EXPIRA",$M496,""))))</f>
      </c>
      <c r="AG496" s="42">
        <f>IF($B496&amp;$C496&amp;$D496&amp;$E496&amp;$H496="",0,IF(AND(OR(BUSCAR!$J$5="",ISNUMBER(SEARCH(BUSCAR!$J$5,$AI496))),OR(BUSCAR!$J$6="",ISNUMBER(SEARCH(BUSCAR!$J$6,$AI496))),OR(BUSCAR!$J$8="",ISNUMBER(SEARCH(BUSCAR!$J$8,$AI496))),OR(BUSCAR!$J$9="",ISNUMBER(SEARCH(BUSCAR!$J$9,$AI496))),OR(NOT(BUSCAR!$J$2),AND(ISNUMBER($AF496),$AF496&gt;=BUSCAR!$J$3,$AF496&lt;=BUSCAR!$J$4))),1,0))</f>
      </c>
      <c r="AH496" s="42">
        <f t="shared" si="21"/>
      </c>
      <c r="AI496" s="42">
        <f t="shared" si="22"/>
      </c>
    </row>
    <row r="497" spans="1:35" x14ac:dyDescent="0.2">
      <c r="A497" s="66">
        <f t="shared" si="23"/>
      </c>
      <c r="B497" s="4"/>
      <c r="C497" s="4"/>
      <c r="D497" s="4"/>
      <c r="E497" s="4"/>
      <c r="F497" s="32"/>
      <c r="G497" s="8"/>
      <c r="H497" s="9"/>
      <c r="I497" s="8"/>
      <c r="J497" s="10"/>
      <c r="K497" s="8"/>
      <c r="L497" s="8"/>
      <c r="M497" s="8"/>
      <c r="N497" s="11"/>
      <c r="O497" s="9"/>
      <c r="P497" s="12"/>
      <c r="Q497" s="9"/>
      <c r="R497" s="13"/>
      <c r="S497" s="11"/>
      <c r="T497" s="11"/>
      <c r="U497" s="9"/>
      <c r="V497" s="9"/>
      <c r="W497" s="9"/>
      <c r="X497" s="16"/>
      <c r="AF497" s="42">
        <f>IF(BUSCAR!$C$8="FECHA NAC.",$G497,IF(BUSCAR!$C$8="PASAPORTE EXPIRA",$J497,IF(BUSCAR!$C$8="LICENCIA EMISION",$L497,IF(BUSCAR!$C$8="LICENCIA EXPIRA",$M497,""))))</f>
      </c>
      <c r="AG497" s="42">
        <f>IF($B497&amp;$C497&amp;$D497&amp;$E497&amp;$H497="",0,IF(AND(OR(BUSCAR!$J$5="",ISNUMBER(SEARCH(BUSCAR!$J$5,$AI497))),OR(BUSCAR!$J$6="",ISNUMBER(SEARCH(BUSCAR!$J$6,$AI497))),OR(BUSCAR!$J$8="",ISNUMBER(SEARCH(BUSCAR!$J$8,$AI497))),OR(BUSCAR!$J$9="",ISNUMBER(SEARCH(BUSCAR!$J$9,$AI497))),OR(NOT(BUSCAR!$J$2),AND(ISNUMBER($AF497),$AF497&gt;=BUSCAR!$J$3,$AF497&lt;=BUSCAR!$J$4))),1,0))</f>
      </c>
      <c r="AH497" s="42">
        <f t="shared" si="21"/>
      </c>
      <c r="AI497" s="42">
        <f t="shared" si="22"/>
      </c>
    </row>
    <row r="498" spans="1:35" x14ac:dyDescent="0.2">
      <c r="A498" s="66">
        <f t="shared" si="23"/>
      </c>
      <c r="B498" s="4"/>
      <c r="C498" s="4"/>
      <c r="D498" s="4"/>
      <c r="E498" s="4"/>
      <c r="F498" s="32"/>
      <c r="G498" s="8"/>
      <c r="H498" s="9"/>
      <c r="I498" s="8"/>
      <c r="J498" s="10"/>
      <c r="K498" s="8"/>
      <c r="L498" s="8"/>
      <c r="M498" s="8"/>
      <c r="N498" s="11"/>
      <c r="O498" s="9"/>
      <c r="P498" s="12"/>
      <c r="Q498" s="9"/>
      <c r="R498" s="13"/>
      <c r="S498" s="11"/>
      <c r="T498" s="11"/>
      <c r="U498" s="9"/>
      <c r="V498" s="9"/>
      <c r="W498" s="9"/>
      <c r="X498" s="16"/>
      <c r="AF498" s="42">
        <f>IF(BUSCAR!$C$8="FECHA NAC.",$G498,IF(BUSCAR!$C$8="PASAPORTE EXPIRA",$J498,IF(BUSCAR!$C$8="LICENCIA EMISION",$L498,IF(BUSCAR!$C$8="LICENCIA EXPIRA",$M498,""))))</f>
      </c>
      <c r="AG498" s="42">
        <f>IF($B498&amp;$C498&amp;$D498&amp;$E498&amp;$H498="",0,IF(AND(OR(BUSCAR!$J$5="",ISNUMBER(SEARCH(BUSCAR!$J$5,$AI498))),OR(BUSCAR!$J$6="",ISNUMBER(SEARCH(BUSCAR!$J$6,$AI498))),OR(BUSCAR!$J$8="",ISNUMBER(SEARCH(BUSCAR!$J$8,$AI498))),OR(BUSCAR!$J$9="",ISNUMBER(SEARCH(BUSCAR!$J$9,$AI498))),OR(NOT(BUSCAR!$J$2),AND(ISNUMBER($AF498),$AF498&gt;=BUSCAR!$J$3,$AF498&lt;=BUSCAR!$J$4))),1,0))</f>
      </c>
      <c r="AH498" s="42">
        <f t="shared" si="21"/>
      </c>
      <c r="AI498" s="42">
        <f t="shared" si="22"/>
      </c>
    </row>
    <row r="499" spans="1:35" x14ac:dyDescent="0.2">
      <c r="A499" s="66">
        <f t="shared" si="23"/>
      </c>
      <c r="B499" s="4"/>
      <c r="C499" s="4"/>
      <c r="D499" s="4"/>
      <c r="E499" s="4"/>
      <c r="F499" s="32"/>
      <c r="G499" s="8"/>
      <c r="H499" s="9"/>
      <c r="I499" s="8"/>
      <c r="J499" s="10"/>
      <c r="K499" s="8"/>
      <c r="L499" s="8"/>
      <c r="M499" s="8"/>
      <c r="N499" s="11"/>
      <c r="O499" s="9"/>
      <c r="P499" s="12"/>
      <c r="Q499" s="9"/>
      <c r="R499" s="13"/>
      <c r="S499" s="11"/>
      <c r="T499" s="11"/>
      <c r="U499" s="9"/>
      <c r="V499" s="9"/>
      <c r="W499" s="9"/>
      <c r="X499" s="16"/>
      <c r="AF499" s="42">
        <f>IF(BUSCAR!$C$8="FECHA NAC.",$G499,IF(BUSCAR!$C$8="PASAPORTE EXPIRA",$J499,IF(BUSCAR!$C$8="LICENCIA EMISION",$L499,IF(BUSCAR!$C$8="LICENCIA EXPIRA",$M499,""))))</f>
      </c>
      <c r="AG499" s="42">
        <f>IF($B499&amp;$C499&amp;$D499&amp;$E499&amp;$H499="",0,IF(AND(OR(BUSCAR!$J$5="",ISNUMBER(SEARCH(BUSCAR!$J$5,$AI499))),OR(BUSCAR!$J$6="",ISNUMBER(SEARCH(BUSCAR!$J$6,$AI499))),OR(BUSCAR!$J$8="",ISNUMBER(SEARCH(BUSCAR!$J$8,$AI499))),OR(BUSCAR!$J$9="",ISNUMBER(SEARCH(BUSCAR!$J$9,$AI499))),OR(NOT(BUSCAR!$J$2),AND(ISNUMBER($AF499),$AF499&gt;=BUSCAR!$J$3,$AF499&lt;=BUSCAR!$J$4))),1,0))</f>
      </c>
      <c r="AH499" s="42">
        <f t="shared" si="21"/>
      </c>
      <c r="AI499" s="42">
        <f t="shared" si="22"/>
      </c>
    </row>
    <row r="500" spans="1:35" x14ac:dyDescent="0.2">
      <c r="A500" s="66">
        <f t="shared" si="23"/>
      </c>
      <c r="B500" s="4"/>
      <c r="C500" s="4"/>
      <c r="D500" s="4"/>
      <c r="E500" s="4"/>
      <c r="F500" s="32"/>
      <c r="G500" s="8"/>
      <c r="H500" s="9"/>
      <c r="I500" s="8"/>
      <c r="J500" s="10"/>
      <c r="K500" s="8"/>
      <c r="L500" s="8"/>
      <c r="M500" s="8"/>
      <c r="N500" s="11"/>
      <c r="O500" s="9"/>
      <c r="P500" s="12"/>
      <c r="Q500" s="9"/>
      <c r="R500" s="13"/>
      <c r="S500" s="11"/>
      <c r="T500" s="11"/>
      <c r="U500" s="9"/>
      <c r="V500" s="9"/>
      <c r="W500" s="9"/>
      <c r="X500" s="16"/>
      <c r="AF500" s="42">
        <f>IF(BUSCAR!$C$8="FECHA NAC.",$G500,IF(BUSCAR!$C$8="PASAPORTE EXPIRA",$J500,IF(BUSCAR!$C$8="LICENCIA EMISION",$L500,IF(BUSCAR!$C$8="LICENCIA EXPIRA",$M500,""))))</f>
      </c>
      <c r="AG500" s="42">
        <f>IF($B500&amp;$C500&amp;$D500&amp;$E500&amp;$H500="",0,IF(AND(OR(BUSCAR!$J$5="",ISNUMBER(SEARCH(BUSCAR!$J$5,$AI500))),OR(BUSCAR!$J$6="",ISNUMBER(SEARCH(BUSCAR!$J$6,$AI500))),OR(BUSCAR!$J$8="",ISNUMBER(SEARCH(BUSCAR!$J$8,$AI500))),OR(BUSCAR!$J$9="",ISNUMBER(SEARCH(BUSCAR!$J$9,$AI500))),OR(NOT(BUSCAR!$J$2),AND(ISNUMBER($AF500),$AF500&gt;=BUSCAR!$J$3,$AF500&lt;=BUSCAR!$J$4))),1,0))</f>
      </c>
      <c r="AH500" s="42">
        <f t="shared" si="21"/>
      </c>
      <c r="AI500" s="42">
        <f t="shared" si="22"/>
      </c>
    </row>
    <row r="501" spans="1:35" x14ac:dyDescent="0.2">
      <c r="A501" s="66">
        <f t="shared" si="23"/>
      </c>
      <c r="B501" s="4"/>
      <c r="C501" s="4"/>
      <c r="D501" s="4"/>
      <c r="E501" s="4"/>
      <c r="F501" s="32"/>
      <c r="G501" s="8"/>
      <c r="H501" s="9"/>
      <c r="I501" s="8"/>
      <c r="J501" s="10"/>
      <c r="K501" s="8"/>
      <c r="L501" s="8"/>
      <c r="M501" s="8"/>
      <c r="N501" s="11"/>
      <c r="O501" s="9"/>
      <c r="P501" s="12"/>
      <c r="Q501" s="9"/>
      <c r="R501" s="13"/>
      <c r="S501" s="11"/>
      <c r="T501" s="11"/>
      <c r="U501" s="9"/>
      <c r="V501" s="9"/>
      <c r="W501" s="9"/>
      <c r="X501" s="16"/>
      <c r="AF501" s="42">
        <f>IF(BUSCAR!$C$8="FECHA NAC.",$G501,IF(BUSCAR!$C$8="PASAPORTE EXPIRA",$J501,IF(BUSCAR!$C$8="LICENCIA EMISION",$L501,IF(BUSCAR!$C$8="LICENCIA EXPIRA",$M501,""))))</f>
      </c>
      <c r="AG501" s="42">
        <f>IF($B501&amp;$C501&amp;$D501&amp;$E501&amp;$H501="",0,IF(AND(OR(BUSCAR!$J$5="",ISNUMBER(SEARCH(BUSCAR!$J$5,$AI501))),OR(BUSCAR!$J$6="",ISNUMBER(SEARCH(BUSCAR!$J$6,$AI501))),OR(BUSCAR!$J$8="",ISNUMBER(SEARCH(BUSCAR!$J$8,$AI501))),OR(BUSCAR!$J$9="",ISNUMBER(SEARCH(BUSCAR!$J$9,$AI501))),OR(NOT(BUSCAR!$J$2),AND(ISNUMBER($AF501),$AF501&gt;=BUSCAR!$J$3,$AF501&lt;=BUSCAR!$J$4))),1,0))</f>
      </c>
      <c r="AH501" s="42">
        <f t="shared" si="21"/>
      </c>
      <c r="AI501" s="42">
        <f t="shared" si="22"/>
      </c>
    </row>
    <row r="502" spans="1:35" x14ac:dyDescent="0.2">
      <c r="A502" s="66">
        <f t="shared" si="23"/>
      </c>
      <c r="B502" s="4"/>
      <c r="C502" s="4"/>
      <c r="D502" s="4"/>
      <c r="E502" s="4"/>
      <c r="F502" s="32"/>
      <c r="G502" s="8"/>
      <c r="H502" s="9"/>
      <c r="I502" s="8"/>
      <c r="J502" s="10"/>
      <c r="K502" s="8"/>
      <c r="L502" s="8"/>
      <c r="M502" s="8"/>
      <c r="N502" s="11"/>
      <c r="O502" s="9"/>
      <c r="P502" s="12"/>
      <c r="Q502" s="9"/>
      <c r="R502" s="13"/>
      <c r="S502" s="11"/>
      <c r="T502" s="11"/>
      <c r="U502" s="9"/>
      <c r="V502" s="9"/>
      <c r="W502" s="9"/>
      <c r="X502" s="16"/>
      <c r="AF502" s="42">
        <f>IF(BUSCAR!$C$8="FECHA NAC.",$G502,IF(BUSCAR!$C$8="PASAPORTE EXPIRA",$J502,IF(BUSCAR!$C$8="LICENCIA EMISION",$L502,IF(BUSCAR!$C$8="LICENCIA EXPIRA",$M502,""))))</f>
      </c>
      <c r="AG502" s="42">
        <f>IF($B502&amp;$C502&amp;$D502&amp;$E502&amp;$H502="",0,IF(AND(OR(BUSCAR!$J$5="",ISNUMBER(SEARCH(BUSCAR!$J$5,$AI502))),OR(BUSCAR!$J$6="",ISNUMBER(SEARCH(BUSCAR!$J$6,$AI502))),OR(BUSCAR!$J$8="",ISNUMBER(SEARCH(BUSCAR!$J$8,$AI502))),OR(BUSCAR!$J$9="",ISNUMBER(SEARCH(BUSCAR!$J$9,$AI502))),OR(NOT(BUSCAR!$J$2),AND(ISNUMBER($AF502),$AF502&gt;=BUSCAR!$J$3,$AF502&lt;=BUSCAR!$J$4))),1,0))</f>
      </c>
      <c r="AH502" s="42">
        <f t="shared" si="21"/>
      </c>
      <c r="AI502" s="42">
        <f t="shared" si="22"/>
      </c>
    </row>
    <row r="503" spans="1:35" x14ac:dyDescent="0.2">
      <c r="A503" s="66">
        <f t="shared" si="23"/>
      </c>
      <c r="B503" s="4"/>
      <c r="C503" s="4"/>
      <c r="D503" s="4"/>
      <c r="E503" s="4"/>
      <c r="F503" s="32"/>
      <c r="G503" s="8"/>
      <c r="H503" s="9"/>
      <c r="I503" s="8"/>
      <c r="J503" s="10"/>
      <c r="K503" s="8"/>
      <c r="L503" s="8"/>
      <c r="M503" s="8"/>
      <c r="N503" s="11"/>
      <c r="O503" s="9"/>
      <c r="P503" s="12"/>
      <c r="Q503" s="9"/>
      <c r="R503" s="13"/>
      <c r="S503" s="11"/>
      <c r="T503" s="11"/>
      <c r="U503" s="9"/>
      <c r="V503" s="9"/>
      <c r="W503" s="9"/>
      <c r="X503" s="16"/>
      <c r="AF503" s="42">
        <f>IF(BUSCAR!$C$8="FECHA NAC.",$G503,IF(BUSCAR!$C$8="PASAPORTE EXPIRA",$J503,IF(BUSCAR!$C$8="LICENCIA EMISION",$L503,IF(BUSCAR!$C$8="LICENCIA EXPIRA",$M503,""))))</f>
      </c>
      <c r="AG503" s="42">
        <f>IF($B503&amp;$C503&amp;$D503&amp;$E503&amp;$H503="",0,IF(AND(OR(BUSCAR!$J$5="",ISNUMBER(SEARCH(BUSCAR!$J$5,$AI503))),OR(BUSCAR!$J$6="",ISNUMBER(SEARCH(BUSCAR!$J$6,$AI503))),OR(BUSCAR!$J$8="",ISNUMBER(SEARCH(BUSCAR!$J$8,$AI503))),OR(BUSCAR!$J$9="",ISNUMBER(SEARCH(BUSCAR!$J$9,$AI503))),OR(NOT(BUSCAR!$J$2),AND(ISNUMBER($AF503),$AF503&gt;=BUSCAR!$J$3,$AF503&lt;=BUSCAR!$J$4))),1,0))</f>
      </c>
      <c r="AH503" s="42">
        <f t="shared" si="21"/>
      </c>
      <c r="AI503" s="42">
        <f t="shared" si="22"/>
      </c>
    </row>
    <row r="504" spans="1:35" x14ac:dyDescent="0.2">
      <c r="A504" s="66">
        <f t="shared" si="23"/>
      </c>
      <c r="B504" s="4"/>
      <c r="C504" s="4"/>
      <c r="D504" s="4"/>
      <c r="E504" s="4"/>
      <c r="F504" s="32"/>
      <c r="G504" s="8"/>
      <c r="H504" s="9"/>
      <c r="I504" s="8"/>
      <c r="J504" s="10"/>
      <c r="K504" s="8"/>
      <c r="L504" s="8"/>
      <c r="M504" s="8"/>
      <c r="N504" s="11"/>
      <c r="O504" s="9"/>
      <c r="P504" s="12"/>
      <c r="Q504" s="9"/>
      <c r="R504" s="13"/>
      <c r="S504" s="11"/>
      <c r="T504" s="11"/>
      <c r="U504" s="9"/>
      <c r="V504" s="9"/>
      <c r="W504" s="9"/>
      <c r="X504" s="16"/>
      <c r="AF504" s="42">
        <f>IF(BUSCAR!$C$8="FECHA NAC.",$G504,IF(BUSCAR!$C$8="PASAPORTE EXPIRA",$J504,IF(BUSCAR!$C$8="LICENCIA EMISION",$L504,IF(BUSCAR!$C$8="LICENCIA EXPIRA",$M504,""))))</f>
      </c>
      <c r="AG504" s="42">
        <f>IF($B504&amp;$C504&amp;$D504&amp;$E504&amp;$H504="",0,IF(AND(OR(BUSCAR!$J$5="",ISNUMBER(SEARCH(BUSCAR!$J$5,$AI504))),OR(BUSCAR!$J$6="",ISNUMBER(SEARCH(BUSCAR!$J$6,$AI504))),OR(BUSCAR!$J$8="",ISNUMBER(SEARCH(BUSCAR!$J$8,$AI504))),OR(BUSCAR!$J$9="",ISNUMBER(SEARCH(BUSCAR!$J$9,$AI504))),OR(NOT(BUSCAR!$J$2),AND(ISNUMBER($AF504),$AF504&gt;=BUSCAR!$J$3,$AF504&lt;=BUSCAR!$J$4))),1,0))</f>
      </c>
      <c r="AH504" s="42">
        <f t="shared" si="21"/>
      </c>
      <c r="AI504" s="42">
        <f t="shared" si="22"/>
      </c>
    </row>
    <row r="505" spans="1:35" x14ac:dyDescent="0.2">
      <c r="A505" s="66">
        <f t="shared" si="23"/>
      </c>
      <c r="B505" s="4"/>
      <c r="C505" s="4"/>
      <c r="D505" s="4"/>
      <c r="E505" s="4"/>
      <c r="F505" s="32"/>
      <c r="G505" s="8"/>
      <c r="H505" s="9"/>
      <c r="I505" s="8"/>
      <c r="J505" s="10"/>
      <c r="K505" s="8"/>
      <c r="L505" s="8"/>
      <c r="M505" s="8"/>
      <c r="N505" s="11"/>
      <c r="O505" s="9"/>
      <c r="P505" s="12"/>
      <c r="Q505" s="9"/>
      <c r="R505" s="13"/>
      <c r="S505" s="11"/>
      <c r="T505" s="11"/>
      <c r="U505" s="9"/>
      <c r="V505" s="9"/>
      <c r="W505" s="9"/>
      <c r="X505" s="16"/>
      <c r="AF505" s="42">
        <f>IF(BUSCAR!$C$8="FECHA NAC.",$G505,IF(BUSCAR!$C$8="PASAPORTE EXPIRA",$J505,IF(BUSCAR!$C$8="LICENCIA EMISION",$L505,IF(BUSCAR!$C$8="LICENCIA EXPIRA",$M505,""))))</f>
      </c>
      <c r="AG505" s="42">
        <f>IF($B505&amp;$C505&amp;$D505&amp;$E505&amp;$H505="",0,IF(AND(OR(BUSCAR!$J$5="",ISNUMBER(SEARCH(BUSCAR!$J$5,$AI505))),OR(BUSCAR!$J$6="",ISNUMBER(SEARCH(BUSCAR!$J$6,$AI505))),OR(BUSCAR!$J$8="",ISNUMBER(SEARCH(BUSCAR!$J$8,$AI505))),OR(BUSCAR!$J$9="",ISNUMBER(SEARCH(BUSCAR!$J$9,$AI505))),OR(NOT(BUSCAR!$J$2),AND(ISNUMBER($AF505),$AF505&gt;=BUSCAR!$J$3,$AF505&lt;=BUSCAR!$J$4))),1,0))</f>
      </c>
      <c r="AH505" s="42">
        <f t="shared" si="21"/>
      </c>
      <c r="AI505" s="42">
        <f t="shared" si="22"/>
      </c>
    </row>
    <row r="506" spans="1:35" x14ac:dyDescent="0.2">
      <c r="A506" s="66">
        <f t="shared" si="23"/>
      </c>
      <c r="B506" s="4"/>
      <c r="C506" s="4"/>
      <c r="D506" s="4"/>
      <c r="E506" s="4"/>
      <c r="F506" s="32"/>
      <c r="G506" s="8"/>
      <c r="H506" s="9"/>
      <c r="I506" s="8"/>
      <c r="J506" s="10"/>
      <c r="K506" s="8"/>
      <c r="L506" s="8"/>
      <c r="M506" s="8"/>
      <c r="N506" s="11"/>
      <c r="O506" s="9"/>
      <c r="P506" s="12"/>
      <c r="Q506" s="9"/>
      <c r="R506" s="13"/>
      <c r="S506" s="11"/>
      <c r="T506" s="11"/>
      <c r="U506" s="9"/>
      <c r="V506" s="9"/>
      <c r="W506" s="9"/>
      <c r="X506" s="16"/>
      <c r="AF506" s="42">
        <f>IF(BUSCAR!$C$8="FECHA NAC.",$G506,IF(BUSCAR!$C$8="PASAPORTE EXPIRA",$J506,IF(BUSCAR!$C$8="LICENCIA EMISION",$L506,IF(BUSCAR!$C$8="LICENCIA EXPIRA",$M506,""))))</f>
      </c>
      <c r="AG506" s="42">
        <f>IF($B506&amp;$C506&amp;$D506&amp;$E506&amp;$H506="",0,IF(AND(OR(BUSCAR!$J$5="",ISNUMBER(SEARCH(BUSCAR!$J$5,$AI506))),OR(BUSCAR!$J$6="",ISNUMBER(SEARCH(BUSCAR!$J$6,$AI506))),OR(BUSCAR!$J$8="",ISNUMBER(SEARCH(BUSCAR!$J$8,$AI506))),OR(BUSCAR!$J$9="",ISNUMBER(SEARCH(BUSCAR!$J$9,$AI506))),OR(NOT(BUSCAR!$J$2),AND(ISNUMBER($AF506),$AF506&gt;=BUSCAR!$J$3,$AF506&lt;=BUSCAR!$J$4))),1,0))</f>
      </c>
      <c r="AH506" s="42">
        <f t="shared" si="21"/>
      </c>
      <c r="AI506" s="42">
        <f t="shared" si="22"/>
      </c>
    </row>
    <row r="507" spans="1:35" x14ac:dyDescent="0.2">
      <c r="A507" s="66">
        <f t="shared" si="23"/>
      </c>
      <c r="B507" s="4"/>
      <c r="C507" s="4"/>
      <c r="D507" s="4"/>
      <c r="E507" s="4"/>
      <c r="F507" s="32"/>
      <c r="G507" s="8"/>
      <c r="H507" s="9"/>
      <c r="I507" s="8"/>
      <c r="J507" s="10"/>
      <c r="K507" s="8"/>
      <c r="L507" s="8"/>
      <c r="M507" s="8"/>
      <c r="N507" s="11"/>
      <c r="O507" s="9"/>
      <c r="P507" s="12"/>
      <c r="Q507" s="9"/>
      <c r="R507" s="13"/>
      <c r="S507" s="11"/>
      <c r="T507" s="11"/>
      <c r="U507" s="9"/>
      <c r="V507" s="9"/>
      <c r="W507" s="9"/>
      <c r="X507" s="16"/>
      <c r="AF507" s="42">
        <f>IF(BUSCAR!$C$8="FECHA NAC.",$G507,IF(BUSCAR!$C$8="PASAPORTE EXPIRA",$J507,IF(BUSCAR!$C$8="LICENCIA EMISION",$L507,IF(BUSCAR!$C$8="LICENCIA EXPIRA",$M507,""))))</f>
      </c>
      <c r="AG507" s="42">
        <f>IF($B507&amp;$C507&amp;$D507&amp;$E507&amp;$H507="",0,IF(AND(OR(BUSCAR!$J$5="",ISNUMBER(SEARCH(BUSCAR!$J$5,$AI507))),OR(BUSCAR!$J$6="",ISNUMBER(SEARCH(BUSCAR!$J$6,$AI507))),OR(BUSCAR!$J$8="",ISNUMBER(SEARCH(BUSCAR!$J$8,$AI507))),OR(BUSCAR!$J$9="",ISNUMBER(SEARCH(BUSCAR!$J$9,$AI507))),OR(NOT(BUSCAR!$J$2),AND(ISNUMBER($AF507),$AF507&gt;=BUSCAR!$J$3,$AF507&lt;=BUSCAR!$J$4))),1,0))</f>
      </c>
      <c r="AH507" s="42">
        <f t="shared" si="21"/>
      </c>
      <c r="AI507" s="42">
        <f t="shared" si="22"/>
      </c>
    </row>
    <row r="508" spans="1:35" x14ac:dyDescent="0.2">
      <c r="A508" s="66">
        <f t="shared" si="23"/>
      </c>
      <c r="B508" s="4"/>
      <c r="C508" s="4"/>
      <c r="D508" s="4"/>
      <c r="E508" s="4"/>
      <c r="F508" s="32"/>
      <c r="G508" s="8"/>
      <c r="H508" s="9"/>
      <c r="I508" s="8"/>
      <c r="J508" s="10"/>
      <c r="K508" s="8"/>
      <c r="L508" s="8"/>
      <c r="M508" s="8"/>
      <c r="N508" s="11"/>
      <c r="O508" s="9"/>
      <c r="P508" s="12"/>
      <c r="Q508" s="9"/>
      <c r="R508" s="13"/>
      <c r="S508" s="11"/>
      <c r="T508" s="11"/>
      <c r="U508" s="9"/>
      <c r="V508" s="9"/>
      <c r="W508" s="9"/>
      <c r="X508" s="16"/>
      <c r="AF508" s="42">
        <f>IF(BUSCAR!$C$8="FECHA NAC.",$G508,IF(BUSCAR!$C$8="PASAPORTE EXPIRA",$J508,IF(BUSCAR!$C$8="LICENCIA EMISION",$L508,IF(BUSCAR!$C$8="LICENCIA EXPIRA",$M508,""))))</f>
      </c>
      <c r="AG508" s="42">
        <f>IF($B508&amp;$C508&amp;$D508&amp;$E508&amp;$H508="",0,IF(AND(OR(BUSCAR!$J$5="",ISNUMBER(SEARCH(BUSCAR!$J$5,$AI508))),OR(BUSCAR!$J$6="",ISNUMBER(SEARCH(BUSCAR!$J$6,$AI508))),OR(BUSCAR!$J$8="",ISNUMBER(SEARCH(BUSCAR!$J$8,$AI508))),OR(BUSCAR!$J$9="",ISNUMBER(SEARCH(BUSCAR!$J$9,$AI508))),OR(NOT(BUSCAR!$J$2),AND(ISNUMBER($AF508),$AF508&gt;=BUSCAR!$J$3,$AF508&lt;=BUSCAR!$J$4))),1,0))</f>
      </c>
      <c r="AH508" s="42">
        <f t="shared" si="21"/>
      </c>
      <c r="AI508" s="42">
        <f t="shared" si="22"/>
      </c>
    </row>
    <row r="509" spans="1:35" x14ac:dyDescent="0.2">
      <c r="A509" s="66">
        <f t="shared" si="23"/>
      </c>
      <c r="B509" s="4"/>
      <c r="C509" s="4"/>
      <c r="D509" s="4"/>
      <c r="E509" s="4"/>
      <c r="F509" s="32"/>
      <c r="G509" s="8"/>
      <c r="H509" s="9"/>
      <c r="I509" s="8"/>
      <c r="J509" s="10"/>
      <c r="K509" s="8"/>
      <c r="L509" s="8"/>
      <c r="M509" s="8"/>
      <c r="N509" s="11"/>
      <c r="O509" s="9"/>
      <c r="P509" s="12"/>
      <c r="Q509" s="9"/>
      <c r="R509" s="13"/>
      <c r="S509" s="11"/>
      <c r="T509" s="11"/>
      <c r="U509" s="9"/>
      <c r="V509" s="9"/>
      <c r="W509" s="9"/>
      <c r="X509" s="16"/>
      <c r="AF509" s="42">
        <f>IF(BUSCAR!$C$8="FECHA NAC.",$G509,IF(BUSCAR!$C$8="PASAPORTE EXPIRA",$J509,IF(BUSCAR!$C$8="LICENCIA EMISION",$L509,IF(BUSCAR!$C$8="LICENCIA EXPIRA",$M509,""))))</f>
      </c>
      <c r="AG509" s="42">
        <f>IF($B509&amp;$C509&amp;$D509&amp;$E509&amp;$H509="",0,IF(AND(OR(BUSCAR!$J$5="",ISNUMBER(SEARCH(BUSCAR!$J$5,$AI509))),OR(BUSCAR!$J$6="",ISNUMBER(SEARCH(BUSCAR!$J$6,$AI509))),OR(BUSCAR!$J$8="",ISNUMBER(SEARCH(BUSCAR!$J$8,$AI509))),OR(BUSCAR!$J$9="",ISNUMBER(SEARCH(BUSCAR!$J$9,$AI509))),OR(NOT(BUSCAR!$J$2),AND(ISNUMBER($AF509),$AF509&gt;=BUSCAR!$J$3,$AF509&lt;=BUSCAR!$J$4))),1,0))</f>
      </c>
      <c r="AH509" s="42">
        <f t="shared" si="21"/>
      </c>
      <c r="AI509" s="42">
        <f t="shared" si="22"/>
      </c>
    </row>
    <row r="510" spans="1:35" x14ac:dyDescent="0.2">
      <c r="A510" s="66">
        <f t="shared" si="23"/>
      </c>
      <c r="B510" s="4"/>
      <c r="C510" s="4"/>
      <c r="D510" s="4"/>
      <c r="E510" s="4"/>
      <c r="F510" s="32"/>
      <c r="G510" s="8"/>
      <c r="H510" s="9"/>
      <c r="I510" s="8"/>
      <c r="J510" s="10"/>
      <c r="K510" s="8"/>
      <c r="L510" s="8"/>
      <c r="M510" s="8"/>
      <c r="N510" s="11"/>
      <c r="O510" s="9"/>
      <c r="P510" s="12"/>
      <c r="Q510" s="9"/>
      <c r="R510" s="13"/>
      <c r="S510" s="11"/>
      <c r="T510" s="11"/>
      <c r="U510" s="9"/>
      <c r="V510" s="9"/>
      <c r="W510" s="9"/>
      <c r="X510" s="16"/>
      <c r="AF510" s="42">
        <f>IF(BUSCAR!$C$8="FECHA NAC.",$G510,IF(BUSCAR!$C$8="PASAPORTE EXPIRA",$J510,IF(BUSCAR!$C$8="LICENCIA EMISION",$L510,IF(BUSCAR!$C$8="LICENCIA EXPIRA",$M510,""))))</f>
      </c>
      <c r="AG510" s="42">
        <f>IF($B510&amp;$C510&amp;$D510&amp;$E510&amp;$H510="",0,IF(AND(OR(BUSCAR!$J$5="",ISNUMBER(SEARCH(BUSCAR!$J$5,$AI510))),OR(BUSCAR!$J$6="",ISNUMBER(SEARCH(BUSCAR!$J$6,$AI510))),OR(BUSCAR!$J$8="",ISNUMBER(SEARCH(BUSCAR!$J$8,$AI510))),OR(BUSCAR!$J$9="",ISNUMBER(SEARCH(BUSCAR!$J$9,$AI510))),OR(NOT(BUSCAR!$J$2),AND(ISNUMBER($AF510),$AF510&gt;=BUSCAR!$J$3,$AF510&lt;=BUSCAR!$J$4))),1,0))</f>
      </c>
      <c r="AH510" s="42">
        <f t="shared" si="21"/>
      </c>
      <c r="AI510" s="42">
        <f t="shared" si="22"/>
      </c>
    </row>
    <row r="511" spans="1:35" x14ac:dyDescent="0.2">
      <c r="A511" s="66">
        <f t="shared" si="23"/>
      </c>
      <c r="B511" s="4"/>
      <c r="C511" s="4"/>
      <c r="D511" s="4"/>
      <c r="E511" s="4"/>
      <c r="F511" s="32"/>
      <c r="G511" s="8"/>
      <c r="H511" s="9"/>
      <c r="I511" s="8"/>
      <c r="J511" s="10"/>
      <c r="K511" s="8"/>
      <c r="L511" s="8"/>
      <c r="M511" s="8"/>
      <c r="N511" s="11"/>
      <c r="O511" s="9"/>
      <c r="P511" s="12"/>
      <c r="Q511" s="9"/>
      <c r="R511" s="13"/>
      <c r="S511" s="11"/>
      <c r="T511" s="11"/>
      <c r="U511" s="9"/>
      <c r="V511" s="9"/>
      <c r="W511" s="9"/>
      <c r="X511" s="16"/>
      <c r="AF511" s="42">
        <f>IF(BUSCAR!$C$8="FECHA NAC.",$G511,IF(BUSCAR!$C$8="PASAPORTE EXPIRA",$J511,IF(BUSCAR!$C$8="LICENCIA EMISION",$L511,IF(BUSCAR!$C$8="LICENCIA EXPIRA",$M511,""))))</f>
      </c>
      <c r="AG511" s="42">
        <f>IF($B511&amp;$C511&amp;$D511&amp;$E511&amp;$H511="",0,IF(AND(OR(BUSCAR!$J$5="",ISNUMBER(SEARCH(BUSCAR!$J$5,$AI511))),OR(BUSCAR!$J$6="",ISNUMBER(SEARCH(BUSCAR!$J$6,$AI511))),OR(BUSCAR!$J$8="",ISNUMBER(SEARCH(BUSCAR!$J$8,$AI511))),OR(BUSCAR!$J$9="",ISNUMBER(SEARCH(BUSCAR!$J$9,$AI511))),OR(NOT(BUSCAR!$J$2),AND(ISNUMBER($AF511),$AF511&gt;=BUSCAR!$J$3,$AF511&lt;=BUSCAR!$J$4))),1,0))</f>
      </c>
      <c r="AH511" s="42">
        <f t="shared" si="21"/>
      </c>
      <c r="AI511" s="42">
        <f t="shared" si="22"/>
      </c>
    </row>
    <row r="512" spans="1:35" x14ac:dyDescent="0.2">
      <c r="A512" s="66">
        <f t="shared" si="23"/>
      </c>
      <c r="B512" s="4"/>
      <c r="C512" s="4"/>
      <c r="D512" s="4"/>
      <c r="E512" s="4"/>
      <c r="F512" s="32"/>
      <c r="G512" s="8"/>
      <c r="H512" s="9"/>
      <c r="I512" s="8"/>
      <c r="J512" s="10"/>
      <c r="K512" s="8"/>
      <c r="L512" s="8"/>
      <c r="M512" s="8"/>
      <c r="N512" s="11"/>
      <c r="O512" s="9"/>
      <c r="P512" s="12"/>
      <c r="Q512" s="9"/>
      <c r="R512" s="13"/>
      <c r="S512" s="11"/>
      <c r="T512" s="11"/>
      <c r="U512" s="9"/>
      <c r="V512" s="9"/>
      <c r="W512" s="9"/>
      <c r="X512" s="16"/>
      <c r="AF512" s="42">
        <f>IF(BUSCAR!$C$8="FECHA NAC.",$G512,IF(BUSCAR!$C$8="PASAPORTE EXPIRA",$J512,IF(BUSCAR!$C$8="LICENCIA EMISION",$L512,IF(BUSCAR!$C$8="LICENCIA EXPIRA",$M512,""))))</f>
      </c>
      <c r="AG512" s="42">
        <f>IF($B512&amp;$C512&amp;$D512&amp;$E512&amp;$H512="",0,IF(AND(OR(BUSCAR!$J$5="",ISNUMBER(SEARCH(BUSCAR!$J$5,$AI512))),OR(BUSCAR!$J$6="",ISNUMBER(SEARCH(BUSCAR!$J$6,$AI512))),OR(BUSCAR!$J$8="",ISNUMBER(SEARCH(BUSCAR!$J$8,$AI512))),OR(BUSCAR!$J$9="",ISNUMBER(SEARCH(BUSCAR!$J$9,$AI512))),OR(NOT(BUSCAR!$J$2),AND(ISNUMBER($AF512),$AF512&gt;=BUSCAR!$J$3,$AF512&lt;=BUSCAR!$J$4))),1,0))</f>
      </c>
      <c r="AH512" s="42">
        <f t="shared" si="21"/>
      </c>
      <c r="AI512" s="42">
        <f t="shared" si="22"/>
      </c>
    </row>
    <row r="513" spans="1:35" x14ac:dyDescent="0.2">
      <c r="A513" s="66">
        <f t="shared" si="23"/>
      </c>
      <c r="B513" s="4"/>
      <c r="C513" s="4"/>
      <c r="D513" s="4"/>
      <c r="E513" s="4"/>
      <c r="F513" s="32"/>
      <c r="G513" s="8"/>
      <c r="H513" s="9"/>
      <c r="I513" s="8"/>
      <c r="J513" s="10"/>
      <c r="K513" s="8"/>
      <c r="L513" s="8"/>
      <c r="M513" s="8"/>
      <c r="N513" s="11"/>
      <c r="O513" s="9"/>
      <c r="P513" s="12"/>
      <c r="Q513" s="9"/>
      <c r="R513" s="13"/>
      <c r="S513" s="11"/>
      <c r="T513" s="11"/>
      <c r="U513" s="9"/>
      <c r="V513" s="9"/>
      <c r="W513" s="9"/>
      <c r="X513" s="16"/>
      <c r="AF513" s="42">
        <f>IF(BUSCAR!$C$8="FECHA NAC.",$G513,IF(BUSCAR!$C$8="PASAPORTE EXPIRA",$J513,IF(BUSCAR!$C$8="LICENCIA EMISION",$L513,IF(BUSCAR!$C$8="LICENCIA EXPIRA",$M513,""))))</f>
      </c>
      <c r="AG513" s="42">
        <f>IF($B513&amp;$C513&amp;$D513&amp;$E513&amp;$H513="",0,IF(AND(OR(BUSCAR!$J$5="",ISNUMBER(SEARCH(BUSCAR!$J$5,$AI513))),OR(BUSCAR!$J$6="",ISNUMBER(SEARCH(BUSCAR!$J$6,$AI513))),OR(BUSCAR!$J$8="",ISNUMBER(SEARCH(BUSCAR!$J$8,$AI513))),OR(BUSCAR!$J$9="",ISNUMBER(SEARCH(BUSCAR!$J$9,$AI513))),OR(NOT(BUSCAR!$J$2),AND(ISNUMBER($AF513),$AF513&gt;=BUSCAR!$J$3,$AF513&lt;=BUSCAR!$J$4))),1,0))</f>
      </c>
      <c r="AH513" s="42">
        <f t="shared" si="21"/>
      </c>
      <c r="AI513" s="42">
        <f t="shared" si="22"/>
      </c>
    </row>
    <row r="514" spans="1:35" x14ac:dyDescent="0.2">
      <c r="A514" s="66">
        <f t="shared" si="23"/>
      </c>
      <c r="B514" s="4"/>
      <c r="C514" s="4"/>
      <c r="D514" s="4"/>
      <c r="E514" s="4"/>
      <c r="F514" s="32"/>
      <c r="G514" s="8"/>
      <c r="H514" s="9"/>
      <c r="I514" s="8"/>
      <c r="J514" s="10"/>
      <c r="K514" s="8"/>
      <c r="L514" s="8"/>
      <c r="M514" s="8"/>
      <c r="N514" s="11"/>
      <c r="O514" s="9"/>
      <c r="P514" s="12"/>
      <c r="Q514" s="9"/>
      <c r="R514" s="13"/>
      <c r="S514" s="11"/>
      <c r="T514" s="11"/>
      <c r="U514" s="9"/>
      <c r="V514" s="9"/>
      <c r="W514" s="9"/>
      <c r="X514" s="16"/>
      <c r="AF514" s="42">
        <f>IF(BUSCAR!$C$8="FECHA NAC.",$G514,IF(BUSCAR!$C$8="PASAPORTE EXPIRA",$J514,IF(BUSCAR!$C$8="LICENCIA EMISION",$L514,IF(BUSCAR!$C$8="LICENCIA EXPIRA",$M514,""))))</f>
      </c>
      <c r="AG514" s="42">
        <f>IF($B514&amp;$C514&amp;$D514&amp;$E514&amp;$H514="",0,IF(AND(OR(BUSCAR!$J$5="",ISNUMBER(SEARCH(BUSCAR!$J$5,$AI514))),OR(BUSCAR!$J$6="",ISNUMBER(SEARCH(BUSCAR!$J$6,$AI514))),OR(BUSCAR!$J$8="",ISNUMBER(SEARCH(BUSCAR!$J$8,$AI514))),OR(BUSCAR!$J$9="",ISNUMBER(SEARCH(BUSCAR!$J$9,$AI514))),OR(NOT(BUSCAR!$J$2),AND(ISNUMBER($AF514),$AF514&gt;=BUSCAR!$J$3,$AF514&lt;=BUSCAR!$J$4))),1,0))</f>
      </c>
      <c r="AH514" s="42">
        <f t="shared" si="21"/>
      </c>
      <c r="AI514" s="42">
        <f t="shared" si="22"/>
      </c>
    </row>
    <row r="515" spans="1:35" x14ac:dyDescent="0.2">
      <c r="A515" s="66">
        <f t="shared" si="23"/>
      </c>
      <c r="B515" s="4"/>
      <c r="C515" s="4"/>
      <c r="D515" s="4"/>
      <c r="E515" s="4"/>
      <c r="F515" s="32"/>
      <c r="G515" s="8"/>
      <c r="H515" s="9"/>
      <c r="I515" s="8"/>
      <c r="J515" s="10"/>
      <c r="K515" s="8"/>
      <c r="L515" s="8"/>
      <c r="M515" s="8"/>
      <c r="N515" s="11"/>
      <c r="O515" s="9"/>
      <c r="P515" s="12"/>
      <c r="Q515" s="9"/>
      <c r="R515" s="13"/>
      <c r="S515" s="11"/>
      <c r="T515" s="11"/>
      <c r="U515" s="9"/>
      <c r="V515" s="9"/>
      <c r="W515" s="9"/>
      <c r="X515" s="16"/>
      <c r="AF515" s="42">
        <f>IF(BUSCAR!$C$8="FECHA NAC.",$G515,IF(BUSCAR!$C$8="PASAPORTE EXPIRA",$J515,IF(BUSCAR!$C$8="LICENCIA EMISION",$L515,IF(BUSCAR!$C$8="LICENCIA EXPIRA",$M515,""))))</f>
      </c>
      <c r="AG515" s="42">
        <f>IF($B515&amp;$C515&amp;$D515&amp;$E515&amp;$H515="",0,IF(AND(OR(BUSCAR!$J$5="",ISNUMBER(SEARCH(BUSCAR!$J$5,$AI515))),OR(BUSCAR!$J$6="",ISNUMBER(SEARCH(BUSCAR!$J$6,$AI515))),OR(BUSCAR!$J$8="",ISNUMBER(SEARCH(BUSCAR!$J$8,$AI515))),OR(BUSCAR!$J$9="",ISNUMBER(SEARCH(BUSCAR!$J$9,$AI515))),OR(NOT(BUSCAR!$J$2),AND(ISNUMBER($AF515),$AF515&gt;=BUSCAR!$J$3,$AF515&lt;=BUSCAR!$J$4))),1,0))</f>
      </c>
      <c r="AH515" s="42">
        <f t="shared" ref="AH515:AH578" si="24">AH514+AG515</f>
      </c>
      <c r="AI515" s="42">
        <f t="shared" ref="AI515:AI578" si="25">IF($B515&amp;" "&amp;$C515&amp;" "&amp;$D515&amp;" "&amp;$E515&amp;" "&amp;$H515&amp;" "&amp;$K515&amp;" "&amp;$R515&amp;" "&amp;$AC515&amp;" "&amp;$AD515="","",SUBSTITUTE(SUBSTITUTE(SUBSTITUTE(SUBSTITUTE(SUBSTITUTE(SUBSTITUTE(SUBSTITUTE(UPPER($B515&amp;" "&amp;$C515&amp;" "&amp;$D515&amp;" "&amp;$E515&amp;" "&amp;$H515&amp;" "&amp;$K515&amp;" "&amp;$R515&amp;" "&amp;$AC515&amp;" "&amp;$AD515),"Á","A"),"É","E"),"Í","I"),"Ó","O"),"Ú","U"),"Ü","U"),"Ñ","N"))</f>
      </c>
    </row>
    <row r="516" spans="1:35" x14ac:dyDescent="0.2">
      <c r="A516" s="66">
        <f t="shared" ref="A516:A579" si="26">A515+1</f>
      </c>
      <c r="B516" s="4"/>
      <c r="C516" s="4"/>
      <c r="D516" s="4"/>
      <c r="E516" s="4"/>
      <c r="F516" s="32"/>
      <c r="G516" s="8"/>
      <c r="H516" s="9"/>
      <c r="I516" s="8"/>
      <c r="J516" s="10"/>
      <c r="K516" s="8"/>
      <c r="L516" s="8"/>
      <c r="M516" s="8"/>
      <c r="N516" s="11"/>
      <c r="O516" s="9"/>
      <c r="P516" s="12"/>
      <c r="Q516" s="9"/>
      <c r="R516" s="13"/>
      <c r="S516" s="11"/>
      <c r="T516" s="11"/>
      <c r="U516" s="9"/>
      <c r="V516" s="9"/>
      <c r="W516" s="9"/>
      <c r="X516" s="16"/>
      <c r="AF516" s="42">
        <f>IF(BUSCAR!$C$8="FECHA NAC.",$G516,IF(BUSCAR!$C$8="PASAPORTE EXPIRA",$J516,IF(BUSCAR!$C$8="LICENCIA EMISION",$L516,IF(BUSCAR!$C$8="LICENCIA EXPIRA",$M516,""))))</f>
      </c>
      <c r="AG516" s="42">
        <f>IF($B516&amp;$C516&amp;$D516&amp;$E516&amp;$H516="",0,IF(AND(OR(BUSCAR!$J$5="",ISNUMBER(SEARCH(BUSCAR!$J$5,$AI516))),OR(BUSCAR!$J$6="",ISNUMBER(SEARCH(BUSCAR!$J$6,$AI516))),OR(BUSCAR!$J$8="",ISNUMBER(SEARCH(BUSCAR!$J$8,$AI516))),OR(BUSCAR!$J$9="",ISNUMBER(SEARCH(BUSCAR!$J$9,$AI516))),OR(NOT(BUSCAR!$J$2),AND(ISNUMBER($AF516),$AF516&gt;=BUSCAR!$J$3,$AF516&lt;=BUSCAR!$J$4))),1,0))</f>
      </c>
      <c r="AH516" s="42">
        <f t="shared" si="24"/>
      </c>
      <c r="AI516" s="42">
        <f t="shared" si="25"/>
      </c>
    </row>
    <row r="517" spans="1:35" x14ac:dyDescent="0.2">
      <c r="A517" s="66">
        <f t="shared" si="26"/>
      </c>
      <c r="B517" s="4"/>
      <c r="C517" s="4"/>
      <c r="D517" s="4"/>
      <c r="E517" s="4"/>
      <c r="F517" s="32"/>
      <c r="G517" s="8"/>
      <c r="H517" s="9"/>
      <c r="I517" s="8"/>
      <c r="J517" s="10"/>
      <c r="K517" s="8"/>
      <c r="L517" s="8"/>
      <c r="M517" s="8"/>
      <c r="N517" s="11"/>
      <c r="O517" s="9"/>
      <c r="P517" s="12"/>
      <c r="Q517" s="9"/>
      <c r="R517" s="13"/>
      <c r="S517" s="11"/>
      <c r="T517" s="11"/>
      <c r="U517" s="9"/>
      <c r="V517" s="9"/>
      <c r="W517" s="9"/>
      <c r="X517" s="16"/>
      <c r="AF517" s="42">
        <f>IF(BUSCAR!$C$8="FECHA NAC.",$G517,IF(BUSCAR!$C$8="PASAPORTE EXPIRA",$J517,IF(BUSCAR!$C$8="LICENCIA EMISION",$L517,IF(BUSCAR!$C$8="LICENCIA EXPIRA",$M517,""))))</f>
      </c>
      <c r="AG517" s="42">
        <f>IF($B517&amp;$C517&amp;$D517&amp;$E517&amp;$H517="",0,IF(AND(OR(BUSCAR!$J$5="",ISNUMBER(SEARCH(BUSCAR!$J$5,$AI517))),OR(BUSCAR!$J$6="",ISNUMBER(SEARCH(BUSCAR!$J$6,$AI517))),OR(BUSCAR!$J$8="",ISNUMBER(SEARCH(BUSCAR!$J$8,$AI517))),OR(BUSCAR!$J$9="",ISNUMBER(SEARCH(BUSCAR!$J$9,$AI517))),OR(NOT(BUSCAR!$J$2),AND(ISNUMBER($AF517),$AF517&gt;=BUSCAR!$J$3,$AF517&lt;=BUSCAR!$J$4))),1,0))</f>
      </c>
      <c r="AH517" s="42">
        <f t="shared" si="24"/>
      </c>
      <c r="AI517" s="42">
        <f t="shared" si="25"/>
      </c>
    </row>
    <row r="518" spans="1:35" x14ac:dyDescent="0.2">
      <c r="A518" s="66">
        <f t="shared" si="26"/>
      </c>
      <c r="B518" s="4"/>
      <c r="C518" s="4"/>
      <c r="D518" s="4"/>
      <c r="E518" s="4"/>
      <c r="F518" s="32"/>
      <c r="G518" s="8"/>
      <c r="H518" s="9"/>
      <c r="I518" s="8"/>
      <c r="J518" s="10"/>
      <c r="K518" s="8"/>
      <c r="L518" s="8"/>
      <c r="M518" s="8"/>
      <c r="N518" s="11"/>
      <c r="O518" s="9"/>
      <c r="P518" s="12"/>
      <c r="Q518" s="9"/>
      <c r="R518" s="13"/>
      <c r="S518" s="11"/>
      <c r="T518" s="11"/>
      <c r="U518" s="9"/>
      <c r="V518" s="9"/>
      <c r="W518" s="9"/>
      <c r="X518" s="16"/>
      <c r="AF518" s="42">
        <f>IF(BUSCAR!$C$8="FECHA NAC.",$G518,IF(BUSCAR!$C$8="PASAPORTE EXPIRA",$J518,IF(BUSCAR!$C$8="LICENCIA EMISION",$L518,IF(BUSCAR!$C$8="LICENCIA EXPIRA",$M518,""))))</f>
      </c>
      <c r="AG518" s="42">
        <f>IF($B518&amp;$C518&amp;$D518&amp;$E518&amp;$H518="",0,IF(AND(OR(BUSCAR!$J$5="",ISNUMBER(SEARCH(BUSCAR!$J$5,$AI518))),OR(BUSCAR!$J$6="",ISNUMBER(SEARCH(BUSCAR!$J$6,$AI518))),OR(BUSCAR!$J$8="",ISNUMBER(SEARCH(BUSCAR!$J$8,$AI518))),OR(BUSCAR!$J$9="",ISNUMBER(SEARCH(BUSCAR!$J$9,$AI518))),OR(NOT(BUSCAR!$J$2),AND(ISNUMBER($AF518),$AF518&gt;=BUSCAR!$J$3,$AF518&lt;=BUSCAR!$J$4))),1,0))</f>
      </c>
      <c r="AH518" s="42">
        <f t="shared" si="24"/>
      </c>
      <c r="AI518" s="42">
        <f t="shared" si="25"/>
      </c>
    </row>
    <row r="519" spans="1:35" x14ac:dyDescent="0.2">
      <c r="A519" s="66">
        <f t="shared" si="26"/>
      </c>
      <c r="B519" s="4"/>
      <c r="C519" s="4"/>
      <c r="D519" s="4"/>
      <c r="E519" s="4"/>
      <c r="F519" s="32"/>
      <c r="G519" s="8"/>
      <c r="H519" s="9"/>
      <c r="I519" s="8"/>
      <c r="J519" s="10"/>
      <c r="K519" s="8"/>
      <c r="L519" s="8"/>
      <c r="M519" s="8"/>
      <c r="N519" s="11"/>
      <c r="O519" s="9"/>
      <c r="P519" s="12"/>
      <c r="Q519" s="9"/>
      <c r="R519" s="13"/>
      <c r="S519" s="11"/>
      <c r="T519" s="11"/>
      <c r="U519" s="9"/>
      <c r="V519" s="9"/>
      <c r="W519" s="9"/>
      <c r="X519" s="16"/>
      <c r="AF519" s="42">
        <f>IF(BUSCAR!$C$8="FECHA NAC.",$G519,IF(BUSCAR!$C$8="PASAPORTE EXPIRA",$J519,IF(BUSCAR!$C$8="LICENCIA EMISION",$L519,IF(BUSCAR!$C$8="LICENCIA EXPIRA",$M519,""))))</f>
      </c>
      <c r="AG519" s="42">
        <f>IF($B519&amp;$C519&amp;$D519&amp;$E519&amp;$H519="",0,IF(AND(OR(BUSCAR!$J$5="",ISNUMBER(SEARCH(BUSCAR!$J$5,$AI519))),OR(BUSCAR!$J$6="",ISNUMBER(SEARCH(BUSCAR!$J$6,$AI519))),OR(BUSCAR!$J$8="",ISNUMBER(SEARCH(BUSCAR!$J$8,$AI519))),OR(BUSCAR!$J$9="",ISNUMBER(SEARCH(BUSCAR!$J$9,$AI519))),OR(NOT(BUSCAR!$J$2),AND(ISNUMBER($AF519),$AF519&gt;=BUSCAR!$J$3,$AF519&lt;=BUSCAR!$J$4))),1,0))</f>
      </c>
      <c r="AH519" s="42">
        <f t="shared" si="24"/>
      </c>
      <c r="AI519" s="42">
        <f t="shared" si="25"/>
      </c>
    </row>
    <row r="520" spans="1:35" x14ac:dyDescent="0.2">
      <c r="A520" s="66">
        <f t="shared" si="26"/>
      </c>
      <c r="B520" s="4"/>
      <c r="C520" s="4"/>
      <c r="D520" s="4"/>
      <c r="E520" s="4"/>
      <c r="F520" s="32"/>
      <c r="G520" s="8"/>
      <c r="H520" s="9"/>
      <c r="I520" s="8"/>
      <c r="J520" s="10"/>
      <c r="K520" s="8"/>
      <c r="L520" s="8"/>
      <c r="M520" s="8"/>
      <c r="N520" s="11"/>
      <c r="O520" s="9"/>
      <c r="P520" s="12"/>
      <c r="Q520" s="9"/>
      <c r="R520" s="13"/>
      <c r="S520" s="11"/>
      <c r="T520" s="11"/>
      <c r="U520" s="9"/>
      <c r="V520" s="9"/>
      <c r="W520" s="9"/>
      <c r="X520" s="16"/>
      <c r="AF520" s="42">
        <f>IF(BUSCAR!$C$8="FECHA NAC.",$G520,IF(BUSCAR!$C$8="PASAPORTE EXPIRA",$J520,IF(BUSCAR!$C$8="LICENCIA EMISION",$L520,IF(BUSCAR!$C$8="LICENCIA EXPIRA",$M520,""))))</f>
      </c>
      <c r="AG520" s="42">
        <f>IF($B520&amp;$C520&amp;$D520&amp;$E520&amp;$H520="",0,IF(AND(OR(BUSCAR!$J$5="",ISNUMBER(SEARCH(BUSCAR!$J$5,$AI520))),OR(BUSCAR!$J$6="",ISNUMBER(SEARCH(BUSCAR!$J$6,$AI520))),OR(BUSCAR!$J$8="",ISNUMBER(SEARCH(BUSCAR!$J$8,$AI520))),OR(BUSCAR!$J$9="",ISNUMBER(SEARCH(BUSCAR!$J$9,$AI520))),OR(NOT(BUSCAR!$J$2),AND(ISNUMBER($AF520),$AF520&gt;=BUSCAR!$J$3,$AF520&lt;=BUSCAR!$J$4))),1,0))</f>
      </c>
      <c r="AH520" s="42">
        <f t="shared" si="24"/>
      </c>
      <c r="AI520" s="42">
        <f t="shared" si="25"/>
      </c>
    </row>
    <row r="521" spans="1:35" x14ac:dyDescent="0.2">
      <c r="A521" s="66">
        <f t="shared" si="26"/>
      </c>
      <c r="B521" s="4"/>
      <c r="C521" s="4"/>
      <c r="D521" s="4"/>
      <c r="E521" s="4"/>
      <c r="F521" s="32"/>
      <c r="G521" s="8"/>
      <c r="H521" s="9"/>
      <c r="I521" s="8"/>
      <c r="J521" s="10"/>
      <c r="K521" s="8"/>
      <c r="L521" s="8"/>
      <c r="M521" s="8"/>
      <c r="N521" s="11"/>
      <c r="O521" s="9"/>
      <c r="P521" s="12"/>
      <c r="Q521" s="9"/>
      <c r="R521" s="13"/>
      <c r="S521" s="11"/>
      <c r="T521" s="11"/>
      <c r="U521" s="9"/>
      <c r="V521" s="9"/>
      <c r="W521" s="9"/>
      <c r="X521" s="16"/>
      <c r="AF521" s="42">
        <f>IF(BUSCAR!$C$8="FECHA NAC.",$G521,IF(BUSCAR!$C$8="PASAPORTE EXPIRA",$J521,IF(BUSCAR!$C$8="LICENCIA EMISION",$L521,IF(BUSCAR!$C$8="LICENCIA EXPIRA",$M521,""))))</f>
      </c>
      <c r="AG521" s="42">
        <f>IF($B521&amp;$C521&amp;$D521&amp;$E521&amp;$H521="",0,IF(AND(OR(BUSCAR!$J$5="",ISNUMBER(SEARCH(BUSCAR!$J$5,$AI521))),OR(BUSCAR!$J$6="",ISNUMBER(SEARCH(BUSCAR!$J$6,$AI521))),OR(BUSCAR!$J$8="",ISNUMBER(SEARCH(BUSCAR!$J$8,$AI521))),OR(BUSCAR!$J$9="",ISNUMBER(SEARCH(BUSCAR!$J$9,$AI521))),OR(NOT(BUSCAR!$J$2),AND(ISNUMBER($AF521),$AF521&gt;=BUSCAR!$J$3,$AF521&lt;=BUSCAR!$J$4))),1,0))</f>
      </c>
      <c r="AH521" s="42">
        <f t="shared" si="24"/>
      </c>
      <c r="AI521" s="42">
        <f t="shared" si="25"/>
      </c>
    </row>
    <row r="522" spans="1:35" x14ac:dyDescent="0.2">
      <c r="A522" s="66">
        <f t="shared" si="26"/>
      </c>
      <c r="B522" s="4"/>
      <c r="C522" s="4"/>
      <c r="D522" s="4"/>
      <c r="E522" s="4"/>
      <c r="F522" s="32"/>
      <c r="G522" s="8"/>
      <c r="H522" s="9"/>
      <c r="I522" s="8"/>
      <c r="J522" s="10"/>
      <c r="K522" s="8"/>
      <c r="L522" s="8"/>
      <c r="M522" s="8"/>
      <c r="N522" s="11"/>
      <c r="O522" s="9"/>
      <c r="P522" s="12"/>
      <c r="Q522" s="9"/>
      <c r="R522" s="13"/>
      <c r="S522" s="11"/>
      <c r="T522" s="11"/>
      <c r="U522" s="9"/>
      <c r="V522" s="9"/>
      <c r="W522" s="9"/>
      <c r="X522" s="16"/>
      <c r="AF522" s="42">
        <f>IF(BUSCAR!$C$8="FECHA NAC.",$G522,IF(BUSCAR!$C$8="PASAPORTE EXPIRA",$J522,IF(BUSCAR!$C$8="LICENCIA EMISION",$L522,IF(BUSCAR!$C$8="LICENCIA EXPIRA",$M522,""))))</f>
      </c>
      <c r="AG522" s="42">
        <f>IF($B522&amp;$C522&amp;$D522&amp;$E522&amp;$H522="",0,IF(AND(OR(BUSCAR!$J$5="",ISNUMBER(SEARCH(BUSCAR!$J$5,$AI522))),OR(BUSCAR!$J$6="",ISNUMBER(SEARCH(BUSCAR!$J$6,$AI522))),OR(BUSCAR!$J$8="",ISNUMBER(SEARCH(BUSCAR!$J$8,$AI522))),OR(BUSCAR!$J$9="",ISNUMBER(SEARCH(BUSCAR!$J$9,$AI522))),OR(NOT(BUSCAR!$J$2),AND(ISNUMBER($AF522),$AF522&gt;=BUSCAR!$J$3,$AF522&lt;=BUSCAR!$J$4))),1,0))</f>
      </c>
      <c r="AH522" s="42">
        <f t="shared" si="24"/>
      </c>
      <c r="AI522" s="42">
        <f t="shared" si="25"/>
      </c>
    </row>
    <row r="523" spans="1:35" x14ac:dyDescent="0.2">
      <c r="A523" s="66">
        <f t="shared" si="26"/>
      </c>
      <c r="B523" s="4"/>
      <c r="C523" s="4"/>
      <c r="D523" s="4"/>
      <c r="E523" s="4"/>
      <c r="F523" s="32"/>
      <c r="G523" s="8"/>
      <c r="H523" s="9"/>
      <c r="I523" s="8"/>
      <c r="J523" s="10"/>
      <c r="K523" s="8"/>
      <c r="L523" s="8"/>
      <c r="M523" s="8"/>
      <c r="N523" s="11"/>
      <c r="O523" s="9"/>
      <c r="P523" s="12"/>
      <c r="Q523" s="9"/>
      <c r="R523" s="13"/>
      <c r="S523" s="11"/>
      <c r="T523" s="11"/>
      <c r="U523" s="9"/>
      <c r="V523" s="9"/>
      <c r="W523" s="9"/>
      <c r="X523" s="16"/>
      <c r="AF523" s="42">
        <f>IF(BUSCAR!$C$8="FECHA NAC.",$G523,IF(BUSCAR!$C$8="PASAPORTE EXPIRA",$J523,IF(BUSCAR!$C$8="LICENCIA EMISION",$L523,IF(BUSCAR!$C$8="LICENCIA EXPIRA",$M523,""))))</f>
      </c>
      <c r="AG523" s="42">
        <f>IF($B523&amp;$C523&amp;$D523&amp;$E523&amp;$H523="",0,IF(AND(OR(BUSCAR!$J$5="",ISNUMBER(SEARCH(BUSCAR!$J$5,$AI523))),OR(BUSCAR!$J$6="",ISNUMBER(SEARCH(BUSCAR!$J$6,$AI523))),OR(BUSCAR!$J$8="",ISNUMBER(SEARCH(BUSCAR!$J$8,$AI523))),OR(BUSCAR!$J$9="",ISNUMBER(SEARCH(BUSCAR!$J$9,$AI523))),OR(NOT(BUSCAR!$J$2),AND(ISNUMBER($AF523),$AF523&gt;=BUSCAR!$J$3,$AF523&lt;=BUSCAR!$J$4))),1,0))</f>
      </c>
      <c r="AH523" s="42">
        <f t="shared" si="24"/>
      </c>
      <c r="AI523" s="42">
        <f t="shared" si="25"/>
      </c>
    </row>
    <row r="524" spans="1:35" x14ac:dyDescent="0.2">
      <c r="A524" s="66">
        <f t="shared" si="26"/>
      </c>
      <c r="B524" s="4"/>
      <c r="C524" s="4"/>
      <c r="D524" s="4"/>
      <c r="E524" s="4"/>
      <c r="F524" s="32"/>
      <c r="G524" s="8"/>
      <c r="H524" s="9"/>
      <c r="I524" s="8"/>
      <c r="J524" s="10"/>
      <c r="K524" s="8"/>
      <c r="L524" s="8"/>
      <c r="M524" s="8"/>
      <c r="N524" s="11"/>
      <c r="O524" s="9"/>
      <c r="P524" s="12"/>
      <c r="Q524" s="9"/>
      <c r="R524" s="13"/>
      <c r="S524" s="11"/>
      <c r="T524" s="11"/>
      <c r="U524" s="9"/>
      <c r="V524" s="9"/>
      <c r="W524" s="9"/>
      <c r="X524" s="16"/>
      <c r="AF524" s="42">
        <f>IF(BUSCAR!$C$8="FECHA NAC.",$G524,IF(BUSCAR!$C$8="PASAPORTE EXPIRA",$J524,IF(BUSCAR!$C$8="LICENCIA EMISION",$L524,IF(BUSCAR!$C$8="LICENCIA EXPIRA",$M524,""))))</f>
      </c>
      <c r="AG524" s="42">
        <f>IF($B524&amp;$C524&amp;$D524&amp;$E524&amp;$H524="",0,IF(AND(OR(BUSCAR!$J$5="",ISNUMBER(SEARCH(BUSCAR!$J$5,$AI524))),OR(BUSCAR!$J$6="",ISNUMBER(SEARCH(BUSCAR!$J$6,$AI524))),OR(BUSCAR!$J$8="",ISNUMBER(SEARCH(BUSCAR!$J$8,$AI524))),OR(BUSCAR!$J$9="",ISNUMBER(SEARCH(BUSCAR!$J$9,$AI524))),OR(NOT(BUSCAR!$J$2),AND(ISNUMBER($AF524),$AF524&gt;=BUSCAR!$J$3,$AF524&lt;=BUSCAR!$J$4))),1,0))</f>
      </c>
      <c r="AH524" s="42">
        <f t="shared" si="24"/>
      </c>
      <c r="AI524" s="42">
        <f t="shared" si="25"/>
      </c>
    </row>
    <row r="525" spans="1:35" x14ac:dyDescent="0.2">
      <c r="A525" s="66">
        <f t="shared" si="26"/>
      </c>
      <c r="B525" s="4"/>
      <c r="C525" s="4"/>
      <c r="D525" s="4"/>
      <c r="E525" s="4"/>
      <c r="F525" s="32"/>
      <c r="G525" s="8"/>
      <c r="H525" s="9"/>
      <c r="I525" s="8"/>
      <c r="J525" s="10"/>
      <c r="K525" s="8"/>
      <c r="L525" s="8"/>
      <c r="M525" s="8"/>
      <c r="N525" s="11"/>
      <c r="O525" s="9"/>
      <c r="P525" s="12"/>
      <c r="Q525" s="9"/>
      <c r="R525" s="13"/>
      <c r="S525" s="11"/>
      <c r="T525" s="11"/>
      <c r="U525" s="9"/>
      <c r="V525" s="9"/>
      <c r="W525" s="9"/>
      <c r="X525" s="16"/>
      <c r="AF525" s="42">
        <f>IF(BUSCAR!$C$8="FECHA NAC.",$G525,IF(BUSCAR!$C$8="PASAPORTE EXPIRA",$J525,IF(BUSCAR!$C$8="LICENCIA EMISION",$L525,IF(BUSCAR!$C$8="LICENCIA EXPIRA",$M525,""))))</f>
      </c>
      <c r="AG525" s="42">
        <f>IF($B525&amp;$C525&amp;$D525&amp;$E525&amp;$H525="",0,IF(AND(OR(BUSCAR!$J$5="",ISNUMBER(SEARCH(BUSCAR!$J$5,$AI525))),OR(BUSCAR!$J$6="",ISNUMBER(SEARCH(BUSCAR!$J$6,$AI525))),OR(BUSCAR!$J$8="",ISNUMBER(SEARCH(BUSCAR!$J$8,$AI525))),OR(BUSCAR!$J$9="",ISNUMBER(SEARCH(BUSCAR!$J$9,$AI525))),OR(NOT(BUSCAR!$J$2),AND(ISNUMBER($AF525),$AF525&gt;=BUSCAR!$J$3,$AF525&lt;=BUSCAR!$J$4))),1,0))</f>
      </c>
      <c r="AH525" s="42">
        <f t="shared" si="24"/>
      </c>
      <c r="AI525" s="42">
        <f t="shared" si="25"/>
      </c>
    </row>
    <row r="526" spans="1:35" x14ac:dyDescent="0.2">
      <c r="A526" s="66">
        <f t="shared" si="26"/>
      </c>
      <c r="B526" s="4"/>
      <c r="C526" s="4"/>
      <c r="D526" s="4"/>
      <c r="E526" s="4"/>
      <c r="F526" s="32"/>
      <c r="G526" s="8"/>
      <c r="H526" s="9"/>
      <c r="I526" s="8"/>
      <c r="J526" s="10"/>
      <c r="K526" s="8"/>
      <c r="L526" s="8"/>
      <c r="M526" s="8"/>
      <c r="N526" s="11"/>
      <c r="O526" s="9"/>
      <c r="P526" s="12"/>
      <c r="Q526" s="9"/>
      <c r="R526" s="13"/>
      <c r="S526" s="11"/>
      <c r="T526" s="11"/>
      <c r="U526" s="9"/>
      <c r="V526" s="9"/>
      <c r="W526" s="9"/>
      <c r="X526" s="16"/>
      <c r="AF526" s="42">
        <f>IF(BUSCAR!$C$8="FECHA NAC.",$G526,IF(BUSCAR!$C$8="PASAPORTE EXPIRA",$J526,IF(BUSCAR!$C$8="LICENCIA EMISION",$L526,IF(BUSCAR!$C$8="LICENCIA EXPIRA",$M526,""))))</f>
      </c>
      <c r="AG526" s="42">
        <f>IF($B526&amp;$C526&amp;$D526&amp;$E526&amp;$H526="",0,IF(AND(OR(BUSCAR!$J$5="",ISNUMBER(SEARCH(BUSCAR!$J$5,$AI526))),OR(BUSCAR!$J$6="",ISNUMBER(SEARCH(BUSCAR!$J$6,$AI526))),OR(BUSCAR!$J$8="",ISNUMBER(SEARCH(BUSCAR!$J$8,$AI526))),OR(BUSCAR!$J$9="",ISNUMBER(SEARCH(BUSCAR!$J$9,$AI526))),OR(NOT(BUSCAR!$J$2),AND(ISNUMBER($AF526),$AF526&gt;=BUSCAR!$J$3,$AF526&lt;=BUSCAR!$J$4))),1,0))</f>
      </c>
      <c r="AH526" s="42">
        <f t="shared" si="24"/>
      </c>
      <c r="AI526" s="42">
        <f t="shared" si="25"/>
      </c>
    </row>
    <row r="527" spans="1:35" x14ac:dyDescent="0.2">
      <c r="A527" s="66">
        <f t="shared" si="26"/>
      </c>
      <c r="B527" s="4"/>
      <c r="C527" s="4"/>
      <c r="D527" s="4"/>
      <c r="E527" s="4"/>
      <c r="F527" s="32"/>
      <c r="G527" s="8"/>
      <c r="H527" s="9"/>
      <c r="I527" s="8"/>
      <c r="J527" s="10"/>
      <c r="K527" s="8"/>
      <c r="L527" s="8"/>
      <c r="M527" s="8"/>
      <c r="N527" s="11"/>
      <c r="O527" s="9"/>
      <c r="P527" s="12"/>
      <c r="Q527" s="9"/>
      <c r="R527" s="13"/>
      <c r="S527" s="11"/>
      <c r="T527" s="11"/>
      <c r="U527" s="9"/>
      <c r="V527" s="9"/>
      <c r="W527" s="9"/>
      <c r="X527" s="16"/>
      <c r="AF527" s="42">
        <f>IF(BUSCAR!$C$8="FECHA NAC.",$G527,IF(BUSCAR!$C$8="PASAPORTE EXPIRA",$J527,IF(BUSCAR!$C$8="LICENCIA EMISION",$L527,IF(BUSCAR!$C$8="LICENCIA EXPIRA",$M527,""))))</f>
      </c>
      <c r="AG527" s="42">
        <f>IF($B527&amp;$C527&amp;$D527&amp;$E527&amp;$H527="",0,IF(AND(OR(BUSCAR!$J$5="",ISNUMBER(SEARCH(BUSCAR!$J$5,$AI527))),OR(BUSCAR!$J$6="",ISNUMBER(SEARCH(BUSCAR!$J$6,$AI527))),OR(BUSCAR!$J$8="",ISNUMBER(SEARCH(BUSCAR!$J$8,$AI527))),OR(BUSCAR!$J$9="",ISNUMBER(SEARCH(BUSCAR!$J$9,$AI527))),OR(NOT(BUSCAR!$J$2),AND(ISNUMBER($AF527),$AF527&gt;=BUSCAR!$J$3,$AF527&lt;=BUSCAR!$J$4))),1,0))</f>
      </c>
      <c r="AH527" s="42">
        <f t="shared" si="24"/>
      </c>
      <c r="AI527" s="42">
        <f t="shared" si="25"/>
      </c>
    </row>
    <row r="528" spans="1:35" x14ac:dyDescent="0.2">
      <c r="A528" s="66">
        <f t="shared" si="26"/>
      </c>
      <c r="B528" s="4"/>
      <c r="C528" s="4"/>
      <c r="D528" s="4"/>
      <c r="E528" s="4"/>
      <c r="F528" s="32"/>
      <c r="G528" s="8"/>
      <c r="H528" s="9"/>
      <c r="I528" s="8"/>
      <c r="J528" s="10"/>
      <c r="K528" s="8"/>
      <c r="L528" s="8"/>
      <c r="M528" s="8"/>
      <c r="N528" s="11"/>
      <c r="O528" s="9"/>
      <c r="P528" s="12"/>
      <c r="Q528" s="9"/>
      <c r="R528" s="13"/>
      <c r="S528" s="11"/>
      <c r="T528" s="11"/>
      <c r="U528" s="9"/>
      <c r="V528" s="9"/>
      <c r="W528" s="9"/>
      <c r="X528" s="16"/>
      <c r="AF528" s="42">
        <f>IF(BUSCAR!$C$8="FECHA NAC.",$G528,IF(BUSCAR!$C$8="PASAPORTE EXPIRA",$J528,IF(BUSCAR!$C$8="LICENCIA EMISION",$L528,IF(BUSCAR!$C$8="LICENCIA EXPIRA",$M528,""))))</f>
      </c>
      <c r="AG528" s="42">
        <f>IF($B528&amp;$C528&amp;$D528&amp;$E528&amp;$H528="",0,IF(AND(OR(BUSCAR!$J$5="",ISNUMBER(SEARCH(BUSCAR!$J$5,$AI528))),OR(BUSCAR!$J$6="",ISNUMBER(SEARCH(BUSCAR!$J$6,$AI528))),OR(BUSCAR!$J$8="",ISNUMBER(SEARCH(BUSCAR!$J$8,$AI528))),OR(BUSCAR!$J$9="",ISNUMBER(SEARCH(BUSCAR!$J$9,$AI528))),OR(NOT(BUSCAR!$J$2),AND(ISNUMBER($AF528),$AF528&gt;=BUSCAR!$J$3,$AF528&lt;=BUSCAR!$J$4))),1,0))</f>
      </c>
      <c r="AH528" s="42">
        <f t="shared" si="24"/>
      </c>
      <c r="AI528" s="42">
        <f t="shared" si="25"/>
      </c>
    </row>
    <row r="529" spans="1:35" x14ac:dyDescent="0.2">
      <c r="A529" s="66">
        <f t="shared" si="26"/>
      </c>
      <c r="B529" s="4"/>
      <c r="C529" s="4"/>
      <c r="D529" s="4"/>
      <c r="E529" s="4"/>
      <c r="F529" s="32"/>
      <c r="G529" s="8"/>
      <c r="H529" s="9"/>
      <c r="I529" s="8"/>
      <c r="J529" s="10"/>
      <c r="K529" s="8"/>
      <c r="L529" s="8"/>
      <c r="M529" s="8"/>
      <c r="N529" s="11"/>
      <c r="O529" s="9"/>
      <c r="P529" s="12"/>
      <c r="Q529" s="9"/>
      <c r="R529" s="13"/>
      <c r="S529" s="11"/>
      <c r="T529" s="11"/>
      <c r="U529" s="9"/>
      <c r="V529" s="9"/>
      <c r="W529" s="9"/>
      <c r="X529" s="16"/>
      <c r="AF529" s="42">
        <f>IF(BUSCAR!$C$8="FECHA NAC.",$G529,IF(BUSCAR!$C$8="PASAPORTE EXPIRA",$J529,IF(BUSCAR!$C$8="LICENCIA EMISION",$L529,IF(BUSCAR!$C$8="LICENCIA EXPIRA",$M529,""))))</f>
      </c>
      <c r="AG529" s="42">
        <f>IF($B529&amp;$C529&amp;$D529&amp;$E529&amp;$H529="",0,IF(AND(OR(BUSCAR!$J$5="",ISNUMBER(SEARCH(BUSCAR!$J$5,$AI529))),OR(BUSCAR!$J$6="",ISNUMBER(SEARCH(BUSCAR!$J$6,$AI529))),OR(BUSCAR!$J$8="",ISNUMBER(SEARCH(BUSCAR!$J$8,$AI529))),OR(BUSCAR!$J$9="",ISNUMBER(SEARCH(BUSCAR!$J$9,$AI529))),OR(NOT(BUSCAR!$J$2),AND(ISNUMBER($AF529),$AF529&gt;=BUSCAR!$J$3,$AF529&lt;=BUSCAR!$J$4))),1,0))</f>
      </c>
      <c r="AH529" s="42">
        <f t="shared" si="24"/>
      </c>
      <c r="AI529" s="42">
        <f t="shared" si="25"/>
      </c>
    </row>
    <row r="530" spans="1:35" x14ac:dyDescent="0.2">
      <c r="A530" s="66">
        <f t="shared" si="26"/>
      </c>
      <c r="B530" s="4"/>
      <c r="C530" s="4"/>
      <c r="D530" s="4"/>
      <c r="E530" s="4"/>
      <c r="F530" s="32"/>
      <c r="G530" s="8"/>
      <c r="H530" s="8"/>
      <c r="I530" s="8"/>
      <c r="J530" s="10"/>
      <c r="K530" s="8"/>
      <c r="L530" s="8"/>
      <c r="M530" s="10"/>
      <c r="N530" s="11"/>
      <c r="O530" s="9"/>
      <c r="P530" s="12"/>
      <c r="Q530" s="9"/>
      <c r="R530" s="13"/>
      <c r="S530" s="11"/>
      <c r="T530" s="11"/>
      <c r="U530" s="9"/>
      <c r="V530" s="9"/>
      <c r="W530" s="9"/>
      <c r="X530" s="16"/>
      <c r="AF530" s="42">
        <f>IF(BUSCAR!$C$8="FECHA NAC.",$G530,IF(BUSCAR!$C$8="PASAPORTE EXPIRA",$J530,IF(BUSCAR!$C$8="LICENCIA EMISION",$L530,IF(BUSCAR!$C$8="LICENCIA EXPIRA",$M530,""))))</f>
      </c>
      <c r="AG530" s="42">
        <f>IF($B530&amp;$C530&amp;$D530&amp;$E530&amp;$H530="",0,IF(AND(OR(BUSCAR!$J$5="",ISNUMBER(SEARCH(BUSCAR!$J$5,$AI530))),OR(BUSCAR!$J$6="",ISNUMBER(SEARCH(BUSCAR!$J$6,$AI530))),OR(BUSCAR!$J$8="",ISNUMBER(SEARCH(BUSCAR!$J$8,$AI530))),OR(BUSCAR!$J$9="",ISNUMBER(SEARCH(BUSCAR!$J$9,$AI530))),OR(NOT(BUSCAR!$J$2),AND(ISNUMBER($AF530),$AF530&gt;=BUSCAR!$J$3,$AF530&lt;=BUSCAR!$J$4))),1,0))</f>
      </c>
      <c r="AH530" s="42">
        <f t="shared" si="24"/>
      </c>
      <c r="AI530" s="42">
        <f t="shared" si="25"/>
      </c>
    </row>
    <row r="531" spans="1:35" x14ac:dyDescent="0.2">
      <c r="A531" s="66">
        <f t="shared" si="26"/>
      </c>
      <c r="B531" s="4"/>
      <c r="C531" s="4"/>
      <c r="D531" s="4"/>
      <c r="E531" s="4"/>
      <c r="F531" s="32"/>
      <c r="G531" s="8"/>
      <c r="H531" s="9"/>
      <c r="I531" s="8"/>
      <c r="J531" s="10"/>
      <c r="K531" s="8"/>
      <c r="L531" s="8"/>
      <c r="M531" s="8"/>
      <c r="N531" s="11"/>
      <c r="O531" s="9"/>
      <c r="P531" s="12"/>
      <c r="Q531" s="9"/>
      <c r="R531" s="13"/>
      <c r="S531" s="11"/>
      <c r="T531" s="11"/>
      <c r="U531" s="9"/>
      <c r="V531" s="9"/>
      <c r="W531" s="9"/>
      <c r="X531" s="16"/>
      <c r="AF531" s="42">
        <f>IF(BUSCAR!$C$8="FECHA NAC.",$G531,IF(BUSCAR!$C$8="PASAPORTE EXPIRA",$J531,IF(BUSCAR!$C$8="LICENCIA EMISION",$L531,IF(BUSCAR!$C$8="LICENCIA EXPIRA",$M531,""))))</f>
      </c>
      <c r="AG531" s="42">
        <f>IF($B531&amp;$C531&amp;$D531&amp;$E531&amp;$H531="",0,IF(AND(OR(BUSCAR!$J$5="",ISNUMBER(SEARCH(BUSCAR!$J$5,$AI531))),OR(BUSCAR!$J$6="",ISNUMBER(SEARCH(BUSCAR!$J$6,$AI531))),OR(BUSCAR!$J$8="",ISNUMBER(SEARCH(BUSCAR!$J$8,$AI531))),OR(BUSCAR!$J$9="",ISNUMBER(SEARCH(BUSCAR!$J$9,$AI531))),OR(NOT(BUSCAR!$J$2),AND(ISNUMBER($AF531),$AF531&gt;=BUSCAR!$J$3,$AF531&lt;=BUSCAR!$J$4))),1,0))</f>
      </c>
      <c r="AH531" s="42">
        <f t="shared" si="24"/>
      </c>
      <c r="AI531" s="42">
        <f t="shared" si="25"/>
      </c>
    </row>
    <row r="532" spans="1:35" x14ac:dyDescent="0.2">
      <c r="A532" s="66">
        <f t="shared" si="26"/>
      </c>
      <c r="B532" s="4"/>
      <c r="C532" s="4"/>
      <c r="D532" s="4"/>
      <c r="E532" s="4"/>
      <c r="F532" s="32"/>
      <c r="G532" s="8"/>
      <c r="H532" s="9"/>
      <c r="I532" s="8"/>
      <c r="J532" s="10"/>
      <c r="K532" s="8"/>
      <c r="L532" s="8"/>
      <c r="M532" s="8"/>
      <c r="N532" s="11"/>
      <c r="O532" s="9"/>
      <c r="P532" s="12"/>
      <c r="Q532" s="9"/>
      <c r="R532" s="13"/>
      <c r="S532" s="11"/>
      <c r="T532" s="11"/>
      <c r="U532" s="9"/>
      <c r="V532" s="9"/>
      <c r="W532" s="9"/>
      <c r="X532" s="16"/>
      <c r="AF532" s="42">
        <f>IF(BUSCAR!$C$8="FECHA NAC.",$G532,IF(BUSCAR!$C$8="PASAPORTE EXPIRA",$J532,IF(BUSCAR!$C$8="LICENCIA EMISION",$L532,IF(BUSCAR!$C$8="LICENCIA EXPIRA",$M532,""))))</f>
      </c>
      <c r="AG532" s="42">
        <f>IF($B532&amp;$C532&amp;$D532&amp;$E532&amp;$H532="",0,IF(AND(OR(BUSCAR!$J$5="",ISNUMBER(SEARCH(BUSCAR!$J$5,$AI532))),OR(BUSCAR!$J$6="",ISNUMBER(SEARCH(BUSCAR!$J$6,$AI532))),OR(BUSCAR!$J$8="",ISNUMBER(SEARCH(BUSCAR!$J$8,$AI532))),OR(BUSCAR!$J$9="",ISNUMBER(SEARCH(BUSCAR!$J$9,$AI532))),OR(NOT(BUSCAR!$J$2),AND(ISNUMBER($AF532),$AF532&gt;=BUSCAR!$J$3,$AF532&lt;=BUSCAR!$J$4))),1,0))</f>
      </c>
      <c r="AH532" s="42">
        <f t="shared" si="24"/>
      </c>
      <c r="AI532" s="42">
        <f t="shared" si="25"/>
      </c>
    </row>
    <row r="533" spans="1:35" x14ac:dyDescent="0.2">
      <c r="A533" s="66">
        <f t="shared" si="26"/>
      </c>
      <c r="B533" s="4"/>
      <c r="C533" s="4"/>
      <c r="D533" s="4"/>
      <c r="E533" s="4"/>
      <c r="F533" s="32"/>
      <c r="G533" s="8"/>
      <c r="H533" s="9"/>
      <c r="I533" s="8"/>
      <c r="J533" s="10"/>
      <c r="K533" s="8"/>
      <c r="L533" s="8"/>
      <c r="M533" s="8"/>
      <c r="N533" s="11"/>
      <c r="O533" s="9"/>
      <c r="P533" s="12"/>
      <c r="Q533" s="9"/>
      <c r="R533" s="13"/>
      <c r="S533" s="11"/>
      <c r="T533" s="11"/>
      <c r="U533" s="9"/>
      <c r="V533" s="9"/>
      <c r="W533" s="9"/>
      <c r="X533" s="16"/>
      <c r="AF533" s="42">
        <f>IF(BUSCAR!$C$8="FECHA NAC.",$G533,IF(BUSCAR!$C$8="PASAPORTE EXPIRA",$J533,IF(BUSCAR!$C$8="LICENCIA EMISION",$L533,IF(BUSCAR!$C$8="LICENCIA EXPIRA",$M533,""))))</f>
      </c>
      <c r="AG533" s="42">
        <f>IF($B533&amp;$C533&amp;$D533&amp;$E533&amp;$H533="",0,IF(AND(OR(BUSCAR!$J$5="",ISNUMBER(SEARCH(BUSCAR!$J$5,$AI533))),OR(BUSCAR!$J$6="",ISNUMBER(SEARCH(BUSCAR!$J$6,$AI533))),OR(BUSCAR!$J$8="",ISNUMBER(SEARCH(BUSCAR!$J$8,$AI533))),OR(BUSCAR!$J$9="",ISNUMBER(SEARCH(BUSCAR!$J$9,$AI533))),OR(NOT(BUSCAR!$J$2),AND(ISNUMBER($AF533),$AF533&gt;=BUSCAR!$J$3,$AF533&lt;=BUSCAR!$J$4))),1,0))</f>
      </c>
      <c r="AH533" s="42">
        <f t="shared" si="24"/>
      </c>
      <c r="AI533" s="42">
        <f t="shared" si="25"/>
      </c>
    </row>
    <row r="534" spans="1:35" x14ac:dyDescent="0.2">
      <c r="A534" s="66">
        <f t="shared" si="26"/>
      </c>
      <c r="B534" s="4"/>
      <c r="C534" s="4"/>
      <c r="D534" s="4"/>
      <c r="E534" s="4"/>
      <c r="F534" s="32"/>
      <c r="G534" s="8"/>
      <c r="H534" s="9"/>
      <c r="I534" s="8"/>
      <c r="J534" s="10"/>
      <c r="K534" s="8"/>
      <c r="L534" s="8"/>
      <c r="M534" s="8"/>
      <c r="N534" s="11"/>
      <c r="O534" s="9"/>
      <c r="P534" s="12"/>
      <c r="Q534" s="9"/>
      <c r="R534" s="13"/>
      <c r="S534" s="11"/>
      <c r="T534" s="11"/>
      <c r="U534" s="9"/>
      <c r="V534" s="9"/>
      <c r="W534" s="9"/>
      <c r="X534" s="16"/>
      <c r="AF534" s="42">
        <f>IF(BUSCAR!$C$8="FECHA NAC.",$G534,IF(BUSCAR!$C$8="PASAPORTE EXPIRA",$J534,IF(BUSCAR!$C$8="LICENCIA EMISION",$L534,IF(BUSCAR!$C$8="LICENCIA EXPIRA",$M534,""))))</f>
      </c>
      <c r="AG534" s="42">
        <f>IF($B534&amp;$C534&amp;$D534&amp;$E534&amp;$H534="",0,IF(AND(OR(BUSCAR!$J$5="",ISNUMBER(SEARCH(BUSCAR!$J$5,$AI534))),OR(BUSCAR!$J$6="",ISNUMBER(SEARCH(BUSCAR!$J$6,$AI534))),OR(BUSCAR!$J$8="",ISNUMBER(SEARCH(BUSCAR!$J$8,$AI534))),OR(BUSCAR!$J$9="",ISNUMBER(SEARCH(BUSCAR!$J$9,$AI534))),OR(NOT(BUSCAR!$J$2),AND(ISNUMBER($AF534),$AF534&gt;=BUSCAR!$J$3,$AF534&lt;=BUSCAR!$J$4))),1,0))</f>
      </c>
      <c r="AH534" s="42">
        <f t="shared" si="24"/>
      </c>
      <c r="AI534" s="42">
        <f t="shared" si="25"/>
      </c>
    </row>
    <row r="535" spans="1:35" x14ac:dyDescent="0.2">
      <c r="A535" s="66">
        <f t="shared" si="26"/>
      </c>
      <c r="B535" s="4"/>
      <c r="C535" s="4"/>
      <c r="D535" s="4"/>
      <c r="E535" s="4"/>
      <c r="F535" s="32"/>
      <c r="G535" s="8"/>
      <c r="H535" s="9"/>
      <c r="I535" s="8"/>
      <c r="J535" s="10"/>
      <c r="K535" s="8"/>
      <c r="L535" s="8"/>
      <c r="M535" s="8"/>
      <c r="N535" s="11"/>
      <c r="O535" s="9"/>
      <c r="P535" s="12"/>
      <c r="Q535" s="9"/>
      <c r="R535" s="13"/>
      <c r="S535" s="11"/>
      <c r="T535" s="11"/>
      <c r="U535" s="9"/>
      <c r="V535" s="9"/>
      <c r="W535" s="9"/>
      <c r="X535" s="16"/>
      <c r="AF535" s="42">
        <f>IF(BUSCAR!$C$8="FECHA NAC.",$G535,IF(BUSCAR!$C$8="PASAPORTE EXPIRA",$J535,IF(BUSCAR!$C$8="LICENCIA EMISION",$L535,IF(BUSCAR!$C$8="LICENCIA EXPIRA",$M535,""))))</f>
      </c>
      <c r="AG535" s="42">
        <f>IF($B535&amp;$C535&amp;$D535&amp;$E535&amp;$H535="",0,IF(AND(OR(BUSCAR!$J$5="",ISNUMBER(SEARCH(BUSCAR!$J$5,$AI535))),OR(BUSCAR!$J$6="",ISNUMBER(SEARCH(BUSCAR!$J$6,$AI535))),OR(BUSCAR!$J$8="",ISNUMBER(SEARCH(BUSCAR!$J$8,$AI535))),OR(BUSCAR!$J$9="",ISNUMBER(SEARCH(BUSCAR!$J$9,$AI535))),OR(NOT(BUSCAR!$J$2),AND(ISNUMBER($AF535),$AF535&gt;=BUSCAR!$J$3,$AF535&lt;=BUSCAR!$J$4))),1,0))</f>
      </c>
      <c r="AH535" s="42">
        <f t="shared" si="24"/>
      </c>
      <c r="AI535" s="42">
        <f t="shared" si="25"/>
      </c>
    </row>
    <row r="536" spans="1:35" x14ac:dyDescent="0.2">
      <c r="A536" s="66">
        <f t="shared" si="26"/>
      </c>
      <c r="B536" s="4"/>
      <c r="C536" s="4"/>
      <c r="D536" s="4"/>
      <c r="E536" s="4"/>
      <c r="F536" s="32"/>
      <c r="G536" s="8"/>
      <c r="H536" s="9"/>
      <c r="I536" s="8"/>
      <c r="J536" s="10"/>
      <c r="K536" s="8"/>
      <c r="L536" s="8"/>
      <c r="M536" s="8"/>
      <c r="N536" s="11"/>
      <c r="O536" s="9"/>
      <c r="P536" s="12"/>
      <c r="Q536" s="9"/>
      <c r="R536" s="13"/>
      <c r="S536" s="11"/>
      <c r="T536" s="11"/>
      <c r="U536" s="9"/>
      <c r="V536" s="9"/>
      <c r="W536" s="9"/>
      <c r="X536" s="16"/>
      <c r="AF536" s="42">
        <f>IF(BUSCAR!$C$8="FECHA NAC.",$G536,IF(BUSCAR!$C$8="PASAPORTE EXPIRA",$J536,IF(BUSCAR!$C$8="LICENCIA EMISION",$L536,IF(BUSCAR!$C$8="LICENCIA EXPIRA",$M536,""))))</f>
      </c>
      <c r="AG536" s="42">
        <f>IF($B536&amp;$C536&amp;$D536&amp;$E536&amp;$H536="",0,IF(AND(OR(BUSCAR!$J$5="",ISNUMBER(SEARCH(BUSCAR!$J$5,$AI536))),OR(BUSCAR!$J$6="",ISNUMBER(SEARCH(BUSCAR!$J$6,$AI536))),OR(BUSCAR!$J$8="",ISNUMBER(SEARCH(BUSCAR!$J$8,$AI536))),OR(BUSCAR!$J$9="",ISNUMBER(SEARCH(BUSCAR!$J$9,$AI536))),OR(NOT(BUSCAR!$J$2),AND(ISNUMBER($AF536),$AF536&gt;=BUSCAR!$J$3,$AF536&lt;=BUSCAR!$J$4))),1,0))</f>
      </c>
      <c r="AH536" s="42">
        <f t="shared" si="24"/>
      </c>
      <c r="AI536" s="42">
        <f t="shared" si="25"/>
      </c>
    </row>
    <row r="537" spans="1:35" x14ac:dyDescent="0.2">
      <c r="A537" s="66">
        <f t="shared" si="26"/>
      </c>
      <c r="B537" s="4"/>
      <c r="C537" s="4"/>
      <c r="D537" s="4"/>
      <c r="E537" s="4"/>
      <c r="F537" s="32"/>
      <c r="G537" s="8"/>
      <c r="H537" s="9"/>
      <c r="I537" s="8"/>
      <c r="J537" s="10"/>
      <c r="K537" s="8"/>
      <c r="L537" s="8"/>
      <c r="M537" s="8"/>
      <c r="N537" s="11"/>
      <c r="O537" s="9"/>
      <c r="P537" s="12"/>
      <c r="Q537" s="9"/>
      <c r="R537" s="13"/>
      <c r="S537" s="11"/>
      <c r="T537" s="11"/>
      <c r="U537" s="9"/>
      <c r="V537" s="9"/>
      <c r="W537" s="9"/>
      <c r="X537" s="16"/>
      <c r="AF537" s="42">
        <f>IF(BUSCAR!$C$8="FECHA NAC.",$G537,IF(BUSCAR!$C$8="PASAPORTE EXPIRA",$J537,IF(BUSCAR!$C$8="LICENCIA EMISION",$L537,IF(BUSCAR!$C$8="LICENCIA EXPIRA",$M537,""))))</f>
      </c>
      <c r="AG537" s="42">
        <f>IF($B537&amp;$C537&amp;$D537&amp;$E537&amp;$H537="",0,IF(AND(OR(BUSCAR!$J$5="",ISNUMBER(SEARCH(BUSCAR!$J$5,$AI537))),OR(BUSCAR!$J$6="",ISNUMBER(SEARCH(BUSCAR!$J$6,$AI537))),OR(BUSCAR!$J$8="",ISNUMBER(SEARCH(BUSCAR!$J$8,$AI537))),OR(BUSCAR!$J$9="",ISNUMBER(SEARCH(BUSCAR!$J$9,$AI537))),OR(NOT(BUSCAR!$J$2),AND(ISNUMBER($AF537),$AF537&gt;=BUSCAR!$J$3,$AF537&lt;=BUSCAR!$J$4))),1,0))</f>
      </c>
      <c r="AH537" s="42">
        <f t="shared" si="24"/>
      </c>
      <c r="AI537" s="42">
        <f t="shared" si="25"/>
      </c>
    </row>
    <row r="538" spans="1:35" x14ac:dyDescent="0.2">
      <c r="A538" s="66">
        <f t="shared" si="26"/>
      </c>
      <c r="B538" s="4"/>
      <c r="C538" s="4"/>
      <c r="D538" s="4"/>
      <c r="E538" s="4"/>
      <c r="F538" s="32"/>
      <c r="G538" s="8"/>
      <c r="H538" s="9"/>
      <c r="I538" s="8"/>
      <c r="J538" s="10"/>
      <c r="K538" s="8"/>
      <c r="L538" s="8"/>
      <c r="M538" s="8"/>
      <c r="N538" s="11"/>
      <c r="O538" s="9"/>
      <c r="P538" s="12"/>
      <c r="Q538" s="9"/>
      <c r="R538" s="13"/>
      <c r="S538" s="11"/>
      <c r="T538" s="11"/>
      <c r="U538" s="9"/>
      <c r="V538" s="9"/>
      <c r="W538" s="9"/>
      <c r="X538" s="16"/>
      <c r="AF538" s="42">
        <f>IF(BUSCAR!$C$8="FECHA NAC.",$G538,IF(BUSCAR!$C$8="PASAPORTE EXPIRA",$J538,IF(BUSCAR!$C$8="LICENCIA EMISION",$L538,IF(BUSCAR!$C$8="LICENCIA EXPIRA",$M538,""))))</f>
      </c>
      <c r="AG538" s="42">
        <f>IF($B538&amp;$C538&amp;$D538&amp;$E538&amp;$H538="",0,IF(AND(OR(BUSCAR!$J$5="",ISNUMBER(SEARCH(BUSCAR!$J$5,$AI538))),OR(BUSCAR!$J$6="",ISNUMBER(SEARCH(BUSCAR!$J$6,$AI538))),OR(BUSCAR!$J$8="",ISNUMBER(SEARCH(BUSCAR!$J$8,$AI538))),OR(BUSCAR!$J$9="",ISNUMBER(SEARCH(BUSCAR!$J$9,$AI538))),OR(NOT(BUSCAR!$J$2),AND(ISNUMBER($AF538),$AF538&gt;=BUSCAR!$J$3,$AF538&lt;=BUSCAR!$J$4))),1,0))</f>
      </c>
      <c r="AH538" s="42">
        <f t="shared" si="24"/>
      </c>
      <c r="AI538" s="42">
        <f t="shared" si="25"/>
      </c>
    </row>
    <row r="539" spans="1:35" x14ac:dyDescent="0.2">
      <c r="A539" s="66">
        <f t="shared" si="26"/>
      </c>
      <c r="B539" s="4"/>
      <c r="C539" s="4"/>
      <c r="D539" s="4"/>
      <c r="E539" s="4"/>
      <c r="F539" s="32"/>
      <c r="G539" s="8"/>
      <c r="H539" s="9"/>
      <c r="I539" s="8"/>
      <c r="J539" s="10"/>
      <c r="K539" s="8"/>
      <c r="L539" s="8"/>
      <c r="M539" s="8"/>
      <c r="N539" s="11"/>
      <c r="O539" s="9"/>
      <c r="P539" s="12"/>
      <c r="Q539" s="9"/>
      <c r="R539" s="13"/>
      <c r="S539" s="11"/>
      <c r="T539" s="11"/>
      <c r="U539" s="9"/>
      <c r="V539" s="9"/>
      <c r="W539" s="9"/>
      <c r="X539" s="16"/>
      <c r="AF539" s="42">
        <f>IF(BUSCAR!$C$8="FECHA NAC.",$G539,IF(BUSCAR!$C$8="PASAPORTE EXPIRA",$J539,IF(BUSCAR!$C$8="LICENCIA EMISION",$L539,IF(BUSCAR!$C$8="LICENCIA EXPIRA",$M539,""))))</f>
      </c>
      <c r="AG539" s="42">
        <f>IF($B539&amp;$C539&amp;$D539&amp;$E539&amp;$H539="",0,IF(AND(OR(BUSCAR!$J$5="",ISNUMBER(SEARCH(BUSCAR!$J$5,$AI539))),OR(BUSCAR!$J$6="",ISNUMBER(SEARCH(BUSCAR!$J$6,$AI539))),OR(BUSCAR!$J$8="",ISNUMBER(SEARCH(BUSCAR!$J$8,$AI539))),OR(BUSCAR!$J$9="",ISNUMBER(SEARCH(BUSCAR!$J$9,$AI539))),OR(NOT(BUSCAR!$J$2),AND(ISNUMBER($AF539),$AF539&gt;=BUSCAR!$J$3,$AF539&lt;=BUSCAR!$J$4))),1,0))</f>
      </c>
      <c r="AH539" s="42">
        <f t="shared" si="24"/>
      </c>
      <c r="AI539" s="42">
        <f t="shared" si="25"/>
      </c>
    </row>
    <row r="540" spans="1:35" x14ac:dyDescent="0.2">
      <c r="A540" s="66">
        <f t="shared" si="26"/>
      </c>
      <c r="B540" s="4"/>
      <c r="C540" s="4"/>
      <c r="D540" s="4"/>
      <c r="E540" s="4"/>
      <c r="F540" s="32"/>
      <c r="G540" s="8"/>
      <c r="H540" s="9"/>
      <c r="I540" s="8"/>
      <c r="J540" s="10"/>
      <c r="K540" s="8"/>
      <c r="L540" s="8"/>
      <c r="M540" s="8"/>
      <c r="N540" s="11"/>
      <c r="O540" s="9"/>
      <c r="P540" s="12"/>
      <c r="Q540" s="9"/>
      <c r="R540" s="13"/>
      <c r="S540" s="11"/>
      <c r="T540" s="11"/>
      <c r="U540" s="9"/>
      <c r="V540" s="9"/>
      <c r="W540" s="9"/>
      <c r="X540" s="16"/>
      <c r="AF540" s="42">
        <f>IF(BUSCAR!$C$8="FECHA NAC.",$G540,IF(BUSCAR!$C$8="PASAPORTE EXPIRA",$J540,IF(BUSCAR!$C$8="LICENCIA EMISION",$L540,IF(BUSCAR!$C$8="LICENCIA EXPIRA",$M540,""))))</f>
      </c>
      <c r="AG540" s="42">
        <f>IF($B540&amp;$C540&amp;$D540&amp;$E540&amp;$H540="",0,IF(AND(OR(BUSCAR!$J$5="",ISNUMBER(SEARCH(BUSCAR!$J$5,$AI540))),OR(BUSCAR!$J$6="",ISNUMBER(SEARCH(BUSCAR!$J$6,$AI540))),OR(BUSCAR!$J$8="",ISNUMBER(SEARCH(BUSCAR!$J$8,$AI540))),OR(BUSCAR!$J$9="",ISNUMBER(SEARCH(BUSCAR!$J$9,$AI540))),OR(NOT(BUSCAR!$J$2),AND(ISNUMBER($AF540),$AF540&gt;=BUSCAR!$J$3,$AF540&lt;=BUSCAR!$J$4))),1,0))</f>
      </c>
      <c r="AH540" s="42">
        <f t="shared" si="24"/>
      </c>
      <c r="AI540" s="42">
        <f t="shared" si="25"/>
      </c>
    </row>
    <row r="541" spans="1:35" x14ac:dyDescent="0.2">
      <c r="A541" s="66">
        <f t="shared" si="26"/>
      </c>
      <c r="B541" s="4"/>
      <c r="C541" s="4"/>
      <c r="D541" s="4"/>
      <c r="E541" s="4"/>
      <c r="F541" s="32"/>
      <c r="G541" s="8"/>
      <c r="H541" s="9"/>
      <c r="I541" s="8"/>
      <c r="J541" s="10"/>
      <c r="K541" s="8"/>
      <c r="L541" s="8"/>
      <c r="M541" s="8"/>
      <c r="N541" s="11"/>
      <c r="O541" s="9"/>
      <c r="P541" s="12"/>
      <c r="Q541" s="9"/>
      <c r="R541" s="13"/>
      <c r="S541" s="11"/>
      <c r="T541" s="11"/>
      <c r="U541" s="9"/>
      <c r="V541" s="9"/>
      <c r="W541" s="9"/>
      <c r="X541" s="16"/>
      <c r="AF541" s="42">
        <f>IF(BUSCAR!$C$8="FECHA NAC.",$G541,IF(BUSCAR!$C$8="PASAPORTE EXPIRA",$J541,IF(BUSCAR!$C$8="LICENCIA EMISION",$L541,IF(BUSCAR!$C$8="LICENCIA EXPIRA",$M541,""))))</f>
      </c>
      <c r="AG541" s="42">
        <f>IF($B541&amp;$C541&amp;$D541&amp;$E541&amp;$H541="",0,IF(AND(OR(BUSCAR!$J$5="",ISNUMBER(SEARCH(BUSCAR!$J$5,$AI541))),OR(BUSCAR!$J$6="",ISNUMBER(SEARCH(BUSCAR!$J$6,$AI541))),OR(BUSCAR!$J$8="",ISNUMBER(SEARCH(BUSCAR!$J$8,$AI541))),OR(BUSCAR!$J$9="",ISNUMBER(SEARCH(BUSCAR!$J$9,$AI541))),OR(NOT(BUSCAR!$J$2),AND(ISNUMBER($AF541),$AF541&gt;=BUSCAR!$J$3,$AF541&lt;=BUSCAR!$J$4))),1,0))</f>
      </c>
      <c r="AH541" s="42">
        <f t="shared" si="24"/>
      </c>
      <c r="AI541" s="42">
        <f t="shared" si="25"/>
      </c>
    </row>
    <row r="542" spans="1:35" x14ac:dyDescent="0.2">
      <c r="A542" s="66">
        <f t="shared" si="26"/>
      </c>
      <c r="B542" s="4"/>
      <c r="C542" s="4"/>
      <c r="D542" s="4"/>
      <c r="E542" s="4"/>
      <c r="F542" s="32"/>
      <c r="G542" s="8"/>
      <c r="H542" s="9"/>
      <c r="I542" s="8"/>
      <c r="J542" s="10"/>
      <c r="K542" s="8"/>
      <c r="L542" s="8"/>
      <c r="M542" s="8"/>
      <c r="N542" s="11"/>
      <c r="O542" s="9"/>
      <c r="P542" s="12"/>
      <c r="Q542" s="9"/>
      <c r="R542" s="13"/>
      <c r="S542" s="11"/>
      <c r="T542" s="11"/>
      <c r="U542" s="9"/>
      <c r="V542" s="9"/>
      <c r="W542" s="9"/>
      <c r="X542" s="16"/>
      <c r="AF542" s="42">
        <f>IF(BUSCAR!$C$8="FECHA NAC.",$G542,IF(BUSCAR!$C$8="PASAPORTE EXPIRA",$J542,IF(BUSCAR!$C$8="LICENCIA EMISION",$L542,IF(BUSCAR!$C$8="LICENCIA EXPIRA",$M542,""))))</f>
      </c>
      <c r="AG542" s="42">
        <f>IF($B542&amp;$C542&amp;$D542&amp;$E542&amp;$H542="",0,IF(AND(OR(BUSCAR!$J$5="",ISNUMBER(SEARCH(BUSCAR!$J$5,$AI542))),OR(BUSCAR!$J$6="",ISNUMBER(SEARCH(BUSCAR!$J$6,$AI542))),OR(BUSCAR!$J$8="",ISNUMBER(SEARCH(BUSCAR!$J$8,$AI542))),OR(BUSCAR!$J$9="",ISNUMBER(SEARCH(BUSCAR!$J$9,$AI542))),OR(NOT(BUSCAR!$J$2),AND(ISNUMBER($AF542),$AF542&gt;=BUSCAR!$J$3,$AF542&lt;=BUSCAR!$J$4))),1,0))</f>
      </c>
      <c r="AH542" s="42">
        <f t="shared" si="24"/>
      </c>
      <c r="AI542" s="42">
        <f t="shared" si="25"/>
      </c>
    </row>
    <row r="543" spans="1:35" x14ac:dyDescent="0.2">
      <c r="A543" s="66">
        <f t="shared" si="26"/>
      </c>
      <c r="B543" s="4"/>
      <c r="C543" s="4"/>
      <c r="D543" s="4"/>
      <c r="E543" s="4"/>
      <c r="F543" s="32"/>
      <c r="G543" s="8"/>
      <c r="H543" s="9"/>
      <c r="I543" s="8"/>
      <c r="J543" s="10"/>
      <c r="K543" s="8"/>
      <c r="L543" s="8"/>
      <c r="M543" s="8"/>
      <c r="N543" s="11"/>
      <c r="O543" s="9"/>
      <c r="P543" s="12"/>
      <c r="Q543" s="9"/>
      <c r="R543" s="13"/>
      <c r="S543" s="11"/>
      <c r="T543" s="11"/>
      <c r="U543" s="9"/>
      <c r="V543" s="9"/>
      <c r="W543" s="9"/>
      <c r="X543" s="16"/>
      <c r="AF543" s="42">
        <f>IF(BUSCAR!$C$8="FECHA NAC.",$G543,IF(BUSCAR!$C$8="PASAPORTE EXPIRA",$J543,IF(BUSCAR!$C$8="LICENCIA EMISION",$L543,IF(BUSCAR!$C$8="LICENCIA EXPIRA",$M543,""))))</f>
      </c>
      <c r="AG543" s="42">
        <f>IF($B543&amp;$C543&amp;$D543&amp;$E543&amp;$H543="",0,IF(AND(OR(BUSCAR!$J$5="",ISNUMBER(SEARCH(BUSCAR!$J$5,$AI543))),OR(BUSCAR!$J$6="",ISNUMBER(SEARCH(BUSCAR!$J$6,$AI543))),OR(BUSCAR!$J$8="",ISNUMBER(SEARCH(BUSCAR!$J$8,$AI543))),OR(BUSCAR!$J$9="",ISNUMBER(SEARCH(BUSCAR!$J$9,$AI543))),OR(NOT(BUSCAR!$J$2),AND(ISNUMBER($AF543),$AF543&gt;=BUSCAR!$J$3,$AF543&lt;=BUSCAR!$J$4))),1,0))</f>
      </c>
      <c r="AH543" s="42">
        <f t="shared" si="24"/>
      </c>
      <c r="AI543" s="42">
        <f t="shared" si="25"/>
      </c>
    </row>
    <row r="544" spans="1:35" x14ac:dyDescent="0.2">
      <c r="A544" s="66">
        <f t="shared" si="26"/>
      </c>
      <c r="B544" s="4"/>
      <c r="C544" s="4"/>
      <c r="D544" s="4"/>
      <c r="E544" s="4"/>
      <c r="F544" s="32"/>
      <c r="G544" s="8"/>
      <c r="H544" s="9"/>
      <c r="I544" s="8"/>
      <c r="J544" s="10"/>
      <c r="K544" s="8"/>
      <c r="L544" s="8"/>
      <c r="M544" s="8"/>
      <c r="N544" s="11"/>
      <c r="O544" s="9"/>
      <c r="P544" s="12"/>
      <c r="Q544" s="9"/>
      <c r="R544" s="13"/>
      <c r="S544" s="11"/>
      <c r="T544" s="11"/>
      <c r="U544" s="9"/>
      <c r="V544" s="9"/>
      <c r="W544" s="9"/>
      <c r="X544" s="16"/>
      <c r="AF544" s="42">
        <f>IF(BUSCAR!$C$8="FECHA NAC.",$G544,IF(BUSCAR!$C$8="PASAPORTE EXPIRA",$J544,IF(BUSCAR!$C$8="LICENCIA EMISION",$L544,IF(BUSCAR!$C$8="LICENCIA EXPIRA",$M544,""))))</f>
      </c>
      <c r="AG544" s="42">
        <f>IF($B544&amp;$C544&amp;$D544&amp;$E544&amp;$H544="",0,IF(AND(OR(BUSCAR!$J$5="",ISNUMBER(SEARCH(BUSCAR!$J$5,$AI544))),OR(BUSCAR!$J$6="",ISNUMBER(SEARCH(BUSCAR!$J$6,$AI544))),OR(BUSCAR!$J$8="",ISNUMBER(SEARCH(BUSCAR!$J$8,$AI544))),OR(BUSCAR!$J$9="",ISNUMBER(SEARCH(BUSCAR!$J$9,$AI544))),OR(NOT(BUSCAR!$J$2),AND(ISNUMBER($AF544),$AF544&gt;=BUSCAR!$J$3,$AF544&lt;=BUSCAR!$J$4))),1,0))</f>
      </c>
      <c r="AH544" s="42">
        <f t="shared" si="24"/>
      </c>
      <c r="AI544" s="42">
        <f t="shared" si="25"/>
      </c>
    </row>
    <row r="545" spans="1:35" x14ac:dyDescent="0.2">
      <c r="A545" s="66">
        <f t="shared" si="26"/>
      </c>
      <c r="B545" s="4"/>
      <c r="C545" s="4"/>
      <c r="D545" s="4"/>
      <c r="E545" s="4"/>
      <c r="F545" s="32"/>
      <c r="G545" s="8"/>
      <c r="H545" s="9"/>
      <c r="I545" s="8"/>
      <c r="J545" s="10"/>
      <c r="K545" s="8"/>
      <c r="L545" s="8"/>
      <c r="M545" s="8"/>
      <c r="N545" s="11"/>
      <c r="O545" s="9"/>
      <c r="P545" s="12"/>
      <c r="Q545" s="9"/>
      <c r="R545" s="13"/>
      <c r="S545" s="11"/>
      <c r="T545" s="11"/>
      <c r="U545" s="9"/>
      <c r="V545" s="9"/>
      <c r="W545" s="9"/>
      <c r="X545" s="16"/>
      <c r="AF545" s="42">
        <f>IF(BUSCAR!$C$8="FECHA NAC.",$G545,IF(BUSCAR!$C$8="PASAPORTE EXPIRA",$J545,IF(BUSCAR!$C$8="LICENCIA EMISION",$L545,IF(BUSCAR!$C$8="LICENCIA EXPIRA",$M545,""))))</f>
      </c>
      <c r="AG545" s="42">
        <f>IF($B545&amp;$C545&amp;$D545&amp;$E545&amp;$H545="",0,IF(AND(OR(BUSCAR!$J$5="",ISNUMBER(SEARCH(BUSCAR!$J$5,$AI545))),OR(BUSCAR!$J$6="",ISNUMBER(SEARCH(BUSCAR!$J$6,$AI545))),OR(BUSCAR!$J$8="",ISNUMBER(SEARCH(BUSCAR!$J$8,$AI545))),OR(BUSCAR!$J$9="",ISNUMBER(SEARCH(BUSCAR!$J$9,$AI545))),OR(NOT(BUSCAR!$J$2),AND(ISNUMBER($AF545),$AF545&gt;=BUSCAR!$J$3,$AF545&lt;=BUSCAR!$J$4))),1,0))</f>
      </c>
      <c r="AH545" s="42">
        <f t="shared" si="24"/>
      </c>
      <c r="AI545" s="42">
        <f t="shared" si="25"/>
      </c>
    </row>
    <row r="546" spans="1:35" x14ac:dyDescent="0.2">
      <c r="A546" s="66">
        <f t="shared" si="26"/>
      </c>
      <c r="B546" s="4"/>
      <c r="C546" s="4"/>
      <c r="D546" s="4"/>
      <c r="E546" s="4"/>
      <c r="F546" s="32"/>
      <c r="G546" s="8"/>
      <c r="H546" s="9"/>
      <c r="I546" s="8"/>
      <c r="J546" s="10"/>
      <c r="K546" s="8"/>
      <c r="L546" s="8"/>
      <c r="M546" s="8"/>
      <c r="N546" s="11"/>
      <c r="O546" s="9"/>
      <c r="P546" s="12"/>
      <c r="Q546" s="9"/>
      <c r="R546" s="13"/>
      <c r="S546" s="11"/>
      <c r="T546" s="11"/>
      <c r="U546" s="9"/>
      <c r="V546" s="9"/>
      <c r="W546" s="9"/>
      <c r="X546" s="16"/>
      <c r="AF546" s="42">
        <f>IF(BUSCAR!$C$8="FECHA NAC.",$G546,IF(BUSCAR!$C$8="PASAPORTE EXPIRA",$J546,IF(BUSCAR!$C$8="LICENCIA EMISION",$L546,IF(BUSCAR!$C$8="LICENCIA EXPIRA",$M546,""))))</f>
      </c>
      <c r="AG546" s="42">
        <f>IF($B546&amp;$C546&amp;$D546&amp;$E546&amp;$H546="",0,IF(AND(OR(BUSCAR!$J$5="",ISNUMBER(SEARCH(BUSCAR!$J$5,$AI546))),OR(BUSCAR!$J$6="",ISNUMBER(SEARCH(BUSCAR!$J$6,$AI546))),OR(BUSCAR!$J$8="",ISNUMBER(SEARCH(BUSCAR!$J$8,$AI546))),OR(BUSCAR!$J$9="",ISNUMBER(SEARCH(BUSCAR!$J$9,$AI546))),OR(NOT(BUSCAR!$J$2),AND(ISNUMBER($AF546),$AF546&gt;=BUSCAR!$J$3,$AF546&lt;=BUSCAR!$J$4))),1,0))</f>
      </c>
      <c r="AH546" s="42">
        <f t="shared" si="24"/>
      </c>
      <c r="AI546" s="42">
        <f t="shared" si="25"/>
      </c>
    </row>
    <row r="547" spans="1:35" x14ac:dyDescent="0.2">
      <c r="A547" s="66">
        <f t="shared" si="26"/>
      </c>
      <c r="B547" s="4"/>
      <c r="C547" s="4"/>
      <c r="D547" s="4"/>
      <c r="E547" s="8"/>
      <c r="F547" s="32"/>
      <c r="G547" s="8"/>
      <c r="H547" s="9"/>
      <c r="I547" s="8"/>
      <c r="J547" s="10"/>
      <c r="K547" s="8"/>
      <c r="L547" s="8"/>
      <c r="M547" s="8"/>
      <c r="N547" s="11"/>
      <c r="O547" s="9"/>
      <c r="P547" s="12"/>
      <c r="Q547" s="9"/>
      <c r="R547" s="13"/>
      <c r="S547" s="11"/>
      <c r="T547" s="11"/>
      <c r="U547" s="9"/>
      <c r="V547" s="9"/>
      <c r="W547" s="9"/>
      <c r="X547" s="16"/>
      <c r="AF547" s="42">
        <f>IF(BUSCAR!$C$8="FECHA NAC.",$G547,IF(BUSCAR!$C$8="PASAPORTE EXPIRA",$J547,IF(BUSCAR!$C$8="LICENCIA EMISION",$L547,IF(BUSCAR!$C$8="LICENCIA EXPIRA",$M547,""))))</f>
      </c>
      <c r="AG547" s="42">
        <f>IF($B547&amp;$C547&amp;$D547&amp;$E547&amp;$H547="",0,IF(AND(OR(BUSCAR!$J$5="",ISNUMBER(SEARCH(BUSCAR!$J$5,$AI547))),OR(BUSCAR!$J$6="",ISNUMBER(SEARCH(BUSCAR!$J$6,$AI547))),OR(BUSCAR!$J$8="",ISNUMBER(SEARCH(BUSCAR!$J$8,$AI547))),OR(BUSCAR!$J$9="",ISNUMBER(SEARCH(BUSCAR!$J$9,$AI547))),OR(NOT(BUSCAR!$J$2),AND(ISNUMBER($AF547),$AF547&gt;=BUSCAR!$J$3,$AF547&lt;=BUSCAR!$J$4))),1,0))</f>
      </c>
      <c r="AH547" s="42">
        <f t="shared" si="24"/>
      </c>
      <c r="AI547" s="42">
        <f t="shared" si="25"/>
      </c>
    </row>
    <row r="548" spans="1:35" x14ac:dyDescent="0.2">
      <c r="A548" s="66">
        <f t="shared" si="26"/>
      </c>
      <c r="B548" s="4"/>
      <c r="C548" s="4"/>
      <c r="D548" s="4"/>
      <c r="E548" s="4"/>
      <c r="F548" s="32"/>
      <c r="G548" s="8"/>
      <c r="H548" s="9"/>
      <c r="I548" s="8"/>
      <c r="J548" s="10"/>
      <c r="K548" s="8"/>
      <c r="L548" s="8"/>
      <c r="M548" s="8"/>
      <c r="N548" s="11"/>
      <c r="O548" s="9"/>
      <c r="P548" s="12"/>
      <c r="Q548" s="9"/>
      <c r="R548" s="13"/>
      <c r="S548" s="11"/>
      <c r="T548" s="11"/>
      <c r="U548" s="9"/>
      <c r="V548" s="9"/>
      <c r="W548" s="9"/>
      <c r="X548" s="16"/>
      <c r="AF548" s="42">
        <f>IF(BUSCAR!$C$8="FECHA NAC.",$G548,IF(BUSCAR!$C$8="PASAPORTE EXPIRA",$J548,IF(BUSCAR!$C$8="LICENCIA EMISION",$L548,IF(BUSCAR!$C$8="LICENCIA EXPIRA",$M548,""))))</f>
      </c>
      <c r="AG548" s="42">
        <f>IF($B548&amp;$C548&amp;$D548&amp;$E548&amp;$H548="",0,IF(AND(OR(BUSCAR!$J$5="",ISNUMBER(SEARCH(BUSCAR!$J$5,$AI548))),OR(BUSCAR!$J$6="",ISNUMBER(SEARCH(BUSCAR!$J$6,$AI548))),OR(BUSCAR!$J$8="",ISNUMBER(SEARCH(BUSCAR!$J$8,$AI548))),OR(BUSCAR!$J$9="",ISNUMBER(SEARCH(BUSCAR!$J$9,$AI548))),OR(NOT(BUSCAR!$J$2),AND(ISNUMBER($AF548),$AF548&gt;=BUSCAR!$J$3,$AF548&lt;=BUSCAR!$J$4))),1,0))</f>
      </c>
      <c r="AH548" s="42">
        <f t="shared" si="24"/>
      </c>
      <c r="AI548" s="42">
        <f t="shared" si="25"/>
      </c>
    </row>
    <row r="549" spans="1:35" x14ac:dyDescent="0.2">
      <c r="A549" s="66">
        <f t="shared" si="26"/>
      </c>
      <c r="B549" s="4"/>
      <c r="C549" s="4"/>
      <c r="D549" s="4"/>
      <c r="E549" s="4"/>
      <c r="F549" s="32"/>
      <c r="G549" s="8"/>
      <c r="H549" s="9"/>
      <c r="I549" s="8"/>
      <c r="J549" s="10"/>
      <c r="K549" s="8"/>
      <c r="L549" s="8"/>
      <c r="M549" s="8"/>
      <c r="N549" s="11"/>
      <c r="O549" s="9"/>
      <c r="P549" s="12"/>
      <c r="Q549" s="9"/>
      <c r="R549" s="13"/>
      <c r="S549" s="11"/>
      <c r="T549" s="11"/>
      <c r="U549" s="9"/>
      <c r="V549" s="9"/>
      <c r="W549" s="9"/>
      <c r="X549" s="16"/>
      <c r="AF549" s="42">
        <f>IF(BUSCAR!$C$8="FECHA NAC.",$G549,IF(BUSCAR!$C$8="PASAPORTE EXPIRA",$J549,IF(BUSCAR!$C$8="LICENCIA EMISION",$L549,IF(BUSCAR!$C$8="LICENCIA EXPIRA",$M549,""))))</f>
      </c>
      <c r="AG549" s="42">
        <f>IF($B549&amp;$C549&amp;$D549&amp;$E549&amp;$H549="",0,IF(AND(OR(BUSCAR!$J$5="",ISNUMBER(SEARCH(BUSCAR!$J$5,$AI549))),OR(BUSCAR!$J$6="",ISNUMBER(SEARCH(BUSCAR!$J$6,$AI549))),OR(BUSCAR!$J$8="",ISNUMBER(SEARCH(BUSCAR!$J$8,$AI549))),OR(BUSCAR!$J$9="",ISNUMBER(SEARCH(BUSCAR!$J$9,$AI549))),OR(NOT(BUSCAR!$J$2),AND(ISNUMBER($AF549),$AF549&gt;=BUSCAR!$J$3,$AF549&lt;=BUSCAR!$J$4))),1,0))</f>
      </c>
      <c r="AH549" s="42">
        <f t="shared" si="24"/>
      </c>
      <c r="AI549" s="42">
        <f t="shared" si="25"/>
      </c>
    </row>
    <row r="550" spans="1:35" x14ac:dyDescent="0.2">
      <c r="A550" s="66">
        <f t="shared" si="26"/>
      </c>
      <c r="B550" s="4"/>
      <c r="C550" s="4"/>
      <c r="D550" s="4"/>
      <c r="E550" s="4"/>
      <c r="F550" s="24"/>
      <c r="G550" s="8"/>
      <c r="H550" s="9"/>
      <c r="I550" s="8"/>
      <c r="J550" s="10"/>
      <c r="K550" s="8"/>
      <c r="L550" s="8"/>
      <c r="M550" s="8"/>
      <c r="N550" s="11"/>
      <c r="O550" s="9"/>
      <c r="P550" s="12"/>
      <c r="Q550" s="9"/>
      <c r="R550" s="13"/>
      <c r="S550" s="11"/>
      <c r="T550" s="11"/>
      <c r="U550" s="9"/>
      <c r="V550" s="9"/>
      <c r="W550" s="9"/>
      <c r="X550" s="16"/>
      <c r="AF550" s="42">
        <f>IF(BUSCAR!$C$8="FECHA NAC.",$G550,IF(BUSCAR!$C$8="PASAPORTE EXPIRA",$J550,IF(BUSCAR!$C$8="LICENCIA EMISION",$L550,IF(BUSCAR!$C$8="LICENCIA EXPIRA",$M550,""))))</f>
      </c>
      <c r="AG550" s="42">
        <f>IF($B550&amp;$C550&amp;$D550&amp;$E550&amp;$H550="",0,IF(AND(OR(BUSCAR!$J$5="",ISNUMBER(SEARCH(BUSCAR!$J$5,$AI550))),OR(BUSCAR!$J$6="",ISNUMBER(SEARCH(BUSCAR!$J$6,$AI550))),OR(BUSCAR!$J$8="",ISNUMBER(SEARCH(BUSCAR!$J$8,$AI550))),OR(BUSCAR!$J$9="",ISNUMBER(SEARCH(BUSCAR!$J$9,$AI550))),OR(NOT(BUSCAR!$J$2),AND(ISNUMBER($AF550),$AF550&gt;=BUSCAR!$J$3,$AF550&lt;=BUSCAR!$J$4))),1,0))</f>
      </c>
      <c r="AH550" s="42">
        <f t="shared" si="24"/>
      </c>
      <c r="AI550" s="42">
        <f t="shared" si="25"/>
      </c>
    </row>
    <row r="551" spans="1:35" x14ac:dyDescent="0.2">
      <c r="A551" s="66">
        <f t="shared" si="26"/>
      </c>
      <c r="B551" s="4"/>
      <c r="C551" s="4"/>
      <c r="D551" s="4"/>
      <c r="E551" s="4"/>
      <c r="F551" s="24"/>
      <c r="G551" s="8"/>
      <c r="H551" s="9"/>
      <c r="I551" s="8"/>
      <c r="J551" s="10"/>
      <c r="K551" s="8"/>
      <c r="L551" s="8"/>
      <c r="M551" s="8"/>
      <c r="N551" s="11"/>
      <c r="O551" s="9"/>
      <c r="P551" s="12"/>
      <c r="Q551" s="9"/>
      <c r="R551" s="13"/>
      <c r="S551" s="11"/>
      <c r="T551" s="11"/>
      <c r="U551" s="9"/>
      <c r="V551" s="9"/>
      <c r="W551" s="9"/>
      <c r="X551" s="16"/>
      <c r="AF551" s="42">
        <f>IF(BUSCAR!$C$8="FECHA NAC.",$G551,IF(BUSCAR!$C$8="PASAPORTE EXPIRA",$J551,IF(BUSCAR!$C$8="LICENCIA EMISION",$L551,IF(BUSCAR!$C$8="LICENCIA EXPIRA",$M551,""))))</f>
      </c>
      <c r="AG551" s="42">
        <f>IF($B551&amp;$C551&amp;$D551&amp;$E551&amp;$H551="",0,IF(AND(OR(BUSCAR!$J$5="",ISNUMBER(SEARCH(BUSCAR!$J$5,$AI551))),OR(BUSCAR!$J$6="",ISNUMBER(SEARCH(BUSCAR!$J$6,$AI551))),OR(BUSCAR!$J$8="",ISNUMBER(SEARCH(BUSCAR!$J$8,$AI551))),OR(BUSCAR!$J$9="",ISNUMBER(SEARCH(BUSCAR!$J$9,$AI551))),OR(NOT(BUSCAR!$J$2),AND(ISNUMBER($AF551),$AF551&gt;=BUSCAR!$J$3,$AF551&lt;=BUSCAR!$J$4))),1,0))</f>
      </c>
      <c r="AH551" s="42">
        <f t="shared" si="24"/>
      </c>
      <c r="AI551" s="42">
        <f t="shared" si="25"/>
      </c>
    </row>
    <row r="552" spans="1:35" x14ac:dyDescent="0.2">
      <c r="A552" s="66">
        <f t="shared" si="26"/>
      </c>
      <c r="B552" s="4"/>
      <c r="C552" s="4"/>
      <c r="D552" s="4"/>
      <c r="E552" s="4"/>
      <c r="F552" s="24"/>
      <c r="G552" s="8"/>
      <c r="H552" s="9"/>
      <c r="I552" s="8"/>
      <c r="J552" s="10"/>
      <c r="K552" s="8"/>
      <c r="L552" s="8"/>
      <c r="M552" s="8"/>
      <c r="N552" s="11"/>
      <c r="O552" s="9"/>
      <c r="P552" s="12"/>
      <c r="Q552" s="9"/>
      <c r="R552" s="13"/>
      <c r="S552" s="11"/>
      <c r="T552" s="11"/>
      <c r="U552" s="9"/>
      <c r="V552" s="9"/>
      <c r="W552" s="9"/>
      <c r="X552" s="16"/>
      <c r="AF552" s="42">
        <f>IF(BUSCAR!$C$8="FECHA NAC.",$G552,IF(BUSCAR!$C$8="PASAPORTE EXPIRA",$J552,IF(BUSCAR!$C$8="LICENCIA EMISION",$L552,IF(BUSCAR!$C$8="LICENCIA EXPIRA",$M552,""))))</f>
      </c>
      <c r="AG552" s="42">
        <f>IF($B552&amp;$C552&amp;$D552&amp;$E552&amp;$H552="",0,IF(AND(OR(BUSCAR!$J$5="",ISNUMBER(SEARCH(BUSCAR!$J$5,$AI552))),OR(BUSCAR!$J$6="",ISNUMBER(SEARCH(BUSCAR!$J$6,$AI552))),OR(BUSCAR!$J$8="",ISNUMBER(SEARCH(BUSCAR!$J$8,$AI552))),OR(BUSCAR!$J$9="",ISNUMBER(SEARCH(BUSCAR!$J$9,$AI552))),OR(NOT(BUSCAR!$J$2),AND(ISNUMBER($AF552),$AF552&gt;=BUSCAR!$J$3,$AF552&lt;=BUSCAR!$J$4))),1,0))</f>
      </c>
      <c r="AH552" s="42">
        <f t="shared" si="24"/>
      </c>
      <c r="AI552" s="42">
        <f t="shared" si="25"/>
      </c>
    </row>
    <row r="553" spans="1:35" x14ac:dyDescent="0.2">
      <c r="A553" s="66">
        <f t="shared" si="26"/>
      </c>
      <c r="B553" s="4"/>
      <c r="C553" s="4"/>
      <c r="D553" s="4"/>
      <c r="E553" s="4"/>
      <c r="F553" s="24"/>
      <c r="G553" s="8"/>
      <c r="H553" s="9"/>
      <c r="I553" s="8"/>
      <c r="J553" s="10"/>
      <c r="K553" s="8"/>
      <c r="L553" s="8"/>
      <c r="M553" s="8"/>
      <c r="N553" s="11"/>
      <c r="O553" s="9"/>
      <c r="P553" s="12"/>
      <c r="Q553" s="9"/>
      <c r="R553" s="13"/>
      <c r="S553" s="11"/>
      <c r="T553" s="11"/>
      <c r="U553" s="9"/>
      <c r="V553" s="9"/>
      <c r="W553" s="9"/>
      <c r="X553" s="16"/>
      <c r="AF553" s="42">
        <f>IF(BUSCAR!$C$8="FECHA NAC.",$G553,IF(BUSCAR!$C$8="PASAPORTE EXPIRA",$J553,IF(BUSCAR!$C$8="LICENCIA EMISION",$L553,IF(BUSCAR!$C$8="LICENCIA EXPIRA",$M553,""))))</f>
      </c>
      <c r="AG553" s="42">
        <f>IF($B553&amp;$C553&amp;$D553&amp;$E553&amp;$H553="",0,IF(AND(OR(BUSCAR!$J$5="",ISNUMBER(SEARCH(BUSCAR!$J$5,$AI553))),OR(BUSCAR!$J$6="",ISNUMBER(SEARCH(BUSCAR!$J$6,$AI553))),OR(BUSCAR!$J$8="",ISNUMBER(SEARCH(BUSCAR!$J$8,$AI553))),OR(BUSCAR!$J$9="",ISNUMBER(SEARCH(BUSCAR!$J$9,$AI553))),OR(NOT(BUSCAR!$J$2),AND(ISNUMBER($AF553),$AF553&gt;=BUSCAR!$J$3,$AF553&lt;=BUSCAR!$J$4))),1,0))</f>
      </c>
      <c r="AH553" s="42">
        <f t="shared" si="24"/>
      </c>
      <c r="AI553" s="42">
        <f t="shared" si="25"/>
      </c>
    </row>
    <row r="554" spans="1:35" x14ac:dyDescent="0.2">
      <c r="A554" s="66">
        <f t="shared" si="26"/>
      </c>
      <c r="B554" s="4"/>
      <c r="C554" s="4"/>
      <c r="D554" s="4"/>
      <c r="E554" s="4"/>
      <c r="F554" s="24"/>
      <c r="G554" s="8"/>
      <c r="H554" s="9"/>
      <c r="I554" s="8"/>
      <c r="J554" s="10"/>
      <c r="K554" s="8"/>
      <c r="L554" s="8"/>
      <c r="M554" s="8"/>
      <c r="N554" s="11"/>
      <c r="O554" s="9"/>
      <c r="P554" s="12"/>
      <c r="Q554" s="9"/>
      <c r="R554" s="13"/>
      <c r="S554" s="11"/>
      <c r="T554" s="11"/>
      <c r="U554" s="9"/>
      <c r="V554" s="9"/>
      <c r="W554" s="9"/>
      <c r="X554" s="16"/>
      <c r="AF554" s="42">
        <f>IF(BUSCAR!$C$8="FECHA NAC.",$G554,IF(BUSCAR!$C$8="PASAPORTE EXPIRA",$J554,IF(BUSCAR!$C$8="LICENCIA EMISION",$L554,IF(BUSCAR!$C$8="LICENCIA EXPIRA",$M554,""))))</f>
      </c>
      <c r="AG554" s="42">
        <f>IF($B554&amp;$C554&amp;$D554&amp;$E554&amp;$H554="",0,IF(AND(OR(BUSCAR!$J$5="",ISNUMBER(SEARCH(BUSCAR!$J$5,$AI554))),OR(BUSCAR!$J$6="",ISNUMBER(SEARCH(BUSCAR!$J$6,$AI554))),OR(BUSCAR!$J$8="",ISNUMBER(SEARCH(BUSCAR!$J$8,$AI554))),OR(BUSCAR!$J$9="",ISNUMBER(SEARCH(BUSCAR!$J$9,$AI554))),OR(NOT(BUSCAR!$J$2),AND(ISNUMBER($AF554),$AF554&gt;=BUSCAR!$J$3,$AF554&lt;=BUSCAR!$J$4))),1,0))</f>
      </c>
      <c r="AH554" s="42">
        <f t="shared" si="24"/>
      </c>
      <c r="AI554" s="42">
        <f t="shared" si="25"/>
      </c>
    </row>
    <row r="555" spans="1:35" x14ac:dyDescent="0.2">
      <c r="A555" s="66">
        <f t="shared" si="26"/>
      </c>
      <c r="B555" s="4"/>
      <c r="C555" s="4"/>
      <c r="D555" s="4"/>
      <c r="E555" s="4"/>
      <c r="F555" s="24"/>
      <c r="G555" s="8"/>
      <c r="H555" s="9"/>
      <c r="I555" s="8"/>
      <c r="J555" s="10"/>
      <c r="K555" s="8"/>
      <c r="L555" s="8"/>
      <c r="M555" s="8"/>
      <c r="N555" s="11"/>
      <c r="O555" s="9"/>
      <c r="P555" s="12"/>
      <c r="Q555" s="9"/>
      <c r="R555" s="13"/>
      <c r="S555" s="11"/>
      <c r="T555" s="11"/>
      <c r="U555" s="9"/>
      <c r="V555" s="9"/>
      <c r="W555" s="9"/>
      <c r="X555" s="16"/>
      <c r="AF555" s="42">
        <f>IF(BUSCAR!$C$8="FECHA NAC.",$G555,IF(BUSCAR!$C$8="PASAPORTE EXPIRA",$J555,IF(BUSCAR!$C$8="LICENCIA EMISION",$L555,IF(BUSCAR!$C$8="LICENCIA EXPIRA",$M555,""))))</f>
      </c>
      <c r="AG555" s="42">
        <f>IF($B555&amp;$C555&amp;$D555&amp;$E555&amp;$H555="",0,IF(AND(OR(BUSCAR!$J$5="",ISNUMBER(SEARCH(BUSCAR!$J$5,$AI555))),OR(BUSCAR!$J$6="",ISNUMBER(SEARCH(BUSCAR!$J$6,$AI555))),OR(BUSCAR!$J$8="",ISNUMBER(SEARCH(BUSCAR!$J$8,$AI555))),OR(BUSCAR!$J$9="",ISNUMBER(SEARCH(BUSCAR!$J$9,$AI555))),OR(NOT(BUSCAR!$J$2),AND(ISNUMBER($AF555),$AF555&gt;=BUSCAR!$J$3,$AF555&lt;=BUSCAR!$J$4))),1,0))</f>
      </c>
      <c r="AH555" s="42">
        <f t="shared" si="24"/>
      </c>
      <c r="AI555" s="42">
        <f t="shared" si="25"/>
      </c>
    </row>
    <row r="556" spans="1:35" x14ac:dyDescent="0.2">
      <c r="A556" s="66">
        <f t="shared" si="26"/>
      </c>
      <c r="B556" s="4"/>
      <c r="C556" s="4"/>
      <c r="D556" s="4"/>
      <c r="E556" s="4"/>
      <c r="F556" s="24"/>
      <c r="G556" s="8"/>
      <c r="H556" s="9"/>
      <c r="I556" s="8"/>
      <c r="J556" s="10"/>
      <c r="K556" s="8"/>
      <c r="L556" s="8"/>
      <c r="M556" s="8"/>
      <c r="N556" s="11"/>
      <c r="O556" s="9"/>
      <c r="P556" s="12"/>
      <c r="Q556" s="9"/>
      <c r="R556" s="13"/>
      <c r="S556" s="11"/>
      <c r="T556" s="11"/>
      <c r="U556" s="9"/>
      <c r="V556" s="9"/>
      <c r="W556" s="9"/>
      <c r="X556" s="16"/>
      <c r="AF556" s="42">
        <f>IF(BUSCAR!$C$8="FECHA NAC.",$G556,IF(BUSCAR!$C$8="PASAPORTE EXPIRA",$J556,IF(BUSCAR!$C$8="LICENCIA EMISION",$L556,IF(BUSCAR!$C$8="LICENCIA EXPIRA",$M556,""))))</f>
      </c>
      <c r="AG556" s="42">
        <f>IF($B556&amp;$C556&amp;$D556&amp;$E556&amp;$H556="",0,IF(AND(OR(BUSCAR!$J$5="",ISNUMBER(SEARCH(BUSCAR!$J$5,$AI556))),OR(BUSCAR!$J$6="",ISNUMBER(SEARCH(BUSCAR!$J$6,$AI556))),OR(BUSCAR!$J$8="",ISNUMBER(SEARCH(BUSCAR!$J$8,$AI556))),OR(BUSCAR!$J$9="",ISNUMBER(SEARCH(BUSCAR!$J$9,$AI556))),OR(NOT(BUSCAR!$J$2),AND(ISNUMBER($AF556),$AF556&gt;=BUSCAR!$J$3,$AF556&lt;=BUSCAR!$J$4))),1,0))</f>
      </c>
      <c r="AH556" s="42">
        <f t="shared" si="24"/>
      </c>
      <c r="AI556" s="42">
        <f t="shared" si="25"/>
      </c>
    </row>
    <row r="557" spans="1:35" x14ac:dyDescent="0.2">
      <c r="A557" s="66">
        <f t="shared" si="26"/>
      </c>
      <c r="B557" s="4"/>
      <c r="C557" s="4"/>
      <c r="D557" s="4"/>
      <c r="E557" s="4"/>
      <c r="F557" s="24"/>
      <c r="G557" s="8"/>
      <c r="H557" s="9"/>
      <c r="I557" s="8"/>
      <c r="J557" s="10"/>
      <c r="K557" s="8"/>
      <c r="L557" s="8"/>
      <c r="M557" s="8"/>
      <c r="N557" s="11"/>
      <c r="O557" s="9"/>
      <c r="P557" s="12"/>
      <c r="Q557" s="9"/>
      <c r="R557" s="13"/>
      <c r="S557" s="11"/>
      <c r="T557" s="11"/>
      <c r="U557" s="9"/>
      <c r="V557" s="9"/>
      <c r="W557" s="9"/>
      <c r="X557" s="16"/>
      <c r="AF557" s="42">
        <f>IF(BUSCAR!$C$8="FECHA NAC.",$G557,IF(BUSCAR!$C$8="PASAPORTE EXPIRA",$J557,IF(BUSCAR!$C$8="LICENCIA EMISION",$L557,IF(BUSCAR!$C$8="LICENCIA EXPIRA",$M557,""))))</f>
      </c>
      <c r="AG557" s="42">
        <f>IF($B557&amp;$C557&amp;$D557&amp;$E557&amp;$H557="",0,IF(AND(OR(BUSCAR!$J$5="",ISNUMBER(SEARCH(BUSCAR!$J$5,$AI557))),OR(BUSCAR!$J$6="",ISNUMBER(SEARCH(BUSCAR!$J$6,$AI557))),OR(BUSCAR!$J$8="",ISNUMBER(SEARCH(BUSCAR!$J$8,$AI557))),OR(BUSCAR!$J$9="",ISNUMBER(SEARCH(BUSCAR!$J$9,$AI557))),OR(NOT(BUSCAR!$J$2),AND(ISNUMBER($AF557),$AF557&gt;=BUSCAR!$J$3,$AF557&lt;=BUSCAR!$J$4))),1,0))</f>
      </c>
      <c r="AH557" s="42">
        <f t="shared" si="24"/>
      </c>
      <c r="AI557" s="42">
        <f t="shared" si="25"/>
      </c>
    </row>
    <row r="558" spans="1:35" x14ac:dyDescent="0.2">
      <c r="A558" s="66">
        <f t="shared" si="26"/>
      </c>
      <c r="B558" s="4"/>
      <c r="C558" s="4"/>
      <c r="D558" s="4"/>
      <c r="E558" s="4"/>
      <c r="F558" s="24"/>
      <c r="G558" s="8"/>
      <c r="H558" s="9"/>
      <c r="I558" s="8"/>
      <c r="J558" s="10"/>
      <c r="K558" s="8"/>
      <c r="L558" s="8"/>
      <c r="M558" s="8"/>
      <c r="N558" s="11"/>
      <c r="O558" s="9"/>
      <c r="P558" s="12"/>
      <c r="Q558" s="9"/>
      <c r="R558" s="13"/>
      <c r="S558" s="11"/>
      <c r="T558" s="11"/>
      <c r="U558" s="9"/>
      <c r="V558" s="9"/>
      <c r="W558" s="9"/>
      <c r="X558" s="16"/>
      <c r="AF558" s="42">
        <f>IF(BUSCAR!$C$8="FECHA NAC.",$G558,IF(BUSCAR!$C$8="PASAPORTE EXPIRA",$J558,IF(BUSCAR!$C$8="LICENCIA EMISION",$L558,IF(BUSCAR!$C$8="LICENCIA EXPIRA",$M558,""))))</f>
      </c>
      <c r="AG558" s="42">
        <f>IF($B558&amp;$C558&amp;$D558&amp;$E558&amp;$H558="",0,IF(AND(OR(BUSCAR!$J$5="",ISNUMBER(SEARCH(BUSCAR!$J$5,$AI558))),OR(BUSCAR!$J$6="",ISNUMBER(SEARCH(BUSCAR!$J$6,$AI558))),OR(BUSCAR!$J$8="",ISNUMBER(SEARCH(BUSCAR!$J$8,$AI558))),OR(BUSCAR!$J$9="",ISNUMBER(SEARCH(BUSCAR!$J$9,$AI558))),OR(NOT(BUSCAR!$J$2),AND(ISNUMBER($AF558),$AF558&gt;=BUSCAR!$J$3,$AF558&lt;=BUSCAR!$J$4))),1,0))</f>
      </c>
      <c r="AH558" s="42">
        <f t="shared" si="24"/>
      </c>
      <c r="AI558" s="42">
        <f t="shared" si="25"/>
      </c>
    </row>
    <row r="559" spans="1:35" x14ac:dyDescent="0.2">
      <c r="A559" s="66">
        <f t="shared" si="26"/>
      </c>
      <c r="B559" s="4"/>
      <c r="C559" s="4"/>
      <c r="D559" s="4"/>
      <c r="E559" s="4"/>
      <c r="F559" s="24"/>
      <c r="G559" s="8"/>
      <c r="H559" s="9"/>
      <c r="I559" s="8"/>
      <c r="J559" s="10"/>
      <c r="K559" s="8"/>
      <c r="L559" s="8"/>
      <c r="M559" s="8"/>
      <c r="N559" s="11"/>
      <c r="O559" s="9"/>
      <c r="P559" s="12"/>
      <c r="Q559" s="9"/>
      <c r="R559" s="13"/>
      <c r="S559" s="11"/>
      <c r="T559" s="11"/>
      <c r="U559" s="9"/>
      <c r="V559" s="9"/>
      <c r="W559" s="9"/>
      <c r="X559" s="16"/>
      <c r="AF559" s="42">
        <f>IF(BUSCAR!$C$8="FECHA NAC.",$G559,IF(BUSCAR!$C$8="PASAPORTE EXPIRA",$J559,IF(BUSCAR!$C$8="LICENCIA EMISION",$L559,IF(BUSCAR!$C$8="LICENCIA EXPIRA",$M559,""))))</f>
      </c>
      <c r="AG559" s="42">
        <f>IF($B559&amp;$C559&amp;$D559&amp;$E559&amp;$H559="",0,IF(AND(OR(BUSCAR!$J$5="",ISNUMBER(SEARCH(BUSCAR!$J$5,$AI559))),OR(BUSCAR!$J$6="",ISNUMBER(SEARCH(BUSCAR!$J$6,$AI559))),OR(BUSCAR!$J$8="",ISNUMBER(SEARCH(BUSCAR!$J$8,$AI559))),OR(BUSCAR!$J$9="",ISNUMBER(SEARCH(BUSCAR!$J$9,$AI559))),OR(NOT(BUSCAR!$J$2),AND(ISNUMBER($AF559),$AF559&gt;=BUSCAR!$J$3,$AF559&lt;=BUSCAR!$J$4))),1,0))</f>
      </c>
      <c r="AH559" s="42">
        <f t="shared" si="24"/>
      </c>
      <c r="AI559" s="42">
        <f t="shared" si="25"/>
      </c>
    </row>
    <row r="560" spans="1:35" x14ac:dyDescent="0.2">
      <c r="A560" s="66">
        <f t="shared" si="26"/>
      </c>
      <c r="B560" s="4"/>
      <c r="C560" s="4"/>
      <c r="D560" s="4"/>
      <c r="E560" s="4"/>
      <c r="F560" s="24"/>
      <c r="G560" s="8"/>
      <c r="H560" s="9"/>
      <c r="I560" s="8"/>
      <c r="J560" s="10"/>
      <c r="K560" s="8"/>
      <c r="L560" s="8"/>
      <c r="M560" s="8"/>
      <c r="N560" s="11"/>
      <c r="O560" s="9"/>
      <c r="P560" s="12"/>
      <c r="Q560" s="9"/>
      <c r="R560" s="13"/>
      <c r="S560" s="11"/>
      <c r="T560" s="11"/>
      <c r="U560" s="9"/>
      <c r="V560" s="9"/>
      <c r="W560" s="9"/>
      <c r="X560" s="16"/>
      <c r="AF560" s="42">
        <f>IF(BUSCAR!$C$8="FECHA NAC.",$G560,IF(BUSCAR!$C$8="PASAPORTE EXPIRA",$J560,IF(BUSCAR!$C$8="LICENCIA EMISION",$L560,IF(BUSCAR!$C$8="LICENCIA EXPIRA",$M560,""))))</f>
      </c>
      <c r="AG560" s="42">
        <f>IF($B560&amp;$C560&amp;$D560&amp;$E560&amp;$H560="",0,IF(AND(OR(BUSCAR!$J$5="",ISNUMBER(SEARCH(BUSCAR!$J$5,$AI560))),OR(BUSCAR!$J$6="",ISNUMBER(SEARCH(BUSCAR!$J$6,$AI560))),OR(BUSCAR!$J$8="",ISNUMBER(SEARCH(BUSCAR!$J$8,$AI560))),OR(BUSCAR!$J$9="",ISNUMBER(SEARCH(BUSCAR!$J$9,$AI560))),OR(NOT(BUSCAR!$J$2),AND(ISNUMBER($AF560),$AF560&gt;=BUSCAR!$J$3,$AF560&lt;=BUSCAR!$J$4))),1,0))</f>
      </c>
      <c r="AH560" s="42">
        <f t="shared" si="24"/>
      </c>
      <c r="AI560" s="42">
        <f t="shared" si="25"/>
      </c>
    </row>
    <row r="561" spans="1:35" x14ac:dyDescent="0.2">
      <c r="A561" s="66">
        <f t="shared" si="26"/>
      </c>
      <c r="B561" s="4"/>
      <c r="C561" s="4"/>
      <c r="D561" s="4"/>
      <c r="E561" s="4"/>
      <c r="F561" s="24"/>
      <c r="G561" s="8"/>
      <c r="H561" s="9"/>
      <c r="I561" s="8"/>
      <c r="J561" s="10"/>
      <c r="K561" s="8"/>
      <c r="L561" s="8"/>
      <c r="M561" s="8"/>
      <c r="N561" s="11"/>
      <c r="O561" s="9"/>
      <c r="P561" s="12"/>
      <c r="Q561" s="9"/>
      <c r="R561" s="13"/>
      <c r="S561" s="11"/>
      <c r="T561" s="11"/>
      <c r="U561" s="9"/>
      <c r="V561" s="9"/>
      <c r="W561" s="9"/>
      <c r="X561" s="16"/>
      <c r="AF561" s="42">
        <f>IF(BUSCAR!$C$8="FECHA NAC.",$G561,IF(BUSCAR!$C$8="PASAPORTE EXPIRA",$J561,IF(BUSCAR!$C$8="LICENCIA EMISION",$L561,IF(BUSCAR!$C$8="LICENCIA EXPIRA",$M561,""))))</f>
      </c>
      <c r="AG561" s="42">
        <f>IF($B561&amp;$C561&amp;$D561&amp;$E561&amp;$H561="",0,IF(AND(OR(BUSCAR!$J$5="",ISNUMBER(SEARCH(BUSCAR!$J$5,$AI561))),OR(BUSCAR!$J$6="",ISNUMBER(SEARCH(BUSCAR!$J$6,$AI561))),OR(BUSCAR!$J$8="",ISNUMBER(SEARCH(BUSCAR!$J$8,$AI561))),OR(BUSCAR!$J$9="",ISNUMBER(SEARCH(BUSCAR!$J$9,$AI561))),OR(NOT(BUSCAR!$J$2),AND(ISNUMBER($AF561),$AF561&gt;=BUSCAR!$J$3,$AF561&lt;=BUSCAR!$J$4))),1,0))</f>
      </c>
      <c r="AH561" s="42">
        <f t="shared" si="24"/>
      </c>
      <c r="AI561" s="42">
        <f t="shared" si="25"/>
      </c>
    </row>
    <row r="562" spans="1:35" x14ac:dyDescent="0.2">
      <c r="A562" s="66">
        <f t="shared" si="26"/>
      </c>
      <c r="B562" s="4"/>
      <c r="C562" s="4"/>
      <c r="D562" s="4"/>
      <c r="E562" s="4"/>
      <c r="F562" s="24"/>
      <c r="G562" s="8"/>
      <c r="H562" s="9"/>
      <c r="I562" s="8"/>
      <c r="J562" s="10"/>
      <c r="K562" s="8"/>
      <c r="L562" s="8"/>
      <c r="M562" s="8"/>
      <c r="N562" s="11"/>
      <c r="O562" s="9"/>
      <c r="P562" s="12"/>
      <c r="Q562" s="9"/>
      <c r="R562" s="13"/>
      <c r="S562" s="11"/>
      <c r="T562" s="11"/>
      <c r="U562" s="9"/>
      <c r="V562" s="9"/>
      <c r="W562" s="9"/>
      <c r="X562" s="16"/>
      <c r="AF562" s="42">
        <f>IF(BUSCAR!$C$8="FECHA NAC.",$G562,IF(BUSCAR!$C$8="PASAPORTE EXPIRA",$J562,IF(BUSCAR!$C$8="LICENCIA EMISION",$L562,IF(BUSCAR!$C$8="LICENCIA EXPIRA",$M562,""))))</f>
      </c>
      <c r="AG562" s="42">
        <f>IF($B562&amp;$C562&amp;$D562&amp;$E562&amp;$H562="",0,IF(AND(OR(BUSCAR!$J$5="",ISNUMBER(SEARCH(BUSCAR!$J$5,$AI562))),OR(BUSCAR!$J$6="",ISNUMBER(SEARCH(BUSCAR!$J$6,$AI562))),OR(BUSCAR!$J$8="",ISNUMBER(SEARCH(BUSCAR!$J$8,$AI562))),OR(BUSCAR!$J$9="",ISNUMBER(SEARCH(BUSCAR!$J$9,$AI562))),OR(NOT(BUSCAR!$J$2),AND(ISNUMBER($AF562),$AF562&gt;=BUSCAR!$J$3,$AF562&lt;=BUSCAR!$J$4))),1,0))</f>
      </c>
      <c r="AH562" s="42">
        <f t="shared" si="24"/>
      </c>
      <c r="AI562" s="42">
        <f t="shared" si="25"/>
      </c>
    </row>
    <row r="563" spans="1:35" x14ac:dyDescent="0.2">
      <c r="A563" s="66">
        <f t="shared" si="26"/>
      </c>
      <c r="B563" s="4"/>
      <c r="C563" s="4"/>
      <c r="D563" s="4"/>
      <c r="E563" s="4"/>
      <c r="F563" s="24"/>
      <c r="G563" s="8"/>
      <c r="H563" s="9"/>
      <c r="I563" s="8"/>
      <c r="J563" s="10"/>
      <c r="K563" s="8"/>
      <c r="L563" s="8"/>
      <c r="M563" s="8"/>
      <c r="N563" s="11"/>
      <c r="O563" s="9"/>
      <c r="P563" s="12"/>
      <c r="Q563" s="9"/>
      <c r="R563" s="13"/>
      <c r="S563" s="11"/>
      <c r="T563" s="11"/>
      <c r="U563" s="9"/>
      <c r="V563" s="9"/>
      <c r="W563" s="9"/>
      <c r="X563" s="16"/>
      <c r="AF563" s="42">
        <f>IF(BUSCAR!$C$8="FECHA NAC.",$G563,IF(BUSCAR!$C$8="PASAPORTE EXPIRA",$J563,IF(BUSCAR!$C$8="LICENCIA EMISION",$L563,IF(BUSCAR!$C$8="LICENCIA EXPIRA",$M563,""))))</f>
      </c>
      <c r="AG563" s="42">
        <f>IF($B563&amp;$C563&amp;$D563&amp;$E563&amp;$H563="",0,IF(AND(OR(BUSCAR!$J$5="",ISNUMBER(SEARCH(BUSCAR!$J$5,$AI563))),OR(BUSCAR!$J$6="",ISNUMBER(SEARCH(BUSCAR!$J$6,$AI563))),OR(BUSCAR!$J$8="",ISNUMBER(SEARCH(BUSCAR!$J$8,$AI563))),OR(BUSCAR!$J$9="",ISNUMBER(SEARCH(BUSCAR!$J$9,$AI563))),OR(NOT(BUSCAR!$J$2),AND(ISNUMBER($AF563),$AF563&gt;=BUSCAR!$J$3,$AF563&lt;=BUSCAR!$J$4))),1,0))</f>
      </c>
      <c r="AH563" s="42">
        <f t="shared" si="24"/>
      </c>
      <c r="AI563" s="42">
        <f t="shared" si="25"/>
      </c>
    </row>
    <row r="564" spans="1:35" x14ac:dyDescent="0.2">
      <c r="A564" s="66">
        <f t="shared" si="26"/>
      </c>
      <c r="B564" s="4"/>
      <c r="C564" s="4"/>
      <c r="D564" s="4"/>
      <c r="E564" s="4"/>
      <c r="F564" s="24"/>
      <c r="G564" s="8"/>
      <c r="H564" s="9"/>
      <c r="I564" s="8"/>
      <c r="J564" s="10"/>
      <c r="K564" s="8"/>
      <c r="L564" s="8"/>
      <c r="M564" s="8"/>
      <c r="N564" s="11"/>
      <c r="O564" s="9"/>
      <c r="P564" s="12"/>
      <c r="Q564" s="9"/>
      <c r="R564" s="13"/>
      <c r="S564" s="11"/>
      <c r="T564" s="11"/>
      <c r="U564" s="9"/>
      <c r="V564" s="9"/>
      <c r="W564" s="9"/>
      <c r="X564" s="16"/>
      <c r="AF564" s="42">
        <f>IF(BUSCAR!$C$8="FECHA NAC.",$G564,IF(BUSCAR!$C$8="PASAPORTE EXPIRA",$J564,IF(BUSCAR!$C$8="LICENCIA EMISION",$L564,IF(BUSCAR!$C$8="LICENCIA EXPIRA",$M564,""))))</f>
      </c>
      <c r="AG564" s="42">
        <f>IF($B564&amp;$C564&amp;$D564&amp;$E564&amp;$H564="",0,IF(AND(OR(BUSCAR!$J$5="",ISNUMBER(SEARCH(BUSCAR!$J$5,$AI564))),OR(BUSCAR!$J$6="",ISNUMBER(SEARCH(BUSCAR!$J$6,$AI564))),OR(BUSCAR!$J$8="",ISNUMBER(SEARCH(BUSCAR!$J$8,$AI564))),OR(BUSCAR!$J$9="",ISNUMBER(SEARCH(BUSCAR!$J$9,$AI564))),OR(NOT(BUSCAR!$J$2),AND(ISNUMBER($AF564),$AF564&gt;=BUSCAR!$J$3,$AF564&lt;=BUSCAR!$J$4))),1,0))</f>
      </c>
      <c r="AH564" s="42">
        <f t="shared" si="24"/>
      </c>
      <c r="AI564" s="42">
        <f t="shared" si="25"/>
      </c>
    </row>
    <row r="565" spans="1:35" x14ac:dyDescent="0.2">
      <c r="A565" s="66">
        <f t="shared" si="26"/>
      </c>
      <c r="B565" s="4"/>
      <c r="C565" s="4"/>
      <c r="D565" s="4"/>
      <c r="E565" s="4"/>
      <c r="F565" s="24"/>
      <c r="G565" s="8"/>
      <c r="H565" s="9"/>
      <c r="I565" s="8"/>
      <c r="J565" s="10"/>
      <c r="K565" s="8"/>
      <c r="L565" s="8"/>
      <c r="M565" s="8"/>
      <c r="N565" s="11"/>
      <c r="O565" s="9"/>
      <c r="P565" s="12"/>
      <c r="Q565" s="9"/>
      <c r="R565" s="13"/>
      <c r="S565" s="11"/>
      <c r="T565" s="11"/>
      <c r="U565" s="9"/>
      <c r="V565" s="9"/>
      <c r="W565" s="9"/>
      <c r="X565" s="16"/>
      <c r="AF565" s="42">
        <f>IF(BUSCAR!$C$8="FECHA NAC.",$G565,IF(BUSCAR!$C$8="PASAPORTE EXPIRA",$J565,IF(BUSCAR!$C$8="LICENCIA EMISION",$L565,IF(BUSCAR!$C$8="LICENCIA EXPIRA",$M565,""))))</f>
      </c>
      <c r="AG565" s="42">
        <f>IF($B565&amp;$C565&amp;$D565&amp;$E565&amp;$H565="",0,IF(AND(OR(BUSCAR!$J$5="",ISNUMBER(SEARCH(BUSCAR!$J$5,$AI565))),OR(BUSCAR!$J$6="",ISNUMBER(SEARCH(BUSCAR!$J$6,$AI565))),OR(BUSCAR!$J$8="",ISNUMBER(SEARCH(BUSCAR!$J$8,$AI565))),OR(BUSCAR!$J$9="",ISNUMBER(SEARCH(BUSCAR!$J$9,$AI565))),OR(NOT(BUSCAR!$J$2),AND(ISNUMBER($AF565),$AF565&gt;=BUSCAR!$J$3,$AF565&lt;=BUSCAR!$J$4))),1,0))</f>
      </c>
      <c r="AH565" s="42">
        <f t="shared" si="24"/>
      </c>
      <c r="AI565" s="42">
        <f t="shared" si="25"/>
      </c>
    </row>
    <row r="566" spans="1:35" x14ac:dyDescent="0.2">
      <c r="A566" s="66">
        <f t="shared" si="26"/>
      </c>
      <c r="B566" s="4"/>
      <c r="C566" s="4"/>
      <c r="D566" s="4"/>
      <c r="E566" s="4"/>
      <c r="F566" s="24"/>
      <c r="G566" s="8"/>
      <c r="H566" s="9"/>
      <c r="I566" s="8"/>
      <c r="J566" s="10"/>
      <c r="K566" s="8"/>
      <c r="L566" s="8"/>
      <c r="M566" s="8"/>
      <c r="N566" s="11"/>
      <c r="O566" s="9"/>
      <c r="P566" s="12"/>
      <c r="Q566" s="9"/>
      <c r="R566" s="13"/>
      <c r="S566" s="11"/>
      <c r="T566" s="11"/>
      <c r="U566" s="9"/>
      <c r="V566" s="9"/>
      <c r="W566" s="9"/>
      <c r="X566" s="16"/>
      <c r="AF566" s="42">
        <f>IF(BUSCAR!$C$8="FECHA NAC.",$G566,IF(BUSCAR!$C$8="PASAPORTE EXPIRA",$J566,IF(BUSCAR!$C$8="LICENCIA EMISION",$L566,IF(BUSCAR!$C$8="LICENCIA EXPIRA",$M566,""))))</f>
      </c>
      <c r="AG566" s="42">
        <f>IF($B566&amp;$C566&amp;$D566&amp;$E566&amp;$H566="",0,IF(AND(OR(BUSCAR!$J$5="",ISNUMBER(SEARCH(BUSCAR!$J$5,$AI566))),OR(BUSCAR!$J$6="",ISNUMBER(SEARCH(BUSCAR!$J$6,$AI566))),OR(BUSCAR!$J$8="",ISNUMBER(SEARCH(BUSCAR!$J$8,$AI566))),OR(BUSCAR!$J$9="",ISNUMBER(SEARCH(BUSCAR!$J$9,$AI566))),OR(NOT(BUSCAR!$J$2),AND(ISNUMBER($AF566),$AF566&gt;=BUSCAR!$J$3,$AF566&lt;=BUSCAR!$J$4))),1,0))</f>
      </c>
      <c r="AH566" s="42">
        <f t="shared" si="24"/>
      </c>
      <c r="AI566" s="42">
        <f t="shared" si="25"/>
      </c>
    </row>
    <row r="567" spans="1:35" x14ac:dyDescent="0.2">
      <c r="A567" s="66">
        <f t="shared" si="26"/>
      </c>
      <c r="B567" s="4"/>
      <c r="C567" s="4"/>
      <c r="D567" s="4"/>
      <c r="E567" s="4"/>
      <c r="F567" s="24"/>
      <c r="G567" s="8"/>
      <c r="H567" s="9"/>
      <c r="I567" s="8"/>
      <c r="J567" s="10"/>
      <c r="K567" s="8"/>
      <c r="L567" s="8"/>
      <c r="M567" s="8"/>
      <c r="N567" s="11"/>
      <c r="O567" s="9"/>
      <c r="P567" s="12"/>
      <c r="Q567" s="9"/>
      <c r="R567" s="13"/>
      <c r="S567" s="11"/>
      <c r="T567" s="11"/>
      <c r="U567" s="9"/>
      <c r="V567" s="9"/>
      <c r="W567" s="9"/>
      <c r="X567" s="16"/>
      <c r="AF567" s="42">
        <f>IF(BUSCAR!$C$8="FECHA NAC.",$G567,IF(BUSCAR!$C$8="PASAPORTE EXPIRA",$J567,IF(BUSCAR!$C$8="LICENCIA EMISION",$L567,IF(BUSCAR!$C$8="LICENCIA EXPIRA",$M567,""))))</f>
      </c>
      <c r="AG567" s="42">
        <f>IF($B567&amp;$C567&amp;$D567&amp;$E567&amp;$H567="",0,IF(AND(OR(BUSCAR!$J$5="",ISNUMBER(SEARCH(BUSCAR!$J$5,$AI567))),OR(BUSCAR!$J$6="",ISNUMBER(SEARCH(BUSCAR!$J$6,$AI567))),OR(BUSCAR!$J$8="",ISNUMBER(SEARCH(BUSCAR!$J$8,$AI567))),OR(BUSCAR!$J$9="",ISNUMBER(SEARCH(BUSCAR!$J$9,$AI567))),OR(NOT(BUSCAR!$J$2),AND(ISNUMBER($AF567),$AF567&gt;=BUSCAR!$J$3,$AF567&lt;=BUSCAR!$J$4))),1,0))</f>
      </c>
      <c r="AH567" s="42">
        <f t="shared" si="24"/>
      </c>
      <c r="AI567" s="42">
        <f t="shared" si="25"/>
      </c>
    </row>
    <row r="568" spans="1:35" x14ac:dyDescent="0.2">
      <c r="A568" s="66">
        <f t="shared" si="26"/>
      </c>
      <c r="B568" s="4"/>
      <c r="C568" s="4"/>
      <c r="D568" s="4"/>
      <c r="E568" s="4"/>
      <c r="F568" s="24"/>
      <c r="G568" s="8"/>
      <c r="H568" s="9"/>
      <c r="I568" s="8"/>
      <c r="J568" s="10"/>
      <c r="K568" s="8"/>
      <c r="L568" s="8"/>
      <c r="M568" s="8"/>
      <c r="N568" s="11"/>
      <c r="O568" s="9"/>
      <c r="P568" s="12"/>
      <c r="Q568" s="9"/>
      <c r="R568" s="13"/>
      <c r="S568" s="11"/>
      <c r="T568" s="11"/>
      <c r="U568" s="9"/>
      <c r="V568" s="9"/>
      <c r="W568" s="9"/>
      <c r="X568" s="16"/>
      <c r="AF568" s="42">
        <f>IF(BUSCAR!$C$8="FECHA NAC.",$G568,IF(BUSCAR!$C$8="PASAPORTE EXPIRA",$J568,IF(BUSCAR!$C$8="LICENCIA EMISION",$L568,IF(BUSCAR!$C$8="LICENCIA EXPIRA",$M568,""))))</f>
      </c>
      <c r="AG568" s="42">
        <f>IF($B568&amp;$C568&amp;$D568&amp;$E568&amp;$H568="",0,IF(AND(OR(BUSCAR!$J$5="",ISNUMBER(SEARCH(BUSCAR!$J$5,$AI568))),OR(BUSCAR!$J$6="",ISNUMBER(SEARCH(BUSCAR!$J$6,$AI568))),OR(BUSCAR!$J$8="",ISNUMBER(SEARCH(BUSCAR!$J$8,$AI568))),OR(BUSCAR!$J$9="",ISNUMBER(SEARCH(BUSCAR!$J$9,$AI568))),OR(NOT(BUSCAR!$J$2),AND(ISNUMBER($AF568),$AF568&gt;=BUSCAR!$J$3,$AF568&lt;=BUSCAR!$J$4))),1,0))</f>
      </c>
      <c r="AH568" s="42">
        <f t="shared" si="24"/>
      </c>
      <c r="AI568" s="42">
        <f t="shared" si="25"/>
      </c>
    </row>
    <row r="569" spans="1:35" x14ac:dyDescent="0.2">
      <c r="A569" s="66">
        <f t="shared" si="26"/>
      </c>
      <c r="B569" s="4"/>
      <c r="C569" s="4"/>
      <c r="D569" s="4"/>
      <c r="E569" s="4"/>
      <c r="F569" s="24"/>
      <c r="G569" s="8"/>
      <c r="H569" s="9"/>
      <c r="I569" s="8"/>
      <c r="J569" s="10"/>
      <c r="K569" s="8"/>
      <c r="L569" s="8"/>
      <c r="M569" s="8"/>
      <c r="N569" s="11"/>
      <c r="O569" s="9"/>
      <c r="P569" s="12"/>
      <c r="Q569" s="9"/>
      <c r="R569" s="13"/>
      <c r="S569" s="11"/>
      <c r="T569" s="11"/>
      <c r="U569" s="9"/>
      <c r="V569" s="9"/>
      <c r="W569" s="9"/>
      <c r="X569" s="16"/>
      <c r="AF569" s="42">
        <f>IF(BUSCAR!$C$8="FECHA NAC.",$G569,IF(BUSCAR!$C$8="PASAPORTE EXPIRA",$J569,IF(BUSCAR!$C$8="LICENCIA EMISION",$L569,IF(BUSCAR!$C$8="LICENCIA EXPIRA",$M569,""))))</f>
      </c>
      <c r="AG569" s="42">
        <f>IF($B569&amp;$C569&amp;$D569&amp;$E569&amp;$H569="",0,IF(AND(OR(BUSCAR!$J$5="",ISNUMBER(SEARCH(BUSCAR!$J$5,$AI569))),OR(BUSCAR!$J$6="",ISNUMBER(SEARCH(BUSCAR!$J$6,$AI569))),OR(BUSCAR!$J$8="",ISNUMBER(SEARCH(BUSCAR!$J$8,$AI569))),OR(BUSCAR!$J$9="",ISNUMBER(SEARCH(BUSCAR!$J$9,$AI569))),OR(NOT(BUSCAR!$J$2),AND(ISNUMBER($AF569),$AF569&gt;=BUSCAR!$J$3,$AF569&lt;=BUSCAR!$J$4))),1,0))</f>
      </c>
      <c r="AH569" s="42">
        <f t="shared" si="24"/>
      </c>
      <c r="AI569" s="42">
        <f t="shared" si="25"/>
      </c>
    </row>
    <row r="570" spans="1:35" x14ac:dyDescent="0.2">
      <c r="A570" s="66">
        <f t="shared" si="26"/>
      </c>
      <c r="B570" s="4"/>
      <c r="C570" s="4"/>
      <c r="D570" s="4"/>
      <c r="E570" s="4"/>
      <c r="F570" s="24"/>
      <c r="G570" s="8"/>
      <c r="H570" s="9"/>
      <c r="I570" s="8"/>
      <c r="J570" s="10"/>
      <c r="K570" s="8"/>
      <c r="L570" s="8"/>
      <c r="M570" s="8"/>
      <c r="N570" s="11"/>
      <c r="O570" s="9"/>
      <c r="P570" s="12"/>
      <c r="Q570" s="9"/>
      <c r="R570" s="13"/>
      <c r="S570" s="11"/>
      <c r="T570" s="11"/>
      <c r="U570" s="9"/>
      <c r="V570" s="9"/>
      <c r="W570" s="9"/>
      <c r="X570" s="16"/>
      <c r="AF570" s="42">
        <f>IF(BUSCAR!$C$8="FECHA NAC.",$G570,IF(BUSCAR!$C$8="PASAPORTE EXPIRA",$J570,IF(BUSCAR!$C$8="LICENCIA EMISION",$L570,IF(BUSCAR!$C$8="LICENCIA EXPIRA",$M570,""))))</f>
      </c>
      <c r="AG570" s="42">
        <f>IF($B570&amp;$C570&amp;$D570&amp;$E570&amp;$H570="",0,IF(AND(OR(BUSCAR!$J$5="",ISNUMBER(SEARCH(BUSCAR!$J$5,$AI570))),OR(BUSCAR!$J$6="",ISNUMBER(SEARCH(BUSCAR!$J$6,$AI570))),OR(BUSCAR!$J$8="",ISNUMBER(SEARCH(BUSCAR!$J$8,$AI570))),OR(BUSCAR!$J$9="",ISNUMBER(SEARCH(BUSCAR!$J$9,$AI570))),OR(NOT(BUSCAR!$J$2),AND(ISNUMBER($AF570),$AF570&gt;=BUSCAR!$J$3,$AF570&lt;=BUSCAR!$J$4))),1,0))</f>
      </c>
      <c r="AH570" s="42">
        <f t="shared" si="24"/>
      </c>
      <c r="AI570" s="42">
        <f t="shared" si="25"/>
      </c>
    </row>
    <row r="571" spans="1:35" x14ac:dyDescent="0.2">
      <c r="A571" s="66">
        <f t="shared" si="26"/>
      </c>
      <c r="B571" s="4"/>
      <c r="C571" s="4"/>
      <c r="D571" s="4"/>
      <c r="E571" s="4"/>
      <c r="F571" s="24"/>
      <c r="G571" s="8"/>
      <c r="H571" s="9"/>
      <c r="I571" s="8"/>
      <c r="J571" s="10"/>
      <c r="K571" s="8"/>
      <c r="L571" s="8"/>
      <c r="M571" s="8"/>
      <c r="N571" s="11"/>
      <c r="O571" s="9"/>
      <c r="P571" s="12"/>
      <c r="Q571" s="9"/>
      <c r="R571" s="13"/>
      <c r="S571" s="11"/>
      <c r="T571" s="11"/>
      <c r="U571" s="9"/>
      <c r="V571" s="9"/>
      <c r="W571" s="9"/>
      <c r="X571" s="16"/>
      <c r="AF571" s="42">
        <f>IF(BUSCAR!$C$8="FECHA NAC.",$G571,IF(BUSCAR!$C$8="PASAPORTE EXPIRA",$J571,IF(BUSCAR!$C$8="LICENCIA EMISION",$L571,IF(BUSCAR!$C$8="LICENCIA EXPIRA",$M571,""))))</f>
      </c>
      <c r="AG571" s="42">
        <f>IF($B571&amp;$C571&amp;$D571&amp;$E571&amp;$H571="",0,IF(AND(OR(BUSCAR!$J$5="",ISNUMBER(SEARCH(BUSCAR!$J$5,$AI571))),OR(BUSCAR!$J$6="",ISNUMBER(SEARCH(BUSCAR!$J$6,$AI571))),OR(BUSCAR!$J$8="",ISNUMBER(SEARCH(BUSCAR!$J$8,$AI571))),OR(BUSCAR!$J$9="",ISNUMBER(SEARCH(BUSCAR!$J$9,$AI571))),OR(NOT(BUSCAR!$J$2),AND(ISNUMBER($AF571),$AF571&gt;=BUSCAR!$J$3,$AF571&lt;=BUSCAR!$J$4))),1,0))</f>
      </c>
      <c r="AH571" s="42">
        <f t="shared" si="24"/>
      </c>
      <c r="AI571" s="42">
        <f t="shared" si="25"/>
      </c>
    </row>
    <row r="572" spans="1:35" x14ac:dyDescent="0.2">
      <c r="A572" s="66">
        <f t="shared" si="26"/>
      </c>
      <c r="B572" s="4"/>
      <c r="C572" s="4"/>
      <c r="D572" s="4"/>
      <c r="E572" s="4"/>
      <c r="F572" s="24"/>
      <c r="G572" s="8"/>
      <c r="H572" s="9"/>
      <c r="I572" s="8"/>
      <c r="J572" s="10"/>
      <c r="K572" s="8"/>
      <c r="L572" s="8"/>
      <c r="M572" s="8"/>
      <c r="N572" s="11"/>
      <c r="O572" s="9"/>
      <c r="P572" s="12"/>
      <c r="Q572" s="9"/>
      <c r="R572" s="13"/>
      <c r="S572" s="11"/>
      <c r="T572" s="11"/>
      <c r="U572" s="9"/>
      <c r="V572" s="9"/>
      <c r="W572" s="9"/>
      <c r="X572" s="16"/>
      <c r="AF572" s="42">
        <f>IF(BUSCAR!$C$8="FECHA NAC.",$G572,IF(BUSCAR!$C$8="PASAPORTE EXPIRA",$J572,IF(BUSCAR!$C$8="LICENCIA EMISION",$L572,IF(BUSCAR!$C$8="LICENCIA EXPIRA",$M572,""))))</f>
      </c>
      <c r="AG572" s="42">
        <f>IF($B572&amp;$C572&amp;$D572&amp;$E572&amp;$H572="",0,IF(AND(OR(BUSCAR!$J$5="",ISNUMBER(SEARCH(BUSCAR!$J$5,$AI572))),OR(BUSCAR!$J$6="",ISNUMBER(SEARCH(BUSCAR!$J$6,$AI572))),OR(BUSCAR!$J$8="",ISNUMBER(SEARCH(BUSCAR!$J$8,$AI572))),OR(BUSCAR!$J$9="",ISNUMBER(SEARCH(BUSCAR!$J$9,$AI572))),OR(NOT(BUSCAR!$J$2),AND(ISNUMBER($AF572),$AF572&gt;=BUSCAR!$J$3,$AF572&lt;=BUSCAR!$J$4))),1,0))</f>
      </c>
      <c r="AH572" s="42">
        <f t="shared" si="24"/>
      </c>
      <c r="AI572" s="42">
        <f t="shared" si="25"/>
      </c>
    </row>
    <row r="573" spans="1:35" x14ac:dyDescent="0.2">
      <c r="A573" s="66">
        <f t="shared" si="26"/>
      </c>
      <c r="B573" s="4"/>
      <c r="C573" s="4"/>
      <c r="D573" s="4"/>
      <c r="E573" s="4"/>
      <c r="F573" s="24"/>
      <c r="G573" s="8"/>
      <c r="H573" s="9"/>
      <c r="I573" s="8"/>
      <c r="J573" s="10"/>
      <c r="K573" s="8"/>
      <c r="L573" s="8"/>
      <c r="M573" s="8"/>
      <c r="N573" s="11"/>
      <c r="O573" s="9"/>
      <c r="P573" s="12"/>
      <c r="Q573" s="9"/>
      <c r="R573" s="13"/>
      <c r="S573" s="11"/>
      <c r="T573" s="11"/>
      <c r="U573" s="9"/>
      <c r="V573" s="9"/>
      <c r="W573" s="9"/>
      <c r="X573" s="16"/>
      <c r="AF573" s="42">
        <f>IF(BUSCAR!$C$8="FECHA NAC.",$G573,IF(BUSCAR!$C$8="PASAPORTE EXPIRA",$J573,IF(BUSCAR!$C$8="LICENCIA EMISION",$L573,IF(BUSCAR!$C$8="LICENCIA EXPIRA",$M573,""))))</f>
      </c>
      <c r="AG573" s="42">
        <f>IF($B573&amp;$C573&amp;$D573&amp;$E573&amp;$H573="",0,IF(AND(OR(BUSCAR!$J$5="",ISNUMBER(SEARCH(BUSCAR!$J$5,$AI573))),OR(BUSCAR!$J$6="",ISNUMBER(SEARCH(BUSCAR!$J$6,$AI573))),OR(BUSCAR!$J$8="",ISNUMBER(SEARCH(BUSCAR!$J$8,$AI573))),OR(BUSCAR!$J$9="",ISNUMBER(SEARCH(BUSCAR!$J$9,$AI573))),OR(NOT(BUSCAR!$J$2),AND(ISNUMBER($AF573),$AF573&gt;=BUSCAR!$J$3,$AF573&lt;=BUSCAR!$J$4))),1,0))</f>
      </c>
      <c r="AH573" s="42">
        <f t="shared" si="24"/>
      </c>
      <c r="AI573" s="42">
        <f t="shared" si="25"/>
      </c>
    </row>
    <row r="574" spans="1:35" x14ac:dyDescent="0.2">
      <c r="A574" s="66">
        <f t="shared" si="26"/>
      </c>
      <c r="B574" s="4"/>
      <c r="C574" s="4"/>
      <c r="D574" s="4"/>
      <c r="E574" s="4"/>
      <c r="F574" s="24"/>
      <c r="G574" s="8"/>
      <c r="H574" s="9"/>
      <c r="I574" s="8"/>
      <c r="J574" s="10"/>
      <c r="K574" s="8"/>
      <c r="L574" s="8"/>
      <c r="M574" s="8"/>
      <c r="N574" s="11"/>
      <c r="O574" s="9"/>
      <c r="P574" s="12"/>
      <c r="Q574" s="9"/>
      <c r="R574" s="13"/>
      <c r="S574" s="11"/>
      <c r="T574" s="11"/>
      <c r="U574" s="9"/>
      <c r="V574" s="9"/>
      <c r="W574" s="9"/>
      <c r="X574" s="16"/>
      <c r="AF574" s="42">
        <f>IF(BUSCAR!$C$8="FECHA NAC.",$G574,IF(BUSCAR!$C$8="PASAPORTE EXPIRA",$J574,IF(BUSCAR!$C$8="LICENCIA EMISION",$L574,IF(BUSCAR!$C$8="LICENCIA EXPIRA",$M574,""))))</f>
      </c>
      <c r="AG574" s="42">
        <f>IF($B574&amp;$C574&amp;$D574&amp;$E574&amp;$H574="",0,IF(AND(OR(BUSCAR!$J$5="",ISNUMBER(SEARCH(BUSCAR!$J$5,$AI574))),OR(BUSCAR!$J$6="",ISNUMBER(SEARCH(BUSCAR!$J$6,$AI574))),OR(BUSCAR!$J$8="",ISNUMBER(SEARCH(BUSCAR!$J$8,$AI574))),OR(BUSCAR!$J$9="",ISNUMBER(SEARCH(BUSCAR!$J$9,$AI574))),OR(NOT(BUSCAR!$J$2),AND(ISNUMBER($AF574),$AF574&gt;=BUSCAR!$J$3,$AF574&lt;=BUSCAR!$J$4))),1,0))</f>
      </c>
      <c r="AH574" s="42">
        <f t="shared" si="24"/>
      </c>
      <c r="AI574" s="42">
        <f t="shared" si="25"/>
      </c>
    </row>
    <row r="575" spans="1:35" x14ac:dyDescent="0.2">
      <c r="A575" s="66">
        <f t="shared" si="26"/>
      </c>
      <c r="B575" s="4"/>
      <c r="C575" s="4"/>
      <c r="D575" s="4"/>
      <c r="E575" s="4"/>
      <c r="F575" s="24"/>
      <c r="G575" s="8"/>
      <c r="H575" s="9"/>
      <c r="I575" s="8"/>
      <c r="J575" s="10"/>
      <c r="K575" s="8"/>
      <c r="L575" s="8"/>
      <c r="M575" s="8"/>
      <c r="N575" s="11"/>
      <c r="O575" s="9"/>
      <c r="P575" s="12"/>
      <c r="Q575" s="9"/>
      <c r="R575" s="13"/>
      <c r="S575" s="11"/>
      <c r="T575" s="11"/>
      <c r="U575" s="9"/>
      <c r="V575" s="9"/>
      <c r="W575" s="9"/>
      <c r="X575" s="16"/>
      <c r="AF575" s="42">
        <f>IF(BUSCAR!$C$8="FECHA NAC.",$G575,IF(BUSCAR!$C$8="PASAPORTE EXPIRA",$J575,IF(BUSCAR!$C$8="LICENCIA EMISION",$L575,IF(BUSCAR!$C$8="LICENCIA EXPIRA",$M575,""))))</f>
      </c>
      <c r="AG575" s="42">
        <f>IF($B575&amp;$C575&amp;$D575&amp;$E575&amp;$H575="",0,IF(AND(OR(BUSCAR!$J$5="",ISNUMBER(SEARCH(BUSCAR!$J$5,$AI575))),OR(BUSCAR!$J$6="",ISNUMBER(SEARCH(BUSCAR!$J$6,$AI575))),OR(BUSCAR!$J$8="",ISNUMBER(SEARCH(BUSCAR!$J$8,$AI575))),OR(BUSCAR!$J$9="",ISNUMBER(SEARCH(BUSCAR!$J$9,$AI575))),OR(NOT(BUSCAR!$J$2),AND(ISNUMBER($AF575),$AF575&gt;=BUSCAR!$J$3,$AF575&lt;=BUSCAR!$J$4))),1,0))</f>
      </c>
      <c r="AH575" s="42">
        <f t="shared" si="24"/>
      </c>
      <c r="AI575" s="42">
        <f t="shared" si="25"/>
      </c>
    </row>
    <row r="576" spans="1:35" x14ac:dyDescent="0.2">
      <c r="A576" s="66">
        <f t="shared" si="26"/>
      </c>
      <c r="B576" s="4"/>
      <c r="C576" s="4"/>
      <c r="D576" s="4"/>
      <c r="E576" s="4"/>
      <c r="F576" s="24"/>
      <c r="G576" s="8"/>
      <c r="H576" s="9"/>
      <c r="I576" s="8"/>
      <c r="J576" s="10"/>
      <c r="K576" s="8"/>
      <c r="L576" s="8"/>
      <c r="M576" s="8"/>
      <c r="N576" s="11"/>
      <c r="O576" s="9"/>
      <c r="P576" s="12"/>
      <c r="Q576" s="9"/>
      <c r="R576" s="13"/>
      <c r="S576" s="11"/>
      <c r="T576" s="11"/>
      <c r="U576" s="9"/>
      <c r="V576" s="9"/>
      <c r="W576" s="9"/>
      <c r="X576" s="16"/>
      <c r="AF576" s="42">
        <f>IF(BUSCAR!$C$8="FECHA NAC.",$G576,IF(BUSCAR!$C$8="PASAPORTE EXPIRA",$J576,IF(BUSCAR!$C$8="LICENCIA EMISION",$L576,IF(BUSCAR!$C$8="LICENCIA EXPIRA",$M576,""))))</f>
      </c>
      <c r="AG576" s="42">
        <f>IF($B576&amp;$C576&amp;$D576&amp;$E576&amp;$H576="",0,IF(AND(OR(BUSCAR!$J$5="",ISNUMBER(SEARCH(BUSCAR!$J$5,$AI576))),OR(BUSCAR!$J$6="",ISNUMBER(SEARCH(BUSCAR!$J$6,$AI576))),OR(BUSCAR!$J$8="",ISNUMBER(SEARCH(BUSCAR!$J$8,$AI576))),OR(BUSCAR!$J$9="",ISNUMBER(SEARCH(BUSCAR!$J$9,$AI576))),OR(NOT(BUSCAR!$J$2),AND(ISNUMBER($AF576),$AF576&gt;=BUSCAR!$J$3,$AF576&lt;=BUSCAR!$J$4))),1,0))</f>
      </c>
      <c r="AH576" s="42">
        <f t="shared" si="24"/>
      </c>
      <c r="AI576" s="42">
        <f t="shared" si="25"/>
      </c>
    </row>
    <row r="577" spans="1:35" x14ac:dyDescent="0.2">
      <c r="A577" s="66">
        <f t="shared" si="26"/>
      </c>
      <c r="B577" s="4"/>
      <c r="C577" s="4"/>
      <c r="D577" s="4"/>
      <c r="E577" s="4"/>
      <c r="F577" s="24"/>
      <c r="G577" s="8"/>
      <c r="H577" s="9"/>
      <c r="I577" s="8"/>
      <c r="J577" s="10"/>
      <c r="K577" s="8"/>
      <c r="L577" s="8"/>
      <c r="M577" s="8"/>
      <c r="N577" s="11"/>
      <c r="O577" s="9"/>
      <c r="P577" s="12"/>
      <c r="Q577" s="9"/>
      <c r="R577" s="13"/>
      <c r="S577" s="11"/>
      <c r="T577" s="11"/>
      <c r="U577" s="9"/>
      <c r="V577" s="9"/>
      <c r="W577" s="9"/>
      <c r="X577" s="16"/>
      <c r="AF577" s="42">
        <f>IF(BUSCAR!$C$8="FECHA NAC.",$G577,IF(BUSCAR!$C$8="PASAPORTE EXPIRA",$J577,IF(BUSCAR!$C$8="LICENCIA EMISION",$L577,IF(BUSCAR!$C$8="LICENCIA EXPIRA",$M577,""))))</f>
      </c>
      <c r="AG577" s="42">
        <f>IF($B577&amp;$C577&amp;$D577&amp;$E577&amp;$H577="",0,IF(AND(OR(BUSCAR!$J$5="",ISNUMBER(SEARCH(BUSCAR!$J$5,$AI577))),OR(BUSCAR!$J$6="",ISNUMBER(SEARCH(BUSCAR!$J$6,$AI577))),OR(BUSCAR!$J$8="",ISNUMBER(SEARCH(BUSCAR!$J$8,$AI577))),OR(BUSCAR!$J$9="",ISNUMBER(SEARCH(BUSCAR!$J$9,$AI577))),OR(NOT(BUSCAR!$J$2),AND(ISNUMBER($AF577),$AF577&gt;=BUSCAR!$J$3,$AF577&lt;=BUSCAR!$J$4))),1,0))</f>
      </c>
      <c r="AH577" s="42">
        <f t="shared" si="24"/>
      </c>
      <c r="AI577" s="42">
        <f t="shared" si="25"/>
      </c>
    </row>
    <row r="578" spans="1:35" x14ac:dyDescent="0.2">
      <c r="A578" s="66">
        <f t="shared" si="26"/>
      </c>
      <c r="B578" s="4"/>
      <c r="C578" s="4"/>
      <c r="D578" s="4"/>
      <c r="E578" s="4"/>
      <c r="F578" s="24"/>
      <c r="G578" s="8"/>
      <c r="H578" s="9"/>
      <c r="I578" s="8"/>
      <c r="J578" s="10"/>
      <c r="K578" s="8"/>
      <c r="L578" s="8"/>
      <c r="M578" s="8"/>
      <c r="N578" s="11"/>
      <c r="O578" s="9"/>
      <c r="P578" s="12"/>
      <c r="Q578" s="9"/>
      <c r="R578" s="13"/>
      <c r="S578" s="11"/>
      <c r="T578" s="11"/>
      <c r="U578" s="9"/>
      <c r="V578" s="9"/>
      <c r="W578" s="9"/>
      <c r="X578" s="16"/>
      <c r="AF578" s="42">
        <f>IF(BUSCAR!$C$8="FECHA NAC.",$G578,IF(BUSCAR!$C$8="PASAPORTE EXPIRA",$J578,IF(BUSCAR!$C$8="LICENCIA EMISION",$L578,IF(BUSCAR!$C$8="LICENCIA EXPIRA",$M578,""))))</f>
      </c>
      <c r="AG578" s="42">
        <f>IF($B578&amp;$C578&amp;$D578&amp;$E578&amp;$H578="",0,IF(AND(OR(BUSCAR!$J$5="",ISNUMBER(SEARCH(BUSCAR!$J$5,$AI578))),OR(BUSCAR!$J$6="",ISNUMBER(SEARCH(BUSCAR!$J$6,$AI578))),OR(BUSCAR!$J$8="",ISNUMBER(SEARCH(BUSCAR!$J$8,$AI578))),OR(BUSCAR!$J$9="",ISNUMBER(SEARCH(BUSCAR!$J$9,$AI578))),OR(NOT(BUSCAR!$J$2),AND(ISNUMBER($AF578),$AF578&gt;=BUSCAR!$J$3,$AF578&lt;=BUSCAR!$J$4))),1,0))</f>
      </c>
      <c r="AH578" s="42">
        <f t="shared" si="24"/>
      </c>
      <c r="AI578" s="42">
        <f t="shared" si="25"/>
      </c>
    </row>
    <row r="579" spans="1:35" x14ac:dyDescent="0.2">
      <c r="A579" s="66">
        <f t="shared" si="26"/>
      </c>
      <c r="B579" s="4"/>
      <c r="C579" s="4"/>
      <c r="D579" s="4"/>
      <c r="E579" s="4"/>
      <c r="F579" s="24"/>
      <c r="G579" s="8"/>
      <c r="H579" s="9"/>
      <c r="I579" s="8"/>
      <c r="J579" s="10"/>
      <c r="K579" s="8"/>
      <c r="L579" s="8"/>
      <c r="M579" s="8"/>
      <c r="N579" s="11"/>
      <c r="O579" s="9"/>
      <c r="P579" s="12"/>
      <c r="Q579" s="9"/>
      <c r="R579" s="13"/>
      <c r="S579" s="11"/>
      <c r="T579" s="11"/>
      <c r="U579" s="9"/>
      <c r="V579" s="9"/>
      <c r="W579" s="9"/>
      <c r="X579" s="16"/>
      <c r="AF579" s="42">
        <f>IF(BUSCAR!$C$8="FECHA NAC.",$G579,IF(BUSCAR!$C$8="PASAPORTE EXPIRA",$J579,IF(BUSCAR!$C$8="LICENCIA EMISION",$L579,IF(BUSCAR!$C$8="LICENCIA EXPIRA",$M579,""))))</f>
      </c>
      <c r="AG579" s="42">
        <f>IF($B579&amp;$C579&amp;$D579&amp;$E579&amp;$H579="",0,IF(AND(OR(BUSCAR!$J$5="",ISNUMBER(SEARCH(BUSCAR!$J$5,$AI579))),OR(BUSCAR!$J$6="",ISNUMBER(SEARCH(BUSCAR!$J$6,$AI579))),OR(BUSCAR!$J$8="",ISNUMBER(SEARCH(BUSCAR!$J$8,$AI579))),OR(BUSCAR!$J$9="",ISNUMBER(SEARCH(BUSCAR!$J$9,$AI579))),OR(NOT(BUSCAR!$J$2),AND(ISNUMBER($AF579),$AF579&gt;=BUSCAR!$J$3,$AF579&lt;=BUSCAR!$J$4))),1,0))</f>
      </c>
      <c r="AH579" s="42">
        <f t="shared" ref="AH579:AH642" si="27">AH578+AG579</f>
      </c>
      <c r="AI579" s="42">
        <f t="shared" ref="AI579:AI642" si="28">IF($B579&amp;" "&amp;$C579&amp;" "&amp;$D579&amp;" "&amp;$E579&amp;" "&amp;$H579&amp;" "&amp;$K579&amp;" "&amp;$R579&amp;" "&amp;$AC579&amp;" "&amp;$AD579="","",SUBSTITUTE(SUBSTITUTE(SUBSTITUTE(SUBSTITUTE(SUBSTITUTE(SUBSTITUTE(SUBSTITUTE(UPPER($B579&amp;" "&amp;$C579&amp;" "&amp;$D579&amp;" "&amp;$E579&amp;" "&amp;$H579&amp;" "&amp;$K579&amp;" "&amp;$R579&amp;" "&amp;$AC579&amp;" "&amp;$AD579),"Á","A"),"É","E"),"Í","I"),"Ó","O"),"Ú","U"),"Ü","U"),"Ñ","N"))</f>
      </c>
    </row>
    <row r="580" spans="1:35" x14ac:dyDescent="0.2">
      <c r="A580" s="66">
        <f t="shared" ref="A580:A643" si="29">A579+1</f>
      </c>
      <c r="B580" s="4"/>
      <c r="C580" s="4"/>
      <c r="D580" s="4"/>
      <c r="E580" s="4"/>
      <c r="F580" s="24"/>
      <c r="G580" s="8"/>
      <c r="H580" s="9"/>
      <c r="I580" s="8"/>
      <c r="J580" s="10"/>
      <c r="K580" s="8"/>
      <c r="L580" s="8"/>
      <c r="M580" s="8"/>
      <c r="N580" s="11"/>
      <c r="O580" s="9"/>
      <c r="P580" s="12"/>
      <c r="Q580" s="9"/>
      <c r="R580" s="13"/>
      <c r="S580" s="11"/>
      <c r="T580" s="11"/>
      <c r="U580" s="9"/>
      <c r="V580" s="9"/>
      <c r="W580" s="9"/>
      <c r="X580" s="16"/>
      <c r="AF580" s="42">
        <f>IF(BUSCAR!$C$8="FECHA NAC.",$G580,IF(BUSCAR!$C$8="PASAPORTE EXPIRA",$J580,IF(BUSCAR!$C$8="LICENCIA EMISION",$L580,IF(BUSCAR!$C$8="LICENCIA EXPIRA",$M580,""))))</f>
      </c>
      <c r="AG580" s="42">
        <f>IF($B580&amp;$C580&amp;$D580&amp;$E580&amp;$H580="",0,IF(AND(OR(BUSCAR!$J$5="",ISNUMBER(SEARCH(BUSCAR!$J$5,$AI580))),OR(BUSCAR!$J$6="",ISNUMBER(SEARCH(BUSCAR!$J$6,$AI580))),OR(BUSCAR!$J$8="",ISNUMBER(SEARCH(BUSCAR!$J$8,$AI580))),OR(BUSCAR!$J$9="",ISNUMBER(SEARCH(BUSCAR!$J$9,$AI580))),OR(NOT(BUSCAR!$J$2),AND(ISNUMBER($AF580),$AF580&gt;=BUSCAR!$J$3,$AF580&lt;=BUSCAR!$J$4))),1,0))</f>
      </c>
      <c r="AH580" s="42">
        <f t="shared" si="27"/>
      </c>
      <c r="AI580" s="42">
        <f t="shared" si="28"/>
      </c>
    </row>
    <row r="581" spans="1:35" x14ac:dyDescent="0.2">
      <c r="A581" s="66">
        <f t="shared" si="29"/>
      </c>
      <c r="B581" s="4"/>
      <c r="C581" s="4"/>
      <c r="D581" s="4"/>
      <c r="E581" s="4"/>
      <c r="F581" s="24"/>
      <c r="G581" s="8"/>
      <c r="H581" s="9"/>
      <c r="I581" s="8"/>
      <c r="J581" s="10"/>
      <c r="K581" s="8"/>
      <c r="L581" s="8"/>
      <c r="M581" s="8"/>
      <c r="N581" s="11"/>
      <c r="O581" s="9"/>
      <c r="P581" s="12"/>
      <c r="Q581" s="9"/>
      <c r="R581" s="13"/>
      <c r="S581" s="11"/>
      <c r="T581" s="11"/>
      <c r="U581" s="9"/>
      <c r="V581" s="9"/>
      <c r="W581" s="9"/>
      <c r="X581" s="16"/>
      <c r="AF581" s="42">
        <f>IF(BUSCAR!$C$8="FECHA NAC.",$G581,IF(BUSCAR!$C$8="PASAPORTE EXPIRA",$J581,IF(BUSCAR!$C$8="LICENCIA EMISION",$L581,IF(BUSCAR!$C$8="LICENCIA EXPIRA",$M581,""))))</f>
      </c>
      <c r="AG581" s="42">
        <f>IF($B581&amp;$C581&amp;$D581&amp;$E581&amp;$H581="",0,IF(AND(OR(BUSCAR!$J$5="",ISNUMBER(SEARCH(BUSCAR!$J$5,$AI581))),OR(BUSCAR!$J$6="",ISNUMBER(SEARCH(BUSCAR!$J$6,$AI581))),OR(BUSCAR!$J$8="",ISNUMBER(SEARCH(BUSCAR!$J$8,$AI581))),OR(BUSCAR!$J$9="",ISNUMBER(SEARCH(BUSCAR!$J$9,$AI581))),OR(NOT(BUSCAR!$J$2),AND(ISNUMBER($AF581),$AF581&gt;=BUSCAR!$J$3,$AF581&lt;=BUSCAR!$J$4))),1,0))</f>
      </c>
      <c r="AH581" s="42">
        <f t="shared" si="27"/>
      </c>
      <c r="AI581" s="42">
        <f t="shared" si="28"/>
      </c>
    </row>
    <row r="582" spans="1:35" x14ac:dyDescent="0.2">
      <c r="A582" s="66">
        <f t="shared" si="29"/>
      </c>
      <c r="B582" s="4"/>
      <c r="C582" s="4"/>
      <c r="D582" s="4"/>
      <c r="E582" s="4"/>
      <c r="F582" s="24"/>
      <c r="G582" s="8"/>
      <c r="H582" s="9"/>
      <c r="I582" s="8"/>
      <c r="J582" s="10"/>
      <c r="K582" s="8"/>
      <c r="L582" s="8"/>
      <c r="M582" s="8"/>
      <c r="N582" s="11"/>
      <c r="O582" s="9"/>
      <c r="P582" s="12"/>
      <c r="Q582" s="9"/>
      <c r="R582" s="13"/>
      <c r="S582" s="11"/>
      <c r="T582" s="11"/>
      <c r="U582" s="9"/>
      <c r="V582" s="9"/>
      <c r="W582" s="9"/>
      <c r="X582" s="16"/>
      <c r="AF582" s="42">
        <f>IF(BUSCAR!$C$8="FECHA NAC.",$G582,IF(BUSCAR!$C$8="PASAPORTE EXPIRA",$J582,IF(BUSCAR!$C$8="LICENCIA EMISION",$L582,IF(BUSCAR!$C$8="LICENCIA EXPIRA",$M582,""))))</f>
      </c>
      <c r="AG582" s="42">
        <f>IF($B582&amp;$C582&amp;$D582&amp;$E582&amp;$H582="",0,IF(AND(OR(BUSCAR!$J$5="",ISNUMBER(SEARCH(BUSCAR!$J$5,$AI582))),OR(BUSCAR!$J$6="",ISNUMBER(SEARCH(BUSCAR!$J$6,$AI582))),OR(BUSCAR!$J$8="",ISNUMBER(SEARCH(BUSCAR!$J$8,$AI582))),OR(BUSCAR!$J$9="",ISNUMBER(SEARCH(BUSCAR!$J$9,$AI582))),OR(NOT(BUSCAR!$J$2),AND(ISNUMBER($AF582),$AF582&gt;=BUSCAR!$J$3,$AF582&lt;=BUSCAR!$J$4))),1,0))</f>
      </c>
      <c r="AH582" s="42">
        <f t="shared" si="27"/>
      </c>
      <c r="AI582" s="42">
        <f t="shared" si="28"/>
      </c>
    </row>
    <row r="583" spans="1:35" x14ac:dyDescent="0.2">
      <c r="A583" s="66">
        <f t="shared" si="29"/>
      </c>
      <c r="B583" s="4"/>
      <c r="C583" s="4"/>
      <c r="D583" s="4"/>
      <c r="E583" s="4"/>
      <c r="F583" s="24"/>
      <c r="G583" s="8"/>
      <c r="H583" s="9"/>
      <c r="I583" s="8"/>
      <c r="J583" s="10"/>
      <c r="K583" s="8"/>
      <c r="L583" s="8"/>
      <c r="M583" s="8"/>
      <c r="N583" s="11"/>
      <c r="O583" s="9"/>
      <c r="P583" s="12"/>
      <c r="Q583" s="9"/>
      <c r="R583" s="13"/>
      <c r="S583" s="11"/>
      <c r="T583" s="11"/>
      <c r="U583" s="9"/>
      <c r="V583" s="9"/>
      <c r="W583" s="9"/>
      <c r="X583" s="16"/>
      <c r="AF583" s="42">
        <f>IF(BUSCAR!$C$8="FECHA NAC.",$G583,IF(BUSCAR!$C$8="PASAPORTE EXPIRA",$J583,IF(BUSCAR!$C$8="LICENCIA EMISION",$L583,IF(BUSCAR!$C$8="LICENCIA EXPIRA",$M583,""))))</f>
      </c>
      <c r="AG583" s="42">
        <f>IF($B583&amp;$C583&amp;$D583&amp;$E583&amp;$H583="",0,IF(AND(OR(BUSCAR!$J$5="",ISNUMBER(SEARCH(BUSCAR!$J$5,$AI583))),OR(BUSCAR!$J$6="",ISNUMBER(SEARCH(BUSCAR!$J$6,$AI583))),OR(BUSCAR!$J$8="",ISNUMBER(SEARCH(BUSCAR!$J$8,$AI583))),OR(BUSCAR!$J$9="",ISNUMBER(SEARCH(BUSCAR!$J$9,$AI583))),OR(NOT(BUSCAR!$J$2),AND(ISNUMBER($AF583),$AF583&gt;=BUSCAR!$J$3,$AF583&lt;=BUSCAR!$J$4))),1,0))</f>
      </c>
      <c r="AH583" s="42">
        <f t="shared" si="27"/>
      </c>
      <c r="AI583" s="42">
        <f t="shared" si="28"/>
      </c>
    </row>
    <row r="584" spans="1:35" x14ac:dyDescent="0.2">
      <c r="A584" s="66">
        <f t="shared" si="29"/>
      </c>
      <c r="B584" s="4"/>
      <c r="C584" s="4"/>
      <c r="D584" s="4"/>
      <c r="E584" s="4"/>
      <c r="F584" s="24"/>
      <c r="G584" s="8"/>
      <c r="H584" s="9"/>
      <c r="I584" s="8"/>
      <c r="J584" s="10"/>
      <c r="K584" s="8"/>
      <c r="L584" s="8"/>
      <c r="M584" s="8"/>
      <c r="N584" s="11"/>
      <c r="O584" s="9"/>
      <c r="P584" s="12"/>
      <c r="Q584" s="9"/>
      <c r="R584" s="13"/>
      <c r="S584" s="11"/>
      <c r="T584" s="11"/>
      <c r="U584" s="9"/>
      <c r="V584" s="9"/>
      <c r="W584" s="9"/>
      <c r="X584" s="16"/>
      <c r="AF584" s="42">
        <f>IF(BUSCAR!$C$8="FECHA NAC.",$G584,IF(BUSCAR!$C$8="PASAPORTE EXPIRA",$J584,IF(BUSCAR!$C$8="LICENCIA EMISION",$L584,IF(BUSCAR!$C$8="LICENCIA EXPIRA",$M584,""))))</f>
      </c>
      <c r="AG584" s="42">
        <f>IF($B584&amp;$C584&amp;$D584&amp;$E584&amp;$H584="",0,IF(AND(OR(BUSCAR!$J$5="",ISNUMBER(SEARCH(BUSCAR!$J$5,$AI584))),OR(BUSCAR!$J$6="",ISNUMBER(SEARCH(BUSCAR!$J$6,$AI584))),OR(BUSCAR!$J$8="",ISNUMBER(SEARCH(BUSCAR!$J$8,$AI584))),OR(BUSCAR!$J$9="",ISNUMBER(SEARCH(BUSCAR!$J$9,$AI584))),OR(NOT(BUSCAR!$J$2),AND(ISNUMBER($AF584),$AF584&gt;=BUSCAR!$J$3,$AF584&lt;=BUSCAR!$J$4))),1,0))</f>
      </c>
      <c r="AH584" s="42">
        <f t="shared" si="27"/>
      </c>
      <c r="AI584" s="42">
        <f t="shared" si="28"/>
      </c>
    </row>
    <row r="585" spans="1:35" x14ac:dyDescent="0.2">
      <c r="A585" s="66">
        <f t="shared" si="29"/>
      </c>
      <c r="B585" s="4"/>
      <c r="C585" s="4"/>
      <c r="D585" s="4"/>
      <c r="E585" s="4"/>
      <c r="F585" s="24"/>
      <c r="G585" s="8"/>
      <c r="H585" s="9"/>
      <c r="I585" s="8"/>
      <c r="J585" s="10"/>
      <c r="K585" s="10"/>
      <c r="L585" s="8"/>
      <c r="M585" s="8"/>
      <c r="N585" s="11"/>
      <c r="O585" s="9"/>
      <c r="P585" s="12"/>
      <c r="Q585" s="9"/>
      <c r="R585" s="13"/>
      <c r="S585" s="11"/>
      <c r="T585" s="11"/>
      <c r="U585" s="9"/>
      <c r="V585" s="9"/>
      <c r="W585" s="9"/>
      <c r="X585" s="16"/>
      <c r="AF585" s="42">
        <f>IF(BUSCAR!$C$8="FECHA NAC.",$G585,IF(BUSCAR!$C$8="PASAPORTE EXPIRA",$J585,IF(BUSCAR!$C$8="LICENCIA EMISION",$L585,IF(BUSCAR!$C$8="LICENCIA EXPIRA",$M585,""))))</f>
      </c>
      <c r="AG585" s="42">
        <f>IF($B585&amp;$C585&amp;$D585&amp;$E585&amp;$H585="",0,IF(AND(OR(BUSCAR!$J$5="",ISNUMBER(SEARCH(BUSCAR!$J$5,$AI585))),OR(BUSCAR!$J$6="",ISNUMBER(SEARCH(BUSCAR!$J$6,$AI585))),OR(BUSCAR!$J$8="",ISNUMBER(SEARCH(BUSCAR!$J$8,$AI585))),OR(BUSCAR!$J$9="",ISNUMBER(SEARCH(BUSCAR!$J$9,$AI585))),OR(NOT(BUSCAR!$J$2),AND(ISNUMBER($AF585),$AF585&gt;=BUSCAR!$J$3,$AF585&lt;=BUSCAR!$J$4))),1,0))</f>
      </c>
      <c r="AH585" s="42">
        <f t="shared" si="27"/>
      </c>
      <c r="AI585" s="42">
        <f t="shared" si="28"/>
      </c>
    </row>
    <row r="586" spans="1:35" x14ac:dyDescent="0.2">
      <c r="A586" s="66">
        <f t="shared" si="29"/>
      </c>
      <c r="B586" s="4"/>
      <c r="C586" s="4"/>
      <c r="D586" s="4"/>
      <c r="E586" s="4"/>
      <c r="F586" s="24"/>
      <c r="G586" s="8"/>
      <c r="H586" s="9"/>
      <c r="I586" s="8"/>
      <c r="J586" s="10"/>
      <c r="K586" s="8"/>
      <c r="L586" s="8"/>
      <c r="M586" s="8"/>
      <c r="N586" s="11"/>
      <c r="O586" s="9"/>
      <c r="P586" s="12"/>
      <c r="Q586" s="9"/>
      <c r="R586" s="13"/>
      <c r="S586" s="11"/>
      <c r="T586" s="11"/>
      <c r="U586" s="9"/>
      <c r="V586" s="9"/>
      <c r="W586" s="9"/>
      <c r="X586" s="16"/>
      <c r="AF586" s="42">
        <f>IF(BUSCAR!$C$8="FECHA NAC.",$G586,IF(BUSCAR!$C$8="PASAPORTE EXPIRA",$J586,IF(BUSCAR!$C$8="LICENCIA EMISION",$L586,IF(BUSCAR!$C$8="LICENCIA EXPIRA",$M586,""))))</f>
      </c>
      <c r="AG586" s="42">
        <f>IF($B586&amp;$C586&amp;$D586&amp;$E586&amp;$H586="",0,IF(AND(OR(BUSCAR!$J$5="",ISNUMBER(SEARCH(BUSCAR!$J$5,$AI586))),OR(BUSCAR!$J$6="",ISNUMBER(SEARCH(BUSCAR!$J$6,$AI586))),OR(BUSCAR!$J$8="",ISNUMBER(SEARCH(BUSCAR!$J$8,$AI586))),OR(BUSCAR!$J$9="",ISNUMBER(SEARCH(BUSCAR!$J$9,$AI586))),OR(NOT(BUSCAR!$J$2),AND(ISNUMBER($AF586),$AF586&gt;=BUSCAR!$J$3,$AF586&lt;=BUSCAR!$J$4))),1,0))</f>
      </c>
      <c r="AH586" s="42">
        <f t="shared" si="27"/>
      </c>
      <c r="AI586" s="42">
        <f t="shared" si="28"/>
      </c>
    </row>
    <row r="587" spans="1:35" x14ac:dyDescent="0.2">
      <c r="A587" s="66">
        <f t="shared" si="29"/>
      </c>
      <c r="B587" s="4"/>
      <c r="C587" s="4"/>
      <c r="D587" s="4"/>
      <c r="E587" s="4"/>
      <c r="F587" s="24"/>
      <c r="G587" s="8"/>
      <c r="H587" s="9"/>
      <c r="I587" s="8"/>
      <c r="J587" s="10"/>
      <c r="K587" s="8"/>
      <c r="L587" s="8"/>
      <c r="M587" s="8"/>
      <c r="N587" s="11"/>
      <c r="O587" s="9"/>
      <c r="P587" s="12"/>
      <c r="Q587" s="9"/>
      <c r="R587" s="13"/>
      <c r="S587" s="11"/>
      <c r="T587" s="11"/>
      <c r="U587" s="9"/>
      <c r="V587" s="9"/>
      <c r="W587" s="9"/>
      <c r="X587" s="16"/>
      <c r="AF587" s="42">
        <f>IF(BUSCAR!$C$8="FECHA NAC.",$G587,IF(BUSCAR!$C$8="PASAPORTE EXPIRA",$J587,IF(BUSCAR!$C$8="LICENCIA EMISION",$L587,IF(BUSCAR!$C$8="LICENCIA EXPIRA",$M587,""))))</f>
      </c>
      <c r="AG587" s="42">
        <f>IF($B587&amp;$C587&amp;$D587&amp;$E587&amp;$H587="",0,IF(AND(OR(BUSCAR!$J$5="",ISNUMBER(SEARCH(BUSCAR!$J$5,$AI587))),OR(BUSCAR!$J$6="",ISNUMBER(SEARCH(BUSCAR!$J$6,$AI587))),OR(BUSCAR!$J$8="",ISNUMBER(SEARCH(BUSCAR!$J$8,$AI587))),OR(BUSCAR!$J$9="",ISNUMBER(SEARCH(BUSCAR!$J$9,$AI587))),OR(NOT(BUSCAR!$J$2),AND(ISNUMBER($AF587),$AF587&gt;=BUSCAR!$J$3,$AF587&lt;=BUSCAR!$J$4))),1,0))</f>
      </c>
      <c r="AH587" s="42">
        <f t="shared" si="27"/>
      </c>
      <c r="AI587" s="42">
        <f t="shared" si="28"/>
      </c>
    </row>
    <row r="588" spans="1:35" x14ac:dyDescent="0.2">
      <c r="A588" s="66">
        <f t="shared" si="29"/>
      </c>
      <c r="B588" s="4"/>
      <c r="C588" s="4"/>
      <c r="D588" s="4"/>
      <c r="E588" s="4"/>
      <c r="F588" s="24"/>
      <c r="G588" s="8"/>
      <c r="H588" s="9"/>
      <c r="I588" s="8"/>
      <c r="J588" s="10"/>
      <c r="K588" s="8"/>
      <c r="L588" s="8"/>
      <c r="M588" s="8"/>
      <c r="N588" s="11"/>
      <c r="O588" s="9"/>
      <c r="P588" s="12"/>
      <c r="Q588" s="9"/>
      <c r="R588" s="13"/>
      <c r="S588" s="11"/>
      <c r="T588" s="11"/>
      <c r="U588" s="9"/>
      <c r="V588" s="9"/>
      <c r="W588" s="9"/>
      <c r="X588" s="16"/>
      <c r="AF588" s="42">
        <f>IF(BUSCAR!$C$8="FECHA NAC.",$G588,IF(BUSCAR!$C$8="PASAPORTE EXPIRA",$J588,IF(BUSCAR!$C$8="LICENCIA EMISION",$L588,IF(BUSCAR!$C$8="LICENCIA EXPIRA",$M588,""))))</f>
      </c>
      <c r="AG588" s="42">
        <f>IF($B588&amp;$C588&amp;$D588&amp;$E588&amp;$H588="",0,IF(AND(OR(BUSCAR!$J$5="",ISNUMBER(SEARCH(BUSCAR!$J$5,$AI588))),OR(BUSCAR!$J$6="",ISNUMBER(SEARCH(BUSCAR!$J$6,$AI588))),OR(BUSCAR!$J$8="",ISNUMBER(SEARCH(BUSCAR!$J$8,$AI588))),OR(BUSCAR!$J$9="",ISNUMBER(SEARCH(BUSCAR!$J$9,$AI588))),OR(NOT(BUSCAR!$J$2),AND(ISNUMBER($AF588),$AF588&gt;=BUSCAR!$J$3,$AF588&lt;=BUSCAR!$J$4))),1,0))</f>
      </c>
      <c r="AH588" s="42">
        <f t="shared" si="27"/>
      </c>
      <c r="AI588" s="42">
        <f t="shared" si="28"/>
      </c>
    </row>
    <row r="589" spans="1:35" x14ac:dyDescent="0.2">
      <c r="A589" s="66">
        <f t="shared" si="29"/>
      </c>
      <c r="B589" s="4"/>
      <c r="C589" s="4"/>
      <c r="D589" s="4"/>
      <c r="E589" s="4"/>
      <c r="F589" s="24"/>
      <c r="G589" s="8"/>
      <c r="H589" s="9"/>
      <c r="I589" s="8"/>
      <c r="J589" s="10"/>
      <c r="K589" s="8"/>
      <c r="L589" s="8"/>
      <c r="M589" s="8"/>
      <c r="N589" s="11"/>
      <c r="O589" s="9"/>
      <c r="P589" s="12"/>
      <c r="Q589" s="9"/>
      <c r="R589" s="13"/>
      <c r="S589" s="11"/>
      <c r="T589" s="11"/>
      <c r="U589" s="9"/>
      <c r="V589" s="9"/>
      <c r="W589" s="9"/>
      <c r="X589" s="16"/>
      <c r="AF589" s="42">
        <f>IF(BUSCAR!$C$8="FECHA NAC.",$G589,IF(BUSCAR!$C$8="PASAPORTE EXPIRA",$J589,IF(BUSCAR!$C$8="LICENCIA EMISION",$L589,IF(BUSCAR!$C$8="LICENCIA EXPIRA",$M589,""))))</f>
      </c>
      <c r="AG589" s="42">
        <f>IF($B589&amp;$C589&amp;$D589&amp;$E589&amp;$H589="",0,IF(AND(OR(BUSCAR!$J$5="",ISNUMBER(SEARCH(BUSCAR!$J$5,$AI589))),OR(BUSCAR!$J$6="",ISNUMBER(SEARCH(BUSCAR!$J$6,$AI589))),OR(BUSCAR!$J$8="",ISNUMBER(SEARCH(BUSCAR!$J$8,$AI589))),OR(BUSCAR!$J$9="",ISNUMBER(SEARCH(BUSCAR!$J$9,$AI589))),OR(NOT(BUSCAR!$J$2),AND(ISNUMBER($AF589),$AF589&gt;=BUSCAR!$J$3,$AF589&lt;=BUSCAR!$J$4))),1,0))</f>
      </c>
      <c r="AH589" s="42">
        <f t="shared" si="27"/>
      </c>
      <c r="AI589" s="42">
        <f t="shared" si="28"/>
      </c>
    </row>
    <row r="590" spans="1:35" x14ac:dyDescent="0.2">
      <c r="A590" s="66">
        <f t="shared" si="29"/>
      </c>
      <c r="B590" s="4"/>
      <c r="C590" s="4"/>
      <c r="D590" s="4"/>
      <c r="E590" s="4"/>
      <c r="F590" s="24"/>
      <c r="G590" s="8"/>
      <c r="H590" s="9"/>
      <c r="I590" s="8"/>
      <c r="J590" s="10"/>
      <c r="K590" s="8"/>
      <c r="L590" s="8"/>
      <c r="M590" s="8"/>
      <c r="N590" s="11"/>
      <c r="O590" s="9"/>
      <c r="P590" s="12"/>
      <c r="Q590" s="9"/>
      <c r="R590" s="13"/>
      <c r="S590" s="11"/>
      <c r="T590" s="11"/>
      <c r="U590" s="9"/>
      <c r="V590" s="9"/>
      <c r="W590" s="9"/>
      <c r="X590" s="16"/>
      <c r="AF590" s="42">
        <f>IF(BUSCAR!$C$8="FECHA NAC.",$G590,IF(BUSCAR!$C$8="PASAPORTE EXPIRA",$J590,IF(BUSCAR!$C$8="LICENCIA EMISION",$L590,IF(BUSCAR!$C$8="LICENCIA EXPIRA",$M590,""))))</f>
      </c>
      <c r="AG590" s="42">
        <f>IF($B590&amp;$C590&amp;$D590&amp;$E590&amp;$H590="",0,IF(AND(OR(BUSCAR!$J$5="",ISNUMBER(SEARCH(BUSCAR!$J$5,$AI590))),OR(BUSCAR!$J$6="",ISNUMBER(SEARCH(BUSCAR!$J$6,$AI590))),OR(BUSCAR!$J$8="",ISNUMBER(SEARCH(BUSCAR!$J$8,$AI590))),OR(BUSCAR!$J$9="",ISNUMBER(SEARCH(BUSCAR!$J$9,$AI590))),OR(NOT(BUSCAR!$J$2),AND(ISNUMBER($AF590),$AF590&gt;=BUSCAR!$J$3,$AF590&lt;=BUSCAR!$J$4))),1,0))</f>
      </c>
      <c r="AH590" s="42">
        <f t="shared" si="27"/>
      </c>
      <c r="AI590" s="42">
        <f t="shared" si="28"/>
      </c>
    </row>
    <row r="591" spans="1:35" x14ac:dyDescent="0.2">
      <c r="A591" s="66">
        <f t="shared" si="29"/>
      </c>
      <c r="B591" s="4"/>
      <c r="C591" s="4"/>
      <c r="D591" s="4"/>
      <c r="E591" s="4"/>
      <c r="F591" s="24"/>
      <c r="G591" s="8"/>
      <c r="H591" s="9"/>
      <c r="I591" s="8"/>
      <c r="J591" s="10"/>
      <c r="K591" s="8"/>
      <c r="L591" s="8"/>
      <c r="M591" s="8"/>
      <c r="N591" s="11"/>
      <c r="O591" s="9"/>
      <c r="P591" s="12"/>
      <c r="Q591" s="9"/>
      <c r="R591" s="13"/>
      <c r="S591" s="11"/>
      <c r="T591" s="11"/>
      <c r="U591" s="9"/>
      <c r="V591" s="9"/>
      <c r="W591" s="9"/>
      <c r="X591" s="16"/>
      <c r="AF591" s="42">
        <f>IF(BUSCAR!$C$8="FECHA NAC.",$G591,IF(BUSCAR!$C$8="PASAPORTE EXPIRA",$J591,IF(BUSCAR!$C$8="LICENCIA EMISION",$L591,IF(BUSCAR!$C$8="LICENCIA EXPIRA",$M591,""))))</f>
      </c>
      <c r="AG591" s="42">
        <f>IF($B591&amp;$C591&amp;$D591&amp;$E591&amp;$H591="",0,IF(AND(OR(BUSCAR!$J$5="",ISNUMBER(SEARCH(BUSCAR!$J$5,$AI591))),OR(BUSCAR!$J$6="",ISNUMBER(SEARCH(BUSCAR!$J$6,$AI591))),OR(BUSCAR!$J$8="",ISNUMBER(SEARCH(BUSCAR!$J$8,$AI591))),OR(BUSCAR!$J$9="",ISNUMBER(SEARCH(BUSCAR!$J$9,$AI591))),OR(NOT(BUSCAR!$J$2),AND(ISNUMBER($AF591),$AF591&gt;=BUSCAR!$J$3,$AF591&lt;=BUSCAR!$J$4))),1,0))</f>
      </c>
      <c r="AH591" s="42">
        <f t="shared" si="27"/>
      </c>
      <c r="AI591" s="42">
        <f t="shared" si="28"/>
      </c>
    </row>
    <row r="592" spans="1:35" x14ac:dyDescent="0.2">
      <c r="A592" s="66">
        <f t="shared" si="29"/>
      </c>
      <c r="B592" s="4"/>
      <c r="C592" s="4"/>
      <c r="D592" s="4"/>
      <c r="E592" s="4"/>
      <c r="F592" s="24"/>
      <c r="G592" s="8"/>
      <c r="H592" s="9"/>
      <c r="I592" s="8"/>
      <c r="J592" s="10"/>
      <c r="K592" s="8"/>
      <c r="L592" s="8"/>
      <c r="M592" s="8"/>
      <c r="N592" s="11"/>
      <c r="O592" s="9"/>
      <c r="P592" s="12"/>
      <c r="Q592" s="9"/>
      <c r="R592" s="13"/>
      <c r="S592" s="11"/>
      <c r="T592" s="11"/>
      <c r="U592" s="9"/>
      <c r="V592" s="9"/>
      <c r="W592" s="9"/>
      <c r="X592" s="16"/>
      <c r="AF592" s="42">
        <f>IF(BUSCAR!$C$8="FECHA NAC.",$G592,IF(BUSCAR!$C$8="PASAPORTE EXPIRA",$J592,IF(BUSCAR!$C$8="LICENCIA EMISION",$L592,IF(BUSCAR!$C$8="LICENCIA EXPIRA",$M592,""))))</f>
      </c>
      <c r="AG592" s="42">
        <f>IF($B592&amp;$C592&amp;$D592&amp;$E592&amp;$H592="",0,IF(AND(OR(BUSCAR!$J$5="",ISNUMBER(SEARCH(BUSCAR!$J$5,$AI592))),OR(BUSCAR!$J$6="",ISNUMBER(SEARCH(BUSCAR!$J$6,$AI592))),OR(BUSCAR!$J$8="",ISNUMBER(SEARCH(BUSCAR!$J$8,$AI592))),OR(BUSCAR!$J$9="",ISNUMBER(SEARCH(BUSCAR!$J$9,$AI592))),OR(NOT(BUSCAR!$J$2),AND(ISNUMBER($AF592),$AF592&gt;=BUSCAR!$J$3,$AF592&lt;=BUSCAR!$J$4))),1,0))</f>
      </c>
      <c r="AH592" s="42">
        <f t="shared" si="27"/>
      </c>
      <c r="AI592" s="42">
        <f t="shared" si="28"/>
      </c>
    </row>
    <row r="593" spans="1:35" x14ac:dyDescent="0.2">
      <c r="A593" s="66">
        <f t="shared" si="29"/>
      </c>
      <c r="B593" s="4"/>
      <c r="C593" s="4"/>
      <c r="D593" s="4"/>
      <c r="E593" s="4"/>
      <c r="F593" s="24"/>
      <c r="G593" s="8"/>
      <c r="H593" s="9"/>
      <c r="I593" s="8"/>
      <c r="J593" s="10"/>
      <c r="K593" s="8"/>
      <c r="L593" s="8"/>
      <c r="M593" s="8"/>
      <c r="N593" s="11"/>
      <c r="O593" s="9"/>
      <c r="P593" s="12"/>
      <c r="Q593" s="9"/>
      <c r="R593" s="13"/>
      <c r="S593" s="11"/>
      <c r="T593" s="11"/>
      <c r="U593" s="9"/>
      <c r="V593" s="9"/>
      <c r="W593" s="9"/>
      <c r="X593" s="16"/>
      <c r="AF593" s="42">
        <f>IF(BUSCAR!$C$8="FECHA NAC.",$G593,IF(BUSCAR!$C$8="PASAPORTE EXPIRA",$J593,IF(BUSCAR!$C$8="LICENCIA EMISION",$L593,IF(BUSCAR!$C$8="LICENCIA EXPIRA",$M593,""))))</f>
      </c>
      <c r="AG593" s="42">
        <f>IF($B593&amp;$C593&amp;$D593&amp;$E593&amp;$H593="",0,IF(AND(OR(BUSCAR!$J$5="",ISNUMBER(SEARCH(BUSCAR!$J$5,$AI593))),OR(BUSCAR!$J$6="",ISNUMBER(SEARCH(BUSCAR!$J$6,$AI593))),OR(BUSCAR!$J$8="",ISNUMBER(SEARCH(BUSCAR!$J$8,$AI593))),OR(BUSCAR!$J$9="",ISNUMBER(SEARCH(BUSCAR!$J$9,$AI593))),OR(NOT(BUSCAR!$J$2),AND(ISNUMBER($AF593),$AF593&gt;=BUSCAR!$J$3,$AF593&lt;=BUSCAR!$J$4))),1,0))</f>
      </c>
      <c r="AH593" s="42">
        <f t="shared" si="27"/>
      </c>
      <c r="AI593" s="42">
        <f t="shared" si="28"/>
      </c>
    </row>
    <row r="594" spans="1:35" x14ac:dyDescent="0.2">
      <c r="A594" s="66">
        <f t="shared" si="29"/>
      </c>
      <c r="B594" s="4"/>
      <c r="C594" s="4"/>
      <c r="D594" s="4"/>
      <c r="E594" s="4"/>
      <c r="F594" s="24"/>
      <c r="G594" s="8"/>
      <c r="H594" s="9"/>
      <c r="I594" s="8"/>
      <c r="J594" s="10"/>
      <c r="K594" s="8"/>
      <c r="L594" s="8"/>
      <c r="M594" s="8"/>
      <c r="N594" s="11"/>
      <c r="O594" s="9"/>
      <c r="P594" s="12"/>
      <c r="Q594" s="9"/>
      <c r="R594" s="13"/>
      <c r="S594" s="11"/>
      <c r="T594" s="11"/>
      <c r="U594" s="9"/>
      <c r="V594" s="9"/>
      <c r="W594" s="9"/>
      <c r="X594" s="16"/>
      <c r="AF594" s="42">
        <f>IF(BUSCAR!$C$8="FECHA NAC.",$G594,IF(BUSCAR!$C$8="PASAPORTE EXPIRA",$J594,IF(BUSCAR!$C$8="LICENCIA EMISION",$L594,IF(BUSCAR!$C$8="LICENCIA EXPIRA",$M594,""))))</f>
      </c>
      <c r="AG594" s="42">
        <f>IF($B594&amp;$C594&amp;$D594&amp;$E594&amp;$H594="",0,IF(AND(OR(BUSCAR!$J$5="",ISNUMBER(SEARCH(BUSCAR!$J$5,$AI594))),OR(BUSCAR!$J$6="",ISNUMBER(SEARCH(BUSCAR!$J$6,$AI594))),OR(BUSCAR!$J$8="",ISNUMBER(SEARCH(BUSCAR!$J$8,$AI594))),OR(BUSCAR!$J$9="",ISNUMBER(SEARCH(BUSCAR!$J$9,$AI594))),OR(NOT(BUSCAR!$J$2),AND(ISNUMBER($AF594),$AF594&gt;=BUSCAR!$J$3,$AF594&lt;=BUSCAR!$J$4))),1,0))</f>
      </c>
      <c r="AH594" s="42">
        <f t="shared" si="27"/>
      </c>
      <c r="AI594" s="42">
        <f t="shared" si="28"/>
      </c>
    </row>
    <row r="595" spans="1:35" x14ac:dyDescent="0.2">
      <c r="A595" s="66">
        <f t="shared" si="29"/>
      </c>
      <c r="B595" s="4"/>
      <c r="C595" s="4"/>
      <c r="D595" s="4"/>
      <c r="E595" s="4"/>
      <c r="F595" s="24"/>
      <c r="G595" s="8"/>
      <c r="H595" s="9"/>
      <c r="I595" s="8"/>
      <c r="J595" s="10"/>
      <c r="K595" s="8"/>
      <c r="L595" s="8"/>
      <c r="M595" s="8"/>
      <c r="N595" s="11"/>
      <c r="O595" s="9"/>
      <c r="P595" s="12"/>
      <c r="Q595" s="9"/>
      <c r="R595" s="13"/>
      <c r="S595" s="11"/>
      <c r="T595" s="11"/>
      <c r="U595" s="9"/>
      <c r="V595" s="9"/>
      <c r="W595" s="9"/>
      <c r="X595" s="16"/>
      <c r="AF595" s="42">
        <f>IF(BUSCAR!$C$8="FECHA NAC.",$G595,IF(BUSCAR!$C$8="PASAPORTE EXPIRA",$J595,IF(BUSCAR!$C$8="LICENCIA EMISION",$L595,IF(BUSCAR!$C$8="LICENCIA EXPIRA",$M595,""))))</f>
      </c>
      <c r="AG595" s="42">
        <f>IF($B595&amp;$C595&amp;$D595&amp;$E595&amp;$H595="",0,IF(AND(OR(BUSCAR!$J$5="",ISNUMBER(SEARCH(BUSCAR!$J$5,$AI595))),OR(BUSCAR!$J$6="",ISNUMBER(SEARCH(BUSCAR!$J$6,$AI595))),OR(BUSCAR!$J$8="",ISNUMBER(SEARCH(BUSCAR!$J$8,$AI595))),OR(BUSCAR!$J$9="",ISNUMBER(SEARCH(BUSCAR!$J$9,$AI595))),OR(NOT(BUSCAR!$J$2),AND(ISNUMBER($AF595),$AF595&gt;=BUSCAR!$J$3,$AF595&lt;=BUSCAR!$J$4))),1,0))</f>
      </c>
      <c r="AH595" s="42">
        <f t="shared" si="27"/>
      </c>
      <c r="AI595" s="42">
        <f t="shared" si="28"/>
      </c>
    </row>
    <row r="596" spans="1:35" x14ac:dyDescent="0.2">
      <c r="A596" s="66">
        <f t="shared" si="29"/>
      </c>
      <c r="B596" s="4"/>
      <c r="C596" s="4"/>
      <c r="D596" s="4"/>
      <c r="E596" s="4"/>
      <c r="F596" s="24"/>
      <c r="G596" s="8"/>
      <c r="H596" s="9"/>
      <c r="I596" s="8"/>
      <c r="J596" s="10"/>
      <c r="K596" s="8"/>
      <c r="L596" s="8"/>
      <c r="M596" s="8"/>
      <c r="N596" s="11"/>
      <c r="O596" s="9"/>
      <c r="P596" s="12"/>
      <c r="Q596" s="9"/>
      <c r="R596" s="13"/>
      <c r="S596" s="11"/>
      <c r="T596" s="11"/>
      <c r="U596" s="9"/>
      <c r="V596" s="9"/>
      <c r="W596" s="9"/>
      <c r="X596" s="16"/>
      <c r="AF596" s="42">
        <f>IF(BUSCAR!$C$8="FECHA NAC.",$G596,IF(BUSCAR!$C$8="PASAPORTE EXPIRA",$J596,IF(BUSCAR!$C$8="LICENCIA EMISION",$L596,IF(BUSCAR!$C$8="LICENCIA EXPIRA",$M596,""))))</f>
      </c>
      <c r="AG596" s="42">
        <f>IF($B596&amp;$C596&amp;$D596&amp;$E596&amp;$H596="",0,IF(AND(OR(BUSCAR!$J$5="",ISNUMBER(SEARCH(BUSCAR!$J$5,$AI596))),OR(BUSCAR!$J$6="",ISNUMBER(SEARCH(BUSCAR!$J$6,$AI596))),OR(BUSCAR!$J$8="",ISNUMBER(SEARCH(BUSCAR!$J$8,$AI596))),OR(BUSCAR!$J$9="",ISNUMBER(SEARCH(BUSCAR!$J$9,$AI596))),OR(NOT(BUSCAR!$J$2),AND(ISNUMBER($AF596),$AF596&gt;=BUSCAR!$J$3,$AF596&lt;=BUSCAR!$J$4))),1,0))</f>
      </c>
      <c r="AH596" s="42">
        <f t="shared" si="27"/>
      </c>
      <c r="AI596" s="42">
        <f t="shared" si="28"/>
      </c>
    </row>
    <row r="597" spans="1:35" x14ac:dyDescent="0.2">
      <c r="A597" s="66">
        <f t="shared" si="29"/>
      </c>
      <c r="B597" s="4"/>
      <c r="C597" s="4"/>
      <c r="D597" s="4"/>
      <c r="E597" s="4"/>
      <c r="F597" s="24"/>
      <c r="G597" s="8"/>
      <c r="H597" s="9"/>
      <c r="I597" s="8"/>
      <c r="J597" s="10"/>
      <c r="K597" s="8"/>
      <c r="L597" s="8"/>
      <c r="M597" s="8"/>
      <c r="N597" s="11"/>
      <c r="O597" s="9"/>
      <c r="P597" s="12"/>
      <c r="Q597" s="9"/>
      <c r="R597" s="13"/>
      <c r="S597" s="11"/>
      <c r="T597" s="11"/>
      <c r="U597" s="9"/>
      <c r="V597" s="9"/>
      <c r="W597" s="9"/>
      <c r="X597" s="16"/>
      <c r="AF597" s="42">
        <f>IF(BUSCAR!$C$8="FECHA NAC.",$G597,IF(BUSCAR!$C$8="PASAPORTE EXPIRA",$J597,IF(BUSCAR!$C$8="LICENCIA EMISION",$L597,IF(BUSCAR!$C$8="LICENCIA EXPIRA",$M597,""))))</f>
      </c>
      <c r="AG597" s="42">
        <f>IF($B597&amp;$C597&amp;$D597&amp;$E597&amp;$H597="",0,IF(AND(OR(BUSCAR!$J$5="",ISNUMBER(SEARCH(BUSCAR!$J$5,$AI597))),OR(BUSCAR!$J$6="",ISNUMBER(SEARCH(BUSCAR!$J$6,$AI597))),OR(BUSCAR!$J$8="",ISNUMBER(SEARCH(BUSCAR!$J$8,$AI597))),OR(BUSCAR!$J$9="",ISNUMBER(SEARCH(BUSCAR!$J$9,$AI597))),OR(NOT(BUSCAR!$J$2),AND(ISNUMBER($AF597),$AF597&gt;=BUSCAR!$J$3,$AF597&lt;=BUSCAR!$J$4))),1,0))</f>
      </c>
      <c r="AH597" s="42">
        <f t="shared" si="27"/>
      </c>
      <c r="AI597" s="42">
        <f t="shared" si="28"/>
      </c>
    </row>
    <row r="598" spans="1:35" x14ac:dyDescent="0.2">
      <c r="A598" s="66">
        <f t="shared" si="29"/>
      </c>
      <c r="B598" s="4"/>
      <c r="C598" s="4"/>
      <c r="D598" s="4"/>
      <c r="E598" s="4"/>
      <c r="F598" s="24"/>
      <c r="G598" s="8"/>
      <c r="H598" s="9"/>
      <c r="I598" s="8"/>
      <c r="J598" s="10"/>
      <c r="K598" s="8"/>
      <c r="L598" s="8"/>
      <c r="M598" s="8"/>
      <c r="N598" s="11"/>
      <c r="O598" s="9"/>
      <c r="P598" s="12"/>
      <c r="Q598" s="9"/>
      <c r="R598" s="13"/>
      <c r="S598" s="11"/>
      <c r="T598" s="11"/>
      <c r="U598" s="9"/>
      <c r="V598" s="9"/>
      <c r="W598" s="9"/>
      <c r="X598" s="16"/>
      <c r="AF598" s="42">
        <f>IF(BUSCAR!$C$8="FECHA NAC.",$G598,IF(BUSCAR!$C$8="PASAPORTE EXPIRA",$J598,IF(BUSCAR!$C$8="LICENCIA EMISION",$L598,IF(BUSCAR!$C$8="LICENCIA EXPIRA",$M598,""))))</f>
      </c>
      <c r="AG598" s="42">
        <f>IF($B598&amp;$C598&amp;$D598&amp;$E598&amp;$H598="",0,IF(AND(OR(BUSCAR!$J$5="",ISNUMBER(SEARCH(BUSCAR!$J$5,$AI598))),OR(BUSCAR!$J$6="",ISNUMBER(SEARCH(BUSCAR!$J$6,$AI598))),OR(BUSCAR!$J$8="",ISNUMBER(SEARCH(BUSCAR!$J$8,$AI598))),OR(BUSCAR!$J$9="",ISNUMBER(SEARCH(BUSCAR!$J$9,$AI598))),OR(NOT(BUSCAR!$J$2),AND(ISNUMBER($AF598),$AF598&gt;=BUSCAR!$J$3,$AF598&lt;=BUSCAR!$J$4))),1,0))</f>
      </c>
      <c r="AH598" s="42">
        <f t="shared" si="27"/>
      </c>
      <c r="AI598" s="42">
        <f t="shared" si="28"/>
      </c>
    </row>
    <row r="599" spans="1:35" x14ac:dyDescent="0.2">
      <c r="A599" s="66">
        <f t="shared" si="29"/>
      </c>
      <c r="B599" s="4"/>
      <c r="C599" s="4"/>
      <c r="D599" s="4"/>
      <c r="E599" s="4"/>
      <c r="F599" s="24"/>
      <c r="G599" s="8"/>
      <c r="H599" s="9"/>
      <c r="I599" s="8"/>
      <c r="J599" s="10"/>
      <c r="K599" s="8"/>
      <c r="L599" s="8"/>
      <c r="M599" s="8"/>
      <c r="N599" s="11"/>
      <c r="O599" s="9"/>
      <c r="P599" s="12"/>
      <c r="Q599" s="9"/>
      <c r="R599" s="13"/>
      <c r="S599" s="11"/>
      <c r="T599" s="11"/>
      <c r="U599" s="9"/>
      <c r="V599" s="9"/>
      <c r="W599" s="9"/>
      <c r="X599" s="16"/>
      <c r="AF599" s="42">
        <f>IF(BUSCAR!$C$8="FECHA NAC.",$G599,IF(BUSCAR!$C$8="PASAPORTE EXPIRA",$J599,IF(BUSCAR!$C$8="LICENCIA EMISION",$L599,IF(BUSCAR!$C$8="LICENCIA EXPIRA",$M599,""))))</f>
      </c>
      <c r="AG599" s="42">
        <f>IF($B599&amp;$C599&amp;$D599&amp;$E599&amp;$H599="",0,IF(AND(OR(BUSCAR!$J$5="",ISNUMBER(SEARCH(BUSCAR!$J$5,$AI599))),OR(BUSCAR!$J$6="",ISNUMBER(SEARCH(BUSCAR!$J$6,$AI599))),OR(BUSCAR!$J$8="",ISNUMBER(SEARCH(BUSCAR!$J$8,$AI599))),OR(BUSCAR!$J$9="",ISNUMBER(SEARCH(BUSCAR!$J$9,$AI599))),OR(NOT(BUSCAR!$J$2),AND(ISNUMBER($AF599),$AF599&gt;=BUSCAR!$J$3,$AF599&lt;=BUSCAR!$J$4))),1,0))</f>
      </c>
      <c r="AH599" s="42">
        <f t="shared" si="27"/>
      </c>
      <c r="AI599" s="42">
        <f t="shared" si="28"/>
      </c>
    </row>
    <row r="600" spans="1:35" x14ac:dyDescent="0.2">
      <c r="A600" s="66">
        <f t="shared" si="29"/>
      </c>
      <c r="B600" s="4"/>
      <c r="C600" s="4"/>
      <c r="D600" s="4"/>
      <c r="E600" s="4"/>
      <c r="F600" s="24"/>
      <c r="G600" s="8"/>
      <c r="H600" s="9"/>
      <c r="I600" s="8"/>
      <c r="J600" s="10"/>
      <c r="K600" s="8"/>
      <c r="L600" s="8"/>
      <c r="M600" s="8"/>
      <c r="N600" s="11"/>
      <c r="O600" s="9"/>
      <c r="P600" s="12"/>
      <c r="Q600" s="9"/>
      <c r="R600" s="13"/>
      <c r="S600" s="11"/>
      <c r="T600" s="11"/>
      <c r="U600" s="9"/>
      <c r="V600" s="9"/>
      <c r="W600" s="9"/>
      <c r="X600" s="16"/>
      <c r="AF600" s="42">
        <f>IF(BUSCAR!$C$8="FECHA NAC.",$G600,IF(BUSCAR!$C$8="PASAPORTE EXPIRA",$J600,IF(BUSCAR!$C$8="LICENCIA EMISION",$L600,IF(BUSCAR!$C$8="LICENCIA EXPIRA",$M600,""))))</f>
      </c>
      <c r="AG600" s="42">
        <f>IF($B600&amp;$C600&amp;$D600&amp;$E600&amp;$H600="",0,IF(AND(OR(BUSCAR!$J$5="",ISNUMBER(SEARCH(BUSCAR!$J$5,$AI600))),OR(BUSCAR!$J$6="",ISNUMBER(SEARCH(BUSCAR!$J$6,$AI600))),OR(BUSCAR!$J$8="",ISNUMBER(SEARCH(BUSCAR!$J$8,$AI600))),OR(BUSCAR!$J$9="",ISNUMBER(SEARCH(BUSCAR!$J$9,$AI600))),OR(NOT(BUSCAR!$J$2),AND(ISNUMBER($AF600),$AF600&gt;=BUSCAR!$J$3,$AF600&lt;=BUSCAR!$J$4))),1,0))</f>
      </c>
      <c r="AH600" s="42">
        <f t="shared" si="27"/>
      </c>
      <c r="AI600" s="42">
        <f t="shared" si="28"/>
      </c>
    </row>
    <row r="601" spans="1:35" x14ac:dyDescent="0.2">
      <c r="A601" s="66">
        <f t="shared" si="29"/>
      </c>
      <c r="B601" s="4"/>
      <c r="C601" s="4"/>
      <c r="D601" s="4"/>
      <c r="E601" s="4"/>
      <c r="F601" s="24"/>
      <c r="G601" s="8"/>
      <c r="H601" s="9"/>
      <c r="I601" s="8"/>
      <c r="J601" s="10"/>
      <c r="K601" s="8"/>
      <c r="L601" s="8"/>
      <c r="M601" s="8"/>
      <c r="N601" s="11"/>
      <c r="O601" s="9"/>
      <c r="P601" s="12"/>
      <c r="Q601" s="9"/>
      <c r="R601" s="13"/>
      <c r="S601" s="11"/>
      <c r="T601" s="11"/>
      <c r="U601" s="9"/>
      <c r="V601" s="9"/>
      <c r="W601" s="9"/>
      <c r="X601" s="16"/>
      <c r="AF601" s="42">
        <f>IF(BUSCAR!$C$8="FECHA NAC.",$G601,IF(BUSCAR!$C$8="PASAPORTE EXPIRA",$J601,IF(BUSCAR!$C$8="LICENCIA EMISION",$L601,IF(BUSCAR!$C$8="LICENCIA EXPIRA",$M601,""))))</f>
      </c>
      <c r="AG601" s="42">
        <f>IF($B601&amp;$C601&amp;$D601&amp;$E601&amp;$H601="",0,IF(AND(OR(BUSCAR!$J$5="",ISNUMBER(SEARCH(BUSCAR!$J$5,$AI601))),OR(BUSCAR!$J$6="",ISNUMBER(SEARCH(BUSCAR!$J$6,$AI601))),OR(BUSCAR!$J$8="",ISNUMBER(SEARCH(BUSCAR!$J$8,$AI601))),OR(BUSCAR!$J$9="",ISNUMBER(SEARCH(BUSCAR!$J$9,$AI601))),OR(NOT(BUSCAR!$J$2),AND(ISNUMBER($AF601),$AF601&gt;=BUSCAR!$J$3,$AF601&lt;=BUSCAR!$J$4))),1,0))</f>
      </c>
      <c r="AH601" s="42">
        <f t="shared" si="27"/>
      </c>
      <c r="AI601" s="42">
        <f t="shared" si="28"/>
      </c>
    </row>
    <row r="602" spans="1:35" x14ac:dyDescent="0.2">
      <c r="A602" s="66">
        <f t="shared" si="29"/>
      </c>
      <c r="B602" s="4"/>
      <c r="C602" s="4"/>
      <c r="D602" s="4"/>
      <c r="E602" s="4"/>
      <c r="F602" s="24"/>
      <c r="G602" s="8"/>
      <c r="H602" s="9"/>
      <c r="I602" s="8"/>
      <c r="J602" s="10"/>
      <c r="K602" s="8"/>
      <c r="L602" s="8"/>
      <c r="M602" s="8"/>
      <c r="N602" s="11"/>
      <c r="O602" s="9"/>
      <c r="P602" s="12"/>
      <c r="Q602" s="9"/>
      <c r="R602" s="13"/>
      <c r="S602" s="11"/>
      <c r="T602" s="11"/>
      <c r="U602" s="9"/>
      <c r="V602" s="9"/>
      <c r="W602" s="9"/>
      <c r="X602" s="16"/>
      <c r="AF602" s="42">
        <f>IF(BUSCAR!$C$8="FECHA NAC.",$G602,IF(BUSCAR!$C$8="PASAPORTE EXPIRA",$J602,IF(BUSCAR!$C$8="LICENCIA EMISION",$L602,IF(BUSCAR!$C$8="LICENCIA EXPIRA",$M602,""))))</f>
      </c>
      <c r="AG602" s="42">
        <f>IF($B602&amp;$C602&amp;$D602&amp;$E602&amp;$H602="",0,IF(AND(OR(BUSCAR!$J$5="",ISNUMBER(SEARCH(BUSCAR!$J$5,$AI602))),OR(BUSCAR!$J$6="",ISNUMBER(SEARCH(BUSCAR!$J$6,$AI602))),OR(BUSCAR!$J$8="",ISNUMBER(SEARCH(BUSCAR!$J$8,$AI602))),OR(BUSCAR!$J$9="",ISNUMBER(SEARCH(BUSCAR!$J$9,$AI602))),OR(NOT(BUSCAR!$J$2),AND(ISNUMBER($AF602),$AF602&gt;=BUSCAR!$J$3,$AF602&lt;=BUSCAR!$J$4))),1,0))</f>
      </c>
      <c r="AH602" s="42">
        <f t="shared" si="27"/>
      </c>
      <c r="AI602" s="42">
        <f t="shared" si="28"/>
      </c>
    </row>
    <row r="603" spans="1:35" x14ac:dyDescent="0.2">
      <c r="A603" s="66">
        <f t="shared" si="29"/>
      </c>
      <c r="B603" s="4"/>
      <c r="C603" s="4"/>
      <c r="D603" s="4"/>
      <c r="E603" s="4"/>
      <c r="F603" s="24"/>
      <c r="G603" s="8"/>
      <c r="H603" s="9"/>
      <c r="I603" s="8"/>
      <c r="J603" s="10"/>
      <c r="K603" s="8"/>
      <c r="L603" s="8"/>
      <c r="M603" s="8"/>
      <c r="N603" s="11"/>
      <c r="O603" s="9"/>
      <c r="P603" s="12"/>
      <c r="Q603" s="9"/>
      <c r="R603" s="13"/>
      <c r="S603" s="11"/>
      <c r="T603" s="11"/>
      <c r="U603" s="9"/>
      <c r="V603" s="9"/>
      <c r="W603" s="9"/>
      <c r="X603" s="16"/>
      <c r="AF603" s="42">
        <f>IF(BUSCAR!$C$8="FECHA NAC.",$G603,IF(BUSCAR!$C$8="PASAPORTE EXPIRA",$J603,IF(BUSCAR!$C$8="LICENCIA EMISION",$L603,IF(BUSCAR!$C$8="LICENCIA EXPIRA",$M603,""))))</f>
      </c>
      <c r="AG603" s="42">
        <f>IF($B603&amp;$C603&amp;$D603&amp;$E603&amp;$H603="",0,IF(AND(OR(BUSCAR!$J$5="",ISNUMBER(SEARCH(BUSCAR!$J$5,$AI603))),OR(BUSCAR!$J$6="",ISNUMBER(SEARCH(BUSCAR!$J$6,$AI603))),OR(BUSCAR!$J$8="",ISNUMBER(SEARCH(BUSCAR!$J$8,$AI603))),OR(BUSCAR!$J$9="",ISNUMBER(SEARCH(BUSCAR!$J$9,$AI603))),OR(NOT(BUSCAR!$J$2),AND(ISNUMBER($AF603),$AF603&gt;=BUSCAR!$J$3,$AF603&lt;=BUSCAR!$J$4))),1,0))</f>
      </c>
      <c r="AH603" s="42">
        <f t="shared" si="27"/>
      </c>
      <c r="AI603" s="42">
        <f t="shared" si="28"/>
      </c>
    </row>
    <row r="604" spans="1:35" x14ac:dyDescent="0.2">
      <c r="A604" s="66">
        <f t="shared" si="29"/>
      </c>
      <c r="B604" s="4"/>
      <c r="C604" s="4"/>
      <c r="D604" s="4"/>
      <c r="E604" s="4"/>
      <c r="F604" s="24"/>
      <c r="G604" s="8"/>
      <c r="H604" s="9"/>
      <c r="I604" s="8"/>
      <c r="J604" s="10"/>
      <c r="K604" s="8"/>
      <c r="L604" s="8"/>
      <c r="M604" s="8"/>
      <c r="N604" s="11"/>
      <c r="O604" s="9"/>
      <c r="P604" s="12"/>
      <c r="Q604" s="9"/>
      <c r="R604" s="13"/>
      <c r="S604" s="11"/>
      <c r="T604" s="11"/>
      <c r="U604" s="9"/>
      <c r="V604" s="9"/>
      <c r="W604" s="9"/>
      <c r="X604" s="16"/>
      <c r="AF604" s="42">
        <f>IF(BUSCAR!$C$8="FECHA NAC.",$G604,IF(BUSCAR!$C$8="PASAPORTE EXPIRA",$J604,IF(BUSCAR!$C$8="LICENCIA EMISION",$L604,IF(BUSCAR!$C$8="LICENCIA EXPIRA",$M604,""))))</f>
      </c>
      <c r="AG604" s="42">
        <f>IF($B604&amp;$C604&amp;$D604&amp;$E604&amp;$H604="",0,IF(AND(OR(BUSCAR!$J$5="",ISNUMBER(SEARCH(BUSCAR!$J$5,$AI604))),OR(BUSCAR!$J$6="",ISNUMBER(SEARCH(BUSCAR!$J$6,$AI604))),OR(BUSCAR!$J$8="",ISNUMBER(SEARCH(BUSCAR!$J$8,$AI604))),OR(BUSCAR!$J$9="",ISNUMBER(SEARCH(BUSCAR!$J$9,$AI604))),OR(NOT(BUSCAR!$J$2),AND(ISNUMBER($AF604),$AF604&gt;=BUSCAR!$J$3,$AF604&lt;=BUSCAR!$J$4))),1,0))</f>
      </c>
      <c r="AH604" s="42">
        <f t="shared" si="27"/>
      </c>
      <c r="AI604" s="42">
        <f t="shared" si="28"/>
      </c>
    </row>
    <row r="605" spans="1:35" x14ac:dyDescent="0.2">
      <c r="A605" s="66">
        <f t="shared" si="29"/>
      </c>
      <c r="B605" s="4"/>
      <c r="C605" s="4"/>
      <c r="D605" s="4"/>
      <c r="E605" s="4"/>
      <c r="F605" s="24"/>
      <c r="G605" s="8"/>
      <c r="H605" s="9"/>
      <c r="I605" s="8"/>
      <c r="J605" s="10"/>
      <c r="K605" s="8"/>
      <c r="L605" s="8"/>
      <c r="M605" s="8"/>
      <c r="N605" s="11"/>
      <c r="O605" s="9"/>
      <c r="P605" s="12"/>
      <c r="Q605" s="9"/>
      <c r="R605" s="13"/>
      <c r="S605" s="11"/>
      <c r="T605" s="11"/>
      <c r="U605" s="9"/>
      <c r="V605" s="9"/>
      <c r="W605" s="9"/>
      <c r="X605" s="16"/>
      <c r="AF605" s="42">
        <f>IF(BUSCAR!$C$8="FECHA NAC.",$G605,IF(BUSCAR!$C$8="PASAPORTE EXPIRA",$J605,IF(BUSCAR!$C$8="LICENCIA EMISION",$L605,IF(BUSCAR!$C$8="LICENCIA EXPIRA",$M605,""))))</f>
      </c>
      <c r="AG605" s="42">
        <f>IF($B605&amp;$C605&amp;$D605&amp;$E605&amp;$H605="",0,IF(AND(OR(BUSCAR!$J$5="",ISNUMBER(SEARCH(BUSCAR!$J$5,$AI605))),OR(BUSCAR!$J$6="",ISNUMBER(SEARCH(BUSCAR!$J$6,$AI605))),OR(BUSCAR!$J$8="",ISNUMBER(SEARCH(BUSCAR!$J$8,$AI605))),OR(BUSCAR!$J$9="",ISNUMBER(SEARCH(BUSCAR!$J$9,$AI605))),OR(NOT(BUSCAR!$J$2),AND(ISNUMBER($AF605),$AF605&gt;=BUSCAR!$J$3,$AF605&lt;=BUSCAR!$J$4))),1,0))</f>
      </c>
      <c r="AH605" s="42">
        <f t="shared" si="27"/>
      </c>
      <c r="AI605" s="42">
        <f t="shared" si="28"/>
      </c>
    </row>
    <row r="606" spans="1:35" x14ac:dyDescent="0.2">
      <c r="A606" s="66">
        <f t="shared" si="29"/>
      </c>
      <c r="B606" s="4"/>
      <c r="C606" s="4"/>
      <c r="D606" s="4"/>
      <c r="E606" s="4"/>
      <c r="F606" s="24"/>
      <c r="G606" s="8"/>
      <c r="H606" s="9"/>
      <c r="I606" s="8"/>
      <c r="J606" s="10"/>
      <c r="K606" s="8"/>
      <c r="L606" s="8"/>
      <c r="M606" s="8"/>
      <c r="N606" s="11"/>
      <c r="O606" s="9"/>
      <c r="P606" s="12"/>
      <c r="Q606" s="9"/>
      <c r="R606" s="13"/>
      <c r="S606" s="11"/>
      <c r="T606" s="11"/>
      <c r="U606" s="9"/>
      <c r="V606" s="9"/>
      <c r="W606" s="9"/>
      <c r="X606" s="16"/>
      <c r="AF606" s="42">
        <f>IF(BUSCAR!$C$8="FECHA NAC.",$G606,IF(BUSCAR!$C$8="PASAPORTE EXPIRA",$J606,IF(BUSCAR!$C$8="LICENCIA EMISION",$L606,IF(BUSCAR!$C$8="LICENCIA EXPIRA",$M606,""))))</f>
      </c>
      <c r="AG606" s="42">
        <f>IF($B606&amp;$C606&amp;$D606&amp;$E606&amp;$H606="",0,IF(AND(OR(BUSCAR!$J$5="",ISNUMBER(SEARCH(BUSCAR!$J$5,$AI606))),OR(BUSCAR!$J$6="",ISNUMBER(SEARCH(BUSCAR!$J$6,$AI606))),OR(BUSCAR!$J$8="",ISNUMBER(SEARCH(BUSCAR!$J$8,$AI606))),OR(BUSCAR!$J$9="",ISNUMBER(SEARCH(BUSCAR!$J$9,$AI606))),OR(NOT(BUSCAR!$J$2),AND(ISNUMBER($AF606),$AF606&gt;=BUSCAR!$J$3,$AF606&lt;=BUSCAR!$J$4))),1,0))</f>
      </c>
      <c r="AH606" s="42">
        <f t="shared" si="27"/>
      </c>
      <c r="AI606" s="42">
        <f t="shared" si="28"/>
      </c>
    </row>
    <row r="607" spans="1:35" x14ac:dyDescent="0.2">
      <c r="A607" s="66">
        <f t="shared" si="29"/>
      </c>
      <c r="B607" s="4"/>
      <c r="C607" s="4"/>
      <c r="D607" s="4"/>
      <c r="E607" s="4"/>
      <c r="F607" s="24"/>
      <c r="G607" s="8"/>
      <c r="H607" s="9"/>
      <c r="I607" s="8"/>
      <c r="J607" s="10"/>
      <c r="K607" s="8"/>
      <c r="L607" s="8"/>
      <c r="M607" s="8"/>
      <c r="N607" s="11"/>
      <c r="O607" s="9"/>
      <c r="P607" s="12"/>
      <c r="Q607" s="9"/>
      <c r="R607" s="13"/>
      <c r="S607" s="11"/>
      <c r="T607" s="11"/>
      <c r="U607" s="9"/>
      <c r="V607" s="9"/>
      <c r="W607" s="9"/>
      <c r="X607" s="16"/>
      <c r="AF607" s="42">
        <f>IF(BUSCAR!$C$8="FECHA NAC.",$G607,IF(BUSCAR!$C$8="PASAPORTE EXPIRA",$J607,IF(BUSCAR!$C$8="LICENCIA EMISION",$L607,IF(BUSCAR!$C$8="LICENCIA EXPIRA",$M607,""))))</f>
      </c>
      <c r="AG607" s="42">
        <f>IF($B607&amp;$C607&amp;$D607&amp;$E607&amp;$H607="",0,IF(AND(OR(BUSCAR!$J$5="",ISNUMBER(SEARCH(BUSCAR!$J$5,$AI607))),OR(BUSCAR!$J$6="",ISNUMBER(SEARCH(BUSCAR!$J$6,$AI607))),OR(BUSCAR!$J$8="",ISNUMBER(SEARCH(BUSCAR!$J$8,$AI607))),OR(BUSCAR!$J$9="",ISNUMBER(SEARCH(BUSCAR!$J$9,$AI607))),OR(NOT(BUSCAR!$J$2),AND(ISNUMBER($AF607),$AF607&gt;=BUSCAR!$J$3,$AF607&lt;=BUSCAR!$J$4))),1,0))</f>
      </c>
      <c r="AH607" s="42">
        <f t="shared" si="27"/>
      </c>
      <c r="AI607" s="42">
        <f t="shared" si="28"/>
      </c>
    </row>
    <row r="608" spans="1:35" x14ac:dyDescent="0.2">
      <c r="A608" s="66">
        <f t="shared" si="29"/>
      </c>
      <c r="B608" s="4"/>
      <c r="C608" s="4"/>
      <c r="D608" s="4"/>
      <c r="E608" s="4"/>
      <c r="F608" s="24"/>
      <c r="G608" s="8"/>
      <c r="H608" s="9"/>
      <c r="I608" s="8"/>
      <c r="J608" s="10"/>
      <c r="K608" s="8"/>
      <c r="L608" s="8"/>
      <c r="M608" s="8"/>
      <c r="N608" s="11"/>
      <c r="O608" s="9"/>
      <c r="P608" s="12"/>
      <c r="Q608" s="9"/>
      <c r="R608" s="13"/>
      <c r="S608" s="11"/>
      <c r="T608" s="11"/>
      <c r="U608" s="9"/>
      <c r="V608" s="9"/>
      <c r="W608" s="9"/>
      <c r="X608" s="16"/>
      <c r="AF608" s="42">
        <f>IF(BUSCAR!$C$8="FECHA NAC.",$G608,IF(BUSCAR!$C$8="PASAPORTE EXPIRA",$J608,IF(BUSCAR!$C$8="LICENCIA EMISION",$L608,IF(BUSCAR!$C$8="LICENCIA EXPIRA",$M608,""))))</f>
      </c>
      <c r="AG608" s="42">
        <f>IF($B608&amp;$C608&amp;$D608&amp;$E608&amp;$H608="",0,IF(AND(OR(BUSCAR!$J$5="",ISNUMBER(SEARCH(BUSCAR!$J$5,$AI608))),OR(BUSCAR!$J$6="",ISNUMBER(SEARCH(BUSCAR!$J$6,$AI608))),OR(BUSCAR!$J$8="",ISNUMBER(SEARCH(BUSCAR!$J$8,$AI608))),OR(BUSCAR!$J$9="",ISNUMBER(SEARCH(BUSCAR!$J$9,$AI608))),OR(NOT(BUSCAR!$J$2),AND(ISNUMBER($AF608),$AF608&gt;=BUSCAR!$J$3,$AF608&lt;=BUSCAR!$J$4))),1,0))</f>
      </c>
      <c r="AH608" s="42">
        <f t="shared" si="27"/>
      </c>
      <c r="AI608" s="42">
        <f t="shared" si="28"/>
      </c>
    </row>
    <row r="609" spans="1:35" x14ac:dyDescent="0.2">
      <c r="A609" s="66">
        <f t="shared" si="29"/>
      </c>
      <c r="B609" s="4"/>
      <c r="C609" s="4"/>
      <c r="D609" s="4"/>
      <c r="E609" s="4"/>
      <c r="F609" s="24"/>
      <c r="G609" s="8"/>
      <c r="H609" s="9"/>
      <c r="I609" s="8"/>
      <c r="J609" s="10"/>
      <c r="K609" s="8"/>
      <c r="L609" s="8"/>
      <c r="M609" s="8"/>
      <c r="N609" s="11"/>
      <c r="O609" s="9"/>
      <c r="P609" s="12"/>
      <c r="Q609" s="9"/>
      <c r="R609" s="13"/>
      <c r="S609" s="11"/>
      <c r="T609" s="11"/>
      <c r="U609" s="9"/>
      <c r="V609" s="9"/>
      <c r="W609" s="9"/>
      <c r="X609" s="16"/>
      <c r="AF609" s="42">
        <f>IF(BUSCAR!$C$8="FECHA NAC.",$G609,IF(BUSCAR!$C$8="PASAPORTE EXPIRA",$J609,IF(BUSCAR!$C$8="LICENCIA EMISION",$L609,IF(BUSCAR!$C$8="LICENCIA EXPIRA",$M609,""))))</f>
      </c>
      <c r="AG609" s="42">
        <f>IF($B609&amp;$C609&amp;$D609&amp;$E609&amp;$H609="",0,IF(AND(OR(BUSCAR!$J$5="",ISNUMBER(SEARCH(BUSCAR!$J$5,$AI609))),OR(BUSCAR!$J$6="",ISNUMBER(SEARCH(BUSCAR!$J$6,$AI609))),OR(BUSCAR!$J$8="",ISNUMBER(SEARCH(BUSCAR!$J$8,$AI609))),OR(BUSCAR!$J$9="",ISNUMBER(SEARCH(BUSCAR!$J$9,$AI609))),OR(NOT(BUSCAR!$J$2),AND(ISNUMBER($AF609),$AF609&gt;=BUSCAR!$J$3,$AF609&lt;=BUSCAR!$J$4))),1,0))</f>
      </c>
      <c r="AH609" s="42">
        <f t="shared" si="27"/>
      </c>
      <c r="AI609" s="42">
        <f t="shared" si="28"/>
      </c>
    </row>
    <row r="610" spans="1:35" x14ac:dyDescent="0.2">
      <c r="A610" s="66">
        <f t="shared" si="29"/>
      </c>
      <c r="B610" s="4"/>
      <c r="C610" s="4"/>
      <c r="D610" s="4"/>
      <c r="E610" s="4"/>
      <c r="F610" s="24"/>
      <c r="G610" s="8"/>
      <c r="H610" s="9"/>
      <c r="I610" s="8"/>
      <c r="J610" s="10"/>
      <c r="K610" s="8"/>
      <c r="L610" s="8"/>
      <c r="M610" s="8"/>
      <c r="N610" s="11"/>
      <c r="O610" s="9"/>
      <c r="P610" s="12"/>
      <c r="Q610" s="9"/>
      <c r="R610" s="13"/>
      <c r="S610" s="11"/>
      <c r="T610" s="11"/>
      <c r="U610" s="9"/>
      <c r="V610" s="9"/>
      <c r="W610" s="9"/>
      <c r="X610" s="16"/>
      <c r="AF610" s="42">
        <f>IF(BUSCAR!$C$8="FECHA NAC.",$G610,IF(BUSCAR!$C$8="PASAPORTE EXPIRA",$J610,IF(BUSCAR!$C$8="LICENCIA EMISION",$L610,IF(BUSCAR!$C$8="LICENCIA EXPIRA",$M610,""))))</f>
      </c>
      <c r="AG610" s="42">
        <f>IF($B610&amp;$C610&amp;$D610&amp;$E610&amp;$H610="",0,IF(AND(OR(BUSCAR!$J$5="",ISNUMBER(SEARCH(BUSCAR!$J$5,$AI610))),OR(BUSCAR!$J$6="",ISNUMBER(SEARCH(BUSCAR!$J$6,$AI610))),OR(BUSCAR!$J$8="",ISNUMBER(SEARCH(BUSCAR!$J$8,$AI610))),OR(BUSCAR!$J$9="",ISNUMBER(SEARCH(BUSCAR!$J$9,$AI610))),OR(NOT(BUSCAR!$J$2),AND(ISNUMBER($AF610),$AF610&gt;=BUSCAR!$J$3,$AF610&lt;=BUSCAR!$J$4))),1,0))</f>
      </c>
      <c r="AH610" s="42">
        <f t="shared" si="27"/>
      </c>
      <c r="AI610" s="42">
        <f t="shared" si="28"/>
      </c>
    </row>
    <row r="611" spans="1:35" x14ac:dyDescent="0.2">
      <c r="A611" s="66">
        <f t="shared" si="29"/>
      </c>
      <c r="B611" s="4"/>
      <c r="C611" s="4"/>
      <c r="D611" s="4"/>
      <c r="E611" s="4"/>
      <c r="F611" s="24"/>
      <c r="G611" s="8"/>
      <c r="H611" s="9"/>
      <c r="I611" s="8"/>
      <c r="J611" s="10"/>
      <c r="K611" s="8"/>
      <c r="L611" s="8"/>
      <c r="M611" s="8"/>
      <c r="N611" s="11"/>
      <c r="O611" s="9"/>
      <c r="P611" s="12"/>
      <c r="Q611" s="9"/>
      <c r="R611" s="13"/>
      <c r="S611" s="11"/>
      <c r="T611" s="11"/>
      <c r="U611" s="9"/>
      <c r="V611" s="9"/>
      <c r="W611" s="9"/>
      <c r="X611" s="16"/>
      <c r="AF611" s="42">
        <f>IF(BUSCAR!$C$8="FECHA NAC.",$G611,IF(BUSCAR!$C$8="PASAPORTE EXPIRA",$J611,IF(BUSCAR!$C$8="LICENCIA EMISION",$L611,IF(BUSCAR!$C$8="LICENCIA EXPIRA",$M611,""))))</f>
      </c>
      <c r="AG611" s="42">
        <f>IF($B611&amp;$C611&amp;$D611&amp;$E611&amp;$H611="",0,IF(AND(OR(BUSCAR!$J$5="",ISNUMBER(SEARCH(BUSCAR!$J$5,$AI611))),OR(BUSCAR!$J$6="",ISNUMBER(SEARCH(BUSCAR!$J$6,$AI611))),OR(BUSCAR!$J$8="",ISNUMBER(SEARCH(BUSCAR!$J$8,$AI611))),OR(BUSCAR!$J$9="",ISNUMBER(SEARCH(BUSCAR!$J$9,$AI611))),OR(NOT(BUSCAR!$J$2),AND(ISNUMBER($AF611),$AF611&gt;=BUSCAR!$J$3,$AF611&lt;=BUSCAR!$J$4))),1,0))</f>
      </c>
      <c r="AH611" s="42">
        <f t="shared" si="27"/>
      </c>
      <c r="AI611" s="42">
        <f t="shared" si="28"/>
      </c>
    </row>
    <row r="612" spans="1:35" x14ac:dyDescent="0.2">
      <c r="A612" s="66">
        <f t="shared" si="29"/>
      </c>
      <c r="B612" s="4"/>
      <c r="C612" s="4"/>
      <c r="D612" s="4"/>
      <c r="E612" s="4"/>
      <c r="F612" s="24"/>
      <c r="G612" s="8"/>
      <c r="H612" s="9"/>
      <c r="I612" s="8"/>
      <c r="J612" s="10"/>
      <c r="K612" s="8"/>
      <c r="L612" s="8"/>
      <c r="M612" s="8"/>
      <c r="N612" s="11"/>
      <c r="O612" s="9"/>
      <c r="P612" s="12"/>
      <c r="Q612" s="9"/>
      <c r="R612" s="13"/>
      <c r="S612" s="11"/>
      <c r="T612" s="11"/>
      <c r="U612" s="9"/>
      <c r="V612" s="9"/>
      <c r="W612" s="9"/>
      <c r="X612" s="16"/>
      <c r="AF612" s="42">
        <f>IF(BUSCAR!$C$8="FECHA NAC.",$G612,IF(BUSCAR!$C$8="PASAPORTE EXPIRA",$J612,IF(BUSCAR!$C$8="LICENCIA EMISION",$L612,IF(BUSCAR!$C$8="LICENCIA EXPIRA",$M612,""))))</f>
      </c>
      <c r="AG612" s="42">
        <f>IF($B612&amp;$C612&amp;$D612&amp;$E612&amp;$H612="",0,IF(AND(OR(BUSCAR!$J$5="",ISNUMBER(SEARCH(BUSCAR!$J$5,$AI612))),OR(BUSCAR!$J$6="",ISNUMBER(SEARCH(BUSCAR!$J$6,$AI612))),OR(BUSCAR!$J$8="",ISNUMBER(SEARCH(BUSCAR!$J$8,$AI612))),OR(BUSCAR!$J$9="",ISNUMBER(SEARCH(BUSCAR!$J$9,$AI612))),OR(NOT(BUSCAR!$J$2),AND(ISNUMBER($AF612),$AF612&gt;=BUSCAR!$J$3,$AF612&lt;=BUSCAR!$J$4))),1,0))</f>
      </c>
      <c r="AH612" s="42">
        <f t="shared" si="27"/>
      </c>
      <c r="AI612" s="42">
        <f t="shared" si="28"/>
      </c>
    </row>
    <row r="613" spans="1:35" x14ac:dyDescent="0.2">
      <c r="A613" s="66">
        <f t="shared" si="29"/>
      </c>
      <c r="B613" s="4"/>
      <c r="C613" s="4"/>
      <c r="D613" s="4"/>
      <c r="E613" s="4"/>
      <c r="F613" s="24"/>
      <c r="G613" s="8"/>
      <c r="H613" s="9"/>
      <c r="I613" s="8"/>
      <c r="J613" s="10"/>
      <c r="K613" s="8"/>
      <c r="L613" s="8"/>
      <c r="M613" s="8"/>
      <c r="N613" s="11"/>
      <c r="O613" s="9"/>
      <c r="P613" s="12"/>
      <c r="Q613" s="9"/>
      <c r="R613" s="13"/>
      <c r="S613" s="11"/>
      <c r="T613" s="11"/>
      <c r="U613" s="9"/>
      <c r="V613" s="9"/>
      <c r="W613" s="9"/>
      <c r="X613" s="16"/>
      <c r="AF613" s="42">
        <f>IF(BUSCAR!$C$8="FECHA NAC.",$G613,IF(BUSCAR!$C$8="PASAPORTE EXPIRA",$J613,IF(BUSCAR!$C$8="LICENCIA EMISION",$L613,IF(BUSCAR!$C$8="LICENCIA EXPIRA",$M613,""))))</f>
      </c>
      <c r="AG613" s="42">
        <f>IF($B613&amp;$C613&amp;$D613&amp;$E613&amp;$H613="",0,IF(AND(OR(BUSCAR!$J$5="",ISNUMBER(SEARCH(BUSCAR!$J$5,$AI613))),OR(BUSCAR!$J$6="",ISNUMBER(SEARCH(BUSCAR!$J$6,$AI613))),OR(BUSCAR!$J$8="",ISNUMBER(SEARCH(BUSCAR!$J$8,$AI613))),OR(BUSCAR!$J$9="",ISNUMBER(SEARCH(BUSCAR!$J$9,$AI613))),OR(NOT(BUSCAR!$J$2),AND(ISNUMBER($AF613),$AF613&gt;=BUSCAR!$J$3,$AF613&lt;=BUSCAR!$J$4))),1,0))</f>
      </c>
      <c r="AH613" s="42">
        <f t="shared" si="27"/>
      </c>
      <c r="AI613" s="42">
        <f t="shared" si="28"/>
      </c>
    </row>
    <row r="614" spans="1:35" x14ac:dyDescent="0.2">
      <c r="A614" s="66">
        <f t="shared" si="29"/>
      </c>
      <c r="B614" s="4"/>
      <c r="C614" s="4"/>
      <c r="D614" s="4"/>
      <c r="E614" s="4"/>
      <c r="F614" s="24"/>
      <c r="G614" s="8"/>
      <c r="H614" s="9"/>
      <c r="I614" s="8"/>
      <c r="J614" s="10"/>
      <c r="K614" s="8"/>
      <c r="L614" s="8"/>
      <c r="M614" s="8"/>
      <c r="N614" s="11"/>
      <c r="O614" s="9"/>
      <c r="P614" s="12"/>
      <c r="Q614" s="9"/>
      <c r="R614" s="13"/>
      <c r="S614" s="11"/>
      <c r="T614" s="11"/>
      <c r="U614" s="9"/>
      <c r="V614" s="9"/>
      <c r="W614" s="9"/>
      <c r="X614" s="16"/>
      <c r="AF614" s="42">
        <f>IF(BUSCAR!$C$8="FECHA NAC.",$G614,IF(BUSCAR!$C$8="PASAPORTE EXPIRA",$J614,IF(BUSCAR!$C$8="LICENCIA EMISION",$L614,IF(BUSCAR!$C$8="LICENCIA EXPIRA",$M614,""))))</f>
      </c>
      <c r="AG614" s="42">
        <f>IF($B614&amp;$C614&amp;$D614&amp;$E614&amp;$H614="",0,IF(AND(OR(BUSCAR!$J$5="",ISNUMBER(SEARCH(BUSCAR!$J$5,$AI614))),OR(BUSCAR!$J$6="",ISNUMBER(SEARCH(BUSCAR!$J$6,$AI614))),OR(BUSCAR!$J$8="",ISNUMBER(SEARCH(BUSCAR!$J$8,$AI614))),OR(BUSCAR!$J$9="",ISNUMBER(SEARCH(BUSCAR!$J$9,$AI614))),OR(NOT(BUSCAR!$J$2),AND(ISNUMBER($AF614),$AF614&gt;=BUSCAR!$J$3,$AF614&lt;=BUSCAR!$J$4))),1,0))</f>
      </c>
      <c r="AH614" s="42">
        <f t="shared" si="27"/>
      </c>
      <c r="AI614" s="42">
        <f t="shared" si="28"/>
      </c>
    </row>
    <row r="615" spans="1:35" x14ac:dyDescent="0.2">
      <c r="A615" s="66">
        <f t="shared" si="29"/>
      </c>
      <c r="B615" s="4"/>
      <c r="C615" s="4"/>
      <c r="D615" s="4"/>
      <c r="E615" s="4"/>
      <c r="F615" s="24"/>
      <c r="G615" s="8"/>
      <c r="H615" s="9"/>
      <c r="I615" s="8"/>
      <c r="J615" s="10"/>
      <c r="K615" s="8"/>
      <c r="L615" s="8"/>
      <c r="M615" s="8"/>
      <c r="N615" s="11"/>
      <c r="O615" s="9"/>
      <c r="P615" s="12"/>
      <c r="Q615" s="9"/>
      <c r="R615" s="13"/>
      <c r="S615" s="11"/>
      <c r="T615" s="11"/>
      <c r="U615" s="9"/>
      <c r="V615" s="9"/>
      <c r="W615" s="9"/>
      <c r="X615" s="16"/>
      <c r="AF615" s="42">
        <f>IF(BUSCAR!$C$8="FECHA NAC.",$G615,IF(BUSCAR!$C$8="PASAPORTE EXPIRA",$J615,IF(BUSCAR!$C$8="LICENCIA EMISION",$L615,IF(BUSCAR!$C$8="LICENCIA EXPIRA",$M615,""))))</f>
      </c>
      <c r="AG615" s="42">
        <f>IF($B615&amp;$C615&amp;$D615&amp;$E615&amp;$H615="",0,IF(AND(OR(BUSCAR!$J$5="",ISNUMBER(SEARCH(BUSCAR!$J$5,$AI615))),OR(BUSCAR!$J$6="",ISNUMBER(SEARCH(BUSCAR!$J$6,$AI615))),OR(BUSCAR!$J$8="",ISNUMBER(SEARCH(BUSCAR!$J$8,$AI615))),OR(BUSCAR!$J$9="",ISNUMBER(SEARCH(BUSCAR!$J$9,$AI615))),OR(NOT(BUSCAR!$J$2),AND(ISNUMBER($AF615),$AF615&gt;=BUSCAR!$J$3,$AF615&lt;=BUSCAR!$J$4))),1,0))</f>
      </c>
      <c r="AH615" s="42">
        <f t="shared" si="27"/>
      </c>
      <c r="AI615" s="42">
        <f t="shared" si="28"/>
      </c>
    </row>
    <row r="616" spans="1:35" x14ac:dyDescent="0.2">
      <c r="A616" s="66">
        <f t="shared" si="29"/>
      </c>
      <c r="B616" s="4"/>
      <c r="C616" s="4"/>
      <c r="D616" s="4"/>
      <c r="E616" s="4"/>
      <c r="F616" s="24"/>
      <c r="G616" s="8"/>
      <c r="H616" s="9"/>
      <c r="I616" s="8"/>
      <c r="J616" s="10"/>
      <c r="K616" s="8"/>
      <c r="L616" s="8"/>
      <c r="M616" s="8"/>
      <c r="N616" s="11"/>
      <c r="O616" s="9"/>
      <c r="P616" s="12"/>
      <c r="Q616" s="9"/>
      <c r="R616" s="13"/>
      <c r="S616" s="11"/>
      <c r="T616" s="11"/>
      <c r="U616" s="9"/>
      <c r="V616" s="9"/>
      <c r="W616" s="9"/>
      <c r="X616" s="16"/>
      <c r="AF616" s="42">
        <f>IF(BUSCAR!$C$8="FECHA NAC.",$G616,IF(BUSCAR!$C$8="PASAPORTE EXPIRA",$J616,IF(BUSCAR!$C$8="LICENCIA EMISION",$L616,IF(BUSCAR!$C$8="LICENCIA EXPIRA",$M616,""))))</f>
      </c>
      <c r="AG616" s="42">
        <f>IF($B616&amp;$C616&amp;$D616&amp;$E616&amp;$H616="",0,IF(AND(OR(BUSCAR!$J$5="",ISNUMBER(SEARCH(BUSCAR!$J$5,$AI616))),OR(BUSCAR!$J$6="",ISNUMBER(SEARCH(BUSCAR!$J$6,$AI616))),OR(BUSCAR!$J$8="",ISNUMBER(SEARCH(BUSCAR!$J$8,$AI616))),OR(BUSCAR!$J$9="",ISNUMBER(SEARCH(BUSCAR!$J$9,$AI616))),OR(NOT(BUSCAR!$J$2),AND(ISNUMBER($AF616),$AF616&gt;=BUSCAR!$J$3,$AF616&lt;=BUSCAR!$J$4))),1,0))</f>
      </c>
      <c r="AH616" s="42">
        <f t="shared" si="27"/>
      </c>
      <c r="AI616" s="42">
        <f t="shared" si="28"/>
      </c>
    </row>
    <row r="617" spans="1:35" x14ac:dyDescent="0.2">
      <c r="A617" s="66">
        <f t="shared" si="29"/>
      </c>
      <c r="B617" s="4"/>
      <c r="C617" s="4"/>
      <c r="D617" s="4"/>
      <c r="E617" s="4"/>
      <c r="F617" s="24"/>
      <c r="G617" s="8"/>
      <c r="H617" s="9"/>
      <c r="I617" s="8"/>
      <c r="J617" s="10"/>
      <c r="K617" s="8"/>
      <c r="L617" s="8"/>
      <c r="M617" s="8"/>
      <c r="N617" s="11"/>
      <c r="O617" s="9"/>
      <c r="P617" s="12"/>
      <c r="Q617" s="9"/>
      <c r="R617" s="13"/>
      <c r="S617" s="11"/>
      <c r="T617" s="11"/>
      <c r="U617" s="9"/>
      <c r="V617" s="9"/>
      <c r="W617" s="9"/>
      <c r="X617" s="16"/>
      <c r="AF617" s="42">
        <f>IF(BUSCAR!$C$8="FECHA NAC.",$G617,IF(BUSCAR!$C$8="PASAPORTE EXPIRA",$J617,IF(BUSCAR!$C$8="LICENCIA EMISION",$L617,IF(BUSCAR!$C$8="LICENCIA EXPIRA",$M617,""))))</f>
      </c>
      <c r="AG617" s="42">
        <f>IF($B617&amp;$C617&amp;$D617&amp;$E617&amp;$H617="",0,IF(AND(OR(BUSCAR!$J$5="",ISNUMBER(SEARCH(BUSCAR!$J$5,$AI617))),OR(BUSCAR!$J$6="",ISNUMBER(SEARCH(BUSCAR!$J$6,$AI617))),OR(BUSCAR!$J$8="",ISNUMBER(SEARCH(BUSCAR!$J$8,$AI617))),OR(BUSCAR!$J$9="",ISNUMBER(SEARCH(BUSCAR!$J$9,$AI617))),OR(NOT(BUSCAR!$J$2),AND(ISNUMBER($AF617),$AF617&gt;=BUSCAR!$J$3,$AF617&lt;=BUSCAR!$J$4))),1,0))</f>
      </c>
      <c r="AH617" s="42">
        <f t="shared" si="27"/>
      </c>
      <c r="AI617" s="42">
        <f t="shared" si="28"/>
      </c>
    </row>
    <row r="618" spans="1:35" x14ac:dyDescent="0.2">
      <c r="A618" s="66">
        <f t="shared" si="29"/>
      </c>
      <c r="B618" s="4"/>
      <c r="C618" s="4"/>
      <c r="D618" s="4"/>
      <c r="E618" s="4"/>
      <c r="F618" s="24"/>
      <c r="G618" s="8"/>
      <c r="H618" s="9"/>
      <c r="I618" s="8"/>
      <c r="J618" s="10"/>
      <c r="K618" s="8"/>
      <c r="L618" s="8"/>
      <c r="M618" s="8"/>
      <c r="N618" s="11"/>
      <c r="O618" s="9"/>
      <c r="P618" s="12"/>
      <c r="Q618" s="9"/>
      <c r="R618" s="13"/>
      <c r="S618" s="11"/>
      <c r="T618" s="11"/>
      <c r="U618" s="9"/>
      <c r="V618" s="9"/>
      <c r="W618" s="9"/>
      <c r="X618" s="16"/>
      <c r="AF618" s="42">
        <f>IF(BUSCAR!$C$8="FECHA NAC.",$G618,IF(BUSCAR!$C$8="PASAPORTE EXPIRA",$J618,IF(BUSCAR!$C$8="LICENCIA EMISION",$L618,IF(BUSCAR!$C$8="LICENCIA EXPIRA",$M618,""))))</f>
      </c>
      <c r="AG618" s="42">
        <f>IF($B618&amp;$C618&amp;$D618&amp;$E618&amp;$H618="",0,IF(AND(OR(BUSCAR!$J$5="",ISNUMBER(SEARCH(BUSCAR!$J$5,$AI618))),OR(BUSCAR!$J$6="",ISNUMBER(SEARCH(BUSCAR!$J$6,$AI618))),OR(BUSCAR!$J$8="",ISNUMBER(SEARCH(BUSCAR!$J$8,$AI618))),OR(BUSCAR!$J$9="",ISNUMBER(SEARCH(BUSCAR!$J$9,$AI618))),OR(NOT(BUSCAR!$J$2),AND(ISNUMBER($AF618),$AF618&gt;=BUSCAR!$J$3,$AF618&lt;=BUSCAR!$J$4))),1,0))</f>
      </c>
      <c r="AH618" s="42">
        <f t="shared" si="27"/>
      </c>
      <c r="AI618" s="42">
        <f t="shared" si="28"/>
      </c>
    </row>
    <row r="619" spans="1:35" x14ac:dyDescent="0.2">
      <c r="A619" s="66">
        <f t="shared" si="29"/>
      </c>
      <c r="B619" s="4"/>
      <c r="C619" s="4"/>
      <c r="D619" s="4"/>
      <c r="E619" s="4"/>
      <c r="F619" s="24"/>
      <c r="G619" s="8"/>
      <c r="H619" s="9"/>
      <c r="I619" s="8"/>
      <c r="J619" s="10"/>
      <c r="K619" s="8"/>
      <c r="L619" s="8"/>
      <c r="M619" s="8"/>
      <c r="N619" s="11"/>
      <c r="O619" s="9"/>
      <c r="P619" s="12"/>
      <c r="Q619" s="9"/>
      <c r="R619" s="13"/>
      <c r="S619" s="11"/>
      <c r="T619" s="11"/>
      <c r="U619" s="9"/>
      <c r="V619" s="9"/>
      <c r="W619" s="9"/>
      <c r="X619" s="16"/>
      <c r="AF619" s="42">
        <f>IF(BUSCAR!$C$8="FECHA NAC.",$G619,IF(BUSCAR!$C$8="PASAPORTE EXPIRA",$J619,IF(BUSCAR!$C$8="LICENCIA EMISION",$L619,IF(BUSCAR!$C$8="LICENCIA EXPIRA",$M619,""))))</f>
      </c>
      <c r="AG619" s="42">
        <f>IF($B619&amp;$C619&amp;$D619&amp;$E619&amp;$H619="",0,IF(AND(OR(BUSCAR!$J$5="",ISNUMBER(SEARCH(BUSCAR!$J$5,$AI619))),OR(BUSCAR!$J$6="",ISNUMBER(SEARCH(BUSCAR!$J$6,$AI619))),OR(BUSCAR!$J$8="",ISNUMBER(SEARCH(BUSCAR!$J$8,$AI619))),OR(BUSCAR!$J$9="",ISNUMBER(SEARCH(BUSCAR!$J$9,$AI619))),OR(NOT(BUSCAR!$J$2),AND(ISNUMBER($AF619),$AF619&gt;=BUSCAR!$J$3,$AF619&lt;=BUSCAR!$J$4))),1,0))</f>
      </c>
      <c r="AH619" s="42">
        <f t="shared" si="27"/>
      </c>
      <c r="AI619" s="42">
        <f t="shared" si="28"/>
      </c>
    </row>
    <row r="620" spans="1:35" x14ac:dyDescent="0.2">
      <c r="A620" s="66">
        <f t="shared" si="29"/>
      </c>
      <c r="B620" s="4"/>
      <c r="C620" s="4"/>
      <c r="D620" s="4"/>
      <c r="E620" s="4"/>
      <c r="F620" s="24"/>
      <c r="G620" s="8"/>
      <c r="H620" s="9"/>
      <c r="I620" s="8"/>
      <c r="J620" s="10"/>
      <c r="K620" s="8"/>
      <c r="L620" s="8"/>
      <c r="M620" s="8"/>
      <c r="N620" s="11"/>
      <c r="O620" s="9"/>
      <c r="P620" s="12"/>
      <c r="Q620" s="9"/>
      <c r="R620" s="13"/>
      <c r="S620" s="11"/>
      <c r="T620" s="11"/>
      <c r="U620" s="9"/>
      <c r="V620" s="9"/>
      <c r="W620" s="9"/>
      <c r="X620" s="16"/>
      <c r="AF620" s="42">
        <f>IF(BUSCAR!$C$8="FECHA NAC.",$G620,IF(BUSCAR!$C$8="PASAPORTE EXPIRA",$J620,IF(BUSCAR!$C$8="LICENCIA EMISION",$L620,IF(BUSCAR!$C$8="LICENCIA EXPIRA",$M620,""))))</f>
      </c>
      <c r="AG620" s="42">
        <f>IF($B620&amp;$C620&amp;$D620&amp;$E620&amp;$H620="",0,IF(AND(OR(BUSCAR!$J$5="",ISNUMBER(SEARCH(BUSCAR!$J$5,$AI620))),OR(BUSCAR!$J$6="",ISNUMBER(SEARCH(BUSCAR!$J$6,$AI620))),OR(BUSCAR!$J$8="",ISNUMBER(SEARCH(BUSCAR!$J$8,$AI620))),OR(BUSCAR!$J$9="",ISNUMBER(SEARCH(BUSCAR!$J$9,$AI620))),OR(NOT(BUSCAR!$J$2),AND(ISNUMBER($AF620),$AF620&gt;=BUSCAR!$J$3,$AF620&lt;=BUSCAR!$J$4))),1,0))</f>
      </c>
      <c r="AH620" s="42">
        <f t="shared" si="27"/>
      </c>
      <c r="AI620" s="42">
        <f t="shared" si="28"/>
      </c>
    </row>
    <row r="621" spans="1:35" x14ac:dyDescent="0.2">
      <c r="A621" s="66">
        <f t="shared" si="29"/>
      </c>
      <c r="B621" s="4"/>
      <c r="C621" s="4"/>
      <c r="D621" s="4"/>
      <c r="E621" s="4"/>
      <c r="F621" s="24"/>
      <c r="G621" s="8"/>
      <c r="H621" s="9"/>
      <c r="I621" s="8"/>
      <c r="J621" s="10"/>
      <c r="K621" s="8"/>
      <c r="L621" s="8"/>
      <c r="M621" s="8"/>
      <c r="N621" s="11"/>
      <c r="O621" s="9"/>
      <c r="P621" s="12"/>
      <c r="Q621" s="9"/>
      <c r="R621" s="13"/>
      <c r="S621" s="11"/>
      <c r="T621" s="11"/>
      <c r="U621" s="9"/>
      <c r="V621" s="9"/>
      <c r="W621" s="9"/>
      <c r="X621" s="16"/>
      <c r="AF621" s="42">
        <f>IF(BUSCAR!$C$8="FECHA NAC.",$G621,IF(BUSCAR!$C$8="PASAPORTE EXPIRA",$J621,IF(BUSCAR!$C$8="LICENCIA EMISION",$L621,IF(BUSCAR!$C$8="LICENCIA EXPIRA",$M621,""))))</f>
      </c>
      <c r="AG621" s="42">
        <f>IF($B621&amp;$C621&amp;$D621&amp;$E621&amp;$H621="",0,IF(AND(OR(BUSCAR!$J$5="",ISNUMBER(SEARCH(BUSCAR!$J$5,$AI621))),OR(BUSCAR!$J$6="",ISNUMBER(SEARCH(BUSCAR!$J$6,$AI621))),OR(BUSCAR!$J$8="",ISNUMBER(SEARCH(BUSCAR!$J$8,$AI621))),OR(BUSCAR!$J$9="",ISNUMBER(SEARCH(BUSCAR!$J$9,$AI621))),OR(NOT(BUSCAR!$J$2),AND(ISNUMBER($AF621),$AF621&gt;=BUSCAR!$J$3,$AF621&lt;=BUSCAR!$J$4))),1,0))</f>
      </c>
      <c r="AH621" s="42">
        <f t="shared" si="27"/>
      </c>
      <c r="AI621" s="42">
        <f t="shared" si="28"/>
      </c>
    </row>
    <row r="622" spans="1:35" x14ac:dyDescent="0.2">
      <c r="A622" s="66">
        <f t="shared" si="29"/>
      </c>
      <c r="B622" s="4"/>
      <c r="C622" s="4"/>
      <c r="D622" s="4"/>
      <c r="E622" s="4"/>
      <c r="F622" s="24"/>
      <c r="G622" s="8"/>
      <c r="H622" s="9"/>
      <c r="I622" s="8"/>
      <c r="J622" s="10"/>
      <c r="K622" s="8"/>
      <c r="L622" s="8"/>
      <c r="M622" s="8"/>
      <c r="N622" s="11"/>
      <c r="O622" s="9"/>
      <c r="P622" s="12"/>
      <c r="Q622" s="9"/>
      <c r="R622" s="13"/>
      <c r="S622" s="11"/>
      <c r="T622" s="11"/>
      <c r="U622" s="9"/>
      <c r="V622" s="9"/>
      <c r="W622" s="9"/>
      <c r="X622" s="16"/>
      <c r="AF622" s="42">
        <f>IF(BUSCAR!$C$8="FECHA NAC.",$G622,IF(BUSCAR!$C$8="PASAPORTE EXPIRA",$J622,IF(BUSCAR!$C$8="LICENCIA EMISION",$L622,IF(BUSCAR!$C$8="LICENCIA EXPIRA",$M622,""))))</f>
      </c>
      <c r="AG622" s="42">
        <f>IF($B622&amp;$C622&amp;$D622&amp;$E622&amp;$H622="",0,IF(AND(OR(BUSCAR!$J$5="",ISNUMBER(SEARCH(BUSCAR!$J$5,$AI622))),OR(BUSCAR!$J$6="",ISNUMBER(SEARCH(BUSCAR!$J$6,$AI622))),OR(BUSCAR!$J$8="",ISNUMBER(SEARCH(BUSCAR!$J$8,$AI622))),OR(BUSCAR!$J$9="",ISNUMBER(SEARCH(BUSCAR!$J$9,$AI622))),OR(NOT(BUSCAR!$J$2),AND(ISNUMBER($AF622),$AF622&gt;=BUSCAR!$J$3,$AF622&lt;=BUSCAR!$J$4))),1,0))</f>
      </c>
      <c r="AH622" s="42">
        <f t="shared" si="27"/>
      </c>
      <c r="AI622" s="42">
        <f t="shared" si="28"/>
      </c>
    </row>
    <row r="623" spans="1:35" x14ac:dyDescent="0.2">
      <c r="A623" s="66">
        <f t="shared" si="29"/>
      </c>
      <c r="B623" s="4"/>
      <c r="C623" s="4"/>
      <c r="D623" s="4"/>
      <c r="E623" s="4"/>
      <c r="F623" s="24"/>
      <c r="G623" s="8"/>
      <c r="H623" s="9"/>
      <c r="I623" s="8"/>
      <c r="J623" s="10"/>
      <c r="K623" s="8"/>
      <c r="L623" s="8"/>
      <c r="M623" s="8"/>
      <c r="N623" s="11"/>
      <c r="O623" s="9"/>
      <c r="P623" s="12"/>
      <c r="Q623" s="9"/>
      <c r="R623" s="13"/>
      <c r="S623" s="11"/>
      <c r="T623" s="11"/>
      <c r="U623" s="9"/>
      <c r="V623" s="9"/>
      <c r="W623" s="9"/>
      <c r="X623" s="16"/>
      <c r="AF623" s="42">
        <f>IF(BUSCAR!$C$8="FECHA NAC.",$G623,IF(BUSCAR!$C$8="PASAPORTE EXPIRA",$J623,IF(BUSCAR!$C$8="LICENCIA EMISION",$L623,IF(BUSCAR!$C$8="LICENCIA EXPIRA",$M623,""))))</f>
      </c>
      <c r="AG623" s="42">
        <f>IF($B623&amp;$C623&amp;$D623&amp;$E623&amp;$H623="",0,IF(AND(OR(BUSCAR!$J$5="",ISNUMBER(SEARCH(BUSCAR!$J$5,$AI623))),OR(BUSCAR!$J$6="",ISNUMBER(SEARCH(BUSCAR!$J$6,$AI623))),OR(BUSCAR!$J$8="",ISNUMBER(SEARCH(BUSCAR!$J$8,$AI623))),OR(BUSCAR!$J$9="",ISNUMBER(SEARCH(BUSCAR!$J$9,$AI623))),OR(NOT(BUSCAR!$J$2),AND(ISNUMBER($AF623),$AF623&gt;=BUSCAR!$J$3,$AF623&lt;=BUSCAR!$J$4))),1,0))</f>
      </c>
      <c r="AH623" s="42">
        <f t="shared" si="27"/>
      </c>
      <c r="AI623" s="42">
        <f t="shared" si="28"/>
      </c>
    </row>
    <row r="624" spans="1:35" x14ac:dyDescent="0.2">
      <c r="A624" s="66">
        <f t="shared" si="29"/>
      </c>
      <c r="B624" s="4"/>
      <c r="C624" s="4"/>
      <c r="D624" s="4"/>
      <c r="E624" s="4"/>
      <c r="F624" s="24"/>
      <c r="G624" s="8"/>
      <c r="H624" s="9"/>
      <c r="I624" s="8"/>
      <c r="J624" s="10"/>
      <c r="K624" s="8"/>
      <c r="L624" s="8"/>
      <c r="M624" s="8"/>
      <c r="N624" s="11"/>
      <c r="O624" s="9"/>
      <c r="P624" s="12"/>
      <c r="Q624" s="9"/>
      <c r="R624" s="13"/>
      <c r="S624" s="11"/>
      <c r="T624" s="11"/>
      <c r="U624" s="9"/>
      <c r="V624" s="9"/>
      <c r="W624" s="9"/>
      <c r="X624" s="16"/>
      <c r="AF624" s="42">
        <f>IF(BUSCAR!$C$8="FECHA NAC.",$G624,IF(BUSCAR!$C$8="PASAPORTE EXPIRA",$J624,IF(BUSCAR!$C$8="LICENCIA EMISION",$L624,IF(BUSCAR!$C$8="LICENCIA EXPIRA",$M624,""))))</f>
      </c>
      <c r="AG624" s="42">
        <f>IF($B624&amp;$C624&amp;$D624&amp;$E624&amp;$H624="",0,IF(AND(OR(BUSCAR!$J$5="",ISNUMBER(SEARCH(BUSCAR!$J$5,$AI624))),OR(BUSCAR!$J$6="",ISNUMBER(SEARCH(BUSCAR!$J$6,$AI624))),OR(BUSCAR!$J$8="",ISNUMBER(SEARCH(BUSCAR!$J$8,$AI624))),OR(BUSCAR!$J$9="",ISNUMBER(SEARCH(BUSCAR!$J$9,$AI624))),OR(NOT(BUSCAR!$J$2),AND(ISNUMBER($AF624),$AF624&gt;=BUSCAR!$J$3,$AF624&lt;=BUSCAR!$J$4))),1,0))</f>
      </c>
      <c r="AH624" s="42">
        <f t="shared" si="27"/>
      </c>
      <c r="AI624" s="42">
        <f t="shared" si="28"/>
      </c>
    </row>
    <row r="625" spans="1:35" x14ac:dyDescent="0.2">
      <c r="A625" s="66">
        <f t="shared" si="29"/>
      </c>
      <c r="B625" s="4"/>
      <c r="C625" s="4"/>
      <c r="D625" s="4"/>
      <c r="E625" s="4"/>
      <c r="F625" s="24"/>
      <c r="G625" s="8"/>
      <c r="H625" s="9"/>
      <c r="I625" s="8"/>
      <c r="J625" s="10"/>
      <c r="K625" s="8"/>
      <c r="L625" s="8"/>
      <c r="M625" s="8"/>
      <c r="N625" s="11"/>
      <c r="O625" s="9"/>
      <c r="P625" s="12"/>
      <c r="Q625" s="9"/>
      <c r="R625" s="13"/>
      <c r="S625" s="11"/>
      <c r="T625" s="11"/>
      <c r="U625" s="9"/>
      <c r="V625" s="9"/>
      <c r="W625" s="9"/>
      <c r="X625" s="16"/>
      <c r="AF625" s="42">
        <f>IF(BUSCAR!$C$8="FECHA NAC.",$G625,IF(BUSCAR!$C$8="PASAPORTE EXPIRA",$J625,IF(BUSCAR!$C$8="LICENCIA EMISION",$L625,IF(BUSCAR!$C$8="LICENCIA EXPIRA",$M625,""))))</f>
      </c>
      <c r="AG625" s="42">
        <f>IF($B625&amp;$C625&amp;$D625&amp;$E625&amp;$H625="",0,IF(AND(OR(BUSCAR!$J$5="",ISNUMBER(SEARCH(BUSCAR!$J$5,$AI625))),OR(BUSCAR!$J$6="",ISNUMBER(SEARCH(BUSCAR!$J$6,$AI625))),OR(BUSCAR!$J$8="",ISNUMBER(SEARCH(BUSCAR!$J$8,$AI625))),OR(BUSCAR!$J$9="",ISNUMBER(SEARCH(BUSCAR!$J$9,$AI625))),OR(NOT(BUSCAR!$J$2),AND(ISNUMBER($AF625),$AF625&gt;=BUSCAR!$J$3,$AF625&lt;=BUSCAR!$J$4))),1,0))</f>
      </c>
      <c r="AH625" s="42">
        <f t="shared" si="27"/>
      </c>
      <c r="AI625" s="42">
        <f t="shared" si="28"/>
      </c>
    </row>
    <row r="626" spans="1:35" x14ac:dyDescent="0.2">
      <c r="A626" s="66">
        <f t="shared" si="29"/>
      </c>
      <c r="B626" s="4"/>
      <c r="C626" s="4"/>
      <c r="D626" s="4"/>
      <c r="E626" s="4"/>
      <c r="F626" s="24"/>
      <c r="G626" s="8"/>
      <c r="H626" s="9"/>
      <c r="I626" s="8"/>
      <c r="J626" s="10"/>
      <c r="K626" s="8"/>
      <c r="L626" s="8"/>
      <c r="M626" s="8"/>
      <c r="N626" s="11"/>
      <c r="O626" s="9"/>
      <c r="P626" s="12"/>
      <c r="Q626" s="9"/>
      <c r="R626" s="13"/>
      <c r="S626" s="11"/>
      <c r="T626" s="11"/>
      <c r="U626" s="9"/>
      <c r="V626" s="9"/>
      <c r="W626" s="9"/>
      <c r="X626" s="16"/>
      <c r="AF626" s="42">
        <f>IF(BUSCAR!$C$8="FECHA NAC.",$G626,IF(BUSCAR!$C$8="PASAPORTE EXPIRA",$J626,IF(BUSCAR!$C$8="LICENCIA EMISION",$L626,IF(BUSCAR!$C$8="LICENCIA EXPIRA",$M626,""))))</f>
      </c>
      <c r="AG626" s="42">
        <f>IF($B626&amp;$C626&amp;$D626&amp;$E626&amp;$H626="",0,IF(AND(OR(BUSCAR!$J$5="",ISNUMBER(SEARCH(BUSCAR!$J$5,$AI626))),OR(BUSCAR!$J$6="",ISNUMBER(SEARCH(BUSCAR!$J$6,$AI626))),OR(BUSCAR!$J$8="",ISNUMBER(SEARCH(BUSCAR!$J$8,$AI626))),OR(BUSCAR!$J$9="",ISNUMBER(SEARCH(BUSCAR!$J$9,$AI626))),OR(NOT(BUSCAR!$J$2),AND(ISNUMBER($AF626),$AF626&gt;=BUSCAR!$J$3,$AF626&lt;=BUSCAR!$J$4))),1,0))</f>
      </c>
      <c r="AH626" s="42">
        <f t="shared" si="27"/>
      </c>
      <c r="AI626" s="42">
        <f t="shared" si="28"/>
      </c>
    </row>
    <row r="627" spans="1:35" x14ac:dyDescent="0.2">
      <c r="A627" s="66">
        <f t="shared" si="29"/>
      </c>
      <c r="B627" s="4"/>
      <c r="C627" s="4"/>
      <c r="D627" s="4"/>
      <c r="E627" s="4"/>
      <c r="F627" s="24"/>
      <c r="G627" s="8"/>
      <c r="H627" s="9"/>
      <c r="I627" s="8"/>
      <c r="J627" s="10"/>
      <c r="K627" s="8"/>
      <c r="L627" s="8"/>
      <c r="M627" s="8"/>
      <c r="N627" s="11"/>
      <c r="O627" s="9"/>
      <c r="P627" s="12"/>
      <c r="Q627" s="9"/>
      <c r="R627" s="13"/>
      <c r="S627" s="11"/>
      <c r="T627" s="11"/>
      <c r="U627" s="9"/>
      <c r="V627" s="9"/>
      <c r="W627" s="9"/>
      <c r="X627" s="16"/>
      <c r="AF627" s="42">
        <f>IF(BUSCAR!$C$8="FECHA NAC.",$G627,IF(BUSCAR!$C$8="PASAPORTE EXPIRA",$J627,IF(BUSCAR!$C$8="LICENCIA EMISION",$L627,IF(BUSCAR!$C$8="LICENCIA EXPIRA",$M627,""))))</f>
      </c>
      <c r="AG627" s="42">
        <f>IF($B627&amp;$C627&amp;$D627&amp;$E627&amp;$H627="",0,IF(AND(OR(BUSCAR!$J$5="",ISNUMBER(SEARCH(BUSCAR!$J$5,$AI627))),OR(BUSCAR!$J$6="",ISNUMBER(SEARCH(BUSCAR!$J$6,$AI627))),OR(BUSCAR!$J$8="",ISNUMBER(SEARCH(BUSCAR!$J$8,$AI627))),OR(BUSCAR!$J$9="",ISNUMBER(SEARCH(BUSCAR!$J$9,$AI627))),OR(NOT(BUSCAR!$J$2),AND(ISNUMBER($AF627),$AF627&gt;=BUSCAR!$J$3,$AF627&lt;=BUSCAR!$J$4))),1,0))</f>
      </c>
      <c r="AH627" s="42">
        <f t="shared" si="27"/>
      </c>
      <c r="AI627" s="42">
        <f t="shared" si="28"/>
      </c>
    </row>
    <row r="628" spans="1:35" x14ac:dyDescent="0.2">
      <c r="A628" s="66">
        <f t="shared" si="29"/>
      </c>
      <c r="B628" s="4"/>
      <c r="C628" s="4"/>
      <c r="D628" s="4"/>
      <c r="E628" s="4"/>
      <c r="F628" s="24"/>
      <c r="G628" s="8"/>
      <c r="H628" s="9"/>
      <c r="I628" s="8"/>
      <c r="J628" s="10"/>
      <c r="K628" s="8"/>
      <c r="L628" s="8"/>
      <c r="M628" s="8"/>
      <c r="N628" s="11"/>
      <c r="O628" s="9"/>
      <c r="P628" s="12"/>
      <c r="Q628" s="9"/>
      <c r="R628" s="13"/>
      <c r="S628" s="11"/>
      <c r="T628" s="11"/>
      <c r="U628" s="9"/>
      <c r="V628" s="9"/>
      <c r="W628" s="9"/>
      <c r="X628" s="16"/>
      <c r="AF628" s="42">
        <f>IF(BUSCAR!$C$8="FECHA NAC.",$G628,IF(BUSCAR!$C$8="PASAPORTE EXPIRA",$J628,IF(BUSCAR!$C$8="LICENCIA EMISION",$L628,IF(BUSCAR!$C$8="LICENCIA EXPIRA",$M628,""))))</f>
      </c>
      <c r="AG628" s="42">
        <f>IF($B628&amp;$C628&amp;$D628&amp;$E628&amp;$H628="",0,IF(AND(OR(BUSCAR!$J$5="",ISNUMBER(SEARCH(BUSCAR!$J$5,$AI628))),OR(BUSCAR!$J$6="",ISNUMBER(SEARCH(BUSCAR!$J$6,$AI628))),OR(BUSCAR!$J$8="",ISNUMBER(SEARCH(BUSCAR!$J$8,$AI628))),OR(BUSCAR!$J$9="",ISNUMBER(SEARCH(BUSCAR!$J$9,$AI628))),OR(NOT(BUSCAR!$J$2),AND(ISNUMBER($AF628),$AF628&gt;=BUSCAR!$J$3,$AF628&lt;=BUSCAR!$J$4))),1,0))</f>
      </c>
      <c r="AH628" s="42">
        <f t="shared" si="27"/>
      </c>
      <c r="AI628" s="42">
        <f t="shared" si="28"/>
      </c>
    </row>
    <row r="629" spans="1:35" x14ac:dyDescent="0.2">
      <c r="A629" s="66">
        <f t="shared" si="29"/>
      </c>
      <c r="B629" s="4"/>
      <c r="C629" s="4"/>
      <c r="D629" s="4"/>
      <c r="E629" s="4"/>
      <c r="F629" s="24"/>
      <c r="G629" s="8"/>
      <c r="H629" s="9"/>
      <c r="I629" s="8"/>
      <c r="J629" s="10"/>
      <c r="K629" s="8"/>
      <c r="L629" s="8"/>
      <c r="M629" s="8"/>
      <c r="N629" s="11"/>
      <c r="O629" s="9"/>
      <c r="P629" s="12"/>
      <c r="Q629" s="9"/>
      <c r="R629" s="13"/>
      <c r="S629" s="11"/>
      <c r="T629" s="11"/>
      <c r="U629" s="9"/>
      <c r="V629" s="9"/>
      <c r="W629" s="9"/>
      <c r="X629" s="16"/>
      <c r="AF629" s="42">
        <f>IF(BUSCAR!$C$8="FECHA NAC.",$G629,IF(BUSCAR!$C$8="PASAPORTE EXPIRA",$J629,IF(BUSCAR!$C$8="LICENCIA EMISION",$L629,IF(BUSCAR!$C$8="LICENCIA EXPIRA",$M629,""))))</f>
      </c>
      <c r="AG629" s="42">
        <f>IF($B629&amp;$C629&amp;$D629&amp;$E629&amp;$H629="",0,IF(AND(OR(BUSCAR!$J$5="",ISNUMBER(SEARCH(BUSCAR!$J$5,$AI629))),OR(BUSCAR!$J$6="",ISNUMBER(SEARCH(BUSCAR!$J$6,$AI629))),OR(BUSCAR!$J$8="",ISNUMBER(SEARCH(BUSCAR!$J$8,$AI629))),OR(BUSCAR!$J$9="",ISNUMBER(SEARCH(BUSCAR!$J$9,$AI629))),OR(NOT(BUSCAR!$J$2),AND(ISNUMBER($AF629),$AF629&gt;=BUSCAR!$J$3,$AF629&lt;=BUSCAR!$J$4))),1,0))</f>
      </c>
      <c r="AH629" s="42">
        <f t="shared" si="27"/>
      </c>
      <c r="AI629" s="42">
        <f t="shared" si="28"/>
      </c>
    </row>
    <row r="630" spans="1:35" x14ac:dyDescent="0.2">
      <c r="A630" s="66">
        <f t="shared" si="29"/>
      </c>
      <c r="B630" s="4"/>
      <c r="C630" s="4"/>
      <c r="D630" s="4"/>
      <c r="E630" s="4"/>
      <c r="F630" s="24"/>
      <c r="G630" s="8"/>
      <c r="H630" s="9"/>
      <c r="I630" s="8"/>
      <c r="J630" s="10"/>
      <c r="K630" s="8"/>
      <c r="L630" s="8"/>
      <c r="M630" s="8"/>
      <c r="N630" s="11"/>
      <c r="O630" s="9"/>
      <c r="P630" s="12"/>
      <c r="Q630" s="9"/>
      <c r="R630" s="13"/>
      <c r="S630" s="11"/>
      <c r="T630" s="11"/>
      <c r="U630" s="9"/>
      <c r="V630" s="9"/>
      <c r="W630" s="9"/>
      <c r="X630" s="16"/>
      <c r="AF630" s="42">
        <f>IF(BUSCAR!$C$8="FECHA NAC.",$G630,IF(BUSCAR!$C$8="PASAPORTE EXPIRA",$J630,IF(BUSCAR!$C$8="LICENCIA EMISION",$L630,IF(BUSCAR!$C$8="LICENCIA EXPIRA",$M630,""))))</f>
      </c>
      <c r="AG630" s="42">
        <f>IF($B630&amp;$C630&amp;$D630&amp;$E630&amp;$H630="",0,IF(AND(OR(BUSCAR!$J$5="",ISNUMBER(SEARCH(BUSCAR!$J$5,$AI630))),OR(BUSCAR!$J$6="",ISNUMBER(SEARCH(BUSCAR!$J$6,$AI630))),OR(BUSCAR!$J$8="",ISNUMBER(SEARCH(BUSCAR!$J$8,$AI630))),OR(BUSCAR!$J$9="",ISNUMBER(SEARCH(BUSCAR!$J$9,$AI630))),OR(NOT(BUSCAR!$J$2),AND(ISNUMBER($AF630),$AF630&gt;=BUSCAR!$J$3,$AF630&lt;=BUSCAR!$J$4))),1,0))</f>
      </c>
      <c r="AH630" s="42">
        <f t="shared" si="27"/>
      </c>
      <c r="AI630" s="42">
        <f t="shared" si="28"/>
      </c>
    </row>
    <row r="631" spans="1:35" x14ac:dyDescent="0.2">
      <c r="A631" s="66">
        <f t="shared" si="29"/>
      </c>
      <c r="B631" s="4"/>
      <c r="C631" s="4"/>
      <c r="D631" s="4"/>
      <c r="E631" s="4"/>
      <c r="F631" s="24"/>
      <c r="G631" s="8"/>
      <c r="H631" s="9"/>
      <c r="I631" s="8"/>
      <c r="J631" s="10"/>
      <c r="K631" s="8"/>
      <c r="L631" s="8"/>
      <c r="M631" s="8"/>
      <c r="N631" s="11"/>
      <c r="O631" s="9"/>
      <c r="P631" s="12"/>
      <c r="Q631" s="9"/>
      <c r="R631" s="13"/>
      <c r="S631" s="11"/>
      <c r="T631" s="11"/>
      <c r="U631" s="9"/>
      <c r="V631" s="9"/>
      <c r="W631" s="9"/>
      <c r="X631" s="16"/>
      <c r="AF631" s="42">
        <f>IF(BUSCAR!$C$8="FECHA NAC.",$G631,IF(BUSCAR!$C$8="PASAPORTE EXPIRA",$J631,IF(BUSCAR!$C$8="LICENCIA EMISION",$L631,IF(BUSCAR!$C$8="LICENCIA EXPIRA",$M631,""))))</f>
      </c>
      <c r="AG631" s="42">
        <f>IF($B631&amp;$C631&amp;$D631&amp;$E631&amp;$H631="",0,IF(AND(OR(BUSCAR!$J$5="",ISNUMBER(SEARCH(BUSCAR!$J$5,$AI631))),OR(BUSCAR!$J$6="",ISNUMBER(SEARCH(BUSCAR!$J$6,$AI631))),OR(BUSCAR!$J$8="",ISNUMBER(SEARCH(BUSCAR!$J$8,$AI631))),OR(BUSCAR!$J$9="",ISNUMBER(SEARCH(BUSCAR!$J$9,$AI631))),OR(NOT(BUSCAR!$J$2),AND(ISNUMBER($AF631),$AF631&gt;=BUSCAR!$J$3,$AF631&lt;=BUSCAR!$J$4))),1,0))</f>
      </c>
      <c r="AH631" s="42">
        <f t="shared" si="27"/>
      </c>
      <c r="AI631" s="42">
        <f t="shared" si="28"/>
      </c>
    </row>
    <row r="632" spans="1:35" x14ac:dyDescent="0.2">
      <c r="A632" s="66">
        <f t="shared" si="29"/>
      </c>
      <c r="B632" s="4"/>
      <c r="C632" s="4"/>
      <c r="D632" s="4"/>
      <c r="E632" s="4"/>
      <c r="F632" s="24"/>
      <c r="G632" s="8"/>
      <c r="H632" s="9"/>
      <c r="I632" s="8"/>
      <c r="J632" s="10"/>
      <c r="K632" s="8"/>
      <c r="L632" s="8"/>
      <c r="M632" s="8"/>
      <c r="N632" s="11"/>
      <c r="O632" s="9"/>
      <c r="P632" s="12"/>
      <c r="Q632" s="9"/>
      <c r="R632" s="13"/>
      <c r="S632" s="11"/>
      <c r="T632" s="11"/>
      <c r="U632" s="9"/>
      <c r="V632" s="9"/>
      <c r="W632" s="9"/>
      <c r="X632" s="16"/>
      <c r="AF632" s="42">
        <f>IF(BUSCAR!$C$8="FECHA NAC.",$G632,IF(BUSCAR!$C$8="PASAPORTE EXPIRA",$J632,IF(BUSCAR!$C$8="LICENCIA EMISION",$L632,IF(BUSCAR!$C$8="LICENCIA EXPIRA",$M632,""))))</f>
      </c>
      <c r="AG632" s="42">
        <f>IF($B632&amp;$C632&amp;$D632&amp;$E632&amp;$H632="",0,IF(AND(OR(BUSCAR!$J$5="",ISNUMBER(SEARCH(BUSCAR!$J$5,$AI632))),OR(BUSCAR!$J$6="",ISNUMBER(SEARCH(BUSCAR!$J$6,$AI632))),OR(BUSCAR!$J$8="",ISNUMBER(SEARCH(BUSCAR!$J$8,$AI632))),OR(BUSCAR!$J$9="",ISNUMBER(SEARCH(BUSCAR!$J$9,$AI632))),OR(NOT(BUSCAR!$J$2),AND(ISNUMBER($AF632),$AF632&gt;=BUSCAR!$J$3,$AF632&lt;=BUSCAR!$J$4))),1,0))</f>
      </c>
      <c r="AH632" s="42">
        <f t="shared" si="27"/>
      </c>
      <c r="AI632" s="42">
        <f t="shared" si="28"/>
      </c>
    </row>
    <row r="633" spans="1:35" x14ac:dyDescent="0.2">
      <c r="A633" s="66">
        <f t="shared" si="29"/>
      </c>
      <c r="B633" s="4"/>
      <c r="C633" s="4"/>
      <c r="D633" s="4"/>
      <c r="E633" s="4"/>
      <c r="F633" s="24"/>
      <c r="G633" s="8"/>
      <c r="H633" s="9"/>
      <c r="I633" s="8"/>
      <c r="J633" s="10"/>
      <c r="K633" s="8"/>
      <c r="L633" s="8"/>
      <c r="M633" s="8"/>
      <c r="N633" s="11"/>
      <c r="O633" s="9"/>
      <c r="P633" s="12"/>
      <c r="Q633" s="9"/>
      <c r="R633" s="13"/>
      <c r="S633" s="11"/>
      <c r="T633" s="11"/>
      <c r="U633" s="9"/>
      <c r="V633" s="9"/>
      <c r="W633" s="9"/>
      <c r="X633" s="16"/>
      <c r="AF633" s="42">
        <f>IF(BUSCAR!$C$8="FECHA NAC.",$G633,IF(BUSCAR!$C$8="PASAPORTE EXPIRA",$J633,IF(BUSCAR!$C$8="LICENCIA EMISION",$L633,IF(BUSCAR!$C$8="LICENCIA EXPIRA",$M633,""))))</f>
      </c>
      <c r="AG633" s="42">
        <f>IF($B633&amp;$C633&amp;$D633&amp;$E633&amp;$H633="",0,IF(AND(OR(BUSCAR!$J$5="",ISNUMBER(SEARCH(BUSCAR!$J$5,$AI633))),OR(BUSCAR!$J$6="",ISNUMBER(SEARCH(BUSCAR!$J$6,$AI633))),OR(BUSCAR!$J$8="",ISNUMBER(SEARCH(BUSCAR!$J$8,$AI633))),OR(BUSCAR!$J$9="",ISNUMBER(SEARCH(BUSCAR!$J$9,$AI633))),OR(NOT(BUSCAR!$J$2),AND(ISNUMBER($AF633),$AF633&gt;=BUSCAR!$J$3,$AF633&lt;=BUSCAR!$J$4))),1,0))</f>
      </c>
      <c r="AH633" s="42">
        <f t="shared" si="27"/>
      </c>
      <c r="AI633" s="42">
        <f t="shared" si="28"/>
      </c>
    </row>
    <row r="634" spans="1:35" x14ac:dyDescent="0.2">
      <c r="A634" s="66">
        <f t="shared" si="29"/>
      </c>
      <c r="B634" s="4"/>
      <c r="C634" s="4"/>
      <c r="D634" s="4"/>
      <c r="E634" s="4"/>
      <c r="F634" s="24"/>
      <c r="G634" s="8"/>
      <c r="H634" s="9"/>
      <c r="I634" s="8"/>
      <c r="J634" s="10"/>
      <c r="K634" s="8"/>
      <c r="L634" s="8"/>
      <c r="M634" s="8"/>
      <c r="N634" s="11"/>
      <c r="O634" s="9"/>
      <c r="P634" s="12"/>
      <c r="Q634" s="9"/>
      <c r="R634" s="13"/>
      <c r="S634" s="11"/>
      <c r="T634" s="11"/>
      <c r="U634" s="9"/>
      <c r="V634" s="9"/>
      <c r="W634" s="9"/>
      <c r="X634" s="16"/>
      <c r="AF634" s="42">
        <f>IF(BUSCAR!$C$8="FECHA NAC.",$G634,IF(BUSCAR!$C$8="PASAPORTE EXPIRA",$J634,IF(BUSCAR!$C$8="LICENCIA EMISION",$L634,IF(BUSCAR!$C$8="LICENCIA EXPIRA",$M634,""))))</f>
      </c>
      <c r="AG634" s="42">
        <f>IF($B634&amp;$C634&amp;$D634&amp;$E634&amp;$H634="",0,IF(AND(OR(BUSCAR!$J$5="",ISNUMBER(SEARCH(BUSCAR!$J$5,$AI634))),OR(BUSCAR!$J$6="",ISNUMBER(SEARCH(BUSCAR!$J$6,$AI634))),OR(BUSCAR!$J$8="",ISNUMBER(SEARCH(BUSCAR!$J$8,$AI634))),OR(BUSCAR!$J$9="",ISNUMBER(SEARCH(BUSCAR!$J$9,$AI634))),OR(NOT(BUSCAR!$J$2),AND(ISNUMBER($AF634),$AF634&gt;=BUSCAR!$J$3,$AF634&lt;=BUSCAR!$J$4))),1,0))</f>
      </c>
      <c r="AH634" s="42">
        <f t="shared" si="27"/>
      </c>
      <c r="AI634" s="42">
        <f t="shared" si="28"/>
      </c>
    </row>
    <row r="635" spans="1:35" x14ac:dyDescent="0.2">
      <c r="A635" s="66">
        <f t="shared" si="29"/>
      </c>
      <c r="B635" s="4"/>
      <c r="C635" s="4"/>
      <c r="D635" s="4"/>
      <c r="E635" s="4"/>
      <c r="F635" s="24"/>
      <c r="G635" s="8"/>
      <c r="H635" s="9"/>
      <c r="I635" s="8"/>
      <c r="J635" s="10"/>
      <c r="K635" s="8"/>
      <c r="L635" s="8"/>
      <c r="M635" s="8"/>
      <c r="N635" s="11"/>
      <c r="O635" s="9"/>
      <c r="P635" s="12"/>
      <c r="Q635" s="9"/>
      <c r="R635" s="13"/>
      <c r="S635" s="11"/>
      <c r="T635" s="11"/>
      <c r="U635" s="9"/>
      <c r="V635" s="9"/>
      <c r="W635" s="9"/>
      <c r="X635" s="16"/>
      <c r="AF635" s="42">
        <f>IF(BUSCAR!$C$8="FECHA NAC.",$G635,IF(BUSCAR!$C$8="PASAPORTE EXPIRA",$J635,IF(BUSCAR!$C$8="LICENCIA EMISION",$L635,IF(BUSCAR!$C$8="LICENCIA EXPIRA",$M635,""))))</f>
      </c>
      <c r="AG635" s="42">
        <f>IF($B635&amp;$C635&amp;$D635&amp;$E635&amp;$H635="",0,IF(AND(OR(BUSCAR!$J$5="",ISNUMBER(SEARCH(BUSCAR!$J$5,$AI635))),OR(BUSCAR!$J$6="",ISNUMBER(SEARCH(BUSCAR!$J$6,$AI635))),OR(BUSCAR!$J$8="",ISNUMBER(SEARCH(BUSCAR!$J$8,$AI635))),OR(BUSCAR!$J$9="",ISNUMBER(SEARCH(BUSCAR!$J$9,$AI635))),OR(NOT(BUSCAR!$J$2),AND(ISNUMBER($AF635),$AF635&gt;=BUSCAR!$J$3,$AF635&lt;=BUSCAR!$J$4))),1,0))</f>
      </c>
      <c r="AH635" s="42">
        <f t="shared" si="27"/>
      </c>
      <c r="AI635" s="42">
        <f t="shared" si="28"/>
      </c>
    </row>
    <row r="636" spans="1:35" x14ac:dyDescent="0.2">
      <c r="A636" s="66">
        <f t="shared" si="29"/>
      </c>
      <c r="B636" s="4"/>
      <c r="C636" s="4"/>
      <c r="D636" s="4"/>
      <c r="E636" s="4"/>
      <c r="F636" s="24"/>
      <c r="G636" s="8"/>
      <c r="H636" s="9"/>
      <c r="I636" s="8"/>
      <c r="J636" s="10"/>
      <c r="K636" s="8"/>
      <c r="L636" s="8"/>
      <c r="M636" s="8"/>
      <c r="N636" s="11"/>
      <c r="O636" s="9"/>
      <c r="P636" s="12"/>
      <c r="Q636" s="9"/>
      <c r="R636" s="13"/>
      <c r="S636" s="11"/>
      <c r="T636" s="11"/>
      <c r="U636" s="9"/>
      <c r="V636" s="9"/>
      <c r="W636" s="9"/>
      <c r="X636" s="16"/>
      <c r="AF636" s="42">
        <f>IF(BUSCAR!$C$8="FECHA NAC.",$G636,IF(BUSCAR!$C$8="PASAPORTE EXPIRA",$J636,IF(BUSCAR!$C$8="LICENCIA EMISION",$L636,IF(BUSCAR!$C$8="LICENCIA EXPIRA",$M636,""))))</f>
      </c>
      <c r="AG636" s="42">
        <f>IF($B636&amp;$C636&amp;$D636&amp;$E636&amp;$H636="",0,IF(AND(OR(BUSCAR!$J$5="",ISNUMBER(SEARCH(BUSCAR!$J$5,$AI636))),OR(BUSCAR!$J$6="",ISNUMBER(SEARCH(BUSCAR!$J$6,$AI636))),OR(BUSCAR!$J$8="",ISNUMBER(SEARCH(BUSCAR!$J$8,$AI636))),OR(BUSCAR!$J$9="",ISNUMBER(SEARCH(BUSCAR!$J$9,$AI636))),OR(NOT(BUSCAR!$J$2),AND(ISNUMBER($AF636),$AF636&gt;=BUSCAR!$J$3,$AF636&lt;=BUSCAR!$J$4))),1,0))</f>
      </c>
      <c r="AH636" s="42">
        <f t="shared" si="27"/>
      </c>
      <c r="AI636" s="42">
        <f t="shared" si="28"/>
      </c>
    </row>
    <row r="637" spans="1:35" x14ac:dyDescent="0.2">
      <c r="A637" s="66">
        <f t="shared" si="29"/>
      </c>
      <c r="B637" s="4"/>
      <c r="C637" s="4"/>
      <c r="D637" s="4"/>
      <c r="E637" s="4"/>
      <c r="F637" s="24"/>
      <c r="G637" s="8"/>
      <c r="H637" s="9"/>
      <c r="I637" s="8"/>
      <c r="J637" s="10"/>
      <c r="K637" s="8"/>
      <c r="L637" s="8"/>
      <c r="M637" s="8"/>
      <c r="N637" s="11"/>
      <c r="O637" s="9"/>
      <c r="P637" s="12"/>
      <c r="Q637" s="9"/>
      <c r="R637" s="13"/>
      <c r="S637" s="11"/>
      <c r="T637" s="11"/>
      <c r="U637" s="9"/>
      <c r="V637" s="9"/>
      <c r="W637" s="9"/>
      <c r="X637" s="16"/>
      <c r="AF637" s="42">
        <f>IF(BUSCAR!$C$8="FECHA NAC.",$G637,IF(BUSCAR!$C$8="PASAPORTE EXPIRA",$J637,IF(BUSCAR!$C$8="LICENCIA EMISION",$L637,IF(BUSCAR!$C$8="LICENCIA EXPIRA",$M637,""))))</f>
      </c>
      <c r="AG637" s="42">
        <f>IF($B637&amp;$C637&amp;$D637&amp;$E637&amp;$H637="",0,IF(AND(OR(BUSCAR!$J$5="",ISNUMBER(SEARCH(BUSCAR!$J$5,$AI637))),OR(BUSCAR!$J$6="",ISNUMBER(SEARCH(BUSCAR!$J$6,$AI637))),OR(BUSCAR!$J$8="",ISNUMBER(SEARCH(BUSCAR!$J$8,$AI637))),OR(BUSCAR!$J$9="",ISNUMBER(SEARCH(BUSCAR!$J$9,$AI637))),OR(NOT(BUSCAR!$J$2),AND(ISNUMBER($AF637),$AF637&gt;=BUSCAR!$J$3,$AF637&lt;=BUSCAR!$J$4))),1,0))</f>
      </c>
      <c r="AH637" s="42">
        <f t="shared" si="27"/>
      </c>
      <c r="AI637" s="42">
        <f t="shared" si="28"/>
      </c>
    </row>
    <row r="638" spans="1:35" x14ac:dyDescent="0.2">
      <c r="A638" s="66">
        <f t="shared" si="29"/>
      </c>
      <c r="B638" s="4"/>
      <c r="C638" s="4"/>
      <c r="D638" s="4"/>
      <c r="E638" s="4"/>
      <c r="F638" s="24"/>
      <c r="G638" s="8"/>
      <c r="H638" s="9"/>
      <c r="I638" s="8"/>
      <c r="J638" s="10"/>
      <c r="K638" s="8"/>
      <c r="L638" s="8"/>
      <c r="M638" s="8"/>
      <c r="N638" s="11"/>
      <c r="O638" s="9"/>
      <c r="P638" s="12"/>
      <c r="Q638" s="9"/>
      <c r="R638" s="13"/>
      <c r="S638" s="11"/>
      <c r="T638" s="11"/>
      <c r="U638" s="9"/>
      <c r="V638" s="9"/>
      <c r="W638" s="9"/>
      <c r="X638" s="16"/>
      <c r="AF638" s="42">
        <f>IF(BUSCAR!$C$8="FECHA NAC.",$G638,IF(BUSCAR!$C$8="PASAPORTE EXPIRA",$J638,IF(BUSCAR!$C$8="LICENCIA EMISION",$L638,IF(BUSCAR!$C$8="LICENCIA EXPIRA",$M638,""))))</f>
      </c>
      <c r="AG638" s="42">
        <f>IF($B638&amp;$C638&amp;$D638&amp;$E638&amp;$H638="",0,IF(AND(OR(BUSCAR!$J$5="",ISNUMBER(SEARCH(BUSCAR!$J$5,$AI638))),OR(BUSCAR!$J$6="",ISNUMBER(SEARCH(BUSCAR!$J$6,$AI638))),OR(BUSCAR!$J$8="",ISNUMBER(SEARCH(BUSCAR!$J$8,$AI638))),OR(BUSCAR!$J$9="",ISNUMBER(SEARCH(BUSCAR!$J$9,$AI638))),OR(NOT(BUSCAR!$J$2),AND(ISNUMBER($AF638),$AF638&gt;=BUSCAR!$J$3,$AF638&lt;=BUSCAR!$J$4))),1,0))</f>
      </c>
      <c r="AH638" s="42">
        <f t="shared" si="27"/>
      </c>
      <c r="AI638" s="42">
        <f t="shared" si="28"/>
      </c>
    </row>
    <row r="639" spans="1:35" x14ac:dyDescent="0.2">
      <c r="A639" s="66">
        <f t="shared" si="29"/>
      </c>
      <c r="B639" s="4"/>
      <c r="C639" s="4"/>
      <c r="D639" s="4"/>
      <c r="E639" s="4"/>
      <c r="F639" s="24"/>
      <c r="G639" s="8"/>
      <c r="H639" s="9"/>
      <c r="I639" s="8"/>
      <c r="J639" s="10"/>
      <c r="K639" s="8"/>
      <c r="L639" s="8"/>
      <c r="M639" s="8"/>
      <c r="N639" s="11"/>
      <c r="O639" s="9"/>
      <c r="P639" s="12"/>
      <c r="Q639" s="9"/>
      <c r="R639" s="13"/>
      <c r="S639" s="11"/>
      <c r="T639" s="11"/>
      <c r="U639" s="9"/>
      <c r="V639" s="9"/>
      <c r="W639" s="9"/>
      <c r="X639" s="16"/>
      <c r="AF639" s="42">
        <f>IF(BUSCAR!$C$8="FECHA NAC.",$G639,IF(BUSCAR!$C$8="PASAPORTE EXPIRA",$J639,IF(BUSCAR!$C$8="LICENCIA EMISION",$L639,IF(BUSCAR!$C$8="LICENCIA EXPIRA",$M639,""))))</f>
      </c>
      <c r="AG639" s="42">
        <f>IF($B639&amp;$C639&amp;$D639&amp;$E639&amp;$H639="",0,IF(AND(OR(BUSCAR!$J$5="",ISNUMBER(SEARCH(BUSCAR!$J$5,$AI639))),OR(BUSCAR!$J$6="",ISNUMBER(SEARCH(BUSCAR!$J$6,$AI639))),OR(BUSCAR!$J$8="",ISNUMBER(SEARCH(BUSCAR!$J$8,$AI639))),OR(BUSCAR!$J$9="",ISNUMBER(SEARCH(BUSCAR!$J$9,$AI639))),OR(NOT(BUSCAR!$J$2),AND(ISNUMBER($AF639),$AF639&gt;=BUSCAR!$J$3,$AF639&lt;=BUSCAR!$J$4))),1,0))</f>
      </c>
      <c r="AH639" s="42">
        <f t="shared" si="27"/>
      </c>
      <c r="AI639" s="42">
        <f t="shared" si="28"/>
      </c>
    </row>
    <row r="640" spans="1:35" x14ac:dyDescent="0.2">
      <c r="A640" s="66">
        <f t="shared" si="29"/>
      </c>
      <c r="B640" s="4"/>
      <c r="C640" s="4"/>
      <c r="D640" s="4"/>
      <c r="E640" s="4"/>
      <c r="F640" s="24"/>
      <c r="G640" s="8"/>
      <c r="H640" s="9"/>
      <c r="I640" s="8"/>
      <c r="J640" s="10"/>
      <c r="K640" s="8"/>
      <c r="L640" s="8"/>
      <c r="M640" s="8"/>
      <c r="N640" s="11"/>
      <c r="O640" s="9"/>
      <c r="P640" s="12"/>
      <c r="Q640" s="9"/>
      <c r="R640" s="13"/>
      <c r="S640" s="11"/>
      <c r="T640" s="11"/>
      <c r="U640" s="9"/>
      <c r="V640" s="9"/>
      <c r="W640" s="9"/>
      <c r="X640" s="16"/>
      <c r="AF640" s="42">
        <f>IF(BUSCAR!$C$8="FECHA NAC.",$G640,IF(BUSCAR!$C$8="PASAPORTE EXPIRA",$J640,IF(BUSCAR!$C$8="LICENCIA EMISION",$L640,IF(BUSCAR!$C$8="LICENCIA EXPIRA",$M640,""))))</f>
      </c>
      <c r="AG640" s="42">
        <f>IF($B640&amp;$C640&amp;$D640&amp;$E640&amp;$H640="",0,IF(AND(OR(BUSCAR!$J$5="",ISNUMBER(SEARCH(BUSCAR!$J$5,$AI640))),OR(BUSCAR!$J$6="",ISNUMBER(SEARCH(BUSCAR!$J$6,$AI640))),OR(BUSCAR!$J$8="",ISNUMBER(SEARCH(BUSCAR!$J$8,$AI640))),OR(BUSCAR!$J$9="",ISNUMBER(SEARCH(BUSCAR!$J$9,$AI640))),OR(NOT(BUSCAR!$J$2),AND(ISNUMBER($AF640),$AF640&gt;=BUSCAR!$J$3,$AF640&lt;=BUSCAR!$J$4))),1,0))</f>
      </c>
      <c r="AH640" s="42">
        <f t="shared" si="27"/>
      </c>
      <c r="AI640" s="42">
        <f t="shared" si="28"/>
      </c>
    </row>
    <row r="641" spans="1:35" x14ac:dyDescent="0.2">
      <c r="A641" s="66">
        <f t="shared" si="29"/>
      </c>
      <c r="B641" s="4"/>
      <c r="C641" s="4"/>
      <c r="D641" s="4"/>
      <c r="E641" s="4"/>
      <c r="F641" s="24"/>
      <c r="G641" s="8"/>
      <c r="H641" s="9"/>
      <c r="I641" s="8"/>
      <c r="J641" s="10"/>
      <c r="K641" s="8"/>
      <c r="L641" s="8"/>
      <c r="M641" s="8"/>
      <c r="N641" s="11"/>
      <c r="O641" s="9"/>
      <c r="P641" s="12"/>
      <c r="Q641" s="9"/>
      <c r="R641" s="13"/>
      <c r="S641" s="11"/>
      <c r="T641" s="11"/>
      <c r="U641" s="9"/>
      <c r="V641" s="9"/>
      <c r="W641" s="9"/>
      <c r="X641" s="16"/>
      <c r="AF641" s="42">
        <f>IF(BUSCAR!$C$8="FECHA NAC.",$G641,IF(BUSCAR!$C$8="PASAPORTE EXPIRA",$J641,IF(BUSCAR!$C$8="LICENCIA EMISION",$L641,IF(BUSCAR!$C$8="LICENCIA EXPIRA",$M641,""))))</f>
      </c>
      <c r="AG641" s="42">
        <f>IF($B641&amp;$C641&amp;$D641&amp;$E641&amp;$H641="",0,IF(AND(OR(BUSCAR!$J$5="",ISNUMBER(SEARCH(BUSCAR!$J$5,$AI641))),OR(BUSCAR!$J$6="",ISNUMBER(SEARCH(BUSCAR!$J$6,$AI641))),OR(BUSCAR!$J$8="",ISNUMBER(SEARCH(BUSCAR!$J$8,$AI641))),OR(BUSCAR!$J$9="",ISNUMBER(SEARCH(BUSCAR!$J$9,$AI641))),OR(NOT(BUSCAR!$J$2),AND(ISNUMBER($AF641),$AF641&gt;=BUSCAR!$J$3,$AF641&lt;=BUSCAR!$J$4))),1,0))</f>
      </c>
      <c r="AH641" s="42">
        <f t="shared" si="27"/>
      </c>
      <c r="AI641" s="42">
        <f t="shared" si="28"/>
      </c>
    </row>
    <row r="642" spans="1:35" x14ac:dyDescent="0.2">
      <c r="A642" s="66">
        <f t="shared" si="29"/>
      </c>
      <c r="B642" s="4"/>
      <c r="C642" s="4"/>
      <c r="D642" s="4"/>
      <c r="E642" s="4"/>
      <c r="F642" s="24"/>
      <c r="G642" s="8"/>
      <c r="H642" s="9"/>
      <c r="I642" s="8"/>
      <c r="J642" s="10"/>
      <c r="K642" s="8"/>
      <c r="L642" s="8"/>
      <c r="M642" s="8"/>
      <c r="N642" s="11"/>
      <c r="O642" s="9"/>
      <c r="P642" s="12"/>
      <c r="Q642" s="9"/>
      <c r="R642" s="13"/>
      <c r="S642" s="11"/>
      <c r="T642" s="11"/>
      <c r="U642" s="9"/>
      <c r="V642" s="9"/>
      <c r="W642" s="9"/>
      <c r="X642" s="16"/>
      <c r="AF642" s="42">
        <f>IF(BUSCAR!$C$8="FECHA NAC.",$G642,IF(BUSCAR!$C$8="PASAPORTE EXPIRA",$J642,IF(BUSCAR!$C$8="LICENCIA EMISION",$L642,IF(BUSCAR!$C$8="LICENCIA EXPIRA",$M642,""))))</f>
      </c>
      <c r="AG642" s="42">
        <f>IF($B642&amp;$C642&amp;$D642&amp;$E642&amp;$H642="",0,IF(AND(OR(BUSCAR!$J$5="",ISNUMBER(SEARCH(BUSCAR!$J$5,$AI642))),OR(BUSCAR!$J$6="",ISNUMBER(SEARCH(BUSCAR!$J$6,$AI642))),OR(BUSCAR!$J$8="",ISNUMBER(SEARCH(BUSCAR!$J$8,$AI642))),OR(BUSCAR!$J$9="",ISNUMBER(SEARCH(BUSCAR!$J$9,$AI642))),OR(NOT(BUSCAR!$J$2),AND(ISNUMBER($AF642),$AF642&gt;=BUSCAR!$J$3,$AF642&lt;=BUSCAR!$J$4))),1,0))</f>
      </c>
      <c r="AH642" s="42">
        <f t="shared" si="27"/>
      </c>
      <c r="AI642" s="42">
        <f t="shared" si="28"/>
      </c>
    </row>
    <row r="643" spans="1:35" x14ac:dyDescent="0.2">
      <c r="A643" s="66">
        <f t="shared" si="29"/>
      </c>
      <c r="B643" s="4"/>
      <c r="C643" s="4"/>
      <c r="D643" s="4"/>
      <c r="E643" s="4"/>
      <c r="F643" s="24"/>
      <c r="G643" s="8"/>
      <c r="H643" s="9"/>
      <c r="I643" s="8"/>
      <c r="J643" s="10"/>
      <c r="K643" s="8"/>
      <c r="L643" s="8"/>
      <c r="M643" s="8"/>
      <c r="N643" s="11"/>
      <c r="O643" s="9"/>
      <c r="P643" s="12"/>
      <c r="Q643" s="9"/>
      <c r="R643" s="13"/>
      <c r="S643" s="11"/>
      <c r="T643" s="11"/>
      <c r="U643" s="9"/>
      <c r="V643" s="9"/>
      <c r="W643" s="9"/>
      <c r="X643" s="16"/>
      <c r="AF643" s="42">
        <f>IF(BUSCAR!$C$8="FECHA NAC.",$G643,IF(BUSCAR!$C$8="PASAPORTE EXPIRA",$J643,IF(BUSCAR!$C$8="LICENCIA EMISION",$L643,IF(BUSCAR!$C$8="LICENCIA EXPIRA",$M643,""))))</f>
      </c>
      <c r="AG643" s="42">
        <f>IF($B643&amp;$C643&amp;$D643&amp;$E643&amp;$H643="",0,IF(AND(OR(BUSCAR!$J$5="",ISNUMBER(SEARCH(BUSCAR!$J$5,$AI643))),OR(BUSCAR!$J$6="",ISNUMBER(SEARCH(BUSCAR!$J$6,$AI643))),OR(BUSCAR!$J$8="",ISNUMBER(SEARCH(BUSCAR!$J$8,$AI643))),OR(BUSCAR!$J$9="",ISNUMBER(SEARCH(BUSCAR!$J$9,$AI643))),OR(NOT(BUSCAR!$J$2),AND(ISNUMBER($AF643),$AF643&gt;=BUSCAR!$J$3,$AF643&lt;=BUSCAR!$J$4))),1,0))</f>
      </c>
      <c r="AH643" s="42">
        <f t="shared" ref="AH643:AH706" si="30">AH642+AG643</f>
      </c>
      <c r="AI643" s="42">
        <f t="shared" ref="AI643:AI706" si="31">IF($B643&amp;" "&amp;$C643&amp;" "&amp;$D643&amp;" "&amp;$E643&amp;" "&amp;$H643&amp;" "&amp;$K643&amp;" "&amp;$R643&amp;" "&amp;$AC643&amp;" "&amp;$AD643="","",SUBSTITUTE(SUBSTITUTE(SUBSTITUTE(SUBSTITUTE(SUBSTITUTE(SUBSTITUTE(SUBSTITUTE(UPPER($B643&amp;" "&amp;$C643&amp;" "&amp;$D643&amp;" "&amp;$E643&amp;" "&amp;$H643&amp;" "&amp;$K643&amp;" "&amp;$R643&amp;" "&amp;$AC643&amp;" "&amp;$AD643),"Á","A"),"É","E"),"Í","I"),"Ó","O"),"Ú","U"),"Ü","U"),"Ñ","N"))</f>
      </c>
    </row>
    <row r="644" spans="1:35" x14ac:dyDescent="0.2">
      <c r="A644" s="66">
        <f t="shared" ref="A644:A707" si="32">A643+1</f>
      </c>
      <c r="B644" s="4"/>
      <c r="C644" s="4"/>
      <c r="D644" s="4"/>
      <c r="E644" s="4"/>
      <c r="F644" s="24"/>
      <c r="G644" s="8"/>
      <c r="H644" s="9"/>
      <c r="I644" s="8"/>
      <c r="J644" s="10"/>
      <c r="K644" s="8"/>
      <c r="L644" s="8"/>
      <c r="M644" s="8"/>
      <c r="N644" s="11"/>
      <c r="O644" s="9"/>
      <c r="P644" s="12"/>
      <c r="Q644" s="9"/>
      <c r="R644" s="13"/>
      <c r="S644" s="11"/>
      <c r="T644" s="11"/>
      <c r="U644" s="9"/>
      <c r="V644" s="9"/>
      <c r="W644" s="9"/>
      <c r="X644" s="16"/>
      <c r="AF644" s="42">
        <f>IF(BUSCAR!$C$8="FECHA NAC.",$G644,IF(BUSCAR!$C$8="PASAPORTE EXPIRA",$J644,IF(BUSCAR!$C$8="LICENCIA EMISION",$L644,IF(BUSCAR!$C$8="LICENCIA EXPIRA",$M644,""))))</f>
      </c>
      <c r="AG644" s="42">
        <f>IF($B644&amp;$C644&amp;$D644&amp;$E644&amp;$H644="",0,IF(AND(OR(BUSCAR!$J$5="",ISNUMBER(SEARCH(BUSCAR!$J$5,$AI644))),OR(BUSCAR!$J$6="",ISNUMBER(SEARCH(BUSCAR!$J$6,$AI644))),OR(BUSCAR!$J$8="",ISNUMBER(SEARCH(BUSCAR!$J$8,$AI644))),OR(BUSCAR!$J$9="",ISNUMBER(SEARCH(BUSCAR!$J$9,$AI644))),OR(NOT(BUSCAR!$J$2),AND(ISNUMBER($AF644),$AF644&gt;=BUSCAR!$J$3,$AF644&lt;=BUSCAR!$J$4))),1,0))</f>
      </c>
      <c r="AH644" s="42">
        <f t="shared" si="30"/>
      </c>
      <c r="AI644" s="42">
        <f t="shared" si="31"/>
      </c>
    </row>
    <row r="645" spans="1:35" x14ac:dyDescent="0.2">
      <c r="A645" s="66">
        <f t="shared" si="32"/>
      </c>
      <c r="B645" s="4"/>
      <c r="C645" s="4"/>
      <c r="D645" s="4"/>
      <c r="E645" s="4"/>
      <c r="F645" s="24"/>
      <c r="G645" s="8"/>
      <c r="H645" s="9"/>
      <c r="I645" s="8"/>
      <c r="J645" s="10"/>
      <c r="K645" s="8"/>
      <c r="L645" s="8"/>
      <c r="M645" s="8"/>
      <c r="N645" s="11"/>
      <c r="O645" s="9"/>
      <c r="P645" s="12"/>
      <c r="Q645" s="9"/>
      <c r="R645" s="13"/>
      <c r="S645" s="11"/>
      <c r="T645" s="11"/>
      <c r="U645" s="9"/>
      <c r="V645" s="9"/>
      <c r="W645" s="9"/>
      <c r="X645" s="16"/>
      <c r="AF645" s="42">
        <f>IF(BUSCAR!$C$8="FECHA NAC.",$G645,IF(BUSCAR!$C$8="PASAPORTE EXPIRA",$J645,IF(BUSCAR!$C$8="LICENCIA EMISION",$L645,IF(BUSCAR!$C$8="LICENCIA EXPIRA",$M645,""))))</f>
      </c>
      <c r="AG645" s="42">
        <f>IF($B645&amp;$C645&amp;$D645&amp;$E645&amp;$H645="",0,IF(AND(OR(BUSCAR!$J$5="",ISNUMBER(SEARCH(BUSCAR!$J$5,$AI645))),OR(BUSCAR!$J$6="",ISNUMBER(SEARCH(BUSCAR!$J$6,$AI645))),OR(BUSCAR!$J$8="",ISNUMBER(SEARCH(BUSCAR!$J$8,$AI645))),OR(BUSCAR!$J$9="",ISNUMBER(SEARCH(BUSCAR!$J$9,$AI645))),OR(NOT(BUSCAR!$J$2),AND(ISNUMBER($AF645),$AF645&gt;=BUSCAR!$J$3,$AF645&lt;=BUSCAR!$J$4))),1,0))</f>
      </c>
      <c r="AH645" s="42">
        <f t="shared" si="30"/>
      </c>
      <c r="AI645" s="42">
        <f t="shared" si="31"/>
      </c>
    </row>
    <row r="646" spans="1:35" x14ac:dyDescent="0.2">
      <c r="A646" s="66">
        <f t="shared" si="32"/>
      </c>
      <c r="B646" s="4"/>
      <c r="C646" s="4"/>
      <c r="D646" s="4"/>
      <c r="E646" s="4"/>
      <c r="F646" s="24"/>
      <c r="G646" s="8"/>
      <c r="H646" s="9"/>
      <c r="I646" s="8"/>
      <c r="J646" s="10"/>
      <c r="K646" s="8"/>
      <c r="L646" s="8"/>
      <c r="M646" s="8"/>
      <c r="N646" s="11"/>
      <c r="O646" s="9"/>
      <c r="P646" s="12"/>
      <c r="Q646" s="9"/>
      <c r="R646" s="13"/>
      <c r="S646" s="11"/>
      <c r="T646" s="11"/>
      <c r="U646" s="9"/>
      <c r="V646" s="9"/>
      <c r="W646" s="9"/>
      <c r="X646" s="16"/>
      <c r="AF646" s="42">
        <f>IF(BUSCAR!$C$8="FECHA NAC.",$G646,IF(BUSCAR!$C$8="PASAPORTE EXPIRA",$J646,IF(BUSCAR!$C$8="LICENCIA EMISION",$L646,IF(BUSCAR!$C$8="LICENCIA EXPIRA",$M646,""))))</f>
      </c>
      <c r="AG646" s="42">
        <f>IF($B646&amp;$C646&amp;$D646&amp;$E646&amp;$H646="",0,IF(AND(OR(BUSCAR!$J$5="",ISNUMBER(SEARCH(BUSCAR!$J$5,$AI646))),OR(BUSCAR!$J$6="",ISNUMBER(SEARCH(BUSCAR!$J$6,$AI646))),OR(BUSCAR!$J$8="",ISNUMBER(SEARCH(BUSCAR!$J$8,$AI646))),OR(BUSCAR!$J$9="",ISNUMBER(SEARCH(BUSCAR!$J$9,$AI646))),OR(NOT(BUSCAR!$J$2),AND(ISNUMBER($AF646),$AF646&gt;=BUSCAR!$J$3,$AF646&lt;=BUSCAR!$J$4))),1,0))</f>
      </c>
      <c r="AH646" s="42">
        <f t="shared" si="30"/>
      </c>
      <c r="AI646" s="42">
        <f t="shared" si="31"/>
      </c>
    </row>
    <row r="647" spans="1:35" x14ac:dyDescent="0.2">
      <c r="A647" s="66">
        <f t="shared" si="32"/>
      </c>
      <c r="B647" s="4"/>
      <c r="C647" s="4"/>
      <c r="D647" s="4"/>
      <c r="E647" s="4"/>
      <c r="F647" s="24"/>
      <c r="G647" s="8"/>
      <c r="H647" s="9"/>
      <c r="I647" s="8"/>
      <c r="J647" s="10"/>
      <c r="K647" s="8"/>
      <c r="L647" s="8"/>
      <c r="M647" s="8"/>
      <c r="N647" s="11"/>
      <c r="O647" s="9"/>
      <c r="P647" s="12"/>
      <c r="Q647" s="9"/>
      <c r="R647" s="13"/>
      <c r="S647" s="11"/>
      <c r="T647" s="11"/>
      <c r="U647" s="9"/>
      <c r="V647" s="9"/>
      <c r="W647" s="9"/>
      <c r="X647" s="16"/>
      <c r="AF647" s="42">
        <f>IF(BUSCAR!$C$8="FECHA NAC.",$G647,IF(BUSCAR!$C$8="PASAPORTE EXPIRA",$J647,IF(BUSCAR!$C$8="LICENCIA EMISION",$L647,IF(BUSCAR!$C$8="LICENCIA EXPIRA",$M647,""))))</f>
      </c>
      <c r="AG647" s="42">
        <f>IF($B647&amp;$C647&amp;$D647&amp;$E647&amp;$H647="",0,IF(AND(OR(BUSCAR!$J$5="",ISNUMBER(SEARCH(BUSCAR!$J$5,$AI647))),OR(BUSCAR!$J$6="",ISNUMBER(SEARCH(BUSCAR!$J$6,$AI647))),OR(BUSCAR!$J$8="",ISNUMBER(SEARCH(BUSCAR!$J$8,$AI647))),OR(BUSCAR!$J$9="",ISNUMBER(SEARCH(BUSCAR!$J$9,$AI647))),OR(NOT(BUSCAR!$J$2),AND(ISNUMBER($AF647),$AF647&gt;=BUSCAR!$J$3,$AF647&lt;=BUSCAR!$J$4))),1,0))</f>
      </c>
      <c r="AH647" s="42">
        <f t="shared" si="30"/>
      </c>
      <c r="AI647" s="42">
        <f t="shared" si="31"/>
      </c>
    </row>
    <row r="648" spans="1:35" x14ac:dyDescent="0.2">
      <c r="A648" s="66">
        <f t="shared" si="32"/>
      </c>
      <c r="B648" s="4"/>
      <c r="C648" s="4"/>
      <c r="D648" s="4"/>
      <c r="E648" s="4"/>
      <c r="F648" s="24"/>
      <c r="G648" s="8"/>
      <c r="H648" s="9"/>
      <c r="I648" s="8"/>
      <c r="J648" s="10"/>
      <c r="K648" s="8"/>
      <c r="L648" s="8"/>
      <c r="M648" s="8"/>
      <c r="N648" s="11"/>
      <c r="O648" s="9"/>
      <c r="P648" s="12"/>
      <c r="Q648" s="9"/>
      <c r="R648" s="13"/>
      <c r="S648" s="11"/>
      <c r="T648" s="11"/>
      <c r="U648" s="9"/>
      <c r="V648" s="9"/>
      <c r="W648" s="9"/>
      <c r="X648" s="16"/>
      <c r="AF648" s="42">
        <f>IF(BUSCAR!$C$8="FECHA NAC.",$G648,IF(BUSCAR!$C$8="PASAPORTE EXPIRA",$J648,IF(BUSCAR!$C$8="LICENCIA EMISION",$L648,IF(BUSCAR!$C$8="LICENCIA EXPIRA",$M648,""))))</f>
      </c>
      <c r="AG648" s="42">
        <f>IF($B648&amp;$C648&amp;$D648&amp;$E648&amp;$H648="",0,IF(AND(OR(BUSCAR!$J$5="",ISNUMBER(SEARCH(BUSCAR!$J$5,$AI648))),OR(BUSCAR!$J$6="",ISNUMBER(SEARCH(BUSCAR!$J$6,$AI648))),OR(BUSCAR!$J$8="",ISNUMBER(SEARCH(BUSCAR!$J$8,$AI648))),OR(BUSCAR!$J$9="",ISNUMBER(SEARCH(BUSCAR!$J$9,$AI648))),OR(NOT(BUSCAR!$J$2),AND(ISNUMBER($AF648),$AF648&gt;=BUSCAR!$J$3,$AF648&lt;=BUSCAR!$J$4))),1,0))</f>
      </c>
      <c r="AH648" s="42">
        <f t="shared" si="30"/>
      </c>
      <c r="AI648" s="42">
        <f t="shared" si="31"/>
      </c>
    </row>
    <row r="649" spans="1:35" x14ac:dyDescent="0.2">
      <c r="A649" s="66">
        <f t="shared" si="32"/>
      </c>
      <c r="B649" s="4"/>
      <c r="C649" s="4"/>
      <c r="D649" s="4"/>
      <c r="E649" s="4"/>
      <c r="F649" s="24"/>
      <c r="G649" s="8"/>
      <c r="H649" s="9"/>
      <c r="I649" s="8"/>
      <c r="J649" s="10"/>
      <c r="K649" s="8"/>
      <c r="L649" s="8"/>
      <c r="M649" s="8"/>
      <c r="N649" s="11"/>
      <c r="O649" s="9"/>
      <c r="P649" s="12"/>
      <c r="Q649" s="9"/>
      <c r="R649" s="13"/>
      <c r="S649" s="11"/>
      <c r="T649" s="11"/>
      <c r="U649" s="9"/>
      <c r="V649" s="9"/>
      <c r="W649" s="9"/>
      <c r="X649" s="16"/>
      <c r="AF649" s="42">
        <f>IF(BUSCAR!$C$8="FECHA NAC.",$G649,IF(BUSCAR!$C$8="PASAPORTE EXPIRA",$J649,IF(BUSCAR!$C$8="LICENCIA EMISION",$L649,IF(BUSCAR!$C$8="LICENCIA EXPIRA",$M649,""))))</f>
      </c>
      <c r="AG649" s="42">
        <f>IF($B649&amp;$C649&amp;$D649&amp;$E649&amp;$H649="",0,IF(AND(OR(BUSCAR!$J$5="",ISNUMBER(SEARCH(BUSCAR!$J$5,$AI649))),OR(BUSCAR!$J$6="",ISNUMBER(SEARCH(BUSCAR!$J$6,$AI649))),OR(BUSCAR!$J$8="",ISNUMBER(SEARCH(BUSCAR!$J$8,$AI649))),OR(BUSCAR!$J$9="",ISNUMBER(SEARCH(BUSCAR!$J$9,$AI649))),OR(NOT(BUSCAR!$J$2),AND(ISNUMBER($AF649),$AF649&gt;=BUSCAR!$J$3,$AF649&lt;=BUSCAR!$J$4))),1,0))</f>
      </c>
      <c r="AH649" s="42">
        <f t="shared" si="30"/>
      </c>
      <c r="AI649" s="42">
        <f t="shared" si="31"/>
      </c>
    </row>
    <row r="650" spans="1:35" x14ac:dyDescent="0.2">
      <c r="A650" s="66">
        <f t="shared" si="32"/>
      </c>
      <c r="B650" s="4"/>
      <c r="C650" s="4"/>
      <c r="D650" s="4"/>
      <c r="E650" s="4"/>
      <c r="F650" s="24"/>
      <c r="G650" s="8"/>
      <c r="H650" s="9"/>
      <c r="I650" s="8"/>
      <c r="J650" s="10"/>
      <c r="K650" s="8"/>
      <c r="L650" s="8"/>
      <c r="M650" s="8"/>
      <c r="N650" s="11"/>
      <c r="O650" s="9"/>
      <c r="P650" s="12"/>
      <c r="Q650" s="9"/>
      <c r="R650" s="13"/>
      <c r="S650" s="11"/>
      <c r="T650" s="11"/>
      <c r="U650" s="9"/>
      <c r="V650" s="9"/>
      <c r="W650" s="9"/>
      <c r="X650" s="16"/>
      <c r="AF650" s="42">
        <f>IF(BUSCAR!$C$8="FECHA NAC.",$G650,IF(BUSCAR!$C$8="PASAPORTE EXPIRA",$J650,IF(BUSCAR!$C$8="LICENCIA EMISION",$L650,IF(BUSCAR!$C$8="LICENCIA EXPIRA",$M650,""))))</f>
      </c>
      <c r="AG650" s="42">
        <f>IF($B650&amp;$C650&amp;$D650&amp;$E650&amp;$H650="",0,IF(AND(OR(BUSCAR!$J$5="",ISNUMBER(SEARCH(BUSCAR!$J$5,$AI650))),OR(BUSCAR!$J$6="",ISNUMBER(SEARCH(BUSCAR!$J$6,$AI650))),OR(BUSCAR!$J$8="",ISNUMBER(SEARCH(BUSCAR!$J$8,$AI650))),OR(BUSCAR!$J$9="",ISNUMBER(SEARCH(BUSCAR!$J$9,$AI650))),OR(NOT(BUSCAR!$J$2),AND(ISNUMBER($AF650),$AF650&gt;=BUSCAR!$J$3,$AF650&lt;=BUSCAR!$J$4))),1,0))</f>
      </c>
      <c r="AH650" s="42">
        <f t="shared" si="30"/>
      </c>
      <c r="AI650" s="42">
        <f t="shared" si="31"/>
      </c>
    </row>
    <row r="651" spans="1:35" x14ac:dyDescent="0.2">
      <c r="A651" s="66">
        <f t="shared" si="32"/>
      </c>
      <c r="B651" s="4"/>
      <c r="C651" s="4"/>
      <c r="D651" s="4"/>
      <c r="E651" s="4"/>
      <c r="F651" s="24"/>
      <c r="G651" s="8"/>
      <c r="H651" s="9"/>
      <c r="I651" s="8"/>
      <c r="J651" s="10"/>
      <c r="K651" s="8"/>
      <c r="L651" s="8"/>
      <c r="M651" s="8"/>
      <c r="N651" s="11"/>
      <c r="O651" s="9"/>
      <c r="P651" s="12"/>
      <c r="Q651" s="9"/>
      <c r="R651" s="13"/>
      <c r="S651" s="11"/>
      <c r="T651" s="11"/>
      <c r="U651" s="9"/>
      <c r="V651" s="9"/>
      <c r="W651" s="9"/>
      <c r="X651" s="16"/>
      <c r="AF651" s="42">
        <f>IF(BUSCAR!$C$8="FECHA NAC.",$G651,IF(BUSCAR!$C$8="PASAPORTE EXPIRA",$J651,IF(BUSCAR!$C$8="LICENCIA EMISION",$L651,IF(BUSCAR!$C$8="LICENCIA EXPIRA",$M651,""))))</f>
      </c>
      <c r="AG651" s="42">
        <f>IF($B651&amp;$C651&amp;$D651&amp;$E651&amp;$H651="",0,IF(AND(OR(BUSCAR!$J$5="",ISNUMBER(SEARCH(BUSCAR!$J$5,$AI651))),OR(BUSCAR!$J$6="",ISNUMBER(SEARCH(BUSCAR!$J$6,$AI651))),OR(BUSCAR!$J$8="",ISNUMBER(SEARCH(BUSCAR!$J$8,$AI651))),OR(BUSCAR!$J$9="",ISNUMBER(SEARCH(BUSCAR!$J$9,$AI651))),OR(NOT(BUSCAR!$J$2),AND(ISNUMBER($AF651),$AF651&gt;=BUSCAR!$J$3,$AF651&lt;=BUSCAR!$J$4))),1,0))</f>
      </c>
      <c r="AH651" s="42">
        <f t="shared" si="30"/>
      </c>
      <c r="AI651" s="42">
        <f t="shared" si="31"/>
      </c>
    </row>
    <row r="652" spans="1:35" x14ac:dyDescent="0.2">
      <c r="A652" s="66">
        <f t="shared" si="32"/>
      </c>
      <c r="B652" s="4"/>
      <c r="C652" s="4"/>
      <c r="D652" s="4"/>
      <c r="E652" s="4"/>
      <c r="F652" s="24"/>
      <c r="G652" s="8"/>
      <c r="H652" s="9"/>
      <c r="I652" s="8"/>
      <c r="J652" s="10"/>
      <c r="K652" s="8"/>
      <c r="L652" s="8"/>
      <c r="M652" s="8"/>
      <c r="N652" s="11"/>
      <c r="O652" s="9"/>
      <c r="P652" s="12"/>
      <c r="Q652" s="9"/>
      <c r="R652" s="13"/>
      <c r="S652" s="11"/>
      <c r="T652" s="11"/>
      <c r="U652" s="9"/>
      <c r="V652" s="9"/>
      <c r="W652" s="9"/>
      <c r="X652" s="16"/>
      <c r="AF652" s="42">
        <f>IF(BUSCAR!$C$8="FECHA NAC.",$G652,IF(BUSCAR!$C$8="PASAPORTE EXPIRA",$J652,IF(BUSCAR!$C$8="LICENCIA EMISION",$L652,IF(BUSCAR!$C$8="LICENCIA EXPIRA",$M652,""))))</f>
      </c>
      <c r="AG652" s="42">
        <f>IF($B652&amp;$C652&amp;$D652&amp;$E652&amp;$H652="",0,IF(AND(OR(BUSCAR!$J$5="",ISNUMBER(SEARCH(BUSCAR!$J$5,$AI652))),OR(BUSCAR!$J$6="",ISNUMBER(SEARCH(BUSCAR!$J$6,$AI652))),OR(BUSCAR!$J$8="",ISNUMBER(SEARCH(BUSCAR!$J$8,$AI652))),OR(BUSCAR!$J$9="",ISNUMBER(SEARCH(BUSCAR!$J$9,$AI652))),OR(NOT(BUSCAR!$J$2),AND(ISNUMBER($AF652),$AF652&gt;=BUSCAR!$J$3,$AF652&lt;=BUSCAR!$J$4))),1,0))</f>
      </c>
      <c r="AH652" s="42">
        <f t="shared" si="30"/>
      </c>
      <c r="AI652" s="42">
        <f t="shared" si="31"/>
      </c>
    </row>
    <row r="653" spans="1:35" x14ac:dyDescent="0.2">
      <c r="A653" s="66">
        <f t="shared" si="32"/>
      </c>
      <c r="B653" s="4"/>
      <c r="C653" s="4"/>
      <c r="D653" s="4"/>
      <c r="E653" s="4"/>
      <c r="F653" s="24"/>
      <c r="G653" s="8"/>
      <c r="H653" s="9"/>
      <c r="I653" s="8"/>
      <c r="J653" s="10"/>
      <c r="K653" s="8"/>
      <c r="L653" s="8"/>
      <c r="M653" s="8"/>
      <c r="N653" s="11"/>
      <c r="O653" s="9"/>
      <c r="P653" s="12"/>
      <c r="Q653" s="9"/>
      <c r="R653" s="13"/>
      <c r="S653" s="11"/>
      <c r="T653" s="11"/>
      <c r="U653" s="9"/>
      <c r="V653" s="9"/>
      <c r="W653" s="9"/>
      <c r="X653" s="16"/>
      <c r="AF653" s="42">
        <f>IF(BUSCAR!$C$8="FECHA NAC.",$G653,IF(BUSCAR!$C$8="PASAPORTE EXPIRA",$J653,IF(BUSCAR!$C$8="LICENCIA EMISION",$L653,IF(BUSCAR!$C$8="LICENCIA EXPIRA",$M653,""))))</f>
      </c>
      <c r="AG653" s="42">
        <f>IF($B653&amp;$C653&amp;$D653&amp;$E653&amp;$H653="",0,IF(AND(OR(BUSCAR!$J$5="",ISNUMBER(SEARCH(BUSCAR!$J$5,$AI653))),OR(BUSCAR!$J$6="",ISNUMBER(SEARCH(BUSCAR!$J$6,$AI653))),OR(BUSCAR!$J$8="",ISNUMBER(SEARCH(BUSCAR!$J$8,$AI653))),OR(BUSCAR!$J$9="",ISNUMBER(SEARCH(BUSCAR!$J$9,$AI653))),OR(NOT(BUSCAR!$J$2),AND(ISNUMBER($AF653),$AF653&gt;=BUSCAR!$J$3,$AF653&lt;=BUSCAR!$J$4))),1,0))</f>
      </c>
      <c r="AH653" s="42">
        <f t="shared" si="30"/>
      </c>
      <c r="AI653" s="42">
        <f t="shared" si="31"/>
      </c>
    </row>
    <row r="654" spans="1:35" x14ac:dyDescent="0.2">
      <c r="A654" s="66">
        <f t="shared" si="32"/>
      </c>
      <c r="B654" s="4"/>
      <c r="C654" s="4"/>
      <c r="D654" s="4"/>
      <c r="E654" s="4"/>
      <c r="F654" s="24"/>
      <c r="G654" s="8"/>
      <c r="H654" s="9"/>
      <c r="I654" s="8"/>
      <c r="J654" s="10"/>
      <c r="K654" s="8"/>
      <c r="L654" s="8"/>
      <c r="M654" s="8"/>
      <c r="N654" s="11"/>
      <c r="O654" s="9"/>
      <c r="P654" s="12"/>
      <c r="Q654" s="9"/>
      <c r="R654" s="13"/>
      <c r="S654" s="11"/>
      <c r="T654" s="11"/>
      <c r="U654" s="9"/>
      <c r="V654" s="9"/>
      <c r="W654" s="9"/>
      <c r="X654" s="16"/>
      <c r="AF654" s="42">
        <f>IF(BUSCAR!$C$8="FECHA NAC.",$G654,IF(BUSCAR!$C$8="PASAPORTE EXPIRA",$J654,IF(BUSCAR!$C$8="LICENCIA EMISION",$L654,IF(BUSCAR!$C$8="LICENCIA EXPIRA",$M654,""))))</f>
      </c>
      <c r="AG654" s="42">
        <f>IF($B654&amp;$C654&amp;$D654&amp;$E654&amp;$H654="",0,IF(AND(OR(BUSCAR!$J$5="",ISNUMBER(SEARCH(BUSCAR!$J$5,$AI654))),OR(BUSCAR!$J$6="",ISNUMBER(SEARCH(BUSCAR!$J$6,$AI654))),OR(BUSCAR!$J$8="",ISNUMBER(SEARCH(BUSCAR!$J$8,$AI654))),OR(BUSCAR!$J$9="",ISNUMBER(SEARCH(BUSCAR!$J$9,$AI654))),OR(NOT(BUSCAR!$J$2),AND(ISNUMBER($AF654),$AF654&gt;=BUSCAR!$J$3,$AF654&lt;=BUSCAR!$J$4))),1,0))</f>
      </c>
      <c r="AH654" s="42">
        <f t="shared" si="30"/>
      </c>
      <c r="AI654" s="42">
        <f t="shared" si="31"/>
      </c>
    </row>
    <row r="655" spans="1:35" x14ac:dyDescent="0.2">
      <c r="A655" s="66">
        <f t="shared" si="32"/>
      </c>
      <c r="B655" s="4"/>
      <c r="C655" s="4"/>
      <c r="D655" s="4"/>
      <c r="E655" s="4"/>
      <c r="F655" s="24"/>
      <c r="G655" s="8"/>
      <c r="H655" s="9"/>
      <c r="I655" s="8"/>
      <c r="J655" s="10"/>
      <c r="K655" s="8"/>
      <c r="L655" s="8"/>
      <c r="M655" s="8"/>
      <c r="N655" s="11"/>
      <c r="O655" s="9"/>
      <c r="P655" s="12"/>
      <c r="Q655" s="9"/>
      <c r="R655" s="13"/>
      <c r="S655" s="11"/>
      <c r="T655" s="11"/>
      <c r="U655" s="9"/>
      <c r="V655" s="9"/>
      <c r="W655" s="9"/>
      <c r="X655" s="16"/>
      <c r="AF655" s="42">
        <f>IF(BUSCAR!$C$8="FECHA NAC.",$G655,IF(BUSCAR!$C$8="PASAPORTE EXPIRA",$J655,IF(BUSCAR!$C$8="LICENCIA EMISION",$L655,IF(BUSCAR!$C$8="LICENCIA EXPIRA",$M655,""))))</f>
      </c>
      <c r="AG655" s="42">
        <f>IF($B655&amp;$C655&amp;$D655&amp;$E655&amp;$H655="",0,IF(AND(OR(BUSCAR!$J$5="",ISNUMBER(SEARCH(BUSCAR!$J$5,$AI655))),OR(BUSCAR!$J$6="",ISNUMBER(SEARCH(BUSCAR!$J$6,$AI655))),OR(BUSCAR!$J$8="",ISNUMBER(SEARCH(BUSCAR!$J$8,$AI655))),OR(BUSCAR!$J$9="",ISNUMBER(SEARCH(BUSCAR!$J$9,$AI655))),OR(NOT(BUSCAR!$J$2),AND(ISNUMBER($AF655),$AF655&gt;=BUSCAR!$J$3,$AF655&lt;=BUSCAR!$J$4))),1,0))</f>
      </c>
      <c r="AH655" s="42">
        <f t="shared" si="30"/>
      </c>
      <c r="AI655" s="42">
        <f t="shared" si="31"/>
      </c>
    </row>
    <row r="656" spans="1:35" x14ac:dyDescent="0.2">
      <c r="A656" s="66">
        <f t="shared" si="32"/>
      </c>
      <c r="B656" s="4"/>
      <c r="C656" s="4"/>
      <c r="D656" s="4"/>
      <c r="E656" s="4"/>
      <c r="F656" s="24"/>
      <c r="G656" s="8"/>
      <c r="H656" s="9"/>
      <c r="I656" s="8"/>
      <c r="J656" s="10"/>
      <c r="K656" s="8"/>
      <c r="L656" s="8"/>
      <c r="M656" s="8"/>
      <c r="N656" s="11"/>
      <c r="O656" s="9"/>
      <c r="P656" s="12"/>
      <c r="Q656" s="9"/>
      <c r="R656" s="13"/>
      <c r="S656" s="11"/>
      <c r="T656" s="11"/>
      <c r="U656" s="9"/>
      <c r="V656" s="9"/>
      <c r="W656" s="9"/>
      <c r="X656" s="16"/>
      <c r="AF656" s="42">
        <f>IF(BUSCAR!$C$8="FECHA NAC.",$G656,IF(BUSCAR!$C$8="PASAPORTE EXPIRA",$J656,IF(BUSCAR!$C$8="LICENCIA EMISION",$L656,IF(BUSCAR!$C$8="LICENCIA EXPIRA",$M656,""))))</f>
      </c>
      <c r="AG656" s="42">
        <f>IF($B656&amp;$C656&amp;$D656&amp;$E656&amp;$H656="",0,IF(AND(OR(BUSCAR!$J$5="",ISNUMBER(SEARCH(BUSCAR!$J$5,$AI656))),OR(BUSCAR!$J$6="",ISNUMBER(SEARCH(BUSCAR!$J$6,$AI656))),OR(BUSCAR!$J$8="",ISNUMBER(SEARCH(BUSCAR!$J$8,$AI656))),OR(BUSCAR!$J$9="",ISNUMBER(SEARCH(BUSCAR!$J$9,$AI656))),OR(NOT(BUSCAR!$J$2),AND(ISNUMBER($AF656),$AF656&gt;=BUSCAR!$J$3,$AF656&lt;=BUSCAR!$J$4))),1,0))</f>
      </c>
      <c r="AH656" s="42">
        <f t="shared" si="30"/>
      </c>
      <c r="AI656" s="42">
        <f t="shared" si="31"/>
      </c>
    </row>
    <row r="657" spans="1:35" x14ac:dyDescent="0.2">
      <c r="A657" s="66">
        <f t="shared" si="32"/>
      </c>
      <c r="B657" s="4"/>
      <c r="C657" s="4"/>
      <c r="D657" s="4"/>
      <c r="E657" s="4"/>
      <c r="F657" s="24"/>
      <c r="G657" s="8"/>
      <c r="H657" s="9"/>
      <c r="I657" s="8"/>
      <c r="J657" s="10"/>
      <c r="K657" s="8"/>
      <c r="L657" s="8"/>
      <c r="M657" s="8"/>
      <c r="N657" s="11"/>
      <c r="O657" s="9"/>
      <c r="P657" s="12"/>
      <c r="Q657" s="9"/>
      <c r="R657" s="13"/>
      <c r="S657" s="11"/>
      <c r="T657" s="11"/>
      <c r="U657" s="9"/>
      <c r="V657" s="9"/>
      <c r="W657" s="9"/>
      <c r="X657" s="16"/>
      <c r="AF657" s="42">
        <f>IF(BUSCAR!$C$8="FECHA NAC.",$G657,IF(BUSCAR!$C$8="PASAPORTE EXPIRA",$J657,IF(BUSCAR!$C$8="LICENCIA EMISION",$L657,IF(BUSCAR!$C$8="LICENCIA EXPIRA",$M657,""))))</f>
      </c>
      <c r="AG657" s="42">
        <f>IF($B657&amp;$C657&amp;$D657&amp;$E657&amp;$H657="",0,IF(AND(OR(BUSCAR!$J$5="",ISNUMBER(SEARCH(BUSCAR!$J$5,$AI657))),OR(BUSCAR!$J$6="",ISNUMBER(SEARCH(BUSCAR!$J$6,$AI657))),OR(BUSCAR!$J$8="",ISNUMBER(SEARCH(BUSCAR!$J$8,$AI657))),OR(BUSCAR!$J$9="",ISNUMBER(SEARCH(BUSCAR!$J$9,$AI657))),OR(NOT(BUSCAR!$J$2),AND(ISNUMBER($AF657),$AF657&gt;=BUSCAR!$J$3,$AF657&lt;=BUSCAR!$J$4))),1,0))</f>
      </c>
      <c r="AH657" s="42">
        <f t="shared" si="30"/>
      </c>
      <c r="AI657" s="42">
        <f t="shared" si="31"/>
      </c>
    </row>
    <row r="658" spans="1:35" x14ac:dyDescent="0.2">
      <c r="A658" s="66">
        <f t="shared" si="32"/>
      </c>
      <c r="B658" s="4"/>
      <c r="C658" s="4"/>
      <c r="D658" s="4"/>
      <c r="E658" s="4"/>
      <c r="F658" s="24"/>
      <c r="G658" s="8"/>
      <c r="H658" s="9"/>
      <c r="I658" s="8"/>
      <c r="J658" s="10"/>
      <c r="K658" s="8"/>
      <c r="L658" s="8"/>
      <c r="M658" s="8"/>
      <c r="N658" s="11"/>
      <c r="O658" s="9"/>
      <c r="P658" s="12"/>
      <c r="Q658" s="9"/>
      <c r="R658" s="13"/>
      <c r="S658" s="11"/>
      <c r="T658" s="11"/>
      <c r="U658" s="9"/>
      <c r="V658" s="9"/>
      <c r="W658" s="9"/>
      <c r="X658" s="16"/>
      <c r="AF658" s="42">
        <f>IF(BUSCAR!$C$8="FECHA NAC.",$G658,IF(BUSCAR!$C$8="PASAPORTE EXPIRA",$J658,IF(BUSCAR!$C$8="LICENCIA EMISION",$L658,IF(BUSCAR!$C$8="LICENCIA EXPIRA",$M658,""))))</f>
      </c>
      <c r="AG658" s="42">
        <f>IF($B658&amp;$C658&amp;$D658&amp;$E658&amp;$H658="",0,IF(AND(OR(BUSCAR!$J$5="",ISNUMBER(SEARCH(BUSCAR!$J$5,$AI658))),OR(BUSCAR!$J$6="",ISNUMBER(SEARCH(BUSCAR!$J$6,$AI658))),OR(BUSCAR!$J$8="",ISNUMBER(SEARCH(BUSCAR!$J$8,$AI658))),OR(BUSCAR!$J$9="",ISNUMBER(SEARCH(BUSCAR!$J$9,$AI658))),OR(NOT(BUSCAR!$J$2),AND(ISNUMBER($AF658),$AF658&gt;=BUSCAR!$J$3,$AF658&lt;=BUSCAR!$J$4))),1,0))</f>
      </c>
      <c r="AH658" s="42">
        <f t="shared" si="30"/>
      </c>
      <c r="AI658" s="42">
        <f t="shared" si="31"/>
      </c>
    </row>
    <row r="659" spans="1:35" x14ac:dyDescent="0.2">
      <c r="A659" s="66">
        <f t="shared" si="32"/>
      </c>
      <c r="B659" s="4"/>
      <c r="C659" s="4"/>
      <c r="D659" s="4"/>
      <c r="E659" s="4"/>
      <c r="F659" s="24"/>
      <c r="G659" s="8"/>
      <c r="H659" s="9"/>
      <c r="I659" s="8"/>
      <c r="J659" s="10"/>
      <c r="K659" s="8"/>
      <c r="L659" s="8"/>
      <c r="M659" s="8"/>
      <c r="N659" s="11"/>
      <c r="O659" s="9"/>
      <c r="P659" s="12"/>
      <c r="Q659" s="9"/>
      <c r="R659" s="13"/>
      <c r="S659" s="11"/>
      <c r="T659" s="11"/>
      <c r="U659" s="9"/>
      <c r="V659" s="9"/>
      <c r="W659" s="9"/>
      <c r="X659" s="16"/>
      <c r="AF659" s="42">
        <f>IF(BUSCAR!$C$8="FECHA NAC.",$G659,IF(BUSCAR!$C$8="PASAPORTE EXPIRA",$J659,IF(BUSCAR!$C$8="LICENCIA EMISION",$L659,IF(BUSCAR!$C$8="LICENCIA EXPIRA",$M659,""))))</f>
      </c>
      <c r="AG659" s="42">
        <f>IF($B659&amp;$C659&amp;$D659&amp;$E659&amp;$H659="",0,IF(AND(OR(BUSCAR!$J$5="",ISNUMBER(SEARCH(BUSCAR!$J$5,$AI659))),OR(BUSCAR!$J$6="",ISNUMBER(SEARCH(BUSCAR!$J$6,$AI659))),OR(BUSCAR!$J$8="",ISNUMBER(SEARCH(BUSCAR!$J$8,$AI659))),OR(BUSCAR!$J$9="",ISNUMBER(SEARCH(BUSCAR!$J$9,$AI659))),OR(NOT(BUSCAR!$J$2),AND(ISNUMBER($AF659),$AF659&gt;=BUSCAR!$J$3,$AF659&lt;=BUSCAR!$J$4))),1,0))</f>
      </c>
      <c r="AH659" s="42">
        <f t="shared" si="30"/>
      </c>
      <c r="AI659" s="42">
        <f t="shared" si="31"/>
      </c>
    </row>
    <row r="660" spans="1:35" x14ac:dyDescent="0.2">
      <c r="A660" s="66">
        <f t="shared" si="32"/>
      </c>
      <c r="B660" s="4"/>
      <c r="C660" s="4"/>
      <c r="D660" s="4"/>
      <c r="E660" s="4"/>
      <c r="F660" s="24"/>
      <c r="G660" s="8"/>
      <c r="H660" s="9"/>
      <c r="I660" s="8"/>
      <c r="J660" s="10"/>
      <c r="K660" s="8"/>
      <c r="L660" s="8"/>
      <c r="M660" s="8"/>
      <c r="N660" s="11"/>
      <c r="O660" s="9"/>
      <c r="P660" s="12"/>
      <c r="Q660" s="9"/>
      <c r="R660" s="13"/>
      <c r="S660" s="11"/>
      <c r="T660" s="11"/>
      <c r="U660" s="9"/>
      <c r="V660" s="9"/>
      <c r="W660" s="9"/>
      <c r="X660" s="16"/>
      <c r="AF660" s="42">
        <f>IF(BUSCAR!$C$8="FECHA NAC.",$G660,IF(BUSCAR!$C$8="PASAPORTE EXPIRA",$J660,IF(BUSCAR!$C$8="LICENCIA EMISION",$L660,IF(BUSCAR!$C$8="LICENCIA EXPIRA",$M660,""))))</f>
      </c>
      <c r="AG660" s="42">
        <f>IF($B660&amp;$C660&amp;$D660&amp;$E660&amp;$H660="",0,IF(AND(OR(BUSCAR!$J$5="",ISNUMBER(SEARCH(BUSCAR!$J$5,$AI660))),OR(BUSCAR!$J$6="",ISNUMBER(SEARCH(BUSCAR!$J$6,$AI660))),OR(BUSCAR!$J$8="",ISNUMBER(SEARCH(BUSCAR!$J$8,$AI660))),OR(BUSCAR!$J$9="",ISNUMBER(SEARCH(BUSCAR!$J$9,$AI660))),OR(NOT(BUSCAR!$J$2),AND(ISNUMBER($AF660),$AF660&gt;=BUSCAR!$J$3,$AF660&lt;=BUSCAR!$J$4))),1,0))</f>
      </c>
      <c r="AH660" s="42">
        <f t="shared" si="30"/>
      </c>
      <c r="AI660" s="42">
        <f t="shared" si="31"/>
      </c>
    </row>
    <row r="661" spans="1:35" x14ac:dyDescent="0.2">
      <c r="A661" s="66">
        <f t="shared" si="32"/>
      </c>
      <c r="B661" s="4"/>
      <c r="C661" s="4"/>
      <c r="D661" s="4"/>
      <c r="E661" s="4"/>
      <c r="F661" s="24"/>
      <c r="G661" s="8"/>
      <c r="H661" s="9"/>
      <c r="I661" s="8"/>
      <c r="J661" s="10"/>
      <c r="K661" s="8"/>
      <c r="L661" s="8"/>
      <c r="M661" s="8"/>
      <c r="N661" s="11"/>
      <c r="O661" s="9"/>
      <c r="P661" s="12"/>
      <c r="Q661" s="9"/>
      <c r="R661" s="13"/>
      <c r="S661" s="11"/>
      <c r="T661" s="11"/>
      <c r="U661" s="9"/>
      <c r="V661" s="9"/>
      <c r="W661" s="9"/>
      <c r="X661" s="16"/>
      <c r="AF661" s="42">
        <f>IF(BUSCAR!$C$8="FECHA NAC.",$G661,IF(BUSCAR!$C$8="PASAPORTE EXPIRA",$J661,IF(BUSCAR!$C$8="LICENCIA EMISION",$L661,IF(BUSCAR!$C$8="LICENCIA EXPIRA",$M661,""))))</f>
      </c>
      <c r="AG661" s="42">
        <f>IF($B661&amp;$C661&amp;$D661&amp;$E661&amp;$H661="",0,IF(AND(OR(BUSCAR!$J$5="",ISNUMBER(SEARCH(BUSCAR!$J$5,$AI661))),OR(BUSCAR!$J$6="",ISNUMBER(SEARCH(BUSCAR!$J$6,$AI661))),OR(BUSCAR!$J$8="",ISNUMBER(SEARCH(BUSCAR!$J$8,$AI661))),OR(BUSCAR!$J$9="",ISNUMBER(SEARCH(BUSCAR!$J$9,$AI661))),OR(NOT(BUSCAR!$J$2),AND(ISNUMBER($AF661),$AF661&gt;=BUSCAR!$J$3,$AF661&lt;=BUSCAR!$J$4))),1,0))</f>
      </c>
      <c r="AH661" s="42">
        <f t="shared" si="30"/>
      </c>
      <c r="AI661" s="42">
        <f t="shared" si="31"/>
      </c>
    </row>
    <row r="662" spans="1:35" x14ac:dyDescent="0.2">
      <c r="A662" s="66">
        <f t="shared" si="32"/>
      </c>
      <c r="B662" s="4"/>
      <c r="C662" s="4"/>
      <c r="D662" s="4"/>
      <c r="E662" s="4"/>
      <c r="F662" s="24"/>
      <c r="G662" s="8"/>
      <c r="H662" s="9"/>
      <c r="I662" s="8"/>
      <c r="J662" s="10"/>
      <c r="K662" s="8"/>
      <c r="L662" s="8"/>
      <c r="M662" s="8"/>
      <c r="N662" s="11"/>
      <c r="O662" s="9"/>
      <c r="P662" s="12"/>
      <c r="Q662" s="9"/>
      <c r="R662" s="13"/>
      <c r="S662" s="11"/>
      <c r="T662" s="11"/>
      <c r="U662" s="9"/>
      <c r="V662" s="9"/>
      <c r="W662" s="9"/>
      <c r="X662" s="16"/>
      <c r="AF662" s="42">
        <f>IF(BUSCAR!$C$8="FECHA NAC.",$G662,IF(BUSCAR!$C$8="PASAPORTE EXPIRA",$J662,IF(BUSCAR!$C$8="LICENCIA EMISION",$L662,IF(BUSCAR!$C$8="LICENCIA EXPIRA",$M662,""))))</f>
      </c>
      <c r="AG662" s="42">
        <f>IF($B662&amp;$C662&amp;$D662&amp;$E662&amp;$H662="",0,IF(AND(OR(BUSCAR!$J$5="",ISNUMBER(SEARCH(BUSCAR!$J$5,$AI662))),OR(BUSCAR!$J$6="",ISNUMBER(SEARCH(BUSCAR!$J$6,$AI662))),OR(BUSCAR!$J$8="",ISNUMBER(SEARCH(BUSCAR!$J$8,$AI662))),OR(BUSCAR!$J$9="",ISNUMBER(SEARCH(BUSCAR!$J$9,$AI662))),OR(NOT(BUSCAR!$J$2),AND(ISNUMBER($AF662),$AF662&gt;=BUSCAR!$J$3,$AF662&lt;=BUSCAR!$J$4))),1,0))</f>
      </c>
      <c r="AH662" s="42">
        <f t="shared" si="30"/>
      </c>
      <c r="AI662" s="42">
        <f t="shared" si="31"/>
      </c>
    </row>
    <row r="663" spans="1:35" x14ac:dyDescent="0.2">
      <c r="A663" s="66">
        <f t="shared" si="32"/>
      </c>
      <c r="B663" s="4"/>
      <c r="C663" s="4"/>
      <c r="D663" s="4"/>
      <c r="E663" s="4"/>
      <c r="F663" s="24"/>
      <c r="G663" s="8"/>
      <c r="H663" s="9"/>
      <c r="I663" s="8"/>
      <c r="J663" s="10"/>
      <c r="K663" s="8"/>
      <c r="L663" s="8"/>
      <c r="M663" s="8"/>
      <c r="N663" s="11"/>
      <c r="O663" s="9"/>
      <c r="P663" s="12"/>
      <c r="Q663" s="9"/>
      <c r="R663" s="13"/>
      <c r="S663" s="11"/>
      <c r="T663" s="11"/>
      <c r="U663" s="9"/>
      <c r="V663" s="9"/>
      <c r="W663" s="9"/>
      <c r="X663" s="16"/>
      <c r="AF663" s="42">
        <f>IF(BUSCAR!$C$8="FECHA NAC.",$G663,IF(BUSCAR!$C$8="PASAPORTE EXPIRA",$J663,IF(BUSCAR!$C$8="LICENCIA EMISION",$L663,IF(BUSCAR!$C$8="LICENCIA EXPIRA",$M663,""))))</f>
      </c>
      <c r="AG663" s="42">
        <f>IF($B663&amp;$C663&amp;$D663&amp;$E663&amp;$H663="",0,IF(AND(OR(BUSCAR!$J$5="",ISNUMBER(SEARCH(BUSCAR!$J$5,$AI663))),OR(BUSCAR!$J$6="",ISNUMBER(SEARCH(BUSCAR!$J$6,$AI663))),OR(BUSCAR!$J$8="",ISNUMBER(SEARCH(BUSCAR!$J$8,$AI663))),OR(BUSCAR!$J$9="",ISNUMBER(SEARCH(BUSCAR!$J$9,$AI663))),OR(NOT(BUSCAR!$J$2),AND(ISNUMBER($AF663),$AF663&gt;=BUSCAR!$J$3,$AF663&lt;=BUSCAR!$J$4))),1,0))</f>
      </c>
      <c r="AH663" s="42">
        <f t="shared" si="30"/>
      </c>
      <c r="AI663" s="42">
        <f t="shared" si="31"/>
      </c>
    </row>
    <row r="664" spans="1:35" x14ac:dyDescent="0.2">
      <c r="A664" s="66">
        <f t="shared" si="32"/>
      </c>
      <c r="B664" s="4"/>
      <c r="C664" s="4"/>
      <c r="D664" s="4"/>
      <c r="E664" s="4"/>
      <c r="F664" s="24"/>
      <c r="G664" s="8"/>
      <c r="H664" s="9"/>
      <c r="I664" s="8"/>
      <c r="J664" s="10"/>
      <c r="K664" s="8"/>
      <c r="L664" s="8"/>
      <c r="M664" s="8"/>
      <c r="N664" s="11"/>
      <c r="O664" s="9"/>
      <c r="P664" s="12"/>
      <c r="Q664" s="9"/>
      <c r="R664" s="13"/>
      <c r="S664" s="11"/>
      <c r="T664" s="11"/>
      <c r="U664" s="9"/>
      <c r="V664" s="9"/>
      <c r="W664" s="9"/>
      <c r="X664" s="16"/>
      <c r="AF664" s="42">
        <f>IF(BUSCAR!$C$8="FECHA NAC.",$G664,IF(BUSCAR!$C$8="PASAPORTE EXPIRA",$J664,IF(BUSCAR!$C$8="LICENCIA EMISION",$L664,IF(BUSCAR!$C$8="LICENCIA EXPIRA",$M664,""))))</f>
      </c>
      <c r="AG664" s="42">
        <f>IF($B664&amp;$C664&amp;$D664&amp;$E664&amp;$H664="",0,IF(AND(OR(BUSCAR!$J$5="",ISNUMBER(SEARCH(BUSCAR!$J$5,$AI664))),OR(BUSCAR!$J$6="",ISNUMBER(SEARCH(BUSCAR!$J$6,$AI664))),OR(BUSCAR!$J$8="",ISNUMBER(SEARCH(BUSCAR!$J$8,$AI664))),OR(BUSCAR!$J$9="",ISNUMBER(SEARCH(BUSCAR!$J$9,$AI664))),OR(NOT(BUSCAR!$J$2),AND(ISNUMBER($AF664),$AF664&gt;=BUSCAR!$J$3,$AF664&lt;=BUSCAR!$J$4))),1,0))</f>
      </c>
      <c r="AH664" s="42">
        <f t="shared" si="30"/>
      </c>
      <c r="AI664" s="42">
        <f t="shared" si="31"/>
      </c>
    </row>
    <row r="665" spans="1:35" x14ac:dyDescent="0.2">
      <c r="A665" s="66">
        <f t="shared" si="32"/>
      </c>
      <c r="B665" s="4"/>
      <c r="C665" s="4"/>
      <c r="D665" s="4"/>
      <c r="E665" s="4"/>
      <c r="F665" s="24"/>
      <c r="G665" s="8"/>
      <c r="H665" s="9"/>
      <c r="I665" s="8"/>
      <c r="J665" s="10"/>
      <c r="K665" s="8"/>
      <c r="L665" s="8"/>
      <c r="M665" s="8"/>
      <c r="N665" s="11"/>
      <c r="O665" s="9"/>
      <c r="P665" s="12"/>
      <c r="Q665" s="9"/>
      <c r="R665" s="13"/>
      <c r="S665" s="11"/>
      <c r="T665" s="11"/>
      <c r="U665" s="9"/>
      <c r="V665" s="9"/>
      <c r="W665" s="9"/>
      <c r="X665" s="16"/>
      <c r="AF665" s="42">
        <f>IF(BUSCAR!$C$8="FECHA NAC.",$G665,IF(BUSCAR!$C$8="PASAPORTE EXPIRA",$J665,IF(BUSCAR!$C$8="LICENCIA EMISION",$L665,IF(BUSCAR!$C$8="LICENCIA EXPIRA",$M665,""))))</f>
      </c>
      <c r="AG665" s="42">
        <f>IF($B665&amp;$C665&amp;$D665&amp;$E665&amp;$H665="",0,IF(AND(OR(BUSCAR!$J$5="",ISNUMBER(SEARCH(BUSCAR!$J$5,$AI665))),OR(BUSCAR!$J$6="",ISNUMBER(SEARCH(BUSCAR!$J$6,$AI665))),OR(BUSCAR!$J$8="",ISNUMBER(SEARCH(BUSCAR!$J$8,$AI665))),OR(BUSCAR!$J$9="",ISNUMBER(SEARCH(BUSCAR!$J$9,$AI665))),OR(NOT(BUSCAR!$J$2),AND(ISNUMBER($AF665),$AF665&gt;=BUSCAR!$J$3,$AF665&lt;=BUSCAR!$J$4))),1,0))</f>
      </c>
      <c r="AH665" s="42">
        <f t="shared" si="30"/>
      </c>
      <c r="AI665" s="42">
        <f t="shared" si="31"/>
      </c>
    </row>
    <row r="666" spans="1:35" x14ac:dyDescent="0.2">
      <c r="A666" s="66">
        <f t="shared" si="32"/>
      </c>
      <c r="B666" s="4"/>
      <c r="C666" s="4"/>
      <c r="D666" s="4"/>
      <c r="E666" s="4"/>
      <c r="F666" s="24"/>
      <c r="G666" s="8"/>
      <c r="H666" s="9"/>
      <c r="I666" s="8"/>
      <c r="J666" s="10"/>
      <c r="K666" s="8"/>
      <c r="L666" s="8"/>
      <c r="M666" s="8"/>
      <c r="N666" s="11"/>
      <c r="O666" s="9"/>
      <c r="P666" s="12"/>
      <c r="Q666" s="9"/>
      <c r="R666" s="13"/>
      <c r="S666" s="11"/>
      <c r="T666" s="11"/>
      <c r="U666" s="9"/>
      <c r="V666" s="9"/>
      <c r="W666" s="9"/>
      <c r="X666" s="16"/>
      <c r="AF666" s="42">
        <f>IF(BUSCAR!$C$8="FECHA NAC.",$G666,IF(BUSCAR!$C$8="PASAPORTE EXPIRA",$J666,IF(BUSCAR!$C$8="LICENCIA EMISION",$L666,IF(BUSCAR!$C$8="LICENCIA EXPIRA",$M666,""))))</f>
      </c>
      <c r="AG666" s="42">
        <f>IF($B666&amp;$C666&amp;$D666&amp;$E666&amp;$H666="",0,IF(AND(OR(BUSCAR!$J$5="",ISNUMBER(SEARCH(BUSCAR!$J$5,$AI666))),OR(BUSCAR!$J$6="",ISNUMBER(SEARCH(BUSCAR!$J$6,$AI666))),OR(BUSCAR!$J$8="",ISNUMBER(SEARCH(BUSCAR!$J$8,$AI666))),OR(BUSCAR!$J$9="",ISNUMBER(SEARCH(BUSCAR!$J$9,$AI666))),OR(NOT(BUSCAR!$J$2),AND(ISNUMBER($AF666),$AF666&gt;=BUSCAR!$J$3,$AF666&lt;=BUSCAR!$J$4))),1,0))</f>
      </c>
      <c r="AH666" s="42">
        <f t="shared" si="30"/>
      </c>
      <c r="AI666" s="42">
        <f t="shared" si="31"/>
      </c>
    </row>
    <row r="667" spans="1:35" x14ac:dyDescent="0.2">
      <c r="A667" s="66">
        <f t="shared" si="32"/>
      </c>
      <c r="B667" s="4"/>
      <c r="C667" s="4"/>
      <c r="D667" s="4"/>
      <c r="E667" s="4"/>
      <c r="F667" s="24"/>
      <c r="G667" s="8"/>
      <c r="H667" s="9"/>
      <c r="I667" s="8"/>
      <c r="J667" s="10"/>
      <c r="K667" s="8"/>
      <c r="L667" s="8"/>
      <c r="M667" s="8"/>
      <c r="N667" s="11"/>
      <c r="O667" s="9"/>
      <c r="P667" s="12"/>
      <c r="Q667" s="9"/>
      <c r="R667" s="13"/>
      <c r="S667" s="11"/>
      <c r="T667" s="11"/>
      <c r="U667" s="9"/>
      <c r="V667" s="9"/>
      <c r="W667" s="9"/>
      <c r="X667" s="16"/>
      <c r="AF667" s="42">
        <f>IF(BUSCAR!$C$8="FECHA NAC.",$G667,IF(BUSCAR!$C$8="PASAPORTE EXPIRA",$J667,IF(BUSCAR!$C$8="LICENCIA EMISION",$L667,IF(BUSCAR!$C$8="LICENCIA EXPIRA",$M667,""))))</f>
      </c>
      <c r="AG667" s="42">
        <f>IF($B667&amp;$C667&amp;$D667&amp;$E667&amp;$H667="",0,IF(AND(OR(BUSCAR!$J$5="",ISNUMBER(SEARCH(BUSCAR!$J$5,$AI667))),OR(BUSCAR!$J$6="",ISNUMBER(SEARCH(BUSCAR!$J$6,$AI667))),OR(BUSCAR!$J$8="",ISNUMBER(SEARCH(BUSCAR!$J$8,$AI667))),OR(BUSCAR!$J$9="",ISNUMBER(SEARCH(BUSCAR!$J$9,$AI667))),OR(NOT(BUSCAR!$J$2),AND(ISNUMBER($AF667),$AF667&gt;=BUSCAR!$J$3,$AF667&lt;=BUSCAR!$J$4))),1,0))</f>
      </c>
      <c r="AH667" s="42">
        <f t="shared" si="30"/>
      </c>
      <c r="AI667" s="42">
        <f t="shared" si="31"/>
      </c>
    </row>
    <row r="668" spans="1:35" x14ac:dyDescent="0.2">
      <c r="A668" s="66">
        <f t="shared" si="32"/>
      </c>
      <c r="B668" s="4"/>
      <c r="C668" s="4"/>
      <c r="D668" s="4"/>
      <c r="E668" s="4"/>
      <c r="F668" s="24"/>
      <c r="G668" s="8"/>
      <c r="H668" s="9"/>
      <c r="I668" s="8"/>
      <c r="J668" s="10"/>
      <c r="K668" s="8"/>
      <c r="L668" s="8"/>
      <c r="M668" s="8"/>
      <c r="N668" s="11"/>
      <c r="O668" s="9"/>
      <c r="P668" s="12"/>
      <c r="Q668" s="9"/>
      <c r="R668" s="13"/>
      <c r="S668" s="11"/>
      <c r="T668" s="11"/>
      <c r="U668" s="9"/>
      <c r="V668" s="9"/>
      <c r="W668" s="9"/>
      <c r="X668" s="16"/>
      <c r="AF668" s="42">
        <f>IF(BUSCAR!$C$8="FECHA NAC.",$G668,IF(BUSCAR!$C$8="PASAPORTE EXPIRA",$J668,IF(BUSCAR!$C$8="LICENCIA EMISION",$L668,IF(BUSCAR!$C$8="LICENCIA EXPIRA",$M668,""))))</f>
      </c>
      <c r="AG668" s="42">
        <f>IF($B668&amp;$C668&amp;$D668&amp;$E668&amp;$H668="",0,IF(AND(OR(BUSCAR!$J$5="",ISNUMBER(SEARCH(BUSCAR!$J$5,$AI668))),OR(BUSCAR!$J$6="",ISNUMBER(SEARCH(BUSCAR!$J$6,$AI668))),OR(BUSCAR!$J$8="",ISNUMBER(SEARCH(BUSCAR!$J$8,$AI668))),OR(BUSCAR!$J$9="",ISNUMBER(SEARCH(BUSCAR!$J$9,$AI668))),OR(NOT(BUSCAR!$J$2),AND(ISNUMBER($AF668),$AF668&gt;=BUSCAR!$J$3,$AF668&lt;=BUSCAR!$J$4))),1,0))</f>
      </c>
      <c r="AH668" s="42">
        <f t="shared" si="30"/>
      </c>
      <c r="AI668" s="42">
        <f t="shared" si="31"/>
      </c>
    </row>
    <row r="669" spans="1:35" x14ac:dyDescent="0.2">
      <c r="A669" s="66">
        <f t="shared" si="32"/>
      </c>
      <c r="B669" s="4"/>
      <c r="C669" s="4"/>
      <c r="D669" s="4"/>
      <c r="E669" s="4"/>
      <c r="F669" s="24"/>
      <c r="G669" s="8"/>
      <c r="H669" s="9"/>
      <c r="I669" s="8"/>
      <c r="J669" s="10"/>
      <c r="K669" s="8"/>
      <c r="L669" s="8"/>
      <c r="M669" s="8"/>
      <c r="N669" s="11"/>
      <c r="O669" s="9"/>
      <c r="P669" s="12"/>
      <c r="Q669" s="9"/>
      <c r="R669" s="13"/>
      <c r="S669" s="11"/>
      <c r="T669" s="11"/>
      <c r="U669" s="9"/>
      <c r="V669" s="9"/>
      <c r="W669" s="9"/>
      <c r="X669" s="16"/>
      <c r="AF669" s="42">
        <f>IF(BUSCAR!$C$8="FECHA NAC.",$G669,IF(BUSCAR!$C$8="PASAPORTE EXPIRA",$J669,IF(BUSCAR!$C$8="LICENCIA EMISION",$L669,IF(BUSCAR!$C$8="LICENCIA EXPIRA",$M669,""))))</f>
      </c>
      <c r="AG669" s="42">
        <f>IF($B669&amp;$C669&amp;$D669&amp;$E669&amp;$H669="",0,IF(AND(OR(BUSCAR!$J$5="",ISNUMBER(SEARCH(BUSCAR!$J$5,$AI669))),OR(BUSCAR!$J$6="",ISNUMBER(SEARCH(BUSCAR!$J$6,$AI669))),OR(BUSCAR!$J$8="",ISNUMBER(SEARCH(BUSCAR!$J$8,$AI669))),OR(BUSCAR!$J$9="",ISNUMBER(SEARCH(BUSCAR!$J$9,$AI669))),OR(NOT(BUSCAR!$J$2),AND(ISNUMBER($AF669),$AF669&gt;=BUSCAR!$J$3,$AF669&lt;=BUSCAR!$J$4))),1,0))</f>
      </c>
      <c r="AH669" s="42">
        <f t="shared" si="30"/>
      </c>
      <c r="AI669" s="42">
        <f t="shared" si="31"/>
      </c>
    </row>
    <row r="670" spans="1:35" x14ac:dyDescent="0.2">
      <c r="A670" s="66">
        <f t="shared" si="32"/>
      </c>
      <c r="B670" s="4"/>
      <c r="C670" s="4"/>
      <c r="D670" s="4"/>
      <c r="E670" s="4"/>
      <c r="F670" s="24"/>
      <c r="G670" s="8"/>
      <c r="H670" s="9"/>
      <c r="I670" s="8"/>
      <c r="J670" s="10"/>
      <c r="K670" s="8"/>
      <c r="L670" s="8"/>
      <c r="M670" s="8"/>
      <c r="N670" s="11"/>
      <c r="O670" s="9"/>
      <c r="P670" s="12"/>
      <c r="Q670" s="9"/>
      <c r="R670" s="13"/>
      <c r="S670" s="11"/>
      <c r="T670" s="11"/>
      <c r="U670" s="9"/>
      <c r="V670" s="9"/>
      <c r="W670" s="9"/>
      <c r="X670" s="16"/>
      <c r="AF670" s="42">
        <f>IF(BUSCAR!$C$8="FECHA NAC.",$G670,IF(BUSCAR!$C$8="PASAPORTE EXPIRA",$J670,IF(BUSCAR!$C$8="LICENCIA EMISION",$L670,IF(BUSCAR!$C$8="LICENCIA EXPIRA",$M670,""))))</f>
      </c>
      <c r="AG670" s="42">
        <f>IF($B670&amp;$C670&amp;$D670&amp;$E670&amp;$H670="",0,IF(AND(OR(BUSCAR!$J$5="",ISNUMBER(SEARCH(BUSCAR!$J$5,$AI670))),OR(BUSCAR!$J$6="",ISNUMBER(SEARCH(BUSCAR!$J$6,$AI670))),OR(BUSCAR!$J$8="",ISNUMBER(SEARCH(BUSCAR!$J$8,$AI670))),OR(BUSCAR!$J$9="",ISNUMBER(SEARCH(BUSCAR!$J$9,$AI670))),OR(NOT(BUSCAR!$J$2),AND(ISNUMBER($AF670),$AF670&gt;=BUSCAR!$J$3,$AF670&lt;=BUSCAR!$J$4))),1,0))</f>
      </c>
      <c r="AH670" s="42">
        <f t="shared" si="30"/>
      </c>
      <c r="AI670" s="42">
        <f t="shared" si="31"/>
      </c>
    </row>
    <row r="671" spans="1:35" x14ac:dyDescent="0.2">
      <c r="A671" s="66">
        <f t="shared" si="32"/>
      </c>
      <c r="B671" s="4"/>
      <c r="C671" s="4"/>
      <c r="D671" s="4"/>
      <c r="E671" s="4"/>
      <c r="F671" s="24"/>
      <c r="G671" s="8"/>
      <c r="H671" s="9"/>
      <c r="I671" s="8"/>
      <c r="J671" s="10"/>
      <c r="K671" s="8"/>
      <c r="L671" s="8"/>
      <c r="M671" s="8"/>
      <c r="N671" s="11"/>
      <c r="O671" s="9"/>
      <c r="P671" s="12"/>
      <c r="Q671" s="9"/>
      <c r="R671" s="13"/>
      <c r="S671" s="11"/>
      <c r="T671" s="11"/>
      <c r="U671" s="9"/>
      <c r="V671" s="9"/>
      <c r="W671" s="9"/>
      <c r="X671" s="16"/>
      <c r="AF671" s="42">
        <f>IF(BUSCAR!$C$8="FECHA NAC.",$G671,IF(BUSCAR!$C$8="PASAPORTE EXPIRA",$J671,IF(BUSCAR!$C$8="LICENCIA EMISION",$L671,IF(BUSCAR!$C$8="LICENCIA EXPIRA",$M671,""))))</f>
      </c>
      <c r="AG671" s="42">
        <f>IF($B671&amp;$C671&amp;$D671&amp;$E671&amp;$H671="",0,IF(AND(OR(BUSCAR!$J$5="",ISNUMBER(SEARCH(BUSCAR!$J$5,$AI671))),OR(BUSCAR!$J$6="",ISNUMBER(SEARCH(BUSCAR!$J$6,$AI671))),OR(BUSCAR!$J$8="",ISNUMBER(SEARCH(BUSCAR!$J$8,$AI671))),OR(BUSCAR!$J$9="",ISNUMBER(SEARCH(BUSCAR!$J$9,$AI671))),OR(NOT(BUSCAR!$J$2),AND(ISNUMBER($AF671),$AF671&gt;=BUSCAR!$J$3,$AF671&lt;=BUSCAR!$J$4))),1,0))</f>
      </c>
      <c r="AH671" s="42">
        <f t="shared" si="30"/>
      </c>
      <c r="AI671" s="42">
        <f t="shared" si="31"/>
      </c>
    </row>
    <row r="672" spans="1:35" x14ac:dyDescent="0.2">
      <c r="A672" s="66">
        <f t="shared" si="32"/>
      </c>
      <c r="B672" s="4"/>
      <c r="C672" s="4"/>
      <c r="D672" s="4"/>
      <c r="E672" s="4"/>
      <c r="F672" s="24"/>
      <c r="G672" s="8"/>
      <c r="H672" s="9"/>
      <c r="I672" s="8"/>
      <c r="J672" s="10"/>
      <c r="K672" s="8"/>
      <c r="L672" s="8"/>
      <c r="M672" s="8"/>
      <c r="N672" s="11"/>
      <c r="O672" s="9"/>
      <c r="P672" s="12"/>
      <c r="Q672" s="9"/>
      <c r="R672" s="13"/>
      <c r="S672" s="9"/>
      <c r="T672" s="11"/>
      <c r="U672" s="9"/>
      <c r="V672" s="9"/>
      <c r="W672" s="9"/>
      <c r="X672" s="16"/>
      <c r="AF672" s="42">
        <f>IF(BUSCAR!$C$8="FECHA NAC.",$G672,IF(BUSCAR!$C$8="PASAPORTE EXPIRA",$J672,IF(BUSCAR!$C$8="LICENCIA EMISION",$L672,IF(BUSCAR!$C$8="LICENCIA EXPIRA",$M672,""))))</f>
      </c>
      <c r="AG672" s="42">
        <f>IF($B672&amp;$C672&amp;$D672&amp;$E672&amp;$H672="",0,IF(AND(OR(BUSCAR!$J$5="",ISNUMBER(SEARCH(BUSCAR!$J$5,$AI672))),OR(BUSCAR!$J$6="",ISNUMBER(SEARCH(BUSCAR!$J$6,$AI672))),OR(BUSCAR!$J$8="",ISNUMBER(SEARCH(BUSCAR!$J$8,$AI672))),OR(BUSCAR!$J$9="",ISNUMBER(SEARCH(BUSCAR!$J$9,$AI672))),OR(NOT(BUSCAR!$J$2),AND(ISNUMBER($AF672),$AF672&gt;=BUSCAR!$J$3,$AF672&lt;=BUSCAR!$J$4))),1,0))</f>
      </c>
      <c r="AH672" s="42">
        <f t="shared" si="30"/>
      </c>
      <c r="AI672" s="42">
        <f t="shared" si="31"/>
      </c>
    </row>
    <row r="673" spans="1:35" x14ac:dyDescent="0.2">
      <c r="A673" s="66">
        <f t="shared" si="32"/>
      </c>
      <c r="B673" s="4"/>
      <c r="C673" s="4"/>
      <c r="D673" s="4"/>
      <c r="E673" s="4"/>
      <c r="F673" s="24"/>
      <c r="G673" s="8"/>
      <c r="H673" s="9"/>
      <c r="I673" s="8"/>
      <c r="J673" s="10"/>
      <c r="K673" s="8"/>
      <c r="L673" s="8"/>
      <c r="M673" s="8"/>
      <c r="N673" s="11"/>
      <c r="O673" s="9"/>
      <c r="P673" s="12"/>
      <c r="Q673" s="9"/>
      <c r="R673" s="13"/>
      <c r="S673" s="11"/>
      <c r="T673" s="11"/>
      <c r="U673" s="9"/>
      <c r="V673" s="9"/>
      <c r="W673" s="9"/>
      <c r="X673" s="16"/>
      <c r="AF673" s="42">
        <f>IF(BUSCAR!$C$8="FECHA NAC.",$G673,IF(BUSCAR!$C$8="PASAPORTE EXPIRA",$J673,IF(BUSCAR!$C$8="LICENCIA EMISION",$L673,IF(BUSCAR!$C$8="LICENCIA EXPIRA",$M673,""))))</f>
      </c>
      <c r="AG673" s="42">
        <f>IF($B673&amp;$C673&amp;$D673&amp;$E673&amp;$H673="",0,IF(AND(OR(BUSCAR!$J$5="",ISNUMBER(SEARCH(BUSCAR!$J$5,$AI673))),OR(BUSCAR!$J$6="",ISNUMBER(SEARCH(BUSCAR!$J$6,$AI673))),OR(BUSCAR!$J$8="",ISNUMBER(SEARCH(BUSCAR!$J$8,$AI673))),OR(BUSCAR!$J$9="",ISNUMBER(SEARCH(BUSCAR!$J$9,$AI673))),OR(NOT(BUSCAR!$J$2),AND(ISNUMBER($AF673),$AF673&gt;=BUSCAR!$J$3,$AF673&lt;=BUSCAR!$J$4))),1,0))</f>
      </c>
      <c r="AH673" s="42">
        <f t="shared" si="30"/>
      </c>
      <c r="AI673" s="42">
        <f t="shared" si="31"/>
      </c>
    </row>
    <row r="674" spans="1:35" x14ac:dyDescent="0.2">
      <c r="A674" s="66">
        <f t="shared" si="32"/>
      </c>
      <c r="B674" s="4"/>
      <c r="C674" s="4"/>
      <c r="D674" s="4"/>
      <c r="E674" s="4"/>
      <c r="F674" s="24"/>
      <c r="G674" s="8"/>
      <c r="H674" s="9"/>
      <c r="I674" s="8"/>
      <c r="J674" s="10"/>
      <c r="K674" s="8"/>
      <c r="L674" s="8"/>
      <c r="M674" s="8"/>
      <c r="N674" s="11"/>
      <c r="O674" s="9"/>
      <c r="P674" s="12"/>
      <c r="Q674" s="9"/>
      <c r="R674" s="13"/>
      <c r="S674" s="11"/>
      <c r="T674" s="11"/>
      <c r="U674" s="9"/>
      <c r="V674" s="9"/>
      <c r="W674" s="9"/>
      <c r="X674" s="16"/>
      <c r="AF674" s="42">
        <f>IF(BUSCAR!$C$8="FECHA NAC.",$G674,IF(BUSCAR!$C$8="PASAPORTE EXPIRA",$J674,IF(BUSCAR!$C$8="LICENCIA EMISION",$L674,IF(BUSCAR!$C$8="LICENCIA EXPIRA",$M674,""))))</f>
      </c>
      <c r="AG674" s="42">
        <f>IF($B674&amp;$C674&amp;$D674&amp;$E674&amp;$H674="",0,IF(AND(OR(BUSCAR!$J$5="",ISNUMBER(SEARCH(BUSCAR!$J$5,$AI674))),OR(BUSCAR!$J$6="",ISNUMBER(SEARCH(BUSCAR!$J$6,$AI674))),OR(BUSCAR!$J$8="",ISNUMBER(SEARCH(BUSCAR!$J$8,$AI674))),OR(BUSCAR!$J$9="",ISNUMBER(SEARCH(BUSCAR!$J$9,$AI674))),OR(NOT(BUSCAR!$J$2),AND(ISNUMBER($AF674),$AF674&gt;=BUSCAR!$J$3,$AF674&lt;=BUSCAR!$J$4))),1,0))</f>
      </c>
      <c r="AH674" s="42">
        <f t="shared" si="30"/>
      </c>
      <c r="AI674" s="42">
        <f t="shared" si="31"/>
      </c>
    </row>
    <row r="675" spans="1:35" x14ac:dyDescent="0.2">
      <c r="A675" s="66">
        <f t="shared" si="32"/>
      </c>
      <c r="B675" s="4"/>
      <c r="C675" s="4"/>
      <c r="D675" s="4"/>
      <c r="E675" s="4"/>
      <c r="F675" s="24"/>
      <c r="G675" s="8"/>
      <c r="H675" s="9"/>
      <c r="I675" s="8"/>
      <c r="J675" s="10"/>
      <c r="K675" s="8"/>
      <c r="L675" s="8"/>
      <c r="M675" s="8"/>
      <c r="N675" s="11"/>
      <c r="O675" s="9"/>
      <c r="P675" s="12"/>
      <c r="Q675" s="9"/>
      <c r="R675" s="13"/>
      <c r="S675" s="11"/>
      <c r="T675" s="11"/>
      <c r="U675" s="9"/>
      <c r="V675" s="9"/>
      <c r="W675" s="9"/>
      <c r="X675" s="16"/>
      <c r="AF675" s="42">
        <f>IF(BUSCAR!$C$8="FECHA NAC.",$G675,IF(BUSCAR!$C$8="PASAPORTE EXPIRA",$J675,IF(BUSCAR!$C$8="LICENCIA EMISION",$L675,IF(BUSCAR!$C$8="LICENCIA EXPIRA",$M675,""))))</f>
      </c>
      <c r="AG675" s="42">
        <f>IF($B675&amp;$C675&amp;$D675&amp;$E675&amp;$H675="",0,IF(AND(OR(BUSCAR!$J$5="",ISNUMBER(SEARCH(BUSCAR!$J$5,$AI675))),OR(BUSCAR!$J$6="",ISNUMBER(SEARCH(BUSCAR!$J$6,$AI675))),OR(BUSCAR!$J$8="",ISNUMBER(SEARCH(BUSCAR!$J$8,$AI675))),OR(BUSCAR!$J$9="",ISNUMBER(SEARCH(BUSCAR!$J$9,$AI675))),OR(NOT(BUSCAR!$J$2),AND(ISNUMBER($AF675),$AF675&gt;=BUSCAR!$J$3,$AF675&lt;=BUSCAR!$J$4))),1,0))</f>
      </c>
      <c r="AH675" s="42">
        <f t="shared" si="30"/>
      </c>
      <c r="AI675" s="42">
        <f t="shared" si="31"/>
      </c>
    </row>
    <row r="676" spans="1:35" x14ac:dyDescent="0.2">
      <c r="A676" s="66">
        <f t="shared" si="32"/>
      </c>
      <c r="B676" s="4"/>
      <c r="C676" s="4"/>
      <c r="D676" s="4"/>
      <c r="E676" s="4"/>
      <c r="F676" s="24"/>
      <c r="G676" s="8"/>
      <c r="H676" s="9"/>
      <c r="I676" s="8"/>
      <c r="J676" s="10"/>
      <c r="K676" s="8"/>
      <c r="L676" s="8"/>
      <c r="M676" s="8"/>
      <c r="N676" s="11"/>
      <c r="O676" s="9"/>
      <c r="P676" s="12"/>
      <c r="Q676" s="9"/>
      <c r="R676" s="13"/>
      <c r="S676" s="11"/>
      <c r="T676" s="11"/>
      <c r="U676" s="9"/>
      <c r="V676" s="9"/>
      <c r="W676" s="9"/>
      <c r="X676" s="16"/>
      <c r="AF676" s="42">
        <f>IF(BUSCAR!$C$8="FECHA NAC.",$G676,IF(BUSCAR!$C$8="PASAPORTE EXPIRA",$J676,IF(BUSCAR!$C$8="LICENCIA EMISION",$L676,IF(BUSCAR!$C$8="LICENCIA EXPIRA",$M676,""))))</f>
      </c>
      <c r="AG676" s="42">
        <f>IF($B676&amp;$C676&amp;$D676&amp;$E676&amp;$H676="",0,IF(AND(OR(BUSCAR!$J$5="",ISNUMBER(SEARCH(BUSCAR!$J$5,$AI676))),OR(BUSCAR!$J$6="",ISNUMBER(SEARCH(BUSCAR!$J$6,$AI676))),OR(BUSCAR!$J$8="",ISNUMBER(SEARCH(BUSCAR!$J$8,$AI676))),OR(BUSCAR!$J$9="",ISNUMBER(SEARCH(BUSCAR!$J$9,$AI676))),OR(NOT(BUSCAR!$J$2),AND(ISNUMBER($AF676),$AF676&gt;=BUSCAR!$J$3,$AF676&lt;=BUSCAR!$J$4))),1,0))</f>
      </c>
      <c r="AH676" s="42">
        <f t="shared" si="30"/>
      </c>
      <c r="AI676" s="42">
        <f t="shared" si="31"/>
      </c>
    </row>
    <row r="677" spans="1:35" x14ac:dyDescent="0.2">
      <c r="A677" s="66">
        <f t="shared" si="32"/>
      </c>
      <c r="B677" s="4"/>
      <c r="C677" s="4"/>
      <c r="D677" s="4"/>
      <c r="E677" s="4"/>
      <c r="F677" s="24"/>
      <c r="G677" s="8"/>
      <c r="H677" s="9"/>
      <c r="I677" s="8"/>
      <c r="J677" s="10"/>
      <c r="K677" s="8"/>
      <c r="L677" s="8"/>
      <c r="M677" s="8"/>
      <c r="N677" s="11"/>
      <c r="O677" s="9"/>
      <c r="P677" s="12"/>
      <c r="Q677" s="9"/>
      <c r="R677" s="13"/>
      <c r="S677" s="11"/>
      <c r="T677" s="11"/>
      <c r="U677" s="9"/>
      <c r="V677" s="9"/>
      <c r="W677" s="9"/>
      <c r="X677" s="16"/>
      <c r="AF677" s="42">
        <f>IF(BUSCAR!$C$8="FECHA NAC.",$G677,IF(BUSCAR!$C$8="PASAPORTE EXPIRA",$J677,IF(BUSCAR!$C$8="LICENCIA EMISION",$L677,IF(BUSCAR!$C$8="LICENCIA EXPIRA",$M677,""))))</f>
      </c>
      <c r="AG677" s="42">
        <f>IF($B677&amp;$C677&amp;$D677&amp;$E677&amp;$H677="",0,IF(AND(OR(BUSCAR!$J$5="",ISNUMBER(SEARCH(BUSCAR!$J$5,$AI677))),OR(BUSCAR!$J$6="",ISNUMBER(SEARCH(BUSCAR!$J$6,$AI677))),OR(BUSCAR!$J$8="",ISNUMBER(SEARCH(BUSCAR!$J$8,$AI677))),OR(BUSCAR!$J$9="",ISNUMBER(SEARCH(BUSCAR!$J$9,$AI677))),OR(NOT(BUSCAR!$J$2),AND(ISNUMBER($AF677),$AF677&gt;=BUSCAR!$J$3,$AF677&lt;=BUSCAR!$J$4))),1,0))</f>
      </c>
      <c r="AH677" s="42">
        <f t="shared" si="30"/>
      </c>
      <c r="AI677" s="42">
        <f t="shared" si="31"/>
      </c>
    </row>
    <row r="678" spans="1:35" x14ac:dyDescent="0.2">
      <c r="A678" s="66">
        <f t="shared" si="32"/>
      </c>
      <c r="B678" s="4"/>
      <c r="C678" s="4"/>
      <c r="D678" s="4"/>
      <c r="E678" s="4"/>
      <c r="F678" s="24"/>
      <c r="G678" s="8"/>
      <c r="H678" s="9"/>
      <c r="I678" s="8"/>
      <c r="J678" s="10"/>
      <c r="K678" s="8"/>
      <c r="L678" s="8"/>
      <c r="M678" s="8"/>
      <c r="N678" s="11"/>
      <c r="O678" s="9"/>
      <c r="P678" s="12"/>
      <c r="Q678" s="9"/>
      <c r="R678" s="13"/>
      <c r="S678" s="11"/>
      <c r="T678" s="11"/>
      <c r="U678" s="9"/>
      <c r="V678" s="9"/>
      <c r="W678" s="9"/>
      <c r="X678" s="16"/>
      <c r="AF678" s="42">
        <f>IF(BUSCAR!$C$8="FECHA NAC.",$G678,IF(BUSCAR!$C$8="PASAPORTE EXPIRA",$J678,IF(BUSCAR!$C$8="LICENCIA EMISION",$L678,IF(BUSCAR!$C$8="LICENCIA EXPIRA",$M678,""))))</f>
      </c>
      <c r="AG678" s="42">
        <f>IF($B678&amp;$C678&amp;$D678&amp;$E678&amp;$H678="",0,IF(AND(OR(BUSCAR!$J$5="",ISNUMBER(SEARCH(BUSCAR!$J$5,$AI678))),OR(BUSCAR!$J$6="",ISNUMBER(SEARCH(BUSCAR!$J$6,$AI678))),OR(BUSCAR!$J$8="",ISNUMBER(SEARCH(BUSCAR!$J$8,$AI678))),OR(BUSCAR!$J$9="",ISNUMBER(SEARCH(BUSCAR!$J$9,$AI678))),OR(NOT(BUSCAR!$J$2),AND(ISNUMBER($AF678),$AF678&gt;=BUSCAR!$J$3,$AF678&lt;=BUSCAR!$J$4))),1,0))</f>
      </c>
      <c r="AH678" s="42">
        <f t="shared" si="30"/>
      </c>
      <c r="AI678" s="42">
        <f t="shared" si="31"/>
      </c>
    </row>
    <row r="679" spans="1:35" x14ac:dyDescent="0.2">
      <c r="A679" s="66">
        <f t="shared" si="32"/>
      </c>
      <c r="B679" s="4"/>
      <c r="C679" s="4"/>
      <c r="D679" s="4"/>
      <c r="E679" s="4"/>
      <c r="F679" s="24"/>
      <c r="G679" s="8"/>
      <c r="H679" s="9"/>
      <c r="I679" s="8"/>
      <c r="J679" s="10"/>
      <c r="K679" s="8"/>
      <c r="L679" s="8"/>
      <c r="M679" s="8"/>
      <c r="N679" s="11"/>
      <c r="O679" s="9"/>
      <c r="P679" s="12"/>
      <c r="Q679" s="9"/>
      <c r="R679" s="13"/>
      <c r="S679" s="11"/>
      <c r="T679" s="11"/>
      <c r="U679" s="9"/>
      <c r="V679" s="9"/>
      <c r="W679" s="9"/>
      <c r="X679" s="16"/>
      <c r="AF679" s="42">
        <f>IF(BUSCAR!$C$8="FECHA NAC.",$G679,IF(BUSCAR!$C$8="PASAPORTE EXPIRA",$J679,IF(BUSCAR!$C$8="LICENCIA EMISION",$L679,IF(BUSCAR!$C$8="LICENCIA EXPIRA",$M679,""))))</f>
      </c>
      <c r="AG679" s="42">
        <f>IF($B679&amp;$C679&amp;$D679&amp;$E679&amp;$H679="",0,IF(AND(OR(BUSCAR!$J$5="",ISNUMBER(SEARCH(BUSCAR!$J$5,$AI679))),OR(BUSCAR!$J$6="",ISNUMBER(SEARCH(BUSCAR!$J$6,$AI679))),OR(BUSCAR!$J$8="",ISNUMBER(SEARCH(BUSCAR!$J$8,$AI679))),OR(BUSCAR!$J$9="",ISNUMBER(SEARCH(BUSCAR!$J$9,$AI679))),OR(NOT(BUSCAR!$J$2),AND(ISNUMBER($AF679),$AF679&gt;=BUSCAR!$J$3,$AF679&lt;=BUSCAR!$J$4))),1,0))</f>
      </c>
      <c r="AH679" s="42">
        <f t="shared" si="30"/>
      </c>
      <c r="AI679" s="42">
        <f t="shared" si="31"/>
      </c>
    </row>
    <row r="680" spans="1:35" x14ac:dyDescent="0.2">
      <c r="A680" s="66">
        <f t="shared" si="32"/>
      </c>
      <c r="B680" s="4"/>
      <c r="C680" s="4"/>
      <c r="D680" s="4"/>
      <c r="E680" s="4"/>
      <c r="F680" s="24"/>
      <c r="G680" s="8"/>
      <c r="H680" s="9"/>
      <c r="I680" s="8"/>
      <c r="J680" s="10"/>
      <c r="K680" s="8"/>
      <c r="L680" s="8"/>
      <c r="M680" s="8"/>
      <c r="N680" s="11"/>
      <c r="O680" s="9"/>
      <c r="P680" s="12"/>
      <c r="Q680" s="9"/>
      <c r="R680" s="13"/>
      <c r="S680" s="11"/>
      <c r="T680" s="11"/>
      <c r="U680" s="9"/>
      <c r="V680" s="9"/>
      <c r="W680" s="9"/>
      <c r="X680" s="16"/>
      <c r="AF680" s="42">
        <f>IF(BUSCAR!$C$8="FECHA NAC.",$G680,IF(BUSCAR!$C$8="PASAPORTE EXPIRA",$J680,IF(BUSCAR!$C$8="LICENCIA EMISION",$L680,IF(BUSCAR!$C$8="LICENCIA EXPIRA",$M680,""))))</f>
      </c>
      <c r="AG680" s="42">
        <f>IF($B680&amp;$C680&amp;$D680&amp;$E680&amp;$H680="",0,IF(AND(OR(BUSCAR!$J$5="",ISNUMBER(SEARCH(BUSCAR!$J$5,$AI680))),OR(BUSCAR!$J$6="",ISNUMBER(SEARCH(BUSCAR!$J$6,$AI680))),OR(BUSCAR!$J$8="",ISNUMBER(SEARCH(BUSCAR!$J$8,$AI680))),OR(BUSCAR!$J$9="",ISNUMBER(SEARCH(BUSCAR!$J$9,$AI680))),OR(NOT(BUSCAR!$J$2),AND(ISNUMBER($AF680),$AF680&gt;=BUSCAR!$J$3,$AF680&lt;=BUSCAR!$J$4))),1,0))</f>
      </c>
      <c r="AH680" s="42">
        <f t="shared" si="30"/>
      </c>
      <c r="AI680" s="42">
        <f t="shared" si="31"/>
      </c>
    </row>
    <row r="681" spans="1:35" x14ac:dyDescent="0.2">
      <c r="A681" s="66">
        <f t="shared" si="32"/>
      </c>
      <c r="B681" s="4"/>
      <c r="C681" s="4"/>
      <c r="D681" s="4"/>
      <c r="E681" s="4"/>
      <c r="F681" s="24"/>
      <c r="G681" s="8"/>
      <c r="H681" s="9"/>
      <c r="I681" s="8"/>
      <c r="J681" s="10"/>
      <c r="K681" s="8"/>
      <c r="L681" s="8"/>
      <c r="M681" s="8"/>
      <c r="N681" s="11"/>
      <c r="O681" s="9"/>
      <c r="P681" s="12"/>
      <c r="Q681" s="9"/>
      <c r="R681" s="13"/>
      <c r="S681" s="11"/>
      <c r="T681" s="11"/>
      <c r="U681" s="9"/>
      <c r="V681" s="9"/>
      <c r="W681" s="9"/>
      <c r="X681" s="16"/>
      <c r="AF681" s="42">
        <f>IF(BUSCAR!$C$8="FECHA NAC.",$G681,IF(BUSCAR!$C$8="PASAPORTE EXPIRA",$J681,IF(BUSCAR!$C$8="LICENCIA EMISION",$L681,IF(BUSCAR!$C$8="LICENCIA EXPIRA",$M681,""))))</f>
      </c>
      <c r="AG681" s="42">
        <f>IF($B681&amp;$C681&amp;$D681&amp;$E681&amp;$H681="",0,IF(AND(OR(BUSCAR!$J$5="",ISNUMBER(SEARCH(BUSCAR!$J$5,$AI681))),OR(BUSCAR!$J$6="",ISNUMBER(SEARCH(BUSCAR!$J$6,$AI681))),OR(BUSCAR!$J$8="",ISNUMBER(SEARCH(BUSCAR!$J$8,$AI681))),OR(BUSCAR!$J$9="",ISNUMBER(SEARCH(BUSCAR!$J$9,$AI681))),OR(NOT(BUSCAR!$J$2),AND(ISNUMBER($AF681),$AF681&gt;=BUSCAR!$J$3,$AF681&lt;=BUSCAR!$J$4))),1,0))</f>
      </c>
      <c r="AH681" s="42">
        <f t="shared" si="30"/>
      </c>
      <c r="AI681" s="42">
        <f t="shared" si="31"/>
      </c>
    </row>
    <row r="682" spans="1:35" x14ac:dyDescent="0.2">
      <c r="A682" s="66">
        <f t="shared" si="32"/>
      </c>
      <c r="B682" s="4"/>
      <c r="C682" s="4"/>
      <c r="D682" s="4"/>
      <c r="E682" s="4"/>
      <c r="F682" s="24"/>
      <c r="G682" s="8"/>
      <c r="H682" s="9"/>
      <c r="I682" s="8"/>
      <c r="J682" s="10"/>
      <c r="K682" s="8"/>
      <c r="L682" s="8"/>
      <c r="M682" s="8"/>
      <c r="N682" s="11"/>
      <c r="O682" s="9"/>
      <c r="P682" s="12"/>
      <c r="Q682" s="9"/>
      <c r="R682" s="13"/>
      <c r="S682" s="11"/>
      <c r="T682" s="11"/>
      <c r="U682" s="9"/>
      <c r="V682" s="9"/>
      <c r="W682" s="9"/>
      <c r="X682" s="16"/>
      <c r="AF682" s="42">
        <f>IF(BUSCAR!$C$8="FECHA NAC.",$G682,IF(BUSCAR!$C$8="PASAPORTE EXPIRA",$J682,IF(BUSCAR!$C$8="LICENCIA EMISION",$L682,IF(BUSCAR!$C$8="LICENCIA EXPIRA",$M682,""))))</f>
      </c>
      <c r="AG682" s="42">
        <f>IF($B682&amp;$C682&amp;$D682&amp;$E682&amp;$H682="",0,IF(AND(OR(BUSCAR!$J$5="",ISNUMBER(SEARCH(BUSCAR!$J$5,$AI682))),OR(BUSCAR!$J$6="",ISNUMBER(SEARCH(BUSCAR!$J$6,$AI682))),OR(BUSCAR!$J$8="",ISNUMBER(SEARCH(BUSCAR!$J$8,$AI682))),OR(BUSCAR!$J$9="",ISNUMBER(SEARCH(BUSCAR!$J$9,$AI682))),OR(NOT(BUSCAR!$J$2),AND(ISNUMBER($AF682),$AF682&gt;=BUSCAR!$J$3,$AF682&lt;=BUSCAR!$J$4))),1,0))</f>
      </c>
      <c r="AH682" s="42">
        <f t="shared" si="30"/>
      </c>
      <c r="AI682" s="42">
        <f t="shared" si="31"/>
      </c>
    </row>
    <row r="683" spans="1:35" x14ac:dyDescent="0.2">
      <c r="A683" s="66">
        <f t="shared" si="32"/>
      </c>
      <c r="B683" s="4"/>
      <c r="C683" s="4"/>
      <c r="D683" s="4"/>
      <c r="E683" s="4"/>
      <c r="F683" s="24"/>
      <c r="G683" s="8"/>
      <c r="H683" s="9"/>
      <c r="I683" s="8"/>
      <c r="J683" s="10"/>
      <c r="K683" s="8"/>
      <c r="L683" s="8"/>
      <c r="M683" s="8"/>
      <c r="N683" s="11"/>
      <c r="O683" s="9"/>
      <c r="P683" s="12"/>
      <c r="Q683" s="9"/>
      <c r="R683" s="13"/>
      <c r="S683" s="11"/>
      <c r="T683" s="11"/>
      <c r="U683" s="9"/>
      <c r="V683" s="9"/>
      <c r="W683" s="9"/>
      <c r="X683" s="16"/>
      <c r="AF683" s="42">
        <f>IF(BUSCAR!$C$8="FECHA NAC.",$G683,IF(BUSCAR!$C$8="PASAPORTE EXPIRA",$J683,IF(BUSCAR!$C$8="LICENCIA EMISION",$L683,IF(BUSCAR!$C$8="LICENCIA EXPIRA",$M683,""))))</f>
      </c>
      <c r="AG683" s="42">
        <f>IF($B683&amp;$C683&amp;$D683&amp;$E683&amp;$H683="",0,IF(AND(OR(BUSCAR!$J$5="",ISNUMBER(SEARCH(BUSCAR!$J$5,$AI683))),OR(BUSCAR!$J$6="",ISNUMBER(SEARCH(BUSCAR!$J$6,$AI683))),OR(BUSCAR!$J$8="",ISNUMBER(SEARCH(BUSCAR!$J$8,$AI683))),OR(BUSCAR!$J$9="",ISNUMBER(SEARCH(BUSCAR!$J$9,$AI683))),OR(NOT(BUSCAR!$J$2),AND(ISNUMBER($AF683),$AF683&gt;=BUSCAR!$J$3,$AF683&lt;=BUSCAR!$J$4))),1,0))</f>
      </c>
      <c r="AH683" s="42">
        <f t="shared" si="30"/>
      </c>
      <c r="AI683" s="42">
        <f t="shared" si="31"/>
      </c>
    </row>
    <row r="684" spans="1:35" x14ac:dyDescent="0.2">
      <c r="A684" s="66">
        <f t="shared" si="32"/>
      </c>
      <c r="B684" s="4"/>
      <c r="C684" s="4"/>
      <c r="D684" s="4"/>
      <c r="E684" s="4"/>
      <c r="F684" s="24"/>
      <c r="G684" s="8"/>
      <c r="H684" s="9"/>
      <c r="I684" s="8"/>
      <c r="J684" s="10"/>
      <c r="K684" s="8"/>
      <c r="L684" s="8"/>
      <c r="M684" s="8"/>
      <c r="N684" s="11"/>
      <c r="O684" s="9"/>
      <c r="P684" s="12"/>
      <c r="Q684" s="9"/>
      <c r="R684" s="13"/>
      <c r="S684" s="11"/>
      <c r="T684" s="11"/>
      <c r="U684" s="9"/>
      <c r="V684" s="9"/>
      <c r="W684" s="9"/>
      <c r="X684" s="16"/>
      <c r="AF684" s="42">
        <f>IF(BUSCAR!$C$8="FECHA NAC.",$G684,IF(BUSCAR!$C$8="PASAPORTE EXPIRA",$J684,IF(BUSCAR!$C$8="LICENCIA EMISION",$L684,IF(BUSCAR!$C$8="LICENCIA EXPIRA",$M684,""))))</f>
      </c>
      <c r="AG684" s="42">
        <f>IF($B684&amp;$C684&amp;$D684&amp;$E684&amp;$H684="",0,IF(AND(OR(BUSCAR!$J$5="",ISNUMBER(SEARCH(BUSCAR!$J$5,$AI684))),OR(BUSCAR!$J$6="",ISNUMBER(SEARCH(BUSCAR!$J$6,$AI684))),OR(BUSCAR!$J$8="",ISNUMBER(SEARCH(BUSCAR!$J$8,$AI684))),OR(BUSCAR!$J$9="",ISNUMBER(SEARCH(BUSCAR!$J$9,$AI684))),OR(NOT(BUSCAR!$J$2),AND(ISNUMBER($AF684),$AF684&gt;=BUSCAR!$J$3,$AF684&lt;=BUSCAR!$J$4))),1,0))</f>
      </c>
      <c r="AH684" s="42">
        <f t="shared" si="30"/>
      </c>
      <c r="AI684" s="42">
        <f t="shared" si="31"/>
      </c>
    </row>
    <row r="685" spans="1:35" x14ac:dyDescent="0.2">
      <c r="A685" s="66">
        <f t="shared" si="32"/>
      </c>
      <c r="B685" s="4"/>
      <c r="C685" s="4"/>
      <c r="D685" s="4"/>
      <c r="E685" s="4"/>
      <c r="F685" s="24"/>
      <c r="G685" s="8"/>
      <c r="H685" s="9"/>
      <c r="I685" s="8"/>
      <c r="J685" s="10"/>
      <c r="K685" s="8"/>
      <c r="L685" s="8"/>
      <c r="M685" s="8"/>
      <c r="N685" s="11"/>
      <c r="O685" s="9"/>
      <c r="P685" s="12"/>
      <c r="Q685" s="9"/>
      <c r="R685" s="13"/>
      <c r="S685" s="11"/>
      <c r="T685" s="11"/>
      <c r="U685" s="9"/>
      <c r="V685" s="9"/>
      <c r="W685" s="9"/>
      <c r="X685" s="16"/>
      <c r="AF685" s="42">
        <f>IF(BUSCAR!$C$8="FECHA NAC.",$G685,IF(BUSCAR!$C$8="PASAPORTE EXPIRA",$J685,IF(BUSCAR!$C$8="LICENCIA EMISION",$L685,IF(BUSCAR!$C$8="LICENCIA EXPIRA",$M685,""))))</f>
      </c>
      <c r="AG685" s="42">
        <f>IF($B685&amp;$C685&amp;$D685&amp;$E685&amp;$H685="",0,IF(AND(OR(BUSCAR!$J$5="",ISNUMBER(SEARCH(BUSCAR!$J$5,$AI685))),OR(BUSCAR!$J$6="",ISNUMBER(SEARCH(BUSCAR!$J$6,$AI685))),OR(BUSCAR!$J$8="",ISNUMBER(SEARCH(BUSCAR!$J$8,$AI685))),OR(BUSCAR!$J$9="",ISNUMBER(SEARCH(BUSCAR!$J$9,$AI685))),OR(NOT(BUSCAR!$J$2),AND(ISNUMBER($AF685),$AF685&gt;=BUSCAR!$J$3,$AF685&lt;=BUSCAR!$J$4))),1,0))</f>
      </c>
      <c r="AH685" s="42">
        <f t="shared" si="30"/>
      </c>
      <c r="AI685" s="42">
        <f t="shared" si="31"/>
      </c>
    </row>
    <row r="686" spans="1:35" x14ac:dyDescent="0.2">
      <c r="A686" s="66">
        <f t="shared" si="32"/>
      </c>
      <c r="B686" s="4"/>
      <c r="C686" s="4"/>
      <c r="D686" s="4"/>
      <c r="E686" s="4"/>
      <c r="F686" s="24"/>
      <c r="G686" s="8"/>
      <c r="H686" s="9"/>
      <c r="I686" s="8"/>
      <c r="J686" s="10"/>
      <c r="K686" s="8"/>
      <c r="L686" s="8"/>
      <c r="M686" s="8"/>
      <c r="N686" s="11"/>
      <c r="O686" s="9"/>
      <c r="P686" s="12"/>
      <c r="Q686" s="9"/>
      <c r="R686" s="13"/>
      <c r="S686" s="11"/>
      <c r="T686" s="11"/>
      <c r="U686" s="9"/>
      <c r="V686" s="9"/>
      <c r="W686" s="9"/>
      <c r="X686" s="16"/>
      <c r="AF686" s="42">
        <f>IF(BUSCAR!$C$8="FECHA NAC.",$G686,IF(BUSCAR!$C$8="PASAPORTE EXPIRA",$J686,IF(BUSCAR!$C$8="LICENCIA EMISION",$L686,IF(BUSCAR!$C$8="LICENCIA EXPIRA",$M686,""))))</f>
      </c>
      <c r="AG686" s="42">
        <f>IF($B686&amp;$C686&amp;$D686&amp;$E686&amp;$H686="",0,IF(AND(OR(BUSCAR!$J$5="",ISNUMBER(SEARCH(BUSCAR!$J$5,$AI686))),OR(BUSCAR!$J$6="",ISNUMBER(SEARCH(BUSCAR!$J$6,$AI686))),OR(BUSCAR!$J$8="",ISNUMBER(SEARCH(BUSCAR!$J$8,$AI686))),OR(BUSCAR!$J$9="",ISNUMBER(SEARCH(BUSCAR!$J$9,$AI686))),OR(NOT(BUSCAR!$J$2),AND(ISNUMBER($AF686),$AF686&gt;=BUSCAR!$J$3,$AF686&lt;=BUSCAR!$J$4))),1,0))</f>
      </c>
      <c r="AH686" s="42">
        <f t="shared" si="30"/>
      </c>
      <c r="AI686" s="42">
        <f t="shared" si="31"/>
      </c>
    </row>
    <row r="687" spans="1:35" x14ac:dyDescent="0.2">
      <c r="A687" s="66">
        <f t="shared" si="32"/>
      </c>
      <c r="B687" s="4"/>
      <c r="C687" s="4"/>
      <c r="D687" s="4"/>
      <c r="E687" s="4"/>
      <c r="F687" s="24"/>
      <c r="G687" s="8"/>
      <c r="H687" s="9"/>
      <c r="I687" s="8"/>
      <c r="J687" s="10"/>
      <c r="K687" s="8"/>
      <c r="L687" s="8"/>
      <c r="M687" s="8"/>
      <c r="N687" s="11"/>
      <c r="O687" s="9"/>
      <c r="P687" s="12"/>
      <c r="Q687" s="9"/>
      <c r="R687" s="13"/>
      <c r="S687" s="11"/>
      <c r="T687" s="11"/>
      <c r="U687" s="9"/>
      <c r="V687" s="9"/>
      <c r="W687" s="9"/>
      <c r="X687" s="16"/>
      <c r="AF687" s="42">
        <f>IF(BUSCAR!$C$8="FECHA NAC.",$G687,IF(BUSCAR!$C$8="PASAPORTE EXPIRA",$J687,IF(BUSCAR!$C$8="LICENCIA EMISION",$L687,IF(BUSCAR!$C$8="LICENCIA EXPIRA",$M687,""))))</f>
      </c>
      <c r="AG687" s="42">
        <f>IF($B687&amp;$C687&amp;$D687&amp;$E687&amp;$H687="",0,IF(AND(OR(BUSCAR!$J$5="",ISNUMBER(SEARCH(BUSCAR!$J$5,$AI687))),OR(BUSCAR!$J$6="",ISNUMBER(SEARCH(BUSCAR!$J$6,$AI687))),OR(BUSCAR!$J$8="",ISNUMBER(SEARCH(BUSCAR!$J$8,$AI687))),OR(BUSCAR!$J$9="",ISNUMBER(SEARCH(BUSCAR!$J$9,$AI687))),OR(NOT(BUSCAR!$J$2),AND(ISNUMBER($AF687),$AF687&gt;=BUSCAR!$J$3,$AF687&lt;=BUSCAR!$J$4))),1,0))</f>
      </c>
      <c r="AH687" s="42">
        <f t="shared" si="30"/>
      </c>
      <c r="AI687" s="42">
        <f t="shared" si="31"/>
      </c>
    </row>
    <row r="688" spans="1:35" x14ac:dyDescent="0.2">
      <c r="A688" s="66">
        <f t="shared" si="32"/>
      </c>
      <c r="B688" s="4"/>
      <c r="C688" s="4"/>
      <c r="D688" s="4"/>
      <c r="E688" s="4"/>
      <c r="F688" s="24"/>
      <c r="G688" s="8"/>
      <c r="H688" s="9"/>
      <c r="I688" s="8"/>
      <c r="J688" s="10"/>
      <c r="K688" s="8"/>
      <c r="L688" s="8"/>
      <c r="M688" s="8"/>
      <c r="N688" s="11"/>
      <c r="O688" s="9"/>
      <c r="P688" s="12"/>
      <c r="Q688" s="9"/>
      <c r="R688" s="13"/>
      <c r="S688" s="11"/>
      <c r="T688" s="11"/>
      <c r="U688" s="9"/>
      <c r="V688" s="9"/>
      <c r="W688" s="9"/>
      <c r="X688" s="16"/>
      <c r="AF688" s="42">
        <f>IF(BUSCAR!$C$8="FECHA NAC.",$G688,IF(BUSCAR!$C$8="PASAPORTE EXPIRA",$J688,IF(BUSCAR!$C$8="LICENCIA EMISION",$L688,IF(BUSCAR!$C$8="LICENCIA EXPIRA",$M688,""))))</f>
      </c>
      <c r="AG688" s="42">
        <f>IF($B688&amp;$C688&amp;$D688&amp;$E688&amp;$H688="",0,IF(AND(OR(BUSCAR!$J$5="",ISNUMBER(SEARCH(BUSCAR!$J$5,$AI688))),OR(BUSCAR!$J$6="",ISNUMBER(SEARCH(BUSCAR!$J$6,$AI688))),OR(BUSCAR!$J$8="",ISNUMBER(SEARCH(BUSCAR!$J$8,$AI688))),OR(BUSCAR!$J$9="",ISNUMBER(SEARCH(BUSCAR!$J$9,$AI688))),OR(NOT(BUSCAR!$J$2),AND(ISNUMBER($AF688),$AF688&gt;=BUSCAR!$J$3,$AF688&lt;=BUSCAR!$J$4))),1,0))</f>
      </c>
      <c r="AH688" s="42">
        <f t="shared" si="30"/>
      </c>
      <c r="AI688" s="42">
        <f t="shared" si="31"/>
      </c>
    </row>
    <row r="689" spans="1:35" x14ac:dyDescent="0.2">
      <c r="A689" s="66">
        <f t="shared" si="32"/>
      </c>
      <c r="B689" s="4"/>
      <c r="C689" s="4"/>
      <c r="D689" s="4"/>
      <c r="E689" s="4"/>
      <c r="F689" s="24"/>
      <c r="G689" s="8"/>
      <c r="H689" s="9"/>
      <c r="I689" s="8"/>
      <c r="J689" s="10"/>
      <c r="K689" s="8"/>
      <c r="L689" s="8"/>
      <c r="M689" s="8"/>
      <c r="N689" s="11"/>
      <c r="O689" s="9"/>
      <c r="P689" s="12"/>
      <c r="Q689" s="9"/>
      <c r="R689" s="13"/>
      <c r="S689" s="11"/>
      <c r="T689" s="11"/>
      <c r="U689" s="9"/>
      <c r="V689" s="9"/>
      <c r="W689" s="9"/>
      <c r="X689" s="16"/>
      <c r="AF689" s="42">
        <f>IF(BUSCAR!$C$8="FECHA NAC.",$G689,IF(BUSCAR!$C$8="PASAPORTE EXPIRA",$J689,IF(BUSCAR!$C$8="LICENCIA EMISION",$L689,IF(BUSCAR!$C$8="LICENCIA EXPIRA",$M689,""))))</f>
      </c>
      <c r="AG689" s="42">
        <f>IF($B689&amp;$C689&amp;$D689&amp;$E689&amp;$H689="",0,IF(AND(OR(BUSCAR!$J$5="",ISNUMBER(SEARCH(BUSCAR!$J$5,$AI689))),OR(BUSCAR!$J$6="",ISNUMBER(SEARCH(BUSCAR!$J$6,$AI689))),OR(BUSCAR!$J$8="",ISNUMBER(SEARCH(BUSCAR!$J$8,$AI689))),OR(BUSCAR!$J$9="",ISNUMBER(SEARCH(BUSCAR!$J$9,$AI689))),OR(NOT(BUSCAR!$J$2),AND(ISNUMBER($AF689),$AF689&gt;=BUSCAR!$J$3,$AF689&lt;=BUSCAR!$J$4))),1,0))</f>
      </c>
      <c r="AH689" s="42">
        <f t="shared" si="30"/>
      </c>
      <c r="AI689" s="42">
        <f t="shared" si="31"/>
      </c>
    </row>
    <row r="690" spans="1:35" x14ac:dyDescent="0.2">
      <c r="A690" s="66">
        <f t="shared" si="32"/>
      </c>
      <c r="B690" s="4"/>
      <c r="C690" s="4"/>
      <c r="D690" s="4"/>
      <c r="E690" s="4"/>
      <c r="F690" s="24"/>
      <c r="G690" s="8"/>
      <c r="H690" s="9"/>
      <c r="I690" s="8"/>
      <c r="J690" s="10"/>
      <c r="K690" s="8"/>
      <c r="L690" s="8"/>
      <c r="M690" s="8"/>
      <c r="N690" s="11"/>
      <c r="O690" s="9"/>
      <c r="P690" s="12"/>
      <c r="Q690" s="9"/>
      <c r="R690" s="13"/>
      <c r="S690" s="11"/>
      <c r="T690" s="11"/>
      <c r="U690" s="9"/>
      <c r="V690" s="9"/>
      <c r="W690" s="9"/>
      <c r="X690" s="16"/>
      <c r="AF690" s="42">
        <f>IF(BUSCAR!$C$8="FECHA NAC.",$G690,IF(BUSCAR!$C$8="PASAPORTE EXPIRA",$J690,IF(BUSCAR!$C$8="LICENCIA EMISION",$L690,IF(BUSCAR!$C$8="LICENCIA EXPIRA",$M690,""))))</f>
      </c>
      <c r="AG690" s="42">
        <f>IF($B690&amp;$C690&amp;$D690&amp;$E690&amp;$H690="",0,IF(AND(OR(BUSCAR!$J$5="",ISNUMBER(SEARCH(BUSCAR!$J$5,$AI690))),OR(BUSCAR!$J$6="",ISNUMBER(SEARCH(BUSCAR!$J$6,$AI690))),OR(BUSCAR!$J$8="",ISNUMBER(SEARCH(BUSCAR!$J$8,$AI690))),OR(BUSCAR!$J$9="",ISNUMBER(SEARCH(BUSCAR!$J$9,$AI690))),OR(NOT(BUSCAR!$J$2),AND(ISNUMBER($AF690),$AF690&gt;=BUSCAR!$J$3,$AF690&lt;=BUSCAR!$J$4))),1,0))</f>
      </c>
      <c r="AH690" s="42">
        <f t="shared" si="30"/>
      </c>
      <c r="AI690" s="42">
        <f t="shared" si="31"/>
      </c>
    </row>
    <row r="691" spans="1:35" x14ac:dyDescent="0.2">
      <c r="A691" s="66">
        <f t="shared" si="32"/>
      </c>
      <c r="B691" s="4"/>
      <c r="C691" s="4"/>
      <c r="D691" s="4"/>
      <c r="E691" s="4"/>
      <c r="F691" s="24"/>
      <c r="G691" s="8"/>
      <c r="H691" s="9"/>
      <c r="I691" s="8"/>
      <c r="J691" s="10"/>
      <c r="K691" s="8"/>
      <c r="L691" s="8"/>
      <c r="M691" s="8"/>
      <c r="N691" s="11"/>
      <c r="O691" s="9"/>
      <c r="P691" s="12"/>
      <c r="Q691" s="9"/>
      <c r="R691" s="13"/>
      <c r="S691" s="11"/>
      <c r="T691" s="11"/>
      <c r="U691" s="9"/>
      <c r="V691" s="9"/>
      <c r="W691" s="9"/>
      <c r="X691" s="16"/>
      <c r="AF691" s="42">
        <f>IF(BUSCAR!$C$8="FECHA NAC.",$G691,IF(BUSCAR!$C$8="PASAPORTE EXPIRA",$J691,IF(BUSCAR!$C$8="LICENCIA EMISION",$L691,IF(BUSCAR!$C$8="LICENCIA EXPIRA",$M691,""))))</f>
      </c>
      <c r="AG691" s="42">
        <f>IF($B691&amp;$C691&amp;$D691&amp;$E691&amp;$H691="",0,IF(AND(OR(BUSCAR!$J$5="",ISNUMBER(SEARCH(BUSCAR!$J$5,$AI691))),OR(BUSCAR!$J$6="",ISNUMBER(SEARCH(BUSCAR!$J$6,$AI691))),OR(BUSCAR!$J$8="",ISNUMBER(SEARCH(BUSCAR!$J$8,$AI691))),OR(BUSCAR!$J$9="",ISNUMBER(SEARCH(BUSCAR!$J$9,$AI691))),OR(NOT(BUSCAR!$J$2),AND(ISNUMBER($AF691),$AF691&gt;=BUSCAR!$J$3,$AF691&lt;=BUSCAR!$J$4))),1,0))</f>
      </c>
      <c r="AH691" s="42">
        <f t="shared" si="30"/>
      </c>
      <c r="AI691" s="42">
        <f t="shared" si="31"/>
      </c>
    </row>
    <row r="692" spans="1:35" x14ac:dyDescent="0.2">
      <c r="A692" s="66">
        <f t="shared" si="32"/>
      </c>
      <c r="B692" s="4"/>
      <c r="C692" s="4"/>
      <c r="D692" s="4"/>
      <c r="E692" s="4"/>
      <c r="F692" s="24"/>
      <c r="G692" s="8"/>
      <c r="H692" s="9"/>
      <c r="I692" s="8"/>
      <c r="J692" s="10"/>
      <c r="K692" s="8"/>
      <c r="L692" s="8"/>
      <c r="M692" s="8"/>
      <c r="N692" s="11"/>
      <c r="O692" s="9"/>
      <c r="P692" s="12"/>
      <c r="Q692" s="9"/>
      <c r="R692" s="13"/>
      <c r="S692" s="11"/>
      <c r="T692" s="11"/>
      <c r="U692" s="9"/>
      <c r="V692" s="9"/>
      <c r="W692" s="9"/>
      <c r="X692" s="16"/>
      <c r="AF692" s="42">
        <f>IF(BUSCAR!$C$8="FECHA NAC.",$G692,IF(BUSCAR!$C$8="PASAPORTE EXPIRA",$J692,IF(BUSCAR!$C$8="LICENCIA EMISION",$L692,IF(BUSCAR!$C$8="LICENCIA EXPIRA",$M692,""))))</f>
      </c>
      <c r="AG692" s="42">
        <f>IF($B692&amp;$C692&amp;$D692&amp;$E692&amp;$H692="",0,IF(AND(OR(BUSCAR!$J$5="",ISNUMBER(SEARCH(BUSCAR!$J$5,$AI692))),OR(BUSCAR!$J$6="",ISNUMBER(SEARCH(BUSCAR!$J$6,$AI692))),OR(BUSCAR!$J$8="",ISNUMBER(SEARCH(BUSCAR!$J$8,$AI692))),OR(BUSCAR!$J$9="",ISNUMBER(SEARCH(BUSCAR!$J$9,$AI692))),OR(NOT(BUSCAR!$J$2),AND(ISNUMBER($AF692),$AF692&gt;=BUSCAR!$J$3,$AF692&lt;=BUSCAR!$J$4))),1,0))</f>
      </c>
      <c r="AH692" s="42">
        <f t="shared" si="30"/>
      </c>
      <c r="AI692" s="42">
        <f t="shared" si="31"/>
      </c>
    </row>
    <row r="693" spans="1:35" x14ac:dyDescent="0.2">
      <c r="A693" s="66">
        <f t="shared" si="32"/>
      </c>
      <c r="B693" s="4"/>
      <c r="C693" s="4"/>
      <c r="D693" s="4"/>
      <c r="E693" s="4"/>
      <c r="F693" s="24"/>
      <c r="G693" s="8"/>
      <c r="H693" s="9"/>
      <c r="I693" s="8"/>
      <c r="J693" s="10"/>
      <c r="K693" s="8"/>
      <c r="L693" s="8"/>
      <c r="M693" s="8"/>
      <c r="N693" s="11"/>
      <c r="O693" s="9"/>
      <c r="P693" s="12"/>
      <c r="Q693" s="9"/>
      <c r="R693" s="13"/>
      <c r="S693" s="11"/>
      <c r="T693" s="11"/>
      <c r="U693" s="9"/>
      <c r="V693" s="9"/>
      <c r="W693" s="9"/>
      <c r="X693" s="16"/>
      <c r="AF693" s="42">
        <f>IF(BUSCAR!$C$8="FECHA NAC.",$G693,IF(BUSCAR!$C$8="PASAPORTE EXPIRA",$J693,IF(BUSCAR!$C$8="LICENCIA EMISION",$L693,IF(BUSCAR!$C$8="LICENCIA EXPIRA",$M693,""))))</f>
      </c>
      <c r="AG693" s="42">
        <f>IF($B693&amp;$C693&amp;$D693&amp;$E693&amp;$H693="",0,IF(AND(OR(BUSCAR!$J$5="",ISNUMBER(SEARCH(BUSCAR!$J$5,$AI693))),OR(BUSCAR!$J$6="",ISNUMBER(SEARCH(BUSCAR!$J$6,$AI693))),OR(BUSCAR!$J$8="",ISNUMBER(SEARCH(BUSCAR!$J$8,$AI693))),OR(BUSCAR!$J$9="",ISNUMBER(SEARCH(BUSCAR!$J$9,$AI693))),OR(NOT(BUSCAR!$J$2),AND(ISNUMBER($AF693),$AF693&gt;=BUSCAR!$J$3,$AF693&lt;=BUSCAR!$J$4))),1,0))</f>
      </c>
      <c r="AH693" s="42">
        <f t="shared" si="30"/>
      </c>
      <c r="AI693" s="42">
        <f t="shared" si="31"/>
      </c>
    </row>
    <row r="694" spans="1:35" x14ac:dyDescent="0.2">
      <c r="A694" s="66">
        <f t="shared" si="32"/>
      </c>
      <c r="B694" s="4"/>
      <c r="C694" s="4"/>
      <c r="D694" s="4"/>
      <c r="E694" s="4"/>
      <c r="F694" s="24"/>
      <c r="G694" s="8"/>
      <c r="H694" s="9"/>
      <c r="I694" s="8"/>
      <c r="J694" s="10"/>
      <c r="K694" s="8"/>
      <c r="L694" s="8"/>
      <c r="M694" s="8"/>
      <c r="N694" s="11"/>
      <c r="O694" s="9"/>
      <c r="P694" s="12"/>
      <c r="Q694" s="9"/>
      <c r="R694" s="13"/>
      <c r="S694" s="11"/>
      <c r="T694" s="11"/>
      <c r="U694" s="9"/>
      <c r="V694" s="9"/>
      <c r="W694" s="9"/>
      <c r="X694" s="16"/>
      <c r="AF694" s="42">
        <f>IF(BUSCAR!$C$8="FECHA NAC.",$G694,IF(BUSCAR!$C$8="PASAPORTE EXPIRA",$J694,IF(BUSCAR!$C$8="LICENCIA EMISION",$L694,IF(BUSCAR!$C$8="LICENCIA EXPIRA",$M694,""))))</f>
      </c>
      <c r="AG694" s="42">
        <f>IF($B694&amp;$C694&amp;$D694&amp;$E694&amp;$H694="",0,IF(AND(OR(BUSCAR!$J$5="",ISNUMBER(SEARCH(BUSCAR!$J$5,$AI694))),OR(BUSCAR!$J$6="",ISNUMBER(SEARCH(BUSCAR!$J$6,$AI694))),OR(BUSCAR!$J$8="",ISNUMBER(SEARCH(BUSCAR!$J$8,$AI694))),OR(BUSCAR!$J$9="",ISNUMBER(SEARCH(BUSCAR!$J$9,$AI694))),OR(NOT(BUSCAR!$J$2),AND(ISNUMBER($AF694),$AF694&gt;=BUSCAR!$J$3,$AF694&lt;=BUSCAR!$J$4))),1,0))</f>
      </c>
      <c r="AH694" s="42">
        <f t="shared" si="30"/>
      </c>
      <c r="AI694" s="42">
        <f t="shared" si="31"/>
      </c>
    </row>
    <row r="695" spans="1:35" x14ac:dyDescent="0.2">
      <c r="A695" s="66">
        <f t="shared" si="32"/>
      </c>
      <c r="B695" s="4"/>
      <c r="C695" s="4"/>
      <c r="D695" s="4"/>
      <c r="E695" s="4"/>
      <c r="F695" s="24"/>
      <c r="G695" s="8"/>
      <c r="H695" s="9"/>
      <c r="I695" s="8"/>
      <c r="J695" s="10"/>
      <c r="K695" s="8"/>
      <c r="L695" s="8"/>
      <c r="M695" s="8"/>
      <c r="N695" s="11"/>
      <c r="O695" s="9"/>
      <c r="P695" s="12"/>
      <c r="Q695" s="9"/>
      <c r="R695" s="13"/>
      <c r="S695" s="11"/>
      <c r="T695" s="11"/>
      <c r="U695" s="9"/>
      <c r="V695" s="9"/>
      <c r="W695" s="9"/>
      <c r="X695" s="16"/>
      <c r="AF695" s="42">
        <f>IF(BUSCAR!$C$8="FECHA NAC.",$G695,IF(BUSCAR!$C$8="PASAPORTE EXPIRA",$J695,IF(BUSCAR!$C$8="LICENCIA EMISION",$L695,IF(BUSCAR!$C$8="LICENCIA EXPIRA",$M695,""))))</f>
      </c>
      <c r="AG695" s="42">
        <f>IF($B695&amp;$C695&amp;$D695&amp;$E695&amp;$H695="",0,IF(AND(OR(BUSCAR!$J$5="",ISNUMBER(SEARCH(BUSCAR!$J$5,$AI695))),OR(BUSCAR!$J$6="",ISNUMBER(SEARCH(BUSCAR!$J$6,$AI695))),OR(BUSCAR!$J$8="",ISNUMBER(SEARCH(BUSCAR!$J$8,$AI695))),OR(BUSCAR!$J$9="",ISNUMBER(SEARCH(BUSCAR!$J$9,$AI695))),OR(NOT(BUSCAR!$J$2),AND(ISNUMBER($AF695),$AF695&gt;=BUSCAR!$J$3,$AF695&lt;=BUSCAR!$J$4))),1,0))</f>
      </c>
      <c r="AH695" s="42">
        <f t="shared" si="30"/>
      </c>
      <c r="AI695" s="42">
        <f t="shared" si="31"/>
      </c>
    </row>
    <row r="696" spans="1:35" x14ac:dyDescent="0.2">
      <c r="A696" s="66">
        <f t="shared" si="32"/>
      </c>
      <c r="B696" s="4"/>
      <c r="C696" s="4"/>
      <c r="D696" s="4"/>
      <c r="E696" s="4"/>
      <c r="F696" s="24"/>
      <c r="G696" s="8"/>
      <c r="H696" s="9"/>
      <c r="I696" s="8"/>
      <c r="J696" s="10"/>
      <c r="K696" s="8"/>
      <c r="L696" s="8"/>
      <c r="M696" s="8"/>
      <c r="N696" s="11"/>
      <c r="O696" s="9"/>
      <c r="P696" s="12"/>
      <c r="Q696" s="9"/>
      <c r="R696" s="13"/>
      <c r="S696" s="11"/>
      <c r="T696" s="11"/>
      <c r="U696" s="9"/>
      <c r="V696" s="9"/>
      <c r="W696" s="9"/>
      <c r="X696" s="16"/>
      <c r="AF696" s="42">
        <f>IF(BUSCAR!$C$8="FECHA NAC.",$G696,IF(BUSCAR!$C$8="PASAPORTE EXPIRA",$J696,IF(BUSCAR!$C$8="LICENCIA EMISION",$L696,IF(BUSCAR!$C$8="LICENCIA EXPIRA",$M696,""))))</f>
      </c>
      <c r="AG696" s="42">
        <f>IF($B696&amp;$C696&amp;$D696&amp;$E696&amp;$H696="",0,IF(AND(OR(BUSCAR!$J$5="",ISNUMBER(SEARCH(BUSCAR!$J$5,$AI696))),OR(BUSCAR!$J$6="",ISNUMBER(SEARCH(BUSCAR!$J$6,$AI696))),OR(BUSCAR!$J$8="",ISNUMBER(SEARCH(BUSCAR!$J$8,$AI696))),OR(BUSCAR!$J$9="",ISNUMBER(SEARCH(BUSCAR!$J$9,$AI696))),OR(NOT(BUSCAR!$J$2),AND(ISNUMBER($AF696),$AF696&gt;=BUSCAR!$J$3,$AF696&lt;=BUSCAR!$J$4))),1,0))</f>
      </c>
      <c r="AH696" s="42">
        <f t="shared" si="30"/>
      </c>
      <c r="AI696" s="42">
        <f t="shared" si="31"/>
      </c>
    </row>
    <row r="697" spans="1:35" x14ac:dyDescent="0.2">
      <c r="A697" s="66">
        <f t="shared" si="32"/>
      </c>
      <c r="B697" s="4"/>
      <c r="C697" s="4"/>
      <c r="D697" s="4"/>
      <c r="E697" s="4"/>
      <c r="F697" s="24"/>
      <c r="G697" s="8"/>
      <c r="H697" s="9"/>
      <c r="I697" s="8"/>
      <c r="J697" s="10"/>
      <c r="K697" s="8"/>
      <c r="L697" s="8"/>
      <c r="M697" s="8"/>
      <c r="N697" s="11"/>
      <c r="O697" s="9"/>
      <c r="P697" s="12"/>
      <c r="Q697" s="9"/>
      <c r="R697" s="13"/>
      <c r="S697" s="11"/>
      <c r="T697" s="11"/>
      <c r="U697" s="9"/>
      <c r="V697" s="9"/>
      <c r="W697" s="9"/>
      <c r="X697" s="16"/>
      <c r="AF697" s="42">
        <f>IF(BUSCAR!$C$8="FECHA NAC.",$G697,IF(BUSCAR!$C$8="PASAPORTE EXPIRA",$J697,IF(BUSCAR!$C$8="LICENCIA EMISION",$L697,IF(BUSCAR!$C$8="LICENCIA EXPIRA",$M697,""))))</f>
      </c>
      <c r="AG697" s="42">
        <f>IF($B697&amp;$C697&amp;$D697&amp;$E697&amp;$H697="",0,IF(AND(OR(BUSCAR!$J$5="",ISNUMBER(SEARCH(BUSCAR!$J$5,$AI697))),OR(BUSCAR!$J$6="",ISNUMBER(SEARCH(BUSCAR!$J$6,$AI697))),OR(BUSCAR!$J$8="",ISNUMBER(SEARCH(BUSCAR!$J$8,$AI697))),OR(BUSCAR!$J$9="",ISNUMBER(SEARCH(BUSCAR!$J$9,$AI697))),OR(NOT(BUSCAR!$J$2),AND(ISNUMBER($AF697),$AF697&gt;=BUSCAR!$J$3,$AF697&lt;=BUSCAR!$J$4))),1,0))</f>
      </c>
      <c r="AH697" s="42">
        <f t="shared" si="30"/>
      </c>
      <c r="AI697" s="42">
        <f t="shared" si="31"/>
      </c>
    </row>
    <row r="698" spans="1:35" x14ac:dyDescent="0.2">
      <c r="A698" s="66">
        <f t="shared" si="32"/>
      </c>
      <c r="B698" s="4"/>
      <c r="C698" s="4"/>
      <c r="D698" s="4"/>
      <c r="E698" s="4"/>
      <c r="F698" s="24"/>
      <c r="G698" s="8"/>
      <c r="H698" s="9"/>
      <c r="I698" s="8"/>
      <c r="J698" s="10"/>
      <c r="K698" s="8"/>
      <c r="L698" s="8"/>
      <c r="M698" s="8"/>
      <c r="N698" s="11"/>
      <c r="O698" s="9"/>
      <c r="P698" s="12"/>
      <c r="Q698" s="9"/>
      <c r="R698" s="13"/>
      <c r="S698" s="11"/>
      <c r="T698" s="11"/>
      <c r="U698" s="9"/>
      <c r="V698" s="9"/>
      <c r="W698" s="9"/>
      <c r="X698" s="16"/>
      <c r="AF698" s="42">
        <f>IF(BUSCAR!$C$8="FECHA NAC.",$G698,IF(BUSCAR!$C$8="PASAPORTE EXPIRA",$J698,IF(BUSCAR!$C$8="LICENCIA EMISION",$L698,IF(BUSCAR!$C$8="LICENCIA EXPIRA",$M698,""))))</f>
      </c>
      <c r="AG698" s="42">
        <f>IF($B698&amp;$C698&amp;$D698&amp;$E698&amp;$H698="",0,IF(AND(OR(BUSCAR!$J$5="",ISNUMBER(SEARCH(BUSCAR!$J$5,$AI698))),OR(BUSCAR!$J$6="",ISNUMBER(SEARCH(BUSCAR!$J$6,$AI698))),OR(BUSCAR!$J$8="",ISNUMBER(SEARCH(BUSCAR!$J$8,$AI698))),OR(BUSCAR!$J$9="",ISNUMBER(SEARCH(BUSCAR!$J$9,$AI698))),OR(NOT(BUSCAR!$J$2),AND(ISNUMBER($AF698),$AF698&gt;=BUSCAR!$J$3,$AF698&lt;=BUSCAR!$J$4))),1,0))</f>
      </c>
      <c r="AH698" s="42">
        <f t="shared" si="30"/>
      </c>
      <c r="AI698" s="42">
        <f t="shared" si="31"/>
      </c>
    </row>
    <row r="699" spans="1:35" x14ac:dyDescent="0.2">
      <c r="A699" s="66">
        <f t="shared" si="32"/>
      </c>
      <c r="B699" s="4"/>
      <c r="C699" s="4"/>
      <c r="D699" s="4"/>
      <c r="E699" s="4"/>
      <c r="F699" s="24"/>
      <c r="G699" s="8"/>
      <c r="H699" s="9"/>
      <c r="I699" s="8"/>
      <c r="J699" s="10"/>
      <c r="K699" s="8"/>
      <c r="L699" s="8"/>
      <c r="M699" s="8"/>
      <c r="N699" s="11"/>
      <c r="O699" s="9"/>
      <c r="P699" s="12"/>
      <c r="Q699" s="9"/>
      <c r="R699" s="13"/>
      <c r="S699" s="11"/>
      <c r="T699" s="11"/>
      <c r="U699" s="9"/>
      <c r="V699" s="9"/>
      <c r="W699" s="9"/>
      <c r="X699" s="16"/>
      <c r="AF699" s="42">
        <f>IF(BUSCAR!$C$8="FECHA NAC.",$G699,IF(BUSCAR!$C$8="PASAPORTE EXPIRA",$J699,IF(BUSCAR!$C$8="LICENCIA EMISION",$L699,IF(BUSCAR!$C$8="LICENCIA EXPIRA",$M699,""))))</f>
      </c>
      <c r="AG699" s="42">
        <f>IF($B699&amp;$C699&amp;$D699&amp;$E699&amp;$H699="",0,IF(AND(OR(BUSCAR!$J$5="",ISNUMBER(SEARCH(BUSCAR!$J$5,$AI699))),OR(BUSCAR!$J$6="",ISNUMBER(SEARCH(BUSCAR!$J$6,$AI699))),OR(BUSCAR!$J$8="",ISNUMBER(SEARCH(BUSCAR!$J$8,$AI699))),OR(BUSCAR!$J$9="",ISNUMBER(SEARCH(BUSCAR!$J$9,$AI699))),OR(NOT(BUSCAR!$J$2),AND(ISNUMBER($AF699),$AF699&gt;=BUSCAR!$J$3,$AF699&lt;=BUSCAR!$J$4))),1,0))</f>
      </c>
      <c r="AH699" s="42">
        <f t="shared" si="30"/>
      </c>
      <c r="AI699" s="42">
        <f t="shared" si="31"/>
      </c>
    </row>
    <row r="700" spans="1:35" x14ac:dyDescent="0.2">
      <c r="A700" s="66">
        <f t="shared" si="32"/>
      </c>
      <c r="B700" s="4"/>
      <c r="C700" s="4"/>
      <c r="D700" s="4"/>
      <c r="E700" s="4"/>
      <c r="F700" s="24"/>
      <c r="G700" s="8"/>
      <c r="H700" s="9"/>
      <c r="I700" s="8"/>
      <c r="J700" s="10"/>
      <c r="K700" s="8"/>
      <c r="L700" s="8"/>
      <c r="M700" s="8"/>
      <c r="N700" s="11"/>
      <c r="O700" s="9"/>
      <c r="P700" s="12"/>
      <c r="Q700" s="9"/>
      <c r="R700" s="13"/>
      <c r="S700" s="11"/>
      <c r="T700" s="11"/>
      <c r="U700" s="9"/>
      <c r="V700" s="9"/>
      <c r="W700" s="9"/>
      <c r="X700" s="16"/>
      <c r="AF700" s="42">
        <f>IF(BUSCAR!$C$8="FECHA NAC.",$G700,IF(BUSCAR!$C$8="PASAPORTE EXPIRA",$J700,IF(BUSCAR!$C$8="LICENCIA EMISION",$L700,IF(BUSCAR!$C$8="LICENCIA EXPIRA",$M700,""))))</f>
      </c>
      <c r="AG700" s="42">
        <f>IF($B700&amp;$C700&amp;$D700&amp;$E700&amp;$H700="",0,IF(AND(OR(BUSCAR!$J$5="",ISNUMBER(SEARCH(BUSCAR!$J$5,$AI700))),OR(BUSCAR!$J$6="",ISNUMBER(SEARCH(BUSCAR!$J$6,$AI700))),OR(BUSCAR!$J$8="",ISNUMBER(SEARCH(BUSCAR!$J$8,$AI700))),OR(BUSCAR!$J$9="",ISNUMBER(SEARCH(BUSCAR!$J$9,$AI700))),OR(NOT(BUSCAR!$J$2),AND(ISNUMBER($AF700),$AF700&gt;=BUSCAR!$J$3,$AF700&lt;=BUSCAR!$J$4))),1,0))</f>
      </c>
      <c r="AH700" s="42">
        <f t="shared" si="30"/>
      </c>
      <c r="AI700" s="42">
        <f t="shared" si="31"/>
      </c>
    </row>
    <row r="701" spans="1:35" x14ac:dyDescent="0.2">
      <c r="A701" s="66">
        <f t="shared" si="32"/>
      </c>
      <c r="B701" s="4"/>
      <c r="C701" s="4"/>
      <c r="D701" s="4"/>
      <c r="E701" s="4"/>
      <c r="F701" s="24"/>
      <c r="G701" s="8"/>
      <c r="H701" s="9"/>
      <c r="I701" s="8"/>
      <c r="J701" s="10"/>
      <c r="K701" s="8"/>
      <c r="L701" s="8"/>
      <c r="M701" s="8"/>
      <c r="N701" s="11"/>
      <c r="O701" s="9"/>
      <c r="P701" s="12"/>
      <c r="Q701" s="9"/>
      <c r="R701" s="13"/>
      <c r="S701" s="11"/>
      <c r="T701" s="11"/>
      <c r="U701" s="9"/>
      <c r="V701" s="9"/>
      <c r="W701" s="9"/>
      <c r="X701" s="16"/>
      <c r="AF701" s="42">
        <f>IF(BUSCAR!$C$8="FECHA NAC.",$G701,IF(BUSCAR!$C$8="PASAPORTE EXPIRA",$J701,IF(BUSCAR!$C$8="LICENCIA EMISION",$L701,IF(BUSCAR!$C$8="LICENCIA EXPIRA",$M701,""))))</f>
      </c>
      <c r="AG701" s="42">
        <f>IF($B701&amp;$C701&amp;$D701&amp;$E701&amp;$H701="",0,IF(AND(OR(BUSCAR!$J$5="",ISNUMBER(SEARCH(BUSCAR!$J$5,$AI701))),OR(BUSCAR!$J$6="",ISNUMBER(SEARCH(BUSCAR!$J$6,$AI701))),OR(BUSCAR!$J$8="",ISNUMBER(SEARCH(BUSCAR!$J$8,$AI701))),OR(BUSCAR!$J$9="",ISNUMBER(SEARCH(BUSCAR!$J$9,$AI701))),OR(NOT(BUSCAR!$J$2),AND(ISNUMBER($AF701),$AF701&gt;=BUSCAR!$J$3,$AF701&lt;=BUSCAR!$J$4))),1,0))</f>
      </c>
      <c r="AH701" s="42">
        <f t="shared" si="30"/>
      </c>
      <c r="AI701" s="42">
        <f t="shared" si="31"/>
      </c>
    </row>
    <row r="702" spans="1:35" x14ac:dyDescent="0.2">
      <c r="A702" s="66">
        <f t="shared" si="32"/>
      </c>
      <c r="B702" s="4"/>
      <c r="C702" s="4"/>
      <c r="D702" s="4"/>
      <c r="E702" s="4"/>
      <c r="F702" s="24"/>
      <c r="G702" s="8"/>
      <c r="H702" s="9"/>
      <c r="I702" s="8"/>
      <c r="J702" s="10"/>
      <c r="K702" s="8"/>
      <c r="L702" s="8"/>
      <c r="M702" s="8"/>
      <c r="N702" s="11"/>
      <c r="O702" s="9"/>
      <c r="P702" s="12"/>
      <c r="Q702" s="9"/>
      <c r="R702" s="13"/>
      <c r="S702" s="11"/>
      <c r="T702" s="11"/>
      <c r="U702" s="9"/>
      <c r="V702" s="9"/>
      <c r="W702" s="9"/>
      <c r="X702" s="16"/>
      <c r="AF702" s="42">
        <f>IF(BUSCAR!$C$8="FECHA NAC.",$G702,IF(BUSCAR!$C$8="PASAPORTE EXPIRA",$J702,IF(BUSCAR!$C$8="LICENCIA EMISION",$L702,IF(BUSCAR!$C$8="LICENCIA EXPIRA",$M702,""))))</f>
      </c>
      <c r="AG702" s="42">
        <f>IF($B702&amp;$C702&amp;$D702&amp;$E702&amp;$H702="",0,IF(AND(OR(BUSCAR!$J$5="",ISNUMBER(SEARCH(BUSCAR!$J$5,$AI702))),OR(BUSCAR!$J$6="",ISNUMBER(SEARCH(BUSCAR!$J$6,$AI702))),OR(BUSCAR!$J$8="",ISNUMBER(SEARCH(BUSCAR!$J$8,$AI702))),OR(BUSCAR!$J$9="",ISNUMBER(SEARCH(BUSCAR!$J$9,$AI702))),OR(NOT(BUSCAR!$J$2),AND(ISNUMBER($AF702),$AF702&gt;=BUSCAR!$J$3,$AF702&lt;=BUSCAR!$J$4))),1,0))</f>
      </c>
      <c r="AH702" s="42">
        <f t="shared" si="30"/>
      </c>
      <c r="AI702" s="42">
        <f t="shared" si="31"/>
      </c>
    </row>
    <row r="703" spans="1:35" x14ac:dyDescent="0.2">
      <c r="A703" s="66">
        <f t="shared" si="32"/>
      </c>
      <c r="B703" s="4"/>
      <c r="C703" s="4"/>
      <c r="D703" s="4"/>
      <c r="E703" s="4"/>
      <c r="F703" s="24"/>
      <c r="G703" s="8"/>
      <c r="H703" s="9"/>
      <c r="I703" s="8"/>
      <c r="J703" s="10"/>
      <c r="K703" s="8"/>
      <c r="L703" s="8"/>
      <c r="M703" s="8"/>
      <c r="N703" s="11"/>
      <c r="O703" s="9"/>
      <c r="P703" s="12"/>
      <c r="Q703" s="9"/>
      <c r="R703" s="13"/>
      <c r="S703" s="11"/>
      <c r="T703" s="11"/>
      <c r="U703" s="9"/>
      <c r="V703" s="9"/>
      <c r="W703" s="9"/>
      <c r="X703" s="16"/>
      <c r="AF703" s="42">
        <f>IF(BUSCAR!$C$8="FECHA NAC.",$G703,IF(BUSCAR!$C$8="PASAPORTE EXPIRA",$J703,IF(BUSCAR!$C$8="LICENCIA EMISION",$L703,IF(BUSCAR!$C$8="LICENCIA EXPIRA",$M703,""))))</f>
      </c>
      <c r="AG703" s="42">
        <f>IF($B703&amp;$C703&amp;$D703&amp;$E703&amp;$H703="",0,IF(AND(OR(BUSCAR!$J$5="",ISNUMBER(SEARCH(BUSCAR!$J$5,$AI703))),OR(BUSCAR!$J$6="",ISNUMBER(SEARCH(BUSCAR!$J$6,$AI703))),OR(BUSCAR!$J$8="",ISNUMBER(SEARCH(BUSCAR!$J$8,$AI703))),OR(BUSCAR!$J$9="",ISNUMBER(SEARCH(BUSCAR!$J$9,$AI703))),OR(NOT(BUSCAR!$J$2),AND(ISNUMBER($AF703),$AF703&gt;=BUSCAR!$J$3,$AF703&lt;=BUSCAR!$J$4))),1,0))</f>
      </c>
      <c r="AH703" s="42">
        <f t="shared" si="30"/>
      </c>
      <c r="AI703" s="42">
        <f t="shared" si="31"/>
      </c>
    </row>
    <row r="704" spans="1:35" x14ac:dyDescent="0.2">
      <c r="A704" s="66">
        <f t="shared" si="32"/>
      </c>
      <c r="B704" s="4"/>
      <c r="C704" s="4"/>
      <c r="D704" s="4"/>
      <c r="E704" s="4"/>
      <c r="F704" s="24"/>
      <c r="G704" s="8"/>
      <c r="H704" s="9"/>
      <c r="I704" s="8"/>
      <c r="J704" s="10"/>
      <c r="K704" s="8"/>
      <c r="L704" s="8"/>
      <c r="M704" s="8"/>
      <c r="N704" s="11"/>
      <c r="O704" s="9"/>
      <c r="P704" s="12"/>
      <c r="Q704" s="9"/>
      <c r="R704" s="13"/>
      <c r="S704" s="11"/>
      <c r="T704" s="11"/>
      <c r="U704" s="9"/>
      <c r="V704" s="9"/>
      <c r="W704" s="9"/>
      <c r="X704" s="16"/>
      <c r="AF704" s="42">
        <f>IF(BUSCAR!$C$8="FECHA NAC.",$G704,IF(BUSCAR!$C$8="PASAPORTE EXPIRA",$J704,IF(BUSCAR!$C$8="LICENCIA EMISION",$L704,IF(BUSCAR!$C$8="LICENCIA EXPIRA",$M704,""))))</f>
      </c>
      <c r="AG704" s="42">
        <f>IF($B704&amp;$C704&amp;$D704&amp;$E704&amp;$H704="",0,IF(AND(OR(BUSCAR!$J$5="",ISNUMBER(SEARCH(BUSCAR!$J$5,$AI704))),OR(BUSCAR!$J$6="",ISNUMBER(SEARCH(BUSCAR!$J$6,$AI704))),OR(BUSCAR!$J$8="",ISNUMBER(SEARCH(BUSCAR!$J$8,$AI704))),OR(BUSCAR!$J$9="",ISNUMBER(SEARCH(BUSCAR!$J$9,$AI704))),OR(NOT(BUSCAR!$J$2),AND(ISNUMBER($AF704),$AF704&gt;=BUSCAR!$J$3,$AF704&lt;=BUSCAR!$J$4))),1,0))</f>
      </c>
      <c r="AH704" s="42">
        <f t="shared" si="30"/>
      </c>
      <c r="AI704" s="42">
        <f t="shared" si="31"/>
      </c>
    </row>
    <row r="705" spans="1:35" x14ac:dyDescent="0.2">
      <c r="A705" s="66">
        <f t="shared" si="32"/>
      </c>
      <c r="B705" s="4"/>
      <c r="C705" s="4"/>
      <c r="D705" s="4"/>
      <c r="E705" s="4"/>
      <c r="F705" s="24"/>
      <c r="G705" s="8"/>
      <c r="H705" s="9"/>
      <c r="I705" s="8"/>
      <c r="J705" s="10"/>
      <c r="K705" s="8"/>
      <c r="L705" s="8"/>
      <c r="M705" s="8"/>
      <c r="N705" s="11"/>
      <c r="O705" s="9"/>
      <c r="P705" s="12"/>
      <c r="Q705" s="9"/>
      <c r="R705" s="13"/>
      <c r="S705" s="11"/>
      <c r="T705" s="11"/>
      <c r="U705" s="9"/>
      <c r="V705" s="9"/>
      <c r="W705" s="9"/>
      <c r="X705" s="16"/>
      <c r="AF705" s="42">
        <f>IF(BUSCAR!$C$8="FECHA NAC.",$G705,IF(BUSCAR!$C$8="PASAPORTE EXPIRA",$J705,IF(BUSCAR!$C$8="LICENCIA EMISION",$L705,IF(BUSCAR!$C$8="LICENCIA EXPIRA",$M705,""))))</f>
      </c>
      <c r="AG705" s="42">
        <f>IF($B705&amp;$C705&amp;$D705&amp;$E705&amp;$H705="",0,IF(AND(OR(BUSCAR!$J$5="",ISNUMBER(SEARCH(BUSCAR!$J$5,$AI705))),OR(BUSCAR!$J$6="",ISNUMBER(SEARCH(BUSCAR!$J$6,$AI705))),OR(BUSCAR!$J$8="",ISNUMBER(SEARCH(BUSCAR!$J$8,$AI705))),OR(BUSCAR!$J$9="",ISNUMBER(SEARCH(BUSCAR!$J$9,$AI705))),OR(NOT(BUSCAR!$J$2),AND(ISNUMBER($AF705),$AF705&gt;=BUSCAR!$J$3,$AF705&lt;=BUSCAR!$J$4))),1,0))</f>
      </c>
      <c r="AH705" s="42">
        <f t="shared" si="30"/>
      </c>
      <c r="AI705" s="42">
        <f t="shared" si="31"/>
      </c>
    </row>
    <row r="706" spans="1:35" x14ac:dyDescent="0.2">
      <c r="A706" s="66">
        <f t="shared" si="32"/>
      </c>
      <c r="B706" s="4"/>
      <c r="C706" s="4"/>
      <c r="D706" s="4"/>
      <c r="E706" s="4"/>
      <c r="F706" s="24"/>
      <c r="G706" s="8"/>
      <c r="H706" s="9"/>
      <c r="I706" s="8"/>
      <c r="J706" s="10"/>
      <c r="K706" s="8"/>
      <c r="L706" s="8"/>
      <c r="M706" s="8"/>
      <c r="N706" s="11"/>
      <c r="O706" s="9"/>
      <c r="P706" s="12"/>
      <c r="Q706" s="9"/>
      <c r="R706" s="13"/>
      <c r="S706" s="11"/>
      <c r="T706" s="11"/>
      <c r="U706" s="9"/>
      <c r="V706" s="9"/>
      <c r="W706" s="9"/>
      <c r="X706" s="16"/>
      <c r="AF706" s="42">
        <f>IF(BUSCAR!$C$8="FECHA NAC.",$G706,IF(BUSCAR!$C$8="PASAPORTE EXPIRA",$J706,IF(BUSCAR!$C$8="LICENCIA EMISION",$L706,IF(BUSCAR!$C$8="LICENCIA EXPIRA",$M706,""))))</f>
      </c>
      <c r="AG706" s="42">
        <f>IF($B706&amp;$C706&amp;$D706&amp;$E706&amp;$H706="",0,IF(AND(OR(BUSCAR!$J$5="",ISNUMBER(SEARCH(BUSCAR!$J$5,$AI706))),OR(BUSCAR!$J$6="",ISNUMBER(SEARCH(BUSCAR!$J$6,$AI706))),OR(BUSCAR!$J$8="",ISNUMBER(SEARCH(BUSCAR!$J$8,$AI706))),OR(BUSCAR!$J$9="",ISNUMBER(SEARCH(BUSCAR!$J$9,$AI706))),OR(NOT(BUSCAR!$J$2),AND(ISNUMBER($AF706),$AF706&gt;=BUSCAR!$J$3,$AF706&lt;=BUSCAR!$J$4))),1,0))</f>
      </c>
      <c r="AH706" s="42">
        <f t="shared" si="30"/>
      </c>
      <c r="AI706" s="42">
        <f t="shared" si="31"/>
      </c>
    </row>
    <row r="707" spans="1:35" x14ac:dyDescent="0.2">
      <c r="A707" s="66">
        <f t="shared" si="32"/>
      </c>
      <c r="B707" s="4"/>
      <c r="C707" s="4"/>
      <c r="D707" s="4"/>
      <c r="E707" s="4"/>
      <c r="F707" s="24"/>
      <c r="G707" s="8"/>
      <c r="H707" s="9"/>
      <c r="I707" s="8"/>
      <c r="J707" s="10"/>
      <c r="K707" s="8"/>
      <c r="L707" s="8"/>
      <c r="M707" s="8"/>
      <c r="N707" s="11"/>
      <c r="O707" s="9"/>
      <c r="P707" s="12"/>
      <c r="Q707" s="9"/>
      <c r="R707" s="13"/>
      <c r="S707" s="11"/>
      <c r="T707" s="11"/>
      <c r="U707" s="9"/>
      <c r="V707" s="9"/>
      <c r="W707" s="9"/>
      <c r="X707" s="16"/>
      <c r="AF707" s="42">
        <f>IF(BUSCAR!$C$8="FECHA NAC.",$G707,IF(BUSCAR!$C$8="PASAPORTE EXPIRA",$J707,IF(BUSCAR!$C$8="LICENCIA EMISION",$L707,IF(BUSCAR!$C$8="LICENCIA EXPIRA",$M707,""))))</f>
      </c>
      <c r="AG707" s="42">
        <f>IF($B707&amp;$C707&amp;$D707&amp;$E707&amp;$H707="",0,IF(AND(OR(BUSCAR!$J$5="",ISNUMBER(SEARCH(BUSCAR!$J$5,$AI707))),OR(BUSCAR!$J$6="",ISNUMBER(SEARCH(BUSCAR!$J$6,$AI707))),OR(BUSCAR!$J$8="",ISNUMBER(SEARCH(BUSCAR!$J$8,$AI707))),OR(BUSCAR!$J$9="",ISNUMBER(SEARCH(BUSCAR!$J$9,$AI707))),OR(NOT(BUSCAR!$J$2),AND(ISNUMBER($AF707),$AF707&gt;=BUSCAR!$J$3,$AF707&lt;=BUSCAR!$J$4))),1,0))</f>
      </c>
      <c r="AH707" s="42">
        <f t="shared" ref="AH707:AH770" si="33">AH706+AG707</f>
      </c>
      <c r="AI707" s="42">
        <f t="shared" ref="AI707:AI770" si="34">IF($B707&amp;" "&amp;$C707&amp;" "&amp;$D707&amp;" "&amp;$E707&amp;" "&amp;$H707&amp;" "&amp;$K707&amp;" "&amp;$R707&amp;" "&amp;$AC707&amp;" "&amp;$AD707="","",SUBSTITUTE(SUBSTITUTE(SUBSTITUTE(SUBSTITUTE(SUBSTITUTE(SUBSTITUTE(SUBSTITUTE(UPPER($B707&amp;" "&amp;$C707&amp;" "&amp;$D707&amp;" "&amp;$E707&amp;" "&amp;$H707&amp;" "&amp;$K707&amp;" "&amp;$R707&amp;" "&amp;$AC707&amp;" "&amp;$AD707),"Á","A"),"É","E"),"Í","I"),"Ó","O"),"Ú","U"),"Ü","U"),"Ñ","N"))</f>
      </c>
    </row>
    <row r="708" spans="1:35" x14ac:dyDescent="0.2">
      <c r="A708" s="66">
        <f t="shared" ref="A708:A771" si="35">A707+1</f>
      </c>
      <c r="B708" s="4"/>
      <c r="C708" s="4"/>
      <c r="D708" s="4"/>
      <c r="E708" s="4"/>
      <c r="F708" s="24"/>
      <c r="G708" s="8"/>
      <c r="H708" s="9"/>
      <c r="I708" s="8"/>
      <c r="J708" s="10"/>
      <c r="K708" s="8"/>
      <c r="L708" s="8"/>
      <c r="M708" s="8"/>
      <c r="N708" s="11"/>
      <c r="O708" s="9"/>
      <c r="P708" s="12"/>
      <c r="Q708" s="9"/>
      <c r="R708" s="13"/>
      <c r="S708" s="11"/>
      <c r="T708" s="11"/>
      <c r="U708" s="9"/>
      <c r="V708" s="9"/>
      <c r="W708" s="9"/>
      <c r="X708" s="16"/>
      <c r="AF708" s="42">
        <f>IF(BUSCAR!$C$8="FECHA NAC.",$G708,IF(BUSCAR!$C$8="PASAPORTE EXPIRA",$J708,IF(BUSCAR!$C$8="LICENCIA EMISION",$L708,IF(BUSCAR!$C$8="LICENCIA EXPIRA",$M708,""))))</f>
      </c>
      <c r="AG708" s="42">
        <f>IF($B708&amp;$C708&amp;$D708&amp;$E708&amp;$H708="",0,IF(AND(OR(BUSCAR!$J$5="",ISNUMBER(SEARCH(BUSCAR!$J$5,$AI708))),OR(BUSCAR!$J$6="",ISNUMBER(SEARCH(BUSCAR!$J$6,$AI708))),OR(BUSCAR!$J$8="",ISNUMBER(SEARCH(BUSCAR!$J$8,$AI708))),OR(BUSCAR!$J$9="",ISNUMBER(SEARCH(BUSCAR!$J$9,$AI708))),OR(NOT(BUSCAR!$J$2),AND(ISNUMBER($AF708),$AF708&gt;=BUSCAR!$J$3,$AF708&lt;=BUSCAR!$J$4))),1,0))</f>
      </c>
      <c r="AH708" s="42">
        <f t="shared" si="33"/>
      </c>
      <c r="AI708" s="42">
        <f t="shared" si="34"/>
      </c>
    </row>
    <row r="709" spans="1:35" x14ac:dyDescent="0.2">
      <c r="A709" s="66">
        <f t="shared" si="35"/>
      </c>
      <c r="B709" s="4"/>
      <c r="C709" s="4"/>
      <c r="D709" s="4"/>
      <c r="E709" s="4"/>
      <c r="F709" s="24"/>
      <c r="G709" s="8"/>
      <c r="H709" s="9"/>
      <c r="I709" s="8"/>
      <c r="J709" s="10"/>
      <c r="K709" s="8"/>
      <c r="L709" s="8"/>
      <c r="M709" s="8"/>
      <c r="N709" s="11"/>
      <c r="O709" s="9"/>
      <c r="P709" s="12"/>
      <c r="Q709" s="9"/>
      <c r="R709" s="13"/>
      <c r="S709" s="11"/>
      <c r="T709" s="11"/>
      <c r="U709" s="9"/>
      <c r="V709" s="9"/>
      <c r="W709" s="9"/>
      <c r="X709" s="16"/>
      <c r="AF709" s="42">
        <f>IF(BUSCAR!$C$8="FECHA NAC.",$G709,IF(BUSCAR!$C$8="PASAPORTE EXPIRA",$J709,IF(BUSCAR!$C$8="LICENCIA EMISION",$L709,IF(BUSCAR!$C$8="LICENCIA EXPIRA",$M709,""))))</f>
      </c>
      <c r="AG709" s="42">
        <f>IF($B709&amp;$C709&amp;$D709&amp;$E709&amp;$H709="",0,IF(AND(OR(BUSCAR!$J$5="",ISNUMBER(SEARCH(BUSCAR!$J$5,$AI709))),OR(BUSCAR!$J$6="",ISNUMBER(SEARCH(BUSCAR!$J$6,$AI709))),OR(BUSCAR!$J$8="",ISNUMBER(SEARCH(BUSCAR!$J$8,$AI709))),OR(BUSCAR!$J$9="",ISNUMBER(SEARCH(BUSCAR!$J$9,$AI709))),OR(NOT(BUSCAR!$J$2),AND(ISNUMBER($AF709),$AF709&gt;=BUSCAR!$J$3,$AF709&lt;=BUSCAR!$J$4))),1,0))</f>
      </c>
      <c r="AH709" s="42">
        <f t="shared" si="33"/>
      </c>
      <c r="AI709" s="42">
        <f t="shared" si="34"/>
      </c>
    </row>
    <row r="710" spans="1:35" x14ac:dyDescent="0.2">
      <c r="A710" s="66">
        <f t="shared" si="35"/>
      </c>
      <c r="B710" s="4"/>
      <c r="C710" s="4"/>
      <c r="D710" s="4"/>
      <c r="E710" s="4"/>
      <c r="F710" s="24"/>
      <c r="G710" s="8"/>
      <c r="H710" s="9"/>
      <c r="I710" s="8"/>
      <c r="J710" s="10"/>
      <c r="K710" s="8"/>
      <c r="L710" s="8"/>
      <c r="M710" s="8"/>
      <c r="N710" s="11"/>
      <c r="O710" s="9"/>
      <c r="P710" s="12"/>
      <c r="Q710" s="9"/>
      <c r="R710" s="13"/>
      <c r="S710" s="11"/>
      <c r="T710" s="11"/>
      <c r="U710" s="9"/>
      <c r="V710" s="9"/>
      <c r="W710" s="9"/>
      <c r="X710" s="16"/>
      <c r="AF710" s="42">
        <f>IF(BUSCAR!$C$8="FECHA NAC.",$G710,IF(BUSCAR!$C$8="PASAPORTE EXPIRA",$J710,IF(BUSCAR!$C$8="LICENCIA EMISION",$L710,IF(BUSCAR!$C$8="LICENCIA EXPIRA",$M710,""))))</f>
      </c>
      <c r="AG710" s="42">
        <f>IF($B710&amp;$C710&amp;$D710&amp;$E710&amp;$H710="",0,IF(AND(OR(BUSCAR!$J$5="",ISNUMBER(SEARCH(BUSCAR!$J$5,$AI710))),OR(BUSCAR!$J$6="",ISNUMBER(SEARCH(BUSCAR!$J$6,$AI710))),OR(BUSCAR!$J$8="",ISNUMBER(SEARCH(BUSCAR!$J$8,$AI710))),OR(BUSCAR!$J$9="",ISNUMBER(SEARCH(BUSCAR!$J$9,$AI710))),OR(NOT(BUSCAR!$J$2),AND(ISNUMBER($AF710),$AF710&gt;=BUSCAR!$J$3,$AF710&lt;=BUSCAR!$J$4))),1,0))</f>
      </c>
      <c r="AH710" s="42">
        <f t="shared" si="33"/>
      </c>
      <c r="AI710" s="42">
        <f t="shared" si="34"/>
      </c>
    </row>
    <row r="711" spans="1:35" x14ac:dyDescent="0.2">
      <c r="A711" s="66">
        <f t="shared" si="35"/>
      </c>
      <c r="B711" s="4"/>
      <c r="C711" s="4"/>
      <c r="D711" s="4"/>
      <c r="E711" s="4"/>
      <c r="F711" s="24"/>
      <c r="G711" s="8"/>
      <c r="H711" s="9"/>
      <c r="I711" s="8"/>
      <c r="J711" s="10"/>
      <c r="K711" s="8"/>
      <c r="L711" s="8"/>
      <c r="M711" s="8"/>
      <c r="N711" s="11"/>
      <c r="O711" s="9"/>
      <c r="P711" s="12"/>
      <c r="Q711" s="9"/>
      <c r="R711" s="13"/>
      <c r="S711" s="11"/>
      <c r="T711" s="11"/>
      <c r="U711" s="9"/>
      <c r="V711" s="9"/>
      <c r="W711" s="9"/>
      <c r="X711" s="16"/>
      <c r="AF711" s="42">
        <f>IF(BUSCAR!$C$8="FECHA NAC.",$G711,IF(BUSCAR!$C$8="PASAPORTE EXPIRA",$J711,IF(BUSCAR!$C$8="LICENCIA EMISION",$L711,IF(BUSCAR!$C$8="LICENCIA EXPIRA",$M711,""))))</f>
      </c>
      <c r="AG711" s="42">
        <f>IF($B711&amp;$C711&amp;$D711&amp;$E711&amp;$H711="",0,IF(AND(OR(BUSCAR!$J$5="",ISNUMBER(SEARCH(BUSCAR!$J$5,$AI711))),OR(BUSCAR!$J$6="",ISNUMBER(SEARCH(BUSCAR!$J$6,$AI711))),OR(BUSCAR!$J$8="",ISNUMBER(SEARCH(BUSCAR!$J$8,$AI711))),OR(BUSCAR!$J$9="",ISNUMBER(SEARCH(BUSCAR!$J$9,$AI711))),OR(NOT(BUSCAR!$J$2),AND(ISNUMBER($AF711),$AF711&gt;=BUSCAR!$J$3,$AF711&lt;=BUSCAR!$J$4))),1,0))</f>
      </c>
      <c r="AH711" s="42">
        <f t="shared" si="33"/>
      </c>
      <c r="AI711" s="42">
        <f t="shared" si="34"/>
      </c>
    </row>
    <row r="712" spans="1:35" x14ac:dyDescent="0.2">
      <c r="A712" s="66">
        <f t="shared" si="35"/>
      </c>
      <c r="B712" s="4"/>
      <c r="C712" s="4"/>
      <c r="D712" s="4"/>
      <c r="E712" s="4"/>
      <c r="F712" s="24"/>
      <c r="G712" s="8"/>
      <c r="H712" s="9"/>
      <c r="I712" s="8"/>
      <c r="J712" s="10"/>
      <c r="K712" s="8"/>
      <c r="L712" s="8"/>
      <c r="M712" s="8"/>
      <c r="N712" s="11"/>
      <c r="O712" s="9"/>
      <c r="P712" s="12"/>
      <c r="Q712" s="9"/>
      <c r="R712" s="13"/>
      <c r="S712" s="11"/>
      <c r="T712" s="11"/>
      <c r="U712" s="9"/>
      <c r="V712" s="9"/>
      <c r="W712" s="9"/>
      <c r="X712" s="16"/>
      <c r="AF712" s="42">
        <f>IF(BUSCAR!$C$8="FECHA NAC.",$G712,IF(BUSCAR!$C$8="PASAPORTE EXPIRA",$J712,IF(BUSCAR!$C$8="LICENCIA EMISION",$L712,IF(BUSCAR!$C$8="LICENCIA EXPIRA",$M712,""))))</f>
      </c>
      <c r="AG712" s="42">
        <f>IF($B712&amp;$C712&amp;$D712&amp;$E712&amp;$H712="",0,IF(AND(OR(BUSCAR!$J$5="",ISNUMBER(SEARCH(BUSCAR!$J$5,$AI712))),OR(BUSCAR!$J$6="",ISNUMBER(SEARCH(BUSCAR!$J$6,$AI712))),OR(BUSCAR!$J$8="",ISNUMBER(SEARCH(BUSCAR!$J$8,$AI712))),OR(BUSCAR!$J$9="",ISNUMBER(SEARCH(BUSCAR!$J$9,$AI712))),OR(NOT(BUSCAR!$J$2),AND(ISNUMBER($AF712),$AF712&gt;=BUSCAR!$J$3,$AF712&lt;=BUSCAR!$J$4))),1,0))</f>
      </c>
      <c r="AH712" s="42">
        <f t="shared" si="33"/>
      </c>
      <c r="AI712" s="42">
        <f t="shared" si="34"/>
      </c>
    </row>
    <row r="713" spans="1:35" x14ac:dyDescent="0.2">
      <c r="A713" s="66">
        <f t="shared" si="35"/>
      </c>
      <c r="B713" s="4"/>
      <c r="C713" s="4"/>
      <c r="D713" s="4"/>
      <c r="E713" s="4"/>
      <c r="F713" s="24"/>
      <c r="G713" s="8"/>
      <c r="H713" s="9"/>
      <c r="I713" s="8"/>
      <c r="J713" s="10"/>
      <c r="K713" s="8"/>
      <c r="L713" s="8"/>
      <c r="M713" s="8"/>
      <c r="N713" s="11"/>
      <c r="O713" s="9"/>
      <c r="P713" s="12"/>
      <c r="Q713" s="9"/>
      <c r="R713" s="13"/>
      <c r="S713" s="11"/>
      <c r="T713" s="11"/>
      <c r="U713" s="9"/>
      <c r="V713" s="9"/>
      <c r="W713" s="9"/>
      <c r="X713" s="16"/>
      <c r="AF713" s="42">
        <f>IF(BUSCAR!$C$8="FECHA NAC.",$G713,IF(BUSCAR!$C$8="PASAPORTE EXPIRA",$J713,IF(BUSCAR!$C$8="LICENCIA EMISION",$L713,IF(BUSCAR!$C$8="LICENCIA EXPIRA",$M713,""))))</f>
      </c>
      <c r="AG713" s="42">
        <f>IF($B713&amp;$C713&amp;$D713&amp;$E713&amp;$H713="",0,IF(AND(OR(BUSCAR!$J$5="",ISNUMBER(SEARCH(BUSCAR!$J$5,$AI713))),OR(BUSCAR!$J$6="",ISNUMBER(SEARCH(BUSCAR!$J$6,$AI713))),OR(BUSCAR!$J$8="",ISNUMBER(SEARCH(BUSCAR!$J$8,$AI713))),OR(BUSCAR!$J$9="",ISNUMBER(SEARCH(BUSCAR!$J$9,$AI713))),OR(NOT(BUSCAR!$J$2),AND(ISNUMBER($AF713),$AF713&gt;=BUSCAR!$J$3,$AF713&lt;=BUSCAR!$J$4))),1,0))</f>
      </c>
      <c r="AH713" s="42">
        <f t="shared" si="33"/>
      </c>
      <c r="AI713" s="42">
        <f t="shared" si="34"/>
      </c>
    </row>
    <row r="714" spans="1:35" x14ac:dyDescent="0.2">
      <c r="A714" s="66">
        <f t="shared" si="35"/>
      </c>
      <c r="B714" s="4"/>
      <c r="C714" s="4"/>
      <c r="D714" s="4"/>
      <c r="E714" s="4"/>
      <c r="F714" s="24"/>
      <c r="G714" s="8"/>
      <c r="H714" s="9"/>
      <c r="I714" s="8"/>
      <c r="J714" s="10"/>
      <c r="K714" s="8"/>
      <c r="L714" s="8"/>
      <c r="M714" s="8"/>
      <c r="N714" s="11"/>
      <c r="O714" s="9"/>
      <c r="P714" s="12"/>
      <c r="Q714" s="9"/>
      <c r="R714" s="13"/>
      <c r="S714" s="11"/>
      <c r="T714" s="11"/>
      <c r="U714" s="9"/>
      <c r="V714" s="9"/>
      <c r="W714" s="9"/>
      <c r="X714" s="16"/>
      <c r="AF714" s="42">
        <f>IF(BUSCAR!$C$8="FECHA NAC.",$G714,IF(BUSCAR!$C$8="PASAPORTE EXPIRA",$J714,IF(BUSCAR!$C$8="LICENCIA EMISION",$L714,IF(BUSCAR!$C$8="LICENCIA EXPIRA",$M714,""))))</f>
      </c>
      <c r="AG714" s="42">
        <f>IF($B714&amp;$C714&amp;$D714&amp;$E714&amp;$H714="",0,IF(AND(OR(BUSCAR!$J$5="",ISNUMBER(SEARCH(BUSCAR!$J$5,$AI714))),OR(BUSCAR!$J$6="",ISNUMBER(SEARCH(BUSCAR!$J$6,$AI714))),OR(BUSCAR!$J$8="",ISNUMBER(SEARCH(BUSCAR!$J$8,$AI714))),OR(BUSCAR!$J$9="",ISNUMBER(SEARCH(BUSCAR!$J$9,$AI714))),OR(NOT(BUSCAR!$J$2),AND(ISNUMBER($AF714),$AF714&gt;=BUSCAR!$J$3,$AF714&lt;=BUSCAR!$J$4))),1,0))</f>
      </c>
      <c r="AH714" s="42">
        <f t="shared" si="33"/>
      </c>
      <c r="AI714" s="42">
        <f t="shared" si="34"/>
      </c>
    </row>
    <row r="715" spans="1:35" x14ac:dyDescent="0.2">
      <c r="A715" s="66">
        <f t="shared" si="35"/>
      </c>
      <c r="B715" s="4"/>
      <c r="C715" s="4"/>
      <c r="D715" s="4"/>
      <c r="E715" s="4"/>
      <c r="F715" s="24"/>
      <c r="G715" s="8"/>
      <c r="H715" s="9"/>
      <c r="I715" s="8"/>
      <c r="J715" s="10"/>
      <c r="K715" s="8"/>
      <c r="L715" s="8"/>
      <c r="M715" s="8"/>
      <c r="N715" s="11"/>
      <c r="O715" s="9"/>
      <c r="P715" s="12"/>
      <c r="Q715" s="9"/>
      <c r="R715" s="13"/>
      <c r="S715" s="11"/>
      <c r="T715" s="11"/>
      <c r="U715" s="9"/>
      <c r="V715" s="9"/>
      <c r="W715" s="9"/>
      <c r="X715" s="16"/>
      <c r="AF715" s="42">
        <f>IF(BUSCAR!$C$8="FECHA NAC.",$G715,IF(BUSCAR!$C$8="PASAPORTE EXPIRA",$J715,IF(BUSCAR!$C$8="LICENCIA EMISION",$L715,IF(BUSCAR!$C$8="LICENCIA EXPIRA",$M715,""))))</f>
      </c>
      <c r="AG715" s="42">
        <f>IF($B715&amp;$C715&amp;$D715&amp;$E715&amp;$H715="",0,IF(AND(OR(BUSCAR!$J$5="",ISNUMBER(SEARCH(BUSCAR!$J$5,$AI715))),OR(BUSCAR!$J$6="",ISNUMBER(SEARCH(BUSCAR!$J$6,$AI715))),OR(BUSCAR!$J$8="",ISNUMBER(SEARCH(BUSCAR!$J$8,$AI715))),OR(BUSCAR!$J$9="",ISNUMBER(SEARCH(BUSCAR!$J$9,$AI715))),OR(NOT(BUSCAR!$J$2),AND(ISNUMBER($AF715),$AF715&gt;=BUSCAR!$J$3,$AF715&lt;=BUSCAR!$J$4))),1,0))</f>
      </c>
      <c r="AH715" s="42">
        <f t="shared" si="33"/>
      </c>
      <c r="AI715" s="42">
        <f t="shared" si="34"/>
      </c>
    </row>
    <row r="716" spans="1:35" x14ac:dyDescent="0.2">
      <c r="A716" s="66">
        <f t="shared" si="35"/>
      </c>
      <c r="B716" s="4"/>
      <c r="C716" s="4"/>
      <c r="D716" s="4"/>
      <c r="E716" s="4"/>
      <c r="F716" s="24"/>
      <c r="G716" s="8"/>
      <c r="H716" s="9"/>
      <c r="I716" s="8"/>
      <c r="J716" s="10"/>
      <c r="K716" s="8"/>
      <c r="L716" s="8"/>
      <c r="M716" s="8"/>
      <c r="N716" s="11"/>
      <c r="O716" s="9"/>
      <c r="P716" s="12"/>
      <c r="Q716" s="9"/>
      <c r="R716" s="13"/>
      <c r="S716" s="9"/>
      <c r="T716" s="11"/>
      <c r="U716" s="9"/>
      <c r="V716" s="9"/>
      <c r="W716" s="9"/>
      <c r="X716" s="16"/>
      <c r="AF716" s="42">
        <f>IF(BUSCAR!$C$8="FECHA NAC.",$G716,IF(BUSCAR!$C$8="PASAPORTE EXPIRA",$J716,IF(BUSCAR!$C$8="LICENCIA EMISION",$L716,IF(BUSCAR!$C$8="LICENCIA EXPIRA",$M716,""))))</f>
      </c>
      <c r="AG716" s="42">
        <f>IF($B716&amp;$C716&amp;$D716&amp;$E716&amp;$H716="",0,IF(AND(OR(BUSCAR!$J$5="",ISNUMBER(SEARCH(BUSCAR!$J$5,$AI716))),OR(BUSCAR!$J$6="",ISNUMBER(SEARCH(BUSCAR!$J$6,$AI716))),OR(BUSCAR!$J$8="",ISNUMBER(SEARCH(BUSCAR!$J$8,$AI716))),OR(BUSCAR!$J$9="",ISNUMBER(SEARCH(BUSCAR!$J$9,$AI716))),OR(NOT(BUSCAR!$J$2),AND(ISNUMBER($AF716),$AF716&gt;=BUSCAR!$J$3,$AF716&lt;=BUSCAR!$J$4))),1,0))</f>
      </c>
      <c r="AH716" s="42">
        <f t="shared" si="33"/>
      </c>
      <c r="AI716" s="42">
        <f t="shared" si="34"/>
      </c>
    </row>
    <row r="717" spans="1:35" x14ac:dyDescent="0.2">
      <c r="A717" s="66">
        <f t="shared" si="35"/>
      </c>
      <c r="B717" s="4"/>
      <c r="C717" s="4"/>
      <c r="D717" s="4"/>
      <c r="E717" s="4"/>
      <c r="F717" s="24"/>
      <c r="G717" s="8"/>
      <c r="H717" s="9"/>
      <c r="I717" s="8"/>
      <c r="J717" s="10"/>
      <c r="K717" s="8"/>
      <c r="L717" s="8"/>
      <c r="M717" s="8"/>
      <c r="N717" s="11"/>
      <c r="O717" s="9"/>
      <c r="P717" s="12"/>
      <c r="Q717" s="9"/>
      <c r="R717" s="13"/>
      <c r="S717" s="11"/>
      <c r="T717" s="11"/>
      <c r="U717" s="9"/>
      <c r="V717" s="9"/>
      <c r="W717" s="9"/>
      <c r="X717" s="16"/>
      <c r="AF717" s="42">
        <f>IF(BUSCAR!$C$8="FECHA NAC.",$G717,IF(BUSCAR!$C$8="PASAPORTE EXPIRA",$J717,IF(BUSCAR!$C$8="LICENCIA EMISION",$L717,IF(BUSCAR!$C$8="LICENCIA EXPIRA",$M717,""))))</f>
      </c>
      <c r="AG717" s="42">
        <f>IF($B717&amp;$C717&amp;$D717&amp;$E717&amp;$H717="",0,IF(AND(OR(BUSCAR!$J$5="",ISNUMBER(SEARCH(BUSCAR!$J$5,$AI717))),OR(BUSCAR!$J$6="",ISNUMBER(SEARCH(BUSCAR!$J$6,$AI717))),OR(BUSCAR!$J$8="",ISNUMBER(SEARCH(BUSCAR!$J$8,$AI717))),OR(BUSCAR!$J$9="",ISNUMBER(SEARCH(BUSCAR!$J$9,$AI717))),OR(NOT(BUSCAR!$J$2),AND(ISNUMBER($AF717),$AF717&gt;=BUSCAR!$J$3,$AF717&lt;=BUSCAR!$J$4))),1,0))</f>
      </c>
      <c r="AH717" s="42">
        <f t="shared" si="33"/>
      </c>
      <c r="AI717" s="42">
        <f t="shared" si="34"/>
      </c>
    </row>
    <row r="718" spans="1:35" x14ac:dyDescent="0.2">
      <c r="A718" s="66">
        <f t="shared" si="35"/>
      </c>
      <c r="B718" s="4"/>
      <c r="C718" s="4"/>
      <c r="D718" s="4"/>
      <c r="E718" s="4"/>
      <c r="F718" s="24"/>
      <c r="G718" s="8"/>
      <c r="H718" s="9"/>
      <c r="I718" s="8"/>
      <c r="J718" s="10"/>
      <c r="K718" s="8"/>
      <c r="L718" s="8"/>
      <c r="M718" s="8"/>
      <c r="N718" s="11"/>
      <c r="O718" s="9"/>
      <c r="P718" s="12"/>
      <c r="Q718" s="9"/>
      <c r="R718" s="13"/>
      <c r="S718" s="11"/>
      <c r="T718" s="11"/>
      <c r="U718" s="9"/>
      <c r="V718" s="9"/>
      <c r="W718" s="9"/>
      <c r="X718" s="16"/>
      <c r="AF718" s="42">
        <f>IF(BUSCAR!$C$8="FECHA NAC.",$G718,IF(BUSCAR!$C$8="PASAPORTE EXPIRA",$J718,IF(BUSCAR!$C$8="LICENCIA EMISION",$L718,IF(BUSCAR!$C$8="LICENCIA EXPIRA",$M718,""))))</f>
      </c>
      <c r="AG718" s="42">
        <f>IF($B718&amp;$C718&amp;$D718&amp;$E718&amp;$H718="",0,IF(AND(OR(BUSCAR!$J$5="",ISNUMBER(SEARCH(BUSCAR!$J$5,$AI718))),OR(BUSCAR!$J$6="",ISNUMBER(SEARCH(BUSCAR!$J$6,$AI718))),OR(BUSCAR!$J$8="",ISNUMBER(SEARCH(BUSCAR!$J$8,$AI718))),OR(BUSCAR!$J$9="",ISNUMBER(SEARCH(BUSCAR!$J$9,$AI718))),OR(NOT(BUSCAR!$J$2),AND(ISNUMBER($AF718),$AF718&gt;=BUSCAR!$J$3,$AF718&lt;=BUSCAR!$J$4))),1,0))</f>
      </c>
      <c r="AH718" s="42">
        <f t="shared" si="33"/>
      </c>
      <c r="AI718" s="42">
        <f t="shared" si="34"/>
      </c>
    </row>
    <row r="719" spans="1:35" x14ac:dyDescent="0.2">
      <c r="A719" s="66">
        <f t="shared" si="35"/>
      </c>
      <c r="B719" s="4"/>
      <c r="C719" s="4"/>
      <c r="D719" s="4"/>
      <c r="E719" s="4"/>
      <c r="F719" s="24"/>
      <c r="G719" s="8"/>
      <c r="H719" s="9"/>
      <c r="I719" s="8"/>
      <c r="J719" s="10"/>
      <c r="K719" s="8"/>
      <c r="L719" s="8"/>
      <c r="M719" s="8"/>
      <c r="N719" s="11"/>
      <c r="O719" s="9"/>
      <c r="P719" s="12"/>
      <c r="Q719" s="9"/>
      <c r="R719" s="13"/>
      <c r="S719" s="11"/>
      <c r="T719" s="11"/>
      <c r="U719" s="9"/>
      <c r="V719" s="9"/>
      <c r="W719" s="9"/>
      <c r="X719" s="16"/>
      <c r="AF719" s="42">
        <f>IF(BUSCAR!$C$8="FECHA NAC.",$G719,IF(BUSCAR!$C$8="PASAPORTE EXPIRA",$J719,IF(BUSCAR!$C$8="LICENCIA EMISION",$L719,IF(BUSCAR!$C$8="LICENCIA EXPIRA",$M719,""))))</f>
      </c>
      <c r="AG719" s="42">
        <f>IF($B719&amp;$C719&amp;$D719&amp;$E719&amp;$H719="",0,IF(AND(OR(BUSCAR!$J$5="",ISNUMBER(SEARCH(BUSCAR!$J$5,$AI719))),OR(BUSCAR!$J$6="",ISNUMBER(SEARCH(BUSCAR!$J$6,$AI719))),OR(BUSCAR!$J$8="",ISNUMBER(SEARCH(BUSCAR!$J$8,$AI719))),OR(BUSCAR!$J$9="",ISNUMBER(SEARCH(BUSCAR!$J$9,$AI719))),OR(NOT(BUSCAR!$J$2),AND(ISNUMBER($AF719),$AF719&gt;=BUSCAR!$J$3,$AF719&lt;=BUSCAR!$J$4))),1,0))</f>
      </c>
      <c r="AH719" s="42">
        <f t="shared" si="33"/>
      </c>
      <c r="AI719" s="42">
        <f t="shared" si="34"/>
      </c>
    </row>
    <row r="720" spans="1:35" x14ac:dyDescent="0.2">
      <c r="A720" s="66">
        <f t="shared" si="35"/>
      </c>
      <c r="B720" s="4"/>
      <c r="C720" s="4"/>
      <c r="D720" s="4"/>
      <c r="E720" s="4"/>
      <c r="F720" s="24"/>
      <c r="G720" s="8"/>
      <c r="H720" s="9"/>
      <c r="I720" s="8"/>
      <c r="J720" s="10"/>
      <c r="K720" s="8"/>
      <c r="L720" s="8"/>
      <c r="M720" s="8"/>
      <c r="N720" s="11"/>
      <c r="O720" s="9"/>
      <c r="P720" s="12"/>
      <c r="Q720" s="9"/>
      <c r="R720" s="13"/>
      <c r="S720" s="11"/>
      <c r="T720" s="11"/>
      <c r="U720" s="9"/>
      <c r="V720" s="9"/>
      <c r="W720" s="9"/>
      <c r="X720" s="16"/>
      <c r="AF720" s="42">
        <f>IF(BUSCAR!$C$8="FECHA NAC.",$G720,IF(BUSCAR!$C$8="PASAPORTE EXPIRA",$J720,IF(BUSCAR!$C$8="LICENCIA EMISION",$L720,IF(BUSCAR!$C$8="LICENCIA EXPIRA",$M720,""))))</f>
      </c>
      <c r="AG720" s="42">
        <f>IF($B720&amp;$C720&amp;$D720&amp;$E720&amp;$H720="",0,IF(AND(OR(BUSCAR!$J$5="",ISNUMBER(SEARCH(BUSCAR!$J$5,$AI720))),OR(BUSCAR!$J$6="",ISNUMBER(SEARCH(BUSCAR!$J$6,$AI720))),OR(BUSCAR!$J$8="",ISNUMBER(SEARCH(BUSCAR!$J$8,$AI720))),OR(BUSCAR!$J$9="",ISNUMBER(SEARCH(BUSCAR!$J$9,$AI720))),OR(NOT(BUSCAR!$J$2),AND(ISNUMBER($AF720),$AF720&gt;=BUSCAR!$J$3,$AF720&lt;=BUSCAR!$J$4))),1,0))</f>
      </c>
      <c r="AH720" s="42">
        <f t="shared" si="33"/>
      </c>
      <c r="AI720" s="42">
        <f t="shared" si="34"/>
      </c>
    </row>
    <row r="721" spans="1:35" x14ac:dyDescent="0.2">
      <c r="A721" s="66">
        <f t="shared" si="35"/>
      </c>
      <c r="B721" s="4"/>
      <c r="C721" s="4"/>
      <c r="D721" s="4"/>
      <c r="E721" s="4"/>
      <c r="F721" s="24"/>
      <c r="G721" s="8"/>
      <c r="H721" s="9"/>
      <c r="I721" s="8"/>
      <c r="J721" s="10"/>
      <c r="K721" s="8"/>
      <c r="L721" s="8"/>
      <c r="M721" s="8"/>
      <c r="N721" s="11"/>
      <c r="O721" s="9"/>
      <c r="P721" s="12"/>
      <c r="Q721" s="9"/>
      <c r="R721" s="13"/>
      <c r="S721" s="11"/>
      <c r="T721" s="11"/>
      <c r="U721" s="9"/>
      <c r="V721" s="9"/>
      <c r="W721" s="9"/>
      <c r="X721" s="16"/>
      <c r="AF721" s="42">
        <f>IF(BUSCAR!$C$8="FECHA NAC.",$G721,IF(BUSCAR!$C$8="PASAPORTE EXPIRA",$J721,IF(BUSCAR!$C$8="LICENCIA EMISION",$L721,IF(BUSCAR!$C$8="LICENCIA EXPIRA",$M721,""))))</f>
      </c>
      <c r="AG721" s="42">
        <f>IF($B721&amp;$C721&amp;$D721&amp;$E721&amp;$H721="",0,IF(AND(OR(BUSCAR!$J$5="",ISNUMBER(SEARCH(BUSCAR!$J$5,$AI721))),OR(BUSCAR!$J$6="",ISNUMBER(SEARCH(BUSCAR!$J$6,$AI721))),OR(BUSCAR!$J$8="",ISNUMBER(SEARCH(BUSCAR!$J$8,$AI721))),OR(BUSCAR!$J$9="",ISNUMBER(SEARCH(BUSCAR!$J$9,$AI721))),OR(NOT(BUSCAR!$J$2),AND(ISNUMBER($AF721),$AF721&gt;=BUSCAR!$J$3,$AF721&lt;=BUSCAR!$J$4))),1,0))</f>
      </c>
      <c r="AH721" s="42">
        <f t="shared" si="33"/>
      </c>
      <c r="AI721" s="42">
        <f t="shared" si="34"/>
      </c>
    </row>
    <row r="722" spans="1:35" x14ac:dyDescent="0.2">
      <c r="A722" s="66">
        <f t="shared" si="35"/>
      </c>
      <c r="B722" s="4"/>
      <c r="C722" s="4"/>
      <c r="D722" s="4"/>
      <c r="E722" s="4"/>
      <c r="F722" s="24"/>
      <c r="G722" s="8"/>
      <c r="H722" s="9"/>
      <c r="I722" s="8"/>
      <c r="J722" s="10"/>
      <c r="K722" s="8"/>
      <c r="L722" s="8"/>
      <c r="M722" s="8"/>
      <c r="N722" s="11"/>
      <c r="O722" s="9"/>
      <c r="P722" s="12"/>
      <c r="Q722" s="9"/>
      <c r="R722" s="13"/>
      <c r="S722" s="11"/>
      <c r="T722" s="11"/>
      <c r="U722" s="9"/>
      <c r="V722" s="9"/>
      <c r="W722" s="9"/>
      <c r="X722" s="16"/>
      <c r="AF722" s="42">
        <f>IF(BUSCAR!$C$8="FECHA NAC.",$G722,IF(BUSCAR!$C$8="PASAPORTE EXPIRA",$J722,IF(BUSCAR!$C$8="LICENCIA EMISION",$L722,IF(BUSCAR!$C$8="LICENCIA EXPIRA",$M722,""))))</f>
      </c>
      <c r="AG722" s="42">
        <f>IF($B722&amp;$C722&amp;$D722&amp;$E722&amp;$H722="",0,IF(AND(OR(BUSCAR!$J$5="",ISNUMBER(SEARCH(BUSCAR!$J$5,$AI722))),OR(BUSCAR!$J$6="",ISNUMBER(SEARCH(BUSCAR!$J$6,$AI722))),OR(BUSCAR!$J$8="",ISNUMBER(SEARCH(BUSCAR!$J$8,$AI722))),OR(BUSCAR!$J$9="",ISNUMBER(SEARCH(BUSCAR!$J$9,$AI722))),OR(NOT(BUSCAR!$J$2),AND(ISNUMBER($AF722),$AF722&gt;=BUSCAR!$J$3,$AF722&lt;=BUSCAR!$J$4))),1,0))</f>
      </c>
      <c r="AH722" s="42">
        <f t="shared" si="33"/>
      </c>
      <c r="AI722" s="42">
        <f t="shared" si="34"/>
      </c>
    </row>
    <row r="723" spans="1:35" x14ac:dyDescent="0.2">
      <c r="A723" s="66">
        <f t="shared" si="35"/>
      </c>
      <c r="B723" s="4"/>
      <c r="C723" s="4"/>
      <c r="D723" s="4"/>
      <c r="E723" s="4"/>
      <c r="F723" s="24"/>
      <c r="G723" s="8"/>
      <c r="H723" s="9"/>
      <c r="I723" s="8"/>
      <c r="J723" s="10"/>
      <c r="K723" s="8"/>
      <c r="L723" s="8"/>
      <c r="M723" s="8"/>
      <c r="N723" s="11"/>
      <c r="O723" s="9"/>
      <c r="P723" s="12"/>
      <c r="Q723" s="9"/>
      <c r="R723" s="13"/>
      <c r="S723" s="11"/>
      <c r="T723" s="11"/>
      <c r="U723" s="9"/>
      <c r="V723" s="9"/>
      <c r="W723" s="9"/>
      <c r="X723" s="16"/>
      <c r="AF723" s="42">
        <f>IF(BUSCAR!$C$8="FECHA NAC.",$G723,IF(BUSCAR!$C$8="PASAPORTE EXPIRA",$J723,IF(BUSCAR!$C$8="LICENCIA EMISION",$L723,IF(BUSCAR!$C$8="LICENCIA EXPIRA",$M723,""))))</f>
      </c>
      <c r="AG723" s="42">
        <f>IF($B723&amp;$C723&amp;$D723&amp;$E723&amp;$H723="",0,IF(AND(OR(BUSCAR!$J$5="",ISNUMBER(SEARCH(BUSCAR!$J$5,$AI723))),OR(BUSCAR!$J$6="",ISNUMBER(SEARCH(BUSCAR!$J$6,$AI723))),OR(BUSCAR!$J$8="",ISNUMBER(SEARCH(BUSCAR!$J$8,$AI723))),OR(BUSCAR!$J$9="",ISNUMBER(SEARCH(BUSCAR!$J$9,$AI723))),OR(NOT(BUSCAR!$J$2),AND(ISNUMBER($AF723),$AF723&gt;=BUSCAR!$J$3,$AF723&lt;=BUSCAR!$J$4))),1,0))</f>
      </c>
      <c r="AH723" s="42">
        <f t="shared" si="33"/>
      </c>
      <c r="AI723" s="42">
        <f t="shared" si="34"/>
      </c>
    </row>
    <row r="724" spans="1:35" x14ac:dyDescent="0.2">
      <c r="A724" s="66">
        <f t="shared" si="35"/>
      </c>
      <c r="B724" s="4"/>
      <c r="C724" s="4"/>
      <c r="D724" s="4"/>
      <c r="E724" s="4"/>
      <c r="F724" s="24"/>
      <c r="G724" s="8"/>
      <c r="H724" s="9"/>
      <c r="I724" s="8"/>
      <c r="J724" s="10"/>
      <c r="K724" s="8"/>
      <c r="L724" s="8"/>
      <c r="M724" s="8"/>
      <c r="N724" s="11"/>
      <c r="O724" s="9"/>
      <c r="P724" s="12"/>
      <c r="Q724" s="9"/>
      <c r="R724" s="13"/>
      <c r="S724" s="11"/>
      <c r="T724" s="11"/>
      <c r="U724" s="9"/>
      <c r="V724" s="9"/>
      <c r="W724" s="9"/>
      <c r="X724" s="16"/>
      <c r="AF724" s="42">
        <f>IF(BUSCAR!$C$8="FECHA NAC.",$G724,IF(BUSCAR!$C$8="PASAPORTE EXPIRA",$J724,IF(BUSCAR!$C$8="LICENCIA EMISION",$L724,IF(BUSCAR!$C$8="LICENCIA EXPIRA",$M724,""))))</f>
      </c>
      <c r="AG724" s="42">
        <f>IF($B724&amp;$C724&amp;$D724&amp;$E724&amp;$H724="",0,IF(AND(OR(BUSCAR!$J$5="",ISNUMBER(SEARCH(BUSCAR!$J$5,$AI724))),OR(BUSCAR!$J$6="",ISNUMBER(SEARCH(BUSCAR!$J$6,$AI724))),OR(BUSCAR!$J$8="",ISNUMBER(SEARCH(BUSCAR!$J$8,$AI724))),OR(BUSCAR!$J$9="",ISNUMBER(SEARCH(BUSCAR!$J$9,$AI724))),OR(NOT(BUSCAR!$J$2),AND(ISNUMBER($AF724),$AF724&gt;=BUSCAR!$J$3,$AF724&lt;=BUSCAR!$J$4))),1,0))</f>
      </c>
      <c r="AH724" s="42">
        <f t="shared" si="33"/>
      </c>
      <c r="AI724" s="42">
        <f t="shared" si="34"/>
      </c>
    </row>
    <row r="725" spans="1:35" x14ac:dyDescent="0.2">
      <c r="A725" s="66">
        <f t="shared" si="35"/>
      </c>
      <c r="B725" s="4"/>
      <c r="C725" s="4"/>
      <c r="D725" s="4"/>
      <c r="E725" s="4"/>
      <c r="F725" s="24"/>
      <c r="G725" s="8"/>
      <c r="H725" s="9"/>
      <c r="I725" s="8"/>
      <c r="J725" s="10"/>
      <c r="K725" s="8"/>
      <c r="L725" s="8"/>
      <c r="M725" s="8"/>
      <c r="N725" s="11"/>
      <c r="O725" s="9"/>
      <c r="P725" s="12"/>
      <c r="Q725" s="9"/>
      <c r="R725" s="13"/>
      <c r="S725" s="11"/>
      <c r="T725" s="11"/>
      <c r="U725" s="9"/>
      <c r="V725" s="9"/>
      <c r="W725" s="9"/>
      <c r="X725" s="16"/>
      <c r="AF725" s="42">
        <f>IF(BUSCAR!$C$8="FECHA NAC.",$G725,IF(BUSCAR!$C$8="PASAPORTE EXPIRA",$J725,IF(BUSCAR!$C$8="LICENCIA EMISION",$L725,IF(BUSCAR!$C$8="LICENCIA EXPIRA",$M725,""))))</f>
      </c>
      <c r="AG725" s="42">
        <f>IF($B725&amp;$C725&amp;$D725&amp;$E725&amp;$H725="",0,IF(AND(OR(BUSCAR!$J$5="",ISNUMBER(SEARCH(BUSCAR!$J$5,$AI725))),OR(BUSCAR!$J$6="",ISNUMBER(SEARCH(BUSCAR!$J$6,$AI725))),OR(BUSCAR!$J$8="",ISNUMBER(SEARCH(BUSCAR!$J$8,$AI725))),OR(BUSCAR!$J$9="",ISNUMBER(SEARCH(BUSCAR!$J$9,$AI725))),OR(NOT(BUSCAR!$J$2),AND(ISNUMBER($AF725),$AF725&gt;=BUSCAR!$J$3,$AF725&lt;=BUSCAR!$J$4))),1,0))</f>
      </c>
      <c r="AH725" s="42">
        <f t="shared" si="33"/>
      </c>
      <c r="AI725" s="42">
        <f t="shared" si="34"/>
      </c>
    </row>
    <row r="726" spans="1:35" x14ac:dyDescent="0.2">
      <c r="A726" s="66">
        <f t="shared" si="35"/>
      </c>
      <c r="B726" s="4"/>
      <c r="C726" s="4"/>
      <c r="D726" s="4"/>
      <c r="E726" s="4"/>
      <c r="F726" s="24"/>
      <c r="G726" s="8"/>
      <c r="H726" s="9"/>
      <c r="I726" s="8"/>
      <c r="J726" s="10"/>
      <c r="K726" s="8"/>
      <c r="L726" s="8"/>
      <c r="M726" s="8"/>
      <c r="N726" s="11"/>
      <c r="O726" s="9"/>
      <c r="P726" s="12"/>
      <c r="Q726" s="9"/>
      <c r="R726" s="13"/>
      <c r="S726" s="11"/>
      <c r="T726" s="11"/>
      <c r="U726" s="9"/>
      <c r="V726" s="9"/>
      <c r="W726" s="9"/>
      <c r="X726" s="16"/>
      <c r="AF726" s="42">
        <f>IF(BUSCAR!$C$8="FECHA NAC.",$G726,IF(BUSCAR!$C$8="PASAPORTE EXPIRA",$J726,IF(BUSCAR!$C$8="LICENCIA EMISION",$L726,IF(BUSCAR!$C$8="LICENCIA EXPIRA",$M726,""))))</f>
      </c>
      <c r="AG726" s="42">
        <f>IF($B726&amp;$C726&amp;$D726&amp;$E726&amp;$H726="",0,IF(AND(OR(BUSCAR!$J$5="",ISNUMBER(SEARCH(BUSCAR!$J$5,$AI726))),OR(BUSCAR!$J$6="",ISNUMBER(SEARCH(BUSCAR!$J$6,$AI726))),OR(BUSCAR!$J$8="",ISNUMBER(SEARCH(BUSCAR!$J$8,$AI726))),OR(BUSCAR!$J$9="",ISNUMBER(SEARCH(BUSCAR!$J$9,$AI726))),OR(NOT(BUSCAR!$J$2),AND(ISNUMBER($AF726),$AF726&gt;=BUSCAR!$J$3,$AF726&lt;=BUSCAR!$J$4))),1,0))</f>
      </c>
      <c r="AH726" s="42">
        <f t="shared" si="33"/>
      </c>
      <c r="AI726" s="42">
        <f t="shared" si="34"/>
      </c>
    </row>
    <row r="727" spans="1:35" x14ac:dyDescent="0.2">
      <c r="A727" s="66">
        <f t="shared" si="35"/>
      </c>
      <c r="B727" s="4"/>
      <c r="C727" s="4"/>
      <c r="D727" s="4"/>
      <c r="E727" s="4"/>
      <c r="F727" s="24"/>
      <c r="G727" s="8"/>
      <c r="H727" s="9"/>
      <c r="I727" s="8"/>
      <c r="J727" s="10"/>
      <c r="K727" s="8"/>
      <c r="L727" s="8"/>
      <c r="M727" s="8"/>
      <c r="N727" s="11"/>
      <c r="O727" s="9"/>
      <c r="P727" s="12"/>
      <c r="Q727" s="9"/>
      <c r="R727" s="13"/>
      <c r="S727" s="11"/>
      <c r="T727" s="11"/>
      <c r="U727" s="9"/>
      <c r="V727" s="9"/>
      <c r="W727" s="9"/>
      <c r="X727" s="16"/>
      <c r="AF727" s="42">
        <f>IF(BUSCAR!$C$8="FECHA NAC.",$G727,IF(BUSCAR!$C$8="PASAPORTE EXPIRA",$J727,IF(BUSCAR!$C$8="LICENCIA EMISION",$L727,IF(BUSCAR!$C$8="LICENCIA EXPIRA",$M727,""))))</f>
      </c>
      <c r="AG727" s="42">
        <f>IF($B727&amp;$C727&amp;$D727&amp;$E727&amp;$H727="",0,IF(AND(OR(BUSCAR!$J$5="",ISNUMBER(SEARCH(BUSCAR!$J$5,$AI727))),OR(BUSCAR!$J$6="",ISNUMBER(SEARCH(BUSCAR!$J$6,$AI727))),OR(BUSCAR!$J$8="",ISNUMBER(SEARCH(BUSCAR!$J$8,$AI727))),OR(BUSCAR!$J$9="",ISNUMBER(SEARCH(BUSCAR!$J$9,$AI727))),OR(NOT(BUSCAR!$J$2),AND(ISNUMBER($AF727),$AF727&gt;=BUSCAR!$J$3,$AF727&lt;=BUSCAR!$J$4))),1,0))</f>
      </c>
      <c r="AH727" s="42">
        <f t="shared" si="33"/>
      </c>
      <c r="AI727" s="42">
        <f t="shared" si="34"/>
      </c>
    </row>
    <row r="728" spans="1:35" x14ac:dyDescent="0.2">
      <c r="A728" s="66">
        <f t="shared" si="35"/>
      </c>
      <c r="B728" s="4"/>
      <c r="C728" s="4"/>
      <c r="D728" s="4"/>
      <c r="E728" s="4"/>
      <c r="F728" s="24"/>
      <c r="G728" s="8"/>
      <c r="H728" s="9"/>
      <c r="I728" s="8"/>
      <c r="J728" s="10"/>
      <c r="K728" s="8"/>
      <c r="L728" s="8"/>
      <c r="M728" s="8"/>
      <c r="N728" s="11"/>
      <c r="O728" s="9"/>
      <c r="P728" s="12"/>
      <c r="Q728" s="9"/>
      <c r="R728" s="13"/>
      <c r="S728" s="11"/>
      <c r="T728" s="11"/>
      <c r="U728" s="9"/>
      <c r="V728" s="9"/>
      <c r="W728" s="9"/>
      <c r="X728" s="16"/>
      <c r="AF728" s="42">
        <f>IF(BUSCAR!$C$8="FECHA NAC.",$G728,IF(BUSCAR!$C$8="PASAPORTE EXPIRA",$J728,IF(BUSCAR!$C$8="LICENCIA EMISION",$L728,IF(BUSCAR!$C$8="LICENCIA EXPIRA",$M728,""))))</f>
      </c>
      <c r="AG728" s="42">
        <f>IF($B728&amp;$C728&amp;$D728&amp;$E728&amp;$H728="",0,IF(AND(OR(BUSCAR!$J$5="",ISNUMBER(SEARCH(BUSCAR!$J$5,$AI728))),OR(BUSCAR!$J$6="",ISNUMBER(SEARCH(BUSCAR!$J$6,$AI728))),OR(BUSCAR!$J$8="",ISNUMBER(SEARCH(BUSCAR!$J$8,$AI728))),OR(BUSCAR!$J$9="",ISNUMBER(SEARCH(BUSCAR!$J$9,$AI728))),OR(NOT(BUSCAR!$J$2),AND(ISNUMBER($AF728),$AF728&gt;=BUSCAR!$J$3,$AF728&lt;=BUSCAR!$J$4))),1,0))</f>
      </c>
      <c r="AH728" s="42">
        <f t="shared" si="33"/>
      </c>
      <c r="AI728" s="42">
        <f t="shared" si="34"/>
      </c>
    </row>
    <row r="729" spans="1:35" x14ac:dyDescent="0.2">
      <c r="A729" s="66">
        <f t="shared" si="35"/>
      </c>
      <c r="B729" s="4"/>
      <c r="C729" s="4"/>
      <c r="D729" s="4"/>
      <c r="E729" s="4"/>
      <c r="F729" s="24"/>
      <c r="G729" s="8"/>
      <c r="H729" s="9"/>
      <c r="I729" s="8"/>
      <c r="J729" s="10"/>
      <c r="K729" s="8"/>
      <c r="L729" s="8"/>
      <c r="M729" s="8"/>
      <c r="N729" s="11"/>
      <c r="O729" s="9"/>
      <c r="P729" s="12"/>
      <c r="Q729" s="9"/>
      <c r="R729" s="13"/>
      <c r="S729" s="11"/>
      <c r="T729" s="11"/>
      <c r="U729" s="9"/>
      <c r="V729" s="9"/>
      <c r="W729" s="9"/>
      <c r="X729" s="16"/>
      <c r="AF729" s="42">
        <f>IF(BUSCAR!$C$8="FECHA NAC.",$G729,IF(BUSCAR!$C$8="PASAPORTE EXPIRA",$J729,IF(BUSCAR!$C$8="LICENCIA EMISION",$L729,IF(BUSCAR!$C$8="LICENCIA EXPIRA",$M729,""))))</f>
      </c>
      <c r="AG729" s="42">
        <f>IF($B729&amp;$C729&amp;$D729&amp;$E729&amp;$H729="",0,IF(AND(OR(BUSCAR!$J$5="",ISNUMBER(SEARCH(BUSCAR!$J$5,$AI729))),OR(BUSCAR!$J$6="",ISNUMBER(SEARCH(BUSCAR!$J$6,$AI729))),OR(BUSCAR!$J$8="",ISNUMBER(SEARCH(BUSCAR!$J$8,$AI729))),OR(BUSCAR!$J$9="",ISNUMBER(SEARCH(BUSCAR!$J$9,$AI729))),OR(NOT(BUSCAR!$J$2),AND(ISNUMBER($AF729),$AF729&gt;=BUSCAR!$J$3,$AF729&lt;=BUSCAR!$J$4))),1,0))</f>
      </c>
      <c r="AH729" s="42">
        <f t="shared" si="33"/>
      </c>
      <c r="AI729" s="42">
        <f t="shared" si="34"/>
      </c>
    </row>
    <row r="730" spans="1:35" x14ac:dyDescent="0.2">
      <c r="A730" s="66">
        <f t="shared" si="35"/>
      </c>
      <c r="B730" s="4"/>
      <c r="C730" s="4"/>
      <c r="D730" s="4"/>
      <c r="E730" s="4"/>
      <c r="F730" s="24"/>
      <c r="G730" s="8"/>
      <c r="H730" s="9"/>
      <c r="I730" s="8"/>
      <c r="J730" s="10"/>
      <c r="K730" s="8"/>
      <c r="L730" s="8"/>
      <c r="M730" s="8"/>
      <c r="N730" s="11"/>
      <c r="O730" s="9"/>
      <c r="P730" s="12"/>
      <c r="Q730" s="9"/>
      <c r="R730" s="13"/>
      <c r="S730" s="11"/>
      <c r="T730" s="11"/>
      <c r="U730" s="9"/>
      <c r="V730" s="9"/>
      <c r="W730" s="9"/>
      <c r="X730" s="16"/>
      <c r="AF730" s="42">
        <f>IF(BUSCAR!$C$8="FECHA NAC.",$G730,IF(BUSCAR!$C$8="PASAPORTE EXPIRA",$J730,IF(BUSCAR!$C$8="LICENCIA EMISION",$L730,IF(BUSCAR!$C$8="LICENCIA EXPIRA",$M730,""))))</f>
      </c>
      <c r="AG730" s="42">
        <f>IF($B730&amp;$C730&amp;$D730&amp;$E730&amp;$H730="",0,IF(AND(OR(BUSCAR!$J$5="",ISNUMBER(SEARCH(BUSCAR!$J$5,$AI730))),OR(BUSCAR!$J$6="",ISNUMBER(SEARCH(BUSCAR!$J$6,$AI730))),OR(BUSCAR!$J$8="",ISNUMBER(SEARCH(BUSCAR!$J$8,$AI730))),OR(BUSCAR!$J$9="",ISNUMBER(SEARCH(BUSCAR!$J$9,$AI730))),OR(NOT(BUSCAR!$J$2),AND(ISNUMBER($AF730),$AF730&gt;=BUSCAR!$J$3,$AF730&lt;=BUSCAR!$J$4))),1,0))</f>
      </c>
      <c r="AH730" s="42">
        <f t="shared" si="33"/>
      </c>
      <c r="AI730" s="42">
        <f t="shared" si="34"/>
      </c>
    </row>
    <row r="731" spans="1:35" x14ac:dyDescent="0.2">
      <c r="A731" s="66">
        <f t="shared" si="35"/>
      </c>
      <c r="B731" s="4"/>
      <c r="C731" s="4"/>
      <c r="D731" s="4"/>
      <c r="E731" s="4"/>
      <c r="F731" s="24"/>
      <c r="G731" s="8"/>
      <c r="H731" s="9"/>
      <c r="I731" s="8"/>
      <c r="J731" s="10"/>
      <c r="K731" s="8"/>
      <c r="L731" s="8"/>
      <c r="M731" s="8"/>
      <c r="N731" s="11"/>
      <c r="O731" s="9"/>
      <c r="P731" s="12"/>
      <c r="Q731" s="9"/>
      <c r="R731" s="13"/>
      <c r="S731" s="11"/>
      <c r="T731" s="11"/>
      <c r="U731" s="9"/>
      <c r="V731" s="9"/>
      <c r="W731" s="9"/>
      <c r="X731" s="16"/>
      <c r="AF731" s="42">
        <f>IF(BUSCAR!$C$8="FECHA NAC.",$G731,IF(BUSCAR!$C$8="PASAPORTE EXPIRA",$J731,IF(BUSCAR!$C$8="LICENCIA EMISION",$L731,IF(BUSCAR!$C$8="LICENCIA EXPIRA",$M731,""))))</f>
      </c>
      <c r="AG731" s="42">
        <f>IF($B731&amp;$C731&amp;$D731&amp;$E731&amp;$H731="",0,IF(AND(OR(BUSCAR!$J$5="",ISNUMBER(SEARCH(BUSCAR!$J$5,$AI731))),OR(BUSCAR!$J$6="",ISNUMBER(SEARCH(BUSCAR!$J$6,$AI731))),OR(BUSCAR!$J$8="",ISNUMBER(SEARCH(BUSCAR!$J$8,$AI731))),OR(BUSCAR!$J$9="",ISNUMBER(SEARCH(BUSCAR!$J$9,$AI731))),OR(NOT(BUSCAR!$J$2),AND(ISNUMBER($AF731),$AF731&gt;=BUSCAR!$J$3,$AF731&lt;=BUSCAR!$J$4))),1,0))</f>
      </c>
      <c r="AH731" s="42">
        <f t="shared" si="33"/>
      </c>
      <c r="AI731" s="42">
        <f t="shared" si="34"/>
      </c>
    </row>
    <row r="732" spans="1:35" x14ac:dyDescent="0.2">
      <c r="A732" s="66">
        <f t="shared" si="35"/>
      </c>
      <c r="B732" s="4"/>
      <c r="C732" s="4"/>
      <c r="D732" s="4"/>
      <c r="E732" s="4"/>
      <c r="F732" s="24"/>
      <c r="G732" s="8"/>
      <c r="H732" s="9"/>
      <c r="I732" s="8"/>
      <c r="J732" s="10"/>
      <c r="K732" s="8"/>
      <c r="L732" s="8"/>
      <c r="M732" s="8"/>
      <c r="N732" s="11"/>
      <c r="O732" s="9"/>
      <c r="P732" s="12"/>
      <c r="Q732" s="9"/>
      <c r="R732" s="13"/>
      <c r="S732" s="11"/>
      <c r="T732" s="11"/>
      <c r="U732" s="9"/>
      <c r="V732" s="9"/>
      <c r="W732" s="9"/>
      <c r="X732" s="16"/>
      <c r="AF732" s="42">
        <f>IF(BUSCAR!$C$8="FECHA NAC.",$G732,IF(BUSCAR!$C$8="PASAPORTE EXPIRA",$J732,IF(BUSCAR!$C$8="LICENCIA EMISION",$L732,IF(BUSCAR!$C$8="LICENCIA EXPIRA",$M732,""))))</f>
      </c>
      <c r="AG732" s="42">
        <f>IF($B732&amp;$C732&amp;$D732&amp;$E732&amp;$H732="",0,IF(AND(OR(BUSCAR!$J$5="",ISNUMBER(SEARCH(BUSCAR!$J$5,$AI732))),OR(BUSCAR!$J$6="",ISNUMBER(SEARCH(BUSCAR!$J$6,$AI732))),OR(BUSCAR!$J$8="",ISNUMBER(SEARCH(BUSCAR!$J$8,$AI732))),OR(BUSCAR!$J$9="",ISNUMBER(SEARCH(BUSCAR!$J$9,$AI732))),OR(NOT(BUSCAR!$J$2),AND(ISNUMBER($AF732),$AF732&gt;=BUSCAR!$J$3,$AF732&lt;=BUSCAR!$J$4))),1,0))</f>
      </c>
      <c r="AH732" s="42">
        <f t="shared" si="33"/>
      </c>
      <c r="AI732" s="42">
        <f t="shared" si="34"/>
      </c>
    </row>
    <row r="733" spans="1:35" x14ac:dyDescent="0.2">
      <c r="A733" s="66">
        <f t="shared" si="35"/>
      </c>
      <c r="B733" s="4"/>
      <c r="C733" s="4"/>
      <c r="D733" s="4"/>
      <c r="E733" s="4"/>
      <c r="F733" s="24"/>
      <c r="G733" s="8"/>
      <c r="H733" s="9"/>
      <c r="I733" s="8"/>
      <c r="J733" s="10"/>
      <c r="K733" s="8"/>
      <c r="L733" s="8"/>
      <c r="M733" s="8"/>
      <c r="N733" s="11"/>
      <c r="O733" s="9"/>
      <c r="P733" s="12"/>
      <c r="Q733" s="9"/>
      <c r="R733" s="13"/>
      <c r="S733" s="11"/>
      <c r="T733" s="11"/>
      <c r="U733" s="9"/>
      <c r="V733" s="9"/>
      <c r="W733" s="9"/>
      <c r="X733" s="16"/>
      <c r="AF733" s="42">
        <f>IF(BUSCAR!$C$8="FECHA NAC.",$G733,IF(BUSCAR!$C$8="PASAPORTE EXPIRA",$J733,IF(BUSCAR!$C$8="LICENCIA EMISION",$L733,IF(BUSCAR!$C$8="LICENCIA EXPIRA",$M733,""))))</f>
      </c>
      <c r="AG733" s="42">
        <f>IF($B733&amp;$C733&amp;$D733&amp;$E733&amp;$H733="",0,IF(AND(OR(BUSCAR!$J$5="",ISNUMBER(SEARCH(BUSCAR!$J$5,$AI733))),OR(BUSCAR!$J$6="",ISNUMBER(SEARCH(BUSCAR!$J$6,$AI733))),OR(BUSCAR!$J$8="",ISNUMBER(SEARCH(BUSCAR!$J$8,$AI733))),OR(BUSCAR!$J$9="",ISNUMBER(SEARCH(BUSCAR!$J$9,$AI733))),OR(NOT(BUSCAR!$J$2),AND(ISNUMBER($AF733),$AF733&gt;=BUSCAR!$J$3,$AF733&lt;=BUSCAR!$J$4))),1,0))</f>
      </c>
      <c r="AH733" s="42">
        <f t="shared" si="33"/>
      </c>
      <c r="AI733" s="42">
        <f t="shared" si="34"/>
      </c>
    </row>
    <row r="734" spans="1:35" x14ac:dyDescent="0.2">
      <c r="A734" s="66">
        <f t="shared" si="35"/>
      </c>
      <c r="B734" s="4"/>
      <c r="C734" s="4"/>
      <c r="D734" s="4"/>
      <c r="E734" s="4"/>
      <c r="F734" s="24"/>
      <c r="G734" s="8"/>
      <c r="H734" s="9"/>
      <c r="I734" s="8"/>
      <c r="J734" s="10"/>
      <c r="K734" s="8"/>
      <c r="L734" s="8"/>
      <c r="M734" s="8"/>
      <c r="N734" s="11"/>
      <c r="O734" s="9"/>
      <c r="P734" s="12"/>
      <c r="Q734" s="9"/>
      <c r="R734" s="13"/>
      <c r="S734" s="11"/>
      <c r="T734" s="11"/>
      <c r="U734" s="9"/>
      <c r="V734" s="9"/>
      <c r="W734" s="9"/>
      <c r="X734" s="16"/>
      <c r="AF734" s="42">
        <f>IF(BUSCAR!$C$8="FECHA NAC.",$G734,IF(BUSCAR!$C$8="PASAPORTE EXPIRA",$J734,IF(BUSCAR!$C$8="LICENCIA EMISION",$L734,IF(BUSCAR!$C$8="LICENCIA EXPIRA",$M734,""))))</f>
      </c>
      <c r="AG734" s="42">
        <f>IF($B734&amp;$C734&amp;$D734&amp;$E734&amp;$H734="",0,IF(AND(OR(BUSCAR!$J$5="",ISNUMBER(SEARCH(BUSCAR!$J$5,$AI734))),OR(BUSCAR!$J$6="",ISNUMBER(SEARCH(BUSCAR!$J$6,$AI734))),OR(BUSCAR!$J$8="",ISNUMBER(SEARCH(BUSCAR!$J$8,$AI734))),OR(BUSCAR!$J$9="",ISNUMBER(SEARCH(BUSCAR!$J$9,$AI734))),OR(NOT(BUSCAR!$J$2),AND(ISNUMBER($AF734),$AF734&gt;=BUSCAR!$J$3,$AF734&lt;=BUSCAR!$J$4))),1,0))</f>
      </c>
      <c r="AH734" s="42">
        <f t="shared" si="33"/>
      </c>
      <c r="AI734" s="42">
        <f t="shared" si="34"/>
      </c>
    </row>
    <row r="735" spans="1:35" x14ac:dyDescent="0.2">
      <c r="A735" s="66">
        <f t="shared" si="35"/>
      </c>
      <c r="B735" s="4"/>
      <c r="C735" s="4"/>
      <c r="D735" s="4"/>
      <c r="E735" s="4"/>
      <c r="F735" s="24"/>
      <c r="G735" s="8"/>
      <c r="H735" s="9"/>
      <c r="I735" s="8"/>
      <c r="J735" s="10"/>
      <c r="K735" s="8"/>
      <c r="L735" s="8"/>
      <c r="M735" s="8"/>
      <c r="N735" s="11"/>
      <c r="O735" s="9"/>
      <c r="P735" s="12"/>
      <c r="Q735" s="9"/>
      <c r="R735" s="13"/>
      <c r="S735" s="11"/>
      <c r="T735" s="11"/>
      <c r="U735" s="9"/>
      <c r="V735" s="9"/>
      <c r="W735" s="9"/>
      <c r="X735" s="16"/>
      <c r="AF735" s="42">
        <f>IF(BUSCAR!$C$8="FECHA NAC.",$G735,IF(BUSCAR!$C$8="PASAPORTE EXPIRA",$J735,IF(BUSCAR!$C$8="LICENCIA EMISION",$L735,IF(BUSCAR!$C$8="LICENCIA EXPIRA",$M735,""))))</f>
      </c>
      <c r="AG735" s="42">
        <f>IF($B735&amp;$C735&amp;$D735&amp;$E735&amp;$H735="",0,IF(AND(OR(BUSCAR!$J$5="",ISNUMBER(SEARCH(BUSCAR!$J$5,$AI735))),OR(BUSCAR!$J$6="",ISNUMBER(SEARCH(BUSCAR!$J$6,$AI735))),OR(BUSCAR!$J$8="",ISNUMBER(SEARCH(BUSCAR!$J$8,$AI735))),OR(BUSCAR!$J$9="",ISNUMBER(SEARCH(BUSCAR!$J$9,$AI735))),OR(NOT(BUSCAR!$J$2),AND(ISNUMBER($AF735),$AF735&gt;=BUSCAR!$J$3,$AF735&lt;=BUSCAR!$J$4))),1,0))</f>
      </c>
      <c r="AH735" s="42">
        <f t="shared" si="33"/>
      </c>
      <c r="AI735" s="42">
        <f t="shared" si="34"/>
      </c>
    </row>
    <row r="736" spans="1:35" x14ac:dyDescent="0.2">
      <c r="A736" s="66">
        <f t="shared" si="35"/>
      </c>
      <c r="B736" s="4"/>
      <c r="C736" s="4"/>
      <c r="D736" s="4"/>
      <c r="E736" s="4"/>
      <c r="F736" s="24"/>
      <c r="G736" s="8"/>
      <c r="H736" s="9"/>
      <c r="I736" s="8"/>
      <c r="J736" s="10"/>
      <c r="K736" s="8"/>
      <c r="L736" s="8"/>
      <c r="M736" s="8"/>
      <c r="N736" s="11"/>
      <c r="O736" s="9"/>
      <c r="P736" s="12"/>
      <c r="Q736" s="9"/>
      <c r="R736" s="13"/>
      <c r="S736" s="11"/>
      <c r="T736" s="11"/>
      <c r="U736" s="9"/>
      <c r="V736" s="9"/>
      <c r="W736" s="9"/>
      <c r="X736" s="16"/>
      <c r="AF736" s="42">
        <f>IF(BUSCAR!$C$8="FECHA NAC.",$G736,IF(BUSCAR!$C$8="PASAPORTE EXPIRA",$J736,IF(BUSCAR!$C$8="LICENCIA EMISION",$L736,IF(BUSCAR!$C$8="LICENCIA EXPIRA",$M736,""))))</f>
      </c>
      <c r="AG736" s="42">
        <f>IF($B736&amp;$C736&amp;$D736&amp;$E736&amp;$H736="",0,IF(AND(OR(BUSCAR!$J$5="",ISNUMBER(SEARCH(BUSCAR!$J$5,$AI736))),OR(BUSCAR!$J$6="",ISNUMBER(SEARCH(BUSCAR!$J$6,$AI736))),OR(BUSCAR!$J$8="",ISNUMBER(SEARCH(BUSCAR!$J$8,$AI736))),OR(BUSCAR!$J$9="",ISNUMBER(SEARCH(BUSCAR!$J$9,$AI736))),OR(NOT(BUSCAR!$J$2),AND(ISNUMBER($AF736),$AF736&gt;=BUSCAR!$J$3,$AF736&lt;=BUSCAR!$J$4))),1,0))</f>
      </c>
      <c r="AH736" s="42">
        <f t="shared" si="33"/>
      </c>
      <c r="AI736" s="42">
        <f t="shared" si="34"/>
      </c>
    </row>
    <row r="737" spans="1:35" x14ac:dyDescent="0.2">
      <c r="A737" s="66">
        <f t="shared" si="35"/>
      </c>
      <c r="B737" s="4"/>
      <c r="C737" s="4"/>
      <c r="D737" s="4"/>
      <c r="E737" s="4"/>
      <c r="F737" s="24"/>
      <c r="G737" s="8"/>
      <c r="H737" s="9"/>
      <c r="I737" s="8"/>
      <c r="J737" s="10"/>
      <c r="K737" s="8"/>
      <c r="L737" s="8"/>
      <c r="M737" s="8"/>
      <c r="N737" s="11"/>
      <c r="O737" s="9"/>
      <c r="P737" s="12"/>
      <c r="Q737" s="9"/>
      <c r="R737" s="13"/>
      <c r="S737" s="11"/>
      <c r="T737" s="11"/>
      <c r="U737" s="9"/>
      <c r="V737" s="9"/>
      <c r="W737" s="9"/>
      <c r="X737" s="16"/>
      <c r="AF737" s="42">
        <f>IF(BUSCAR!$C$8="FECHA NAC.",$G737,IF(BUSCAR!$C$8="PASAPORTE EXPIRA",$J737,IF(BUSCAR!$C$8="LICENCIA EMISION",$L737,IF(BUSCAR!$C$8="LICENCIA EXPIRA",$M737,""))))</f>
      </c>
      <c r="AG737" s="42">
        <f>IF($B737&amp;$C737&amp;$D737&amp;$E737&amp;$H737="",0,IF(AND(OR(BUSCAR!$J$5="",ISNUMBER(SEARCH(BUSCAR!$J$5,$AI737))),OR(BUSCAR!$J$6="",ISNUMBER(SEARCH(BUSCAR!$J$6,$AI737))),OR(BUSCAR!$J$8="",ISNUMBER(SEARCH(BUSCAR!$J$8,$AI737))),OR(BUSCAR!$J$9="",ISNUMBER(SEARCH(BUSCAR!$J$9,$AI737))),OR(NOT(BUSCAR!$J$2),AND(ISNUMBER($AF737),$AF737&gt;=BUSCAR!$J$3,$AF737&lt;=BUSCAR!$J$4))),1,0))</f>
      </c>
      <c r="AH737" s="42">
        <f t="shared" si="33"/>
      </c>
      <c r="AI737" s="42">
        <f t="shared" si="34"/>
      </c>
    </row>
    <row r="738" spans="1:35" x14ac:dyDescent="0.2">
      <c r="A738" s="66">
        <f t="shared" si="35"/>
      </c>
      <c r="B738" s="4"/>
      <c r="C738" s="4"/>
      <c r="D738" s="4"/>
      <c r="E738" s="4"/>
      <c r="F738" s="24"/>
      <c r="G738" s="8"/>
      <c r="H738" s="9"/>
      <c r="I738" s="8"/>
      <c r="J738" s="10"/>
      <c r="K738" s="8"/>
      <c r="L738" s="8"/>
      <c r="M738" s="8"/>
      <c r="N738" s="11"/>
      <c r="O738" s="9"/>
      <c r="P738" s="12"/>
      <c r="Q738" s="9"/>
      <c r="R738" s="13"/>
      <c r="S738" s="11"/>
      <c r="T738" s="11"/>
      <c r="U738" s="9"/>
      <c r="V738" s="9"/>
      <c r="W738" s="9"/>
      <c r="X738" s="16"/>
      <c r="AF738" s="42">
        <f>IF(BUSCAR!$C$8="FECHA NAC.",$G738,IF(BUSCAR!$C$8="PASAPORTE EXPIRA",$J738,IF(BUSCAR!$C$8="LICENCIA EMISION",$L738,IF(BUSCAR!$C$8="LICENCIA EXPIRA",$M738,""))))</f>
      </c>
      <c r="AG738" s="42">
        <f>IF($B738&amp;$C738&amp;$D738&amp;$E738&amp;$H738="",0,IF(AND(OR(BUSCAR!$J$5="",ISNUMBER(SEARCH(BUSCAR!$J$5,$AI738))),OR(BUSCAR!$J$6="",ISNUMBER(SEARCH(BUSCAR!$J$6,$AI738))),OR(BUSCAR!$J$8="",ISNUMBER(SEARCH(BUSCAR!$J$8,$AI738))),OR(BUSCAR!$J$9="",ISNUMBER(SEARCH(BUSCAR!$J$9,$AI738))),OR(NOT(BUSCAR!$J$2),AND(ISNUMBER($AF738),$AF738&gt;=BUSCAR!$J$3,$AF738&lt;=BUSCAR!$J$4))),1,0))</f>
      </c>
      <c r="AH738" s="42">
        <f t="shared" si="33"/>
      </c>
      <c r="AI738" s="42">
        <f t="shared" si="34"/>
      </c>
    </row>
    <row r="739" spans="1:35" x14ac:dyDescent="0.2">
      <c r="A739" s="66">
        <f t="shared" si="35"/>
      </c>
      <c r="B739" s="4"/>
      <c r="C739" s="4"/>
      <c r="D739" s="4"/>
      <c r="E739" s="4"/>
      <c r="F739" s="24"/>
      <c r="G739" s="8"/>
      <c r="H739" s="9"/>
      <c r="I739" s="8"/>
      <c r="J739" s="10"/>
      <c r="K739" s="8"/>
      <c r="L739" s="8"/>
      <c r="M739" s="8"/>
      <c r="N739" s="11"/>
      <c r="O739" s="9"/>
      <c r="P739" s="12"/>
      <c r="Q739" s="9"/>
      <c r="R739" s="13"/>
      <c r="S739" s="11"/>
      <c r="T739" s="11"/>
      <c r="U739" s="9"/>
      <c r="V739" s="9"/>
      <c r="W739" s="9"/>
      <c r="X739" s="16"/>
      <c r="AF739" s="42">
        <f>IF(BUSCAR!$C$8="FECHA NAC.",$G739,IF(BUSCAR!$C$8="PASAPORTE EXPIRA",$J739,IF(BUSCAR!$C$8="LICENCIA EMISION",$L739,IF(BUSCAR!$C$8="LICENCIA EXPIRA",$M739,""))))</f>
      </c>
      <c r="AG739" s="42">
        <f>IF($B739&amp;$C739&amp;$D739&amp;$E739&amp;$H739="",0,IF(AND(OR(BUSCAR!$J$5="",ISNUMBER(SEARCH(BUSCAR!$J$5,$AI739))),OR(BUSCAR!$J$6="",ISNUMBER(SEARCH(BUSCAR!$J$6,$AI739))),OR(BUSCAR!$J$8="",ISNUMBER(SEARCH(BUSCAR!$J$8,$AI739))),OR(BUSCAR!$J$9="",ISNUMBER(SEARCH(BUSCAR!$J$9,$AI739))),OR(NOT(BUSCAR!$J$2),AND(ISNUMBER($AF739),$AF739&gt;=BUSCAR!$J$3,$AF739&lt;=BUSCAR!$J$4))),1,0))</f>
      </c>
      <c r="AH739" s="42">
        <f t="shared" si="33"/>
      </c>
      <c r="AI739" s="42">
        <f t="shared" si="34"/>
      </c>
    </row>
    <row r="740" spans="1:35" x14ac:dyDescent="0.2">
      <c r="A740" s="66">
        <f t="shared" si="35"/>
      </c>
      <c r="B740" s="4"/>
      <c r="C740" s="4"/>
      <c r="D740" s="4"/>
      <c r="E740" s="4"/>
      <c r="F740" s="24"/>
      <c r="G740" s="8"/>
      <c r="H740" s="9"/>
      <c r="I740" s="8"/>
      <c r="J740" s="10"/>
      <c r="K740" s="8"/>
      <c r="L740" s="8"/>
      <c r="M740" s="8"/>
      <c r="N740" s="11"/>
      <c r="O740" s="9"/>
      <c r="P740" s="12"/>
      <c r="Q740" s="9"/>
      <c r="R740" s="13"/>
      <c r="S740" s="11"/>
      <c r="T740" s="11"/>
      <c r="U740" s="9"/>
      <c r="V740" s="9"/>
      <c r="W740" s="9"/>
      <c r="X740" s="16"/>
      <c r="AF740" s="42">
        <f>IF(BUSCAR!$C$8="FECHA NAC.",$G740,IF(BUSCAR!$C$8="PASAPORTE EXPIRA",$J740,IF(BUSCAR!$C$8="LICENCIA EMISION",$L740,IF(BUSCAR!$C$8="LICENCIA EXPIRA",$M740,""))))</f>
      </c>
      <c r="AG740" s="42">
        <f>IF($B740&amp;$C740&amp;$D740&amp;$E740&amp;$H740="",0,IF(AND(OR(BUSCAR!$J$5="",ISNUMBER(SEARCH(BUSCAR!$J$5,$AI740))),OR(BUSCAR!$J$6="",ISNUMBER(SEARCH(BUSCAR!$J$6,$AI740))),OR(BUSCAR!$J$8="",ISNUMBER(SEARCH(BUSCAR!$J$8,$AI740))),OR(BUSCAR!$J$9="",ISNUMBER(SEARCH(BUSCAR!$J$9,$AI740))),OR(NOT(BUSCAR!$J$2),AND(ISNUMBER($AF740),$AF740&gt;=BUSCAR!$J$3,$AF740&lt;=BUSCAR!$J$4))),1,0))</f>
      </c>
      <c r="AH740" s="42">
        <f t="shared" si="33"/>
      </c>
      <c r="AI740" s="42">
        <f t="shared" si="34"/>
      </c>
    </row>
    <row r="741" spans="1:35" x14ac:dyDescent="0.2">
      <c r="A741" s="66">
        <f t="shared" si="35"/>
      </c>
      <c r="B741" s="4"/>
      <c r="C741" s="4"/>
      <c r="D741" s="4"/>
      <c r="E741" s="4"/>
      <c r="F741" s="24"/>
      <c r="G741" s="8"/>
      <c r="H741" s="9"/>
      <c r="I741" s="8"/>
      <c r="J741" s="10"/>
      <c r="K741" s="8"/>
      <c r="L741" s="8"/>
      <c r="M741" s="8"/>
      <c r="N741" s="11"/>
      <c r="O741" s="9"/>
      <c r="P741" s="12"/>
      <c r="Q741" s="9"/>
      <c r="R741" s="13"/>
      <c r="S741" s="11"/>
      <c r="T741" s="11"/>
      <c r="U741" s="9"/>
      <c r="V741" s="9"/>
      <c r="W741" s="9"/>
      <c r="X741" s="16"/>
      <c r="AF741" s="42">
        <f>IF(BUSCAR!$C$8="FECHA NAC.",$G741,IF(BUSCAR!$C$8="PASAPORTE EXPIRA",$J741,IF(BUSCAR!$C$8="LICENCIA EMISION",$L741,IF(BUSCAR!$C$8="LICENCIA EXPIRA",$M741,""))))</f>
      </c>
      <c r="AG741" s="42">
        <f>IF($B741&amp;$C741&amp;$D741&amp;$E741&amp;$H741="",0,IF(AND(OR(BUSCAR!$J$5="",ISNUMBER(SEARCH(BUSCAR!$J$5,$AI741))),OR(BUSCAR!$J$6="",ISNUMBER(SEARCH(BUSCAR!$J$6,$AI741))),OR(BUSCAR!$J$8="",ISNUMBER(SEARCH(BUSCAR!$J$8,$AI741))),OR(BUSCAR!$J$9="",ISNUMBER(SEARCH(BUSCAR!$J$9,$AI741))),OR(NOT(BUSCAR!$J$2),AND(ISNUMBER($AF741),$AF741&gt;=BUSCAR!$J$3,$AF741&lt;=BUSCAR!$J$4))),1,0))</f>
      </c>
      <c r="AH741" s="42">
        <f t="shared" si="33"/>
      </c>
      <c r="AI741" s="42">
        <f t="shared" si="34"/>
      </c>
    </row>
    <row r="742" spans="1:35" x14ac:dyDescent="0.2">
      <c r="A742" s="66">
        <f t="shared" si="35"/>
      </c>
      <c r="B742" s="4"/>
      <c r="C742" s="4"/>
      <c r="D742" s="4"/>
      <c r="E742" s="4"/>
      <c r="F742" s="24"/>
      <c r="G742" s="8"/>
      <c r="H742" s="9"/>
      <c r="I742" s="8"/>
      <c r="J742" s="10"/>
      <c r="K742" s="8"/>
      <c r="L742" s="8"/>
      <c r="M742" s="8"/>
      <c r="N742" s="11"/>
      <c r="O742" s="9"/>
      <c r="P742" s="12"/>
      <c r="Q742" s="9"/>
      <c r="R742" s="13"/>
      <c r="S742" s="11"/>
      <c r="T742" s="11"/>
      <c r="U742" s="9"/>
      <c r="V742" s="9"/>
      <c r="W742" s="9"/>
      <c r="X742" s="16"/>
      <c r="AF742" s="42">
        <f>IF(BUSCAR!$C$8="FECHA NAC.",$G742,IF(BUSCAR!$C$8="PASAPORTE EXPIRA",$J742,IF(BUSCAR!$C$8="LICENCIA EMISION",$L742,IF(BUSCAR!$C$8="LICENCIA EXPIRA",$M742,""))))</f>
      </c>
      <c r="AG742" s="42">
        <f>IF($B742&amp;$C742&amp;$D742&amp;$E742&amp;$H742="",0,IF(AND(OR(BUSCAR!$J$5="",ISNUMBER(SEARCH(BUSCAR!$J$5,$AI742))),OR(BUSCAR!$J$6="",ISNUMBER(SEARCH(BUSCAR!$J$6,$AI742))),OR(BUSCAR!$J$8="",ISNUMBER(SEARCH(BUSCAR!$J$8,$AI742))),OR(BUSCAR!$J$9="",ISNUMBER(SEARCH(BUSCAR!$J$9,$AI742))),OR(NOT(BUSCAR!$J$2),AND(ISNUMBER($AF742),$AF742&gt;=BUSCAR!$J$3,$AF742&lt;=BUSCAR!$J$4))),1,0))</f>
      </c>
      <c r="AH742" s="42">
        <f t="shared" si="33"/>
      </c>
      <c r="AI742" s="42">
        <f t="shared" si="34"/>
      </c>
    </row>
    <row r="743" spans="1:35" x14ac:dyDescent="0.2">
      <c r="A743" s="66">
        <f t="shared" si="35"/>
      </c>
      <c r="B743" s="4"/>
      <c r="C743" s="4"/>
      <c r="D743" s="4"/>
      <c r="E743" s="4"/>
      <c r="F743" s="24"/>
      <c r="G743" s="8"/>
      <c r="H743" s="9"/>
      <c r="I743" s="8"/>
      <c r="J743" s="10"/>
      <c r="K743" s="8"/>
      <c r="L743" s="8"/>
      <c r="M743" s="8"/>
      <c r="N743" s="11"/>
      <c r="O743" s="9"/>
      <c r="P743" s="12"/>
      <c r="Q743" s="9"/>
      <c r="R743" s="13"/>
      <c r="S743" s="11"/>
      <c r="T743" s="11"/>
      <c r="U743" s="9"/>
      <c r="V743" s="9"/>
      <c r="W743" s="9"/>
      <c r="X743" s="16"/>
      <c r="AF743" s="42">
        <f>IF(BUSCAR!$C$8="FECHA NAC.",$G743,IF(BUSCAR!$C$8="PASAPORTE EXPIRA",$J743,IF(BUSCAR!$C$8="LICENCIA EMISION",$L743,IF(BUSCAR!$C$8="LICENCIA EXPIRA",$M743,""))))</f>
      </c>
      <c r="AG743" s="42">
        <f>IF($B743&amp;$C743&amp;$D743&amp;$E743&amp;$H743="",0,IF(AND(OR(BUSCAR!$J$5="",ISNUMBER(SEARCH(BUSCAR!$J$5,$AI743))),OR(BUSCAR!$J$6="",ISNUMBER(SEARCH(BUSCAR!$J$6,$AI743))),OR(BUSCAR!$J$8="",ISNUMBER(SEARCH(BUSCAR!$J$8,$AI743))),OR(BUSCAR!$J$9="",ISNUMBER(SEARCH(BUSCAR!$J$9,$AI743))),OR(NOT(BUSCAR!$J$2),AND(ISNUMBER($AF743),$AF743&gt;=BUSCAR!$J$3,$AF743&lt;=BUSCAR!$J$4))),1,0))</f>
      </c>
      <c r="AH743" s="42">
        <f t="shared" si="33"/>
      </c>
      <c r="AI743" s="42">
        <f t="shared" si="34"/>
      </c>
    </row>
    <row r="744" spans="1:35" x14ac:dyDescent="0.2">
      <c r="A744" s="66">
        <f t="shared" si="35"/>
      </c>
      <c r="B744" s="4"/>
      <c r="C744" s="4"/>
      <c r="D744" s="4"/>
      <c r="E744" s="4"/>
      <c r="F744" s="24"/>
      <c r="G744" s="8"/>
      <c r="H744" s="9"/>
      <c r="I744" s="8"/>
      <c r="J744" s="10"/>
      <c r="K744" s="8"/>
      <c r="L744" s="8"/>
      <c r="M744" s="8"/>
      <c r="N744" s="11"/>
      <c r="O744" s="9"/>
      <c r="P744" s="12"/>
      <c r="Q744" s="9"/>
      <c r="R744" s="13"/>
      <c r="S744" s="11"/>
      <c r="T744" s="11"/>
      <c r="U744" s="9"/>
      <c r="V744" s="9"/>
      <c r="W744" s="9"/>
      <c r="X744" s="16"/>
      <c r="AF744" s="42">
        <f>IF(BUSCAR!$C$8="FECHA NAC.",$G744,IF(BUSCAR!$C$8="PASAPORTE EXPIRA",$J744,IF(BUSCAR!$C$8="LICENCIA EMISION",$L744,IF(BUSCAR!$C$8="LICENCIA EXPIRA",$M744,""))))</f>
      </c>
      <c r="AG744" s="42">
        <f>IF($B744&amp;$C744&amp;$D744&amp;$E744&amp;$H744="",0,IF(AND(OR(BUSCAR!$J$5="",ISNUMBER(SEARCH(BUSCAR!$J$5,$AI744))),OR(BUSCAR!$J$6="",ISNUMBER(SEARCH(BUSCAR!$J$6,$AI744))),OR(BUSCAR!$J$8="",ISNUMBER(SEARCH(BUSCAR!$J$8,$AI744))),OR(BUSCAR!$J$9="",ISNUMBER(SEARCH(BUSCAR!$J$9,$AI744))),OR(NOT(BUSCAR!$J$2),AND(ISNUMBER($AF744),$AF744&gt;=BUSCAR!$J$3,$AF744&lt;=BUSCAR!$J$4))),1,0))</f>
      </c>
      <c r="AH744" s="42">
        <f t="shared" si="33"/>
      </c>
      <c r="AI744" s="42">
        <f t="shared" si="34"/>
      </c>
    </row>
    <row r="745" spans="1:35" x14ac:dyDescent="0.2">
      <c r="A745" s="66">
        <f t="shared" si="35"/>
      </c>
      <c r="B745" s="4"/>
      <c r="C745" s="4"/>
      <c r="D745" s="4"/>
      <c r="E745" s="4"/>
      <c r="F745" s="24"/>
      <c r="G745" s="8"/>
      <c r="H745" s="9"/>
      <c r="I745" s="8"/>
      <c r="J745" s="10"/>
      <c r="K745" s="8"/>
      <c r="L745" s="8"/>
      <c r="M745" s="8"/>
      <c r="N745" s="11"/>
      <c r="O745" s="9"/>
      <c r="P745" s="12"/>
      <c r="Q745" s="9"/>
      <c r="R745" s="13"/>
      <c r="S745" s="11"/>
      <c r="T745" s="11"/>
      <c r="U745" s="9"/>
      <c r="V745" s="9"/>
      <c r="W745" s="9"/>
      <c r="X745" s="16"/>
      <c r="AF745" s="42">
        <f>IF(BUSCAR!$C$8="FECHA NAC.",$G745,IF(BUSCAR!$C$8="PASAPORTE EXPIRA",$J745,IF(BUSCAR!$C$8="LICENCIA EMISION",$L745,IF(BUSCAR!$C$8="LICENCIA EXPIRA",$M745,""))))</f>
      </c>
      <c r="AG745" s="42">
        <f>IF($B745&amp;$C745&amp;$D745&amp;$E745&amp;$H745="",0,IF(AND(OR(BUSCAR!$J$5="",ISNUMBER(SEARCH(BUSCAR!$J$5,$AI745))),OR(BUSCAR!$J$6="",ISNUMBER(SEARCH(BUSCAR!$J$6,$AI745))),OR(BUSCAR!$J$8="",ISNUMBER(SEARCH(BUSCAR!$J$8,$AI745))),OR(BUSCAR!$J$9="",ISNUMBER(SEARCH(BUSCAR!$J$9,$AI745))),OR(NOT(BUSCAR!$J$2),AND(ISNUMBER($AF745),$AF745&gt;=BUSCAR!$J$3,$AF745&lt;=BUSCAR!$J$4))),1,0))</f>
      </c>
      <c r="AH745" s="42">
        <f t="shared" si="33"/>
      </c>
      <c r="AI745" s="42">
        <f t="shared" si="34"/>
      </c>
    </row>
    <row r="746" spans="1:35" x14ac:dyDescent="0.2">
      <c r="A746" s="66">
        <f t="shared" si="35"/>
      </c>
      <c r="B746" s="4"/>
      <c r="C746" s="4"/>
      <c r="D746" s="4"/>
      <c r="E746" s="4"/>
      <c r="F746" s="24"/>
      <c r="G746" s="8"/>
      <c r="H746" s="9"/>
      <c r="I746" s="8"/>
      <c r="J746" s="10"/>
      <c r="K746" s="8"/>
      <c r="L746" s="8"/>
      <c r="M746" s="8"/>
      <c r="N746" s="11"/>
      <c r="O746" s="9"/>
      <c r="P746" s="12"/>
      <c r="Q746" s="9"/>
      <c r="R746" s="13"/>
      <c r="S746" s="11"/>
      <c r="T746" s="11"/>
      <c r="U746" s="9"/>
      <c r="V746" s="9"/>
      <c r="W746" s="9"/>
      <c r="X746" s="16"/>
      <c r="AF746" s="42">
        <f>IF(BUSCAR!$C$8="FECHA NAC.",$G746,IF(BUSCAR!$C$8="PASAPORTE EXPIRA",$J746,IF(BUSCAR!$C$8="LICENCIA EMISION",$L746,IF(BUSCAR!$C$8="LICENCIA EXPIRA",$M746,""))))</f>
      </c>
      <c r="AG746" s="42">
        <f>IF($B746&amp;$C746&amp;$D746&amp;$E746&amp;$H746="",0,IF(AND(OR(BUSCAR!$J$5="",ISNUMBER(SEARCH(BUSCAR!$J$5,$AI746))),OR(BUSCAR!$J$6="",ISNUMBER(SEARCH(BUSCAR!$J$6,$AI746))),OR(BUSCAR!$J$8="",ISNUMBER(SEARCH(BUSCAR!$J$8,$AI746))),OR(BUSCAR!$J$9="",ISNUMBER(SEARCH(BUSCAR!$J$9,$AI746))),OR(NOT(BUSCAR!$J$2),AND(ISNUMBER($AF746),$AF746&gt;=BUSCAR!$J$3,$AF746&lt;=BUSCAR!$J$4))),1,0))</f>
      </c>
      <c r="AH746" s="42">
        <f t="shared" si="33"/>
      </c>
      <c r="AI746" s="42">
        <f t="shared" si="34"/>
      </c>
    </row>
    <row r="747" spans="1:35" x14ac:dyDescent="0.2">
      <c r="A747" s="66">
        <f t="shared" si="35"/>
      </c>
      <c r="B747" s="4"/>
      <c r="C747" s="4"/>
      <c r="D747" s="4"/>
      <c r="E747" s="4"/>
      <c r="F747" s="24"/>
      <c r="G747" s="8"/>
      <c r="H747" s="9"/>
      <c r="I747" s="8"/>
      <c r="J747" s="10"/>
      <c r="K747" s="8"/>
      <c r="L747" s="8"/>
      <c r="M747" s="8"/>
      <c r="N747" s="11"/>
      <c r="O747" s="9"/>
      <c r="P747" s="12"/>
      <c r="Q747" s="9"/>
      <c r="R747" s="13"/>
      <c r="S747" s="11"/>
      <c r="T747" s="11"/>
      <c r="U747" s="9"/>
      <c r="V747" s="9"/>
      <c r="W747" s="9"/>
      <c r="X747" s="16"/>
      <c r="AF747" s="42">
        <f>IF(BUSCAR!$C$8="FECHA NAC.",$G747,IF(BUSCAR!$C$8="PASAPORTE EXPIRA",$J747,IF(BUSCAR!$C$8="LICENCIA EMISION",$L747,IF(BUSCAR!$C$8="LICENCIA EXPIRA",$M747,""))))</f>
      </c>
      <c r="AG747" s="42">
        <f>IF($B747&amp;$C747&amp;$D747&amp;$E747&amp;$H747="",0,IF(AND(OR(BUSCAR!$J$5="",ISNUMBER(SEARCH(BUSCAR!$J$5,$AI747))),OR(BUSCAR!$J$6="",ISNUMBER(SEARCH(BUSCAR!$J$6,$AI747))),OR(BUSCAR!$J$8="",ISNUMBER(SEARCH(BUSCAR!$J$8,$AI747))),OR(BUSCAR!$J$9="",ISNUMBER(SEARCH(BUSCAR!$J$9,$AI747))),OR(NOT(BUSCAR!$J$2),AND(ISNUMBER($AF747),$AF747&gt;=BUSCAR!$J$3,$AF747&lt;=BUSCAR!$J$4))),1,0))</f>
      </c>
      <c r="AH747" s="42">
        <f t="shared" si="33"/>
      </c>
      <c r="AI747" s="42">
        <f t="shared" si="34"/>
      </c>
    </row>
    <row r="748" spans="1:35" x14ac:dyDescent="0.2">
      <c r="A748" s="66">
        <f t="shared" si="35"/>
      </c>
      <c r="B748" s="4"/>
      <c r="C748" s="4"/>
      <c r="D748" s="4"/>
      <c r="E748" s="4"/>
      <c r="F748" s="24"/>
      <c r="G748" s="8"/>
      <c r="H748" s="9"/>
      <c r="I748" s="8"/>
      <c r="J748" s="10"/>
      <c r="K748" s="8"/>
      <c r="L748" s="8"/>
      <c r="M748" s="8"/>
      <c r="N748" s="11"/>
      <c r="O748" s="9"/>
      <c r="P748" s="12"/>
      <c r="Q748" s="9"/>
      <c r="R748" s="13"/>
      <c r="S748" s="11"/>
      <c r="T748" s="11"/>
      <c r="U748" s="9"/>
      <c r="V748" s="9"/>
      <c r="W748" s="9"/>
      <c r="X748" s="16"/>
      <c r="AF748" s="42">
        <f>IF(BUSCAR!$C$8="FECHA NAC.",$G748,IF(BUSCAR!$C$8="PASAPORTE EXPIRA",$J748,IF(BUSCAR!$C$8="LICENCIA EMISION",$L748,IF(BUSCAR!$C$8="LICENCIA EXPIRA",$M748,""))))</f>
      </c>
      <c r="AG748" s="42">
        <f>IF($B748&amp;$C748&amp;$D748&amp;$E748&amp;$H748="",0,IF(AND(OR(BUSCAR!$J$5="",ISNUMBER(SEARCH(BUSCAR!$J$5,$AI748))),OR(BUSCAR!$J$6="",ISNUMBER(SEARCH(BUSCAR!$J$6,$AI748))),OR(BUSCAR!$J$8="",ISNUMBER(SEARCH(BUSCAR!$J$8,$AI748))),OR(BUSCAR!$J$9="",ISNUMBER(SEARCH(BUSCAR!$J$9,$AI748))),OR(NOT(BUSCAR!$J$2),AND(ISNUMBER($AF748),$AF748&gt;=BUSCAR!$J$3,$AF748&lt;=BUSCAR!$J$4))),1,0))</f>
      </c>
      <c r="AH748" s="42">
        <f t="shared" si="33"/>
      </c>
      <c r="AI748" s="42">
        <f t="shared" si="34"/>
      </c>
    </row>
    <row r="749" spans="1:35" x14ac:dyDescent="0.2">
      <c r="A749" s="66">
        <f t="shared" si="35"/>
      </c>
      <c r="B749" s="4"/>
      <c r="C749" s="4"/>
      <c r="D749" s="4"/>
      <c r="E749" s="4"/>
      <c r="F749" s="24"/>
      <c r="G749" s="8"/>
      <c r="H749" s="9"/>
      <c r="I749" s="8"/>
      <c r="J749" s="10"/>
      <c r="K749" s="8"/>
      <c r="L749" s="8"/>
      <c r="M749" s="8"/>
      <c r="N749" s="11"/>
      <c r="O749" s="9"/>
      <c r="P749" s="12"/>
      <c r="Q749" s="9"/>
      <c r="R749" s="13"/>
      <c r="S749" s="11"/>
      <c r="T749" s="11"/>
      <c r="U749" s="9"/>
      <c r="V749" s="9"/>
      <c r="W749" s="9"/>
      <c r="X749" s="16"/>
      <c r="AF749" s="42">
        <f>IF(BUSCAR!$C$8="FECHA NAC.",$G749,IF(BUSCAR!$C$8="PASAPORTE EXPIRA",$J749,IF(BUSCAR!$C$8="LICENCIA EMISION",$L749,IF(BUSCAR!$C$8="LICENCIA EXPIRA",$M749,""))))</f>
      </c>
      <c r="AG749" s="42">
        <f>IF($B749&amp;$C749&amp;$D749&amp;$E749&amp;$H749="",0,IF(AND(OR(BUSCAR!$J$5="",ISNUMBER(SEARCH(BUSCAR!$J$5,$AI749))),OR(BUSCAR!$J$6="",ISNUMBER(SEARCH(BUSCAR!$J$6,$AI749))),OR(BUSCAR!$J$8="",ISNUMBER(SEARCH(BUSCAR!$J$8,$AI749))),OR(BUSCAR!$J$9="",ISNUMBER(SEARCH(BUSCAR!$J$9,$AI749))),OR(NOT(BUSCAR!$J$2),AND(ISNUMBER($AF749),$AF749&gt;=BUSCAR!$J$3,$AF749&lt;=BUSCAR!$J$4))),1,0))</f>
      </c>
      <c r="AH749" s="42">
        <f t="shared" si="33"/>
      </c>
      <c r="AI749" s="42">
        <f t="shared" si="34"/>
      </c>
    </row>
    <row r="750" spans="1:35" x14ac:dyDescent="0.2">
      <c r="A750" s="66">
        <f t="shared" si="35"/>
      </c>
      <c r="B750" s="4"/>
      <c r="C750" s="4"/>
      <c r="D750" s="4"/>
      <c r="E750" s="4"/>
      <c r="F750" s="24"/>
      <c r="G750" s="8"/>
      <c r="H750" s="9"/>
      <c r="I750" s="8"/>
      <c r="J750" s="10"/>
      <c r="K750" s="8"/>
      <c r="L750" s="8"/>
      <c r="M750" s="8"/>
      <c r="N750" s="11"/>
      <c r="O750" s="9"/>
      <c r="P750" s="12"/>
      <c r="Q750" s="9"/>
      <c r="R750" s="13"/>
      <c r="S750" s="11"/>
      <c r="T750" s="11"/>
      <c r="U750" s="9"/>
      <c r="V750" s="9"/>
      <c r="W750" s="9"/>
      <c r="X750" s="16"/>
      <c r="AF750" s="42">
        <f>IF(BUSCAR!$C$8="FECHA NAC.",$G750,IF(BUSCAR!$C$8="PASAPORTE EXPIRA",$J750,IF(BUSCAR!$C$8="LICENCIA EMISION",$L750,IF(BUSCAR!$C$8="LICENCIA EXPIRA",$M750,""))))</f>
      </c>
      <c r="AG750" s="42">
        <f>IF($B750&amp;$C750&amp;$D750&amp;$E750&amp;$H750="",0,IF(AND(OR(BUSCAR!$J$5="",ISNUMBER(SEARCH(BUSCAR!$J$5,$AI750))),OR(BUSCAR!$J$6="",ISNUMBER(SEARCH(BUSCAR!$J$6,$AI750))),OR(BUSCAR!$J$8="",ISNUMBER(SEARCH(BUSCAR!$J$8,$AI750))),OR(BUSCAR!$J$9="",ISNUMBER(SEARCH(BUSCAR!$J$9,$AI750))),OR(NOT(BUSCAR!$J$2),AND(ISNUMBER($AF750),$AF750&gt;=BUSCAR!$J$3,$AF750&lt;=BUSCAR!$J$4))),1,0))</f>
      </c>
      <c r="AH750" s="42">
        <f t="shared" si="33"/>
      </c>
      <c r="AI750" s="42">
        <f t="shared" si="34"/>
      </c>
    </row>
    <row r="751" spans="1:35" x14ac:dyDescent="0.2">
      <c r="A751" s="66">
        <f t="shared" si="35"/>
      </c>
      <c r="B751" s="4"/>
      <c r="C751" s="4"/>
      <c r="D751" s="4"/>
      <c r="E751" s="4"/>
      <c r="F751" s="24"/>
      <c r="G751" s="8"/>
      <c r="H751" s="9"/>
      <c r="I751" s="8"/>
      <c r="J751" s="10"/>
      <c r="K751" s="8"/>
      <c r="L751" s="8"/>
      <c r="M751" s="8"/>
      <c r="N751" s="11"/>
      <c r="O751" s="9"/>
      <c r="P751" s="12"/>
      <c r="Q751" s="9"/>
      <c r="R751" s="13"/>
      <c r="S751" s="11"/>
      <c r="T751" s="11"/>
      <c r="U751" s="9"/>
      <c r="V751" s="9"/>
      <c r="W751" s="9"/>
      <c r="X751" s="16"/>
      <c r="AF751" s="42">
        <f>IF(BUSCAR!$C$8="FECHA NAC.",$G751,IF(BUSCAR!$C$8="PASAPORTE EXPIRA",$J751,IF(BUSCAR!$C$8="LICENCIA EMISION",$L751,IF(BUSCAR!$C$8="LICENCIA EXPIRA",$M751,""))))</f>
      </c>
      <c r="AG751" s="42">
        <f>IF($B751&amp;$C751&amp;$D751&amp;$E751&amp;$H751="",0,IF(AND(OR(BUSCAR!$J$5="",ISNUMBER(SEARCH(BUSCAR!$J$5,$AI751))),OR(BUSCAR!$J$6="",ISNUMBER(SEARCH(BUSCAR!$J$6,$AI751))),OR(BUSCAR!$J$8="",ISNUMBER(SEARCH(BUSCAR!$J$8,$AI751))),OR(BUSCAR!$J$9="",ISNUMBER(SEARCH(BUSCAR!$J$9,$AI751))),OR(NOT(BUSCAR!$J$2),AND(ISNUMBER($AF751),$AF751&gt;=BUSCAR!$J$3,$AF751&lt;=BUSCAR!$J$4))),1,0))</f>
      </c>
      <c r="AH751" s="42">
        <f t="shared" si="33"/>
      </c>
      <c r="AI751" s="42">
        <f t="shared" si="34"/>
      </c>
    </row>
    <row r="752" spans="1:35" x14ac:dyDescent="0.2">
      <c r="A752" s="66">
        <f t="shared" si="35"/>
      </c>
      <c r="B752" s="4"/>
      <c r="C752" s="4"/>
      <c r="D752" s="4"/>
      <c r="E752" s="4"/>
      <c r="F752" s="24"/>
      <c r="G752" s="8"/>
      <c r="H752" s="9"/>
      <c r="I752" s="8"/>
      <c r="J752" s="10"/>
      <c r="K752" s="8"/>
      <c r="L752" s="8"/>
      <c r="M752" s="8"/>
      <c r="N752" s="11"/>
      <c r="O752" s="9"/>
      <c r="P752" s="12"/>
      <c r="Q752" s="9"/>
      <c r="R752" s="13"/>
      <c r="S752" s="11"/>
      <c r="T752" s="11"/>
      <c r="U752" s="9"/>
      <c r="V752" s="9"/>
      <c r="W752" s="9"/>
      <c r="X752" s="16"/>
      <c r="AF752" s="42">
        <f>IF(BUSCAR!$C$8="FECHA NAC.",$G752,IF(BUSCAR!$C$8="PASAPORTE EXPIRA",$J752,IF(BUSCAR!$C$8="LICENCIA EMISION",$L752,IF(BUSCAR!$C$8="LICENCIA EXPIRA",$M752,""))))</f>
      </c>
      <c r="AG752" s="42">
        <f>IF($B752&amp;$C752&amp;$D752&amp;$E752&amp;$H752="",0,IF(AND(OR(BUSCAR!$J$5="",ISNUMBER(SEARCH(BUSCAR!$J$5,$AI752))),OR(BUSCAR!$J$6="",ISNUMBER(SEARCH(BUSCAR!$J$6,$AI752))),OR(BUSCAR!$J$8="",ISNUMBER(SEARCH(BUSCAR!$J$8,$AI752))),OR(BUSCAR!$J$9="",ISNUMBER(SEARCH(BUSCAR!$J$9,$AI752))),OR(NOT(BUSCAR!$J$2),AND(ISNUMBER($AF752),$AF752&gt;=BUSCAR!$J$3,$AF752&lt;=BUSCAR!$J$4))),1,0))</f>
      </c>
      <c r="AH752" s="42">
        <f t="shared" si="33"/>
      </c>
      <c r="AI752" s="42">
        <f t="shared" si="34"/>
      </c>
    </row>
    <row r="753" spans="1:35" x14ac:dyDescent="0.2">
      <c r="A753" s="66">
        <f t="shared" si="35"/>
      </c>
      <c r="B753" s="4"/>
      <c r="C753" s="4"/>
      <c r="D753" s="4"/>
      <c r="E753" s="4"/>
      <c r="F753" s="24"/>
      <c r="G753" s="8"/>
      <c r="H753" s="9"/>
      <c r="I753" s="8"/>
      <c r="J753" s="10"/>
      <c r="K753" s="8"/>
      <c r="L753" s="8"/>
      <c r="M753" s="8"/>
      <c r="N753" s="11"/>
      <c r="O753" s="9"/>
      <c r="P753" s="12"/>
      <c r="Q753" s="9"/>
      <c r="R753" s="13"/>
      <c r="S753" s="11"/>
      <c r="T753" s="11"/>
      <c r="U753" s="9"/>
      <c r="V753" s="9"/>
      <c r="W753" s="9"/>
      <c r="X753" s="16"/>
      <c r="AF753" s="42">
        <f>IF(BUSCAR!$C$8="FECHA NAC.",$G753,IF(BUSCAR!$C$8="PASAPORTE EXPIRA",$J753,IF(BUSCAR!$C$8="LICENCIA EMISION",$L753,IF(BUSCAR!$C$8="LICENCIA EXPIRA",$M753,""))))</f>
      </c>
      <c r="AG753" s="42">
        <f>IF($B753&amp;$C753&amp;$D753&amp;$E753&amp;$H753="",0,IF(AND(OR(BUSCAR!$J$5="",ISNUMBER(SEARCH(BUSCAR!$J$5,$AI753))),OR(BUSCAR!$J$6="",ISNUMBER(SEARCH(BUSCAR!$J$6,$AI753))),OR(BUSCAR!$J$8="",ISNUMBER(SEARCH(BUSCAR!$J$8,$AI753))),OR(BUSCAR!$J$9="",ISNUMBER(SEARCH(BUSCAR!$J$9,$AI753))),OR(NOT(BUSCAR!$J$2),AND(ISNUMBER($AF753),$AF753&gt;=BUSCAR!$J$3,$AF753&lt;=BUSCAR!$J$4))),1,0))</f>
      </c>
      <c r="AH753" s="42">
        <f t="shared" si="33"/>
      </c>
      <c r="AI753" s="42">
        <f t="shared" si="34"/>
      </c>
    </row>
    <row r="754" spans="1:35" x14ac:dyDescent="0.2">
      <c r="A754" s="66">
        <f t="shared" si="35"/>
      </c>
      <c r="B754" s="4"/>
      <c r="C754" s="4"/>
      <c r="D754" s="4"/>
      <c r="E754" s="4"/>
      <c r="F754" s="24"/>
      <c r="G754" s="8"/>
      <c r="H754" s="9"/>
      <c r="I754" s="8"/>
      <c r="J754" s="10"/>
      <c r="K754" s="8"/>
      <c r="L754" s="8"/>
      <c r="M754" s="8"/>
      <c r="N754" s="11"/>
      <c r="O754" s="9"/>
      <c r="P754" s="12"/>
      <c r="Q754" s="9"/>
      <c r="R754" s="13"/>
      <c r="S754" s="11"/>
      <c r="T754" s="11"/>
      <c r="U754" s="9"/>
      <c r="V754" s="9"/>
      <c r="W754" s="9"/>
      <c r="X754" s="16"/>
      <c r="AF754" s="42">
        <f>IF(BUSCAR!$C$8="FECHA NAC.",$G754,IF(BUSCAR!$C$8="PASAPORTE EXPIRA",$J754,IF(BUSCAR!$C$8="LICENCIA EMISION",$L754,IF(BUSCAR!$C$8="LICENCIA EXPIRA",$M754,""))))</f>
      </c>
      <c r="AG754" s="42">
        <f>IF($B754&amp;$C754&amp;$D754&amp;$E754&amp;$H754="",0,IF(AND(OR(BUSCAR!$J$5="",ISNUMBER(SEARCH(BUSCAR!$J$5,$AI754))),OR(BUSCAR!$J$6="",ISNUMBER(SEARCH(BUSCAR!$J$6,$AI754))),OR(BUSCAR!$J$8="",ISNUMBER(SEARCH(BUSCAR!$J$8,$AI754))),OR(BUSCAR!$J$9="",ISNUMBER(SEARCH(BUSCAR!$J$9,$AI754))),OR(NOT(BUSCAR!$J$2),AND(ISNUMBER($AF754),$AF754&gt;=BUSCAR!$J$3,$AF754&lt;=BUSCAR!$J$4))),1,0))</f>
      </c>
      <c r="AH754" s="42">
        <f t="shared" si="33"/>
      </c>
      <c r="AI754" s="42">
        <f t="shared" si="34"/>
      </c>
    </row>
    <row r="755" spans="1:35" x14ac:dyDescent="0.2">
      <c r="A755" s="66">
        <f t="shared" si="35"/>
      </c>
      <c r="B755" s="4"/>
      <c r="C755" s="4"/>
      <c r="D755" s="4"/>
      <c r="E755" s="4"/>
      <c r="F755" s="24"/>
      <c r="G755" s="8"/>
      <c r="H755" s="9"/>
      <c r="I755" s="8"/>
      <c r="J755" s="10"/>
      <c r="K755" s="8"/>
      <c r="L755" s="8"/>
      <c r="M755" s="8"/>
      <c r="N755" s="11"/>
      <c r="O755" s="9"/>
      <c r="P755" s="12"/>
      <c r="Q755" s="9"/>
      <c r="R755" s="13"/>
      <c r="S755" s="11"/>
      <c r="T755" s="11"/>
      <c r="U755" s="9"/>
      <c r="V755" s="9"/>
      <c r="W755" s="9"/>
      <c r="X755" s="16"/>
      <c r="AF755" s="42">
        <f>IF(BUSCAR!$C$8="FECHA NAC.",$G755,IF(BUSCAR!$C$8="PASAPORTE EXPIRA",$J755,IF(BUSCAR!$C$8="LICENCIA EMISION",$L755,IF(BUSCAR!$C$8="LICENCIA EXPIRA",$M755,""))))</f>
      </c>
      <c r="AG755" s="42">
        <f>IF($B755&amp;$C755&amp;$D755&amp;$E755&amp;$H755="",0,IF(AND(OR(BUSCAR!$J$5="",ISNUMBER(SEARCH(BUSCAR!$J$5,$AI755))),OR(BUSCAR!$J$6="",ISNUMBER(SEARCH(BUSCAR!$J$6,$AI755))),OR(BUSCAR!$J$8="",ISNUMBER(SEARCH(BUSCAR!$J$8,$AI755))),OR(BUSCAR!$J$9="",ISNUMBER(SEARCH(BUSCAR!$J$9,$AI755))),OR(NOT(BUSCAR!$J$2),AND(ISNUMBER($AF755),$AF755&gt;=BUSCAR!$J$3,$AF755&lt;=BUSCAR!$J$4))),1,0))</f>
      </c>
      <c r="AH755" s="42">
        <f t="shared" si="33"/>
      </c>
      <c r="AI755" s="42">
        <f t="shared" si="34"/>
      </c>
    </row>
    <row r="756" spans="1:35" x14ac:dyDescent="0.2">
      <c r="A756" s="66">
        <f t="shared" si="35"/>
      </c>
      <c r="B756" s="4"/>
      <c r="C756" s="4"/>
      <c r="D756" s="4"/>
      <c r="E756" s="4"/>
      <c r="F756" s="24"/>
      <c r="G756" s="8"/>
      <c r="H756" s="9"/>
      <c r="I756" s="8"/>
      <c r="J756" s="10"/>
      <c r="K756" s="8"/>
      <c r="L756" s="8"/>
      <c r="M756" s="8"/>
      <c r="N756" s="11"/>
      <c r="O756" s="9"/>
      <c r="P756" s="12"/>
      <c r="Q756" s="9"/>
      <c r="R756" s="13"/>
      <c r="S756" s="11"/>
      <c r="T756" s="11"/>
      <c r="U756" s="9"/>
      <c r="V756" s="9"/>
      <c r="W756" s="9"/>
      <c r="X756" s="16"/>
      <c r="AF756" s="42">
        <f>IF(BUSCAR!$C$8="FECHA NAC.",$G756,IF(BUSCAR!$C$8="PASAPORTE EXPIRA",$J756,IF(BUSCAR!$C$8="LICENCIA EMISION",$L756,IF(BUSCAR!$C$8="LICENCIA EXPIRA",$M756,""))))</f>
      </c>
      <c r="AG756" s="42">
        <f>IF($B756&amp;$C756&amp;$D756&amp;$E756&amp;$H756="",0,IF(AND(OR(BUSCAR!$J$5="",ISNUMBER(SEARCH(BUSCAR!$J$5,$AI756))),OR(BUSCAR!$J$6="",ISNUMBER(SEARCH(BUSCAR!$J$6,$AI756))),OR(BUSCAR!$J$8="",ISNUMBER(SEARCH(BUSCAR!$J$8,$AI756))),OR(BUSCAR!$J$9="",ISNUMBER(SEARCH(BUSCAR!$J$9,$AI756))),OR(NOT(BUSCAR!$J$2),AND(ISNUMBER($AF756),$AF756&gt;=BUSCAR!$J$3,$AF756&lt;=BUSCAR!$J$4))),1,0))</f>
      </c>
      <c r="AH756" s="42">
        <f t="shared" si="33"/>
      </c>
      <c r="AI756" s="42">
        <f t="shared" si="34"/>
      </c>
    </row>
    <row r="757" spans="1:35" x14ac:dyDescent="0.2">
      <c r="A757" s="66">
        <f t="shared" si="35"/>
      </c>
      <c r="B757" s="4"/>
      <c r="C757" s="4"/>
      <c r="D757" s="4"/>
      <c r="E757" s="4"/>
      <c r="F757" s="24"/>
      <c r="G757" s="8"/>
      <c r="H757" s="9"/>
      <c r="I757" s="8"/>
      <c r="J757" s="10"/>
      <c r="K757" s="8"/>
      <c r="L757" s="8"/>
      <c r="M757" s="8"/>
      <c r="N757" s="11"/>
      <c r="O757" s="9"/>
      <c r="P757" s="12"/>
      <c r="Q757" s="9"/>
      <c r="R757" s="13"/>
      <c r="S757" s="11"/>
      <c r="T757" s="11"/>
      <c r="U757" s="9"/>
      <c r="V757" s="9"/>
      <c r="W757" s="9"/>
      <c r="X757" s="16"/>
      <c r="AF757" s="42">
        <f>IF(BUSCAR!$C$8="FECHA NAC.",$G757,IF(BUSCAR!$C$8="PASAPORTE EXPIRA",$J757,IF(BUSCAR!$C$8="LICENCIA EMISION",$L757,IF(BUSCAR!$C$8="LICENCIA EXPIRA",$M757,""))))</f>
      </c>
      <c r="AG757" s="42">
        <f>IF($B757&amp;$C757&amp;$D757&amp;$E757&amp;$H757="",0,IF(AND(OR(BUSCAR!$J$5="",ISNUMBER(SEARCH(BUSCAR!$J$5,$AI757))),OR(BUSCAR!$J$6="",ISNUMBER(SEARCH(BUSCAR!$J$6,$AI757))),OR(BUSCAR!$J$8="",ISNUMBER(SEARCH(BUSCAR!$J$8,$AI757))),OR(BUSCAR!$J$9="",ISNUMBER(SEARCH(BUSCAR!$J$9,$AI757))),OR(NOT(BUSCAR!$J$2),AND(ISNUMBER($AF757),$AF757&gt;=BUSCAR!$J$3,$AF757&lt;=BUSCAR!$J$4))),1,0))</f>
      </c>
      <c r="AH757" s="42">
        <f t="shared" si="33"/>
      </c>
      <c r="AI757" s="42">
        <f t="shared" si="34"/>
      </c>
    </row>
    <row r="758" spans="1:35" x14ac:dyDescent="0.2">
      <c r="A758" s="66">
        <f t="shared" si="35"/>
      </c>
      <c r="B758" s="4"/>
      <c r="C758" s="4"/>
      <c r="D758" s="4"/>
      <c r="E758" s="4"/>
      <c r="F758" s="24"/>
      <c r="G758" s="8"/>
      <c r="H758" s="9"/>
      <c r="I758" s="8"/>
      <c r="J758" s="10"/>
      <c r="K758" s="8"/>
      <c r="L758" s="8"/>
      <c r="M758" s="8"/>
      <c r="N758" s="11"/>
      <c r="O758" s="9"/>
      <c r="P758" s="12"/>
      <c r="Q758" s="9"/>
      <c r="R758" s="13"/>
      <c r="S758" s="11"/>
      <c r="T758" s="11"/>
      <c r="U758" s="9"/>
      <c r="V758" s="9"/>
      <c r="W758" s="9"/>
      <c r="X758" s="16"/>
      <c r="AF758" s="42">
        <f>IF(BUSCAR!$C$8="FECHA NAC.",$G758,IF(BUSCAR!$C$8="PASAPORTE EXPIRA",$J758,IF(BUSCAR!$C$8="LICENCIA EMISION",$L758,IF(BUSCAR!$C$8="LICENCIA EXPIRA",$M758,""))))</f>
      </c>
      <c r="AG758" s="42">
        <f>IF($B758&amp;$C758&amp;$D758&amp;$E758&amp;$H758="",0,IF(AND(OR(BUSCAR!$J$5="",ISNUMBER(SEARCH(BUSCAR!$J$5,$AI758))),OR(BUSCAR!$J$6="",ISNUMBER(SEARCH(BUSCAR!$J$6,$AI758))),OR(BUSCAR!$J$8="",ISNUMBER(SEARCH(BUSCAR!$J$8,$AI758))),OR(BUSCAR!$J$9="",ISNUMBER(SEARCH(BUSCAR!$J$9,$AI758))),OR(NOT(BUSCAR!$J$2),AND(ISNUMBER($AF758),$AF758&gt;=BUSCAR!$J$3,$AF758&lt;=BUSCAR!$J$4))),1,0))</f>
      </c>
      <c r="AH758" s="42">
        <f t="shared" si="33"/>
      </c>
      <c r="AI758" s="42">
        <f t="shared" si="34"/>
      </c>
    </row>
    <row r="759" spans="1:35" x14ac:dyDescent="0.2">
      <c r="A759" s="66">
        <f t="shared" si="35"/>
      </c>
      <c r="B759" s="4"/>
      <c r="C759" s="4"/>
      <c r="D759" s="4"/>
      <c r="E759" s="4"/>
      <c r="F759" s="24"/>
      <c r="G759" s="8"/>
      <c r="H759" s="9"/>
      <c r="I759" s="8"/>
      <c r="J759" s="10"/>
      <c r="K759" s="8"/>
      <c r="L759" s="8"/>
      <c r="M759" s="8"/>
      <c r="N759" s="11"/>
      <c r="O759" s="9"/>
      <c r="P759" s="12"/>
      <c r="Q759" s="9"/>
      <c r="R759" s="13"/>
      <c r="S759" s="11"/>
      <c r="T759" s="11"/>
      <c r="U759" s="9"/>
      <c r="V759" s="9"/>
      <c r="W759" s="9"/>
      <c r="X759" s="16"/>
      <c r="AF759" s="42">
        <f>IF(BUSCAR!$C$8="FECHA NAC.",$G759,IF(BUSCAR!$C$8="PASAPORTE EXPIRA",$J759,IF(BUSCAR!$C$8="LICENCIA EMISION",$L759,IF(BUSCAR!$C$8="LICENCIA EXPIRA",$M759,""))))</f>
      </c>
      <c r="AG759" s="42">
        <f>IF($B759&amp;$C759&amp;$D759&amp;$E759&amp;$H759="",0,IF(AND(OR(BUSCAR!$J$5="",ISNUMBER(SEARCH(BUSCAR!$J$5,$AI759))),OR(BUSCAR!$J$6="",ISNUMBER(SEARCH(BUSCAR!$J$6,$AI759))),OR(BUSCAR!$J$8="",ISNUMBER(SEARCH(BUSCAR!$J$8,$AI759))),OR(BUSCAR!$J$9="",ISNUMBER(SEARCH(BUSCAR!$J$9,$AI759))),OR(NOT(BUSCAR!$J$2),AND(ISNUMBER($AF759),$AF759&gt;=BUSCAR!$J$3,$AF759&lt;=BUSCAR!$J$4))),1,0))</f>
      </c>
      <c r="AH759" s="42">
        <f t="shared" si="33"/>
      </c>
      <c r="AI759" s="42">
        <f t="shared" si="34"/>
      </c>
    </row>
    <row r="760" spans="1:35" x14ac:dyDescent="0.2">
      <c r="A760" s="66">
        <f t="shared" si="35"/>
      </c>
      <c r="B760" s="4"/>
      <c r="C760" s="4"/>
      <c r="D760" s="4"/>
      <c r="E760" s="4"/>
      <c r="F760" s="24"/>
      <c r="G760" s="8"/>
      <c r="H760" s="9"/>
      <c r="I760" s="8"/>
      <c r="J760" s="10"/>
      <c r="K760" s="8"/>
      <c r="L760" s="8"/>
      <c r="M760" s="8"/>
      <c r="N760" s="11"/>
      <c r="O760" s="9"/>
      <c r="P760" s="12"/>
      <c r="Q760" s="9"/>
      <c r="R760" s="13"/>
      <c r="S760" s="11"/>
      <c r="T760" s="11"/>
      <c r="U760" s="9"/>
      <c r="V760" s="9"/>
      <c r="W760" s="9"/>
      <c r="X760" s="16"/>
      <c r="AF760" s="42">
        <f>IF(BUSCAR!$C$8="FECHA NAC.",$G760,IF(BUSCAR!$C$8="PASAPORTE EXPIRA",$J760,IF(BUSCAR!$C$8="LICENCIA EMISION",$L760,IF(BUSCAR!$C$8="LICENCIA EXPIRA",$M760,""))))</f>
      </c>
      <c r="AG760" s="42">
        <f>IF($B760&amp;$C760&amp;$D760&amp;$E760&amp;$H760="",0,IF(AND(OR(BUSCAR!$J$5="",ISNUMBER(SEARCH(BUSCAR!$J$5,$AI760))),OR(BUSCAR!$J$6="",ISNUMBER(SEARCH(BUSCAR!$J$6,$AI760))),OR(BUSCAR!$J$8="",ISNUMBER(SEARCH(BUSCAR!$J$8,$AI760))),OR(BUSCAR!$J$9="",ISNUMBER(SEARCH(BUSCAR!$J$9,$AI760))),OR(NOT(BUSCAR!$J$2),AND(ISNUMBER($AF760),$AF760&gt;=BUSCAR!$J$3,$AF760&lt;=BUSCAR!$J$4))),1,0))</f>
      </c>
      <c r="AH760" s="42">
        <f t="shared" si="33"/>
      </c>
      <c r="AI760" s="42">
        <f t="shared" si="34"/>
      </c>
    </row>
    <row r="761" spans="1:35" x14ac:dyDescent="0.2">
      <c r="A761" s="66">
        <f t="shared" si="35"/>
      </c>
      <c r="B761" s="4"/>
      <c r="C761" s="4"/>
      <c r="D761" s="4"/>
      <c r="E761" s="4"/>
      <c r="F761" s="24"/>
      <c r="G761" s="8"/>
      <c r="H761" s="9"/>
      <c r="I761" s="8"/>
      <c r="J761" s="10"/>
      <c r="K761" s="8"/>
      <c r="L761" s="8"/>
      <c r="M761" s="8"/>
      <c r="N761" s="11"/>
      <c r="O761" s="9"/>
      <c r="P761" s="12"/>
      <c r="Q761" s="9"/>
      <c r="R761" s="13"/>
      <c r="S761" s="11"/>
      <c r="T761" s="11"/>
      <c r="U761" s="9"/>
      <c r="V761" s="9"/>
      <c r="W761" s="9"/>
      <c r="X761" s="16"/>
      <c r="AF761" s="42">
        <f>IF(BUSCAR!$C$8="FECHA NAC.",$G761,IF(BUSCAR!$C$8="PASAPORTE EXPIRA",$J761,IF(BUSCAR!$C$8="LICENCIA EMISION",$L761,IF(BUSCAR!$C$8="LICENCIA EXPIRA",$M761,""))))</f>
      </c>
      <c r="AG761" s="42">
        <f>IF($B761&amp;$C761&amp;$D761&amp;$E761&amp;$H761="",0,IF(AND(OR(BUSCAR!$J$5="",ISNUMBER(SEARCH(BUSCAR!$J$5,$AI761))),OR(BUSCAR!$J$6="",ISNUMBER(SEARCH(BUSCAR!$J$6,$AI761))),OR(BUSCAR!$J$8="",ISNUMBER(SEARCH(BUSCAR!$J$8,$AI761))),OR(BUSCAR!$J$9="",ISNUMBER(SEARCH(BUSCAR!$J$9,$AI761))),OR(NOT(BUSCAR!$J$2),AND(ISNUMBER($AF761),$AF761&gt;=BUSCAR!$J$3,$AF761&lt;=BUSCAR!$J$4))),1,0))</f>
      </c>
      <c r="AH761" s="42">
        <f t="shared" si="33"/>
      </c>
      <c r="AI761" s="42">
        <f t="shared" si="34"/>
      </c>
    </row>
    <row r="762" spans="1:35" x14ac:dyDescent="0.2">
      <c r="A762" s="66">
        <f t="shared" si="35"/>
      </c>
      <c r="B762" s="4"/>
      <c r="C762" s="4"/>
      <c r="D762" s="4"/>
      <c r="E762" s="4"/>
      <c r="F762" s="24"/>
      <c r="G762" s="8"/>
      <c r="H762" s="9"/>
      <c r="I762" s="8"/>
      <c r="J762" s="10"/>
      <c r="K762" s="8"/>
      <c r="L762" s="8"/>
      <c r="M762" s="8"/>
      <c r="N762" s="11"/>
      <c r="O762" s="9"/>
      <c r="P762" s="12"/>
      <c r="Q762" s="9"/>
      <c r="R762" s="13"/>
      <c r="S762" s="11"/>
      <c r="T762" s="11"/>
      <c r="U762" s="9"/>
      <c r="V762" s="9"/>
      <c r="W762" s="9"/>
      <c r="X762" s="16"/>
      <c r="AF762" s="42">
        <f>IF(BUSCAR!$C$8="FECHA NAC.",$G762,IF(BUSCAR!$C$8="PASAPORTE EXPIRA",$J762,IF(BUSCAR!$C$8="LICENCIA EMISION",$L762,IF(BUSCAR!$C$8="LICENCIA EXPIRA",$M762,""))))</f>
      </c>
      <c r="AG762" s="42">
        <f>IF($B762&amp;$C762&amp;$D762&amp;$E762&amp;$H762="",0,IF(AND(OR(BUSCAR!$J$5="",ISNUMBER(SEARCH(BUSCAR!$J$5,$AI762))),OR(BUSCAR!$J$6="",ISNUMBER(SEARCH(BUSCAR!$J$6,$AI762))),OR(BUSCAR!$J$8="",ISNUMBER(SEARCH(BUSCAR!$J$8,$AI762))),OR(BUSCAR!$J$9="",ISNUMBER(SEARCH(BUSCAR!$J$9,$AI762))),OR(NOT(BUSCAR!$J$2),AND(ISNUMBER($AF762),$AF762&gt;=BUSCAR!$J$3,$AF762&lt;=BUSCAR!$J$4))),1,0))</f>
      </c>
      <c r="AH762" s="42">
        <f t="shared" si="33"/>
      </c>
      <c r="AI762" s="42">
        <f t="shared" si="34"/>
      </c>
    </row>
    <row r="763" spans="1:35" x14ac:dyDescent="0.2">
      <c r="A763" s="66">
        <f t="shared" si="35"/>
      </c>
      <c r="B763" s="4"/>
      <c r="C763" s="4"/>
      <c r="D763" s="4"/>
      <c r="E763" s="4"/>
      <c r="F763" s="24"/>
      <c r="G763" s="8"/>
      <c r="H763" s="9"/>
      <c r="I763" s="8"/>
      <c r="J763" s="10"/>
      <c r="K763" s="8"/>
      <c r="L763" s="8"/>
      <c r="M763" s="8"/>
      <c r="N763" s="11"/>
      <c r="O763" s="9"/>
      <c r="P763" s="12"/>
      <c r="Q763" s="9"/>
      <c r="R763" s="13"/>
      <c r="S763" s="11"/>
      <c r="T763" s="11"/>
      <c r="U763" s="9"/>
      <c r="V763" s="9"/>
      <c r="W763" s="9"/>
      <c r="X763" s="16"/>
      <c r="AF763" s="42">
        <f>IF(BUSCAR!$C$8="FECHA NAC.",$G763,IF(BUSCAR!$C$8="PASAPORTE EXPIRA",$J763,IF(BUSCAR!$C$8="LICENCIA EMISION",$L763,IF(BUSCAR!$C$8="LICENCIA EXPIRA",$M763,""))))</f>
      </c>
      <c r="AG763" s="42">
        <f>IF($B763&amp;$C763&amp;$D763&amp;$E763&amp;$H763="",0,IF(AND(OR(BUSCAR!$J$5="",ISNUMBER(SEARCH(BUSCAR!$J$5,$AI763))),OR(BUSCAR!$J$6="",ISNUMBER(SEARCH(BUSCAR!$J$6,$AI763))),OR(BUSCAR!$J$8="",ISNUMBER(SEARCH(BUSCAR!$J$8,$AI763))),OR(BUSCAR!$J$9="",ISNUMBER(SEARCH(BUSCAR!$J$9,$AI763))),OR(NOT(BUSCAR!$J$2),AND(ISNUMBER($AF763),$AF763&gt;=BUSCAR!$J$3,$AF763&lt;=BUSCAR!$J$4))),1,0))</f>
      </c>
      <c r="AH763" s="42">
        <f t="shared" si="33"/>
      </c>
      <c r="AI763" s="42">
        <f t="shared" si="34"/>
      </c>
    </row>
    <row r="764" spans="1:35" x14ac:dyDescent="0.2">
      <c r="A764" s="66">
        <f t="shared" si="35"/>
      </c>
      <c r="B764" s="4"/>
      <c r="C764" s="4"/>
      <c r="D764" s="4"/>
      <c r="E764" s="4"/>
      <c r="F764" s="24"/>
      <c r="G764" s="8"/>
      <c r="H764" s="9"/>
      <c r="I764" s="8"/>
      <c r="J764" s="10"/>
      <c r="K764" s="8"/>
      <c r="L764" s="8"/>
      <c r="M764" s="8"/>
      <c r="N764" s="11"/>
      <c r="O764" s="9"/>
      <c r="P764" s="12"/>
      <c r="Q764" s="9"/>
      <c r="R764" s="13"/>
      <c r="S764" s="11"/>
      <c r="T764" s="11"/>
      <c r="U764" s="9"/>
      <c r="V764" s="9"/>
      <c r="W764" s="9"/>
      <c r="X764" s="16"/>
      <c r="AF764" s="42">
        <f>IF(BUSCAR!$C$8="FECHA NAC.",$G764,IF(BUSCAR!$C$8="PASAPORTE EXPIRA",$J764,IF(BUSCAR!$C$8="LICENCIA EMISION",$L764,IF(BUSCAR!$C$8="LICENCIA EXPIRA",$M764,""))))</f>
      </c>
      <c r="AG764" s="42">
        <f>IF($B764&amp;$C764&amp;$D764&amp;$E764&amp;$H764="",0,IF(AND(OR(BUSCAR!$J$5="",ISNUMBER(SEARCH(BUSCAR!$J$5,$AI764))),OR(BUSCAR!$J$6="",ISNUMBER(SEARCH(BUSCAR!$J$6,$AI764))),OR(BUSCAR!$J$8="",ISNUMBER(SEARCH(BUSCAR!$J$8,$AI764))),OR(BUSCAR!$J$9="",ISNUMBER(SEARCH(BUSCAR!$J$9,$AI764))),OR(NOT(BUSCAR!$J$2),AND(ISNUMBER($AF764),$AF764&gt;=BUSCAR!$J$3,$AF764&lt;=BUSCAR!$J$4))),1,0))</f>
      </c>
      <c r="AH764" s="42">
        <f t="shared" si="33"/>
      </c>
      <c r="AI764" s="42">
        <f t="shared" si="34"/>
      </c>
    </row>
    <row r="765" spans="1:35" x14ac:dyDescent="0.2">
      <c r="A765" s="66">
        <f t="shared" si="35"/>
      </c>
      <c r="B765" s="4"/>
      <c r="C765" s="4"/>
      <c r="D765" s="4"/>
      <c r="E765" s="4"/>
      <c r="F765" s="24"/>
      <c r="G765" s="8"/>
      <c r="H765" s="9"/>
      <c r="I765" s="8"/>
      <c r="J765" s="10"/>
      <c r="K765" s="8"/>
      <c r="L765" s="8"/>
      <c r="M765" s="8"/>
      <c r="N765" s="11"/>
      <c r="O765" s="9"/>
      <c r="P765" s="12"/>
      <c r="Q765" s="9"/>
      <c r="R765" s="13"/>
      <c r="S765" s="11"/>
      <c r="T765" s="11"/>
      <c r="U765" s="9"/>
      <c r="V765" s="9"/>
      <c r="W765" s="9"/>
      <c r="X765" s="16"/>
      <c r="AF765" s="42">
        <f>IF(BUSCAR!$C$8="FECHA NAC.",$G765,IF(BUSCAR!$C$8="PASAPORTE EXPIRA",$J765,IF(BUSCAR!$C$8="LICENCIA EMISION",$L765,IF(BUSCAR!$C$8="LICENCIA EXPIRA",$M765,""))))</f>
      </c>
      <c r="AG765" s="42">
        <f>IF($B765&amp;$C765&amp;$D765&amp;$E765&amp;$H765="",0,IF(AND(OR(BUSCAR!$J$5="",ISNUMBER(SEARCH(BUSCAR!$J$5,$AI765))),OR(BUSCAR!$J$6="",ISNUMBER(SEARCH(BUSCAR!$J$6,$AI765))),OR(BUSCAR!$J$8="",ISNUMBER(SEARCH(BUSCAR!$J$8,$AI765))),OR(BUSCAR!$J$9="",ISNUMBER(SEARCH(BUSCAR!$J$9,$AI765))),OR(NOT(BUSCAR!$J$2),AND(ISNUMBER($AF765),$AF765&gt;=BUSCAR!$J$3,$AF765&lt;=BUSCAR!$J$4))),1,0))</f>
      </c>
      <c r="AH765" s="42">
        <f t="shared" si="33"/>
      </c>
      <c r="AI765" s="42">
        <f t="shared" si="34"/>
      </c>
    </row>
    <row r="766" spans="1:35" x14ac:dyDescent="0.2">
      <c r="A766" s="66">
        <f t="shared" si="35"/>
      </c>
      <c r="B766" s="4"/>
      <c r="C766" s="4"/>
      <c r="D766" s="4"/>
      <c r="E766" s="4"/>
      <c r="F766" s="24"/>
      <c r="G766" s="8"/>
      <c r="H766" s="9"/>
      <c r="I766" s="8"/>
      <c r="J766" s="10"/>
      <c r="K766" s="8"/>
      <c r="L766" s="8"/>
      <c r="M766" s="8"/>
      <c r="N766" s="11"/>
      <c r="O766" s="9"/>
      <c r="P766" s="12"/>
      <c r="Q766" s="9"/>
      <c r="R766" s="13"/>
      <c r="S766" s="11"/>
      <c r="T766" s="11"/>
      <c r="U766" s="9"/>
      <c r="V766" s="9"/>
      <c r="W766" s="9"/>
      <c r="X766" s="16"/>
      <c r="AF766" s="42">
        <f>IF(BUSCAR!$C$8="FECHA NAC.",$G766,IF(BUSCAR!$C$8="PASAPORTE EXPIRA",$J766,IF(BUSCAR!$C$8="LICENCIA EMISION",$L766,IF(BUSCAR!$C$8="LICENCIA EXPIRA",$M766,""))))</f>
      </c>
      <c r="AG766" s="42">
        <f>IF($B766&amp;$C766&amp;$D766&amp;$E766&amp;$H766="",0,IF(AND(OR(BUSCAR!$J$5="",ISNUMBER(SEARCH(BUSCAR!$J$5,$AI766))),OR(BUSCAR!$J$6="",ISNUMBER(SEARCH(BUSCAR!$J$6,$AI766))),OR(BUSCAR!$J$8="",ISNUMBER(SEARCH(BUSCAR!$J$8,$AI766))),OR(BUSCAR!$J$9="",ISNUMBER(SEARCH(BUSCAR!$J$9,$AI766))),OR(NOT(BUSCAR!$J$2),AND(ISNUMBER($AF766),$AF766&gt;=BUSCAR!$J$3,$AF766&lt;=BUSCAR!$J$4))),1,0))</f>
      </c>
      <c r="AH766" s="42">
        <f t="shared" si="33"/>
      </c>
      <c r="AI766" s="42">
        <f t="shared" si="34"/>
      </c>
    </row>
    <row r="767" spans="1:35" x14ac:dyDescent="0.2">
      <c r="A767" s="66">
        <f t="shared" si="35"/>
      </c>
      <c r="B767" s="4"/>
      <c r="C767" s="4"/>
      <c r="D767" s="4"/>
      <c r="E767" s="4"/>
      <c r="F767" s="24"/>
      <c r="G767" s="8"/>
      <c r="H767" s="9"/>
      <c r="I767" s="8"/>
      <c r="J767" s="10"/>
      <c r="K767" s="8"/>
      <c r="L767" s="8"/>
      <c r="M767" s="8"/>
      <c r="N767" s="11"/>
      <c r="O767" s="9"/>
      <c r="P767" s="12"/>
      <c r="Q767" s="9"/>
      <c r="R767" s="13"/>
      <c r="S767" s="11"/>
      <c r="T767" s="11"/>
      <c r="U767" s="9"/>
      <c r="V767" s="9"/>
      <c r="W767" s="9"/>
      <c r="X767" s="16"/>
      <c r="AF767" s="42">
        <f>IF(BUSCAR!$C$8="FECHA NAC.",$G767,IF(BUSCAR!$C$8="PASAPORTE EXPIRA",$J767,IF(BUSCAR!$C$8="LICENCIA EMISION",$L767,IF(BUSCAR!$C$8="LICENCIA EXPIRA",$M767,""))))</f>
      </c>
      <c r="AG767" s="42">
        <f>IF($B767&amp;$C767&amp;$D767&amp;$E767&amp;$H767="",0,IF(AND(OR(BUSCAR!$J$5="",ISNUMBER(SEARCH(BUSCAR!$J$5,$AI767))),OR(BUSCAR!$J$6="",ISNUMBER(SEARCH(BUSCAR!$J$6,$AI767))),OR(BUSCAR!$J$8="",ISNUMBER(SEARCH(BUSCAR!$J$8,$AI767))),OR(BUSCAR!$J$9="",ISNUMBER(SEARCH(BUSCAR!$J$9,$AI767))),OR(NOT(BUSCAR!$J$2),AND(ISNUMBER($AF767),$AF767&gt;=BUSCAR!$J$3,$AF767&lt;=BUSCAR!$J$4))),1,0))</f>
      </c>
      <c r="AH767" s="42">
        <f t="shared" si="33"/>
      </c>
      <c r="AI767" s="42">
        <f t="shared" si="34"/>
      </c>
    </row>
    <row r="768" spans="1:35" x14ac:dyDescent="0.2">
      <c r="A768" s="66">
        <f t="shared" si="35"/>
      </c>
      <c r="B768" s="4"/>
      <c r="C768" s="4"/>
      <c r="D768" s="4"/>
      <c r="E768" s="4"/>
      <c r="F768" s="24"/>
      <c r="G768" s="8"/>
      <c r="H768" s="9"/>
      <c r="I768" s="8"/>
      <c r="J768" s="10"/>
      <c r="K768" s="8"/>
      <c r="L768" s="8"/>
      <c r="M768" s="8"/>
      <c r="N768" s="11"/>
      <c r="O768" s="9"/>
      <c r="P768" s="12"/>
      <c r="Q768" s="9"/>
      <c r="R768" s="13"/>
      <c r="S768" s="11"/>
      <c r="T768" s="11"/>
      <c r="U768" s="9"/>
      <c r="V768" s="9"/>
      <c r="W768" s="9"/>
      <c r="X768" s="16"/>
      <c r="AF768" s="42">
        <f>IF(BUSCAR!$C$8="FECHA NAC.",$G768,IF(BUSCAR!$C$8="PASAPORTE EXPIRA",$J768,IF(BUSCAR!$C$8="LICENCIA EMISION",$L768,IF(BUSCAR!$C$8="LICENCIA EXPIRA",$M768,""))))</f>
      </c>
      <c r="AG768" s="42">
        <f>IF($B768&amp;$C768&amp;$D768&amp;$E768&amp;$H768="",0,IF(AND(OR(BUSCAR!$J$5="",ISNUMBER(SEARCH(BUSCAR!$J$5,$AI768))),OR(BUSCAR!$J$6="",ISNUMBER(SEARCH(BUSCAR!$J$6,$AI768))),OR(BUSCAR!$J$8="",ISNUMBER(SEARCH(BUSCAR!$J$8,$AI768))),OR(BUSCAR!$J$9="",ISNUMBER(SEARCH(BUSCAR!$J$9,$AI768))),OR(NOT(BUSCAR!$J$2),AND(ISNUMBER($AF768),$AF768&gt;=BUSCAR!$J$3,$AF768&lt;=BUSCAR!$J$4))),1,0))</f>
      </c>
      <c r="AH768" s="42">
        <f t="shared" si="33"/>
      </c>
      <c r="AI768" s="42">
        <f t="shared" si="34"/>
      </c>
    </row>
    <row r="769" spans="1:35" x14ac:dyDescent="0.2">
      <c r="A769" s="66">
        <f t="shared" si="35"/>
      </c>
      <c r="B769" s="4"/>
      <c r="C769" s="4"/>
      <c r="D769" s="4"/>
      <c r="E769" s="4"/>
      <c r="F769" s="24"/>
      <c r="G769" s="8"/>
      <c r="H769" s="9"/>
      <c r="I769" s="8"/>
      <c r="J769" s="10"/>
      <c r="K769" s="8"/>
      <c r="L769" s="8"/>
      <c r="M769" s="8"/>
      <c r="N769" s="11"/>
      <c r="O769" s="9"/>
      <c r="P769" s="12"/>
      <c r="Q769" s="9"/>
      <c r="R769" s="13"/>
      <c r="S769" s="11"/>
      <c r="T769" s="11"/>
      <c r="U769" s="9"/>
      <c r="V769" s="9"/>
      <c r="W769" s="9"/>
      <c r="X769" s="16"/>
      <c r="AF769" s="42">
        <f>IF(BUSCAR!$C$8="FECHA NAC.",$G769,IF(BUSCAR!$C$8="PASAPORTE EXPIRA",$J769,IF(BUSCAR!$C$8="LICENCIA EMISION",$L769,IF(BUSCAR!$C$8="LICENCIA EXPIRA",$M769,""))))</f>
      </c>
      <c r="AG769" s="42">
        <f>IF($B769&amp;$C769&amp;$D769&amp;$E769&amp;$H769="",0,IF(AND(OR(BUSCAR!$J$5="",ISNUMBER(SEARCH(BUSCAR!$J$5,$AI769))),OR(BUSCAR!$J$6="",ISNUMBER(SEARCH(BUSCAR!$J$6,$AI769))),OR(BUSCAR!$J$8="",ISNUMBER(SEARCH(BUSCAR!$J$8,$AI769))),OR(BUSCAR!$J$9="",ISNUMBER(SEARCH(BUSCAR!$J$9,$AI769))),OR(NOT(BUSCAR!$J$2),AND(ISNUMBER($AF769),$AF769&gt;=BUSCAR!$J$3,$AF769&lt;=BUSCAR!$J$4))),1,0))</f>
      </c>
      <c r="AH769" s="42">
        <f t="shared" si="33"/>
      </c>
      <c r="AI769" s="42">
        <f t="shared" si="34"/>
      </c>
    </row>
    <row r="770" spans="1:35" x14ac:dyDescent="0.2">
      <c r="A770" s="66">
        <f t="shared" si="35"/>
      </c>
      <c r="B770" s="4"/>
      <c r="C770" s="4"/>
      <c r="D770" s="4"/>
      <c r="E770" s="4"/>
      <c r="F770" s="24"/>
      <c r="G770" s="8"/>
      <c r="H770" s="9"/>
      <c r="I770" s="8"/>
      <c r="J770" s="10"/>
      <c r="K770" s="8"/>
      <c r="L770" s="8"/>
      <c r="M770" s="8"/>
      <c r="N770" s="11"/>
      <c r="O770" s="9"/>
      <c r="P770" s="12"/>
      <c r="Q770" s="9"/>
      <c r="R770" s="13"/>
      <c r="S770" s="11"/>
      <c r="T770" s="11"/>
      <c r="U770" s="9"/>
      <c r="V770" s="9"/>
      <c r="W770" s="9"/>
      <c r="X770" s="16"/>
      <c r="AF770" s="42">
        <f>IF(BUSCAR!$C$8="FECHA NAC.",$G770,IF(BUSCAR!$C$8="PASAPORTE EXPIRA",$J770,IF(BUSCAR!$C$8="LICENCIA EMISION",$L770,IF(BUSCAR!$C$8="LICENCIA EXPIRA",$M770,""))))</f>
      </c>
      <c r="AG770" s="42">
        <f>IF($B770&amp;$C770&amp;$D770&amp;$E770&amp;$H770="",0,IF(AND(OR(BUSCAR!$J$5="",ISNUMBER(SEARCH(BUSCAR!$J$5,$AI770))),OR(BUSCAR!$J$6="",ISNUMBER(SEARCH(BUSCAR!$J$6,$AI770))),OR(BUSCAR!$J$8="",ISNUMBER(SEARCH(BUSCAR!$J$8,$AI770))),OR(BUSCAR!$J$9="",ISNUMBER(SEARCH(BUSCAR!$J$9,$AI770))),OR(NOT(BUSCAR!$J$2),AND(ISNUMBER($AF770),$AF770&gt;=BUSCAR!$J$3,$AF770&lt;=BUSCAR!$J$4))),1,0))</f>
      </c>
      <c r="AH770" s="42">
        <f t="shared" si="33"/>
      </c>
      <c r="AI770" s="42">
        <f t="shared" si="34"/>
      </c>
    </row>
    <row r="771" spans="1:35" x14ac:dyDescent="0.2">
      <c r="A771" s="66">
        <f t="shared" si="35"/>
      </c>
      <c r="B771" s="4"/>
      <c r="C771" s="4"/>
      <c r="D771" s="4"/>
      <c r="E771" s="4"/>
      <c r="F771" s="24"/>
      <c r="G771" s="8"/>
      <c r="H771" s="9"/>
      <c r="I771" s="8"/>
      <c r="J771" s="10"/>
      <c r="K771" s="8"/>
      <c r="L771" s="8"/>
      <c r="M771" s="8"/>
      <c r="N771" s="11"/>
      <c r="O771" s="9"/>
      <c r="P771" s="12"/>
      <c r="Q771" s="9"/>
      <c r="R771" s="13"/>
      <c r="S771" s="11"/>
      <c r="T771" s="11"/>
      <c r="U771" s="9"/>
      <c r="V771" s="9"/>
      <c r="W771" s="9"/>
      <c r="X771" s="16"/>
      <c r="AF771" s="42">
        <f>IF(BUSCAR!$C$8="FECHA NAC.",$G771,IF(BUSCAR!$C$8="PASAPORTE EXPIRA",$J771,IF(BUSCAR!$C$8="LICENCIA EMISION",$L771,IF(BUSCAR!$C$8="LICENCIA EXPIRA",$M771,""))))</f>
      </c>
      <c r="AG771" s="42">
        <f>IF($B771&amp;$C771&amp;$D771&amp;$E771&amp;$H771="",0,IF(AND(OR(BUSCAR!$J$5="",ISNUMBER(SEARCH(BUSCAR!$J$5,$AI771))),OR(BUSCAR!$J$6="",ISNUMBER(SEARCH(BUSCAR!$J$6,$AI771))),OR(BUSCAR!$J$8="",ISNUMBER(SEARCH(BUSCAR!$J$8,$AI771))),OR(BUSCAR!$J$9="",ISNUMBER(SEARCH(BUSCAR!$J$9,$AI771))),OR(NOT(BUSCAR!$J$2),AND(ISNUMBER($AF771),$AF771&gt;=BUSCAR!$J$3,$AF771&lt;=BUSCAR!$J$4))),1,0))</f>
      </c>
      <c r="AH771" s="42">
        <f t="shared" ref="AH771:AH834" si="36">AH770+AG771</f>
      </c>
      <c r="AI771" s="42">
        <f t="shared" ref="AI771:AI834" si="37">IF($B771&amp;" "&amp;$C771&amp;" "&amp;$D771&amp;" "&amp;$E771&amp;" "&amp;$H771&amp;" "&amp;$K771&amp;" "&amp;$R771&amp;" "&amp;$AC771&amp;" "&amp;$AD771="","",SUBSTITUTE(SUBSTITUTE(SUBSTITUTE(SUBSTITUTE(SUBSTITUTE(SUBSTITUTE(SUBSTITUTE(UPPER($B771&amp;" "&amp;$C771&amp;" "&amp;$D771&amp;" "&amp;$E771&amp;" "&amp;$H771&amp;" "&amp;$K771&amp;" "&amp;$R771&amp;" "&amp;$AC771&amp;" "&amp;$AD771),"Á","A"),"É","E"),"Í","I"),"Ó","O"),"Ú","U"),"Ü","U"),"Ñ","N"))</f>
      </c>
    </row>
    <row r="772" spans="1:35" x14ac:dyDescent="0.2">
      <c r="A772" s="66">
        <f t="shared" ref="A772:A835" si="38">A771+1</f>
      </c>
      <c r="B772" s="4"/>
      <c r="C772" s="4"/>
      <c r="D772" s="4"/>
      <c r="E772" s="4"/>
      <c r="F772" s="24"/>
      <c r="G772" s="8"/>
      <c r="H772" s="9"/>
      <c r="I772" s="8"/>
      <c r="J772" s="10"/>
      <c r="K772" s="8"/>
      <c r="L772" s="8"/>
      <c r="M772" s="8"/>
      <c r="N772" s="11"/>
      <c r="O772" s="9"/>
      <c r="P772" s="12"/>
      <c r="Q772" s="9"/>
      <c r="R772" s="13"/>
      <c r="S772" s="11"/>
      <c r="T772" s="11"/>
      <c r="U772" s="9"/>
      <c r="V772" s="9"/>
      <c r="W772" s="9"/>
      <c r="X772" s="16"/>
      <c r="AF772" s="42">
        <f>IF(BUSCAR!$C$8="FECHA NAC.",$G772,IF(BUSCAR!$C$8="PASAPORTE EXPIRA",$J772,IF(BUSCAR!$C$8="LICENCIA EMISION",$L772,IF(BUSCAR!$C$8="LICENCIA EXPIRA",$M772,""))))</f>
      </c>
      <c r="AG772" s="42">
        <f>IF($B772&amp;$C772&amp;$D772&amp;$E772&amp;$H772="",0,IF(AND(OR(BUSCAR!$J$5="",ISNUMBER(SEARCH(BUSCAR!$J$5,$AI772))),OR(BUSCAR!$J$6="",ISNUMBER(SEARCH(BUSCAR!$J$6,$AI772))),OR(BUSCAR!$J$8="",ISNUMBER(SEARCH(BUSCAR!$J$8,$AI772))),OR(BUSCAR!$J$9="",ISNUMBER(SEARCH(BUSCAR!$J$9,$AI772))),OR(NOT(BUSCAR!$J$2),AND(ISNUMBER($AF772),$AF772&gt;=BUSCAR!$J$3,$AF772&lt;=BUSCAR!$J$4))),1,0))</f>
      </c>
      <c r="AH772" s="42">
        <f t="shared" si="36"/>
      </c>
      <c r="AI772" s="42">
        <f t="shared" si="37"/>
      </c>
    </row>
    <row r="773" spans="1:35" x14ac:dyDescent="0.2">
      <c r="A773" s="66">
        <f t="shared" si="38"/>
      </c>
      <c r="B773" s="4"/>
      <c r="C773" s="4"/>
      <c r="D773" s="4"/>
      <c r="E773" s="4"/>
      <c r="F773" s="24"/>
      <c r="G773" s="8"/>
      <c r="H773" s="9"/>
      <c r="I773" s="8"/>
      <c r="J773" s="10"/>
      <c r="K773" s="8"/>
      <c r="L773" s="8"/>
      <c r="M773" s="8"/>
      <c r="N773" s="11"/>
      <c r="O773" s="9"/>
      <c r="P773" s="12"/>
      <c r="Q773" s="9"/>
      <c r="R773" s="13"/>
      <c r="S773" s="11"/>
      <c r="T773" s="11"/>
      <c r="U773" s="9"/>
      <c r="V773" s="9"/>
      <c r="W773" s="9"/>
      <c r="X773" s="16"/>
      <c r="AF773" s="42">
        <f>IF(BUSCAR!$C$8="FECHA NAC.",$G773,IF(BUSCAR!$C$8="PASAPORTE EXPIRA",$J773,IF(BUSCAR!$C$8="LICENCIA EMISION",$L773,IF(BUSCAR!$C$8="LICENCIA EXPIRA",$M773,""))))</f>
      </c>
      <c r="AG773" s="42">
        <f>IF($B773&amp;$C773&amp;$D773&amp;$E773&amp;$H773="",0,IF(AND(OR(BUSCAR!$J$5="",ISNUMBER(SEARCH(BUSCAR!$J$5,$AI773))),OR(BUSCAR!$J$6="",ISNUMBER(SEARCH(BUSCAR!$J$6,$AI773))),OR(BUSCAR!$J$8="",ISNUMBER(SEARCH(BUSCAR!$J$8,$AI773))),OR(BUSCAR!$J$9="",ISNUMBER(SEARCH(BUSCAR!$J$9,$AI773))),OR(NOT(BUSCAR!$J$2),AND(ISNUMBER($AF773),$AF773&gt;=BUSCAR!$J$3,$AF773&lt;=BUSCAR!$J$4))),1,0))</f>
      </c>
      <c r="AH773" s="42">
        <f t="shared" si="36"/>
      </c>
      <c r="AI773" s="42">
        <f t="shared" si="37"/>
      </c>
    </row>
    <row r="774" spans="1:35" x14ac:dyDescent="0.2">
      <c r="A774" s="66">
        <f t="shared" si="38"/>
      </c>
      <c r="B774" s="4"/>
      <c r="C774" s="4"/>
      <c r="D774" s="4"/>
      <c r="E774" s="4"/>
      <c r="F774" s="24"/>
      <c r="G774" s="8"/>
      <c r="H774" s="9"/>
      <c r="I774" s="8"/>
      <c r="J774" s="10"/>
      <c r="K774" s="8"/>
      <c r="L774" s="8"/>
      <c r="M774" s="8"/>
      <c r="N774" s="11"/>
      <c r="O774" s="9"/>
      <c r="P774" s="12"/>
      <c r="Q774" s="9"/>
      <c r="R774" s="13"/>
      <c r="S774" s="11"/>
      <c r="T774" s="11"/>
      <c r="U774" s="9"/>
      <c r="V774" s="9"/>
      <c r="W774" s="9"/>
      <c r="X774" s="16"/>
      <c r="AF774" s="42">
        <f>IF(BUSCAR!$C$8="FECHA NAC.",$G774,IF(BUSCAR!$C$8="PASAPORTE EXPIRA",$J774,IF(BUSCAR!$C$8="LICENCIA EMISION",$L774,IF(BUSCAR!$C$8="LICENCIA EXPIRA",$M774,""))))</f>
      </c>
      <c r="AG774" s="42">
        <f>IF($B774&amp;$C774&amp;$D774&amp;$E774&amp;$H774="",0,IF(AND(OR(BUSCAR!$J$5="",ISNUMBER(SEARCH(BUSCAR!$J$5,$AI774))),OR(BUSCAR!$J$6="",ISNUMBER(SEARCH(BUSCAR!$J$6,$AI774))),OR(BUSCAR!$J$8="",ISNUMBER(SEARCH(BUSCAR!$J$8,$AI774))),OR(BUSCAR!$J$9="",ISNUMBER(SEARCH(BUSCAR!$J$9,$AI774))),OR(NOT(BUSCAR!$J$2),AND(ISNUMBER($AF774),$AF774&gt;=BUSCAR!$J$3,$AF774&lt;=BUSCAR!$J$4))),1,0))</f>
      </c>
      <c r="AH774" s="42">
        <f t="shared" si="36"/>
      </c>
      <c r="AI774" s="42">
        <f t="shared" si="37"/>
      </c>
    </row>
    <row r="775" spans="1:35" x14ac:dyDescent="0.2">
      <c r="A775" s="66">
        <f t="shared" si="38"/>
      </c>
      <c r="B775" s="4"/>
      <c r="C775" s="4"/>
      <c r="D775" s="4"/>
      <c r="E775" s="4"/>
      <c r="F775" s="24"/>
      <c r="G775" s="8"/>
      <c r="H775" s="9"/>
      <c r="I775" s="8"/>
      <c r="J775" s="10"/>
      <c r="K775" s="8"/>
      <c r="L775" s="8"/>
      <c r="M775" s="8"/>
      <c r="N775" s="11"/>
      <c r="O775" s="9"/>
      <c r="P775" s="12"/>
      <c r="Q775" s="9"/>
      <c r="R775" s="13"/>
      <c r="S775" s="11"/>
      <c r="T775" s="11"/>
      <c r="U775" s="9"/>
      <c r="V775" s="9"/>
      <c r="W775" s="9"/>
      <c r="X775" s="16"/>
      <c r="AF775" s="42">
        <f>IF(BUSCAR!$C$8="FECHA NAC.",$G775,IF(BUSCAR!$C$8="PASAPORTE EXPIRA",$J775,IF(BUSCAR!$C$8="LICENCIA EMISION",$L775,IF(BUSCAR!$C$8="LICENCIA EXPIRA",$M775,""))))</f>
      </c>
      <c r="AG775" s="42">
        <f>IF($B775&amp;$C775&amp;$D775&amp;$E775&amp;$H775="",0,IF(AND(OR(BUSCAR!$J$5="",ISNUMBER(SEARCH(BUSCAR!$J$5,$AI775))),OR(BUSCAR!$J$6="",ISNUMBER(SEARCH(BUSCAR!$J$6,$AI775))),OR(BUSCAR!$J$8="",ISNUMBER(SEARCH(BUSCAR!$J$8,$AI775))),OR(BUSCAR!$J$9="",ISNUMBER(SEARCH(BUSCAR!$J$9,$AI775))),OR(NOT(BUSCAR!$J$2),AND(ISNUMBER($AF775),$AF775&gt;=BUSCAR!$J$3,$AF775&lt;=BUSCAR!$J$4))),1,0))</f>
      </c>
      <c r="AH775" s="42">
        <f t="shared" si="36"/>
      </c>
      <c r="AI775" s="42">
        <f t="shared" si="37"/>
      </c>
    </row>
    <row r="776" spans="1:35" x14ac:dyDescent="0.2">
      <c r="A776" s="66">
        <f t="shared" si="38"/>
      </c>
      <c r="B776" s="4"/>
      <c r="C776" s="4"/>
      <c r="D776" s="4"/>
      <c r="E776" s="4"/>
      <c r="F776" s="24"/>
      <c r="G776" s="8"/>
      <c r="H776" s="9"/>
      <c r="I776" s="8"/>
      <c r="J776" s="10"/>
      <c r="K776" s="8"/>
      <c r="L776" s="8"/>
      <c r="M776" s="8"/>
      <c r="N776" s="11"/>
      <c r="O776" s="9"/>
      <c r="P776" s="12"/>
      <c r="Q776" s="9"/>
      <c r="R776" s="13"/>
      <c r="S776" s="11"/>
      <c r="T776" s="11"/>
      <c r="U776" s="9"/>
      <c r="V776" s="9"/>
      <c r="W776" s="9"/>
      <c r="X776" s="16"/>
      <c r="AF776" s="42">
        <f>IF(BUSCAR!$C$8="FECHA NAC.",$G776,IF(BUSCAR!$C$8="PASAPORTE EXPIRA",$J776,IF(BUSCAR!$C$8="LICENCIA EMISION",$L776,IF(BUSCAR!$C$8="LICENCIA EXPIRA",$M776,""))))</f>
      </c>
      <c r="AG776" s="42">
        <f>IF($B776&amp;$C776&amp;$D776&amp;$E776&amp;$H776="",0,IF(AND(OR(BUSCAR!$J$5="",ISNUMBER(SEARCH(BUSCAR!$J$5,$AI776))),OR(BUSCAR!$J$6="",ISNUMBER(SEARCH(BUSCAR!$J$6,$AI776))),OR(BUSCAR!$J$8="",ISNUMBER(SEARCH(BUSCAR!$J$8,$AI776))),OR(BUSCAR!$J$9="",ISNUMBER(SEARCH(BUSCAR!$J$9,$AI776))),OR(NOT(BUSCAR!$J$2),AND(ISNUMBER($AF776),$AF776&gt;=BUSCAR!$J$3,$AF776&lt;=BUSCAR!$J$4))),1,0))</f>
      </c>
      <c r="AH776" s="42">
        <f t="shared" si="36"/>
      </c>
      <c r="AI776" s="42">
        <f t="shared" si="37"/>
      </c>
    </row>
    <row r="777" spans="1:35" x14ac:dyDescent="0.2">
      <c r="A777" s="66">
        <f t="shared" si="38"/>
      </c>
      <c r="B777" s="4"/>
      <c r="C777" s="4"/>
      <c r="D777" s="4"/>
      <c r="E777" s="4"/>
      <c r="F777" s="24"/>
      <c r="G777" s="8"/>
      <c r="H777" s="9"/>
      <c r="I777" s="8"/>
      <c r="J777" s="10"/>
      <c r="K777" s="8"/>
      <c r="L777" s="8"/>
      <c r="M777" s="8"/>
      <c r="N777" s="11"/>
      <c r="O777" s="9"/>
      <c r="P777" s="12"/>
      <c r="Q777" s="9"/>
      <c r="R777" s="13"/>
      <c r="S777" s="11"/>
      <c r="T777" s="11"/>
      <c r="U777" s="9"/>
      <c r="V777" s="9"/>
      <c r="W777" s="9"/>
      <c r="X777" s="16"/>
      <c r="AF777" s="42">
        <f>IF(BUSCAR!$C$8="FECHA NAC.",$G777,IF(BUSCAR!$C$8="PASAPORTE EXPIRA",$J777,IF(BUSCAR!$C$8="LICENCIA EMISION",$L777,IF(BUSCAR!$C$8="LICENCIA EXPIRA",$M777,""))))</f>
      </c>
      <c r="AG777" s="42">
        <f>IF($B777&amp;$C777&amp;$D777&amp;$E777&amp;$H777="",0,IF(AND(OR(BUSCAR!$J$5="",ISNUMBER(SEARCH(BUSCAR!$J$5,$AI777))),OR(BUSCAR!$J$6="",ISNUMBER(SEARCH(BUSCAR!$J$6,$AI777))),OR(BUSCAR!$J$8="",ISNUMBER(SEARCH(BUSCAR!$J$8,$AI777))),OR(BUSCAR!$J$9="",ISNUMBER(SEARCH(BUSCAR!$J$9,$AI777))),OR(NOT(BUSCAR!$J$2),AND(ISNUMBER($AF777),$AF777&gt;=BUSCAR!$J$3,$AF777&lt;=BUSCAR!$J$4))),1,0))</f>
      </c>
      <c r="AH777" s="42">
        <f t="shared" si="36"/>
      </c>
      <c r="AI777" s="42">
        <f t="shared" si="37"/>
      </c>
    </row>
    <row r="778" spans="1:35" x14ac:dyDescent="0.2">
      <c r="A778" s="66">
        <f t="shared" si="38"/>
      </c>
      <c r="B778" s="4"/>
      <c r="C778" s="4"/>
      <c r="D778" s="4"/>
      <c r="E778" s="4"/>
      <c r="F778" s="24"/>
      <c r="G778" s="8"/>
      <c r="H778" s="9"/>
      <c r="I778" s="8"/>
      <c r="J778" s="10"/>
      <c r="K778" s="8"/>
      <c r="L778" s="8"/>
      <c r="M778" s="8"/>
      <c r="N778" s="11"/>
      <c r="O778" s="9"/>
      <c r="P778" s="12"/>
      <c r="Q778" s="9"/>
      <c r="R778" s="13"/>
      <c r="S778" s="11"/>
      <c r="T778" s="11"/>
      <c r="U778" s="9"/>
      <c r="V778" s="9"/>
      <c r="W778" s="9"/>
      <c r="X778" s="16"/>
      <c r="AF778" s="42">
        <f>IF(BUSCAR!$C$8="FECHA NAC.",$G778,IF(BUSCAR!$C$8="PASAPORTE EXPIRA",$J778,IF(BUSCAR!$C$8="LICENCIA EMISION",$L778,IF(BUSCAR!$C$8="LICENCIA EXPIRA",$M778,""))))</f>
      </c>
      <c r="AG778" s="42">
        <f>IF($B778&amp;$C778&amp;$D778&amp;$E778&amp;$H778="",0,IF(AND(OR(BUSCAR!$J$5="",ISNUMBER(SEARCH(BUSCAR!$J$5,$AI778))),OR(BUSCAR!$J$6="",ISNUMBER(SEARCH(BUSCAR!$J$6,$AI778))),OR(BUSCAR!$J$8="",ISNUMBER(SEARCH(BUSCAR!$J$8,$AI778))),OR(BUSCAR!$J$9="",ISNUMBER(SEARCH(BUSCAR!$J$9,$AI778))),OR(NOT(BUSCAR!$J$2),AND(ISNUMBER($AF778),$AF778&gt;=BUSCAR!$J$3,$AF778&lt;=BUSCAR!$J$4))),1,0))</f>
      </c>
      <c r="AH778" s="42">
        <f t="shared" si="36"/>
      </c>
      <c r="AI778" s="42">
        <f t="shared" si="37"/>
      </c>
    </row>
    <row r="779" spans="1:35" x14ac:dyDescent="0.2">
      <c r="A779" s="66">
        <f t="shared" si="38"/>
      </c>
      <c r="B779" s="4"/>
      <c r="C779" s="4"/>
      <c r="D779" s="4"/>
      <c r="E779" s="4"/>
      <c r="F779" s="24"/>
      <c r="G779" s="8"/>
      <c r="H779" s="9"/>
      <c r="I779" s="8"/>
      <c r="J779" s="10"/>
      <c r="K779" s="8"/>
      <c r="L779" s="8"/>
      <c r="M779" s="8"/>
      <c r="N779" s="11"/>
      <c r="O779" s="9"/>
      <c r="P779" s="12"/>
      <c r="Q779" s="9"/>
      <c r="R779" s="13"/>
      <c r="S779" s="11"/>
      <c r="T779" s="11"/>
      <c r="U779" s="9"/>
      <c r="V779" s="9"/>
      <c r="W779" s="9"/>
      <c r="X779" s="16"/>
      <c r="AF779" s="42">
        <f>IF(BUSCAR!$C$8="FECHA NAC.",$G779,IF(BUSCAR!$C$8="PASAPORTE EXPIRA",$J779,IF(BUSCAR!$C$8="LICENCIA EMISION",$L779,IF(BUSCAR!$C$8="LICENCIA EXPIRA",$M779,""))))</f>
      </c>
      <c r="AG779" s="42">
        <f>IF($B779&amp;$C779&amp;$D779&amp;$E779&amp;$H779="",0,IF(AND(OR(BUSCAR!$J$5="",ISNUMBER(SEARCH(BUSCAR!$J$5,$AI779))),OR(BUSCAR!$J$6="",ISNUMBER(SEARCH(BUSCAR!$J$6,$AI779))),OR(BUSCAR!$J$8="",ISNUMBER(SEARCH(BUSCAR!$J$8,$AI779))),OR(BUSCAR!$J$9="",ISNUMBER(SEARCH(BUSCAR!$J$9,$AI779))),OR(NOT(BUSCAR!$J$2),AND(ISNUMBER($AF779),$AF779&gt;=BUSCAR!$J$3,$AF779&lt;=BUSCAR!$J$4))),1,0))</f>
      </c>
      <c r="AH779" s="42">
        <f t="shared" si="36"/>
      </c>
      <c r="AI779" s="42">
        <f t="shared" si="37"/>
      </c>
    </row>
    <row r="780" spans="1:35" x14ac:dyDescent="0.2">
      <c r="A780" s="66">
        <f t="shared" si="38"/>
      </c>
      <c r="B780" s="4"/>
      <c r="C780" s="4"/>
      <c r="D780" s="4"/>
      <c r="E780" s="4"/>
      <c r="F780" s="24"/>
      <c r="G780" s="8"/>
      <c r="H780" s="9"/>
      <c r="I780" s="8"/>
      <c r="J780" s="10"/>
      <c r="K780" s="8"/>
      <c r="L780" s="8"/>
      <c r="M780" s="8"/>
      <c r="N780" s="11"/>
      <c r="O780" s="9"/>
      <c r="P780" s="12"/>
      <c r="Q780" s="9"/>
      <c r="R780" s="13"/>
      <c r="S780" s="11"/>
      <c r="T780" s="11"/>
      <c r="U780" s="9"/>
      <c r="V780" s="9"/>
      <c r="W780" s="9"/>
      <c r="X780" s="16"/>
      <c r="AF780" s="42">
        <f>IF(BUSCAR!$C$8="FECHA NAC.",$G780,IF(BUSCAR!$C$8="PASAPORTE EXPIRA",$J780,IF(BUSCAR!$C$8="LICENCIA EMISION",$L780,IF(BUSCAR!$C$8="LICENCIA EXPIRA",$M780,""))))</f>
      </c>
      <c r="AG780" s="42">
        <f>IF($B780&amp;$C780&amp;$D780&amp;$E780&amp;$H780="",0,IF(AND(OR(BUSCAR!$J$5="",ISNUMBER(SEARCH(BUSCAR!$J$5,$AI780))),OR(BUSCAR!$J$6="",ISNUMBER(SEARCH(BUSCAR!$J$6,$AI780))),OR(BUSCAR!$J$8="",ISNUMBER(SEARCH(BUSCAR!$J$8,$AI780))),OR(BUSCAR!$J$9="",ISNUMBER(SEARCH(BUSCAR!$J$9,$AI780))),OR(NOT(BUSCAR!$J$2),AND(ISNUMBER($AF780),$AF780&gt;=BUSCAR!$J$3,$AF780&lt;=BUSCAR!$J$4))),1,0))</f>
      </c>
      <c r="AH780" s="42">
        <f t="shared" si="36"/>
      </c>
      <c r="AI780" s="42">
        <f t="shared" si="37"/>
      </c>
    </row>
    <row r="781" spans="1:35" x14ac:dyDescent="0.2">
      <c r="A781" s="66">
        <f t="shared" si="38"/>
      </c>
      <c r="B781" s="4"/>
      <c r="C781" s="4"/>
      <c r="D781" s="4"/>
      <c r="E781" s="4"/>
      <c r="F781" s="24"/>
      <c r="G781" s="8"/>
      <c r="H781" s="9"/>
      <c r="I781" s="8"/>
      <c r="J781" s="10"/>
      <c r="K781" s="8"/>
      <c r="L781" s="8"/>
      <c r="M781" s="8"/>
      <c r="N781" s="11"/>
      <c r="O781" s="9"/>
      <c r="P781" s="12"/>
      <c r="Q781" s="9"/>
      <c r="R781" s="13"/>
      <c r="S781" s="11"/>
      <c r="T781" s="11"/>
      <c r="U781" s="9"/>
      <c r="V781" s="9"/>
      <c r="W781" s="9"/>
      <c r="X781" s="16"/>
      <c r="AF781" s="42">
        <f>IF(BUSCAR!$C$8="FECHA NAC.",$G781,IF(BUSCAR!$C$8="PASAPORTE EXPIRA",$J781,IF(BUSCAR!$C$8="LICENCIA EMISION",$L781,IF(BUSCAR!$C$8="LICENCIA EXPIRA",$M781,""))))</f>
      </c>
      <c r="AG781" s="42">
        <f>IF($B781&amp;$C781&amp;$D781&amp;$E781&amp;$H781="",0,IF(AND(OR(BUSCAR!$J$5="",ISNUMBER(SEARCH(BUSCAR!$J$5,$AI781))),OR(BUSCAR!$J$6="",ISNUMBER(SEARCH(BUSCAR!$J$6,$AI781))),OR(BUSCAR!$J$8="",ISNUMBER(SEARCH(BUSCAR!$J$8,$AI781))),OR(BUSCAR!$J$9="",ISNUMBER(SEARCH(BUSCAR!$J$9,$AI781))),OR(NOT(BUSCAR!$J$2),AND(ISNUMBER($AF781),$AF781&gt;=BUSCAR!$J$3,$AF781&lt;=BUSCAR!$J$4))),1,0))</f>
      </c>
      <c r="AH781" s="42">
        <f t="shared" si="36"/>
      </c>
      <c r="AI781" s="42">
        <f t="shared" si="37"/>
      </c>
    </row>
    <row r="782" spans="1:35" x14ac:dyDescent="0.2">
      <c r="A782" s="66">
        <f t="shared" si="38"/>
      </c>
      <c r="B782" s="4"/>
      <c r="C782" s="4"/>
      <c r="D782" s="4"/>
      <c r="E782" s="4"/>
      <c r="F782" s="24"/>
      <c r="G782" s="8"/>
      <c r="H782" s="9"/>
      <c r="I782" s="8"/>
      <c r="J782" s="10"/>
      <c r="K782" s="8"/>
      <c r="L782" s="8"/>
      <c r="M782" s="8"/>
      <c r="N782" s="11"/>
      <c r="O782" s="9"/>
      <c r="P782" s="12"/>
      <c r="Q782" s="9"/>
      <c r="R782" s="13"/>
      <c r="S782" s="11"/>
      <c r="T782" s="11"/>
      <c r="U782" s="9"/>
      <c r="V782" s="9"/>
      <c r="W782" s="9"/>
      <c r="X782" s="16"/>
      <c r="AF782" s="42">
        <f>IF(BUSCAR!$C$8="FECHA NAC.",$G782,IF(BUSCAR!$C$8="PASAPORTE EXPIRA",$J782,IF(BUSCAR!$C$8="LICENCIA EMISION",$L782,IF(BUSCAR!$C$8="LICENCIA EXPIRA",$M782,""))))</f>
      </c>
      <c r="AG782" s="42">
        <f>IF($B782&amp;$C782&amp;$D782&amp;$E782&amp;$H782="",0,IF(AND(OR(BUSCAR!$J$5="",ISNUMBER(SEARCH(BUSCAR!$J$5,$AI782))),OR(BUSCAR!$J$6="",ISNUMBER(SEARCH(BUSCAR!$J$6,$AI782))),OR(BUSCAR!$J$8="",ISNUMBER(SEARCH(BUSCAR!$J$8,$AI782))),OR(BUSCAR!$J$9="",ISNUMBER(SEARCH(BUSCAR!$J$9,$AI782))),OR(NOT(BUSCAR!$J$2),AND(ISNUMBER($AF782),$AF782&gt;=BUSCAR!$J$3,$AF782&lt;=BUSCAR!$J$4))),1,0))</f>
      </c>
      <c r="AH782" s="42">
        <f t="shared" si="36"/>
      </c>
      <c r="AI782" s="42">
        <f t="shared" si="37"/>
      </c>
    </row>
    <row r="783" spans="1:35" x14ac:dyDescent="0.2">
      <c r="A783" s="66">
        <f t="shared" si="38"/>
      </c>
      <c r="B783" s="4"/>
      <c r="C783" s="4"/>
      <c r="D783" s="4"/>
      <c r="E783" s="4"/>
      <c r="F783" s="24"/>
      <c r="G783" s="8"/>
      <c r="H783" s="9"/>
      <c r="I783" s="8"/>
      <c r="J783" s="10"/>
      <c r="K783" s="8"/>
      <c r="L783" s="8"/>
      <c r="M783" s="8"/>
      <c r="N783" s="11"/>
      <c r="O783" s="9"/>
      <c r="P783" s="12"/>
      <c r="Q783" s="9"/>
      <c r="R783" s="13"/>
      <c r="S783" s="11"/>
      <c r="T783" s="11"/>
      <c r="U783" s="9"/>
      <c r="V783" s="9"/>
      <c r="W783" s="9"/>
      <c r="X783" s="16"/>
      <c r="AF783" s="42">
        <f>IF(BUSCAR!$C$8="FECHA NAC.",$G783,IF(BUSCAR!$C$8="PASAPORTE EXPIRA",$J783,IF(BUSCAR!$C$8="LICENCIA EMISION",$L783,IF(BUSCAR!$C$8="LICENCIA EXPIRA",$M783,""))))</f>
      </c>
      <c r="AG783" s="42">
        <f>IF($B783&amp;$C783&amp;$D783&amp;$E783&amp;$H783="",0,IF(AND(OR(BUSCAR!$J$5="",ISNUMBER(SEARCH(BUSCAR!$J$5,$AI783))),OR(BUSCAR!$J$6="",ISNUMBER(SEARCH(BUSCAR!$J$6,$AI783))),OR(BUSCAR!$J$8="",ISNUMBER(SEARCH(BUSCAR!$J$8,$AI783))),OR(BUSCAR!$J$9="",ISNUMBER(SEARCH(BUSCAR!$J$9,$AI783))),OR(NOT(BUSCAR!$J$2),AND(ISNUMBER($AF783),$AF783&gt;=BUSCAR!$J$3,$AF783&lt;=BUSCAR!$J$4))),1,0))</f>
      </c>
      <c r="AH783" s="42">
        <f t="shared" si="36"/>
      </c>
      <c r="AI783" s="42">
        <f t="shared" si="37"/>
      </c>
    </row>
    <row r="784" spans="1:35" x14ac:dyDescent="0.2">
      <c r="A784" s="66">
        <f t="shared" si="38"/>
      </c>
      <c r="B784" s="4"/>
      <c r="C784" s="4"/>
      <c r="D784" s="4"/>
      <c r="E784" s="4"/>
      <c r="F784" s="24"/>
      <c r="G784" s="8"/>
      <c r="H784" s="9"/>
      <c r="I784" s="8"/>
      <c r="J784" s="10"/>
      <c r="K784" s="8"/>
      <c r="L784" s="8"/>
      <c r="M784" s="8"/>
      <c r="N784" s="11"/>
      <c r="O784" s="9"/>
      <c r="P784" s="12"/>
      <c r="Q784" s="9"/>
      <c r="R784" s="13"/>
      <c r="S784" s="11"/>
      <c r="T784" s="11"/>
      <c r="U784" s="9"/>
      <c r="V784" s="9"/>
      <c r="W784" s="9"/>
      <c r="X784" s="16"/>
      <c r="AF784" s="42">
        <f>IF(BUSCAR!$C$8="FECHA NAC.",$G784,IF(BUSCAR!$C$8="PASAPORTE EXPIRA",$J784,IF(BUSCAR!$C$8="LICENCIA EMISION",$L784,IF(BUSCAR!$C$8="LICENCIA EXPIRA",$M784,""))))</f>
      </c>
      <c r="AG784" s="42">
        <f>IF($B784&amp;$C784&amp;$D784&amp;$E784&amp;$H784="",0,IF(AND(OR(BUSCAR!$J$5="",ISNUMBER(SEARCH(BUSCAR!$J$5,$AI784))),OR(BUSCAR!$J$6="",ISNUMBER(SEARCH(BUSCAR!$J$6,$AI784))),OR(BUSCAR!$J$8="",ISNUMBER(SEARCH(BUSCAR!$J$8,$AI784))),OR(BUSCAR!$J$9="",ISNUMBER(SEARCH(BUSCAR!$J$9,$AI784))),OR(NOT(BUSCAR!$J$2),AND(ISNUMBER($AF784),$AF784&gt;=BUSCAR!$J$3,$AF784&lt;=BUSCAR!$J$4))),1,0))</f>
      </c>
      <c r="AH784" s="42">
        <f t="shared" si="36"/>
      </c>
      <c r="AI784" s="42">
        <f t="shared" si="37"/>
      </c>
    </row>
    <row r="785" spans="1:35" x14ac:dyDescent="0.2">
      <c r="A785" s="66">
        <f t="shared" si="38"/>
      </c>
      <c r="B785" s="4"/>
      <c r="C785" s="4"/>
      <c r="D785" s="4"/>
      <c r="E785" s="4"/>
      <c r="F785" s="24"/>
      <c r="G785" s="8"/>
      <c r="H785" s="9"/>
      <c r="I785" s="8"/>
      <c r="J785" s="10"/>
      <c r="K785" s="8"/>
      <c r="L785" s="8"/>
      <c r="M785" s="8"/>
      <c r="N785" s="11"/>
      <c r="O785" s="9"/>
      <c r="P785" s="12"/>
      <c r="Q785" s="9"/>
      <c r="R785" s="13"/>
      <c r="S785" s="11"/>
      <c r="T785" s="11"/>
      <c r="U785" s="9"/>
      <c r="V785" s="9"/>
      <c r="W785" s="9"/>
      <c r="X785" s="16"/>
      <c r="AF785" s="42">
        <f>IF(BUSCAR!$C$8="FECHA NAC.",$G785,IF(BUSCAR!$C$8="PASAPORTE EXPIRA",$J785,IF(BUSCAR!$C$8="LICENCIA EMISION",$L785,IF(BUSCAR!$C$8="LICENCIA EXPIRA",$M785,""))))</f>
      </c>
      <c r="AG785" s="42">
        <f>IF($B785&amp;$C785&amp;$D785&amp;$E785&amp;$H785="",0,IF(AND(OR(BUSCAR!$J$5="",ISNUMBER(SEARCH(BUSCAR!$J$5,$AI785))),OR(BUSCAR!$J$6="",ISNUMBER(SEARCH(BUSCAR!$J$6,$AI785))),OR(BUSCAR!$J$8="",ISNUMBER(SEARCH(BUSCAR!$J$8,$AI785))),OR(BUSCAR!$J$9="",ISNUMBER(SEARCH(BUSCAR!$J$9,$AI785))),OR(NOT(BUSCAR!$J$2),AND(ISNUMBER($AF785),$AF785&gt;=BUSCAR!$J$3,$AF785&lt;=BUSCAR!$J$4))),1,0))</f>
      </c>
      <c r="AH785" s="42">
        <f t="shared" si="36"/>
      </c>
      <c r="AI785" s="42">
        <f t="shared" si="37"/>
      </c>
    </row>
    <row r="786" spans="1:35" x14ac:dyDescent="0.2">
      <c r="A786" s="66">
        <f t="shared" si="38"/>
      </c>
      <c r="B786" s="4"/>
      <c r="C786" s="4"/>
      <c r="D786" s="4"/>
      <c r="E786" s="4"/>
      <c r="F786" s="24"/>
      <c r="G786" s="8"/>
      <c r="H786" s="9"/>
      <c r="I786" s="8"/>
      <c r="J786" s="10"/>
      <c r="K786" s="8"/>
      <c r="L786" s="8"/>
      <c r="M786" s="8"/>
      <c r="N786" s="11"/>
      <c r="O786" s="9"/>
      <c r="P786" s="12"/>
      <c r="Q786" s="9"/>
      <c r="R786" s="13"/>
      <c r="S786" s="11"/>
      <c r="T786" s="11"/>
      <c r="U786" s="9"/>
      <c r="V786" s="9"/>
      <c r="W786" s="9"/>
      <c r="X786" s="16"/>
      <c r="AF786" s="42">
        <f>IF(BUSCAR!$C$8="FECHA NAC.",$G786,IF(BUSCAR!$C$8="PASAPORTE EXPIRA",$J786,IF(BUSCAR!$C$8="LICENCIA EMISION",$L786,IF(BUSCAR!$C$8="LICENCIA EXPIRA",$M786,""))))</f>
      </c>
      <c r="AG786" s="42">
        <f>IF($B786&amp;$C786&amp;$D786&amp;$E786&amp;$H786="",0,IF(AND(OR(BUSCAR!$J$5="",ISNUMBER(SEARCH(BUSCAR!$J$5,$AI786))),OR(BUSCAR!$J$6="",ISNUMBER(SEARCH(BUSCAR!$J$6,$AI786))),OR(BUSCAR!$J$8="",ISNUMBER(SEARCH(BUSCAR!$J$8,$AI786))),OR(BUSCAR!$J$9="",ISNUMBER(SEARCH(BUSCAR!$J$9,$AI786))),OR(NOT(BUSCAR!$J$2),AND(ISNUMBER($AF786),$AF786&gt;=BUSCAR!$J$3,$AF786&lt;=BUSCAR!$J$4))),1,0))</f>
      </c>
      <c r="AH786" s="42">
        <f t="shared" si="36"/>
      </c>
      <c r="AI786" s="42">
        <f t="shared" si="37"/>
      </c>
    </row>
    <row r="787" spans="1:35" x14ac:dyDescent="0.2">
      <c r="A787" s="66">
        <f t="shared" si="38"/>
      </c>
      <c r="B787" s="4"/>
      <c r="C787" s="4"/>
      <c r="D787" s="4"/>
      <c r="E787" s="4"/>
      <c r="F787" s="24"/>
      <c r="G787" s="8"/>
      <c r="H787" s="9"/>
      <c r="I787" s="8"/>
      <c r="J787" s="10"/>
      <c r="K787" s="8"/>
      <c r="L787" s="8"/>
      <c r="M787" s="8"/>
      <c r="N787" s="11"/>
      <c r="O787" s="9"/>
      <c r="P787" s="12"/>
      <c r="Q787" s="9"/>
      <c r="R787" s="13"/>
      <c r="S787" s="11"/>
      <c r="T787" s="11"/>
      <c r="U787" s="9"/>
      <c r="V787" s="9"/>
      <c r="W787" s="9"/>
      <c r="X787" s="16"/>
      <c r="AF787" s="42">
        <f>IF(BUSCAR!$C$8="FECHA NAC.",$G787,IF(BUSCAR!$C$8="PASAPORTE EXPIRA",$J787,IF(BUSCAR!$C$8="LICENCIA EMISION",$L787,IF(BUSCAR!$C$8="LICENCIA EXPIRA",$M787,""))))</f>
      </c>
      <c r="AG787" s="42">
        <f>IF($B787&amp;$C787&amp;$D787&amp;$E787&amp;$H787="",0,IF(AND(OR(BUSCAR!$J$5="",ISNUMBER(SEARCH(BUSCAR!$J$5,$AI787))),OR(BUSCAR!$J$6="",ISNUMBER(SEARCH(BUSCAR!$J$6,$AI787))),OR(BUSCAR!$J$8="",ISNUMBER(SEARCH(BUSCAR!$J$8,$AI787))),OR(BUSCAR!$J$9="",ISNUMBER(SEARCH(BUSCAR!$J$9,$AI787))),OR(NOT(BUSCAR!$J$2),AND(ISNUMBER($AF787),$AF787&gt;=BUSCAR!$J$3,$AF787&lt;=BUSCAR!$J$4))),1,0))</f>
      </c>
      <c r="AH787" s="42">
        <f t="shared" si="36"/>
      </c>
      <c r="AI787" s="42">
        <f t="shared" si="37"/>
      </c>
    </row>
    <row r="788" spans="1:35" x14ac:dyDescent="0.2">
      <c r="A788" s="66">
        <f t="shared" si="38"/>
      </c>
      <c r="B788" s="4"/>
      <c r="C788" s="4"/>
      <c r="D788" s="4"/>
      <c r="E788" s="4"/>
      <c r="F788" s="24"/>
      <c r="G788" s="8"/>
      <c r="H788" s="9"/>
      <c r="I788" s="8"/>
      <c r="J788" s="10"/>
      <c r="K788" s="8"/>
      <c r="L788" s="8"/>
      <c r="M788" s="8"/>
      <c r="N788" s="11"/>
      <c r="O788" s="9"/>
      <c r="P788" s="12"/>
      <c r="Q788" s="9"/>
      <c r="R788" s="13"/>
      <c r="S788" s="11"/>
      <c r="T788" s="11"/>
      <c r="U788" s="9"/>
      <c r="V788" s="9"/>
      <c r="W788" s="9"/>
      <c r="X788" s="16"/>
      <c r="AF788" s="42">
        <f>IF(BUSCAR!$C$8="FECHA NAC.",$G788,IF(BUSCAR!$C$8="PASAPORTE EXPIRA",$J788,IF(BUSCAR!$C$8="LICENCIA EMISION",$L788,IF(BUSCAR!$C$8="LICENCIA EXPIRA",$M788,""))))</f>
      </c>
      <c r="AG788" s="42">
        <f>IF($B788&amp;$C788&amp;$D788&amp;$E788&amp;$H788="",0,IF(AND(OR(BUSCAR!$J$5="",ISNUMBER(SEARCH(BUSCAR!$J$5,$AI788))),OR(BUSCAR!$J$6="",ISNUMBER(SEARCH(BUSCAR!$J$6,$AI788))),OR(BUSCAR!$J$8="",ISNUMBER(SEARCH(BUSCAR!$J$8,$AI788))),OR(BUSCAR!$J$9="",ISNUMBER(SEARCH(BUSCAR!$J$9,$AI788))),OR(NOT(BUSCAR!$J$2),AND(ISNUMBER($AF788),$AF788&gt;=BUSCAR!$J$3,$AF788&lt;=BUSCAR!$J$4))),1,0))</f>
      </c>
      <c r="AH788" s="42">
        <f t="shared" si="36"/>
      </c>
      <c r="AI788" s="42">
        <f t="shared" si="37"/>
      </c>
    </row>
    <row r="789" spans="1:35" x14ac:dyDescent="0.2">
      <c r="A789" s="66">
        <f t="shared" si="38"/>
      </c>
      <c r="B789" s="4"/>
      <c r="C789" s="4"/>
      <c r="D789" s="4"/>
      <c r="E789" s="4"/>
      <c r="F789" s="24"/>
      <c r="G789" s="8"/>
      <c r="H789" s="9"/>
      <c r="I789" s="8"/>
      <c r="J789" s="10"/>
      <c r="K789" s="8"/>
      <c r="L789" s="8"/>
      <c r="M789" s="8"/>
      <c r="N789" s="11"/>
      <c r="O789" s="9"/>
      <c r="P789" s="12"/>
      <c r="Q789" s="9"/>
      <c r="R789" s="13"/>
      <c r="S789" s="11"/>
      <c r="T789" s="11"/>
      <c r="U789" s="9"/>
      <c r="V789" s="9"/>
      <c r="W789" s="9"/>
      <c r="X789" s="16"/>
      <c r="AF789" s="42">
        <f>IF(BUSCAR!$C$8="FECHA NAC.",$G789,IF(BUSCAR!$C$8="PASAPORTE EXPIRA",$J789,IF(BUSCAR!$C$8="LICENCIA EMISION",$L789,IF(BUSCAR!$C$8="LICENCIA EXPIRA",$M789,""))))</f>
      </c>
      <c r="AG789" s="42">
        <f>IF($B789&amp;$C789&amp;$D789&amp;$E789&amp;$H789="",0,IF(AND(OR(BUSCAR!$J$5="",ISNUMBER(SEARCH(BUSCAR!$J$5,$AI789))),OR(BUSCAR!$J$6="",ISNUMBER(SEARCH(BUSCAR!$J$6,$AI789))),OR(BUSCAR!$J$8="",ISNUMBER(SEARCH(BUSCAR!$J$8,$AI789))),OR(BUSCAR!$J$9="",ISNUMBER(SEARCH(BUSCAR!$J$9,$AI789))),OR(NOT(BUSCAR!$J$2),AND(ISNUMBER($AF789),$AF789&gt;=BUSCAR!$J$3,$AF789&lt;=BUSCAR!$J$4))),1,0))</f>
      </c>
      <c r="AH789" s="42">
        <f t="shared" si="36"/>
      </c>
      <c r="AI789" s="42">
        <f t="shared" si="37"/>
      </c>
    </row>
    <row r="790" spans="1:35" x14ac:dyDescent="0.2">
      <c r="A790" s="66">
        <f t="shared" si="38"/>
      </c>
      <c r="B790" s="4"/>
      <c r="C790" s="4"/>
      <c r="D790" s="4"/>
      <c r="E790" s="4"/>
      <c r="F790" s="24"/>
      <c r="G790" s="8"/>
      <c r="H790" s="9"/>
      <c r="I790" s="8"/>
      <c r="J790" s="10"/>
      <c r="K790" s="8"/>
      <c r="L790" s="8"/>
      <c r="M790" s="8"/>
      <c r="N790" s="11"/>
      <c r="O790" s="9"/>
      <c r="P790" s="12"/>
      <c r="Q790" s="9"/>
      <c r="R790" s="13"/>
      <c r="S790" s="11"/>
      <c r="T790" s="11"/>
      <c r="U790" s="9"/>
      <c r="V790" s="9"/>
      <c r="W790" s="9"/>
      <c r="X790" s="16"/>
      <c r="AF790" s="42">
        <f>IF(BUSCAR!$C$8="FECHA NAC.",$G790,IF(BUSCAR!$C$8="PASAPORTE EXPIRA",$J790,IF(BUSCAR!$C$8="LICENCIA EMISION",$L790,IF(BUSCAR!$C$8="LICENCIA EXPIRA",$M790,""))))</f>
      </c>
      <c r="AG790" s="42">
        <f>IF($B790&amp;$C790&amp;$D790&amp;$E790&amp;$H790="",0,IF(AND(OR(BUSCAR!$J$5="",ISNUMBER(SEARCH(BUSCAR!$J$5,$AI790))),OR(BUSCAR!$J$6="",ISNUMBER(SEARCH(BUSCAR!$J$6,$AI790))),OR(BUSCAR!$J$8="",ISNUMBER(SEARCH(BUSCAR!$J$8,$AI790))),OR(BUSCAR!$J$9="",ISNUMBER(SEARCH(BUSCAR!$J$9,$AI790))),OR(NOT(BUSCAR!$J$2),AND(ISNUMBER($AF790),$AF790&gt;=BUSCAR!$J$3,$AF790&lt;=BUSCAR!$J$4))),1,0))</f>
      </c>
      <c r="AH790" s="42">
        <f t="shared" si="36"/>
      </c>
      <c r="AI790" s="42">
        <f t="shared" si="37"/>
      </c>
    </row>
    <row r="791" spans="1:35" x14ac:dyDescent="0.2">
      <c r="A791" s="66">
        <f t="shared" si="38"/>
      </c>
      <c r="B791" s="4"/>
      <c r="C791" s="4"/>
      <c r="D791" s="4"/>
      <c r="E791" s="4"/>
      <c r="F791" s="24"/>
      <c r="G791" s="8"/>
      <c r="H791" s="9"/>
      <c r="I791" s="8"/>
      <c r="J791" s="10"/>
      <c r="K791" s="8"/>
      <c r="L791" s="8"/>
      <c r="M791" s="8"/>
      <c r="N791" s="11"/>
      <c r="O791" s="9"/>
      <c r="P791" s="12"/>
      <c r="Q791" s="9"/>
      <c r="R791" s="13"/>
      <c r="S791" s="11"/>
      <c r="T791" s="11"/>
      <c r="U791" s="9"/>
      <c r="V791" s="9"/>
      <c r="W791" s="9"/>
      <c r="X791" s="16"/>
      <c r="AF791" s="42">
        <f>IF(BUSCAR!$C$8="FECHA NAC.",$G791,IF(BUSCAR!$C$8="PASAPORTE EXPIRA",$J791,IF(BUSCAR!$C$8="LICENCIA EMISION",$L791,IF(BUSCAR!$C$8="LICENCIA EXPIRA",$M791,""))))</f>
      </c>
      <c r="AG791" s="42">
        <f>IF($B791&amp;$C791&amp;$D791&amp;$E791&amp;$H791="",0,IF(AND(OR(BUSCAR!$J$5="",ISNUMBER(SEARCH(BUSCAR!$J$5,$AI791))),OR(BUSCAR!$J$6="",ISNUMBER(SEARCH(BUSCAR!$J$6,$AI791))),OR(BUSCAR!$J$8="",ISNUMBER(SEARCH(BUSCAR!$J$8,$AI791))),OR(BUSCAR!$J$9="",ISNUMBER(SEARCH(BUSCAR!$J$9,$AI791))),OR(NOT(BUSCAR!$J$2),AND(ISNUMBER($AF791),$AF791&gt;=BUSCAR!$J$3,$AF791&lt;=BUSCAR!$J$4))),1,0))</f>
      </c>
      <c r="AH791" s="42">
        <f t="shared" si="36"/>
      </c>
      <c r="AI791" s="42">
        <f t="shared" si="37"/>
      </c>
    </row>
    <row r="792" spans="1:35" x14ac:dyDescent="0.2">
      <c r="A792" s="66">
        <f t="shared" si="38"/>
      </c>
      <c r="B792" s="4"/>
      <c r="C792" s="4"/>
      <c r="D792" s="4"/>
      <c r="E792" s="4"/>
      <c r="F792" s="24"/>
      <c r="G792" s="8"/>
      <c r="H792" s="9"/>
      <c r="I792" s="8"/>
      <c r="J792" s="10"/>
      <c r="K792" s="8"/>
      <c r="L792" s="8"/>
      <c r="M792" s="8"/>
      <c r="N792" s="11"/>
      <c r="O792" s="9"/>
      <c r="P792" s="12"/>
      <c r="Q792" s="9"/>
      <c r="R792" s="13"/>
      <c r="S792" s="11"/>
      <c r="T792" s="11"/>
      <c r="U792" s="9"/>
      <c r="V792" s="9"/>
      <c r="W792" s="9"/>
      <c r="X792" s="16"/>
      <c r="AF792" s="42">
        <f>IF(BUSCAR!$C$8="FECHA NAC.",$G792,IF(BUSCAR!$C$8="PASAPORTE EXPIRA",$J792,IF(BUSCAR!$C$8="LICENCIA EMISION",$L792,IF(BUSCAR!$C$8="LICENCIA EXPIRA",$M792,""))))</f>
      </c>
      <c r="AG792" s="42">
        <f>IF($B792&amp;$C792&amp;$D792&amp;$E792&amp;$H792="",0,IF(AND(OR(BUSCAR!$J$5="",ISNUMBER(SEARCH(BUSCAR!$J$5,$AI792))),OR(BUSCAR!$J$6="",ISNUMBER(SEARCH(BUSCAR!$J$6,$AI792))),OR(BUSCAR!$J$8="",ISNUMBER(SEARCH(BUSCAR!$J$8,$AI792))),OR(BUSCAR!$J$9="",ISNUMBER(SEARCH(BUSCAR!$J$9,$AI792))),OR(NOT(BUSCAR!$J$2),AND(ISNUMBER($AF792),$AF792&gt;=BUSCAR!$J$3,$AF792&lt;=BUSCAR!$J$4))),1,0))</f>
      </c>
      <c r="AH792" s="42">
        <f t="shared" si="36"/>
      </c>
      <c r="AI792" s="42">
        <f t="shared" si="37"/>
      </c>
    </row>
    <row r="793" spans="1:35" x14ac:dyDescent="0.2">
      <c r="A793" s="66">
        <f t="shared" si="38"/>
      </c>
      <c r="B793" s="4"/>
      <c r="C793" s="4"/>
      <c r="D793" s="4"/>
      <c r="E793" s="4"/>
      <c r="F793" s="24"/>
      <c r="G793" s="8"/>
      <c r="H793" s="9"/>
      <c r="I793" s="8"/>
      <c r="J793" s="10"/>
      <c r="K793" s="8"/>
      <c r="L793" s="8"/>
      <c r="M793" s="8"/>
      <c r="N793" s="11"/>
      <c r="O793" s="9"/>
      <c r="P793" s="12"/>
      <c r="Q793" s="9"/>
      <c r="R793" s="13"/>
      <c r="S793" s="11"/>
      <c r="T793" s="11"/>
      <c r="U793" s="9"/>
      <c r="V793" s="9"/>
      <c r="W793" s="9"/>
      <c r="X793" s="16"/>
      <c r="AF793" s="42">
        <f>IF(BUSCAR!$C$8="FECHA NAC.",$G793,IF(BUSCAR!$C$8="PASAPORTE EXPIRA",$J793,IF(BUSCAR!$C$8="LICENCIA EMISION",$L793,IF(BUSCAR!$C$8="LICENCIA EXPIRA",$M793,""))))</f>
      </c>
      <c r="AG793" s="42">
        <f>IF($B793&amp;$C793&amp;$D793&amp;$E793&amp;$H793="",0,IF(AND(OR(BUSCAR!$J$5="",ISNUMBER(SEARCH(BUSCAR!$J$5,$AI793))),OR(BUSCAR!$J$6="",ISNUMBER(SEARCH(BUSCAR!$J$6,$AI793))),OR(BUSCAR!$J$8="",ISNUMBER(SEARCH(BUSCAR!$J$8,$AI793))),OR(BUSCAR!$J$9="",ISNUMBER(SEARCH(BUSCAR!$J$9,$AI793))),OR(NOT(BUSCAR!$J$2),AND(ISNUMBER($AF793),$AF793&gt;=BUSCAR!$J$3,$AF793&lt;=BUSCAR!$J$4))),1,0))</f>
      </c>
      <c r="AH793" s="42">
        <f t="shared" si="36"/>
      </c>
      <c r="AI793" s="42">
        <f t="shared" si="37"/>
      </c>
    </row>
    <row r="794" spans="1:35" x14ac:dyDescent="0.2">
      <c r="A794" s="66">
        <f t="shared" si="38"/>
      </c>
      <c r="B794" s="4"/>
      <c r="C794" s="4"/>
      <c r="D794" s="4"/>
      <c r="E794" s="4"/>
      <c r="F794" s="24"/>
      <c r="G794" s="8"/>
      <c r="H794" s="9"/>
      <c r="I794" s="8"/>
      <c r="J794" s="10"/>
      <c r="K794" s="8"/>
      <c r="L794" s="8"/>
      <c r="M794" s="8"/>
      <c r="N794" s="11"/>
      <c r="O794" s="9"/>
      <c r="P794" s="12"/>
      <c r="Q794" s="9"/>
      <c r="R794" s="13"/>
      <c r="S794" s="11"/>
      <c r="T794" s="11"/>
      <c r="U794" s="9"/>
      <c r="V794" s="9"/>
      <c r="W794" s="9"/>
      <c r="X794" s="16"/>
      <c r="AF794" s="42">
        <f>IF(BUSCAR!$C$8="FECHA NAC.",$G794,IF(BUSCAR!$C$8="PASAPORTE EXPIRA",$J794,IF(BUSCAR!$C$8="LICENCIA EMISION",$L794,IF(BUSCAR!$C$8="LICENCIA EXPIRA",$M794,""))))</f>
      </c>
      <c r="AG794" s="42">
        <f>IF($B794&amp;$C794&amp;$D794&amp;$E794&amp;$H794="",0,IF(AND(OR(BUSCAR!$J$5="",ISNUMBER(SEARCH(BUSCAR!$J$5,$AI794))),OR(BUSCAR!$J$6="",ISNUMBER(SEARCH(BUSCAR!$J$6,$AI794))),OR(BUSCAR!$J$8="",ISNUMBER(SEARCH(BUSCAR!$J$8,$AI794))),OR(BUSCAR!$J$9="",ISNUMBER(SEARCH(BUSCAR!$J$9,$AI794))),OR(NOT(BUSCAR!$J$2),AND(ISNUMBER($AF794),$AF794&gt;=BUSCAR!$J$3,$AF794&lt;=BUSCAR!$J$4))),1,0))</f>
      </c>
      <c r="AH794" s="42">
        <f t="shared" si="36"/>
      </c>
      <c r="AI794" s="42">
        <f t="shared" si="37"/>
      </c>
    </row>
    <row r="795" spans="1:35" x14ac:dyDescent="0.2">
      <c r="A795" s="66">
        <f t="shared" si="38"/>
      </c>
      <c r="B795" s="4"/>
      <c r="C795" s="4"/>
      <c r="D795" s="4"/>
      <c r="E795" s="4"/>
      <c r="F795" s="24"/>
      <c r="G795" s="8"/>
      <c r="H795" s="9"/>
      <c r="I795" s="8"/>
      <c r="J795" s="10"/>
      <c r="K795" s="8"/>
      <c r="L795" s="8"/>
      <c r="M795" s="8"/>
      <c r="N795" s="11"/>
      <c r="O795" s="9"/>
      <c r="P795" s="12"/>
      <c r="Q795" s="9"/>
      <c r="R795" s="13"/>
      <c r="S795" s="11"/>
      <c r="T795" s="11"/>
      <c r="U795" s="9"/>
      <c r="V795" s="9"/>
      <c r="W795" s="9"/>
      <c r="X795" s="16"/>
      <c r="AF795" s="42">
        <f>IF(BUSCAR!$C$8="FECHA NAC.",$G795,IF(BUSCAR!$C$8="PASAPORTE EXPIRA",$J795,IF(BUSCAR!$C$8="LICENCIA EMISION",$L795,IF(BUSCAR!$C$8="LICENCIA EXPIRA",$M795,""))))</f>
      </c>
      <c r="AG795" s="42">
        <f>IF($B795&amp;$C795&amp;$D795&amp;$E795&amp;$H795="",0,IF(AND(OR(BUSCAR!$J$5="",ISNUMBER(SEARCH(BUSCAR!$J$5,$AI795))),OR(BUSCAR!$J$6="",ISNUMBER(SEARCH(BUSCAR!$J$6,$AI795))),OR(BUSCAR!$J$8="",ISNUMBER(SEARCH(BUSCAR!$J$8,$AI795))),OR(BUSCAR!$J$9="",ISNUMBER(SEARCH(BUSCAR!$J$9,$AI795))),OR(NOT(BUSCAR!$J$2),AND(ISNUMBER($AF795),$AF795&gt;=BUSCAR!$J$3,$AF795&lt;=BUSCAR!$J$4))),1,0))</f>
      </c>
      <c r="AH795" s="42">
        <f t="shared" si="36"/>
      </c>
      <c r="AI795" s="42">
        <f t="shared" si="37"/>
      </c>
    </row>
    <row r="796" spans="1:35" x14ac:dyDescent="0.2">
      <c r="A796" s="66">
        <f t="shared" si="38"/>
      </c>
      <c r="B796" s="4"/>
      <c r="C796" s="4"/>
      <c r="D796" s="4"/>
      <c r="E796" s="4"/>
      <c r="F796" s="24"/>
      <c r="G796" s="8"/>
      <c r="H796" s="9"/>
      <c r="I796" s="8"/>
      <c r="J796" s="10"/>
      <c r="K796" s="8"/>
      <c r="L796" s="8"/>
      <c r="M796" s="8"/>
      <c r="N796" s="11"/>
      <c r="O796" s="9"/>
      <c r="P796" s="12"/>
      <c r="Q796" s="9"/>
      <c r="R796" s="13"/>
      <c r="S796" s="11"/>
      <c r="T796" s="11"/>
      <c r="U796" s="9"/>
      <c r="V796" s="9"/>
      <c r="W796" s="9"/>
      <c r="X796" s="16"/>
      <c r="AF796" s="42">
        <f>IF(BUSCAR!$C$8="FECHA NAC.",$G796,IF(BUSCAR!$C$8="PASAPORTE EXPIRA",$J796,IF(BUSCAR!$C$8="LICENCIA EMISION",$L796,IF(BUSCAR!$C$8="LICENCIA EXPIRA",$M796,""))))</f>
      </c>
      <c r="AG796" s="42">
        <f>IF($B796&amp;$C796&amp;$D796&amp;$E796&amp;$H796="",0,IF(AND(OR(BUSCAR!$J$5="",ISNUMBER(SEARCH(BUSCAR!$J$5,$AI796))),OR(BUSCAR!$J$6="",ISNUMBER(SEARCH(BUSCAR!$J$6,$AI796))),OR(BUSCAR!$J$8="",ISNUMBER(SEARCH(BUSCAR!$J$8,$AI796))),OR(BUSCAR!$J$9="",ISNUMBER(SEARCH(BUSCAR!$J$9,$AI796))),OR(NOT(BUSCAR!$J$2),AND(ISNUMBER($AF796),$AF796&gt;=BUSCAR!$J$3,$AF796&lt;=BUSCAR!$J$4))),1,0))</f>
      </c>
      <c r="AH796" s="42">
        <f t="shared" si="36"/>
      </c>
      <c r="AI796" s="42">
        <f t="shared" si="37"/>
      </c>
    </row>
    <row r="797" spans="1:35" x14ac:dyDescent="0.2">
      <c r="A797" s="66">
        <f t="shared" si="38"/>
      </c>
      <c r="B797" s="4"/>
      <c r="C797" s="4"/>
      <c r="D797" s="4"/>
      <c r="E797" s="4"/>
      <c r="F797" s="24"/>
      <c r="G797" s="8"/>
      <c r="H797" s="9"/>
      <c r="I797" s="8"/>
      <c r="J797" s="10"/>
      <c r="K797" s="8"/>
      <c r="L797" s="8"/>
      <c r="M797" s="8"/>
      <c r="N797" s="11"/>
      <c r="O797" s="9"/>
      <c r="P797" s="12"/>
      <c r="Q797" s="9"/>
      <c r="R797" s="13"/>
      <c r="S797" s="11"/>
      <c r="T797" s="11"/>
      <c r="U797" s="9"/>
      <c r="V797" s="9"/>
      <c r="W797" s="9"/>
      <c r="X797" s="16"/>
      <c r="AF797" s="42">
        <f>IF(BUSCAR!$C$8="FECHA NAC.",$G797,IF(BUSCAR!$C$8="PASAPORTE EXPIRA",$J797,IF(BUSCAR!$C$8="LICENCIA EMISION",$L797,IF(BUSCAR!$C$8="LICENCIA EXPIRA",$M797,""))))</f>
      </c>
      <c r="AG797" s="42">
        <f>IF($B797&amp;$C797&amp;$D797&amp;$E797&amp;$H797="",0,IF(AND(OR(BUSCAR!$J$5="",ISNUMBER(SEARCH(BUSCAR!$J$5,$AI797))),OR(BUSCAR!$J$6="",ISNUMBER(SEARCH(BUSCAR!$J$6,$AI797))),OR(BUSCAR!$J$8="",ISNUMBER(SEARCH(BUSCAR!$J$8,$AI797))),OR(BUSCAR!$J$9="",ISNUMBER(SEARCH(BUSCAR!$J$9,$AI797))),OR(NOT(BUSCAR!$J$2),AND(ISNUMBER($AF797),$AF797&gt;=BUSCAR!$J$3,$AF797&lt;=BUSCAR!$J$4))),1,0))</f>
      </c>
      <c r="AH797" s="42">
        <f t="shared" si="36"/>
      </c>
      <c r="AI797" s="42">
        <f t="shared" si="37"/>
      </c>
    </row>
    <row r="798" spans="1:35" x14ac:dyDescent="0.2">
      <c r="A798" s="66">
        <f t="shared" si="38"/>
      </c>
      <c r="B798" s="4"/>
      <c r="C798" s="4"/>
      <c r="D798" s="4"/>
      <c r="E798" s="4"/>
      <c r="F798" s="24"/>
      <c r="G798" s="8"/>
      <c r="H798" s="9"/>
      <c r="I798" s="8"/>
      <c r="J798" s="10"/>
      <c r="K798" s="8"/>
      <c r="L798" s="8"/>
      <c r="M798" s="8"/>
      <c r="N798" s="11"/>
      <c r="O798" s="9"/>
      <c r="P798" s="12"/>
      <c r="Q798" s="9"/>
      <c r="R798" s="13"/>
      <c r="S798" s="11"/>
      <c r="T798" s="11"/>
      <c r="U798" s="9"/>
      <c r="V798" s="9"/>
      <c r="W798" s="9"/>
      <c r="X798" s="16"/>
      <c r="AF798" s="42">
        <f>IF(BUSCAR!$C$8="FECHA NAC.",$G798,IF(BUSCAR!$C$8="PASAPORTE EXPIRA",$J798,IF(BUSCAR!$C$8="LICENCIA EMISION",$L798,IF(BUSCAR!$C$8="LICENCIA EXPIRA",$M798,""))))</f>
      </c>
      <c r="AG798" s="42">
        <f>IF($B798&amp;$C798&amp;$D798&amp;$E798&amp;$H798="",0,IF(AND(OR(BUSCAR!$J$5="",ISNUMBER(SEARCH(BUSCAR!$J$5,$AI798))),OR(BUSCAR!$J$6="",ISNUMBER(SEARCH(BUSCAR!$J$6,$AI798))),OR(BUSCAR!$J$8="",ISNUMBER(SEARCH(BUSCAR!$J$8,$AI798))),OR(BUSCAR!$J$9="",ISNUMBER(SEARCH(BUSCAR!$J$9,$AI798))),OR(NOT(BUSCAR!$J$2),AND(ISNUMBER($AF798),$AF798&gt;=BUSCAR!$J$3,$AF798&lt;=BUSCAR!$J$4))),1,0))</f>
      </c>
      <c r="AH798" s="42">
        <f t="shared" si="36"/>
      </c>
      <c r="AI798" s="42">
        <f t="shared" si="37"/>
      </c>
    </row>
    <row r="799" spans="1:35" x14ac:dyDescent="0.2">
      <c r="A799" s="66">
        <f t="shared" si="38"/>
      </c>
      <c r="B799" s="4"/>
      <c r="C799" s="4"/>
      <c r="D799" s="4"/>
      <c r="E799" s="4"/>
      <c r="F799" s="24"/>
      <c r="G799" s="8"/>
      <c r="H799" s="9"/>
      <c r="I799" s="8"/>
      <c r="J799" s="10"/>
      <c r="K799" s="8"/>
      <c r="L799" s="8"/>
      <c r="M799" s="8"/>
      <c r="N799" s="11"/>
      <c r="O799" s="9"/>
      <c r="P799" s="12"/>
      <c r="Q799" s="9"/>
      <c r="R799" s="13"/>
      <c r="S799" s="11"/>
      <c r="T799" s="11"/>
      <c r="U799" s="9"/>
      <c r="V799" s="9"/>
      <c r="W799" s="9"/>
      <c r="X799" s="16"/>
      <c r="AF799" s="42">
        <f>IF(BUSCAR!$C$8="FECHA NAC.",$G799,IF(BUSCAR!$C$8="PASAPORTE EXPIRA",$J799,IF(BUSCAR!$C$8="LICENCIA EMISION",$L799,IF(BUSCAR!$C$8="LICENCIA EXPIRA",$M799,""))))</f>
      </c>
      <c r="AG799" s="42">
        <f>IF($B799&amp;$C799&amp;$D799&amp;$E799&amp;$H799="",0,IF(AND(OR(BUSCAR!$J$5="",ISNUMBER(SEARCH(BUSCAR!$J$5,$AI799))),OR(BUSCAR!$J$6="",ISNUMBER(SEARCH(BUSCAR!$J$6,$AI799))),OR(BUSCAR!$J$8="",ISNUMBER(SEARCH(BUSCAR!$J$8,$AI799))),OR(BUSCAR!$J$9="",ISNUMBER(SEARCH(BUSCAR!$J$9,$AI799))),OR(NOT(BUSCAR!$J$2),AND(ISNUMBER($AF799),$AF799&gt;=BUSCAR!$J$3,$AF799&lt;=BUSCAR!$J$4))),1,0))</f>
      </c>
      <c r="AH799" s="42">
        <f t="shared" si="36"/>
      </c>
      <c r="AI799" s="42">
        <f t="shared" si="37"/>
      </c>
    </row>
    <row r="800" spans="1:35" x14ac:dyDescent="0.2">
      <c r="A800" s="66">
        <f t="shared" si="38"/>
      </c>
      <c r="B800" s="4"/>
      <c r="C800" s="4"/>
      <c r="D800" s="4"/>
      <c r="E800" s="4"/>
      <c r="F800" s="24"/>
      <c r="G800" s="8"/>
      <c r="H800" s="9"/>
      <c r="I800" s="8"/>
      <c r="J800" s="10"/>
      <c r="K800" s="8"/>
      <c r="L800" s="8"/>
      <c r="M800" s="8"/>
      <c r="N800" s="11"/>
      <c r="O800" s="9"/>
      <c r="P800" s="12"/>
      <c r="Q800" s="9"/>
      <c r="R800" s="13"/>
      <c r="S800" s="11"/>
      <c r="T800" s="11"/>
      <c r="U800" s="9"/>
      <c r="V800" s="9"/>
      <c r="W800" s="9"/>
      <c r="X800" s="16"/>
      <c r="AF800" s="42">
        <f>IF(BUSCAR!$C$8="FECHA NAC.",$G800,IF(BUSCAR!$C$8="PASAPORTE EXPIRA",$J800,IF(BUSCAR!$C$8="LICENCIA EMISION",$L800,IF(BUSCAR!$C$8="LICENCIA EXPIRA",$M800,""))))</f>
      </c>
      <c r="AG800" s="42">
        <f>IF($B800&amp;$C800&amp;$D800&amp;$E800&amp;$H800="",0,IF(AND(OR(BUSCAR!$J$5="",ISNUMBER(SEARCH(BUSCAR!$J$5,$AI800))),OR(BUSCAR!$J$6="",ISNUMBER(SEARCH(BUSCAR!$J$6,$AI800))),OR(BUSCAR!$J$8="",ISNUMBER(SEARCH(BUSCAR!$J$8,$AI800))),OR(BUSCAR!$J$9="",ISNUMBER(SEARCH(BUSCAR!$J$9,$AI800))),OR(NOT(BUSCAR!$J$2),AND(ISNUMBER($AF800),$AF800&gt;=BUSCAR!$J$3,$AF800&lt;=BUSCAR!$J$4))),1,0))</f>
      </c>
      <c r="AH800" s="42">
        <f t="shared" si="36"/>
      </c>
      <c r="AI800" s="42">
        <f t="shared" si="37"/>
      </c>
    </row>
    <row r="801" spans="1:35" x14ac:dyDescent="0.2">
      <c r="A801" s="66">
        <f t="shared" si="38"/>
      </c>
      <c r="B801" s="4"/>
      <c r="C801" s="4"/>
      <c r="D801" s="4"/>
      <c r="E801" s="4"/>
      <c r="F801" s="24"/>
      <c r="G801" s="8"/>
      <c r="H801" s="9"/>
      <c r="I801" s="8"/>
      <c r="J801" s="10"/>
      <c r="K801" s="8"/>
      <c r="L801" s="8"/>
      <c r="M801" s="8"/>
      <c r="N801" s="11"/>
      <c r="O801" s="9"/>
      <c r="P801" s="12"/>
      <c r="Q801" s="9"/>
      <c r="R801" s="13"/>
      <c r="S801" s="11"/>
      <c r="T801" s="11"/>
      <c r="U801" s="9"/>
      <c r="V801" s="9"/>
      <c r="W801" s="9"/>
      <c r="X801" s="16"/>
      <c r="AF801" s="42">
        <f>IF(BUSCAR!$C$8="FECHA NAC.",$G801,IF(BUSCAR!$C$8="PASAPORTE EXPIRA",$J801,IF(BUSCAR!$C$8="LICENCIA EMISION",$L801,IF(BUSCAR!$C$8="LICENCIA EXPIRA",$M801,""))))</f>
      </c>
      <c r="AG801" s="42">
        <f>IF($B801&amp;$C801&amp;$D801&amp;$E801&amp;$H801="",0,IF(AND(OR(BUSCAR!$J$5="",ISNUMBER(SEARCH(BUSCAR!$J$5,$AI801))),OR(BUSCAR!$J$6="",ISNUMBER(SEARCH(BUSCAR!$J$6,$AI801))),OR(BUSCAR!$J$8="",ISNUMBER(SEARCH(BUSCAR!$J$8,$AI801))),OR(BUSCAR!$J$9="",ISNUMBER(SEARCH(BUSCAR!$J$9,$AI801))),OR(NOT(BUSCAR!$J$2),AND(ISNUMBER($AF801),$AF801&gt;=BUSCAR!$J$3,$AF801&lt;=BUSCAR!$J$4))),1,0))</f>
      </c>
      <c r="AH801" s="42">
        <f t="shared" si="36"/>
      </c>
      <c r="AI801" s="42">
        <f t="shared" si="37"/>
      </c>
    </row>
    <row r="802" spans="1:35" x14ac:dyDescent="0.2">
      <c r="A802" s="66">
        <f t="shared" si="38"/>
      </c>
      <c r="B802" s="4"/>
      <c r="C802" s="4"/>
      <c r="D802" s="4"/>
      <c r="E802" s="4"/>
      <c r="F802" s="24"/>
      <c r="G802" s="8"/>
      <c r="H802" s="9"/>
      <c r="I802" s="8"/>
      <c r="J802" s="10"/>
      <c r="K802" s="8"/>
      <c r="L802" s="8"/>
      <c r="M802" s="8"/>
      <c r="N802" s="11"/>
      <c r="O802" s="9"/>
      <c r="P802" s="12"/>
      <c r="Q802" s="9"/>
      <c r="R802" s="13"/>
      <c r="S802" s="11"/>
      <c r="T802" s="11"/>
      <c r="U802" s="9"/>
      <c r="V802" s="9"/>
      <c r="W802" s="9"/>
      <c r="X802" s="16"/>
      <c r="AF802" s="42">
        <f>IF(BUSCAR!$C$8="FECHA NAC.",$G802,IF(BUSCAR!$C$8="PASAPORTE EXPIRA",$J802,IF(BUSCAR!$C$8="LICENCIA EMISION",$L802,IF(BUSCAR!$C$8="LICENCIA EXPIRA",$M802,""))))</f>
      </c>
      <c r="AG802" s="42">
        <f>IF($B802&amp;$C802&amp;$D802&amp;$E802&amp;$H802="",0,IF(AND(OR(BUSCAR!$J$5="",ISNUMBER(SEARCH(BUSCAR!$J$5,$AI802))),OR(BUSCAR!$J$6="",ISNUMBER(SEARCH(BUSCAR!$J$6,$AI802))),OR(BUSCAR!$J$8="",ISNUMBER(SEARCH(BUSCAR!$J$8,$AI802))),OR(BUSCAR!$J$9="",ISNUMBER(SEARCH(BUSCAR!$J$9,$AI802))),OR(NOT(BUSCAR!$J$2),AND(ISNUMBER($AF802),$AF802&gt;=BUSCAR!$J$3,$AF802&lt;=BUSCAR!$J$4))),1,0))</f>
      </c>
      <c r="AH802" s="42">
        <f t="shared" si="36"/>
      </c>
      <c r="AI802" s="42">
        <f t="shared" si="37"/>
      </c>
    </row>
    <row r="803" spans="1:35" x14ac:dyDescent="0.2">
      <c r="A803" s="66">
        <f t="shared" si="38"/>
      </c>
      <c r="B803" s="4"/>
      <c r="C803" s="4"/>
      <c r="D803" s="4"/>
      <c r="E803" s="4"/>
      <c r="F803" s="24"/>
      <c r="G803" s="8"/>
      <c r="H803" s="9"/>
      <c r="I803" s="8"/>
      <c r="J803" s="10"/>
      <c r="K803" s="8"/>
      <c r="L803" s="8"/>
      <c r="M803" s="8"/>
      <c r="N803" s="11"/>
      <c r="O803" s="9"/>
      <c r="P803" s="12"/>
      <c r="Q803" s="9"/>
      <c r="R803" s="13"/>
      <c r="S803" s="11"/>
      <c r="T803" s="11"/>
      <c r="U803" s="9"/>
      <c r="V803" s="9"/>
      <c r="W803" s="9"/>
      <c r="X803" s="16"/>
      <c r="AF803" s="42">
        <f>IF(BUSCAR!$C$8="FECHA NAC.",$G803,IF(BUSCAR!$C$8="PASAPORTE EXPIRA",$J803,IF(BUSCAR!$C$8="LICENCIA EMISION",$L803,IF(BUSCAR!$C$8="LICENCIA EXPIRA",$M803,""))))</f>
      </c>
      <c r="AG803" s="42">
        <f>IF($B803&amp;$C803&amp;$D803&amp;$E803&amp;$H803="",0,IF(AND(OR(BUSCAR!$J$5="",ISNUMBER(SEARCH(BUSCAR!$J$5,$AI803))),OR(BUSCAR!$J$6="",ISNUMBER(SEARCH(BUSCAR!$J$6,$AI803))),OR(BUSCAR!$J$8="",ISNUMBER(SEARCH(BUSCAR!$J$8,$AI803))),OR(BUSCAR!$J$9="",ISNUMBER(SEARCH(BUSCAR!$J$9,$AI803))),OR(NOT(BUSCAR!$J$2),AND(ISNUMBER($AF803),$AF803&gt;=BUSCAR!$J$3,$AF803&lt;=BUSCAR!$J$4))),1,0))</f>
      </c>
      <c r="AH803" s="42">
        <f t="shared" si="36"/>
      </c>
      <c r="AI803" s="42">
        <f t="shared" si="37"/>
      </c>
    </row>
    <row r="804" spans="1:35" x14ac:dyDescent="0.2">
      <c r="A804" s="66">
        <f t="shared" si="38"/>
      </c>
      <c r="B804" s="4"/>
      <c r="C804" s="4"/>
      <c r="D804" s="4"/>
      <c r="E804" s="4"/>
      <c r="F804" s="24"/>
      <c r="G804" s="8"/>
      <c r="H804" s="9"/>
      <c r="I804" s="8"/>
      <c r="J804" s="10"/>
      <c r="K804" s="8"/>
      <c r="L804" s="8"/>
      <c r="M804" s="8"/>
      <c r="N804" s="11"/>
      <c r="O804" s="9"/>
      <c r="P804" s="12"/>
      <c r="Q804" s="9"/>
      <c r="R804" s="13"/>
      <c r="S804" s="11"/>
      <c r="T804" s="11"/>
      <c r="U804" s="9"/>
      <c r="V804" s="9"/>
      <c r="W804" s="9"/>
      <c r="X804" s="16"/>
      <c r="AF804" s="42">
        <f>IF(BUSCAR!$C$8="FECHA NAC.",$G804,IF(BUSCAR!$C$8="PASAPORTE EXPIRA",$J804,IF(BUSCAR!$C$8="LICENCIA EMISION",$L804,IF(BUSCAR!$C$8="LICENCIA EXPIRA",$M804,""))))</f>
      </c>
      <c r="AG804" s="42">
        <f>IF($B804&amp;$C804&amp;$D804&amp;$E804&amp;$H804="",0,IF(AND(OR(BUSCAR!$J$5="",ISNUMBER(SEARCH(BUSCAR!$J$5,$AI804))),OR(BUSCAR!$J$6="",ISNUMBER(SEARCH(BUSCAR!$J$6,$AI804))),OR(BUSCAR!$J$8="",ISNUMBER(SEARCH(BUSCAR!$J$8,$AI804))),OR(BUSCAR!$J$9="",ISNUMBER(SEARCH(BUSCAR!$J$9,$AI804))),OR(NOT(BUSCAR!$J$2),AND(ISNUMBER($AF804),$AF804&gt;=BUSCAR!$J$3,$AF804&lt;=BUSCAR!$J$4))),1,0))</f>
      </c>
      <c r="AH804" s="42">
        <f t="shared" si="36"/>
      </c>
      <c r="AI804" s="42">
        <f t="shared" si="37"/>
      </c>
    </row>
    <row r="805" spans="1:35" x14ac:dyDescent="0.2">
      <c r="A805" s="66">
        <f t="shared" si="38"/>
      </c>
      <c r="B805" s="4"/>
      <c r="C805" s="4"/>
      <c r="D805" s="4"/>
      <c r="E805" s="4"/>
      <c r="F805" s="24"/>
      <c r="G805" s="8"/>
      <c r="H805" s="9"/>
      <c r="I805" s="8"/>
      <c r="J805" s="10"/>
      <c r="K805" s="8"/>
      <c r="L805" s="8"/>
      <c r="M805" s="8"/>
      <c r="N805" s="11"/>
      <c r="O805" s="9"/>
      <c r="P805" s="12"/>
      <c r="Q805" s="9"/>
      <c r="R805" s="13"/>
      <c r="S805" s="11"/>
      <c r="T805" s="11"/>
      <c r="U805" s="9"/>
      <c r="V805" s="9"/>
      <c r="W805" s="9"/>
      <c r="X805" s="16"/>
      <c r="AF805" s="42">
        <f>IF(BUSCAR!$C$8="FECHA NAC.",$G805,IF(BUSCAR!$C$8="PASAPORTE EXPIRA",$J805,IF(BUSCAR!$C$8="LICENCIA EMISION",$L805,IF(BUSCAR!$C$8="LICENCIA EXPIRA",$M805,""))))</f>
      </c>
      <c r="AG805" s="42">
        <f>IF($B805&amp;$C805&amp;$D805&amp;$E805&amp;$H805="",0,IF(AND(OR(BUSCAR!$J$5="",ISNUMBER(SEARCH(BUSCAR!$J$5,$AI805))),OR(BUSCAR!$J$6="",ISNUMBER(SEARCH(BUSCAR!$J$6,$AI805))),OR(BUSCAR!$J$8="",ISNUMBER(SEARCH(BUSCAR!$J$8,$AI805))),OR(BUSCAR!$J$9="",ISNUMBER(SEARCH(BUSCAR!$J$9,$AI805))),OR(NOT(BUSCAR!$J$2),AND(ISNUMBER($AF805),$AF805&gt;=BUSCAR!$J$3,$AF805&lt;=BUSCAR!$J$4))),1,0))</f>
      </c>
      <c r="AH805" s="42">
        <f t="shared" si="36"/>
      </c>
      <c r="AI805" s="42">
        <f t="shared" si="37"/>
      </c>
    </row>
    <row r="806" spans="1:35" x14ac:dyDescent="0.2">
      <c r="A806" s="66">
        <f t="shared" si="38"/>
      </c>
      <c r="B806" s="4"/>
      <c r="C806" s="4"/>
      <c r="D806" s="4"/>
      <c r="E806" s="4"/>
      <c r="F806" s="24"/>
      <c r="G806" s="8"/>
      <c r="H806" s="9"/>
      <c r="I806" s="8"/>
      <c r="J806" s="10"/>
      <c r="K806" s="8"/>
      <c r="L806" s="8"/>
      <c r="M806" s="8"/>
      <c r="N806" s="11"/>
      <c r="O806" s="9"/>
      <c r="P806" s="12"/>
      <c r="Q806" s="9"/>
      <c r="R806" s="13"/>
      <c r="S806" s="11"/>
      <c r="T806" s="11"/>
      <c r="U806" s="9"/>
      <c r="V806" s="9"/>
      <c r="W806" s="9"/>
      <c r="X806" s="16"/>
      <c r="AF806" s="42">
        <f>IF(BUSCAR!$C$8="FECHA NAC.",$G806,IF(BUSCAR!$C$8="PASAPORTE EXPIRA",$J806,IF(BUSCAR!$C$8="LICENCIA EMISION",$L806,IF(BUSCAR!$C$8="LICENCIA EXPIRA",$M806,""))))</f>
      </c>
      <c r="AG806" s="42">
        <f>IF($B806&amp;$C806&amp;$D806&amp;$E806&amp;$H806="",0,IF(AND(OR(BUSCAR!$J$5="",ISNUMBER(SEARCH(BUSCAR!$J$5,$AI806))),OR(BUSCAR!$J$6="",ISNUMBER(SEARCH(BUSCAR!$J$6,$AI806))),OR(BUSCAR!$J$8="",ISNUMBER(SEARCH(BUSCAR!$J$8,$AI806))),OR(BUSCAR!$J$9="",ISNUMBER(SEARCH(BUSCAR!$J$9,$AI806))),OR(NOT(BUSCAR!$J$2),AND(ISNUMBER($AF806),$AF806&gt;=BUSCAR!$J$3,$AF806&lt;=BUSCAR!$J$4))),1,0))</f>
      </c>
      <c r="AH806" s="42">
        <f t="shared" si="36"/>
      </c>
      <c r="AI806" s="42">
        <f t="shared" si="37"/>
      </c>
    </row>
    <row r="807" spans="1:35" x14ac:dyDescent="0.2">
      <c r="A807" s="66">
        <f t="shared" si="38"/>
      </c>
      <c r="B807" s="4"/>
      <c r="C807" s="4"/>
      <c r="D807" s="4"/>
      <c r="E807" s="4"/>
      <c r="F807" s="24"/>
      <c r="G807" s="8"/>
      <c r="H807" s="9"/>
      <c r="I807" s="8"/>
      <c r="J807" s="10"/>
      <c r="K807" s="8"/>
      <c r="L807" s="8"/>
      <c r="M807" s="8"/>
      <c r="N807" s="11"/>
      <c r="O807" s="9"/>
      <c r="P807" s="12"/>
      <c r="Q807" s="9"/>
      <c r="R807" s="13"/>
      <c r="S807" s="11"/>
      <c r="T807" s="11"/>
      <c r="U807" s="9"/>
      <c r="V807" s="9"/>
      <c r="W807" s="9"/>
      <c r="X807" s="16"/>
      <c r="AF807" s="42">
        <f>IF(BUSCAR!$C$8="FECHA NAC.",$G807,IF(BUSCAR!$C$8="PASAPORTE EXPIRA",$J807,IF(BUSCAR!$C$8="LICENCIA EMISION",$L807,IF(BUSCAR!$C$8="LICENCIA EXPIRA",$M807,""))))</f>
      </c>
      <c r="AG807" s="42">
        <f>IF($B807&amp;$C807&amp;$D807&amp;$E807&amp;$H807="",0,IF(AND(OR(BUSCAR!$J$5="",ISNUMBER(SEARCH(BUSCAR!$J$5,$AI807))),OR(BUSCAR!$J$6="",ISNUMBER(SEARCH(BUSCAR!$J$6,$AI807))),OR(BUSCAR!$J$8="",ISNUMBER(SEARCH(BUSCAR!$J$8,$AI807))),OR(BUSCAR!$J$9="",ISNUMBER(SEARCH(BUSCAR!$J$9,$AI807))),OR(NOT(BUSCAR!$J$2),AND(ISNUMBER($AF807),$AF807&gt;=BUSCAR!$J$3,$AF807&lt;=BUSCAR!$J$4))),1,0))</f>
      </c>
      <c r="AH807" s="42">
        <f t="shared" si="36"/>
      </c>
      <c r="AI807" s="42">
        <f t="shared" si="37"/>
      </c>
    </row>
    <row r="808" spans="1:35" x14ac:dyDescent="0.2">
      <c r="A808" s="66">
        <f t="shared" si="38"/>
      </c>
      <c r="B808" s="4"/>
      <c r="C808" s="4"/>
      <c r="D808" s="4"/>
      <c r="E808" s="4"/>
      <c r="F808" s="24"/>
      <c r="G808" s="8"/>
      <c r="H808" s="9"/>
      <c r="I808" s="8"/>
      <c r="J808" s="10"/>
      <c r="K808" s="8"/>
      <c r="L808" s="8"/>
      <c r="M808" s="8"/>
      <c r="N808" s="11"/>
      <c r="O808" s="9"/>
      <c r="P808" s="12"/>
      <c r="Q808" s="9"/>
      <c r="R808" s="13"/>
      <c r="S808" s="11"/>
      <c r="T808" s="11"/>
      <c r="U808" s="9"/>
      <c r="V808" s="9"/>
      <c r="W808" s="9"/>
      <c r="X808" s="16"/>
      <c r="AF808" s="42">
        <f>IF(BUSCAR!$C$8="FECHA NAC.",$G808,IF(BUSCAR!$C$8="PASAPORTE EXPIRA",$J808,IF(BUSCAR!$C$8="LICENCIA EMISION",$L808,IF(BUSCAR!$C$8="LICENCIA EXPIRA",$M808,""))))</f>
      </c>
      <c r="AG808" s="42">
        <f>IF($B808&amp;$C808&amp;$D808&amp;$E808&amp;$H808="",0,IF(AND(OR(BUSCAR!$J$5="",ISNUMBER(SEARCH(BUSCAR!$J$5,$AI808))),OR(BUSCAR!$J$6="",ISNUMBER(SEARCH(BUSCAR!$J$6,$AI808))),OR(BUSCAR!$J$8="",ISNUMBER(SEARCH(BUSCAR!$J$8,$AI808))),OR(BUSCAR!$J$9="",ISNUMBER(SEARCH(BUSCAR!$J$9,$AI808))),OR(NOT(BUSCAR!$J$2),AND(ISNUMBER($AF808),$AF808&gt;=BUSCAR!$J$3,$AF808&lt;=BUSCAR!$J$4))),1,0))</f>
      </c>
      <c r="AH808" s="42">
        <f t="shared" si="36"/>
      </c>
      <c r="AI808" s="42">
        <f t="shared" si="37"/>
      </c>
    </row>
    <row r="809" spans="1:35" x14ac:dyDescent="0.2">
      <c r="A809" s="66">
        <f t="shared" si="38"/>
      </c>
      <c r="B809" s="4"/>
      <c r="C809" s="4"/>
      <c r="D809" s="4"/>
      <c r="E809" s="4"/>
      <c r="F809" s="24"/>
      <c r="G809" s="8"/>
      <c r="H809" s="9"/>
      <c r="I809" s="8"/>
      <c r="J809" s="10"/>
      <c r="K809" s="8"/>
      <c r="L809" s="8"/>
      <c r="M809" s="8"/>
      <c r="N809" s="11"/>
      <c r="O809" s="9"/>
      <c r="P809" s="12"/>
      <c r="Q809" s="9"/>
      <c r="R809" s="13"/>
      <c r="S809" s="11"/>
      <c r="T809" s="11"/>
      <c r="U809" s="9"/>
      <c r="V809" s="9"/>
      <c r="W809" s="9"/>
      <c r="X809" s="16"/>
      <c r="AF809" s="42">
        <f>IF(BUSCAR!$C$8="FECHA NAC.",$G809,IF(BUSCAR!$C$8="PASAPORTE EXPIRA",$J809,IF(BUSCAR!$C$8="LICENCIA EMISION",$L809,IF(BUSCAR!$C$8="LICENCIA EXPIRA",$M809,""))))</f>
      </c>
      <c r="AG809" s="42">
        <f>IF($B809&amp;$C809&amp;$D809&amp;$E809&amp;$H809="",0,IF(AND(OR(BUSCAR!$J$5="",ISNUMBER(SEARCH(BUSCAR!$J$5,$AI809))),OR(BUSCAR!$J$6="",ISNUMBER(SEARCH(BUSCAR!$J$6,$AI809))),OR(BUSCAR!$J$8="",ISNUMBER(SEARCH(BUSCAR!$J$8,$AI809))),OR(BUSCAR!$J$9="",ISNUMBER(SEARCH(BUSCAR!$J$9,$AI809))),OR(NOT(BUSCAR!$J$2),AND(ISNUMBER($AF809),$AF809&gt;=BUSCAR!$J$3,$AF809&lt;=BUSCAR!$J$4))),1,0))</f>
      </c>
      <c r="AH809" s="42">
        <f t="shared" si="36"/>
      </c>
      <c r="AI809" s="42">
        <f t="shared" si="37"/>
      </c>
    </row>
    <row r="810" spans="1:35" x14ac:dyDescent="0.2">
      <c r="A810" s="66">
        <f t="shared" si="38"/>
      </c>
      <c r="B810" s="4"/>
      <c r="C810" s="4"/>
      <c r="D810" s="4"/>
      <c r="E810" s="4"/>
      <c r="F810" s="24"/>
      <c r="G810" s="8"/>
      <c r="H810" s="9"/>
      <c r="I810" s="8"/>
      <c r="J810" s="10"/>
      <c r="K810" s="8"/>
      <c r="L810" s="8"/>
      <c r="M810" s="8"/>
      <c r="N810" s="11"/>
      <c r="O810" s="9"/>
      <c r="P810" s="12"/>
      <c r="Q810" s="9"/>
      <c r="R810" s="13"/>
      <c r="S810" s="11"/>
      <c r="T810" s="11"/>
      <c r="U810" s="9"/>
      <c r="V810" s="9"/>
      <c r="W810" s="9"/>
      <c r="X810" s="16"/>
      <c r="AF810" s="42">
        <f>IF(BUSCAR!$C$8="FECHA NAC.",$G810,IF(BUSCAR!$C$8="PASAPORTE EXPIRA",$J810,IF(BUSCAR!$C$8="LICENCIA EMISION",$L810,IF(BUSCAR!$C$8="LICENCIA EXPIRA",$M810,""))))</f>
      </c>
      <c r="AG810" s="42">
        <f>IF($B810&amp;$C810&amp;$D810&amp;$E810&amp;$H810="",0,IF(AND(OR(BUSCAR!$J$5="",ISNUMBER(SEARCH(BUSCAR!$J$5,$AI810))),OR(BUSCAR!$J$6="",ISNUMBER(SEARCH(BUSCAR!$J$6,$AI810))),OR(BUSCAR!$J$8="",ISNUMBER(SEARCH(BUSCAR!$J$8,$AI810))),OR(BUSCAR!$J$9="",ISNUMBER(SEARCH(BUSCAR!$J$9,$AI810))),OR(NOT(BUSCAR!$J$2),AND(ISNUMBER($AF810),$AF810&gt;=BUSCAR!$J$3,$AF810&lt;=BUSCAR!$J$4))),1,0))</f>
      </c>
      <c r="AH810" s="42">
        <f t="shared" si="36"/>
      </c>
      <c r="AI810" s="42">
        <f t="shared" si="37"/>
      </c>
    </row>
    <row r="811" spans="1:35" x14ac:dyDescent="0.2">
      <c r="A811" s="66">
        <f t="shared" si="38"/>
      </c>
      <c r="B811" s="4"/>
      <c r="C811" s="4"/>
      <c r="D811" s="4"/>
      <c r="E811" s="4"/>
      <c r="F811" s="24"/>
      <c r="G811" s="8"/>
      <c r="H811" s="9"/>
      <c r="I811" s="8"/>
      <c r="J811" s="10"/>
      <c r="K811" s="8"/>
      <c r="L811" s="8"/>
      <c r="M811" s="8"/>
      <c r="N811" s="11"/>
      <c r="O811" s="9"/>
      <c r="P811" s="12"/>
      <c r="Q811" s="9"/>
      <c r="R811" s="13"/>
      <c r="S811" s="11"/>
      <c r="T811" s="11"/>
      <c r="U811" s="9"/>
      <c r="V811" s="9"/>
      <c r="W811" s="9"/>
      <c r="X811" s="16"/>
      <c r="AF811" s="42">
        <f>IF(BUSCAR!$C$8="FECHA NAC.",$G811,IF(BUSCAR!$C$8="PASAPORTE EXPIRA",$J811,IF(BUSCAR!$C$8="LICENCIA EMISION",$L811,IF(BUSCAR!$C$8="LICENCIA EXPIRA",$M811,""))))</f>
      </c>
      <c r="AG811" s="42">
        <f>IF($B811&amp;$C811&amp;$D811&amp;$E811&amp;$H811="",0,IF(AND(OR(BUSCAR!$J$5="",ISNUMBER(SEARCH(BUSCAR!$J$5,$AI811))),OR(BUSCAR!$J$6="",ISNUMBER(SEARCH(BUSCAR!$J$6,$AI811))),OR(BUSCAR!$J$8="",ISNUMBER(SEARCH(BUSCAR!$J$8,$AI811))),OR(BUSCAR!$J$9="",ISNUMBER(SEARCH(BUSCAR!$J$9,$AI811))),OR(NOT(BUSCAR!$J$2),AND(ISNUMBER($AF811),$AF811&gt;=BUSCAR!$J$3,$AF811&lt;=BUSCAR!$J$4))),1,0))</f>
      </c>
      <c r="AH811" s="42">
        <f t="shared" si="36"/>
      </c>
      <c r="AI811" s="42">
        <f t="shared" si="37"/>
      </c>
    </row>
    <row r="812" spans="1:35" x14ac:dyDescent="0.2">
      <c r="A812" s="66">
        <f t="shared" si="38"/>
      </c>
      <c r="B812" s="4"/>
      <c r="C812" s="4"/>
      <c r="D812" s="4"/>
      <c r="E812" s="4"/>
      <c r="F812" s="24"/>
      <c r="G812" s="8"/>
      <c r="H812" s="9"/>
      <c r="I812" s="8"/>
      <c r="J812" s="10"/>
      <c r="K812" s="8"/>
      <c r="L812" s="8"/>
      <c r="M812" s="8"/>
      <c r="N812" s="11"/>
      <c r="O812" s="9"/>
      <c r="P812" s="12"/>
      <c r="Q812" s="9"/>
      <c r="R812" s="13"/>
      <c r="S812" s="11"/>
      <c r="T812" s="11"/>
      <c r="U812" s="9"/>
      <c r="V812" s="9"/>
      <c r="W812" s="9"/>
      <c r="X812" s="16"/>
      <c r="AF812" s="42">
        <f>IF(BUSCAR!$C$8="FECHA NAC.",$G812,IF(BUSCAR!$C$8="PASAPORTE EXPIRA",$J812,IF(BUSCAR!$C$8="LICENCIA EMISION",$L812,IF(BUSCAR!$C$8="LICENCIA EXPIRA",$M812,""))))</f>
      </c>
      <c r="AG812" s="42">
        <f>IF($B812&amp;$C812&amp;$D812&amp;$E812&amp;$H812="",0,IF(AND(OR(BUSCAR!$J$5="",ISNUMBER(SEARCH(BUSCAR!$J$5,$AI812))),OR(BUSCAR!$J$6="",ISNUMBER(SEARCH(BUSCAR!$J$6,$AI812))),OR(BUSCAR!$J$8="",ISNUMBER(SEARCH(BUSCAR!$J$8,$AI812))),OR(BUSCAR!$J$9="",ISNUMBER(SEARCH(BUSCAR!$J$9,$AI812))),OR(NOT(BUSCAR!$J$2),AND(ISNUMBER($AF812),$AF812&gt;=BUSCAR!$J$3,$AF812&lt;=BUSCAR!$J$4))),1,0))</f>
      </c>
      <c r="AH812" s="42">
        <f t="shared" si="36"/>
      </c>
      <c r="AI812" s="42">
        <f t="shared" si="37"/>
      </c>
    </row>
    <row r="813" spans="1:35" x14ac:dyDescent="0.2">
      <c r="A813" s="66">
        <f t="shared" si="38"/>
      </c>
      <c r="B813" s="4"/>
      <c r="C813" s="4"/>
      <c r="D813" s="4"/>
      <c r="E813" s="4"/>
      <c r="F813" s="24"/>
      <c r="G813" s="8"/>
      <c r="H813" s="9"/>
      <c r="I813" s="8"/>
      <c r="J813" s="10"/>
      <c r="K813" s="8"/>
      <c r="L813" s="8"/>
      <c r="M813" s="8"/>
      <c r="N813" s="11"/>
      <c r="O813" s="9"/>
      <c r="P813" s="12"/>
      <c r="Q813" s="9"/>
      <c r="R813" s="13"/>
      <c r="S813" s="11"/>
      <c r="T813" s="11"/>
      <c r="U813" s="9"/>
      <c r="V813" s="9"/>
      <c r="W813" s="9"/>
      <c r="X813" s="16"/>
      <c r="AF813" s="42">
        <f>IF(BUSCAR!$C$8="FECHA NAC.",$G813,IF(BUSCAR!$C$8="PASAPORTE EXPIRA",$J813,IF(BUSCAR!$C$8="LICENCIA EMISION",$L813,IF(BUSCAR!$C$8="LICENCIA EXPIRA",$M813,""))))</f>
      </c>
      <c r="AG813" s="42">
        <f>IF($B813&amp;$C813&amp;$D813&amp;$E813&amp;$H813="",0,IF(AND(OR(BUSCAR!$J$5="",ISNUMBER(SEARCH(BUSCAR!$J$5,$AI813))),OR(BUSCAR!$J$6="",ISNUMBER(SEARCH(BUSCAR!$J$6,$AI813))),OR(BUSCAR!$J$8="",ISNUMBER(SEARCH(BUSCAR!$J$8,$AI813))),OR(BUSCAR!$J$9="",ISNUMBER(SEARCH(BUSCAR!$J$9,$AI813))),OR(NOT(BUSCAR!$J$2),AND(ISNUMBER($AF813),$AF813&gt;=BUSCAR!$J$3,$AF813&lt;=BUSCAR!$J$4))),1,0))</f>
      </c>
      <c r="AH813" s="42">
        <f t="shared" si="36"/>
      </c>
      <c r="AI813" s="42">
        <f t="shared" si="37"/>
      </c>
    </row>
    <row r="814" spans="1:35" x14ac:dyDescent="0.2">
      <c r="A814" s="66">
        <f t="shared" si="38"/>
      </c>
      <c r="B814" s="4"/>
      <c r="C814" s="4"/>
      <c r="D814" s="4"/>
      <c r="E814" s="4"/>
      <c r="F814" s="24"/>
      <c r="G814" s="8"/>
      <c r="H814" s="9"/>
      <c r="I814" s="8"/>
      <c r="J814" s="10"/>
      <c r="K814" s="8"/>
      <c r="L814" s="8"/>
      <c r="M814" s="8"/>
      <c r="N814" s="11"/>
      <c r="O814" s="9"/>
      <c r="P814" s="12"/>
      <c r="Q814" s="9"/>
      <c r="R814" s="13"/>
      <c r="S814" s="11"/>
      <c r="T814" s="11"/>
      <c r="U814" s="9"/>
      <c r="V814" s="9"/>
      <c r="W814" s="9"/>
      <c r="X814" s="16"/>
      <c r="AF814" s="42">
        <f>IF(BUSCAR!$C$8="FECHA NAC.",$G814,IF(BUSCAR!$C$8="PASAPORTE EXPIRA",$J814,IF(BUSCAR!$C$8="LICENCIA EMISION",$L814,IF(BUSCAR!$C$8="LICENCIA EXPIRA",$M814,""))))</f>
      </c>
      <c r="AG814" s="42">
        <f>IF($B814&amp;$C814&amp;$D814&amp;$E814&amp;$H814="",0,IF(AND(OR(BUSCAR!$J$5="",ISNUMBER(SEARCH(BUSCAR!$J$5,$AI814))),OR(BUSCAR!$J$6="",ISNUMBER(SEARCH(BUSCAR!$J$6,$AI814))),OR(BUSCAR!$J$8="",ISNUMBER(SEARCH(BUSCAR!$J$8,$AI814))),OR(BUSCAR!$J$9="",ISNUMBER(SEARCH(BUSCAR!$J$9,$AI814))),OR(NOT(BUSCAR!$J$2),AND(ISNUMBER($AF814),$AF814&gt;=BUSCAR!$J$3,$AF814&lt;=BUSCAR!$J$4))),1,0))</f>
      </c>
      <c r="AH814" s="42">
        <f t="shared" si="36"/>
      </c>
      <c r="AI814" s="42">
        <f t="shared" si="37"/>
      </c>
    </row>
    <row r="815" spans="1:35" x14ac:dyDescent="0.2">
      <c r="A815" s="66">
        <f t="shared" si="38"/>
      </c>
      <c r="B815" s="4"/>
      <c r="C815" s="4"/>
      <c r="D815" s="4"/>
      <c r="E815" s="4"/>
      <c r="F815" s="24"/>
      <c r="G815" s="8"/>
      <c r="H815" s="9"/>
      <c r="I815" s="8"/>
      <c r="J815" s="10"/>
      <c r="K815" s="8"/>
      <c r="L815" s="8"/>
      <c r="M815" s="8"/>
      <c r="N815" s="11"/>
      <c r="O815" s="9"/>
      <c r="P815" s="12"/>
      <c r="Q815" s="9"/>
      <c r="R815" s="13"/>
      <c r="S815" s="11"/>
      <c r="T815" s="11"/>
      <c r="U815" s="9"/>
      <c r="V815" s="9"/>
      <c r="W815" s="9"/>
      <c r="X815" s="16"/>
      <c r="AF815" s="42">
        <f>IF(BUSCAR!$C$8="FECHA NAC.",$G815,IF(BUSCAR!$C$8="PASAPORTE EXPIRA",$J815,IF(BUSCAR!$C$8="LICENCIA EMISION",$L815,IF(BUSCAR!$C$8="LICENCIA EXPIRA",$M815,""))))</f>
      </c>
      <c r="AG815" s="42">
        <f>IF($B815&amp;$C815&amp;$D815&amp;$E815&amp;$H815="",0,IF(AND(OR(BUSCAR!$J$5="",ISNUMBER(SEARCH(BUSCAR!$J$5,$AI815))),OR(BUSCAR!$J$6="",ISNUMBER(SEARCH(BUSCAR!$J$6,$AI815))),OR(BUSCAR!$J$8="",ISNUMBER(SEARCH(BUSCAR!$J$8,$AI815))),OR(BUSCAR!$J$9="",ISNUMBER(SEARCH(BUSCAR!$J$9,$AI815))),OR(NOT(BUSCAR!$J$2),AND(ISNUMBER($AF815),$AF815&gt;=BUSCAR!$J$3,$AF815&lt;=BUSCAR!$J$4))),1,0))</f>
      </c>
      <c r="AH815" s="42">
        <f t="shared" si="36"/>
      </c>
      <c r="AI815" s="42">
        <f t="shared" si="37"/>
      </c>
    </row>
    <row r="816" spans="1:35" x14ac:dyDescent="0.2">
      <c r="A816" s="66">
        <f t="shared" si="38"/>
      </c>
      <c r="B816" s="4"/>
      <c r="C816" s="4"/>
      <c r="D816" s="4"/>
      <c r="E816" s="4"/>
      <c r="F816" s="24"/>
      <c r="G816" s="8"/>
      <c r="H816" s="9"/>
      <c r="I816" s="8"/>
      <c r="J816" s="10"/>
      <c r="K816" s="8"/>
      <c r="L816" s="8"/>
      <c r="M816" s="8"/>
      <c r="N816" s="11"/>
      <c r="O816" s="9"/>
      <c r="P816" s="12"/>
      <c r="Q816" s="9"/>
      <c r="R816" s="13"/>
      <c r="S816" s="11"/>
      <c r="T816" s="11"/>
      <c r="U816" s="9"/>
      <c r="V816" s="9"/>
      <c r="W816" s="9"/>
      <c r="X816" s="16"/>
      <c r="AF816" s="42">
        <f>IF(BUSCAR!$C$8="FECHA NAC.",$G816,IF(BUSCAR!$C$8="PASAPORTE EXPIRA",$J816,IF(BUSCAR!$C$8="LICENCIA EMISION",$L816,IF(BUSCAR!$C$8="LICENCIA EXPIRA",$M816,""))))</f>
      </c>
      <c r="AG816" s="42">
        <f>IF($B816&amp;$C816&amp;$D816&amp;$E816&amp;$H816="",0,IF(AND(OR(BUSCAR!$J$5="",ISNUMBER(SEARCH(BUSCAR!$J$5,$AI816))),OR(BUSCAR!$J$6="",ISNUMBER(SEARCH(BUSCAR!$J$6,$AI816))),OR(BUSCAR!$J$8="",ISNUMBER(SEARCH(BUSCAR!$J$8,$AI816))),OR(BUSCAR!$J$9="",ISNUMBER(SEARCH(BUSCAR!$J$9,$AI816))),OR(NOT(BUSCAR!$J$2),AND(ISNUMBER($AF816),$AF816&gt;=BUSCAR!$J$3,$AF816&lt;=BUSCAR!$J$4))),1,0))</f>
      </c>
      <c r="AH816" s="42">
        <f t="shared" si="36"/>
      </c>
      <c r="AI816" s="42">
        <f t="shared" si="37"/>
      </c>
    </row>
    <row r="817" spans="1:35" x14ac:dyDescent="0.2">
      <c r="A817" s="66">
        <f t="shared" si="38"/>
      </c>
      <c r="B817" s="4"/>
      <c r="C817" s="4"/>
      <c r="D817" s="4"/>
      <c r="E817" s="4"/>
      <c r="F817" s="24"/>
      <c r="G817" s="8"/>
      <c r="H817" s="9"/>
      <c r="I817" s="8"/>
      <c r="J817" s="10"/>
      <c r="K817" s="8"/>
      <c r="L817" s="8"/>
      <c r="M817" s="8"/>
      <c r="N817" s="11"/>
      <c r="O817" s="9"/>
      <c r="P817" s="12"/>
      <c r="Q817" s="9"/>
      <c r="R817" s="13"/>
      <c r="S817" s="11"/>
      <c r="T817" s="11"/>
      <c r="U817" s="9"/>
      <c r="V817" s="9"/>
      <c r="W817" s="9"/>
      <c r="X817" s="16"/>
      <c r="AF817" s="42">
        <f>IF(BUSCAR!$C$8="FECHA NAC.",$G817,IF(BUSCAR!$C$8="PASAPORTE EXPIRA",$J817,IF(BUSCAR!$C$8="LICENCIA EMISION",$L817,IF(BUSCAR!$C$8="LICENCIA EXPIRA",$M817,""))))</f>
      </c>
      <c r="AG817" s="42">
        <f>IF($B817&amp;$C817&amp;$D817&amp;$E817&amp;$H817="",0,IF(AND(OR(BUSCAR!$J$5="",ISNUMBER(SEARCH(BUSCAR!$J$5,$AI817))),OR(BUSCAR!$J$6="",ISNUMBER(SEARCH(BUSCAR!$J$6,$AI817))),OR(BUSCAR!$J$8="",ISNUMBER(SEARCH(BUSCAR!$J$8,$AI817))),OR(BUSCAR!$J$9="",ISNUMBER(SEARCH(BUSCAR!$J$9,$AI817))),OR(NOT(BUSCAR!$J$2),AND(ISNUMBER($AF817),$AF817&gt;=BUSCAR!$J$3,$AF817&lt;=BUSCAR!$J$4))),1,0))</f>
      </c>
      <c r="AH817" s="42">
        <f t="shared" si="36"/>
      </c>
      <c r="AI817" s="42">
        <f t="shared" si="37"/>
      </c>
    </row>
    <row r="818" spans="1:35" x14ac:dyDescent="0.2">
      <c r="A818" s="66">
        <f t="shared" si="38"/>
      </c>
      <c r="B818" s="4"/>
      <c r="C818" s="4"/>
      <c r="D818" s="4"/>
      <c r="E818" s="4"/>
      <c r="F818" s="24"/>
      <c r="G818" s="8"/>
      <c r="H818" s="9"/>
      <c r="I818" s="8"/>
      <c r="J818" s="10"/>
      <c r="K818" s="8"/>
      <c r="L818" s="8"/>
      <c r="M818" s="8"/>
      <c r="N818" s="11"/>
      <c r="O818" s="9"/>
      <c r="P818" s="12"/>
      <c r="Q818" s="9"/>
      <c r="R818" s="13"/>
      <c r="S818" s="11"/>
      <c r="T818" s="11"/>
      <c r="U818" s="9"/>
      <c r="V818" s="9"/>
      <c r="W818" s="9"/>
      <c r="X818" s="16"/>
      <c r="AF818" s="42">
        <f>IF(BUSCAR!$C$8="FECHA NAC.",$G818,IF(BUSCAR!$C$8="PASAPORTE EXPIRA",$J818,IF(BUSCAR!$C$8="LICENCIA EMISION",$L818,IF(BUSCAR!$C$8="LICENCIA EXPIRA",$M818,""))))</f>
      </c>
      <c r="AG818" s="42">
        <f>IF($B818&amp;$C818&amp;$D818&amp;$E818&amp;$H818="",0,IF(AND(OR(BUSCAR!$J$5="",ISNUMBER(SEARCH(BUSCAR!$J$5,$AI818))),OR(BUSCAR!$J$6="",ISNUMBER(SEARCH(BUSCAR!$J$6,$AI818))),OR(BUSCAR!$J$8="",ISNUMBER(SEARCH(BUSCAR!$J$8,$AI818))),OR(BUSCAR!$J$9="",ISNUMBER(SEARCH(BUSCAR!$J$9,$AI818))),OR(NOT(BUSCAR!$J$2),AND(ISNUMBER($AF818),$AF818&gt;=BUSCAR!$J$3,$AF818&lt;=BUSCAR!$J$4))),1,0))</f>
      </c>
      <c r="AH818" s="42">
        <f t="shared" si="36"/>
      </c>
      <c r="AI818" s="42">
        <f t="shared" si="37"/>
      </c>
    </row>
    <row r="819" spans="1:35" x14ac:dyDescent="0.2">
      <c r="A819" s="66">
        <f t="shared" si="38"/>
      </c>
      <c r="B819" s="4"/>
      <c r="C819" s="4"/>
      <c r="D819" s="4"/>
      <c r="E819" s="4"/>
      <c r="F819" s="24"/>
      <c r="G819" s="8"/>
      <c r="H819" s="9"/>
      <c r="I819" s="8"/>
      <c r="J819" s="10"/>
      <c r="K819" s="8"/>
      <c r="L819" s="8"/>
      <c r="M819" s="8"/>
      <c r="N819" s="11"/>
      <c r="O819" s="9"/>
      <c r="P819" s="12"/>
      <c r="Q819" s="9"/>
      <c r="R819" s="13"/>
      <c r="S819" s="11"/>
      <c r="T819" s="11"/>
      <c r="U819" s="9"/>
      <c r="V819" s="9"/>
      <c r="W819" s="9"/>
      <c r="X819" s="16"/>
      <c r="AF819" s="42">
        <f>IF(BUSCAR!$C$8="FECHA NAC.",$G819,IF(BUSCAR!$C$8="PASAPORTE EXPIRA",$J819,IF(BUSCAR!$C$8="LICENCIA EMISION",$L819,IF(BUSCAR!$C$8="LICENCIA EXPIRA",$M819,""))))</f>
      </c>
      <c r="AG819" s="42">
        <f>IF($B819&amp;$C819&amp;$D819&amp;$E819&amp;$H819="",0,IF(AND(OR(BUSCAR!$J$5="",ISNUMBER(SEARCH(BUSCAR!$J$5,$AI819))),OR(BUSCAR!$J$6="",ISNUMBER(SEARCH(BUSCAR!$J$6,$AI819))),OR(BUSCAR!$J$8="",ISNUMBER(SEARCH(BUSCAR!$J$8,$AI819))),OR(BUSCAR!$J$9="",ISNUMBER(SEARCH(BUSCAR!$J$9,$AI819))),OR(NOT(BUSCAR!$J$2),AND(ISNUMBER($AF819),$AF819&gt;=BUSCAR!$J$3,$AF819&lt;=BUSCAR!$J$4))),1,0))</f>
      </c>
      <c r="AH819" s="42">
        <f t="shared" si="36"/>
      </c>
      <c r="AI819" s="42">
        <f t="shared" si="37"/>
      </c>
    </row>
    <row r="820" spans="1:35" x14ac:dyDescent="0.2">
      <c r="A820" s="66">
        <f t="shared" si="38"/>
      </c>
      <c r="B820" s="4"/>
      <c r="C820" s="4"/>
      <c r="D820" s="4"/>
      <c r="E820" s="4"/>
      <c r="F820" s="24"/>
      <c r="G820" s="8"/>
      <c r="H820" s="9"/>
      <c r="I820" s="8"/>
      <c r="J820" s="10"/>
      <c r="K820" s="8"/>
      <c r="L820" s="8"/>
      <c r="M820" s="8"/>
      <c r="N820" s="11"/>
      <c r="O820" s="9"/>
      <c r="P820" s="12"/>
      <c r="Q820" s="9"/>
      <c r="R820" s="13"/>
      <c r="S820" s="11"/>
      <c r="T820" s="11"/>
      <c r="U820" s="9"/>
      <c r="V820" s="9"/>
      <c r="W820" s="9"/>
      <c r="X820" s="16"/>
      <c r="AF820" s="42">
        <f>IF(BUSCAR!$C$8="FECHA NAC.",$G820,IF(BUSCAR!$C$8="PASAPORTE EXPIRA",$J820,IF(BUSCAR!$C$8="LICENCIA EMISION",$L820,IF(BUSCAR!$C$8="LICENCIA EXPIRA",$M820,""))))</f>
      </c>
      <c r="AG820" s="42">
        <f>IF($B820&amp;$C820&amp;$D820&amp;$E820&amp;$H820="",0,IF(AND(OR(BUSCAR!$J$5="",ISNUMBER(SEARCH(BUSCAR!$J$5,$AI820))),OR(BUSCAR!$J$6="",ISNUMBER(SEARCH(BUSCAR!$J$6,$AI820))),OR(BUSCAR!$J$8="",ISNUMBER(SEARCH(BUSCAR!$J$8,$AI820))),OR(BUSCAR!$J$9="",ISNUMBER(SEARCH(BUSCAR!$J$9,$AI820))),OR(NOT(BUSCAR!$J$2),AND(ISNUMBER($AF820),$AF820&gt;=BUSCAR!$J$3,$AF820&lt;=BUSCAR!$J$4))),1,0))</f>
      </c>
      <c r="AH820" s="42">
        <f t="shared" si="36"/>
      </c>
      <c r="AI820" s="42">
        <f t="shared" si="37"/>
      </c>
    </row>
    <row r="821" spans="1:35" x14ac:dyDescent="0.2">
      <c r="A821" s="66">
        <f t="shared" si="38"/>
      </c>
      <c r="B821" s="4"/>
      <c r="C821" s="4"/>
      <c r="D821" s="4"/>
      <c r="E821" s="4"/>
      <c r="F821" s="24"/>
      <c r="G821" s="8"/>
      <c r="H821" s="9"/>
      <c r="I821" s="8"/>
      <c r="J821" s="10"/>
      <c r="K821" s="8"/>
      <c r="L821" s="8"/>
      <c r="M821" s="8"/>
      <c r="N821" s="11"/>
      <c r="O821" s="9"/>
      <c r="P821" s="12"/>
      <c r="Q821" s="9"/>
      <c r="R821" s="13"/>
      <c r="S821" s="11"/>
      <c r="T821" s="11"/>
      <c r="U821" s="9"/>
      <c r="V821" s="9"/>
      <c r="W821" s="9"/>
      <c r="X821" s="16"/>
      <c r="AF821" s="42">
        <f>IF(BUSCAR!$C$8="FECHA NAC.",$G821,IF(BUSCAR!$C$8="PASAPORTE EXPIRA",$J821,IF(BUSCAR!$C$8="LICENCIA EMISION",$L821,IF(BUSCAR!$C$8="LICENCIA EXPIRA",$M821,""))))</f>
      </c>
      <c r="AG821" s="42">
        <f>IF($B821&amp;$C821&amp;$D821&amp;$E821&amp;$H821="",0,IF(AND(OR(BUSCAR!$J$5="",ISNUMBER(SEARCH(BUSCAR!$J$5,$AI821))),OR(BUSCAR!$J$6="",ISNUMBER(SEARCH(BUSCAR!$J$6,$AI821))),OR(BUSCAR!$J$8="",ISNUMBER(SEARCH(BUSCAR!$J$8,$AI821))),OR(BUSCAR!$J$9="",ISNUMBER(SEARCH(BUSCAR!$J$9,$AI821))),OR(NOT(BUSCAR!$J$2),AND(ISNUMBER($AF821),$AF821&gt;=BUSCAR!$J$3,$AF821&lt;=BUSCAR!$J$4))),1,0))</f>
      </c>
      <c r="AH821" s="42">
        <f t="shared" si="36"/>
      </c>
      <c r="AI821" s="42">
        <f t="shared" si="37"/>
      </c>
    </row>
    <row r="822" spans="1:35" x14ac:dyDescent="0.2">
      <c r="A822" s="66">
        <f t="shared" si="38"/>
      </c>
      <c r="B822" s="4"/>
      <c r="C822" s="4"/>
      <c r="D822" s="4"/>
      <c r="E822" s="4"/>
      <c r="F822" s="24"/>
      <c r="G822" s="8"/>
      <c r="H822" s="9"/>
      <c r="I822" s="8"/>
      <c r="J822" s="10"/>
      <c r="K822" s="9"/>
      <c r="L822" s="8"/>
      <c r="M822" s="8"/>
      <c r="N822" s="11"/>
      <c r="O822" s="9"/>
      <c r="P822" s="12"/>
      <c r="Q822" s="9"/>
      <c r="R822" s="13"/>
      <c r="S822" s="11"/>
      <c r="T822" s="11"/>
      <c r="U822" s="9"/>
      <c r="V822" s="9"/>
      <c r="W822" s="9"/>
      <c r="X822" s="16"/>
      <c r="AF822" s="42">
        <f>IF(BUSCAR!$C$8="FECHA NAC.",$G822,IF(BUSCAR!$C$8="PASAPORTE EXPIRA",$J822,IF(BUSCAR!$C$8="LICENCIA EMISION",$L822,IF(BUSCAR!$C$8="LICENCIA EXPIRA",$M822,""))))</f>
      </c>
      <c r="AG822" s="42">
        <f>IF($B822&amp;$C822&amp;$D822&amp;$E822&amp;$H822="",0,IF(AND(OR(BUSCAR!$J$5="",ISNUMBER(SEARCH(BUSCAR!$J$5,$AI822))),OR(BUSCAR!$J$6="",ISNUMBER(SEARCH(BUSCAR!$J$6,$AI822))),OR(BUSCAR!$J$8="",ISNUMBER(SEARCH(BUSCAR!$J$8,$AI822))),OR(BUSCAR!$J$9="",ISNUMBER(SEARCH(BUSCAR!$J$9,$AI822))),OR(NOT(BUSCAR!$J$2),AND(ISNUMBER($AF822),$AF822&gt;=BUSCAR!$J$3,$AF822&lt;=BUSCAR!$J$4))),1,0))</f>
      </c>
      <c r="AH822" s="42">
        <f t="shared" si="36"/>
      </c>
      <c r="AI822" s="42">
        <f t="shared" si="37"/>
      </c>
    </row>
    <row r="823" spans="1:35" x14ac:dyDescent="0.2">
      <c r="A823" s="66">
        <f t="shared" si="38"/>
      </c>
      <c r="B823" s="4"/>
      <c r="C823" s="4"/>
      <c r="D823" s="4"/>
      <c r="E823" s="4"/>
      <c r="F823" s="24"/>
      <c r="G823" s="8"/>
      <c r="H823" s="9"/>
      <c r="I823" s="8"/>
      <c r="J823" s="10"/>
      <c r="K823" s="8"/>
      <c r="L823" s="8"/>
      <c r="M823" s="8"/>
      <c r="N823" s="11"/>
      <c r="O823" s="9"/>
      <c r="P823" s="12"/>
      <c r="Q823" s="9"/>
      <c r="R823" s="13"/>
      <c r="S823" s="11"/>
      <c r="T823" s="11"/>
      <c r="U823" s="9"/>
      <c r="V823" s="9"/>
      <c r="W823" s="9"/>
      <c r="X823" s="16"/>
      <c r="AF823" s="42">
        <f>IF(BUSCAR!$C$8="FECHA NAC.",$G823,IF(BUSCAR!$C$8="PASAPORTE EXPIRA",$J823,IF(BUSCAR!$C$8="LICENCIA EMISION",$L823,IF(BUSCAR!$C$8="LICENCIA EXPIRA",$M823,""))))</f>
      </c>
      <c r="AG823" s="42">
        <f>IF($B823&amp;$C823&amp;$D823&amp;$E823&amp;$H823="",0,IF(AND(OR(BUSCAR!$J$5="",ISNUMBER(SEARCH(BUSCAR!$J$5,$AI823))),OR(BUSCAR!$J$6="",ISNUMBER(SEARCH(BUSCAR!$J$6,$AI823))),OR(BUSCAR!$J$8="",ISNUMBER(SEARCH(BUSCAR!$J$8,$AI823))),OR(BUSCAR!$J$9="",ISNUMBER(SEARCH(BUSCAR!$J$9,$AI823))),OR(NOT(BUSCAR!$J$2),AND(ISNUMBER($AF823),$AF823&gt;=BUSCAR!$J$3,$AF823&lt;=BUSCAR!$J$4))),1,0))</f>
      </c>
      <c r="AH823" s="42">
        <f t="shared" si="36"/>
      </c>
      <c r="AI823" s="42">
        <f t="shared" si="37"/>
      </c>
    </row>
    <row r="824" spans="1:35" x14ac:dyDescent="0.2">
      <c r="A824" s="66">
        <f t="shared" si="38"/>
      </c>
      <c r="B824" s="4"/>
      <c r="C824" s="4"/>
      <c r="D824" s="4"/>
      <c r="E824" s="4"/>
      <c r="F824" s="24"/>
      <c r="G824" s="8"/>
      <c r="H824" s="9"/>
      <c r="I824" s="8"/>
      <c r="J824" s="10"/>
      <c r="K824" s="8"/>
      <c r="L824" s="8"/>
      <c r="M824" s="8"/>
      <c r="N824" s="11"/>
      <c r="O824" s="9"/>
      <c r="P824" s="12"/>
      <c r="Q824" s="9"/>
      <c r="R824" s="13"/>
      <c r="S824" s="11"/>
      <c r="T824" s="11"/>
      <c r="U824" s="9"/>
      <c r="V824" s="9"/>
      <c r="W824" s="9"/>
      <c r="X824" s="16"/>
      <c r="AF824" s="42">
        <f>IF(BUSCAR!$C$8="FECHA NAC.",$G824,IF(BUSCAR!$C$8="PASAPORTE EXPIRA",$J824,IF(BUSCAR!$C$8="LICENCIA EMISION",$L824,IF(BUSCAR!$C$8="LICENCIA EXPIRA",$M824,""))))</f>
      </c>
      <c r="AG824" s="42">
        <f>IF($B824&amp;$C824&amp;$D824&amp;$E824&amp;$H824="",0,IF(AND(OR(BUSCAR!$J$5="",ISNUMBER(SEARCH(BUSCAR!$J$5,$AI824))),OR(BUSCAR!$J$6="",ISNUMBER(SEARCH(BUSCAR!$J$6,$AI824))),OR(BUSCAR!$J$8="",ISNUMBER(SEARCH(BUSCAR!$J$8,$AI824))),OR(BUSCAR!$J$9="",ISNUMBER(SEARCH(BUSCAR!$J$9,$AI824))),OR(NOT(BUSCAR!$J$2),AND(ISNUMBER($AF824),$AF824&gt;=BUSCAR!$J$3,$AF824&lt;=BUSCAR!$J$4))),1,0))</f>
      </c>
      <c r="AH824" s="42">
        <f t="shared" si="36"/>
      </c>
      <c r="AI824" s="42">
        <f t="shared" si="37"/>
      </c>
    </row>
    <row r="825" spans="1:35" x14ac:dyDescent="0.2">
      <c r="A825" s="66">
        <f t="shared" si="38"/>
      </c>
      <c r="B825" s="4"/>
      <c r="C825" s="4"/>
      <c r="D825" s="4"/>
      <c r="E825" s="4"/>
      <c r="F825" s="24"/>
      <c r="G825" s="8"/>
      <c r="H825" s="9"/>
      <c r="I825" s="8"/>
      <c r="J825" s="10"/>
      <c r="K825" s="8"/>
      <c r="L825" s="8"/>
      <c r="M825" s="8"/>
      <c r="N825" s="11"/>
      <c r="O825" s="9"/>
      <c r="P825" s="12"/>
      <c r="Q825" s="9"/>
      <c r="R825" s="13"/>
      <c r="S825" s="11"/>
      <c r="T825" s="11"/>
      <c r="U825" s="9"/>
      <c r="V825" s="9"/>
      <c r="W825" s="9"/>
      <c r="X825" s="16"/>
      <c r="AF825" s="42">
        <f>IF(BUSCAR!$C$8="FECHA NAC.",$G825,IF(BUSCAR!$C$8="PASAPORTE EXPIRA",$J825,IF(BUSCAR!$C$8="LICENCIA EMISION",$L825,IF(BUSCAR!$C$8="LICENCIA EXPIRA",$M825,""))))</f>
      </c>
      <c r="AG825" s="42">
        <f>IF($B825&amp;$C825&amp;$D825&amp;$E825&amp;$H825="",0,IF(AND(OR(BUSCAR!$J$5="",ISNUMBER(SEARCH(BUSCAR!$J$5,$AI825))),OR(BUSCAR!$J$6="",ISNUMBER(SEARCH(BUSCAR!$J$6,$AI825))),OR(BUSCAR!$J$8="",ISNUMBER(SEARCH(BUSCAR!$J$8,$AI825))),OR(BUSCAR!$J$9="",ISNUMBER(SEARCH(BUSCAR!$J$9,$AI825))),OR(NOT(BUSCAR!$J$2),AND(ISNUMBER($AF825),$AF825&gt;=BUSCAR!$J$3,$AF825&lt;=BUSCAR!$J$4))),1,0))</f>
      </c>
      <c r="AH825" s="42">
        <f t="shared" si="36"/>
      </c>
      <c r="AI825" s="42">
        <f t="shared" si="37"/>
      </c>
    </row>
    <row r="826" spans="1:35" x14ac:dyDescent="0.2">
      <c r="A826" s="66">
        <f t="shared" si="38"/>
      </c>
      <c r="B826" s="4"/>
      <c r="C826" s="4"/>
      <c r="D826" s="4"/>
      <c r="E826" s="4"/>
      <c r="F826" s="24"/>
      <c r="G826" s="8"/>
      <c r="H826" s="9"/>
      <c r="I826" s="8"/>
      <c r="J826" s="10"/>
      <c r="K826" s="8"/>
      <c r="L826" s="8"/>
      <c r="M826" s="8"/>
      <c r="N826" s="11"/>
      <c r="O826" s="9"/>
      <c r="P826" s="12"/>
      <c r="Q826" s="9"/>
      <c r="R826" s="13"/>
      <c r="S826" s="11"/>
      <c r="T826" s="11"/>
      <c r="U826" s="9"/>
      <c r="V826" s="9"/>
      <c r="W826" s="9"/>
      <c r="X826" s="16"/>
      <c r="AF826" s="42">
        <f>IF(BUSCAR!$C$8="FECHA NAC.",$G826,IF(BUSCAR!$C$8="PASAPORTE EXPIRA",$J826,IF(BUSCAR!$C$8="LICENCIA EMISION",$L826,IF(BUSCAR!$C$8="LICENCIA EXPIRA",$M826,""))))</f>
      </c>
      <c r="AG826" s="42">
        <f>IF($B826&amp;$C826&amp;$D826&amp;$E826&amp;$H826="",0,IF(AND(OR(BUSCAR!$J$5="",ISNUMBER(SEARCH(BUSCAR!$J$5,$AI826))),OR(BUSCAR!$J$6="",ISNUMBER(SEARCH(BUSCAR!$J$6,$AI826))),OR(BUSCAR!$J$8="",ISNUMBER(SEARCH(BUSCAR!$J$8,$AI826))),OR(BUSCAR!$J$9="",ISNUMBER(SEARCH(BUSCAR!$J$9,$AI826))),OR(NOT(BUSCAR!$J$2),AND(ISNUMBER($AF826),$AF826&gt;=BUSCAR!$J$3,$AF826&lt;=BUSCAR!$J$4))),1,0))</f>
      </c>
      <c r="AH826" s="42">
        <f t="shared" si="36"/>
      </c>
      <c r="AI826" s="42">
        <f t="shared" si="37"/>
      </c>
    </row>
    <row r="827" spans="1:35" x14ac:dyDescent="0.2">
      <c r="A827" s="66">
        <f t="shared" si="38"/>
      </c>
      <c r="B827" s="4"/>
      <c r="C827" s="4"/>
      <c r="D827" s="4"/>
      <c r="E827" s="4"/>
      <c r="F827" s="24"/>
      <c r="G827" s="8"/>
      <c r="H827" s="9"/>
      <c r="I827" s="8"/>
      <c r="J827" s="10"/>
      <c r="K827" s="8"/>
      <c r="L827" s="8"/>
      <c r="M827" s="8"/>
      <c r="N827" s="11"/>
      <c r="O827" s="9"/>
      <c r="P827" s="12"/>
      <c r="Q827" s="9"/>
      <c r="R827" s="13"/>
      <c r="S827" s="11"/>
      <c r="T827" s="11"/>
      <c r="U827" s="9"/>
      <c r="V827" s="9"/>
      <c r="W827" s="9"/>
      <c r="X827" s="16"/>
      <c r="AF827" s="42">
        <f>IF(BUSCAR!$C$8="FECHA NAC.",$G827,IF(BUSCAR!$C$8="PASAPORTE EXPIRA",$J827,IF(BUSCAR!$C$8="LICENCIA EMISION",$L827,IF(BUSCAR!$C$8="LICENCIA EXPIRA",$M827,""))))</f>
      </c>
      <c r="AG827" s="42">
        <f>IF($B827&amp;$C827&amp;$D827&amp;$E827&amp;$H827="",0,IF(AND(OR(BUSCAR!$J$5="",ISNUMBER(SEARCH(BUSCAR!$J$5,$AI827))),OR(BUSCAR!$J$6="",ISNUMBER(SEARCH(BUSCAR!$J$6,$AI827))),OR(BUSCAR!$J$8="",ISNUMBER(SEARCH(BUSCAR!$J$8,$AI827))),OR(BUSCAR!$J$9="",ISNUMBER(SEARCH(BUSCAR!$J$9,$AI827))),OR(NOT(BUSCAR!$J$2),AND(ISNUMBER($AF827),$AF827&gt;=BUSCAR!$J$3,$AF827&lt;=BUSCAR!$J$4))),1,0))</f>
      </c>
      <c r="AH827" s="42">
        <f t="shared" si="36"/>
      </c>
      <c r="AI827" s="42">
        <f t="shared" si="37"/>
      </c>
    </row>
    <row r="828" spans="1:35" x14ac:dyDescent="0.2">
      <c r="A828" s="66">
        <f t="shared" si="38"/>
      </c>
      <c r="B828" s="4"/>
      <c r="C828" s="4"/>
      <c r="D828" s="4"/>
      <c r="E828" s="4"/>
      <c r="F828" s="24"/>
      <c r="G828" s="8"/>
      <c r="H828" s="9"/>
      <c r="I828" s="8"/>
      <c r="J828" s="10"/>
      <c r="K828" s="8"/>
      <c r="L828" s="8"/>
      <c r="M828" s="8"/>
      <c r="N828" s="11"/>
      <c r="O828" s="9"/>
      <c r="P828" s="12"/>
      <c r="Q828" s="9"/>
      <c r="R828" s="13"/>
      <c r="S828" s="11"/>
      <c r="T828" s="11"/>
      <c r="U828" s="9"/>
      <c r="V828" s="9"/>
      <c r="W828" s="9"/>
      <c r="X828" s="16"/>
      <c r="AF828" s="42">
        <f>IF(BUSCAR!$C$8="FECHA NAC.",$G828,IF(BUSCAR!$C$8="PASAPORTE EXPIRA",$J828,IF(BUSCAR!$C$8="LICENCIA EMISION",$L828,IF(BUSCAR!$C$8="LICENCIA EXPIRA",$M828,""))))</f>
      </c>
      <c r="AG828" s="42">
        <f>IF($B828&amp;$C828&amp;$D828&amp;$E828&amp;$H828="",0,IF(AND(OR(BUSCAR!$J$5="",ISNUMBER(SEARCH(BUSCAR!$J$5,$AI828))),OR(BUSCAR!$J$6="",ISNUMBER(SEARCH(BUSCAR!$J$6,$AI828))),OR(BUSCAR!$J$8="",ISNUMBER(SEARCH(BUSCAR!$J$8,$AI828))),OR(BUSCAR!$J$9="",ISNUMBER(SEARCH(BUSCAR!$J$9,$AI828))),OR(NOT(BUSCAR!$J$2),AND(ISNUMBER($AF828),$AF828&gt;=BUSCAR!$J$3,$AF828&lt;=BUSCAR!$J$4))),1,0))</f>
      </c>
      <c r="AH828" s="42">
        <f t="shared" si="36"/>
      </c>
      <c r="AI828" s="42">
        <f t="shared" si="37"/>
      </c>
    </row>
    <row r="829" spans="1:35" x14ac:dyDescent="0.2">
      <c r="A829" s="66">
        <f t="shared" si="38"/>
      </c>
      <c r="B829" s="4"/>
      <c r="C829" s="4"/>
      <c r="D829" s="4"/>
      <c r="E829" s="4"/>
      <c r="F829" s="24"/>
      <c r="G829" s="8"/>
      <c r="H829" s="9"/>
      <c r="I829" s="8"/>
      <c r="J829" s="10"/>
      <c r="K829" s="8"/>
      <c r="L829" s="8"/>
      <c r="M829" s="8"/>
      <c r="N829" s="11"/>
      <c r="O829" s="9"/>
      <c r="P829" s="12"/>
      <c r="Q829" s="9"/>
      <c r="R829" s="13"/>
      <c r="S829" s="11"/>
      <c r="T829" s="11"/>
      <c r="U829" s="9"/>
      <c r="V829" s="9"/>
      <c r="W829" s="9"/>
      <c r="X829" s="16"/>
      <c r="AF829" s="42">
        <f>IF(BUSCAR!$C$8="FECHA NAC.",$G829,IF(BUSCAR!$C$8="PASAPORTE EXPIRA",$J829,IF(BUSCAR!$C$8="LICENCIA EMISION",$L829,IF(BUSCAR!$C$8="LICENCIA EXPIRA",$M829,""))))</f>
      </c>
      <c r="AG829" s="42">
        <f>IF($B829&amp;$C829&amp;$D829&amp;$E829&amp;$H829="",0,IF(AND(OR(BUSCAR!$J$5="",ISNUMBER(SEARCH(BUSCAR!$J$5,$AI829))),OR(BUSCAR!$J$6="",ISNUMBER(SEARCH(BUSCAR!$J$6,$AI829))),OR(BUSCAR!$J$8="",ISNUMBER(SEARCH(BUSCAR!$J$8,$AI829))),OR(BUSCAR!$J$9="",ISNUMBER(SEARCH(BUSCAR!$J$9,$AI829))),OR(NOT(BUSCAR!$J$2),AND(ISNUMBER($AF829),$AF829&gt;=BUSCAR!$J$3,$AF829&lt;=BUSCAR!$J$4))),1,0))</f>
      </c>
      <c r="AH829" s="42">
        <f t="shared" si="36"/>
      </c>
      <c r="AI829" s="42">
        <f t="shared" si="37"/>
      </c>
    </row>
    <row r="830" spans="1:35" x14ac:dyDescent="0.2">
      <c r="A830" s="66">
        <f t="shared" si="38"/>
      </c>
      <c r="B830" s="4"/>
      <c r="C830" s="4"/>
      <c r="D830" s="4"/>
      <c r="E830" s="4"/>
      <c r="F830" s="24"/>
      <c r="G830" s="8"/>
      <c r="H830" s="9"/>
      <c r="I830" s="8"/>
      <c r="J830" s="10"/>
      <c r="K830" s="8"/>
      <c r="L830" s="8"/>
      <c r="M830" s="8"/>
      <c r="N830" s="11"/>
      <c r="O830" s="9"/>
      <c r="P830" s="12"/>
      <c r="Q830" s="9"/>
      <c r="R830" s="13"/>
      <c r="S830" s="11"/>
      <c r="T830" s="11"/>
      <c r="U830" s="9"/>
      <c r="V830" s="9"/>
      <c r="W830" s="9"/>
      <c r="X830" s="16"/>
      <c r="AF830" s="42">
        <f>IF(BUSCAR!$C$8="FECHA NAC.",$G830,IF(BUSCAR!$C$8="PASAPORTE EXPIRA",$J830,IF(BUSCAR!$C$8="LICENCIA EMISION",$L830,IF(BUSCAR!$C$8="LICENCIA EXPIRA",$M830,""))))</f>
      </c>
      <c r="AG830" s="42">
        <f>IF($B830&amp;$C830&amp;$D830&amp;$E830&amp;$H830="",0,IF(AND(OR(BUSCAR!$J$5="",ISNUMBER(SEARCH(BUSCAR!$J$5,$AI830))),OR(BUSCAR!$J$6="",ISNUMBER(SEARCH(BUSCAR!$J$6,$AI830))),OR(BUSCAR!$J$8="",ISNUMBER(SEARCH(BUSCAR!$J$8,$AI830))),OR(BUSCAR!$J$9="",ISNUMBER(SEARCH(BUSCAR!$J$9,$AI830))),OR(NOT(BUSCAR!$J$2),AND(ISNUMBER($AF830),$AF830&gt;=BUSCAR!$J$3,$AF830&lt;=BUSCAR!$J$4))),1,0))</f>
      </c>
      <c r="AH830" s="42">
        <f t="shared" si="36"/>
      </c>
      <c r="AI830" s="42">
        <f t="shared" si="37"/>
      </c>
    </row>
    <row r="831" spans="1:35" x14ac:dyDescent="0.2">
      <c r="A831" s="66">
        <f t="shared" si="38"/>
      </c>
      <c r="B831" s="4"/>
      <c r="C831" s="4"/>
      <c r="D831" s="4"/>
      <c r="E831" s="4"/>
      <c r="F831" s="24"/>
      <c r="G831" s="8"/>
      <c r="H831" s="9"/>
      <c r="I831" s="8"/>
      <c r="J831" s="10"/>
      <c r="K831" s="8"/>
      <c r="L831" s="8"/>
      <c r="M831" s="8"/>
      <c r="N831" s="11"/>
      <c r="O831" s="9"/>
      <c r="P831" s="12"/>
      <c r="Q831" s="9"/>
      <c r="R831" s="13"/>
      <c r="S831" s="11"/>
      <c r="T831" s="11"/>
      <c r="U831" s="9"/>
      <c r="V831" s="9"/>
      <c r="W831" s="9"/>
      <c r="X831" s="16"/>
      <c r="AF831" s="42">
        <f>IF(BUSCAR!$C$8="FECHA NAC.",$G831,IF(BUSCAR!$C$8="PASAPORTE EXPIRA",$J831,IF(BUSCAR!$C$8="LICENCIA EMISION",$L831,IF(BUSCAR!$C$8="LICENCIA EXPIRA",$M831,""))))</f>
      </c>
      <c r="AG831" s="42">
        <f>IF($B831&amp;$C831&amp;$D831&amp;$E831&amp;$H831="",0,IF(AND(OR(BUSCAR!$J$5="",ISNUMBER(SEARCH(BUSCAR!$J$5,$AI831))),OR(BUSCAR!$J$6="",ISNUMBER(SEARCH(BUSCAR!$J$6,$AI831))),OR(BUSCAR!$J$8="",ISNUMBER(SEARCH(BUSCAR!$J$8,$AI831))),OR(BUSCAR!$J$9="",ISNUMBER(SEARCH(BUSCAR!$J$9,$AI831))),OR(NOT(BUSCAR!$J$2),AND(ISNUMBER($AF831),$AF831&gt;=BUSCAR!$J$3,$AF831&lt;=BUSCAR!$J$4))),1,0))</f>
      </c>
      <c r="AH831" s="42">
        <f t="shared" si="36"/>
      </c>
      <c r="AI831" s="42">
        <f t="shared" si="37"/>
      </c>
    </row>
    <row r="832" spans="1:35" x14ac:dyDescent="0.2">
      <c r="A832" s="66">
        <f t="shared" si="38"/>
      </c>
      <c r="B832" s="4"/>
      <c r="C832" s="4"/>
      <c r="D832" s="4"/>
      <c r="E832" s="4"/>
      <c r="F832" s="24"/>
      <c r="G832" s="8"/>
      <c r="H832" s="9"/>
      <c r="I832" s="8"/>
      <c r="J832" s="10"/>
      <c r="K832" s="8"/>
      <c r="L832" s="8"/>
      <c r="M832" s="8"/>
      <c r="N832" s="11"/>
      <c r="O832" s="9"/>
      <c r="P832" s="12"/>
      <c r="Q832" s="9"/>
      <c r="R832" s="13"/>
      <c r="S832" s="11"/>
      <c r="T832" s="11"/>
      <c r="U832" s="9"/>
      <c r="V832" s="9"/>
      <c r="W832" s="9"/>
      <c r="X832" s="16"/>
      <c r="AF832" s="42">
        <f>IF(BUSCAR!$C$8="FECHA NAC.",$G832,IF(BUSCAR!$C$8="PASAPORTE EXPIRA",$J832,IF(BUSCAR!$C$8="LICENCIA EMISION",$L832,IF(BUSCAR!$C$8="LICENCIA EXPIRA",$M832,""))))</f>
      </c>
      <c r="AG832" s="42">
        <f>IF($B832&amp;$C832&amp;$D832&amp;$E832&amp;$H832="",0,IF(AND(OR(BUSCAR!$J$5="",ISNUMBER(SEARCH(BUSCAR!$J$5,$AI832))),OR(BUSCAR!$J$6="",ISNUMBER(SEARCH(BUSCAR!$J$6,$AI832))),OR(BUSCAR!$J$8="",ISNUMBER(SEARCH(BUSCAR!$J$8,$AI832))),OR(BUSCAR!$J$9="",ISNUMBER(SEARCH(BUSCAR!$J$9,$AI832))),OR(NOT(BUSCAR!$J$2),AND(ISNUMBER($AF832),$AF832&gt;=BUSCAR!$J$3,$AF832&lt;=BUSCAR!$J$4))),1,0))</f>
      </c>
      <c r="AH832" s="42">
        <f t="shared" si="36"/>
      </c>
      <c r="AI832" s="42">
        <f t="shared" si="37"/>
      </c>
    </row>
    <row r="833" spans="1:35" x14ac:dyDescent="0.2">
      <c r="A833" s="66">
        <f t="shared" si="38"/>
      </c>
      <c r="B833" s="4"/>
      <c r="C833" s="4"/>
      <c r="D833" s="4"/>
      <c r="E833" s="4"/>
      <c r="F833" s="24"/>
      <c r="G833" s="8"/>
      <c r="H833" s="9"/>
      <c r="I833" s="8"/>
      <c r="J833" s="10"/>
      <c r="K833" s="8"/>
      <c r="L833" s="8"/>
      <c r="M833" s="8"/>
      <c r="N833" s="11"/>
      <c r="O833" s="9"/>
      <c r="P833" s="12"/>
      <c r="Q833" s="9"/>
      <c r="R833" s="13"/>
      <c r="S833" s="11"/>
      <c r="T833" s="11"/>
      <c r="U833" s="9"/>
      <c r="V833" s="9"/>
      <c r="W833" s="9"/>
      <c r="X833" s="16"/>
      <c r="AF833" s="42">
        <f>IF(BUSCAR!$C$8="FECHA NAC.",$G833,IF(BUSCAR!$C$8="PASAPORTE EXPIRA",$J833,IF(BUSCAR!$C$8="LICENCIA EMISION",$L833,IF(BUSCAR!$C$8="LICENCIA EXPIRA",$M833,""))))</f>
      </c>
      <c r="AG833" s="42">
        <f>IF($B833&amp;$C833&amp;$D833&amp;$E833&amp;$H833="",0,IF(AND(OR(BUSCAR!$J$5="",ISNUMBER(SEARCH(BUSCAR!$J$5,$AI833))),OR(BUSCAR!$J$6="",ISNUMBER(SEARCH(BUSCAR!$J$6,$AI833))),OR(BUSCAR!$J$8="",ISNUMBER(SEARCH(BUSCAR!$J$8,$AI833))),OR(BUSCAR!$J$9="",ISNUMBER(SEARCH(BUSCAR!$J$9,$AI833))),OR(NOT(BUSCAR!$J$2),AND(ISNUMBER($AF833),$AF833&gt;=BUSCAR!$J$3,$AF833&lt;=BUSCAR!$J$4))),1,0))</f>
      </c>
      <c r="AH833" s="42">
        <f t="shared" si="36"/>
      </c>
      <c r="AI833" s="42">
        <f t="shared" si="37"/>
      </c>
    </row>
    <row r="834" spans="1:35" x14ac:dyDescent="0.2">
      <c r="A834" s="66">
        <f t="shared" si="38"/>
      </c>
      <c r="B834" s="4"/>
      <c r="C834" s="4"/>
      <c r="D834" s="4"/>
      <c r="E834" s="4"/>
      <c r="F834" s="24"/>
      <c r="G834" s="8"/>
      <c r="H834" s="9"/>
      <c r="I834" s="8"/>
      <c r="J834" s="10"/>
      <c r="K834" s="8"/>
      <c r="L834" s="8"/>
      <c r="M834" s="8"/>
      <c r="N834" s="11"/>
      <c r="O834" s="9"/>
      <c r="P834" s="12"/>
      <c r="Q834" s="9"/>
      <c r="R834" s="13"/>
      <c r="S834" s="11"/>
      <c r="T834" s="11"/>
      <c r="U834" s="9"/>
      <c r="V834" s="9"/>
      <c r="W834" s="9"/>
      <c r="X834" s="16"/>
      <c r="AF834" s="42">
        <f>IF(BUSCAR!$C$8="FECHA NAC.",$G834,IF(BUSCAR!$C$8="PASAPORTE EXPIRA",$J834,IF(BUSCAR!$C$8="LICENCIA EMISION",$L834,IF(BUSCAR!$C$8="LICENCIA EXPIRA",$M834,""))))</f>
      </c>
      <c r="AG834" s="42">
        <f>IF($B834&amp;$C834&amp;$D834&amp;$E834&amp;$H834="",0,IF(AND(OR(BUSCAR!$J$5="",ISNUMBER(SEARCH(BUSCAR!$J$5,$AI834))),OR(BUSCAR!$J$6="",ISNUMBER(SEARCH(BUSCAR!$J$6,$AI834))),OR(BUSCAR!$J$8="",ISNUMBER(SEARCH(BUSCAR!$J$8,$AI834))),OR(BUSCAR!$J$9="",ISNUMBER(SEARCH(BUSCAR!$J$9,$AI834))),OR(NOT(BUSCAR!$J$2),AND(ISNUMBER($AF834),$AF834&gt;=BUSCAR!$J$3,$AF834&lt;=BUSCAR!$J$4))),1,0))</f>
      </c>
      <c r="AH834" s="42">
        <f t="shared" si="36"/>
      </c>
      <c r="AI834" s="42">
        <f t="shared" si="37"/>
      </c>
    </row>
    <row r="835" spans="1:35" x14ac:dyDescent="0.2">
      <c r="A835" s="66">
        <f t="shared" si="38"/>
      </c>
      <c r="B835" s="4"/>
      <c r="C835" s="4"/>
      <c r="D835" s="4"/>
      <c r="E835" s="4"/>
      <c r="F835" s="24"/>
      <c r="G835" s="8"/>
      <c r="H835" s="9"/>
      <c r="I835" s="8"/>
      <c r="J835" s="10"/>
      <c r="K835" s="8"/>
      <c r="L835" s="8"/>
      <c r="M835" s="8"/>
      <c r="N835" s="11"/>
      <c r="O835" s="9"/>
      <c r="P835" s="12"/>
      <c r="Q835" s="9"/>
      <c r="R835" s="13"/>
      <c r="S835" s="11"/>
      <c r="T835" s="11"/>
      <c r="U835" s="9"/>
      <c r="V835" s="9"/>
      <c r="W835" s="9"/>
      <c r="X835" s="16"/>
      <c r="AF835" s="42">
        <f>IF(BUSCAR!$C$8="FECHA NAC.",$G835,IF(BUSCAR!$C$8="PASAPORTE EXPIRA",$J835,IF(BUSCAR!$C$8="LICENCIA EMISION",$L835,IF(BUSCAR!$C$8="LICENCIA EXPIRA",$M835,""))))</f>
      </c>
      <c r="AG835" s="42">
        <f>IF($B835&amp;$C835&amp;$D835&amp;$E835&amp;$H835="",0,IF(AND(OR(BUSCAR!$J$5="",ISNUMBER(SEARCH(BUSCAR!$J$5,$AI835))),OR(BUSCAR!$J$6="",ISNUMBER(SEARCH(BUSCAR!$J$6,$AI835))),OR(BUSCAR!$J$8="",ISNUMBER(SEARCH(BUSCAR!$J$8,$AI835))),OR(BUSCAR!$J$9="",ISNUMBER(SEARCH(BUSCAR!$J$9,$AI835))),OR(NOT(BUSCAR!$J$2),AND(ISNUMBER($AF835),$AF835&gt;=BUSCAR!$J$3,$AF835&lt;=BUSCAR!$J$4))),1,0))</f>
      </c>
      <c r="AH835" s="42">
        <f t="shared" ref="AH835:AH898" si="39">AH834+AG835</f>
      </c>
      <c r="AI835" s="42">
        <f t="shared" ref="AI835:AI898" si="40">IF($B835&amp;" "&amp;$C835&amp;" "&amp;$D835&amp;" "&amp;$E835&amp;" "&amp;$H835&amp;" "&amp;$K835&amp;" "&amp;$R835&amp;" "&amp;$AC835&amp;" "&amp;$AD835="","",SUBSTITUTE(SUBSTITUTE(SUBSTITUTE(SUBSTITUTE(SUBSTITUTE(SUBSTITUTE(SUBSTITUTE(UPPER($B835&amp;" "&amp;$C835&amp;" "&amp;$D835&amp;" "&amp;$E835&amp;" "&amp;$H835&amp;" "&amp;$K835&amp;" "&amp;$R835&amp;" "&amp;$AC835&amp;" "&amp;$AD835),"Á","A"),"É","E"),"Í","I"),"Ó","O"),"Ú","U"),"Ü","U"),"Ñ","N"))</f>
      </c>
    </row>
    <row r="836" spans="1:35" x14ac:dyDescent="0.2">
      <c r="A836" s="66">
        <f t="shared" ref="A836:A899" si="41">A835+1</f>
      </c>
      <c r="B836" s="4"/>
      <c r="C836" s="4"/>
      <c r="D836" s="4"/>
      <c r="E836" s="4"/>
      <c r="F836" s="24"/>
      <c r="G836" s="8"/>
      <c r="H836" s="9"/>
      <c r="I836" s="8"/>
      <c r="J836" s="10"/>
      <c r="K836" s="8"/>
      <c r="L836" s="8"/>
      <c r="M836" s="8"/>
      <c r="N836" s="11"/>
      <c r="O836" s="9"/>
      <c r="P836" s="12"/>
      <c r="Q836" s="9"/>
      <c r="R836" s="13"/>
      <c r="S836" s="11"/>
      <c r="T836" s="11"/>
      <c r="U836" s="9"/>
      <c r="V836" s="9"/>
      <c r="W836" s="9"/>
      <c r="X836" s="16"/>
      <c r="AF836" s="42">
        <f>IF(BUSCAR!$C$8="FECHA NAC.",$G836,IF(BUSCAR!$C$8="PASAPORTE EXPIRA",$J836,IF(BUSCAR!$C$8="LICENCIA EMISION",$L836,IF(BUSCAR!$C$8="LICENCIA EXPIRA",$M836,""))))</f>
      </c>
      <c r="AG836" s="42">
        <f>IF($B836&amp;$C836&amp;$D836&amp;$E836&amp;$H836="",0,IF(AND(OR(BUSCAR!$J$5="",ISNUMBER(SEARCH(BUSCAR!$J$5,$AI836))),OR(BUSCAR!$J$6="",ISNUMBER(SEARCH(BUSCAR!$J$6,$AI836))),OR(BUSCAR!$J$8="",ISNUMBER(SEARCH(BUSCAR!$J$8,$AI836))),OR(BUSCAR!$J$9="",ISNUMBER(SEARCH(BUSCAR!$J$9,$AI836))),OR(NOT(BUSCAR!$J$2),AND(ISNUMBER($AF836),$AF836&gt;=BUSCAR!$J$3,$AF836&lt;=BUSCAR!$J$4))),1,0))</f>
      </c>
      <c r="AH836" s="42">
        <f t="shared" si="39"/>
      </c>
      <c r="AI836" s="42">
        <f t="shared" si="40"/>
      </c>
    </row>
    <row r="837" spans="1:35" x14ac:dyDescent="0.2">
      <c r="A837" s="66">
        <f t="shared" si="41"/>
      </c>
      <c r="B837" s="4"/>
      <c r="C837" s="4"/>
      <c r="D837" s="4"/>
      <c r="E837" s="4"/>
      <c r="F837" s="24"/>
      <c r="G837" s="8"/>
      <c r="H837" s="9"/>
      <c r="I837" s="8"/>
      <c r="J837" s="10"/>
      <c r="K837" s="8"/>
      <c r="L837" s="8"/>
      <c r="M837" s="8"/>
      <c r="N837" s="11"/>
      <c r="O837" s="9"/>
      <c r="P837" s="12"/>
      <c r="Q837" s="9"/>
      <c r="R837" s="13"/>
      <c r="S837" s="11"/>
      <c r="T837" s="11"/>
      <c r="U837" s="9"/>
      <c r="V837" s="9"/>
      <c r="W837" s="9"/>
      <c r="X837" s="16"/>
      <c r="AF837" s="42">
        <f>IF(BUSCAR!$C$8="FECHA NAC.",$G837,IF(BUSCAR!$C$8="PASAPORTE EXPIRA",$J837,IF(BUSCAR!$C$8="LICENCIA EMISION",$L837,IF(BUSCAR!$C$8="LICENCIA EXPIRA",$M837,""))))</f>
      </c>
      <c r="AG837" s="42">
        <f>IF($B837&amp;$C837&amp;$D837&amp;$E837&amp;$H837="",0,IF(AND(OR(BUSCAR!$J$5="",ISNUMBER(SEARCH(BUSCAR!$J$5,$AI837))),OR(BUSCAR!$J$6="",ISNUMBER(SEARCH(BUSCAR!$J$6,$AI837))),OR(BUSCAR!$J$8="",ISNUMBER(SEARCH(BUSCAR!$J$8,$AI837))),OR(BUSCAR!$J$9="",ISNUMBER(SEARCH(BUSCAR!$J$9,$AI837))),OR(NOT(BUSCAR!$J$2),AND(ISNUMBER($AF837),$AF837&gt;=BUSCAR!$J$3,$AF837&lt;=BUSCAR!$J$4))),1,0))</f>
      </c>
      <c r="AH837" s="42">
        <f t="shared" si="39"/>
      </c>
      <c r="AI837" s="42">
        <f t="shared" si="40"/>
      </c>
    </row>
    <row r="838" spans="1:35" x14ac:dyDescent="0.2">
      <c r="A838" s="66">
        <f t="shared" si="41"/>
      </c>
      <c r="B838" s="4"/>
      <c r="C838" s="4"/>
      <c r="D838" s="4"/>
      <c r="E838" s="4"/>
      <c r="F838" s="24"/>
      <c r="G838" s="8"/>
      <c r="H838" s="9"/>
      <c r="I838" s="8"/>
      <c r="J838" s="10"/>
      <c r="K838" s="8"/>
      <c r="L838" s="8"/>
      <c r="M838" s="8"/>
      <c r="N838" s="11"/>
      <c r="O838" s="9"/>
      <c r="P838" s="12"/>
      <c r="Q838" s="9"/>
      <c r="R838" s="13"/>
      <c r="S838" s="11"/>
      <c r="T838" s="11"/>
      <c r="U838" s="9"/>
      <c r="V838" s="9"/>
      <c r="W838" s="9"/>
      <c r="X838" s="16"/>
      <c r="AF838" s="42">
        <f>IF(BUSCAR!$C$8="FECHA NAC.",$G838,IF(BUSCAR!$C$8="PASAPORTE EXPIRA",$J838,IF(BUSCAR!$C$8="LICENCIA EMISION",$L838,IF(BUSCAR!$C$8="LICENCIA EXPIRA",$M838,""))))</f>
      </c>
      <c r="AG838" s="42">
        <f>IF($B838&amp;$C838&amp;$D838&amp;$E838&amp;$H838="",0,IF(AND(OR(BUSCAR!$J$5="",ISNUMBER(SEARCH(BUSCAR!$J$5,$AI838))),OR(BUSCAR!$J$6="",ISNUMBER(SEARCH(BUSCAR!$J$6,$AI838))),OR(BUSCAR!$J$8="",ISNUMBER(SEARCH(BUSCAR!$J$8,$AI838))),OR(BUSCAR!$J$9="",ISNUMBER(SEARCH(BUSCAR!$J$9,$AI838))),OR(NOT(BUSCAR!$J$2),AND(ISNUMBER($AF838),$AF838&gt;=BUSCAR!$J$3,$AF838&lt;=BUSCAR!$J$4))),1,0))</f>
      </c>
      <c r="AH838" s="42">
        <f t="shared" si="39"/>
      </c>
      <c r="AI838" s="42">
        <f t="shared" si="40"/>
      </c>
    </row>
    <row r="839" spans="1:35" x14ac:dyDescent="0.2">
      <c r="A839" s="66">
        <f t="shared" si="41"/>
      </c>
      <c r="B839" s="4"/>
      <c r="C839" s="4"/>
      <c r="D839" s="4"/>
      <c r="E839" s="4"/>
      <c r="F839" s="24"/>
      <c r="G839" s="8"/>
      <c r="H839" s="9"/>
      <c r="I839" s="8"/>
      <c r="J839" s="10"/>
      <c r="K839" s="8"/>
      <c r="L839" s="8"/>
      <c r="M839" s="8"/>
      <c r="N839" s="11"/>
      <c r="O839" s="9"/>
      <c r="P839" s="12"/>
      <c r="Q839" s="9"/>
      <c r="R839" s="13"/>
      <c r="S839" s="11"/>
      <c r="T839" s="11"/>
      <c r="U839" s="9"/>
      <c r="V839" s="9"/>
      <c r="W839" s="9"/>
      <c r="X839" s="16"/>
      <c r="AF839" s="42">
        <f>IF(BUSCAR!$C$8="FECHA NAC.",$G839,IF(BUSCAR!$C$8="PASAPORTE EXPIRA",$J839,IF(BUSCAR!$C$8="LICENCIA EMISION",$L839,IF(BUSCAR!$C$8="LICENCIA EXPIRA",$M839,""))))</f>
      </c>
      <c r="AG839" s="42">
        <f>IF($B839&amp;$C839&amp;$D839&amp;$E839&amp;$H839="",0,IF(AND(OR(BUSCAR!$J$5="",ISNUMBER(SEARCH(BUSCAR!$J$5,$AI839))),OR(BUSCAR!$J$6="",ISNUMBER(SEARCH(BUSCAR!$J$6,$AI839))),OR(BUSCAR!$J$8="",ISNUMBER(SEARCH(BUSCAR!$J$8,$AI839))),OR(BUSCAR!$J$9="",ISNUMBER(SEARCH(BUSCAR!$J$9,$AI839))),OR(NOT(BUSCAR!$J$2),AND(ISNUMBER($AF839),$AF839&gt;=BUSCAR!$J$3,$AF839&lt;=BUSCAR!$J$4))),1,0))</f>
      </c>
      <c r="AH839" s="42">
        <f t="shared" si="39"/>
      </c>
      <c r="AI839" s="42">
        <f t="shared" si="40"/>
      </c>
    </row>
    <row r="840" spans="1:35" x14ac:dyDescent="0.2">
      <c r="A840" s="66">
        <f t="shared" si="41"/>
      </c>
      <c r="B840" s="4"/>
      <c r="C840" s="4"/>
      <c r="D840" s="4"/>
      <c r="E840" s="4"/>
      <c r="F840" s="24"/>
      <c r="G840" s="8"/>
      <c r="H840" s="9"/>
      <c r="I840" s="8"/>
      <c r="J840" s="10"/>
      <c r="K840" s="8"/>
      <c r="L840" s="8"/>
      <c r="M840" s="8"/>
      <c r="N840" s="11"/>
      <c r="O840" s="9"/>
      <c r="P840" s="12"/>
      <c r="Q840" s="9"/>
      <c r="R840" s="13"/>
      <c r="S840" s="11"/>
      <c r="T840" s="11"/>
      <c r="U840" s="9"/>
      <c r="V840" s="9"/>
      <c r="W840" s="9"/>
      <c r="X840" s="16"/>
      <c r="AF840" s="42">
        <f>IF(BUSCAR!$C$8="FECHA NAC.",$G840,IF(BUSCAR!$C$8="PASAPORTE EXPIRA",$J840,IF(BUSCAR!$C$8="LICENCIA EMISION",$L840,IF(BUSCAR!$C$8="LICENCIA EXPIRA",$M840,""))))</f>
      </c>
      <c r="AG840" s="42">
        <f>IF($B840&amp;$C840&amp;$D840&amp;$E840&amp;$H840="",0,IF(AND(OR(BUSCAR!$J$5="",ISNUMBER(SEARCH(BUSCAR!$J$5,$AI840))),OR(BUSCAR!$J$6="",ISNUMBER(SEARCH(BUSCAR!$J$6,$AI840))),OR(BUSCAR!$J$8="",ISNUMBER(SEARCH(BUSCAR!$J$8,$AI840))),OR(BUSCAR!$J$9="",ISNUMBER(SEARCH(BUSCAR!$J$9,$AI840))),OR(NOT(BUSCAR!$J$2),AND(ISNUMBER($AF840),$AF840&gt;=BUSCAR!$J$3,$AF840&lt;=BUSCAR!$J$4))),1,0))</f>
      </c>
      <c r="AH840" s="42">
        <f t="shared" si="39"/>
      </c>
      <c r="AI840" s="42">
        <f t="shared" si="40"/>
      </c>
    </row>
    <row r="841" spans="1:35" x14ac:dyDescent="0.2">
      <c r="A841" s="66">
        <f t="shared" si="41"/>
      </c>
      <c r="B841" s="4"/>
      <c r="C841" s="4"/>
      <c r="D841" s="4"/>
      <c r="E841" s="4"/>
      <c r="F841" s="24"/>
      <c r="G841" s="8"/>
      <c r="H841" s="9"/>
      <c r="I841" s="8"/>
      <c r="J841" s="10"/>
      <c r="K841" s="8"/>
      <c r="L841" s="8"/>
      <c r="M841" s="8"/>
      <c r="N841" s="11"/>
      <c r="O841" s="9"/>
      <c r="P841" s="12"/>
      <c r="Q841" s="9"/>
      <c r="R841" s="13"/>
      <c r="S841" s="11"/>
      <c r="T841" s="11"/>
      <c r="U841" s="9"/>
      <c r="V841" s="9"/>
      <c r="W841" s="9"/>
      <c r="X841" s="16"/>
      <c r="AF841" s="42">
        <f>IF(BUSCAR!$C$8="FECHA NAC.",$G841,IF(BUSCAR!$C$8="PASAPORTE EXPIRA",$J841,IF(BUSCAR!$C$8="LICENCIA EMISION",$L841,IF(BUSCAR!$C$8="LICENCIA EXPIRA",$M841,""))))</f>
      </c>
      <c r="AG841" s="42">
        <f>IF($B841&amp;$C841&amp;$D841&amp;$E841&amp;$H841="",0,IF(AND(OR(BUSCAR!$J$5="",ISNUMBER(SEARCH(BUSCAR!$J$5,$AI841))),OR(BUSCAR!$J$6="",ISNUMBER(SEARCH(BUSCAR!$J$6,$AI841))),OR(BUSCAR!$J$8="",ISNUMBER(SEARCH(BUSCAR!$J$8,$AI841))),OR(BUSCAR!$J$9="",ISNUMBER(SEARCH(BUSCAR!$J$9,$AI841))),OR(NOT(BUSCAR!$J$2),AND(ISNUMBER($AF841),$AF841&gt;=BUSCAR!$J$3,$AF841&lt;=BUSCAR!$J$4))),1,0))</f>
      </c>
      <c r="AH841" s="42">
        <f t="shared" si="39"/>
      </c>
      <c r="AI841" s="42">
        <f t="shared" si="40"/>
      </c>
    </row>
    <row r="842" spans="1:35" x14ac:dyDescent="0.2">
      <c r="A842" s="66">
        <f t="shared" si="41"/>
      </c>
      <c r="B842" s="4"/>
      <c r="C842" s="4"/>
      <c r="D842" s="4"/>
      <c r="E842" s="4"/>
      <c r="F842" s="24"/>
      <c r="G842" s="8"/>
      <c r="H842" s="9"/>
      <c r="I842" s="8"/>
      <c r="J842" s="10"/>
      <c r="K842" s="8"/>
      <c r="L842" s="8"/>
      <c r="M842" s="8"/>
      <c r="N842" s="11"/>
      <c r="O842" s="9"/>
      <c r="P842" s="12"/>
      <c r="Q842" s="9"/>
      <c r="R842" s="13"/>
      <c r="S842" s="11"/>
      <c r="T842" s="11"/>
      <c r="U842" s="9"/>
      <c r="V842" s="9"/>
      <c r="W842" s="9"/>
      <c r="X842" s="16"/>
      <c r="AF842" s="42">
        <f>IF(BUSCAR!$C$8="FECHA NAC.",$G842,IF(BUSCAR!$C$8="PASAPORTE EXPIRA",$J842,IF(BUSCAR!$C$8="LICENCIA EMISION",$L842,IF(BUSCAR!$C$8="LICENCIA EXPIRA",$M842,""))))</f>
      </c>
      <c r="AG842" s="42">
        <f>IF($B842&amp;$C842&amp;$D842&amp;$E842&amp;$H842="",0,IF(AND(OR(BUSCAR!$J$5="",ISNUMBER(SEARCH(BUSCAR!$J$5,$AI842))),OR(BUSCAR!$J$6="",ISNUMBER(SEARCH(BUSCAR!$J$6,$AI842))),OR(BUSCAR!$J$8="",ISNUMBER(SEARCH(BUSCAR!$J$8,$AI842))),OR(BUSCAR!$J$9="",ISNUMBER(SEARCH(BUSCAR!$J$9,$AI842))),OR(NOT(BUSCAR!$J$2),AND(ISNUMBER($AF842),$AF842&gt;=BUSCAR!$J$3,$AF842&lt;=BUSCAR!$J$4))),1,0))</f>
      </c>
      <c r="AH842" s="42">
        <f t="shared" si="39"/>
      </c>
      <c r="AI842" s="42">
        <f t="shared" si="40"/>
      </c>
    </row>
    <row r="843" spans="1:35" x14ac:dyDescent="0.2">
      <c r="A843" s="66">
        <f t="shared" si="41"/>
      </c>
      <c r="B843" s="4"/>
      <c r="C843" s="4"/>
      <c r="D843" s="4"/>
      <c r="E843" s="4"/>
      <c r="F843" s="24"/>
      <c r="G843" s="8"/>
      <c r="H843" s="9"/>
      <c r="I843" s="8"/>
      <c r="J843" s="10"/>
      <c r="K843" s="8"/>
      <c r="L843" s="8"/>
      <c r="M843" s="8"/>
      <c r="N843" s="11"/>
      <c r="O843" s="9"/>
      <c r="P843" s="12"/>
      <c r="Q843" s="9"/>
      <c r="R843" s="13"/>
      <c r="S843" s="11"/>
      <c r="T843" s="11"/>
      <c r="U843" s="9"/>
      <c r="V843" s="9"/>
      <c r="W843" s="9"/>
      <c r="X843" s="16"/>
      <c r="AF843" s="42">
        <f>IF(BUSCAR!$C$8="FECHA NAC.",$G843,IF(BUSCAR!$C$8="PASAPORTE EXPIRA",$J843,IF(BUSCAR!$C$8="LICENCIA EMISION",$L843,IF(BUSCAR!$C$8="LICENCIA EXPIRA",$M843,""))))</f>
      </c>
      <c r="AG843" s="42">
        <f>IF($B843&amp;$C843&amp;$D843&amp;$E843&amp;$H843="",0,IF(AND(OR(BUSCAR!$J$5="",ISNUMBER(SEARCH(BUSCAR!$J$5,$AI843))),OR(BUSCAR!$J$6="",ISNUMBER(SEARCH(BUSCAR!$J$6,$AI843))),OR(BUSCAR!$J$8="",ISNUMBER(SEARCH(BUSCAR!$J$8,$AI843))),OR(BUSCAR!$J$9="",ISNUMBER(SEARCH(BUSCAR!$J$9,$AI843))),OR(NOT(BUSCAR!$J$2),AND(ISNUMBER($AF843),$AF843&gt;=BUSCAR!$J$3,$AF843&lt;=BUSCAR!$J$4))),1,0))</f>
      </c>
      <c r="AH843" s="42">
        <f t="shared" si="39"/>
      </c>
      <c r="AI843" s="42">
        <f t="shared" si="40"/>
      </c>
    </row>
    <row r="844" spans="1:35" x14ac:dyDescent="0.2">
      <c r="A844" s="66">
        <f t="shared" si="41"/>
      </c>
      <c r="B844" s="4"/>
      <c r="C844" s="4"/>
      <c r="D844" s="4"/>
      <c r="E844" s="4"/>
      <c r="F844" s="24"/>
      <c r="G844" s="8"/>
      <c r="H844" s="9"/>
      <c r="I844" s="8"/>
      <c r="J844" s="10"/>
      <c r="K844" s="8"/>
      <c r="L844" s="8"/>
      <c r="M844" s="8"/>
      <c r="N844" s="11"/>
      <c r="O844" s="9"/>
      <c r="P844" s="12"/>
      <c r="Q844" s="9"/>
      <c r="R844" s="13"/>
      <c r="S844" s="11"/>
      <c r="T844" s="11"/>
      <c r="U844" s="9"/>
      <c r="V844" s="9"/>
      <c r="W844" s="9"/>
      <c r="X844" s="16"/>
      <c r="AF844" s="42">
        <f>IF(BUSCAR!$C$8="FECHA NAC.",$G844,IF(BUSCAR!$C$8="PASAPORTE EXPIRA",$J844,IF(BUSCAR!$C$8="LICENCIA EMISION",$L844,IF(BUSCAR!$C$8="LICENCIA EXPIRA",$M844,""))))</f>
      </c>
      <c r="AG844" s="42">
        <f>IF($B844&amp;$C844&amp;$D844&amp;$E844&amp;$H844="",0,IF(AND(OR(BUSCAR!$J$5="",ISNUMBER(SEARCH(BUSCAR!$J$5,$AI844))),OR(BUSCAR!$J$6="",ISNUMBER(SEARCH(BUSCAR!$J$6,$AI844))),OR(BUSCAR!$J$8="",ISNUMBER(SEARCH(BUSCAR!$J$8,$AI844))),OR(BUSCAR!$J$9="",ISNUMBER(SEARCH(BUSCAR!$J$9,$AI844))),OR(NOT(BUSCAR!$J$2),AND(ISNUMBER($AF844),$AF844&gt;=BUSCAR!$J$3,$AF844&lt;=BUSCAR!$J$4))),1,0))</f>
      </c>
      <c r="AH844" s="42">
        <f t="shared" si="39"/>
      </c>
      <c r="AI844" s="42">
        <f t="shared" si="40"/>
      </c>
    </row>
    <row r="845" spans="1:35" x14ac:dyDescent="0.2">
      <c r="A845" s="66">
        <f t="shared" si="41"/>
      </c>
      <c r="B845" s="4"/>
      <c r="C845" s="4"/>
      <c r="D845" s="4"/>
      <c r="E845" s="4"/>
      <c r="F845" s="24"/>
      <c r="G845" s="8"/>
      <c r="H845" s="9"/>
      <c r="I845" s="8"/>
      <c r="J845" s="10"/>
      <c r="K845" s="8"/>
      <c r="L845" s="8"/>
      <c r="M845" s="8"/>
      <c r="N845" s="11"/>
      <c r="O845" s="9"/>
      <c r="P845" s="12"/>
      <c r="Q845" s="9"/>
      <c r="R845" s="13"/>
      <c r="S845" s="11"/>
      <c r="T845" s="11"/>
      <c r="U845" s="9"/>
      <c r="V845" s="9"/>
      <c r="W845" s="9"/>
      <c r="X845" s="16"/>
      <c r="AF845" s="42">
        <f>IF(BUSCAR!$C$8="FECHA NAC.",$G845,IF(BUSCAR!$C$8="PASAPORTE EXPIRA",$J845,IF(BUSCAR!$C$8="LICENCIA EMISION",$L845,IF(BUSCAR!$C$8="LICENCIA EXPIRA",$M845,""))))</f>
      </c>
      <c r="AG845" s="42">
        <f>IF($B845&amp;$C845&amp;$D845&amp;$E845&amp;$H845="",0,IF(AND(OR(BUSCAR!$J$5="",ISNUMBER(SEARCH(BUSCAR!$J$5,$AI845))),OR(BUSCAR!$J$6="",ISNUMBER(SEARCH(BUSCAR!$J$6,$AI845))),OR(BUSCAR!$J$8="",ISNUMBER(SEARCH(BUSCAR!$J$8,$AI845))),OR(BUSCAR!$J$9="",ISNUMBER(SEARCH(BUSCAR!$J$9,$AI845))),OR(NOT(BUSCAR!$J$2),AND(ISNUMBER($AF845),$AF845&gt;=BUSCAR!$J$3,$AF845&lt;=BUSCAR!$J$4))),1,0))</f>
      </c>
      <c r="AH845" s="42">
        <f t="shared" si="39"/>
      </c>
      <c r="AI845" s="42">
        <f t="shared" si="40"/>
      </c>
    </row>
    <row r="846" spans="1:35" x14ac:dyDescent="0.2">
      <c r="A846" s="66">
        <f t="shared" si="41"/>
      </c>
      <c r="B846" s="4"/>
      <c r="C846" s="4"/>
      <c r="D846" s="4"/>
      <c r="E846" s="4"/>
      <c r="F846" s="24"/>
      <c r="G846" s="8"/>
      <c r="H846" s="9"/>
      <c r="I846" s="8"/>
      <c r="J846" s="10"/>
      <c r="K846" s="8"/>
      <c r="L846" s="8"/>
      <c r="M846" s="8"/>
      <c r="N846" s="11"/>
      <c r="O846" s="9"/>
      <c r="P846" s="12"/>
      <c r="Q846" s="9"/>
      <c r="R846" s="13"/>
      <c r="S846" s="11"/>
      <c r="T846" s="11"/>
      <c r="U846" s="9"/>
      <c r="V846" s="9"/>
      <c r="W846" s="9"/>
      <c r="X846" s="16"/>
      <c r="AF846" s="42">
        <f>IF(BUSCAR!$C$8="FECHA NAC.",$G846,IF(BUSCAR!$C$8="PASAPORTE EXPIRA",$J846,IF(BUSCAR!$C$8="LICENCIA EMISION",$L846,IF(BUSCAR!$C$8="LICENCIA EXPIRA",$M846,""))))</f>
      </c>
      <c r="AG846" s="42">
        <f>IF($B846&amp;$C846&amp;$D846&amp;$E846&amp;$H846="",0,IF(AND(OR(BUSCAR!$J$5="",ISNUMBER(SEARCH(BUSCAR!$J$5,$AI846))),OR(BUSCAR!$J$6="",ISNUMBER(SEARCH(BUSCAR!$J$6,$AI846))),OR(BUSCAR!$J$8="",ISNUMBER(SEARCH(BUSCAR!$J$8,$AI846))),OR(BUSCAR!$J$9="",ISNUMBER(SEARCH(BUSCAR!$J$9,$AI846))),OR(NOT(BUSCAR!$J$2),AND(ISNUMBER($AF846),$AF846&gt;=BUSCAR!$J$3,$AF846&lt;=BUSCAR!$J$4))),1,0))</f>
      </c>
      <c r="AH846" s="42">
        <f t="shared" si="39"/>
      </c>
      <c r="AI846" s="42">
        <f t="shared" si="40"/>
      </c>
    </row>
    <row r="847" spans="1:35" x14ac:dyDescent="0.2">
      <c r="A847" s="66">
        <f t="shared" si="41"/>
      </c>
      <c r="B847" s="4"/>
      <c r="C847" s="4"/>
      <c r="D847" s="4"/>
      <c r="E847" s="4"/>
      <c r="F847" s="24"/>
      <c r="G847" s="8"/>
      <c r="H847" s="9"/>
      <c r="I847" s="8"/>
      <c r="J847" s="10"/>
      <c r="K847" s="8"/>
      <c r="L847" s="8"/>
      <c r="M847" s="8"/>
      <c r="N847" s="11"/>
      <c r="O847" s="9"/>
      <c r="P847" s="12"/>
      <c r="Q847" s="9"/>
      <c r="R847" s="13"/>
      <c r="S847" s="11"/>
      <c r="T847" s="11"/>
      <c r="U847" s="9"/>
      <c r="V847" s="9"/>
      <c r="W847" s="9"/>
      <c r="X847" s="16"/>
      <c r="AF847" s="42">
        <f>IF(BUSCAR!$C$8="FECHA NAC.",$G847,IF(BUSCAR!$C$8="PASAPORTE EXPIRA",$J847,IF(BUSCAR!$C$8="LICENCIA EMISION",$L847,IF(BUSCAR!$C$8="LICENCIA EXPIRA",$M847,""))))</f>
      </c>
      <c r="AG847" s="42">
        <f>IF($B847&amp;$C847&amp;$D847&amp;$E847&amp;$H847="",0,IF(AND(OR(BUSCAR!$J$5="",ISNUMBER(SEARCH(BUSCAR!$J$5,$AI847))),OR(BUSCAR!$J$6="",ISNUMBER(SEARCH(BUSCAR!$J$6,$AI847))),OR(BUSCAR!$J$8="",ISNUMBER(SEARCH(BUSCAR!$J$8,$AI847))),OR(BUSCAR!$J$9="",ISNUMBER(SEARCH(BUSCAR!$J$9,$AI847))),OR(NOT(BUSCAR!$J$2),AND(ISNUMBER($AF847),$AF847&gt;=BUSCAR!$J$3,$AF847&lt;=BUSCAR!$J$4))),1,0))</f>
      </c>
      <c r="AH847" s="42">
        <f t="shared" si="39"/>
      </c>
      <c r="AI847" s="42">
        <f t="shared" si="40"/>
      </c>
    </row>
    <row r="848" spans="1:35" x14ac:dyDescent="0.2">
      <c r="A848" s="66">
        <f t="shared" si="41"/>
      </c>
      <c r="B848" s="4"/>
      <c r="C848" s="4"/>
      <c r="D848" s="4"/>
      <c r="E848" s="4"/>
      <c r="F848" s="24"/>
      <c r="G848" s="8"/>
      <c r="H848" s="9"/>
      <c r="I848" s="8"/>
      <c r="J848" s="10"/>
      <c r="K848" s="8"/>
      <c r="L848" s="8"/>
      <c r="M848" s="8"/>
      <c r="N848" s="11"/>
      <c r="O848" s="9"/>
      <c r="P848" s="12"/>
      <c r="Q848" s="9"/>
      <c r="R848" s="13"/>
      <c r="S848" s="11"/>
      <c r="T848" s="11"/>
      <c r="U848" s="9"/>
      <c r="V848" s="9"/>
      <c r="W848" s="9"/>
      <c r="X848" s="16"/>
      <c r="AF848" s="42">
        <f>IF(BUSCAR!$C$8="FECHA NAC.",$G848,IF(BUSCAR!$C$8="PASAPORTE EXPIRA",$J848,IF(BUSCAR!$C$8="LICENCIA EMISION",$L848,IF(BUSCAR!$C$8="LICENCIA EXPIRA",$M848,""))))</f>
      </c>
      <c r="AG848" s="42">
        <f>IF($B848&amp;$C848&amp;$D848&amp;$E848&amp;$H848="",0,IF(AND(OR(BUSCAR!$J$5="",ISNUMBER(SEARCH(BUSCAR!$J$5,$AI848))),OR(BUSCAR!$J$6="",ISNUMBER(SEARCH(BUSCAR!$J$6,$AI848))),OR(BUSCAR!$J$8="",ISNUMBER(SEARCH(BUSCAR!$J$8,$AI848))),OR(BUSCAR!$J$9="",ISNUMBER(SEARCH(BUSCAR!$J$9,$AI848))),OR(NOT(BUSCAR!$J$2),AND(ISNUMBER($AF848),$AF848&gt;=BUSCAR!$J$3,$AF848&lt;=BUSCAR!$J$4))),1,0))</f>
      </c>
      <c r="AH848" s="42">
        <f t="shared" si="39"/>
      </c>
      <c r="AI848" s="42">
        <f t="shared" si="40"/>
      </c>
    </row>
    <row r="849" spans="1:35" x14ac:dyDescent="0.2">
      <c r="A849" s="66">
        <f t="shared" si="41"/>
      </c>
      <c r="B849" s="4"/>
      <c r="C849" s="4"/>
      <c r="D849" s="4"/>
      <c r="E849" s="4"/>
      <c r="F849" s="24"/>
      <c r="G849" s="8"/>
      <c r="H849" s="9"/>
      <c r="I849" s="8"/>
      <c r="J849" s="10"/>
      <c r="K849" s="8"/>
      <c r="L849" s="8"/>
      <c r="M849" s="8"/>
      <c r="N849" s="11"/>
      <c r="O849" s="9"/>
      <c r="P849" s="12"/>
      <c r="Q849" s="9"/>
      <c r="R849" s="13"/>
      <c r="S849" s="11"/>
      <c r="T849" s="11"/>
      <c r="U849" s="9"/>
      <c r="V849" s="9"/>
      <c r="W849" s="9"/>
      <c r="X849" s="16"/>
      <c r="AF849" s="42">
        <f>IF(BUSCAR!$C$8="FECHA NAC.",$G849,IF(BUSCAR!$C$8="PASAPORTE EXPIRA",$J849,IF(BUSCAR!$C$8="LICENCIA EMISION",$L849,IF(BUSCAR!$C$8="LICENCIA EXPIRA",$M849,""))))</f>
      </c>
      <c r="AG849" s="42">
        <f>IF($B849&amp;$C849&amp;$D849&amp;$E849&amp;$H849="",0,IF(AND(OR(BUSCAR!$J$5="",ISNUMBER(SEARCH(BUSCAR!$J$5,$AI849))),OR(BUSCAR!$J$6="",ISNUMBER(SEARCH(BUSCAR!$J$6,$AI849))),OR(BUSCAR!$J$8="",ISNUMBER(SEARCH(BUSCAR!$J$8,$AI849))),OR(BUSCAR!$J$9="",ISNUMBER(SEARCH(BUSCAR!$J$9,$AI849))),OR(NOT(BUSCAR!$J$2),AND(ISNUMBER($AF849),$AF849&gt;=BUSCAR!$J$3,$AF849&lt;=BUSCAR!$J$4))),1,0))</f>
      </c>
      <c r="AH849" s="42">
        <f t="shared" si="39"/>
      </c>
      <c r="AI849" s="42">
        <f t="shared" si="40"/>
      </c>
    </row>
    <row r="850" spans="1:35" x14ac:dyDescent="0.2">
      <c r="A850" s="66">
        <f t="shared" si="41"/>
      </c>
      <c r="B850" s="4"/>
      <c r="C850" s="4"/>
      <c r="D850" s="4"/>
      <c r="E850" s="4"/>
      <c r="F850" s="24"/>
      <c r="G850" s="8"/>
      <c r="H850" s="9"/>
      <c r="I850" s="8"/>
      <c r="J850" s="10"/>
      <c r="K850" s="8"/>
      <c r="L850" s="8"/>
      <c r="M850" s="8"/>
      <c r="N850" s="11"/>
      <c r="O850" s="9"/>
      <c r="P850" s="12"/>
      <c r="Q850" s="9"/>
      <c r="R850" s="13"/>
      <c r="S850" s="11"/>
      <c r="T850" s="11"/>
      <c r="U850" s="9"/>
      <c r="V850" s="9"/>
      <c r="W850" s="9"/>
      <c r="X850" s="16"/>
      <c r="AF850" s="42">
        <f>IF(BUSCAR!$C$8="FECHA NAC.",$G850,IF(BUSCAR!$C$8="PASAPORTE EXPIRA",$J850,IF(BUSCAR!$C$8="LICENCIA EMISION",$L850,IF(BUSCAR!$C$8="LICENCIA EXPIRA",$M850,""))))</f>
      </c>
      <c r="AG850" s="42">
        <f>IF($B850&amp;$C850&amp;$D850&amp;$E850&amp;$H850="",0,IF(AND(OR(BUSCAR!$J$5="",ISNUMBER(SEARCH(BUSCAR!$J$5,$AI850))),OR(BUSCAR!$J$6="",ISNUMBER(SEARCH(BUSCAR!$J$6,$AI850))),OR(BUSCAR!$J$8="",ISNUMBER(SEARCH(BUSCAR!$J$8,$AI850))),OR(BUSCAR!$J$9="",ISNUMBER(SEARCH(BUSCAR!$J$9,$AI850))),OR(NOT(BUSCAR!$J$2),AND(ISNUMBER($AF850),$AF850&gt;=BUSCAR!$J$3,$AF850&lt;=BUSCAR!$J$4))),1,0))</f>
      </c>
      <c r="AH850" s="42">
        <f t="shared" si="39"/>
      </c>
      <c r="AI850" s="42">
        <f t="shared" si="40"/>
      </c>
    </row>
    <row r="851" spans="1:35" x14ac:dyDescent="0.2">
      <c r="A851" s="66">
        <f t="shared" si="41"/>
      </c>
      <c r="B851" s="4"/>
      <c r="C851" s="4"/>
      <c r="D851" s="4"/>
      <c r="E851" s="4"/>
      <c r="F851" s="24"/>
      <c r="G851" s="8"/>
      <c r="H851" s="9"/>
      <c r="I851" s="8"/>
      <c r="J851" s="10"/>
      <c r="K851" s="8"/>
      <c r="L851" s="8"/>
      <c r="M851" s="8"/>
      <c r="N851" s="11"/>
      <c r="O851" s="9"/>
      <c r="P851" s="12"/>
      <c r="Q851" s="9"/>
      <c r="R851" s="13"/>
      <c r="S851" s="11"/>
      <c r="T851" s="11"/>
      <c r="U851" s="9"/>
      <c r="V851" s="9"/>
      <c r="W851" s="9"/>
      <c r="X851" s="16"/>
      <c r="AF851" s="42">
        <f>IF(BUSCAR!$C$8="FECHA NAC.",$G851,IF(BUSCAR!$C$8="PASAPORTE EXPIRA",$J851,IF(BUSCAR!$C$8="LICENCIA EMISION",$L851,IF(BUSCAR!$C$8="LICENCIA EXPIRA",$M851,""))))</f>
      </c>
      <c r="AG851" s="42">
        <f>IF($B851&amp;$C851&amp;$D851&amp;$E851&amp;$H851="",0,IF(AND(OR(BUSCAR!$J$5="",ISNUMBER(SEARCH(BUSCAR!$J$5,$AI851))),OR(BUSCAR!$J$6="",ISNUMBER(SEARCH(BUSCAR!$J$6,$AI851))),OR(BUSCAR!$J$8="",ISNUMBER(SEARCH(BUSCAR!$J$8,$AI851))),OR(BUSCAR!$J$9="",ISNUMBER(SEARCH(BUSCAR!$J$9,$AI851))),OR(NOT(BUSCAR!$J$2),AND(ISNUMBER($AF851),$AF851&gt;=BUSCAR!$J$3,$AF851&lt;=BUSCAR!$J$4))),1,0))</f>
      </c>
      <c r="AH851" s="42">
        <f t="shared" si="39"/>
      </c>
      <c r="AI851" s="42">
        <f t="shared" si="40"/>
      </c>
    </row>
    <row r="852" spans="1:35" x14ac:dyDescent="0.2">
      <c r="A852" s="66">
        <f t="shared" si="41"/>
      </c>
      <c r="B852" s="4"/>
      <c r="C852" s="4"/>
      <c r="D852" s="4"/>
      <c r="E852" s="4"/>
      <c r="F852" s="24"/>
      <c r="G852" s="8"/>
      <c r="H852" s="9"/>
      <c r="I852" s="8"/>
      <c r="J852" s="10"/>
      <c r="K852" s="8"/>
      <c r="L852" s="8"/>
      <c r="M852" s="8"/>
      <c r="N852" s="11"/>
      <c r="O852" s="9"/>
      <c r="P852" s="12"/>
      <c r="Q852" s="9"/>
      <c r="R852" s="13"/>
      <c r="S852" s="11"/>
      <c r="T852" s="11"/>
      <c r="U852" s="9"/>
      <c r="V852" s="9"/>
      <c r="W852" s="9"/>
      <c r="X852" s="16"/>
      <c r="AF852" s="42">
        <f>IF(BUSCAR!$C$8="FECHA NAC.",$G852,IF(BUSCAR!$C$8="PASAPORTE EXPIRA",$J852,IF(BUSCAR!$C$8="LICENCIA EMISION",$L852,IF(BUSCAR!$C$8="LICENCIA EXPIRA",$M852,""))))</f>
      </c>
      <c r="AG852" s="42">
        <f>IF($B852&amp;$C852&amp;$D852&amp;$E852&amp;$H852="",0,IF(AND(OR(BUSCAR!$J$5="",ISNUMBER(SEARCH(BUSCAR!$J$5,$AI852))),OR(BUSCAR!$J$6="",ISNUMBER(SEARCH(BUSCAR!$J$6,$AI852))),OR(BUSCAR!$J$8="",ISNUMBER(SEARCH(BUSCAR!$J$8,$AI852))),OR(BUSCAR!$J$9="",ISNUMBER(SEARCH(BUSCAR!$J$9,$AI852))),OR(NOT(BUSCAR!$J$2),AND(ISNUMBER($AF852),$AF852&gt;=BUSCAR!$J$3,$AF852&lt;=BUSCAR!$J$4))),1,0))</f>
      </c>
      <c r="AH852" s="42">
        <f t="shared" si="39"/>
      </c>
      <c r="AI852" s="42">
        <f t="shared" si="40"/>
      </c>
    </row>
    <row r="853" spans="1:35" x14ac:dyDescent="0.2">
      <c r="A853" s="66">
        <f t="shared" si="41"/>
      </c>
      <c r="B853" s="4"/>
      <c r="C853" s="4"/>
      <c r="D853" s="4"/>
      <c r="E853" s="4"/>
      <c r="F853" s="24"/>
      <c r="G853" s="8"/>
      <c r="H853" s="9"/>
      <c r="I853" s="8"/>
      <c r="J853" s="10"/>
      <c r="K853" s="8"/>
      <c r="L853" s="8"/>
      <c r="M853" s="8"/>
      <c r="N853" s="11"/>
      <c r="O853" s="9"/>
      <c r="P853" s="12"/>
      <c r="Q853" s="9"/>
      <c r="R853" s="13"/>
      <c r="S853" s="11"/>
      <c r="T853" s="11"/>
      <c r="U853" s="9"/>
      <c r="V853" s="9"/>
      <c r="W853" s="9"/>
      <c r="X853" s="16"/>
      <c r="AF853" s="42">
        <f>IF(BUSCAR!$C$8="FECHA NAC.",$G853,IF(BUSCAR!$C$8="PASAPORTE EXPIRA",$J853,IF(BUSCAR!$C$8="LICENCIA EMISION",$L853,IF(BUSCAR!$C$8="LICENCIA EXPIRA",$M853,""))))</f>
      </c>
      <c r="AG853" s="42">
        <f>IF($B853&amp;$C853&amp;$D853&amp;$E853&amp;$H853="",0,IF(AND(OR(BUSCAR!$J$5="",ISNUMBER(SEARCH(BUSCAR!$J$5,$AI853))),OR(BUSCAR!$J$6="",ISNUMBER(SEARCH(BUSCAR!$J$6,$AI853))),OR(BUSCAR!$J$8="",ISNUMBER(SEARCH(BUSCAR!$J$8,$AI853))),OR(BUSCAR!$J$9="",ISNUMBER(SEARCH(BUSCAR!$J$9,$AI853))),OR(NOT(BUSCAR!$J$2),AND(ISNUMBER($AF853),$AF853&gt;=BUSCAR!$J$3,$AF853&lt;=BUSCAR!$J$4))),1,0))</f>
      </c>
      <c r="AH853" s="42">
        <f t="shared" si="39"/>
      </c>
      <c r="AI853" s="42">
        <f t="shared" si="40"/>
      </c>
    </row>
    <row r="854" spans="1:35" x14ac:dyDescent="0.2">
      <c r="A854" s="66">
        <f t="shared" si="41"/>
      </c>
      <c r="B854" s="4"/>
      <c r="C854" s="4"/>
      <c r="D854" s="4"/>
      <c r="E854" s="4"/>
      <c r="F854" s="24"/>
      <c r="G854" s="8"/>
      <c r="H854" s="9"/>
      <c r="I854" s="8"/>
      <c r="J854" s="10"/>
      <c r="K854" s="8"/>
      <c r="L854" s="8"/>
      <c r="M854" s="8"/>
      <c r="N854" s="11"/>
      <c r="O854" s="9"/>
      <c r="P854" s="12"/>
      <c r="Q854" s="9"/>
      <c r="R854" s="13"/>
      <c r="S854" s="11"/>
      <c r="T854" s="11"/>
      <c r="U854" s="9"/>
      <c r="V854" s="9"/>
      <c r="W854" s="9"/>
      <c r="X854" s="16"/>
      <c r="AF854" s="42">
        <f>IF(BUSCAR!$C$8="FECHA NAC.",$G854,IF(BUSCAR!$C$8="PASAPORTE EXPIRA",$J854,IF(BUSCAR!$C$8="LICENCIA EMISION",$L854,IF(BUSCAR!$C$8="LICENCIA EXPIRA",$M854,""))))</f>
      </c>
      <c r="AG854" s="42">
        <f>IF($B854&amp;$C854&amp;$D854&amp;$E854&amp;$H854="",0,IF(AND(OR(BUSCAR!$J$5="",ISNUMBER(SEARCH(BUSCAR!$J$5,$AI854))),OR(BUSCAR!$J$6="",ISNUMBER(SEARCH(BUSCAR!$J$6,$AI854))),OR(BUSCAR!$J$8="",ISNUMBER(SEARCH(BUSCAR!$J$8,$AI854))),OR(BUSCAR!$J$9="",ISNUMBER(SEARCH(BUSCAR!$J$9,$AI854))),OR(NOT(BUSCAR!$J$2),AND(ISNUMBER($AF854),$AF854&gt;=BUSCAR!$J$3,$AF854&lt;=BUSCAR!$J$4))),1,0))</f>
      </c>
      <c r="AH854" s="42">
        <f t="shared" si="39"/>
      </c>
      <c r="AI854" s="42">
        <f t="shared" si="40"/>
      </c>
    </row>
    <row r="855" spans="1:35" x14ac:dyDescent="0.2">
      <c r="A855" s="66">
        <f t="shared" si="41"/>
      </c>
      <c r="B855" s="4"/>
      <c r="C855" s="4"/>
      <c r="D855" s="4"/>
      <c r="E855" s="4"/>
      <c r="F855" s="24"/>
      <c r="G855" s="8"/>
      <c r="H855" s="9"/>
      <c r="I855" s="8"/>
      <c r="J855" s="10"/>
      <c r="K855" s="8"/>
      <c r="L855" s="8"/>
      <c r="M855" s="8"/>
      <c r="N855" s="11"/>
      <c r="O855" s="9"/>
      <c r="P855" s="12"/>
      <c r="Q855" s="9"/>
      <c r="R855" s="13"/>
      <c r="S855" s="11"/>
      <c r="T855" s="11"/>
      <c r="U855" s="9"/>
      <c r="V855" s="9"/>
      <c r="W855" s="9"/>
      <c r="X855" s="16"/>
      <c r="AF855" s="42">
        <f>IF(BUSCAR!$C$8="FECHA NAC.",$G855,IF(BUSCAR!$C$8="PASAPORTE EXPIRA",$J855,IF(BUSCAR!$C$8="LICENCIA EMISION",$L855,IF(BUSCAR!$C$8="LICENCIA EXPIRA",$M855,""))))</f>
      </c>
      <c r="AG855" s="42">
        <f>IF($B855&amp;$C855&amp;$D855&amp;$E855&amp;$H855="",0,IF(AND(OR(BUSCAR!$J$5="",ISNUMBER(SEARCH(BUSCAR!$J$5,$AI855))),OR(BUSCAR!$J$6="",ISNUMBER(SEARCH(BUSCAR!$J$6,$AI855))),OR(BUSCAR!$J$8="",ISNUMBER(SEARCH(BUSCAR!$J$8,$AI855))),OR(BUSCAR!$J$9="",ISNUMBER(SEARCH(BUSCAR!$J$9,$AI855))),OR(NOT(BUSCAR!$J$2),AND(ISNUMBER($AF855),$AF855&gt;=BUSCAR!$J$3,$AF855&lt;=BUSCAR!$J$4))),1,0))</f>
      </c>
      <c r="AH855" s="42">
        <f t="shared" si="39"/>
      </c>
      <c r="AI855" s="42">
        <f t="shared" si="40"/>
      </c>
    </row>
    <row r="856" spans="1:35" x14ac:dyDescent="0.2">
      <c r="A856" s="66">
        <f t="shared" si="41"/>
      </c>
      <c r="B856" s="4"/>
      <c r="C856" s="4"/>
      <c r="D856" s="4"/>
      <c r="E856" s="4"/>
      <c r="F856" s="24"/>
      <c r="G856" s="8"/>
      <c r="H856" s="9"/>
      <c r="I856" s="8"/>
      <c r="J856" s="10"/>
      <c r="K856" s="8"/>
      <c r="L856" s="8"/>
      <c r="M856" s="8"/>
      <c r="N856" s="11"/>
      <c r="O856" s="9"/>
      <c r="P856" s="12"/>
      <c r="Q856" s="9"/>
      <c r="R856" s="13"/>
      <c r="S856" s="11"/>
      <c r="T856" s="11"/>
      <c r="U856" s="9"/>
      <c r="V856" s="9"/>
      <c r="W856" s="9"/>
      <c r="X856" s="16"/>
      <c r="AF856" s="42">
        <f>IF(BUSCAR!$C$8="FECHA NAC.",$G856,IF(BUSCAR!$C$8="PASAPORTE EXPIRA",$J856,IF(BUSCAR!$C$8="LICENCIA EMISION",$L856,IF(BUSCAR!$C$8="LICENCIA EXPIRA",$M856,""))))</f>
      </c>
      <c r="AG856" s="42">
        <f>IF($B856&amp;$C856&amp;$D856&amp;$E856&amp;$H856="",0,IF(AND(OR(BUSCAR!$J$5="",ISNUMBER(SEARCH(BUSCAR!$J$5,$AI856))),OR(BUSCAR!$J$6="",ISNUMBER(SEARCH(BUSCAR!$J$6,$AI856))),OR(BUSCAR!$J$8="",ISNUMBER(SEARCH(BUSCAR!$J$8,$AI856))),OR(BUSCAR!$J$9="",ISNUMBER(SEARCH(BUSCAR!$J$9,$AI856))),OR(NOT(BUSCAR!$J$2),AND(ISNUMBER($AF856),$AF856&gt;=BUSCAR!$J$3,$AF856&lt;=BUSCAR!$J$4))),1,0))</f>
      </c>
      <c r="AH856" s="42">
        <f t="shared" si="39"/>
      </c>
      <c r="AI856" s="42">
        <f t="shared" si="40"/>
      </c>
    </row>
    <row r="857" spans="1:35" x14ac:dyDescent="0.2">
      <c r="A857" s="66">
        <f t="shared" si="41"/>
      </c>
      <c r="B857" s="4"/>
      <c r="C857" s="4"/>
      <c r="D857" s="4"/>
      <c r="E857" s="4"/>
      <c r="F857" s="24"/>
      <c r="G857" s="8"/>
      <c r="H857" s="9"/>
      <c r="I857" s="8"/>
      <c r="J857" s="10"/>
      <c r="K857" s="8"/>
      <c r="L857" s="8"/>
      <c r="M857" s="8"/>
      <c r="N857" s="11"/>
      <c r="O857" s="9"/>
      <c r="P857" s="12"/>
      <c r="Q857" s="9"/>
      <c r="R857" s="13"/>
      <c r="S857" s="11"/>
      <c r="T857" s="11"/>
      <c r="U857" s="9"/>
      <c r="V857" s="9"/>
      <c r="W857" s="9"/>
      <c r="X857" s="16"/>
      <c r="AF857" s="42">
        <f>IF(BUSCAR!$C$8="FECHA NAC.",$G857,IF(BUSCAR!$C$8="PASAPORTE EXPIRA",$J857,IF(BUSCAR!$C$8="LICENCIA EMISION",$L857,IF(BUSCAR!$C$8="LICENCIA EXPIRA",$M857,""))))</f>
      </c>
      <c r="AG857" s="42">
        <f>IF($B857&amp;$C857&amp;$D857&amp;$E857&amp;$H857="",0,IF(AND(OR(BUSCAR!$J$5="",ISNUMBER(SEARCH(BUSCAR!$J$5,$AI857))),OR(BUSCAR!$J$6="",ISNUMBER(SEARCH(BUSCAR!$J$6,$AI857))),OR(BUSCAR!$J$8="",ISNUMBER(SEARCH(BUSCAR!$J$8,$AI857))),OR(BUSCAR!$J$9="",ISNUMBER(SEARCH(BUSCAR!$J$9,$AI857))),OR(NOT(BUSCAR!$J$2),AND(ISNUMBER($AF857),$AF857&gt;=BUSCAR!$J$3,$AF857&lt;=BUSCAR!$J$4))),1,0))</f>
      </c>
      <c r="AH857" s="42">
        <f t="shared" si="39"/>
      </c>
      <c r="AI857" s="42">
        <f t="shared" si="40"/>
      </c>
    </row>
    <row r="858" spans="1:35" x14ac:dyDescent="0.2">
      <c r="A858" s="66">
        <f t="shared" si="41"/>
      </c>
      <c r="B858" s="4"/>
      <c r="C858" s="4"/>
      <c r="D858" s="4"/>
      <c r="E858" s="4"/>
      <c r="F858" s="24"/>
      <c r="G858" s="8"/>
      <c r="H858" s="9"/>
      <c r="I858" s="8"/>
      <c r="J858" s="10"/>
      <c r="K858" s="8"/>
      <c r="L858" s="8"/>
      <c r="M858" s="8"/>
      <c r="N858" s="11"/>
      <c r="O858" s="9"/>
      <c r="P858" s="12"/>
      <c r="Q858" s="9"/>
      <c r="R858" s="13"/>
      <c r="S858" s="11"/>
      <c r="T858" s="11"/>
      <c r="U858" s="9"/>
      <c r="V858" s="9"/>
      <c r="W858" s="9"/>
      <c r="X858" s="16"/>
      <c r="AF858" s="42">
        <f>IF(BUSCAR!$C$8="FECHA NAC.",$G858,IF(BUSCAR!$C$8="PASAPORTE EXPIRA",$J858,IF(BUSCAR!$C$8="LICENCIA EMISION",$L858,IF(BUSCAR!$C$8="LICENCIA EXPIRA",$M858,""))))</f>
      </c>
      <c r="AG858" s="42">
        <f>IF($B858&amp;$C858&amp;$D858&amp;$E858&amp;$H858="",0,IF(AND(OR(BUSCAR!$J$5="",ISNUMBER(SEARCH(BUSCAR!$J$5,$AI858))),OR(BUSCAR!$J$6="",ISNUMBER(SEARCH(BUSCAR!$J$6,$AI858))),OR(BUSCAR!$J$8="",ISNUMBER(SEARCH(BUSCAR!$J$8,$AI858))),OR(BUSCAR!$J$9="",ISNUMBER(SEARCH(BUSCAR!$J$9,$AI858))),OR(NOT(BUSCAR!$J$2),AND(ISNUMBER($AF858),$AF858&gt;=BUSCAR!$J$3,$AF858&lt;=BUSCAR!$J$4))),1,0))</f>
      </c>
      <c r="AH858" s="42">
        <f t="shared" si="39"/>
      </c>
      <c r="AI858" s="42">
        <f t="shared" si="40"/>
      </c>
    </row>
    <row r="859" spans="1:35" x14ac:dyDescent="0.2">
      <c r="A859" s="66">
        <f t="shared" si="41"/>
      </c>
      <c r="B859" s="4"/>
      <c r="C859" s="4"/>
      <c r="D859" s="4"/>
      <c r="E859" s="4"/>
      <c r="F859" s="24"/>
      <c r="G859" s="8"/>
      <c r="H859" s="9"/>
      <c r="I859" s="8"/>
      <c r="J859" s="10"/>
      <c r="K859" s="8"/>
      <c r="L859" s="8"/>
      <c r="M859" s="8"/>
      <c r="N859" s="11"/>
      <c r="O859" s="9"/>
      <c r="P859" s="12"/>
      <c r="Q859" s="9"/>
      <c r="R859" s="13"/>
      <c r="S859" s="11"/>
      <c r="T859" s="11"/>
      <c r="U859" s="9"/>
      <c r="V859" s="9"/>
      <c r="W859" s="9"/>
      <c r="X859" s="16"/>
      <c r="AF859" s="42">
        <f>IF(BUSCAR!$C$8="FECHA NAC.",$G859,IF(BUSCAR!$C$8="PASAPORTE EXPIRA",$J859,IF(BUSCAR!$C$8="LICENCIA EMISION",$L859,IF(BUSCAR!$C$8="LICENCIA EXPIRA",$M859,""))))</f>
      </c>
      <c r="AG859" s="42">
        <f>IF($B859&amp;$C859&amp;$D859&amp;$E859&amp;$H859="",0,IF(AND(OR(BUSCAR!$J$5="",ISNUMBER(SEARCH(BUSCAR!$J$5,$AI859))),OR(BUSCAR!$J$6="",ISNUMBER(SEARCH(BUSCAR!$J$6,$AI859))),OR(BUSCAR!$J$8="",ISNUMBER(SEARCH(BUSCAR!$J$8,$AI859))),OR(BUSCAR!$J$9="",ISNUMBER(SEARCH(BUSCAR!$J$9,$AI859))),OR(NOT(BUSCAR!$J$2),AND(ISNUMBER($AF859),$AF859&gt;=BUSCAR!$J$3,$AF859&lt;=BUSCAR!$J$4))),1,0))</f>
      </c>
      <c r="AH859" s="42">
        <f t="shared" si="39"/>
      </c>
      <c r="AI859" s="42">
        <f t="shared" si="40"/>
      </c>
    </row>
    <row r="860" spans="1:35" x14ac:dyDescent="0.2">
      <c r="A860" s="66">
        <f t="shared" si="41"/>
      </c>
      <c r="B860" s="4"/>
      <c r="C860" s="4"/>
      <c r="D860" s="4"/>
      <c r="E860" s="4"/>
      <c r="F860" s="24"/>
      <c r="G860" s="8"/>
      <c r="H860" s="9"/>
      <c r="I860" s="8"/>
      <c r="J860" s="10"/>
      <c r="K860" s="8"/>
      <c r="L860" s="8"/>
      <c r="M860" s="8"/>
      <c r="N860" s="11"/>
      <c r="O860" s="9"/>
      <c r="P860" s="12"/>
      <c r="Q860" s="9"/>
      <c r="R860" s="13"/>
      <c r="S860" s="11"/>
      <c r="T860" s="11"/>
      <c r="U860" s="9"/>
      <c r="V860" s="9"/>
      <c r="W860" s="9"/>
      <c r="X860" s="16"/>
      <c r="AF860" s="42">
        <f>IF(BUSCAR!$C$8="FECHA NAC.",$G860,IF(BUSCAR!$C$8="PASAPORTE EXPIRA",$J860,IF(BUSCAR!$C$8="LICENCIA EMISION",$L860,IF(BUSCAR!$C$8="LICENCIA EXPIRA",$M860,""))))</f>
      </c>
      <c r="AG860" s="42">
        <f>IF($B860&amp;$C860&amp;$D860&amp;$E860&amp;$H860="",0,IF(AND(OR(BUSCAR!$J$5="",ISNUMBER(SEARCH(BUSCAR!$J$5,$AI860))),OR(BUSCAR!$J$6="",ISNUMBER(SEARCH(BUSCAR!$J$6,$AI860))),OR(BUSCAR!$J$8="",ISNUMBER(SEARCH(BUSCAR!$J$8,$AI860))),OR(BUSCAR!$J$9="",ISNUMBER(SEARCH(BUSCAR!$J$9,$AI860))),OR(NOT(BUSCAR!$J$2),AND(ISNUMBER($AF860),$AF860&gt;=BUSCAR!$J$3,$AF860&lt;=BUSCAR!$J$4))),1,0))</f>
      </c>
      <c r="AH860" s="42">
        <f t="shared" si="39"/>
      </c>
      <c r="AI860" s="42">
        <f t="shared" si="40"/>
      </c>
    </row>
    <row r="861" spans="1:35" x14ac:dyDescent="0.2">
      <c r="A861" s="66">
        <f t="shared" si="41"/>
      </c>
      <c r="B861" s="4"/>
      <c r="C861" s="4"/>
      <c r="D861" s="4"/>
      <c r="E861" s="4"/>
      <c r="F861" s="24"/>
      <c r="G861" s="8"/>
      <c r="H861" s="9"/>
      <c r="I861" s="8"/>
      <c r="J861" s="10"/>
      <c r="K861" s="8"/>
      <c r="L861" s="8"/>
      <c r="M861" s="8"/>
      <c r="N861" s="11"/>
      <c r="O861" s="9"/>
      <c r="P861" s="12"/>
      <c r="Q861" s="9"/>
      <c r="R861" s="13"/>
      <c r="S861" s="11"/>
      <c r="T861" s="11"/>
      <c r="U861" s="9"/>
      <c r="V861" s="9"/>
      <c r="W861" s="9"/>
      <c r="X861" s="16"/>
      <c r="AF861" s="42">
        <f>IF(BUSCAR!$C$8="FECHA NAC.",$G861,IF(BUSCAR!$C$8="PASAPORTE EXPIRA",$J861,IF(BUSCAR!$C$8="LICENCIA EMISION",$L861,IF(BUSCAR!$C$8="LICENCIA EXPIRA",$M861,""))))</f>
      </c>
      <c r="AG861" s="42">
        <f>IF($B861&amp;$C861&amp;$D861&amp;$E861&amp;$H861="",0,IF(AND(OR(BUSCAR!$J$5="",ISNUMBER(SEARCH(BUSCAR!$J$5,$AI861))),OR(BUSCAR!$J$6="",ISNUMBER(SEARCH(BUSCAR!$J$6,$AI861))),OR(BUSCAR!$J$8="",ISNUMBER(SEARCH(BUSCAR!$J$8,$AI861))),OR(BUSCAR!$J$9="",ISNUMBER(SEARCH(BUSCAR!$J$9,$AI861))),OR(NOT(BUSCAR!$J$2),AND(ISNUMBER($AF861),$AF861&gt;=BUSCAR!$J$3,$AF861&lt;=BUSCAR!$J$4))),1,0))</f>
      </c>
      <c r="AH861" s="42">
        <f t="shared" si="39"/>
      </c>
      <c r="AI861" s="42">
        <f t="shared" si="40"/>
      </c>
    </row>
    <row r="862" spans="1:35" x14ac:dyDescent="0.2">
      <c r="A862" s="66">
        <f t="shared" si="41"/>
      </c>
      <c r="B862" s="4"/>
      <c r="C862" s="4"/>
      <c r="D862" s="4"/>
      <c r="E862" s="4"/>
      <c r="F862" s="24"/>
      <c r="G862" s="8"/>
      <c r="H862" s="9"/>
      <c r="I862" s="8"/>
      <c r="J862" s="10"/>
      <c r="K862" s="8"/>
      <c r="L862" s="8"/>
      <c r="M862" s="8"/>
      <c r="N862" s="11"/>
      <c r="O862" s="9"/>
      <c r="P862" s="12"/>
      <c r="Q862" s="9"/>
      <c r="R862" s="9"/>
      <c r="S862" s="11"/>
      <c r="T862" s="11"/>
      <c r="U862" s="9"/>
      <c r="V862" s="9"/>
      <c r="W862" s="9"/>
      <c r="X862" s="16"/>
      <c r="AF862" s="42">
        <f>IF(BUSCAR!$C$8="FECHA NAC.",$G862,IF(BUSCAR!$C$8="PASAPORTE EXPIRA",$J862,IF(BUSCAR!$C$8="LICENCIA EMISION",$L862,IF(BUSCAR!$C$8="LICENCIA EXPIRA",$M862,""))))</f>
      </c>
      <c r="AG862" s="42">
        <f>IF($B862&amp;$C862&amp;$D862&amp;$E862&amp;$H862="",0,IF(AND(OR(BUSCAR!$J$5="",ISNUMBER(SEARCH(BUSCAR!$J$5,$AI862))),OR(BUSCAR!$J$6="",ISNUMBER(SEARCH(BUSCAR!$J$6,$AI862))),OR(BUSCAR!$J$8="",ISNUMBER(SEARCH(BUSCAR!$J$8,$AI862))),OR(BUSCAR!$J$9="",ISNUMBER(SEARCH(BUSCAR!$J$9,$AI862))),OR(NOT(BUSCAR!$J$2),AND(ISNUMBER($AF862),$AF862&gt;=BUSCAR!$J$3,$AF862&lt;=BUSCAR!$J$4))),1,0))</f>
      </c>
      <c r="AH862" s="42">
        <f t="shared" si="39"/>
      </c>
      <c r="AI862" s="42">
        <f t="shared" si="40"/>
      </c>
    </row>
    <row r="863" spans="1:35" x14ac:dyDescent="0.2">
      <c r="A863" s="66">
        <f t="shared" si="41"/>
      </c>
      <c r="B863" s="4"/>
      <c r="C863" s="4"/>
      <c r="D863" s="4"/>
      <c r="E863" s="4"/>
      <c r="F863" s="24"/>
      <c r="G863" s="8"/>
      <c r="H863" s="9"/>
      <c r="I863" s="8"/>
      <c r="J863" s="10"/>
      <c r="K863" s="8"/>
      <c r="L863" s="8"/>
      <c r="M863" s="8"/>
      <c r="N863" s="11"/>
      <c r="O863" s="9"/>
      <c r="P863" s="12"/>
      <c r="Q863" s="9"/>
      <c r="R863" s="13"/>
      <c r="S863" s="11"/>
      <c r="T863" s="11"/>
      <c r="U863" s="9"/>
      <c r="V863" s="9"/>
      <c r="W863" s="9"/>
      <c r="X863" s="16"/>
      <c r="AF863" s="42">
        <f>IF(BUSCAR!$C$8="FECHA NAC.",$G863,IF(BUSCAR!$C$8="PASAPORTE EXPIRA",$J863,IF(BUSCAR!$C$8="LICENCIA EMISION",$L863,IF(BUSCAR!$C$8="LICENCIA EXPIRA",$M863,""))))</f>
      </c>
      <c r="AG863" s="42">
        <f>IF($B863&amp;$C863&amp;$D863&amp;$E863&amp;$H863="",0,IF(AND(OR(BUSCAR!$J$5="",ISNUMBER(SEARCH(BUSCAR!$J$5,$AI863))),OR(BUSCAR!$J$6="",ISNUMBER(SEARCH(BUSCAR!$J$6,$AI863))),OR(BUSCAR!$J$8="",ISNUMBER(SEARCH(BUSCAR!$J$8,$AI863))),OR(BUSCAR!$J$9="",ISNUMBER(SEARCH(BUSCAR!$J$9,$AI863))),OR(NOT(BUSCAR!$J$2),AND(ISNUMBER($AF863),$AF863&gt;=BUSCAR!$J$3,$AF863&lt;=BUSCAR!$J$4))),1,0))</f>
      </c>
      <c r="AH863" s="42">
        <f t="shared" si="39"/>
      </c>
      <c r="AI863" s="42">
        <f t="shared" si="40"/>
      </c>
    </row>
    <row r="864" spans="1:35" x14ac:dyDescent="0.2">
      <c r="A864" s="66">
        <f t="shared" si="41"/>
      </c>
      <c r="B864" s="4"/>
      <c r="C864" s="4"/>
      <c r="D864" s="4"/>
      <c r="E864" s="4"/>
      <c r="F864" s="24"/>
      <c r="G864" s="8"/>
      <c r="H864" s="9"/>
      <c r="I864" s="8"/>
      <c r="J864" s="10"/>
      <c r="K864" s="8"/>
      <c r="L864" s="8"/>
      <c r="M864" s="8"/>
      <c r="N864" s="11"/>
      <c r="O864" s="9"/>
      <c r="P864" s="12"/>
      <c r="Q864" s="9"/>
      <c r="R864" s="13"/>
      <c r="S864" s="11"/>
      <c r="T864" s="11"/>
      <c r="U864" s="9"/>
      <c r="V864" s="9"/>
      <c r="W864" s="9"/>
      <c r="X864" s="16"/>
      <c r="AF864" s="42">
        <f>IF(BUSCAR!$C$8="FECHA NAC.",$G864,IF(BUSCAR!$C$8="PASAPORTE EXPIRA",$J864,IF(BUSCAR!$C$8="LICENCIA EMISION",$L864,IF(BUSCAR!$C$8="LICENCIA EXPIRA",$M864,""))))</f>
      </c>
      <c r="AG864" s="42">
        <f>IF($B864&amp;$C864&amp;$D864&amp;$E864&amp;$H864="",0,IF(AND(OR(BUSCAR!$J$5="",ISNUMBER(SEARCH(BUSCAR!$J$5,$AI864))),OR(BUSCAR!$J$6="",ISNUMBER(SEARCH(BUSCAR!$J$6,$AI864))),OR(BUSCAR!$J$8="",ISNUMBER(SEARCH(BUSCAR!$J$8,$AI864))),OR(BUSCAR!$J$9="",ISNUMBER(SEARCH(BUSCAR!$J$9,$AI864))),OR(NOT(BUSCAR!$J$2),AND(ISNUMBER($AF864),$AF864&gt;=BUSCAR!$J$3,$AF864&lt;=BUSCAR!$J$4))),1,0))</f>
      </c>
      <c r="AH864" s="42">
        <f t="shared" si="39"/>
      </c>
      <c r="AI864" s="42">
        <f t="shared" si="40"/>
      </c>
    </row>
    <row r="865" spans="1:35" x14ac:dyDescent="0.2">
      <c r="A865" s="66">
        <f t="shared" si="41"/>
      </c>
      <c r="B865" s="4"/>
      <c r="C865" s="4"/>
      <c r="D865" s="4"/>
      <c r="E865" s="4"/>
      <c r="F865" s="24"/>
      <c r="G865" s="8"/>
      <c r="H865" s="9"/>
      <c r="I865" s="8"/>
      <c r="J865" s="10"/>
      <c r="K865" s="8"/>
      <c r="L865" s="8"/>
      <c r="M865" s="8"/>
      <c r="N865" s="11"/>
      <c r="O865" s="9"/>
      <c r="P865" s="12"/>
      <c r="Q865" s="9"/>
      <c r="R865" s="13"/>
      <c r="S865" s="11"/>
      <c r="T865" s="11"/>
      <c r="U865" s="9"/>
      <c r="V865" s="9"/>
      <c r="W865" s="9"/>
      <c r="X865" s="16"/>
      <c r="AF865" s="42">
        <f>IF(BUSCAR!$C$8="FECHA NAC.",$G865,IF(BUSCAR!$C$8="PASAPORTE EXPIRA",$J865,IF(BUSCAR!$C$8="LICENCIA EMISION",$L865,IF(BUSCAR!$C$8="LICENCIA EXPIRA",$M865,""))))</f>
      </c>
      <c r="AG865" s="42">
        <f>IF($B865&amp;$C865&amp;$D865&amp;$E865&amp;$H865="",0,IF(AND(OR(BUSCAR!$J$5="",ISNUMBER(SEARCH(BUSCAR!$J$5,$AI865))),OR(BUSCAR!$J$6="",ISNUMBER(SEARCH(BUSCAR!$J$6,$AI865))),OR(BUSCAR!$J$8="",ISNUMBER(SEARCH(BUSCAR!$J$8,$AI865))),OR(BUSCAR!$J$9="",ISNUMBER(SEARCH(BUSCAR!$J$9,$AI865))),OR(NOT(BUSCAR!$J$2),AND(ISNUMBER($AF865),$AF865&gt;=BUSCAR!$J$3,$AF865&lt;=BUSCAR!$J$4))),1,0))</f>
      </c>
      <c r="AH865" s="42">
        <f t="shared" si="39"/>
      </c>
      <c r="AI865" s="42">
        <f t="shared" si="40"/>
      </c>
    </row>
    <row r="866" spans="1:35" x14ac:dyDescent="0.2">
      <c r="A866" s="66">
        <f t="shared" si="41"/>
      </c>
      <c r="B866" s="4"/>
      <c r="C866" s="4"/>
      <c r="D866" s="4"/>
      <c r="E866" s="4"/>
      <c r="F866" s="24"/>
      <c r="G866" s="8"/>
      <c r="H866" s="9"/>
      <c r="I866" s="8"/>
      <c r="J866" s="10"/>
      <c r="K866" s="8"/>
      <c r="L866" s="8"/>
      <c r="M866" s="8"/>
      <c r="N866" s="11"/>
      <c r="O866" s="9"/>
      <c r="P866" s="12"/>
      <c r="Q866" s="9"/>
      <c r="R866" s="13"/>
      <c r="S866" s="11"/>
      <c r="T866" s="11"/>
      <c r="U866" s="9"/>
      <c r="V866" s="9"/>
      <c r="W866" s="9"/>
      <c r="X866" s="16"/>
      <c r="AF866" s="42">
        <f>IF(BUSCAR!$C$8="FECHA NAC.",$G866,IF(BUSCAR!$C$8="PASAPORTE EXPIRA",$J866,IF(BUSCAR!$C$8="LICENCIA EMISION",$L866,IF(BUSCAR!$C$8="LICENCIA EXPIRA",$M866,""))))</f>
      </c>
      <c r="AG866" s="42">
        <f>IF($B866&amp;$C866&amp;$D866&amp;$E866&amp;$H866="",0,IF(AND(OR(BUSCAR!$J$5="",ISNUMBER(SEARCH(BUSCAR!$J$5,$AI866))),OR(BUSCAR!$J$6="",ISNUMBER(SEARCH(BUSCAR!$J$6,$AI866))),OR(BUSCAR!$J$8="",ISNUMBER(SEARCH(BUSCAR!$J$8,$AI866))),OR(BUSCAR!$J$9="",ISNUMBER(SEARCH(BUSCAR!$J$9,$AI866))),OR(NOT(BUSCAR!$J$2),AND(ISNUMBER($AF866),$AF866&gt;=BUSCAR!$J$3,$AF866&lt;=BUSCAR!$J$4))),1,0))</f>
      </c>
      <c r="AH866" s="42">
        <f t="shared" si="39"/>
      </c>
      <c r="AI866" s="42">
        <f t="shared" si="40"/>
      </c>
    </row>
    <row r="867" spans="1:35" x14ac:dyDescent="0.2">
      <c r="A867" s="66">
        <f t="shared" si="41"/>
      </c>
      <c r="B867" s="4"/>
      <c r="C867" s="4"/>
      <c r="D867" s="4"/>
      <c r="E867" s="4"/>
      <c r="F867" s="24"/>
      <c r="G867" s="8"/>
      <c r="H867" s="9"/>
      <c r="I867" s="8"/>
      <c r="J867" s="10"/>
      <c r="K867" s="8"/>
      <c r="L867" s="8"/>
      <c r="M867" s="8"/>
      <c r="N867" s="11"/>
      <c r="O867" s="9"/>
      <c r="P867" s="12"/>
      <c r="Q867" s="9"/>
      <c r="R867" s="13"/>
      <c r="S867" s="11"/>
      <c r="T867" s="11"/>
      <c r="U867" s="9"/>
      <c r="V867" s="9"/>
      <c r="W867" s="9"/>
      <c r="X867" s="16"/>
      <c r="AF867" s="42">
        <f>IF(BUSCAR!$C$8="FECHA NAC.",$G867,IF(BUSCAR!$C$8="PASAPORTE EXPIRA",$J867,IF(BUSCAR!$C$8="LICENCIA EMISION",$L867,IF(BUSCAR!$C$8="LICENCIA EXPIRA",$M867,""))))</f>
      </c>
      <c r="AG867" s="42">
        <f>IF($B867&amp;$C867&amp;$D867&amp;$E867&amp;$H867="",0,IF(AND(OR(BUSCAR!$J$5="",ISNUMBER(SEARCH(BUSCAR!$J$5,$AI867))),OR(BUSCAR!$J$6="",ISNUMBER(SEARCH(BUSCAR!$J$6,$AI867))),OR(BUSCAR!$J$8="",ISNUMBER(SEARCH(BUSCAR!$J$8,$AI867))),OR(BUSCAR!$J$9="",ISNUMBER(SEARCH(BUSCAR!$J$9,$AI867))),OR(NOT(BUSCAR!$J$2),AND(ISNUMBER($AF867),$AF867&gt;=BUSCAR!$J$3,$AF867&lt;=BUSCAR!$J$4))),1,0))</f>
      </c>
      <c r="AH867" s="42">
        <f t="shared" si="39"/>
      </c>
      <c r="AI867" s="42">
        <f t="shared" si="40"/>
      </c>
    </row>
    <row r="868" spans="1:35" x14ac:dyDescent="0.2">
      <c r="A868" s="66">
        <f t="shared" si="41"/>
      </c>
      <c r="B868" s="4"/>
      <c r="C868" s="4"/>
      <c r="D868" s="4"/>
      <c r="E868" s="4"/>
      <c r="F868" s="24"/>
      <c r="G868" s="8"/>
      <c r="H868" s="9"/>
      <c r="I868" s="8"/>
      <c r="J868" s="10"/>
      <c r="K868" s="8"/>
      <c r="L868" s="8"/>
      <c r="M868" s="8"/>
      <c r="N868" s="11"/>
      <c r="O868" s="9"/>
      <c r="P868" s="12"/>
      <c r="Q868" s="9"/>
      <c r="R868" s="13"/>
      <c r="S868" s="11"/>
      <c r="T868" s="11"/>
      <c r="U868" s="9"/>
      <c r="V868" s="9"/>
      <c r="W868" s="9"/>
      <c r="X868" s="16"/>
      <c r="AF868" s="42">
        <f>IF(BUSCAR!$C$8="FECHA NAC.",$G868,IF(BUSCAR!$C$8="PASAPORTE EXPIRA",$J868,IF(BUSCAR!$C$8="LICENCIA EMISION",$L868,IF(BUSCAR!$C$8="LICENCIA EXPIRA",$M868,""))))</f>
      </c>
      <c r="AG868" s="42">
        <f>IF($B868&amp;$C868&amp;$D868&amp;$E868&amp;$H868="",0,IF(AND(OR(BUSCAR!$J$5="",ISNUMBER(SEARCH(BUSCAR!$J$5,$AI868))),OR(BUSCAR!$J$6="",ISNUMBER(SEARCH(BUSCAR!$J$6,$AI868))),OR(BUSCAR!$J$8="",ISNUMBER(SEARCH(BUSCAR!$J$8,$AI868))),OR(BUSCAR!$J$9="",ISNUMBER(SEARCH(BUSCAR!$J$9,$AI868))),OR(NOT(BUSCAR!$J$2),AND(ISNUMBER($AF868),$AF868&gt;=BUSCAR!$J$3,$AF868&lt;=BUSCAR!$J$4))),1,0))</f>
      </c>
      <c r="AH868" s="42">
        <f t="shared" si="39"/>
      </c>
      <c r="AI868" s="42">
        <f t="shared" si="40"/>
      </c>
    </row>
    <row r="869" spans="1:35" x14ac:dyDescent="0.2">
      <c r="A869" s="66">
        <f t="shared" si="41"/>
      </c>
      <c r="B869" s="4"/>
      <c r="C869" s="4"/>
      <c r="D869" s="4"/>
      <c r="E869" s="4"/>
      <c r="F869" s="24"/>
      <c r="G869" s="8"/>
      <c r="H869" s="9"/>
      <c r="I869" s="8"/>
      <c r="J869" s="10"/>
      <c r="K869" s="8"/>
      <c r="L869" s="8"/>
      <c r="M869" s="8"/>
      <c r="N869" s="11"/>
      <c r="O869" s="9"/>
      <c r="P869" s="12"/>
      <c r="Q869" s="9"/>
      <c r="R869" s="13"/>
      <c r="S869" s="11"/>
      <c r="T869" s="11"/>
      <c r="U869" s="9"/>
      <c r="V869" s="9"/>
      <c r="W869" s="9"/>
      <c r="X869" s="16"/>
      <c r="AF869" s="42">
        <f>IF(BUSCAR!$C$8="FECHA NAC.",$G869,IF(BUSCAR!$C$8="PASAPORTE EXPIRA",$J869,IF(BUSCAR!$C$8="LICENCIA EMISION",$L869,IF(BUSCAR!$C$8="LICENCIA EXPIRA",$M869,""))))</f>
      </c>
      <c r="AG869" s="42">
        <f>IF($B869&amp;$C869&amp;$D869&amp;$E869&amp;$H869="",0,IF(AND(OR(BUSCAR!$J$5="",ISNUMBER(SEARCH(BUSCAR!$J$5,$AI869))),OR(BUSCAR!$J$6="",ISNUMBER(SEARCH(BUSCAR!$J$6,$AI869))),OR(BUSCAR!$J$8="",ISNUMBER(SEARCH(BUSCAR!$J$8,$AI869))),OR(BUSCAR!$J$9="",ISNUMBER(SEARCH(BUSCAR!$J$9,$AI869))),OR(NOT(BUSCAR!$J$2),AND(ISNUMBER($AF869),$AF869&gt;=BUSCAR!$J$3,$AF869&lt;=BUSCAR!$J$4))),1,0))</f>
      </c>
      <c r="AH869" s="42">
        <f t="shared" si="39"/>
      </c>
      <c r="AI869" s="42">
        <f t="shared" si="40"/>
      </c>
    </row>
    <row r="870" spans="1:35" x14ac:dyDescent="0.2">
      <c r="A870" s="66">
        <f t="shared" si="41"/>
      </c>
      <c r="B870" s="4"/>
      <c r="C870" s="4"/>
      <c r="D870" s="4"/>
      <c r="E870" s="4"/>
      <c r="F870" s="24"/>
      <c r="G870" s="8"/>
      <c r="H870" s="9"/>
      <c r="I870" s="8"/>
      <c r="J870" s="10"/>
      <c r="K870" s="8"/>
      <c r="L870" s="8"/>
      <c r="M870" s="8"/>
      <c r="N870" s="11"/>
      <c r="O870" s="9"/>
      <c r="P870" s="12"/>
      <c r="Q870" s="9"/>
      <c r="R870" s="13"/>
      <c r="S870" s="11"/>
      <c r="T870" s="11"/>
      <c r="U870" s="9"/>
      <c r="V870" s="9"/>
      <c r="W870" s="9"/>
      <c r="X870" s="16"/>
      <c r="AF870" s="42">
        <f>IF(BUSCAR!$C$8="FECHA NAC.",$G870,IF(BUSCAR!$C$8="PASAPORTE EXPIRA",$J870,IF(BUSCAR!$C$8="LICENCIA EMISION",$L870,IF(BUSCAR!$C$8="LICENCIA EXPIRA",$M870,""))))</f>
      </c>
      <c r="AG870" s="42">
        <f>IF($B870&amp;$C870&amp;$D870&amp;$E870&amp;$H870="",0,IF(AND(OR(BUSCAR!$J$5="",ISNUMBER(SEARCH(BUSCAR!$J$5,$AI870))),OR(BUSCAR!$J$6="",ISNUMBER(SEARCH(BUSCAR!$J$6,$AI870))),OR(BUSCAR!$J$8="",ISNUMBER(SEARCH(BUSCAR!$J$8,$AI870))),OR(BUSCAR!$J$9="",ISNUMBER(SEARCH(BUSCAR!$J$9,$AI870))),OR(NOT(BUSCAR!$J$2),AND(ISNUMBER($AF870),$AF870&gt;=BUSCAR!$J$3,$AF870&lt;=BUSCAR!$J$4))),1,0))</f>
      </c>
      <c r="AH870" s="42">
        <f t="shared" si="39"/>
      </c>
      <c r="AI870" s="42">
        <f t="shared" si="40"/>
      </c>
    </row>
    <row r="871" spans="1:35" x14ac:dyDescent="0.2">
      <c r="A871" s="66">
        <f t="shared" si="41"/>
      </c>
      <c r="B871" s="4"/>
      <c r="C871" s="4"/>
      <c r="D871" s="4"/>
      <c r="E871" s="4"/>
      <c r="F871" s="24"/>
      <c r="G871" s="8"/>
      <c r="H871" s="9"/>
      <c r="I871" s="8"/>
      <c r="J871" s="10"/>
      <c r="K871" s="8"/>
      <c r="L871" s="8"/>
      <c r="M871" s="8"/>
      <c r="N871" s="11"/>
      <c r="O871" s="9"/>
      <c r="P871" s="12"/>
      <c r="Q871" s="9"/>
      <c r="R871" s="13"/>
      <c r="S871" s="11"/>
      <c r="T871" s="11"/>
      <c r="U871" s="9"/>
      <c r="V871" s="9"/>
      <c r="W871" s="9"/>
      <c r="X871" s="16"/>
      <c r="AF871" s="42">
        <f>IF(BUSCAR!$C$8="FECHA NAC.",$G871,IF(BUSCAR!$C$8="PASAPORTE EXPIRA",$J871,IF(BUSCAR!$C$8="LICENCIA EMISION",$L871,IF(BUSCAR!$C$8="LICENCIA EXPIRA",$M871,""))))</f>
      </c>
      <c r="AG871" s="42">
        <f>IF($B871&amp;$C871&amp;$D871&amp;$E871&amp;$H871="",0,IF(AND(OR(BUSCAR!$J$5="",ISNUMBER(SEARCH(BUSCAR!$J$5,$AI871))),OR(BUSCAR!$J$6="",ISNUMBER(SEARCH(BUSCAR!$J$6,$AI871))),OR(BUSCAR!$J$8="",ISNUMBER(SEARCH(BUSCAR!$J$8,$AI871))),OR(BUSCAR!$J$9="",ISNUMBER(SEARCH(BUSCAR!$J$9,$AI871))),OR(NOT(BUSCAR!$J$2),AND(ISNUMBER($AF871),$AF871&gt;=BUSCAR!$J$3,$AF871&lt;=BUSCAR!$J$4))),1,0))</f>
      </c>
      <c r="AH871" s="42">
        <f t="shared" si="39"/>
      </c>
      <c r="AI871" s="42">
        <f t="shared" si="40"/>
      </c>
    </row>
    <row r="872" spans="1:35" x14ac:dyDescent="0.2">
      <c r="A872" s="66">
        <f t="shared" si="41"/>
      </c>
      <c r="B872" s="4"/>
      <c r="C872" s="4"/>
      <c r="D872" s="4"/>
      <c r="E872" s="4"/>
      <c r="F872" s="24"/>
      <c r="G872" s="8"/>
      <c r="H872" s="9"/>
      <c r="I872" s="8"/>
      <c r="J872" s="10"/>
      <c r="K872" s="8"/>
      <c r="L872" s="8"/>
      <c r="M872" s="8"/>
      <c r="N872" s="11"/>
      <c r="O872" s="9"/>
      <c r="P872" s="12"/>
      <c r="Q872" s="9"/>
      <c r="R872" s="13"/>
      <c r="S872" s="11"/>
      <c r="T872" s="11"/>
      <c r="U872" s="9"/>
      <c r="V872" s="9"/>
      <c r="W872" s="9"/>
      <c r="X872" s="16"/>
      <c r="AF872" s="42">
        <f>IF(BUSCAR!$C$8="FECHA NAC.",$G872,IF(BUSCAR!$C$8="PASAPORTE EXPIRA",$J872,IF(BUSCAR!$C$8="LICENCIA EMISION",$L872,IF(BUSCAR!$C$8="LICENCIA EXPIRA",$M872,""))))</f>
      </c>
      <c r="AG872" s="42">
        <f>IF($B872&amp;$C872&amp;$D872&amp;$E872&amp;$H872="",0,IF(AND(OR(BUSCAR!$J$5="",ISNUMBER(SEARCH(BUSCAR!$J$5,$AI872))),OR(BUSCAR!$J$6="",ISNUMBER(SEARCH(BUSCAR!$J$6,$AI872))),OR(BUSCAR!$J$8="",ISNUMBER(SEARCH(BUSCAR!$J$8,$AI872))),OR(BUSCAR!$J$9="",ISNUMBER(SEARCH(BUSCAR!$J$9,$AI872))),OR(NOT(BUSCAR!$J$2),AND(ISNUMBER($AF872),$AF872&gt;=BUSCAR!$J$3,$AF872&lt;=BUSCAR!$J$4))),1,0))</f>
      </c>
      <c r="AH872" s="42">
        <f t="shared" si="39"/>
      </c>
      <c r="AI872" s="42">
        <f t="shared" si="40"/>
      </c>
    </row>
    <row r="873" spans="1:35" x14ac:dyDescent="0.2">
      <c r="A873" s="66">
        <f t="shared" si="41"/>
      </c>
      <c r="B873" s="4"/>
      <c r="C873" s="4"/>
      <c r="D873" s="4"/>
      <c r="E873" s="4"/>
      <c r="F873" s="24"/>
      <c r="G873" s="8"/>
      <c r="H873" s="9"/>
      <c r="I873" s="8"/>
      <c r="J873" s="10"/>
      <c r="K873" s="8"/>
      <c r="L873" s="8"/>
      <c r="M873" s="8"/>
      <c r="N873" s="11"/>
      <c r="O873" s="9"/>
      <c r="P873" s="12"/>
      <c r="Q873" s="9"/>
      <c r="R873" s="13"/>
      <c r="S873" s="11"/>
      <c r="T873" s="11"/>
      <c r="U873" s="9"/>
      <c r="V873" s="9"/>
      <c r="W873" s="9"/>
      <c r="X873" s="16"/>
      <c r="AF873" s="42">
        <f>IF(BUSCAR!$C$8="FECHA NAC.",$G873,IF(BUSCAR!$C$8="PASAPORTE EXPIRA",$J873,IF(BUSCAR!$C$8="LICENCIA EMISION",$L873,IF(BUSCAR!$C$8="LICENCIA EXPIRA",$M873,""))))</f>
      </c>
      <c r="AG873" s="42">
        <f>IF($B873&amp;$C873&amp;$D873&amp;$E873&amp;$H873="",0,IF(AND(OR(BUSCAR!$J$5="",ISNUMBER(SEARCH(BUSCAR!$J$5,$AI873))),OR(BUSCAR!$J$6="",ISNUMBER(SEARCH(BUSCAR!$J$6,$AI873))),OR(BUSCAR!$J$8="",ISNUMBER(SEARCH(BUSCAR!$J$8,$AI873))),OR(BUSCAR!$J$9="",ISNUMBER(SEARCH(BUSCAR!$J$9,$AI873))),OR(NOT(BUSCAR!$J$2),AND(ISNUMBER($AF873),$AF873&gt;=BUSCAR!$J$3,$AF873&lt;=BUSCAR!$J$4))),1,0))</f>
      </c>
      <c r="AH873" s="42">
        <f t="shared" si="39"/>
      </c>
      <c r="AI873" s="42">
        <f t="shared" si="40"/>
      </c>
    </row>
    <row r="874" spans="1:35" x14ac:dyDescent="0.2">
      <c r="A874" s="66">
        <f t="shared" si="41"/>
      </c>
      <c r="B874" s="4"/>
      <c r="C874" s="4"/>
      <c r="D874" s="4"/>
      <c r="E874" s="4"/>
      <c r="F874" s="24"/>
      <c r="G874" s="8"/>
      <c r="H874" s="9"/>
      <c r="I874" s="8"/>
      <c r="J874" s="10"/>
      <c r="K874" s="8"/>
      <c r="L874" s="8"/>
      <c r="M874" s="8"/>
      <c r="N874" s="11"/>
      <c r="O874" s="9"/>
      <c r="P874" s="12"/>
      <c r="Q874" s="9"/>
      <c r="R874" s="13"/>
      <c r="S874" s="11"/>
      <c r="T874" s="11"/>
      <c r="U874" s="9"/>
      <c r="V874" s="9"/>
      <c r="W874" s="9"/>
      <c r="X874" s="16"/>
      <c r="AF874" s="42">
        <f>IF(BUSCAR!$C$8="FECHA NAC.",$G874,IF(BUSCAR!$C$8="PASAPORTE EXPIRA",$J874,IF(BUSCAR!$C$8="LICENCIA EMISION",$L874,IF(BUSCAR!$C$8="LICENCIA EXPIRA",$M874,""))))</f>
      </c>
      <c r="AG874" s="42">
        <f>IF($B874&amp;$C874&amp;$D874&amp;$E874&amp;$H874="",0,IF(AND(OR(BUSCAR!$J$5="",ISNUMBER(SEARCH(BUSCAR!$J$5,$AI874))),OR(BUSCAR!$J$6="",ISNUMBER(SEARCH(BUSCAR!$J$6,$AI874))),OR(BUSCAR!$J$8="",ISNUMBER(SEARCH(BUSCAR!$J$8,$AI874))),OR(BUSCAR!$J$9="",ISNUMBER(SEARCH(BUSCAR!$J$9,$AI874))),OR(NOT(BUSCAR!$J$2),AND(ISNUMBER($AF874),$AF874&gt;=BUSCAR!$J$3,$AF874&lt;=BUSCAR!$J$4))),1,0))</f>
      </c>
      <c r="AH874" s="42">
        <f t="shared" si="39"/>
      </c>
      <c r="AI874" s="42">
        <f t="shared" si="40"/>
      </c>
    </row>
    <row r="875" spans="1:35" x14ac:dyDescent="0.2">
      <c r="A875" s="66">
        <f t="shared" si="41"/>
      </c>
      <c r="B875" s="4"/>
      <c r="C875" s="4"/>
      <c r="D875" s="4"/>
      <c r="E875" s="4"/>
      <c r="F875" s="24"/>
      <c r="G875" s="8"/>
      <c r="H875" s="9"/>
      <c r="I875" s="8"/>
      <c r="J875" s="10"/>
      <c r="K875" s="8"/>
      <c r="L875" s="8"/>
      <c r="M875" s="8"/>
      <c r="N875" s="11"/>
      <c r="O875" s="9"/>
      <c r="P875" s="12"/>
      <c r="Q875" s="9"/>
      <c r="R875" s="13"/>
      <c r="S875" s="11"/>
      <c r="T875" s="11"/>
      <c r="U875" s="9"/>
      <c r="V875" s="9"/>
      <c r="W875" s="9"/>
      <c r="X875" s="16"/>
      <c r="AF875" s="42">
        <f>IF(BUSCAR!$C$8="FECHA NAC.",$G875,IF(BUSCAR!$C$8="PASAPORTE EXPIRA",$J875,IF(BUSCAR!$C$8="LICENCIA EMISION",$L875,IF(BUSCAR!$C$8="LICENCIA EXPIRA",$M875,""))))</f>
      </c>
      <c r="AG875" s="42">
        <f>IF($B875&amp;$C875&amp;$D875&amp;$E875&amp;$H875="",0,IF(AND(OR(BUSCAR!$J$5="",ISNUMBER(SEARCH(BUSCAR!$J$5,$AI875))),OR(BUSCAR!$J$6="",ISNUMBER(SEARCH(BUSCAR!$J$6,$AI875))),OR(BUSCAR!$J$8="",ISNUMBER(SEARCH(BUSCAR!$J$8,$AI875))),OR(BUSCAR!$J$9="",ISNUMBER(SEARCH(BUSCAR!$J$9,$AI875))),OR(NOT(BUSCAR!$J$2),AND(ISNUMBER($AF875),$AF875&gt;=BUSCAR!$J$3,$AF875&lt;=BUSCAR!$J$4))),1,0))</f>
      </c>
      <c r="AH875" s="42">
        <f t="shared" si="39"/>
      </c>
      <c r="AI875" s="42">
        <f t="shared" si="40"/>
      </c>
    </row>
    <row r="876" spans="1:35" x14ac:dyDescent="0.2">
      <c r="A876" s="66">
        <f t="shared" si="41"/>
      </c>
      <c r="B876" s="4"/>
      <c r="C876" s="4"/>
      <c r="D876" s="4"/>
      <c r="E876" s="4"/>
      <c r="F876" s="24"/>
      <c r="G876" s="8"/>
      <c r="H876" s="9"/>
      <c r="I876" s="8"/>
      <c r="J876" s="10"/>
      <c r="K876" s="8"/>
      <c r="L876" s="8"/>
      <c r="M876" s="8"/>
      <c r="N876" s="11"/>
      <c r="O876" s="9"/>
      <c r="P876" s="12"/>
      <c r="Q876" s="9"/>
      <c r="R876" s="13"/>
      <c r="S876" s="11"/>
      <c r="T876" s="11"/>
      <c r="U876" s="9"/>
      <c r="V876" s="9"/>
      <c r="W876" s="9"/>
      <c r="X876" s="16"/>
      <c r="AF876" s="42">
        <f>IF(BUSCAR!$C$8="FECHA NAC.",$G876,IF(BUSCAR!$C$8="PASAPORTE EXPIRA",$J876,IF(BUSCAR!$C$8="LICENCIA EMISION",$L876,IF(BUSCAR!$C$8="LICENCIA EXPIRA",$M876,""))))</f>
      </c>
      <c r="AG876" s="42">
        <f>IF($B876&amp;$C876&amp;$D876&amp;$E876&amp;$H876="",0,IF(AND(OR(BUSCAR!$J$5="",ISNUMBER(SEARCH(BUSCAR!$J$5,$AI876))),OR(BUSCAR!$J$6="",ISNUMBER(SEARCH(BUSCAR!$J$6,$AI876))),OR(BUSCAR!$J$8="",ISNUMBER(SEARCH(BUSCAR!$J$8,$AI876))),OR(BUSCAR!$J$9="",ISNUMBER(SEARCH(BUSCAR!$J$9,$AI876))),OR(NOT(BUSCAR!$J$2),AND(ISNUMBER($AF876),$AF876&gt;=BUSCAR!$J$3,$AF876&lt;=BUSCAR!$J$4))),1,0))</f>
      </c>
      <c r="AH876" s="42">
        <f t="shared" si="39"/>
      </c>
      <c r="AI876" s="42">
        <f t="shared" si="40"/>
      </c>
    </row>
    <row r="877" spans="1:35" x14ac:dyDescent="0.2">
      <c r="A877" s="66">
        <f t="shared" si="41"/>
      </c>
      <c r="B877" s="4"/>
      <c r="C877" s="4"/>
      <c r="D877" s="4"/>
      <c r="E877" s="4"/>
      <c r="F877" s="24"/>
      <c r="G877" s="8"/>
      <c r="H877" s="9"/>
      <c r="I877" s="8"/>
      <c r="J877" s="10"/>
      <c r="K877" s="8"/>
      <c r="L877" s="8"/>
      <c r="M877" s="8"/>
      <c r="N877" s="11"/>
      <c r="O877" s="9"/>
      <c r="P877" s="12"/>
      <c r="Q877" s="9"/>
      <c r="R877" s="13"/>
      <c r="S877" s="11"/>
      <c r="T877" s="11"/>
      <c r="U877" s="9"/>
      <c r="V877" s="9"/>
      <c r="W877" s="9"/>
      <c r="X877" s="16"/>
      <c r="AF877" s="42">
        <f>IF(BUSCAR!$C$8="FECHA NAC.",$G877,IF(BUSCAR!$C$8="PASAPORTE EXPIRA",$J877,IF(BUSCAR!$C$8="LICENCIA EMISION",$L877,IF(BUSCAR!$C$8="LICENCIA EXPIRA",$M877,""))))</f>
      </c>
      <c r="AG877" s="42">
        <f>IF($B877&amp;$C877&amp;$D877&amp;$E877&amp;$H877="",0,IF(AND(OR(BUSCAR!$J$5="",ISNUMBER(SEARCH(BUSCAR!$J$5,$AI877))),OR(BUSCAR!$J$6="",ISNUMBER(SEARCH(BUSCAR!$J$6,$AI877))),OR(BUSCAR!$J$8="",ISNUMBER(SEARCH(BUSCAR!$J$8,$AI877))),OR(BUSCAR!$J$9="",ISNUMBER(SEARCH(BUSCAR!$J$9,$AI877))),OR(NOT(BUSCAR!$J$2),AND(ISNUMBER($AF877),$AF877&gt;=BUSCAR!$J$3,$AF877&lt;=BUSCAR!$J$4))),1,0))</f>
      </c>
      <c r="AH877" s="42">
        <f t="shared" si="39"/>
      </c>
      <c r="AI877" s="42">
        <f t="shared" si="40"/>
      </c>
    </row>
    <row r="878" spans="1:35" x14ac:dyDescent="0.2">
      <c r="A878" s="66">
        <f t="shared" si="41"/>
      </c>
      <c r="B878" s="4"/>
      <c r="C878" s="4"/>
      <c r="D878" s="4"/>
      <c r="E878" s="4"/>
      <c r="F878" s="24"/>
      <c r="G878" s="8"/>
      <c r="H878" s="9"/>
      <c r="I878" s="8"/>
      <c r="J878" s="10"/>
      <c r="K878" s="8"/>
      <c r="L878" s="8"/>
      <c r="M878" s="8"/>
      <c r="N878" s="11"/>
      <c r="O878" s="9"/>
      <c r="P878" s="12"/>
      <c r="Q878" s="9"/>
      <c r="R878" s="13"/>
      <c r="S878" s="11"/>
      <c r="T878" s="11"/>
      <c r="U878" s="9"/>
      <c r="V878" s="9"/>
      <c r="W878" s="9"/>
      <c r="X878" s="16"/>
      <c r="AF878" s="42">
        <f>IF(BUSCAR!$C$8="FECHA NAC.",$G878,IF(BUSCAR!$C$8="PASAPORTE EXPIRA",$J878,IF(BUSCAR!$C$8="LICENCIA EMISION",$L878,IF(BUSCAR!$C$8="LICENCIA EXPIRA",$M878,""))))</f>
      </c>
      <c r="AG878" s="42">
        <f>IF($B878&amp;$C878&amp;$D878&amp;$E878&amp;$H878="",0,IF(AND(OR(BUSCAR!$J$5="",ISNUMBER(SEARCH(BUSCAR!$J$5,$AI878))),OR(BUSCAR!$J$6="",ISNUMBER(SEARCH(BUSCAR!$J$6,$AI878))),OR(BUSCAR!$J$8="",ISNUMBER(SEARCH(BUSCAR!$J$8,$AI878))),OR(BUSCAR!$J$9="",ISNUMBER(SEARCH(BUSCAR!$J$9,$AI878))),OR(NOT(BUSCAR!$J$2),AND(ISNUMBER($AF878),$AF878&gt;=BUSCAR!$J$3,$AF878&lt;=BUSCAR!$J$4))),1,0))</f>
      </c>
      <c r="AH878" s="42">
        <f t="shared" si="39"/>
      </c>
      <c r="AI878" s="42">
        <f t="shared" si="40"/>
      </c>
    </row>
    <row r="879" spans="1:35" x14ac:dyDescent="0.2">
      <c r="A879" s="66">
        <f t="shared" si="41"/>
      </c>
      <c r="B879" s="4"/>
      <c r="C879" s="4"/>
      <c r="D879" s="4"/>
      <c r="E879" s="4"/>
      <c r="F879" s="24"/>
      <c r="G879" s="8"/>
      <c r="H879" s="9"/>
      <c r="I879" s="8"/>
      <c r="J879" s="10"/>
      <c r="K879" s="8"/>
      <c r="L879" s="8"/>
      <c r="M879" s="8"/>
      <c r="N879" s="11"/>
      <c r="O879" s="9"/>
      <c r="P879" s="12"/>
      <c r="Q879" s="9"/>
      <c r="R879" s="13"/>
      <c r="S879" s="11"/>
      <c r="T879" s="11"/>
      <c r="U879" s="9"/>
      <c r="V879" s="9"/>
      <c r="W879" s="9"/>
      <c r="X879" s="16"/>
      <c r="AF879" s="42">
        <f>IF(BUSCAR!$C$8="FECHA NAC.",$G879,IF(BUSCAR!$C$8="PASAPORTE EXPIRA",$J879,IF(BUSCAR!$C$8="LICENCIA EMISION",$L879,IF(BUSCAR!$C$8="LICENCIA EXPIRA",$M879,""))))</f>
      </c>
      <c r="AG879" s="42">
        <f>IF($B879&amp;$C879&amp;$D879&amp;$E879&amp;$H879="",0,IF(AND(OR(BUSCAR!$J$5="",ISNUMBER(SEARCH(BUSCAR!$J$5,$AI879))),OR(BUSCAR!$J$6="",ISNUMBER(SEARCH(BUSCAR!$J$6,$AI879))),OR(BUSCAR!$J$8="",ISNUMBER(SEARCH(BUSCAR!$J$8,$AI879))),OR(BUSCAR!$J$9="",ISNUMBER(SEARCH(BUSCAR!$J$9,$AI879))),OR(NOT(BUSCAR!$J$2),AND(ISNUMBER($AF879),$AF879&gt;=BUSCAR!$J$3,$AF879&lt;=BUSCAR!$J$4))),1,0))</f>
      </c>
      <c r="AH879" s="42">
        <f t="shared" si="39"/>
      </c>
      <c r="AI879" s="42">
        <f t="shared" si="40"/>
      </c>
    </row>
    <row r="880" spans="1:35" x14ac:dyDescent="0.2">
      <c r="A880" s="66">
        <f t="shared" si="41"/>
      </c>
      <c r="B880" s="4"/>
      <c r="C880" s="4"/>
      <c r="D880" s="4"/>
      <c r="E880" s="4"/>
      <c r="F880" s="24"/>
      <c r="G880" s="8"/>
      <c r="H880" s="9"/>
      <c r="I880" s="8"/>
      <c r="J880" s="10"/>
      <c r="K880" s="8"/>
      <c r="L880" s="8"/>
      <c r="M880" s="8"/>
      <c r="N880" s="11"/>
      <c r="O880" s="9"/>
      <c r="P880" s="12"/>
      <c r="Q880" s="9"/>
      <c r="R880" s="13"/>
      <c r="S880" s="11"/>
      <c r="T880" s="11"/>
      <c r="U880" s="9"/>
      <c r="V880" s="9"/>
      <c r="W880" s="9"/>
      <c r="X880" s="16"/>
      <c r="AF880" s="42">
        <f>IF(BUSCAR!$C$8="FECHA NAC.",$G880,IF(BUSCAR!$C$8="PASAPORTE EXPIRA",$J880,IF(BUSCAR!$C$8="LICENCIA EMISION",$L880,IF(BUSCAR!$C$8="LICENCIA EXPIRA",$M880,""))))</f>
      </c>
      <c r="AG880" s="42">
        <f>IF($B880&amp;$C880&amp;$D880&amp;$E880&amp;$H880="",0,IF(AND(OR(BUSCAR!$J$5="",ISNUMBER(SEARCH(BUSCAR!$J$5,$AI880))),OR(BUSCAR!$J$6="",ISNUMBER(SEARCH(BUSCAR!$J$6,$AI880))),OR(BUSCAR!$J$8="",ISNUMBER(SEARCH(BUSCAR!$J$8,$AI880))),OR(BUSCAR!$J$9="",ISNUMBER(SEARCH(BUSCAR!$J$9,$AI880))),OR(NOT(BUSCAR!$J$2),AND(ISNUMBER($AF880),$AF880&gt;=BUSCAR!$J$3,$AF880&lt;=BUSCAR!$J$4))),1,0))</f>
      </c>
      <c r="AH880" s="42">
        <f t="shared" si="39"/>
      </c>
      <c r="AI880" s="42">
        <f t="shared" si="40"/>
      </c>
    </row>
    <row r="881" spans="1:35" x14ac:dyDescent="0.2">
      <c r="A881" s="66">
        <f t="shared" si="41"/>
      </c>
      <c r="B881" s="4"/>
      <c r="C881" s="4"/>
      <c r="D881" s="4"/>
      <c r="E881" s="4"/>
      <c r="F881" s="24"/>
      <c r="G881" s="8"/>
      <c r="H881" s="9"/>
      <c r="I881" s="8"/>
      <c r="J881" s="10"/>
      <c r="K881" s="8"/>
      <c r="L881" s="8"/>
      <c r="M881" s="8"/>
      <c r="N881" s="11"/>
      <c r="O881" s="9"/>
      <c r="P881" s="12"/>
      <c r="Q881" s="9"/>
      <c r="R881" s="13"/>
      <c r="S881" s="11"/>
      <c r="T881" s="11"/>
      <c r="U881" s="9"/>
      <c r="V881" s="9"/>
      <c r="W881" s="9"/>
      <c r="X881" s="16"/>
      <c r="AF881" s="42">
        <f>IF(BUSCAR!$C$8="FECHA NAC.",$G881,IF(BUSCAR!$C$8="PASAPORTE EXPIRA",$J881,IF(BUSCAR!$C$8="LICENCIA EMISION",$L881,IF(BUSCAR!$C$8="LICENCIA EXPIRA",$M881,""))))</f>
      </c>
      <c r="AG881" s="42">
        <f>IF($B881&amp;$C881&amp;$D881&amp;$E881&amp;$H881="",0,IF(AND(OR(BUSCAR!$J$5="",ISNUMBER(SEARCH(BUSCAR!$J$5,$AI881))),OR(BUSCAR!$J$6="",ISNUMBER(SEARCH(BUSCAR!$J$6,$AI881))),OR(BUSCAR!$J$8="",ISNUMBER(SEARCH(BUSCAR!$J$8,$AI881))),OR(BUSCAR!$J$9="",ISNUMBER(SEARCH(BUSCAR!$J$9,$AI881))),OR(NOT(BUSCAR!$J$2),AND(ISNUMBER($AF881),$AF881&gt;=BUSCAR!$J$3,$AF881&lt;=BUSCAR!$J$4))),1,0))</f>
      </c>
      <c r="AH881" s="42">
        <f t="shared" si="39"/>
      </c>
      <c r="AI881" s="42">
        <f t="shared" si="40"/>
      </c>
    </row>
    <row r="882" spans="1:35" x14ac:dyDescent="0.2">
      <c r="A882" s="66">
        <f t="shared" si="41"/>
      </c>
      <c r="B882" s="4"/>
      <c r="C882" s="4"/>
      <c r="D882" s="4"/>
      <c r="E882" s="4"/>
      <c r="F882" s="24"/>
      <c r="G882" s="8"/>
      <c r="H882" s="9"/>
      <c r="I882" s="8"/>
      <c r="J882" s="10"/>
      <c r="K882" s="8"/>
      <c r="L882" s="8"/>
      <c r="M882" s="8"/>
      <c r="N882" s="11"/>
      <c r="O882" s="9"/>
      <c r="P882" s="12"/>
      <c r="Q882" s="9"/>
      <c r="R882" s="13"/>
      <c r="S882" s="11"/>
      <c r="T882" s="11"/>
      <c r="U882" s="9"/>
      <c r="V882" s="9"/>
      <c r="W882" s="9"/>
      <c r="X882" s="16"/>
      <c r="AF882" s="42">
        <f>IF(BUSCAR!$C$8="FECHA NAC.",$G882,IF(BUSCAR!$C$8="PASAPORTE EXPIRA",$J882,IF(BUSCAR!$C$8="LICENCIA EMISION",$L882,IF(BUSCAR!$C$8="LICENCIA EXPIRA",$M882,""))))</f>
      </c>
      <c r="AG882" s="42">
        <f>IF($B882&amp;$C882&amp;$D882&amp;$E882&amp;$H882="",0,IF(AND(OR(BUSCAR!$J$5="",ISNUMBER(SEARCH(BUSCAR!$J$5,$AI882))),OR(BUSCAR!$J$6="",ISNUMBER(SEARCH(BUSCAR!$J$6,$AI882))),OR(BUSCAR!$J$8="",ISNUMBER(SEARCH(BUSCAR!$J$8,$AI882))),OR(BUSCAR!$J$9="",ISNUMBER(SEARCH(BUSCAR!$J$9,$AI882))),OR(NOT(BUSCAR!$J$2),AND(ISNUMBER($AF882),$AF882&gt;=BUSCAR!$J$3,$AF882&lt;=BUSCAR!$J$4))),1,0))</f>
      </c>
      <c r="AH882" s="42">
        <f t="shared" si="39"/>
      </c>
      <c r="AI882" s="42">
        <f t="shared" si="40"/>
      </c>
    </row>
    <row r="883" spans="1:35" x14ac:dyDescent="0.2">
      <c r="A883" s="66">
        <f t="shared" si="41"/>
      </c>
      <c r="B883" s="4"/>
      <c r="C883" s="4"/>
      <c r="D883" s="4"/>
      <c r="E883" s="4"/>
      <c r="F883" s="24"/>
      <c r="G883" s="8"/>
      <c r="H883" s="9"/>
      <c r="I883" s="8"/>
      <c r="J883" s="10"/>
      <c r="K883" s="8"/>
      <c r="L883" s="8"/>
      <c r="M883" s="8"/>
      <c r="N883" s="11"/>
      <c r="O883" s="9"/>
      <c r="P883" s="12"/>
      <c r="Q883" s="9"/>
      <c r="R883" s="13"/>
      <c r="S883" s="11"/>
      <c r="T883" s="11"/>
      <c r="U883" s="9"/>
      <c r="V883" s="9"/>
      <c r="W883" s="9"/>
      <c r="X883" s="16"/>
      <c r="AF883" s="42">
        <f>IF(BUSCAR!$C$8="FECHA NAC.",$G883,IF(BUSCAR!$C$8="PASAPORTE EXPIRA",$J883,IF(BUSCAR!$C$8="LICENCIA EMISION",$L883,IF(BUSCAR!$C$8="LICENCIA EXPIRA",$M883,""))))</f>
      </c>
      <c r="AG883" s="42">
        <f>IF($B883&amp;$C883&amp;$D883&amp;$E883&amp;$H883="",0,IF(AND(OR(BUSCAR!$J$5="",ISNUMBER(SEARCH(BUSCAR!$J$5,$AI883))),OR(BUSCAR!$J$6="",ISNUMBER(SEARCH(BUSCAR!$J$6,$AI883))),OR(BUSCAR!$J$8="",ISNUMBER(SEARCH(BUSCAR!$J$8,$AI883))),OR(BUSCAR!$J$9="",ISNUMBER(SEARCH(BUSCAR!$J$9,$AI883))),OR(NOT(BUSCAR!$J$2),AND(ISNUMBER($AF883),$AF883&gt;=BUSCAR!$J$3,$AF883&lt;=BUSCAR!$J$4))),1,0))</f>
      </c>
      <c r="AH883" s="42">
        <f t="shared" si="39"/>
      </c>
      <c r="AI883" s="42">
        <f t="shared" si="40"/>
      </c>
    </row>
    <row r="884" spans="1:35" x14ac:dyDescent="0.2">
      <c r="A884" s="66">
        <f t="shared" si="41"/>
      </c>
      <c r="B884" s="4"/>
      <c r="C884" s="4"/>
      <c r="D884" s="4"/>
      <c r="E884" s="4"/>
      <c r="F884" s="24"/>
      <c r="G884" s="8"/>
      <c r="H884" s="9"/>
      <c r="I884" s="8"/>
      <c r="J884" s="10"/>
      <c r="K884" s="8"/>
      <c r="L884" s="8"/>
      <c r="M884" s="8"/>
      <c r="N884" s="11"/>
      <c r="O884" s="9"/>
      <c r="P884" s="12"/>
      <c r="Q884" s="9"/>
      <c r="R884" s="13"/>
      <c r="S884" s="11"/>
      <c r="T884" s="11"/>
      <c r="U884" s="9"/>
      <c r="V884" s="9"/>
      <c r="W884" s="9"/>
      <c r="X884" s="16"/>
      <c r="AF884" s="42">
        <f>IF(BUSCAR!$C$8="FECHA NAC.",$G884,IF(BUSCAR!$C$8="PASAPORTE EXPIRA",$J884,IF(BUSCAR!$C$8="LICENCIA EMISION",$L884,IF(BUSCAR!$C$8="LICENCIA EXPIRA",$M884,""))))</f>
      </c>
      <c r="AG884" s="42">
        <f>IF($B884&amp;$C884&amp;$D884&amp;$E884&amp;$H884="",0,IF(AND(OR(BUSCAR!$J$5="",ISNUMBER(SEARCH(BUSCAR!$J$5,$AI884))),OR(BUSCAR!$J$6="",ISNUMBER(SEARCH(BUSCAR!$J$6,$AI884))),OR(BUSCAR!$J$8="",ISNUMBER(SEARCH(BUSCAR!$J$8,$AI884))),OR(BUSCAR!$J$9="",ISNUMBER(SEARCH(BUSCAR!$J$9,$AI884))),OR(NOT(BUSCAR!$J$2),AND(ISNUMBER($AF884),$AF884&gt;=BUSCAR!$J$3,$AF884&lt;=BUSCAR!$J$4))),1,0))</f>
      </c>
      <c r="AH884" s="42">
        <f t="shared" si="39"/>
      </c>
      <c r="AI884" s="42">
        <f t="shared" si="40"/>
      </c>
    </row>
    <row r="885" spans="1:35" x14ac:dyDescent="0.2">
      <c r="A885" s="66">
        <f t="shared" si="41"/>
      </c>
      <c r="B885" s="4"/>
      <c r="C885" s="4"/>
      <c r="D885" s="4"/>
      <c r="E885" s="4"/>
      <c r="F885" s="24"/>
      <c r="G885" s="8"/>
      <c r="H885" s="9"/>
      <c r="I885" s="8"/>
      <c r="J885" s="10"/>
      <c r="K885" s="8"/>
      <c r="L885" s="8"/>
      <c r="M885" s="8"/>
      <c r="N885" s="11"/>
      <c r="O885" s="9"/>
      <c r="P885" s="12"/>
      <c r="Q885" s="9"/>
      <c r="R885" s="13"/>
      <c r="S885" s="11"/>
      <c r="T885" s="11"/>
      <c r="U885" s="9"/>
      <c r="V885" s="9"/>
      <c r="W885" s="9"/>
      <c r="X885" s="16"/>
      <c r="AF885" s="42">
        <f>IF(BUSCAR!$C$8="FECHA NAC.",$G885,IF(BUSCAR!$C$8="PASAPORTE EXPIRA",$J885,IF(BUSCAR!$C$8="LICENCIA EMISION",$L885,IF(BUSCAR!$C$8="LICENCIA EXPIRA",$M885,""))))</f>
      </c>
      <c r="AG885" s="42">
        <f>IF($B885&amp;$C885&amp;$D885&amp;$E885&amp;$H885="",0,IF(AND(OR(BUSCAR!$J$5="",ISNUMBER(SEARCH(BUSCAR!$J$5,$AI885))),OR(BUSCAR!$J$6="",ISNUMBER(SEARCH(BUSCAR!$J$6,$AI885))),OR(BUSCAR!$J$8="",ISNUMBER(SEARCH(BUSCAR!$J$8,$AI885))),OR(BUSCAR!$J$9="",ISNUMBER(SEARCH(BUSCAR!$J$9,$AI885))),OR(NOT(BUSCAR!$J$2),AND(ISNUMBER($AF885),$AF885&gt;=BUSCAR!$J$3,$AF885&lt;=BUSCAR!$J$4))),1,0))</f>
      </c>
      <c r="AH885" s="42">
        <f t="shared" si="39"/>
      </c>
      <c r="AI885" s="42">
        <f t="shared" si="40"/>
      </c>
    </row>
    <row r="886" spans="1:35" x14ac:dyDescent="0.2">
      <c r="A886" s="66">
        <f t="shared" si="41"/>
      </c>
      <c r="B886" s="4"/>
      <c r="C886" s="4"/>
      <c r="D886" s="4"/>
      <c r="E886" s="4"/>
      <c r="F886" s="24"/>
      <c r="G886" s="8"/>
      <c r="H886" s="9"/>
      <c r="I886" s="8"/>
      <c r="J886" s="10"/>
      <c r="K886" s="8"/>
      <c r="L886" s="8"/>
      <c r="M886" s="8"/>
      <c r="N886" s="11"/>
      <c r="O886" s="9"/>
      <c r="P886" s="12"/>
      <c r="Q886" s="9"/>
      <c r="R886" s="13"/>
      <c r="S886" s="11"/>
      <c r="T886" s="11"/>
      <c r="U886" s="9"/>
      <c r="V886" s="9"/>
      <c r="W886" s="9"/>
      <c r="X886" s="16"/>
      <c r="AF886" s="42">
        <f>IF(BUSCAR!$C$8="FECHA NAC.",$G886,IF(BUSCAR!$C$8="PASAPORTE EXPIRA",$J886,IF(BUSCAR!$C$8="LICENCIA EMISION",$L886,IF(BUSCAR!$C$8="LICENCIA EXPIRA",$M886,""))))</f>
      </c>
      <c r="AG886" s="42">
        <f>IF($B886&amp;$C886&amp;$D886&amp;$E886&amp;$H886="",0,IF(AND(OR(BUSCAR!$J$5="",ISNUMBER(SEARCH(BUSCAR!$J$5,$AI886))),OR(BUSCAR!$J$6="",ISNUMBER(SEARCH(BUSCAR!$J$6,$AI886))),OR(BUSCAR!$J$8="",ISNUMBER(SEARCH(BUSCAR!$J$8,$AI886))),OR(BUSCAR!$J$9="",ISNUMBER(SEARCH(BUSCAR!$J$9,$AI886))),OR(NOT(BUSCAR!$J$2),AND(ISNUMBER($AF886),$AF886&gt;=BUSCAR!$J$3,$AF886&lt;=BUSCAR!$J$4))),1,0))</f>
      </c>
      <c r="AH886" s="42">
        <f t="shared" si="39"/>
      </c>
      <c r="AI886" s="42">
        <f t="shared" si="40"/>
      </c>
    </row>
    <row r="887" spans="1:35" x14ac:dyDescent="0.2">
      <c r="A887" s="66">
        <f t="shared" si="41"/>
      </c>
      <c r="B887" s="4"/>
      <c r="C887" s="4"/>
      <c r="D887" s="4"/>
      <c r="E887" s="4"/>
      <c r="F887" s="24"/>
      <c r="G887" s="8"/>
      <c r="H887" s="9"/>
      <c r="I887" s="8"/>
      <c r="J887" s="10"/>
      <c r="K887" s="8"/>
      <c r="L887" s="8"/>
      <c r="M887" s="8"/>
      <c r="N887" s="11"/>
      <c r="O887" s="9"/>
      <c r="P887" s="12"/>
      <c r="Q887" s="9"/>
      <c r="R887" s="13"/>
      <c r="S887" s="11"/>
      <c r="T887" s="11"/>
      <c r="U887" s="9"/>
      <c r="V887" s="9"/>
      <c r="W887" s="9"/>
      <c r="X887" s="16"/>
      <c r="AF887" s="42">
        <f>IF(BUSCAR!$C$8="FECHA NAC.",$G887,IF(BUSCAR!$C$8="PASAPORTE EXPIRA",$J887,IF(BUSCAR!$C$8="LICENCIA EMISION",$L887,IF(BUSCAR!$C$8="LICENCIA EXPIRA",$M887,""))))</f>
      </c>
      <c r="AG887" s="42">
        <f>IF($B887&amp;$C887&amp;$D887&amp;$E887&amp;$H887="",0,IF(AND(OR(BUSCAR!$J$5="",ISNUMBER(SEARCH(BUSCAR!$J$5,$AI887))),OR(BUSCAR!$J$6="",ISNUMBER(SEARCH(BUSCAR!$J$6,$AI887))),OR(BUSCAR!$J$8="",ISNUMBER(SEARCH(BUSCAR!$J$8,$AI887))),OR(BUSCAR!$J$9="",ISNUMBER(SEARCH(BUSCAR!$J$9,$AI887))),OR(NOT(BUSCAR!$J$2),AND(ISNUMBER($AF887),$AF887&gt;=BUSCAR!$J$3,$AF887&lt;=BUSCAR!$J$4))),1,0))</f>
      </c>
      <c r="AH887" s="42">
        <f t="shared" si="39"/>
      </c>
      <c r="AI887" s="42">
        <f t="shared" si="40"/>
      </c>
    </row>
    <row r="888" spans="1:35" x14ac:dyDescent="0.2">
      <c r="A888" s="66">
        <f t="shared" si="41"/>
      </c>
      <c r="B888" s="4"/>
      <c r="C888" s="4"/>
      <c r="D888" s="4"/>
      <c r="E888" s="4"/>
      <c r="F888" s="24"/>
      <c r="G888" s="8"/>
      <c r="H888" s="9"/>
      <c r="I888" s="8"/>
      <c r="J888" s="10"/>
      <c r="K888" s="8"/>
      <c r="L888" s="8"/>
      <c r="M888" s="8"/>
      <c r="N888" s="11"/>
      <c r="O888" s="9"/>
      <c r="P888" s="12"/>
      <c r="Q888" s="9"/>
      <c r="R888" s="13"/>
      <c r="S888" s="11"/>
      <c r="T888" s="11"/>
      <c r="U888" s="9"/>
      <c r="V888" s="9"/>
      <c r="W888" s="9"/>
      <c r="X888" s="16"/>
      <c r="AF888" s="42">
        <f>IF(BUSCAR!$C$8="FECHA NAC.",$G888,IF(BUSCAR!$C$8="PASAPORTE EXPIRA",$J888,IF(BUSCAR!$C$8="LICENCIA EMISION",$L888,IF(BUSCAR!$C$8="LICENCIA EXPIRA",$M888,""))))</f>
      </c>
      <c r="AG888" s="42">
        <f>IF($B888&amp;$C888&amp;$D888&amp;$E888&amp;$H888="",0,IF(AND(OR(BUSCAR!$J$5="",ISNUMBER(SEARCH(BUSCAR!$J$5,$AI888))),OR(BUSCAR!$J$6="",ISNUMBER(SEARCH(BUSCAR!$J$6,$AI888))),OR(BUSCAR!$J$8="",ISNUMBER(SEARCH(BUSCAR!$J$8,$AI888))),OR(BUSCAR!$J$9="",ISNUMBER(SEARCH(BUSCAR!$J$9,$AI888))),OR(NOT(BUSCAR!$J$2),AND(ISNUMBER($AF888),$AF888&gt;=BUSCAR!$J$3,$AF888&lt;=BUSCAR!$J$4))),1,0))</f>
      </c>
      <c r="AH888" s="42">
        <f t="shared" si="39"/>
      </c>
      <c r="AI888" s="42">
        <f t="shared" si="40"/>
      </c>
    </row>
    <row r="889" spans="1:35" x14ac:dyDescent="0.2">
      <c r="A889" s="66">
        <f t="shared" si="41"/>
      </c>
      <c r="B889" s="4"/>
      <c r="C889" s="4"/>
      <c r="D889" s="4"/>
      <c r="E889" s="4"/>
      <c r="F889" s="24"/>
      <c r="G889" s="8"/>
      <c r="H889" s="9"/>
      <c r="I889" s="8"/>
      <c r="J889" s="10"/>
      <c r="K889" s="8"/>
      <c r="L889" s="8"/>
      <c r="M889" s="8"/>
      <c r="N889" s="11"/>
      <c r="O889" s="9"/>
      <c r="P889" s="12"/>
      <c r="Q889" s="9"/>
      <c r="R889" s="13"/>
      <c r="S889" s="11"/>
      <c r="T889" s="11"/>
      <c r="U889" s="9"/>
      <c r="V889" s="9"/>
      <c r="W889" s="9"/>
      <c r="X889" s="16"/>
      <c r="AF889" s="42">
        <f>IF(BUSCAR!$C$8="FECHA NAC.",$G889,IF(BUSCAR!$C$8="PASAPORTE EXPIRA",$J889,IF(BUSCAR!$C$8="LICENCIA EMISION",$L889,IF(BUSCAR!$C$8="LICENCIA EXPIRA",$M889,""))))</f>
      </c>
      <c r="AG889" s="42">
        <f>IF($B889&amp;$C889&amp;$D889&amp;$E889&amp;$H889="",0,IF(AND(OR(BUSCAR!$J$5="",ISNUMBER(SEARCH(BUSCAR!$J$5,$AI889))),OR(BUSCAR!$J$6="",ISNUMBER(SEARCH(BUSCAR!$J$6,$AI889))),OR(BUSCAR!$J$8="",ISNUMBER(SEARCH(BUSCAR!$J$8,$AI889))),OR(BUSCAR!$J$9="",ISNUMBER(SEARCH(BUSCAR!$J$9,$AI889))),OR(NOT(BUSCAR!$J$2),AND(ISNUMBER($AF889),$AF889&gt;=BUSCAR!$J$3,$AF889&lt;=BUSCAR!$J$4))),1,0))</f>
      </c>
      <c r="AH889" s="42">
        <f t="shared" si="39"/>
      </c>
      <c r="AI889" s="42">
        <f t="shared" si="40"/>
      </c>
    </row>
    <row r="890" spans="1:35" x14ac:dyDescent="0.2">
      <c r="A890" s="66">
        <f t="shared" si="41"/>
      </c>
      <c r="B890" s="4"/>
      <c r="C890" s="4"/>
      <c r="D890" s="4"/>
      <c r="E890" s="4"/>
      <c r="F890" s="24"/>
      <c r="G890" s="8"/>
      <c r="H890" s="9"/>
      <c r="I890" s="8"/>
      <c r="J890" s="10"/>
      <c r="K890" s="8"/>
      <c r="L890" s="8"/>
      <c r="M890" s="8"/>
      <c r="N890" s="11"/>
      <c r="O890" s="9"/>
      <c r="P890" s="12"/>
      <c r="Q890" s="9"/>
      <c r="R890" s="13"/>
      <c r="S890" s="11"/>
      <c r="T890" s="11"/>
      <c r="U890" s="9"/>
      <c r="V890" s="9"/>
      <c r="W890" s="9"/>
      <c r="X890" s="16"/>
      <c r="AF890" s="42">
        <f>IF(BUSCAR!$C$8="FECHA NAC.",$G890,IF(BUSCAR!$C$8="PASAPORTE EXPIRA",$J890,IF(BUSCAR!$C$8="LICENCIA EMISION",$L890,IF(BUSCAR!$C$8="LICENCIA EXPIRA",$M890,""))))</f>
      </c>
      <c r="AG890" s="42">
        <f>IF($B890&amp;$C890&amp;$D890&amp;$E890&amp;$H890="",0,IF(AND(OR(BUSCAR!$J$5="",ISNUMBER(SEARCH(BUSCAR!$J$5,$AI890))),OR(BUSCAR!$J$6="",ISNUMBER(SEARCH(BUSCAR!$J$6,$AI890))),OR(BUSCAR!$J$8="",ISNUMBER(SEARCH(BUSCAR!$J$8,$AI890))),OR(BUSCAR!$J$9="",ISNUMBER(SEARCH(BUSCAR!$J$9,$AI890))),OR(NOT(BUSCAR!$J$2),AND(ISNUMBER($AF890),$AF890&gt;=BUSCAR!$J$3,$AF890&lt;=BUSCAR!$J$4))),1,0))</f>
      </c>
      <c r="AH890" s="42">
        <f t="shared" si="39"/>
      </c>
      <c r="AI890" s="42">
        <f t="shared" si="40"/>
      </c>
    </row>
    <row r="891" spans="1:35" x14ac:dyDescent="0.2">
      <c r="A891" s="66">
        <f t="shared" si="41"/>
      </c>
      <c r="B891" s="4"/>
      <c r="C891" s="4"/>
      <c r="D891" s="4"/>
      <c r="E891" s="4"/>
      <c r="F891" s="24"/>
      <c r="G891" s="8"/>
      <c r="H891" s="9"/>
      <c r="I891" s="8"/>
      <c r="J891" s="10"/>
      <c r="K891" s="8"/>
      <c r="L891" s="8"/>
      <c r="M891" s="8"/>
      <c r="N891" s="11"/>
      <c r="O891" s="9"/>
      <c r="P891" s="12"/>
      <c r="Q891" s="9"/>
      <c r="R891" s="13"/>
      <c r="S891" s="11"/>
      <c r="T891" s="11"/>
      <c r="U891" s="9"/>
      <c r="V891" s="9"/>
      <c r="W891" s="9"/>
      <c r="X891" s="16"/>
      <c r="AF891" s="42">
        <f>IF(BUSCAR!$C$8="FECHA NAC.",$G891,IF(BUSCAR!$C$8="PASAPORTE EXPIRA",$J891,IF(BUSCAR!$C$8="LICENCIA EMISION",$L891,IF(BUSCAR!$C$8="LICENCIA EXPIRA",$M891,""))))</f>
      </c>
      <c r="AG891" s="42">
        <f>IF($B891&amp;$C891&amp;$D891&amp;$E891&amp;$H891="",0,IF(AND(OR(BUSCAR!$J$5="",ISNUMBER(SEARCH(BUSCAR!$J$5,$AI891))),OR(BUSCAR!$J$6="",ISNUMBER(SEARCH(BUSCAR!$J$6,$AI891))),OR(BUSCAR!$J$8="",ISNUMBER(SEARCH(BUSCAR!$J$8,$AI891))),OR(BUSCAR!$J$9="",ISNUMBER(SEARCH(BUSCAR!$J$9,$AI891))),OR(NOT(BUSCAR!$J$2),AND(ISNUMBER($AF891),$AF891&gt;=BUSCAR!$J$3,$AF891&lt;=BUSCAR!$J$4))),1,0))</f>
      </c>
      <c r="AH891" s="42">
        <f t="shared" si="39"/>
      </c>
      <c r="AI891" s="42">
        <f t="shared" si="40"/>
      </c>
    </row>
    <row r="892" spans="1:35" x14ac:dyDescent="0.2">
      <c r="A892" s="66">
        <f t="shared" si="41"/>
      </c>
      <c r="B892" s="4"/>
      <c r="C892" s="4"/>
      <c r="D892" s="4"/>
      <c r="E892" s="4"/>
      <c r="F892" s="24"/>
      <c r="G892" s="8"/>
      <c r="H892" s="9"/>
      <c r="I892" s="8"/>
      <c r="J892" s="10"/>
      <c r="K892" s="8"/>
      <c r="L892" s="8"/>
      <c r="M892" s="8"/>
      <c r="N892" s="11"/>
      <c r="O892" s="9"/>
      <c r="P892" s="12"/>
      <c r="Q892" s="9"/>
      <c r="R892" s="13"/>
      <c r="S892" s="11"/>
      <c r="T892" s="11"/>
      <c r="U892" s="9"/>
      <c r="V892" s="9"/>
      <c r="W892" s="9"/>
      <c r="X892" s="16"/>
      <c r="AF892" s="42">
        <f>IF(BUSCAR!$C$8="FECHA NAC.",$G892,IF(BUSCAR!$C$8="PASAPORTE EXPIRA",$J892,IF(BUSCAR!$C$8="LICENCIA EMISION",$L892,IF(BUSCAR!$C$8="LICENCIA EXPIRA",$M892,""))))</f>
      </c>
      <c r="AG892" s="42">
        <f>IF($B892&amp;$C892&amp;$D892&amp;$E892&amp;$H892="",0,IF(AND(OR(BUSCAR!$J$5="",ISNUMBER(SEARCH(BUSCAR!$J$5,$AI892))),OR(BUSCAR!$J$6="",ISNUMBER(SEARCH(BUSCAR!$J$6,$AI892))),OR(BUSCAR!$J$8="",ISNUMBER(SEARCH(BUSCAR!$J$8,$AI892))),OR(BUSCAR!$J$9="",ISNUMBER(SEARCH(BUSCAR!$J$9,$AI892))),OR(NOT(BUSCAR!$J$2),AND(ISNUMBER($AF892),$AF892&gt;=BUSCAR!$J$3,$AF892&lt;=BUSCAR!$J$4))),1,0))</f>
      </c>
      <c r="AH892" s="42">
        <f t="shared" si="39"/>
      </c>
      <c r="AI892" s="42">
        <f t="shared" si="40"/>
      </c>
    </row>
    <row r="893" spans="1:35" x14ac:dyDescent="0.2">
      <c r="A893" s="66">
        <f t="shared" si="41"/>
      </c>
      <c r="B893" s="4"/>
      <c r="C893" s="4"/>
      <c r="D893" s="4"/>
      <c r="E893" s="4"/>
      <c r="F893" s="24"/>
      <c r="G893" s="8"/>
      <c r="H893" s="9"/>
      <c r="I893" s="8"/>
      <c r="J893" s="10"/>
      <c r="K893" s="8"/>
      <c r="L893" s="8"/>
      <c r="M893" s="8"/>
      <c r="N893" s="11"/>
      <c r="O893" s="9"/>
      <c r="P893" s="12"/>
      <c r="Q893" s="9"/>
      <c r="R893" s="13"/>
      <c r="S893" s="11"/>
      <c r="T893" s="11"/>
      <c r="U893" s="9"/>
      <c r="V893" s="9"/>
      <c r="W893" s="9"/>
      <c r="X893" s="16"/>
      <c r="AF893" s="42">
        <f>IF(BUSCAR!$C$8="FECHA NAC.",$G893,IF(BUSCAR!$C$8="PASAPORTE EXPIRA",$J893,IF(BUSCAR!$C$8="LICENCIA EMISION",$L893,IF(BUSCAR!$C$8="LICENCIA EXPIRA",$M893,""))))</f>
      </c>
      <c r="AG893" s="42">
        <f>IF($B893&amp;$C893&amp;$D893&amp;$E893&amp;$H893="",0,IF(AND(OR(BUSCAR!$J$5="",ISNUMBER(SEARCH(BUSCAR!$J$5,$AI893))),OR(BUSCAR!$J$6="",ISNUMBER(SEARCH(BUSCAR!$J$6,$AI893))),OR(BUSCAR!$J$8="",ISNUMBER(SEARCH(BUSCAR!$J$8,$AI893))),OR(BUSCAR!$J$9="",ISNUMBER(SEARCH(BUSCAR!$J$9,$AI893))),OR(NOT(BUSCAR!$J$2),AND(ISNUMBER($AF893),$AF893&gt;=BUSCAR!$J$3,$AF893&lt;=BUSCAR!$J$4))),1,0))</f>
      </c>
      <c r="AH893" s="42">
        <f t="shared" si="39"/>
      </c>
      <c r="AI893" s="42">
        <f t="shared" si="40"/>
      </c>
    </row>
    <row r="894" spans="1:35" x14ac:dyDescent="0.2">
      <c r="A894" s="66">
        <f t="shared" si="41"/>
      </c>
      <c r="B894" s="4"/>
      <c r="C894" s="4"/>
      <c r="D894" s="4"/>
      <c r="E894" s="4"/>
      <c r="F894" s="24"/>
      <c r="G894" s="8"/>
      <c r="H894" s="9"/>
      <c r="I894" s="8"/>
      <c r="J894" s="10"/>
      <c r="K894" s="8"/>
      <c r="L894" s="8"/>
      <c r="M894" s="8"/>
      <c r="N894" s="11"/>
      <c r="O894" s="9"/>
      <c r="P894" s="12"/>
      <c r="Q894" s="9"/>
      <c r="R894" s="13"/>
      <c r="S894" s="11"/>
      <c r="T894" s="11"/>
      <c r="U894" s="9"/>
      <c r="V894" s="9"/>
      <c r="W894" s="9"/>
      <c r="X894" s="16"/>
      <c r="AF894" s="42">
        <f>IF(BUSCAR!$C$8="FECHA NAC.",$G894,IF(BUSCAR!$C$8="PASAPORTE EXPIRA",$J894,IF(BUSCAR!$C$8="LICENCIA EMISION",$L894,IF(BUSCAR!$C$8="LICENCIA EXPIRA",$M894,""))))</f>
      </c>
      <c r="AG894" s="42">
        <f>IF($B894&amp;$C894&amp;$D894&amp;$E894&amp;$H894="",0,IF(AND(OR(BUSCAR!$J$5="",ISNUMBER(SEARCH(BUSCAR!$J$5,$AI894))),OR(BUSCAR!$J$6="",ISNUMBER(SEARCH(BUSCAR!$J$6,$AI894))),OR(BUSCAR!$J$8="",ISNUMBER(SEARCH(BUSCAR!$J$8,$AI894))),OR(BUSCAR!$J$9="",ISNUMBER(SEARCH(BUSCAR!$J$9,$AI894))),OR(NOT(BUSCAR!$J$2),AND(ISNUMBER($AF894),$AF894&gt;=BUSCAR!$J$3,$AF894&lt;=BUSCAR!$J$4))),1,0))</f>
      </c>
      <c r="AH894" s="42">
        <f t="shared" si="39"/>
      </c>
      <c r="AI894" s="42">
        <f t="shared" si="40"/>
      </c>
    </row>
    <row r="895" spans="1:35" x14ac:dyDescent="0.2">
      <c r="A895" s="66">
        <f t="shared" si="41"/>
      </c>
      <c r="B895" s="4"/>
      <c r="C895" s="4"/>
      <c r="D895" s="4"/>
      <c r="E895" s="4"/>
      <c r="F895" s="24"/>
      <c r="G895" s="8"/>
      <c r="H895" s="9"/>
      <c r="I895" s="8"/>
      <c r="J895" s="10"/>
      <c r="K895" s="8"/>
      <c r="L895" s="8"/>
      <c r="M895" s="8"/>
      <c r="N895" s="11"/>
      <c r="O895" s="9"/>
      <c r="P895" s="12"/>
      <c r="Q895" s="9"/>
      <c r="R895" s="13"/>
      <c r="S895" s="11"/>
      <c r="T895" s="11"/>
      <c r="U895" s="9"/>
      <c r="V895" s="9"/>
      <c r="W895" s="9"/>
      <c r="X895" s="16"/>
      <c r="AF895" s="42">
        <f>IF(BUSCAR!$C$8="FECHA NAC.",$G895,IF(BUSCAR!$C$8="PASAPORTE EXPIRA",$J895,IF(BUSCAR!$C$8="LICENCIA EMISION",$L895,IF(BUSCAR!$C$8="LICENCIA EXPIRA",$M895,""))))</f>
      </c>
      <c r="AG895" s="42">
        <f>IF($B895&amp;$C895&amp;$D895&amp;$E895&amp;$H895="",0,IF(AND(OR(BUSCAR!$J$5="",ISNUMBER(SEARCH(BUSCAR!$J$5,$AI895))),OR(BUSCAR!$J$6="",ISNUMBER(SEARCH(BUSCAR!$J$6,$AI895))),OR(BUSCAR!$J$8="",ISNUMBER(SEARCH(BUSCAR!$J$8,$AI895))),OR(BUSCAR!$J$9="",ISNUMBER(SEARCH(BUSCAR!$J$9,$AI895))),OR(NOT(BUSCAR!$J$2),AND(ISNUMBER($AF895),$AF895&gt;=BUSCAR!$J$3,$AF895&lt;=BUSCAR!$J$4))),1,0))</f>
      </c>
      <c r="AH895" s="42">
        <f t="shared" si="39"/>
      </c>
      <c r="AI895" s="42">
        <f t="shared" si="40"/>
      </c>
    </row>
    <row r="896" spans="1:35" x14ac:dyDescent="0.2">
      <c r="A896" s="66">
        <f t="shared" si="41"/>
      </c>
      <c r="B896" s="4"/>
      <c r="C896" s="4"/>
      <c r="D896" s="4"/>
      <c r="E896" s="4"/>
      <c r="F896" s="24"/>
      <c r="G896" s="8"/>
      <c r="H896" s="9"/>
      <c r="I896" s="8"/>
      <c r="J896" s="10"/>
      <c r="K896" s="8"/>
      <c r="L896" s="8"/>
      <c r="M896" s="8"/>
      <c r="N896" s="11"/>
      <c r="O896" s="9"/>
      <c r="P896" s="12"/>
      <c r="Q896" s="9"/>
      <c r="R896" s="13"/>
      <c r="S896" s="11"/>
      <c r="T896" s="11"/>
      <c r="U896" s="9"/>
      <c r="V896" s="9"/>
      <c r="W896" s="9"/>
      <c r="X896" s="16"/>
      <c r="AF896" s="42">
        <f>IF(BUSCAR!$C$8="FECHA NAC.",$G896,IF(BUSCAR!$C$8="PASAPORTE EXPIRA",$J896,IF(BUSCAR!$C$8="LICENCIA EMISION",$L896,IF(BUSCAR!$C$8="LICENCIA EXPIRA",$M896,""))))</f>
      </c>
      <c r="AG896" s="42">
        <f>IF($B896&amp;$C896&amp;$D896&amp;$E896&amp;$H896="",0,IF(AND(OR(BUSCAR!$J$5="",ISNUMBER(SEARCH(BUSCAR!$J$5,$AI896))),OR(BUSCAR!$J$6="",ISNUMBER(SEARCH(BUSCAR!$J$6,$AI896))),OR(BUSCAR!$J$8="",ISNUMBER(SEARCH(BUSCAR!$J$8,$AI896))),OR(BUSCAR!$J$9="",ISNUMBER(SEARCH(BUSCAR!$J$9,$AI896))),OR(NOT(BUSCAR!$J$2),AND(ISNUMBER($AF896),$AF896&gt;=BUSCAR!$J$3,$AF896&lt;=BUSCAR!$J$4))),1,0))</f>
      </c>
      <c r="AH896" s="42">
        <f t="shared" si="39"/>
      </c>
      <c r="AI896" s="42">
        <f t="shared" si="40"/>
      </c>
    </row>
    <row r="897" spans="1:35" x14ac:dyDescent="0.2">
      <c r="A897" s="66">
        <f t="shared" si="41"/>
      </c>
      <c r="B897" s="4"/>
      <c r="C897" s="4"/>
      <c r="D897" s="4"/>
      <c r="E897" s="4"/>
      <c r="F897" s="24"/>
      <c r="G897" s="8"/>
      <c r="H897" s="9"/>
      <c r="I897" s="8"/>
      <c r="J897" s="10"/>
      <c r="K897" s="8"/>
      <c r="L897" s="8"/>
      <c r="M897" s="8"/>
      <c r="N897" s="11"/>
      <c r="O897" s="9"/>
      <c r="P897" s="12"/>
      <c r="Q897" s="9"/>
      <c r="R897" s="13"/>
      <c r="S897" s="11"/>
      <c r="T897" s="11"/>
      <c r="U897" s="9"/>
      <c r="V897" s="9"/>
      <c r="W897" s="9"/>
      <c r="X897" s="16"/>
      <c r="AF897" s="42">
        <f>IF(BUSCAR!$C$8="FECHA NAC.",$G897,IF(BUSCAR!$C$8="PASAPORTE EXPIRA",$J897,IF(BUSCAR!$C$8="LICENCIA EMISION",$L897,IF(BUSCAR!$C$8="LICENCIA EXPIRA",$M897,""))))</f>
      </c>
      <c r="AG897" s="42">
        <f>IF($B897&amp;$C897&amp;$D897&amp;$E897&amp;$H897="",0,IF(AND(OR(BUSCAR!$J$5="",ISNUMBER(SEARCH(BUSCAR!$J$5,$AI897))),OR(BUSCAR!$J$6="",ISNUMBER(SEARCH(BUSCAR!$J$6,$AI897))),OR(BUSCAR!$J$8="",ISNUMBER(SEARCH(BUSCAR!$J$8,$AI897))),OR(BUSCAR!$J$9="",ISNUMBER(SEARCH(BUSCAR!$J$9,$AI897))),OR(NOT(BUSCAR!$J$2),AND(ISNUMBER($AF897),$AF897&gt;=BUSCAR!$J$3,$AF897&lt;=BUSCAR!$J$4))),1,0))</f>
      </c>
      <c r="AH897" s="42">
        <f t="shared" si="39"/>
      </c>
      <c r="AI897" s="42">
        <f t="shared" si="40"/>
      </c>
    </row>
    <row r="898" spans="1:35" x14ac:dyDescent="0.2">
      <c r="A898" s="66">
        <f t="shared" si="41"/>
      </c>
      <c r="B898" s="4"/>
      <c r="C898" s="4"/>
      <c r="D898" s="4"/>
      <c r="E898" s="4"/>
      <c r="F898" s="24"/>
      <c r="G898" s="8"/>
      <c r="H898" s="9"/>
      <c r="I898" s="8"/>
      <c r="J898" s="10"/>
      <c r="K898" s="8"/>
      <c r="L898" s="8"/>
      <c r="M898" s="8"/>
      <c r="N898" s="11"/>
      <c r="O898" s="9"/>
      <c r="P898" s="12"/>
      <c r="Q898" s="9"/>
      <c r="R898" s="13"/>
      <c r="S898" s="11"/>
      <c r="T898" s="11"/>
      <c r="U898" s="9"/>
      <c r="V898" s="9"/>
      <c r="W898" s="9"/>
      <c r="X898" s="16"/>
      <c r="AF898" s="42">
        <f>IF(BUSCAR!$C$8="FECHA NAC.",$G898,IF(BUSCAR!$C$8="PASAPORTE EXPIRA",$J898,IF(BUSCAR!$C$8="LICENCIA EMISION",$L898,IF(BUSCAR!$C$8="LICENCIA EXPIRA",$M898,""))))</f>
      </c>
      <c r="AG898" s="42">
        <f>IF($B898&amp;$C898&amp;$D898&amp;$E898&amp;$H898="",0,IF(AND(OR(BUSCAR!$J$5="",ISNUMBER(SEARCH(BUSCAR!$J$5,$AI898))),OR(BUSCAR!$J$6="",ISNUMBER(SEARCH(BUSCAR!$J$6,$AI898))),OR(BUSCAR!$J$8="",ISNUMBER(SEARCH(BUSCAR!$J$8,$AI898))),OR(BUSCAR!$J$9="",ISNUMBER(SEARCH(BUSCAR!$J$9,$AI898))),OR(NOT(BUSCAR!$J$2),AND(ISNUMBER($AF898),$AF898&gt;=BUSCAR!$J$3,$AF898&lt;=BUSCAR!$J$4))),1,0))</f>
      </c>
      <c r="AH898" s="42">
        <f t="shared" si="39"/>
      </c>
      <c r="AI898" s="42">
        <f t="shared" si="40"/>
      </c>
    </row>
    <row r="899" spans="1:35" x14ac:dyDescent="0.2">
      <c r="A899" s="66">
        <f t="shared" si="41"/>
      </c>
      <c r="B899" s="4"/>
      <c r="C899" s="4"/>
      <c r="D899" s="4"/>
      <c r="E899" s="4"/>
      <c r="F899" s="24"/>
      <c r="G899" s="8"/>
      <c r="H899" s="9"/>
      <c r="I899" s="8"/>
      <c r="J899" s="10"/>
      <c r="K899" s="8"/>
      <c r="L899" s="8"/>
      <c r="M899" s="8"/>
      <c r="N899" s="11"/>
      <c r="O899" s="9"/>
      <c r="P899" s="12"/>
      <c r="Q899" s="9"/>
      <c r="R899" s="13"/>
      <c r="S899" s="11"/>
      <c r="T899" s="11"/>
      <c r="U899" s="9"/>
      <c r="V899" s="9"/>
      <c r="W899" s="9"/>
      <c r="X899" s="16"/>
      <c r="AF899" s="42">
        <f>IF(BUSCAR!$C$8="FECHA NAC.",$G899,IF(BUSCAR!$C$8="PASAPORTE EXPIRA",$J899,IF(BUSCAR!$C$8="LICENCIA EMISION",$L899,IF(BUSCAR!$C$8="LICENCIA EXPIRA",$M899,""))))</f>
      </c>
      <c r="AG899" s="42">
        <f>IF($B899&amp;$C899&amp;$D899&amp;$E899&amp;$H899="",0,IF(AND(OR(BUSCAR!$J$5="",ISNUMBER(SEARCH(BUSCAR!$J$5,$AI899))),OR(BUSCAR!$J$6="",ISNUMBER(SEARCH(BUSCAR!$J$6,$AI899))),OR(BUSCAR!$J$8="",ISNUMBER(SEARCH(BUSCAR!$J$8,$AI899))),OR(BUSCAR!$J$9="",ISNUMBER(SEARCH(BUSCAR!$J$9,$AI899))),OR(NOT(BUSCAR!$J$2),AND(ISNUMBER($AF899),$AF899&gt;=BUSCAR!$J$3,$AF899&lt;=BUSCAR!$J$4))),1,0))</f>
      </c>
      <c r="AH899" s="42">
        <f t="shared" ref="AH899:AH962" si="42">AH898+AG899</f>
      </c>
      <c r="AI899" s="42">
        <f t="shared" ref="AI899:AI962" si="43">IF($B899&amp;" "&amp;$C899&amp;" "&amp;$D899&amp;" "&amp;$E899&amp;" "&amp;$H899&amp;" "&amp;$K899&amp;" "&amp;$R899&amp;" "&amp;$AC899&amp;" "&amp;$AD899="","",SUBSTITUTE(SUBSTITUTE(SUBSTITUTE(SUBSTITUTE(SUBSTITUTE(SUBSTITUTE(SUBSTITUTE(UPPER($B899&amp;" "&amp;$C899&amp;" "&amp;$D899&amp;" "&amp;$E899&amp;" "&amp;$H899&amp;" "&amp;$K899&amp;" "&amp;$R899&amp;" "&amp;$AC899&amp;" "&amp;$AD899),"Á","A"),"É","E"),"Í","I"),"Ó","O"),"Ú","U"),"Ü","U"),"Ñ","N"))</f>
      </c>
    </row>
    <row r="900" spans="1:35" x14ac:dyDescent="0.2">
      <c r="A900" s="66">
        <f t="shared" ref="A900:A963" si="44">A899+1</f>
      </c>
      <c r="B900" s="4"/>
      <c r="C900" s="4"/>
      <c r="D900" s="4"/>
      <c r="E900" s="4"/>
      <c r="F900" s="24"/>
      <c r="G900" s="8"/>
      <c r="H900" s="9"/>
      <c r="I900" s="8"/>
      <c r="J900" s="10"/>
      <c r="K900" s="8"/>
      <c r="L900" s="8"/>
      <c r="M900" s="8"/>
      <c r="N900" s="11"/>
      <c r="O900" s="9"/>
      <c r="P900" s="12"/>
      <c r="Q900" s="9"/>
      <c r="R900" s="13"/>
      <c r="S900" s="11"/>
      <c r="T900" s="11"/>
      <c r="U900" s="9"/>
      <c r="V900" s="9"/>
      <c r="W900" s="9"/>
      <c r="X900" s="16"/>
      <c r="AF900" s="42">
        <f>IF(BUSCAR!$C$8="FECHA NAC.",$G900,IF(BUSCAR!$C$8="PASAPORTE EXPIRA",$J900,IF(BUSCAR!$C$8="LICENCIA EMISION",$L900,IF(BUSCAR!$C$8="LICENCIA EXPIRA",$M900,""))))</f>
      </c>
      <c r="AG900" s="42">
        <f>IF($B900&amp;$C900&amp;$D900&amp;$E900&amp;$H900="",0,IF(AND(OR(BUSCAR!$J$5="",ISNUMBER(SEARCH(BUSCAR!$J$5,$AI900))),OR(BUSCAR!$J$6="",ISNUMBER(SEARCH(BUSCAR!$J$6,$AI900))),OR(BUSCAR!$J$8="",ISNUMBER(SEARCH(BUSCAR!$J$8,$AI900))),OR(BUSCAR!$J$9="",ISNUMBER(SEARCH(BUSCAR!$J$9,$AI900))),OR(NOT(BUSCAR!$J$2),AND(ISNUMBER($AF900),$AF900&gt;=BUSCAR!$J$3,$AF900&lt;=BUSCAR!$J$4))),1,0))</f>
      </c>
      <c r="AH900" s="42">
        <f t="shared" si="42"/>
      </c>
      <c r="AI900" s="42">
        <f t="shared" si="43"/>
      </c>
    </row>
    <row r="901" spans="1:35" x14ac:dyDescent="0.2">
      <c r="A901" s="66">
        <f t="shared" si="44"/>
      </c>
      <c r="B901" s="4"/>
      <c r="C901" s="4"/>
      <c r="D901" s="4"/>
      <c r="E901" s="4"/>
      <c r="F901" s="24"/>
      <c r="G901" s="8"/>
      <c r="H901" s="9"/>
      <c r="I901" s="8"/>
      <c r="J901" s="10"/>
      <c r="K901" s="8"/>
      <c r="L901" s="8"/>
      <c r="M901" s="8"/>
      <c r="N901" s="11"/>
      <c r="O901" s="9"/>
      <c r="P901" s="12"/>
      <c r="Q901" s="9"/>
      <c r="R901" s="13"/>
      <c r="S901" s="11"/>
      <c r="T901" s="11"/>
      <c r="U901" s="9"/>
      <c r="V901" s="9"/>
      <c r="W901" s="9"/>
      <c r="X901" s="16"/>
      <c r="AF901" s="42">
        <f>IF(BUSCAR!$C$8="FECHA NAC.",$G901,IF(BUSCAR!$C$8="PASAPORTE EXPIRA",$J901,IF(BUSCAR!$C$8="LICENCIA EMISION",$L901,IF(BUSCAR!$C$8="LICENCIA EXPIRA",$M901,""))))</f>
      </c>
      <c r="AG901" s="42">
        <f>IF($B901&amp;$C901&amp;$D901&amp;$E901&amp;$H901="",0,IF(AND(OR(BUSCAR!$J$5="",ISNUMBER(SEARCH(BUSCAR!$J$5,$AI901))),OR(BUSCAR!$J$6="",ISNUMBER(SEARCH(BUSCAR!$J$6,$AI901))),OR(BUSCAR!$J$8="",ISNUMBER(SEARCH(BUSCAR!$J$8,$AI901))),OR(BUSCAR!$J$9="",ISNUMBER(SEARCH(BUSCAR!$J$9,$AI901))),OR(NOT(BUSCAR!$J$2),AND(ISNUMBER($AF901),$AF901&gt;=BUSCAR!$J$3,$AF901&lt;=BUSCAR!$J$4))),1,0))</f>
      </c>
      <c r="AH901" s="42">
        <f t="shared" si="42"/>
      </c>
      <c r="AI901" s="42">
        <f t="shared" si="43"/>
      </c>
    </row>
    <row r="902" spans="1:35" x14ac:dyDescent="0.2">
      <c r="A902" s="66">
        <f t="shared" si="44"/>
      </c>
      <c r="B902" s="4"/>
      <c r="C902" s="4"/>
      <c r="D902" s="4"/>
      <c r="E902" s="4"/>
      <c r="F902" s="24"/>
      <c r="G902" s="8"/>
      <c r="H902" s="9"/>
      <c r="I902" s="8"/>
      <c r="J902" s="10"/>
      <c r="K902" s="8"/>
      <c r="L902" s="8"/>
      <c r="M902" s="8"/>
      <c r="N902" s="11"/>
      <c r="O902" s="9"/>
      <c r="P902" s="12"/>
      <c r="Q902" s="9"/>
      <c r="R902" s="13"/>
      <c r="S902" s="11"/>
      <c r="T902" s="11"/>
      <c r="U902" s="9"/>
      <c r="V902" s="9"/>
      <c r="W902" s="9"/>
      <c r="X902" s="16"/>
      <c r="AF902" s="42">
        <f>IF(BUSCAR!$C$8="FECHA NAC.",$G902,IF(BUSCAR!$C$8="PASAPORTE EXPIRA",$J902,IF(BUSCAR!$C$8="LICENCIA EMISION",$L902,IF(BUSCAR!$C$8="LICENCIA EXPIRA",$M902,""))))</f>
      </c>
      <c r="AG902" s="42">
        <f>IF($B902&amp;$C902&amp;$D902&amp;$E902&amp;$H902="",0,IF(AND(OR(BUSCAR!$J$5="",ISNUMBER(SEARCH(BUSCAR!$J$5,$AI902))),OR(BUSCAR!$J$6="",ISNUMBER(SEARCH(BUSCAR!$J$6,$AI902))),OR(BUSCAR!$J$8="",ISNUMBER(SEARCH(BUSCAR!$J$8,$AI902))),OR(BUSCAR!$J$9="",ISNUMBER(SEARCH(BUSCAR!$J$9,$AI902))),OR(NOT(BUSCAR!$J$2),AND(ISNUMBER($AF902),$AF902&gt;=BUSCAR!$J$3,$AF902&lt;=BUSCAR!$J$4))),1,0))</f>
      </c>
      <c r="AH902" s="42">
        <f t="shared" si="42"/>
      </c>
      <c r="AI902" s="42">
        <f t="shared" si="43"/>
      </c>
    </row>
    <row r="903" spans="1:35" x14ac:dyDescent="0.2">
      <c r="A903" s="66">
        <f t="shared" si="44"/>
      </c>
      <c r="B903" s="4"/>
      <c r="C903" s="4"/>
      <c r="D903" s="4"/>
      <c r="E903" s="4"/>
      <c r="F903" s="24"/>
      <c r="G903" s="8"/>
      <c r="H903" s="9"/>
      <c r="I903" s="8"/>
      <c r="J903" s="10"/>
      <c r="K903" s="8"/>
      <c r="L903" s="8"/>
      <c r="M903" s="8"/>
      <c r="N903" s="11"/>
      <c r="O903" s="9"/>
      <c r="P903" s="12"/>
      <c r="Q903" s="9"/>
      <c r="R903" s="13"/>
      <c r="S903" s="11"/>
      <c r="T903" s="11"/>
      <c r="U903" s="9"/>
      <c r="V903" s="9"/>
      <c r="W903" s="9"/>
      <c r="X903" s="16"/>
      <c r="AF903" s="42">
        <f>IF(BUSCAR!$C$8="FECHA NAC.",$G903,IF(BUSCAR!$C$8="PASAPORTE EXPIRA",$J903,IF(BUSCAR!$C$8="LICENCIA EMISION",$L903,IF(BUSCAR!$C$8="LICENCIA EXPIRA",$M903,""))))</f>
      </c>
      <c r="AG903" s="42">
        <f>IF($B903&amp;$C903&amp;$D903&amp;$E903&amp;$H903="",0,IF(AND(OR(BUSCAR!$J$5="",ISNUMBER(SEARCH(BUSCAR!$J$5,$AI903))),OR(BUSCAR!$J$6="",ISNUMBER(SEARCH(BUSCAR!$J$6,$AI903))),OR(BUSCAR!$J$8="",ISNUMBER(SEARCH(BUSCAR!$J$8,$AI903))),OR(BUSCAR!$J$9="",ISNUMBER(SEARCH(BUSCAR!$J$9,$AI903))),OR(NOT(BUSCAR!$J$2),AND(ISNUMBER($AF903),$AF903&gt;=BUSCAR!$J$3,$AF903&lt;=BUSCAR!$J$4))),1,0))</f>
      </c>
      <c r="AH903" s="42">
        <f t="shared" si="42"/>
      </c>
      <c r="AI903" s="42">
        <f t="shared" si="43"/>
      </c>
    </row>
    <row r="904" spans="1:35" x14ac:dyDescent="0.2">
      <c r="A904" s="66">
        <f t="shared" si="44"/>
      </c>
      <c r="B904" s="4"/>
      <c r="C904" s="4"/>
      <c r="D904" s="4"/>
      <c r="E904" s="4"/>
      <c r="F904" s="24"/>
      <c r="G904" s="8"/>
      <c r="H904" s="9"/>
      <c r="I904" s="8"/>
      <c r="J904" s="10"/>
      <c r="K904" s="8"/>
      <c r="L904" s="8"/>
      <c r="M904" s="8"/>
      <c r="N904" s="11"/>
      <c r="O904" s="9"/>
      <c r="P904" s="12"/>
      <c r="Q904" s="9"/>
      <c r="R904" s="13"/>
      <c r="S904" s="11"/>
      <c r="T904" s="11"/>
      <c r="U904" s="9"/>
      <c r="V904" s="9"/>
      <c r="W904" s="9"/>
      <c r="X904" s="16"/>
      <c r="AF904" s="42">
        <f>IF(BUSCAR!$C$8="FECHA NAC.",$G904,IF(BUSCAR!$C$8="PASAPORTE EXPIRA",$J904,IF(BUSCAR!$C$8="LICENCIA EMISION",$L904,IF(BUSCAR!$C$8="LICENCIA EXPIRA",$M904,""))))</f>
      </c>
      <c r="AG904" s="42">
        <f>IF($B904&amp;$C904&amp;$D904&amp;$E904&amp;$H904="",0,IF(AND(OR(BUSCAR!$J$5="",ISNUMBER(SEARCH(BUSCAR!$J$5,$AI904))),OR(BUSCAR!$J$6="",ISNUMBER(SEARCH(BUSCAR!$J$6,$AI904))),OR(BUSCAR!$J$8="",ISNUMBER(SEARCH(BUSCAR!$J$8,$AI904))),OR(BUSCAR!$J$9="",ISNUMBER(SEARCH(BUSCAR!$J$9,$AI904))),OR(NOT(BUSCAR!$J$2),AND(ISNUMBER($AF904),$AF904&gt;=BUSCAR!$J$3,$AF904&lt;=BUSCAR!$J$4))),1,0))</f>
      </c>
      <c r="AH904" s="42">
        <f t="shared" si="42"/>
      </c>
      <c r="AI904" s="42">
        <f t="shared" si="43"/>
      </c>
    </row>
    <row r="905" spans="1:35" x14ac:dyDescent="0.2">
      <c r="A905" s="66">
        <f t="shared" si="44"/>
      </c>
      <c r="B905" s="4"/>
      <c r="C905" s="4"/>
      <c r="D905" s="4"/>
      <c r="E905" s="4"/>
      <c r="F905" s="24"/>
      <c r="G905" s="8"/>
      <c r="H905" s="9"/>
      <c r="I905" s="8"/>
      <c r="J905" s="10"/>
      <c r="K905" s="8"/>
      <c r="L905" s="8"/>
      <c r="M905" s="8"/>
      <c r="N905" s="11"/>
      <c r="O905" s="9"/>
      <c r="P905" s="12"/>
      <c r="Q905" s="9"/>
      <c r="R905" s="13"/>
      <c r="S905" s="11"/>
      <c r="T905" s="11"/>
      <c r="U905" s="9"/>
      <c r="V905" s="9"/>
      <c r="W905" s="9"/>
      <c r="X905" s="16"/>
      <c r="AF905" s="42">
        <f>IF(BUSCAR!$C$8="FECHA NAC.",$G905,IF(BUSCAR!$C$8="PASAPORTE EXPIRA",$J905,IF(BUSCAR!$C$8="LICENCIA EMISION",$L905,IF(BUSCAR!$C$8="LICENCIA EXPIRA",$M905,""))))</f>
      </c>
      <c r="AG905" s="42">
        <f>IF($B905&amp;$C905&amp;$D905&amp;$E905&amp;$H905="",0,IF(AND(OR(BUSCAR!$J$5="",ISNUMBER(SEARCH(BUSCAR!$J$5,$AI905))),OR(BUSCAR!$J$6="",ISNUMBER(SEARCH(BUSCAR!$J$6,$AI905))),OR(BUSCAR!$J$8="",ISNUMBER(SEARCH(BUSCAR!$J$8,$AI905))),OR(BUSCAR!$J$9="",ISNUMBER(SEARCH(BUSCAR!$J$9,$AI905))),OR(NOT(BUSCAR!$J$2),AND(ISNUMBER($AF905),$AF905&gt;=BUSCAR!$J$3,$AF905&lt;=BUSCAR!$J$4))),1,0))</f>
      </c>
      <c r="AH905" s="42">
        <f t="shared" si="42"/>
      </c>
      <c r="AI905" s="42">
        <f t="shared" si="43"/>
      </c>
    </row>
    <row r="906" spans="1:35" x14ac:dyDescent="0.2">
      <c r="A906" s="66">
        <f t="shared" si="44"/>
      </c>
      <c r="B906" s="4"/>
      <c r="C906" s="4"/>
      <c r="D906" s="4"/>
      <c r="E906" s="4"/>
      <c r="F906" s="24"/>
      <c r="G906" s="8"/>
      <c r="H906" s="9"/>
      <c r="I906" s="8"/>
      <c r="J906" s="10"/>
      <c r="K906" s="8"/>
      <c r="L906" s="8"/>
      <c r="M906" s="8"/>
      <c r="N906" s="11"/>
      <c r="O906" s="9"/>
      <c r="P906" s="12"/>
      <c r="Q906" s="9"/>
      <c r="R906" s="13"/>
      <c r="S906" s="11"/>
      <c r="T906" s="11"/>
      <c r="U906" s="9"/>
      <c r="V906" s="9"/>
      <c r="W906" s="9"/>
      <c r="X906" s="16"/>
      <c r="AF906" s="42">
        <f>IF(BUSCAR!$C$8="FECHA NAC.",$G906,IF(BUSCAR!$C$8="PASAPORTE EXPIRA",$J906,IF(BUSCAR!$C$8="LICENCIA EMISION",$L906,IF(BUSCAR!$C$8="LICENCIA EXPIRA",$M906,""))))</f>
      </c>
      <c r="AG906" s="42">
        <f>IF($B906&amp;$C906&amp;$D906&amp;$E906&amp;$H906="",0,IF(AND(OR(BUSCAR!$J$5="",ISNUMBER(SEARCH(BUSCAR!$J$5,$AI906))),OR(BUSCAR!$J$6="",ISNUMBER(SEARCH(BUSCAR!$J$6,$AI906))),OR(BUSCAR!$J$8="",ISNUMBER(SEARCH(BUSCAR!$J$8,$AI906))),OR(BUSCAR!$J$9="",ISNUMBER(SEARCH(BUSCAR!$J$9,$AI906))),OR(NOT(BUSCAR!$J$2),AND(ISNUMBER($AF906),$AF906&gt;=BUSCAR!$J$3,$AF906&lt;=BUSCAR!$J$4))),1,0))</f>
      </c>
      <c r="AH906" s="42">
        <f t="shared" si="42"/>
      </c>
      <c r="AI906" s="42">
        <f t="shared" si="43"/>
      </c>
    </row>
    <row r="907" spans="1:35" x14ac:dyDescent="0.2">
      <c r="A907" s="66">
        <f t="shared" si="44"/>
      </c>
      <c r="B907" s="4"/>
      <c r="C907" s="4"/>
      <c r="D907" s="4"/>
      <c r="E907" s="4"/>
      <c r="F907" s="24"/>
      <c r="G907" s="8"/>
      <c r="H907" s="9"/>
      <c r="I907" s="8"/>
      <c r="J907" s="10"/>
      <c r="K907" s="8"/>
      <c r="L907" s="8"/>
      <c r="M907" s="8"/>
      <c r="N907" s="11"/>
      <c r="O907" s="9"/>
      <c r="P907" s="12"/>
      <c r="Q907" s="9"/>
      <c r="R907" s="13"/>
      <c r="S907" s="11"/>
      <c r="T907" s="11"/>
      <c r="U907" s="9"/>
      <c r="V907" s="9"/>
      <c r="W907" s="9"/>
      <c r="X907" s="16"/>
      <c r="AF907" s="42">
        <f>IF(BUSCAR!$C$8="FECHA NAC.",$G907,IF(BUSCAR!$C$8="PASAPORTE EXPIRA",$J907,IF(BUSCAR!$C$8="LICENCIA EMISION",$L907,IF(BUSCAR!$C$8="LICENCIA EXPIRA",$M907,""))))</f>
      </c>
      <c r="AG907" s="42">
        <f>IF($B907&amp;$C907&amp;$D907&amp;$E907&amp;$H907="",0,IF(AND(OR(BUSCAR!$J$5="",ISNUMBER(SEARCH(BUSCAR!$J$5,$AI907))),OR(BUSCAR!$J$6="",ISNUMBER(SEARCH(BUSCAR!$J$6,$AI907))),OR(BUSCAR!$J$8="",ISNUMBER(SEARCH(BUSCAR!$J$8,$AI907))),OR(BUSCAR!$J$9="",ISNUMBER(SEARCH(BUSCAR!$J$9,$AI907))),OR(NOT(BUSCAR!$J$2),AND(ISNUMBER($AF907),$AF907&gt;=BUSCAR!$J$3,$AF907&lt;=BUSCAR!$J$4))),1,0))</f>
      </c>
      <c r="AH907" s="42">
        <f t="shared" si="42"/>
      </c>
      <c r="AI907" s="42">
        <f t="shared" si="43"/>
      </c>
    </row>
    <row r="908" spans="1:35" x14ac:dyDescent="0.2">
      <c r="A908" s="66">
        <f t="shared" si="44"/>
      </c>
      <c r="B908" s="4"/>
      <c r="C908" s="4"/>
      <c r="D908" s="4"/>
      <c r="E908" s="4"/>
      <c r="F908" s="24"/>
      <c r="G908" s="8"/>
      <c r="H908" s="9"/>
      <c r="I908" s="8"/>
      <c r="J908" s="10"/>
      <c r="K908" s="8"/>
      <c r="L908" s="8"/>
      <c r="M908" s="8"/>
      <c r="N908" s="11"/>
      <c r="O908" s="9"/>
      <c r="P908" s="12"/>
      <c r="Q908" s="9"/>
      <c r="R908" s="13"/>
      <c r="S908" s="11"/>
      <c r="T908" s="11"/>
      <c r="U908" s="9"/>
      <c r="V908" s="9"/>
      <c r="W908" s="9"/>
      <c r="X908" s="16"/>
      <c r="AF908" s="42">
        <f>IF(BUSCAR!$C$8="FECHA NAC.",$G908,IF(BUSCAR!$C$8="PASAPORTE EXPIRA",$J908,IF(BUSCAR!$C$8="LICENCIA EMISION",$L908,IF(BUSCAR!$C$8="LICENCIA EXPIRA",$M908,""))))</f>
      </c>
      <c r="AG908" s="42">
        <f>IF($B908&amp;$C908&amp;$D908&amp;$E908&amp;$H908="",0,IF(AND(OR(BUSCAR!$J$5="",ISNUMBER(SEARCH(BUSCAR!$J$5,$AI908))),OR(BUSCAR!$J$6="",ISNUMBER(SEARCH(BUSCAR!$J$6,$AI908))),OR(BUSCAR!$J$8="",ISNUMBER(SEARCH(BUSCAR!$J$8,$AI908))),OR(BUSCAR!$J$9="",ISNUMBER(SEARCH(BUSCAR!$J$9,$AI908))),OR(NOT(BUSCAR!$J$2),AND(ISNUMBER($AF908),$AF908&gt;=BUSCAR!$J$3,$AF908&lt;=BUSCAR!$J$4))),1,0))</f>
      </c>
      <c r="AH908" s="42">
        <f t="shared" si="42"/>
      </c>
      <c r="AI908" s="42">
        <f t="shared" si="43"/>
      </c>
    </row>
    <row r="909" spans="1:35" x14ac:dyDescent="0.2">
      <c r="A909" s="66">
        <f t="shared" si="44"/>
      </c>
      <c r="B909" s="4"/>
      <c r="C909" s="4"/>
      <c r="D909" s="4"/>
      <c r="E909" s="4"/>
      <c r="F909" s="24"/>
      <c r="G909" s="8"/>
      <c r="H909" s="9"/>
      <c r="I909" s="8"/>
      <c r="J909" s="10"/>
      <c r="K909" s="8"/>
      <c r="L909" s="8"/>
      <c r="M909" s="8"/>
      <c r="N909" s="11"/>
      <c r="O909" s="9"/>
      <c r="P909" s="12"/>
      <c r="Q909" s="9"/>
      <c r="R909" s="13"/>
      <c r="S909" s="11"/>
      <c r="T909" s="11"/>
      <c r="U909" s="9"/>
      <c r="V909" s="9"/>
      <c r="W909" s="9"/>
      <c r="X909" s="16"/>
      <c r="AF909" s="42">
        <f>IF(BUSCAR!$C$8="FECHA NAC.",$G909,IF(BUSCAR!$C$8="PASAPORTE EXPIRA",$J909,IF(BUSCAR!$C$8="LICENCIA EMISION",$L909,IF(BUSCAR!$C$8="LICENCIA EXPIRA",$M909,""))))</f>
      </c>
      <c r="AG909" s="42">
        <f>IF($B909&amp;$C909&amp;$D909&amp;$E909&amp;$H909="",0,IF(AND(OR(BUSCAR!$J$5="",ISNUMBER(SEARCH(BUSCAR!$J$5,$AI909))),OR(BUSCAR!$J$6="",ISNUMBER(SEARCH(BUSCAR!$J$6,$AI909))),OR(BUSCAR!$J$8="",ISNUMBER(SEARCH(BUSCAR!$J$8,$AI909))),OR(BUSCAR!$J$9="",ISNUMBER(SEARCH(BUSCAR!$J$9,$AI909))),OR(NOT(BUSCAR!$J$2),AND(ISNUMBER($AF909),$AF909&gt;=BUSCAR!$J$3,$AF909&lt;=BUSCAR!$J$4))),1,0))</f>
      </c>
      <c r="AH909" s="42">
        <f t="shared" si="42"/>
      </c>
      <c r="AI909" s="42">
        <f t="shared" si="43"/>
      </c>
    </row>
    <row r="910" spans="1:35" x14ac:dyDescent="0.2">
      <c r="A910" s="66">
        <f t="shared" si="44"/>
      </c>
      <c r="B910" s="4"/>
      <c r="C910" s="4"/>
      <c r="D910" s="4"/>
      <c r="E910" s="4"/>
      <c r="F910" s="24"/>
      <c r="G910" s="8"/>
      <c r="H910" s="9"/>
      <c r="I910" s="8"/>
      <c r="J910" s="10"/>
      <c r="K910" s="8"/>
      <c r="L910" s="8"/>
      <c r="M910" s="8"/>
      <c r="N910" s="11"/>
      <c r="O910" s="9"/>
      <c r="P910" s="12"/>
      <c r="Q910" s="9"/>
      <c r="R910" s="13"/>
      <c r="S910" s="11"/>
      <c r="T910" s="11"/>
      <c r="U910" s="9"/>
      <c r="V910" s="9"/>
      <c r="W910" s="9"/>
      <c r="X910" s="16"/>
      <c r="AF910" s="42">
        <f>IF(BUSCAR!$C$8="FECHA NAC.",$G910,IF(BUSCAR!$C$8="PASAPORTE EXPIRA",$J910,IF(BUSCAR!$C$8="LICENCIA EMISION",$L910,IF(BUSCAR!$C$8="LICENCIA EXPIRA",$M910,""))))</f>
      </c>
      <c r="AG910" s="42">
        <f>IF($B910&amp;$C910&amp;$D910&amp;$E910&amp;$H910="",0,IF(AND(OR(BUSCAR!$J$5="",ISNUMBER(SEARCH(BUSCAR!$J$5,$AI910))),OR(BUSCAR!$J$6="",ISNUMBER(SEARCH(BUSCAR!$J$6,$AI910))),OR(BUSCAR!$J$8="",ISNUMBER(SEARCH(BUSCAR!$J$8,$AI910))),OR(BUSCAR!$J$9="",ISNUMBER(SEARCH(BUSCAR!$J$9,$AI910))),OR(NOT(BUSCAR!$J$2),AND(ISNUMBER($AF910),$AF910&gt;=BUSCAR!$J$3,$AF910&lt;=BUSCAR!$J$4))),1,0))</f>
      </c>
      <c r="AH910" s="42">
        <f t="shared" si="42"/>
      </c>
      <c r="AI910" s="42">
        <f t="shared" si="43"/>
      </c>
    </row>
    <row r="911" spans="1:35" x14ac:dyDescent="0.2">
      <c r="A911" s="66">
        <f t="shared" si="44"/>
      </c>
      <c r="B911" s="4"/>
      <c r="C911" s="4"/>
      <c r="D911" s="4"/>
      <c r="E911" s="4"/>
      <c r="F911" s="24"/>
      <c r="G911" s="8"/>
      <c r="H911" s="9"/>
      <c r="I911" s="8"/>
      <c r="J911" s="10"/>
      <c r="K911" s="8"/>
      <c r="L911" s="8"/>
      <c r="M911" s="8"/>
      <c r="N911" s="11"/>
      <c r="O911" s="9"/>
      <c r="P911" s="12"/>
      <c r="Q911" s="9"/>
      <c r="R911" s="13"/>
      <c r="S911" s="11"/>
      <c r="T911" s="11"/>
      <c r="U911" s="9"/>
      <c r="V911" s="9"/>
      <c r="W911" s="9"/>
      <c r="X911" s="16"/>
      <c r="AF911" s="42">
        <f>IF(BUSCAR!$C$8="FECHA NAC.",$G911,IF(BUSCAR!$C$8="PASAPORTE EXPIRA",$J911,IF(BUSCAR!$C$8="LICENCIA EMISION",$L911,IF(BUSCAR!$C$8="LICENCIA EXPIRA",$M911,""))))</f>
      </c>
      <c r="AG911" s="42">
        <f>IF($B911&amp;$C911&amp;$D911&amp;$E911&amp;$H911="",0,IF(AND(OR(BUSCAR!$J$5="",ISNUMBER(SEARCH(BUSCAR!$J$5,$AI911))),OR(BUSCAR!$J$6="",ISNUMBER(SEARCH(BUSCAR!$J$6,$AI911))),OR(BUSCAR!$J$8="",ISNUMBER(SEARCH(BUSCAR!$J$8,$AI911))),OR(BUSCAR!$J$9="",ISNUMBER(SEARCH(BUSCAR!$J$9,$AI911))),OR(NOT(BUSCAR!$J$2),AND(ISNUMBER($AF911),$AF911&gt;=BUSCAR!$J$3,$AF911&lt;=BUSCAR!$J$4))),1,0))</f>
      </c>
      <c r="AH911" s="42">
        <f t="shared" si="42"/>
      </c>
      <c r="AI911" s="42">
        <f t="shared" si="43"/>
      </c>
    </row>
    <row r="912" spans="1:35" x14ac:dyDescent="0.2">
      <c r="A912" s="66">
        <f t="shared" si="44"/>
      </c>
      <c r="B912" s="4"/>
      <c r="C912" s="4"/>
      <c r="D912" s="4"/>
      <c r="E912" s="4"/>
      <c r="F912" s="24"/>
      <c r="G912" s="8"/>
      <c r="H912" s="9"/>
      <c r="I912" s="8"/>
      <c r="J912" s="10"/>
      <c r="K912" s="8"/>
      <c r="L912" s="8"/>
      <c r="M912" s="8"/>
      <c r="N912" s="11"/>
      <c r="O912" s="9"/>
      <c r="P912" s="12"/>
      <c r="Q912" s="9"/>
      <c r="R912" s="13"/>
      <c r="S912" s="11"/>
      <c r="T912" s="11"/>
      <c r="U912" s="9"/>
      <c r="V912" s="9"/>
      <c r="W912" s="9"/>
      <c r="X912" s="16"/>
      <c r="AF912" s="42">
        <f>IF(BUSCAR!$C$8="FECHA NAC.",$G912,IF(BUSCAR!$C$8="PASAPORTE EXPIRA",$J912,IF(BUSCAR!$C$8="LICENCIA EMISION",$L912,IF(BUSCAR!$C$8="LICENCIA EXPIRA",$M912,""))))</f>
      </c>
      <c r="AG912" s="42">
        <f>IF($B912&amp;$C912&amp;$D912&amp;$E912&amp;$H912="",0,IF(AND(OR(BUSCAR!$J$5="",ISNUMBER(SEARCH(BUSCAR!$J$5,$AI912))),OR(BUSCAR!$J$6="",ISNUMBER(SEARCH(BUSCAR!$J$6,$AI912))),OR(BUSCAR!$J$8="",ISNUMBER(SEARCH(BUSCAR!$J$8,$AI912))),OR(BUSCAR!$J$9="",ISNUMBER(SEARCH(BUSCAR!$J$9,$AI912))),OR(NOT(BUSCAR!$J$2),AND(ISNUMBER($AF912),$AF912&gt;=BUSCAR!$J$3,$AF912&lt;=BUSCAR!$J$4))),1,0))</f>
      </c>
      <c r="AH912" s="42">
        <f t="shared" si="42"/>
      </c>
      <c r="AI912" s="42">
        <f t="shared" si="43"/>
      </c>
    </row>
    <row r="913" spans="1:35" x14ac:dyDescent="0.2">
      <c r="A913" s="66">
        <f t="shared" si="44"/>
      </c>
      <c r="B913" s="4"/>
      <c r="C913" s="4"/>
      <c r="D913" s="4"/>
      <c r="E913" s="4"/>
      <c r="F913" s="24"/>
      <c r="G913" s="8"/>
      <c r="H913" s="9"/>
      <c r="I913" s="8"/>
      <c r="J913" s="10"/>
      <c r="K913" s="8"/>
      <c r="L913" s="8"/>
      <c r="M913" s="8"/>
      <c r="N913" s="11"/>
      <c r="O913" s="9"/>
      <c r="P913" s="12"/>
      <c r="Q913" s="9"/>
      <c r="R913" s="13"/>
      <c r="S913" s="11"/>
      <c r="T913" s="11"/>
      <c r="U913" s="9"/>
      <c r="V913" s="9"/>
      <c r="W913" s="9"/>
      <c r="X913" s="16"/>
      <c r="AF913" s="42">
        <f>IF(BUSCAR!$C$8="FECHA NAC.",$G913,IF(BUSCAR!$C$8="PASAPORTE EXPIRA",$J913,IF(BUSCAR!$C$8="LICENCIA EMISION",$L913,IF(BUSCAR!$C$8="LICENCIA EXPIRA",$M913,""))))</f>
      </c>
      <c r="AG913" s="42">
        <f>IF($B913&amp;$C913&amp;$D913&amp;$E913&amp;$H913="",0,IF(AND(OR(BUSCAR!$J$5="",ISNUMBER(SEARCH(BUSCAR!$J$5,$AI913))),OR(BUSCAR!$J$6="",ISNUMBER(SEARCH(BUSCAR!$J$6,$AI913))),OR(BUSCAR!$J$8="",ISNUMBER(SEARCH(BUSCAR!$J$8,$AI913))),OR(BUSCAR!$J$9="",ISNUMBER(SEARCH(BUSCAR!$J$9,$AI913))),OR(NOT(BUSCAR!$J$2),AND(ISNUMBER($AF913),$AF913&gt;=BUSCAR!$J$3,$AF913&lt;=BUSCAR!$J$4))),1,0))</f>
      </c>
      <c r="AH913" s="42">
        <f t="shared" si="42"/>
      </c>
      <c r="AI913" s="42">
        <f t="shared" si="43"/>
      </c>
    </row>
    <row r="914" spans="1:35" x14ac:dyDescent="0.2">
      <c r="A914" s="66">
        <f t="shared" si="44"/>
      </c>
      <c r="B914" s="4"/>
      <c r="C914" s="4"/>
      <c r="D914" s="4"/>
      <c r="E914" s="4"/>
      <c r="F914" s="24"/>
      <c r="G914" s="8"/>
      <c r="H914" s="9"/>
      <c r="I914" s="8"/>
      <c r="J914" s="10"/>
      <c r="K914" s="8"/>
      <c r="L914" s="8"/>
      <c r="M914" s="8"/>
      <c r="N914" s="11"/>
      <c r="O914" s="9"/>
      <c r="P914" s="12"/>
      <c r="Q914" s="9"/>
      <c r="R914" s="13"/>
      <c r="S914" s="11"/>
      <c r="T914" s="11"/>
      <c r="U914" s="9"/>
      <c r="V914" s="9"/>
      <c r="W914" s="9"/>
      <c r="X914" s="16"/>
      <c r="AF914" s="42">
        <f>IF(BUSCAR!$C$8="FECHA NAC.",$G914,IF(BUSCAR!$C$8="PASAPORTE EXPIRA",$J914,IF(BUSCAR!$C$8="LICENCIA EMISION",$L914,IF(BUSCAR!$C$8="LICENCIA EXPIRA",$M914,""))))</f>
      </c>
      <c r="AG914" s="42">
        <f>IF($B914&amp;$C914&amp;$D914&amp;$E914&amp;$H914="",0,IF(AND(OR(BUSCAR!$J$5="",ISNUMBER(SEARCH(BUSCAR!$J$5,$AI914))),OR(BUSCAR!$J$6="",ISNUMBER(SEARCH(BUSCAR!$J$6,$AI914))),OR(BUSCAR!$J$8="",ISNUMBER(SEARCH(BUSCAR!$J$8,$AI914))),OR(BUSCAR!$J$9="",ISNUMBER(SEARCH(BUSCAR!$J$9,$AI914))),OR(NOT(BUSCAR!$J$2),AND(ISNUMBER($AF914),$AF914&gt;=BUSCAR!$J$3,$AF914&lt;=BUSCAR!$J$4))),1,0))</f>
      </c>
      <c r="AH914" s="42">
        <f t="shared" si="42"/>
      </c>
      <c r="AI914" s="42">
        <f t="shared" si="43"/>
      </c>
    </row>
    <row r="915" spans="1:35" x14ac:dyDescent="0.2">
      <c r="A915" s="66">
        <f t="shared" si="44"/>
      </c>
      <c r="B915" s="4"/>
      <c r="C915" s="4"/>
      <c r="D915" s="4"/>
      <c r="E915" s="4"/>
      <c r="F915" s="24"/>
      <c r="G915" s="8"/>
      <c r="H915" s="9"/>
      <c r="I915" s="8"/>
      <c r="J915" s="10"/>
      <c r="K915" s="8"/>
      <c r="L915" s="8"/>
      <c r="M915" s="8"/>
      <c r="N915" s="11"/>
      <c r="O915" s="9"/>
      <c r="P915" s="12"/>
      <c r="Q915" s="9"/>
      <c r="R915" s="13"/>
      <c r="S915" s="11"/>
      <c r="T915" s="11"/>
      <c r="U915" s="9"/>
      <c r="V915" s="9"/>
      <c r="W915" s="9"/>
      <c r="X915" s="16"/>
      <c r="AF915" s="42">
        <f>IF(BUSCAR!$C$8="FECHA NAC.",$G915,IF(BUSCAR!$C$8="PASAPORTE EXPIRA",$J915,IF(BUSCAR!$C$8="LICENCIA EMISION",$L915,IF(BUSCAR!$C$8="LICENCIA EXPIRA",$M915,""))))</f>
      </c>
      <c r="AG915" s="42">
        <f>IF($B915&amp;$C915&amp;$D915&amp;$E915&amp;$H915="",0,IF(AND(OR(BUSCAR!$J$5="",ISNUMBER(SEARCH(BUSCAR!$J$5,$AI915))),OR(BUSCAR!$J$6="",ISNUMBER(SEARCH(BUSCAR!$J$6,$AI915))),OR(BUSCAR!$J$8="",ISNUMBER(SEARCH(BUSCAR!$J$8,$AI915))),OR(BUSCAR!$J$9="",ISNUMBER(SEARCH(BUSCAR!$J$9,$AI915))),OR(NOT(BUSCAR!$J$2),AND(ISNUMBER($AF915),$AF915&gt;=BUSCAR!$J$3,$AF915&lt;=BUSCAR!$J$4))),1,0))</f>
      </c>
      <c r="AH915" s="42">
        <f t="shared" si="42"/>
      </c>
      <c r="AI915" s="42">
        <f t="shared" si="43"/>
      </c>
    </row>
    <row r="916" spans="1:35" x14ac:dyDescent="0.2">
      <c r="A916" s="66">
        <f t="shared" si="44"/>
      </c>
      <c r="B916" s="4"/>
      <c r="C916" s="4"/>
      <c r="D916" s="4"/>
      <c r="E916" s="4"/>
      <c r="F916" s="24"/>
      <c r="G916" s="8"/>
      <c r="H916" s="9"/>
      <c r="I916" s="8"/>
      <c r="J916" s="10"/>
      <c r="K916" s="8"/>
      <c r="L916" s="8"/>
      <c r="M916" s="8"/>
      <c r="N916" s="11"/>
      <c r="O916" s="9"/>
      <c r="P916" s="12"/>
      <c r="Q916" s="9"/>
      <c r="R916" s="13"/>
      <c r="S916" s="11"/>
      <c r="T916" s="11"/>
      <c r="U916" s="9"/>
      <c r="V916" s="9"/>
      <c r="W916" s="9"/>
      <c r="X916" s="16"/>
      <c r="AF916" s="42">
        <f>IF(BUSCAR!$C$8="FECHA NAC.",$G916,IF(BUSCAR!$C$8="PASAPORTE EXPIRA",$J916,IF(BUSCAR!$C$8="LICENCIA EMISION",$L916,IF(BUSCAR!$C$8="LICENCIA EXPIRA",$M916,""))))</f>
      </c>
      <c r="AG916" s="42">
        <f>IF($B916&amp;$C916&amp;$D916&amp;$E916&amp;$H916="",0,IF(AND(OR(BUSCAR!$J$5="",ISNUMBER(SEARCH(BUSCAR!$J$5,$AI916))),OR(BUSCAR!$J$6="",ISNUMBER(SEARCH(BUSCAR!$J$6,$AI916))),OR(BUSCAR!$J$8="",ISNUMBER(SEARCH(BUSCAR!$J$8,$AI916))),OR(BUSCAR!$J$9="",ISNUMBER(SEARCH(BUSCAR!$J$9,$AI916))),OR(NOT(BUSCAR!$J$2),AND(ISNUMBER($AF916),$AF916&gt;=BUSCAR!$J$3,$AF916&lt;=BUSCAR!$J$4))),1,0))</f>
      </c>
      <c r="AH916" s="42">
        <f t="shared" si="42"/>
      </c>
      <c r="AI916" s="42">
        <f t="shared" si="43"/>
      </c>
    </row>
    <row r="917" spans="1:35" x14ac:dyDescent="0.2">
      <c r="A917" s="66">
        <f t="shared" si="44"/>
      </c>
      <c r="B917" s="4"/>
      <c r="C917" s="4"/>
      <c r="D917" s="4"/>
      <c r="E917" s="4"/>
      <c r="F917" s="24"/>
      <c r="G917" s="8"/>
      <c r="H917" s="9"/>
      <c r="I917" s="8"/>
      <c r="J917" s="10"/>
      <c r="K917" s="8"/>
      <c r="L917" s="8"/>
      <c r="M917" s="8"/>
      <c r="N917" s="11"/>
      <c r="O917" s="9"/>
      <c r="P917" s="12"/>
      <c r="Q917" s="9"/>
      <c r="R917" s="13"/>
      <c r="S917" s="11"/>
      <c r="T917" s="11"/>
      <c r="U917" s="9"/>
      <c r="V917" s="9"/>
      <c r="W917" s="9"/>
      <c r="X917" s="16"/>
      <c r="AF917" s="42">
        <f>IF(BUSCAR!$C$8="FECHA NAC.",$G917,IF(BUSCAR!$C$8="PASAPORTE EXPIRA",$J917,IF(BUSCAR!$C$8="LICENCIA EMISION",$L917,IF(BUSCAR!$C$8="LICENCIA EXPIRA",$M917,""))))</f>
      </c>
      <c r="AG917" s="42">
        <f>IF($B917&amp;$C917&amp;$D917&amp;$E917&amp;$H917="",0,IF(AND(OR(BUSCAR!$J$5="",ISNUMBER(SEARCH(BUSCAR!$J$5,$AI917))),OR(BUSCAR!$J$6="",ISNUMBER(SEARCH(BUSCAR!$J$6,$AI917))),OR(BUSCAR!$J$8="",ISNUMBER(SEARCH(BUSCAR!$J$8,$AI917))),OR(BUSCAR!$J$9="",ISNUMBER(SEARCH(BUSCAR!$J$9,$AI917))),OR(NOT(BUSCAR!$J$2),AND(ISNUMBER($AF917),$AF917&gt;=BUSCAR!$J$3,$AF917&lt;=BUSCAR!$J$4))),1,0))</f>
      </c>
      <c r="AH917" s="42">
        <f t="shared" si="42"/>
      </c>
      <c r="AI917" s="42">
        <f t="shared" si="43"/>
      </c>
    </row>
    <row r="918" spans="1:35" x14ac:dyDescent="0.2">
      <c r="A918" s="66">
        <f t="shared" si="44"/>
      </c>
      <c r="B918" s="4"/>
      <c r="C918" s="4"/>
      <c r="D918" s="4"/>
      <c r="E918" s="4"/>
      <c r="F918" s="24"/>
      <c r="G918" s="8"/>
      <c r="H918" s="9"/>
      <c r="I918" s="8"/>
      <c r="J918" s="10"/>
      <c r="K918" s="8"/>
      <c r="L918" s="8"/>
      <c r="M918" s="8"/>
      <c r="N918" s="11"/>
      <c r="O918" s="9"/>
      <c r="P918" s="12"/>
      <c r="Q918" s="9"/>
      <c r="R918" s="13"/>
      <c r="S918" s="11"/>
      <c r="T918" s="11"/>
      <c r="U918" s="9"/>
      <c r="V918" s="9"/>
      <c r="W918" s="9"/>
      <c r="X918" s="16"/>
      <c r="AF918" s="42">
        <f>IF(BUSCAR!$C$8="FECHA NAC.",$G918,IF(BUSCAR!$C$8="PASAPORTE EXPIRA",$J918,IF(BUSCAR!$C$8="LICENCIA EMISION",$L918,IF(BUSCAR!$C$8="LICENCIA EXPIRA",$M918,""))))</f>
      </c>
      <c r="AG918" s="42">
        <f>IF($B918&amp;$C918&amp;$D918&amp;$E918&amp;$H918="",0,IF(AND(OR(BUSCAR!$J$5="",ISNUMBER(SEARCH(BUSCAR!$J$5,$AI918))),OR(BUSCAR!$J$6="",ISNUMBER(SEARCH(BUSCAR!$J$6,$AI918))),OR(BUSCAR!$J$8="",ISNUMBER(SEARCH(BUSCAR!$J$8,$AI918))),OR(BUSCAR!$J$9="",ISNUMBER(SEARCH(BUSCAR!$J$9,$AI918))),OR(NOT(BUSCAR!$J$2),AND(ISNUMBER($AF918),$AF918&gt;=BUSCAR!$J$3,$AF918&lt;=BUSCAR!$J$4))),1,0))</f>
      </c>
      <c r="AH918" s="42">
        <f t="shared" si="42"/>
      </c>
      <c r="AI918" s="42">
        <f t="shared" si="43"/>
      </c>
    </row>
    <row r="919" spans="1:35" x14ac:dyDescent="0.2">
      <c r="A919" s="66">
        <f t="shared" si="44"/>
      </c>
      <c r="B919" s="4"/>
      <c r="C919" s="4"/>
      <c r="D919" s="4"/>
      <c r="E919" s="4"/>
      <c r="F919" s="24"/>
      <c r="G919" s="8"/>
      <c r="H919" s="9"/>
      <c r="I919" s="8"/>
      <c r="J919" s="10"/>
      <c r="K919" s="8"/>
      <c r="L919" s="8"/>
      <c r="M919" s="8"/>
      <c r="N919" s="11"/>
      <c r="O919" s="9"/>
      <c r="P919" s="12"/>
      <c r="Q919" s="9"/>
      <c r="R919" s="13"/>
      <c r="S919" s="11"/>
      <c r="T919" s="11"/>
      <c r="U919" s="9"/>
      <c r="V919" s="9"/>
      <c r="W919" s="9"/>
      <c r="X919" s="16"/>
      <c r="AF919" s="42">
        <f>IF(BUSCAR!$C$8="FECHA NAC.",$G919,IF(BUSCAR!$C$8="PASAPORTE EXPIRA",$J919,IF(BUSCAR!$C$8="LICENCIA EMISION",$L919,IF(BUSCAR!$C$8="LICENCIA EXPIRA",$M919,""))))</f>
      </c>
      <c r="AG919" s="42">
        <f>IF($B919&amp;$C919&amp;$D919&amp;$E919&amp;$H919="",0,IF(AND(OR(BUSCAR!$J$5="",ISNUMBER(SEARCH(BUSCAR!$J$5,$AI919))),OR(BUSCAR!$J$6="",ISNUMBER(SEARCH(BUSCAR!$J$6,$AI919))),OR(BUSCAR!$J$8="",ISNUMBER(SEARCH(BUSCAR!$J$8,$AI919))),OR(BUSCAR!$J$9="",ISNUMBER(SEARCH(BUSCAR!$J$9,$AI919))),OR(NOT(BUSCAR!$J$2),AND(ISNUMBER($AF919),$AF919&gt;=BUSCAR!$J$3,$AF919&lt;=BUSCAR!$J$4))),1,0))</f>
      </c>
      <c r="AH919" s="42">
        <f t="shared" si="42"/>
      </c>
      <c r="AI919" s="42">
        <f t="shared" si="43"/>
      </c>
    </row>
    <row r="920" spans="1:35" x14ac:dyDescent="0.2">
      <c r="A920" s="66">
        <f t="shared" si="44"/>
      </c>
      <c r="B920" s="4"/>
      <c r="C920" s="4"/>
      <c r="D920" s="4"/>
      <c r="E920" s="4"/>
      <c r="F920" s="24"/>
      <c r="G920" s="8"/>
      <c r="H920" s="9"/>
      <c r="I920" s="8"/>
      <c r="J920" s="10"/>
      <c r="K920" s="8"/>
      <c r="L920" s="8"/>
      <c r="M920" s="8"/>
      <c r="N920" s="11"/>
      <c r="O920" s="9"/>
      <c r="P920" s="12"/>
      <c r="Q920" s="9"/>
      <c r="R920" s="13"/>
      <c r="S920" s="11"/>
      <c r="T920" s="11"/>
      <c r="U920" s="9"/>
      <c r="V920" s="9"/>
      <c r="W920" s="9"/>
      <c r="X920" s="16"/>
      <c r="AF920" s="42">
        <f>IF(BUSCAR!$C$8="FECHA NAC.",$G920,IF(BUSCAR!$C$8="PASAPORTE EXPIRA",$J920,IF(BUSCAR!$C$8="LICENCIA EMISION",$L920,IF(BUSCAR!$C$8="LICENCIA EXPIRA",$M920,""))))</f>
      </c>
      <c r="AG920" s="42">
        <f>IF($B920&amp;$C920&amp;$D920&amp;$E920&amp;$H920="",0,IF(AND(OR(BUSCAR!$J$5="",ISNUMBER(SEARCH(BUSCAR!$J$5,$AI920))),OR(BUSCAR!$J$6="",ISNUMBER(SEARCH(BUSCAR!$J$6,$AI920))),OR(BUSCAR!$J$8="",ISNUMBER(SEARCH(BUSCAR!$J$8,$AI920))),OR(BUSCAR!$J$9="",ISNUMBER(SEARCH(BUSCAR!$J$9,$AI920))),OR(NOT(BUSCAR!$J$2),AND(ISNUMBER($AF920),$AF920&gt;=BUSCAR!$J$3,$AF920&lt;=BUSCAR!$J$4))),1,0))</f>
      </c>
      <c r="AH920" s="42">
        <f t="shared" si="42"/>
      </c>
      <c r="AI920" s="42">
        <f t="shared" si="43"/>
      </c>
    </row>
    <row r="921" spans="1:35" x14ac:dyDescent="0.2">
      <c r="A921" s="66">
        <f t="shared" si="44"/>
      </c>
      <c r="B921" s="4"/>
      <c r="C921" s="4"/>
      <c r="D921" s="4"/>
      <c r="E921" s="4"/>
      <c r="F921" s="24"/>
      <c r="G921" s="8"/>
      <c r="H921" s="9"/>
      <c r="I921" s="8"/>
      <c r="J921" s="10"/>
      <c r="K921" s="8"/>
      <c r="L921" s="8"/>
      <c r="M921" s="8"/>
      <c r="N921" s="11"/>
      <c r="O921" s="9"/>
      <c r="P921" s="12"/>
      <c r="Q921" s="9"/>
      <c r="R921" s="13"/>
      <c r="S921" s="11"/>
      <c r="T921" s="11"/>
      <c r="U921" s="9"/>
      <c r="V921" s="9"/>
      <c r="W921" s="9"/>
      <c r="X921" s="16"/>
      <c r="AF921" s="42">
        <f>IF(BUSCAR!$C$8="FECHA NAC.",$G921,IF(BUSCAR!$C$8="PASAPORTE EXPIRA",$J921,IF(BUSCAR!$C$8="LICENCIA EMISION",$L921,IF(BUSCAR!$C$8="LICENCIA EXPIRA",$M921,""))))</f>
      </c>
      <c r="AG921" s="42">
        <f>IF($B921&amp;$C921&amp;$D921&amp;$E921&amp;$H921="",0,IF(AND(OR(BUSCAR!$J$5="",ISNUMBER(SEARCH(BUSCAR!$J$5,$AI921))),OR(BUSCAR!$J$6="",ISNUMBER(SEARCH(BUSCAR!$J$6,$AI921))),OR(BUSCAR!$J$8="",ISNUMBER(SEARCH(BUSCAR!$J$8,$AI921))),OR(BUSCAR!$J$9="",ISNUMBER(SEARCH(BUSCAR!$J$9,$AI921))),OR(NOT(BUSCAR!$J$2),AND(ISNUMBER($AF921),$AF921&gt;=BUSCAR!$J$3,$AF921&lt;=BUSCAR!$J$4))),1,0))</f>
      </c>
      <c r="AH921" s="42">
        <f t="shared" si="42"/>
      </c>
      <c r="AI921" s="42">
        <f t="shared" si="43"/>
      </c>
    </row>
    <row r="922" spans="1:35" x14ac:dyDescent="0.2">
      <c r="A922" s="66">
        <f t="shared" si="44"/>
      </c>
      <c r="B922" s="4"/>
      <c r="C922" s="4"/>
      <c r="D922" s="4"/>
      <c r="E922" s="4"/>
      <c r="F922" s="24"/>
      <c r="G922" s="8"/>
      <c r="H922" s="9"/>
      <c r="I922" s="8"/>
      <c r="J922" s="10"/>
      <c r="K922" s="8"/>
      <c r="L922" s="8"/>
      <c r="M922" s="8"/>
      <c r="N922" s="11"/>
      <c r="O922" s="9"/>
      <c r="P922" s="12"/>
      <c r="Q922" s="9"/>
      <c r="R922" s="13"/>
      <c r="S922" s="11"/>
      <c r="T922" s="11"/>
      <c r="U922" s="9"/>
      <c r="V922" s="9"/>
      <c r="W922" s="9"/>
      <c r="X922" s="16"/>
      <c r="AF922" s="42">
        <f>IF(BUSCAR!$C$8="FECHA NAC.",$G922,IF(BUSCAR!$C$8="PASAPORTE EXPIRA",$J922,IF(BUSCAR!$C$8="LICENCIA EMISION",$L922,IF(BUSCAR!$C$8="LICENCIA EXPIRA",$M922,""))))</f>
      </c>
      <c r="AG922" s="42">
        <f>IF($B922&amp;$C922&amp;$D922&amp;$E922&amp;$H922="",0,IF(AND(OR(BUSCAR!$J$5="",ISNUMBER(SEARCH(BUSCAR!$J$5,$AI922))),OR(BUSCAR!$J$6="",ISNUMBER(SEARCH(BUSCAR!$J$6,$AI922))),OR(BUSCAR!$J$8="",ISNUMBER(SEARCH(BUSCAR!$J$8,$AI922))),OR(BUSCAR!$J$9="",ISNUMBER(SEARCH(BUSCAR!$J$9,$AI922))),OR(NOT(BUSCAR!$J$2),AND(ISNUMBER($AF922),$AF922&gt;=BUSCAR!$J$3,$AF922&lt;=BUSCAR!$J$4))),1,0))</f>
      </c>
      <c r="AH922" s="42">
        <f t="shared" si="42"/>
      </c>
      <c r="AI922" s="42">
        <f t="shared" si="43"/>
      </c>
    </row>
    <row r="923" spans="1:35" x14ac:dyDescent="0.2">
      <c r="A923" s="66">
        <f t="shared" si="44"/>
      </c>
      <c r="B923" s="4"/>
      <c r="C923" s="4"/>
      <c r="D923" s="4"/>
      <c r="E923" s="4"/>
      <c r="F923" s="24"/>
      <c r="G923" s="8"/>
      <c r="H923" s="9"/>
      <c r="I923" s="8"/>
      <c r="J923" s="10"/>
      <c r="K923" s="8"/>
      <c r="L923" s="8"/>
      <c r="M923" s="8"/>
      <c r="N923" s="11"/>
      <c r="O923" s="9"/>
      <c r="P923" s="12"/>
      <c r="Q923" s="9"/>
      <c r="R923" s="13"/>
      <c r="S923" s="11"/>
      <c r="T923" s="11"/>
      <c r="U923" s="9"/>
      <c r="V923" s="9"/>
      <c r="W923" s="9"/>
      <c r="X923" s="16"/>
      <c r="AF923" s="42">
        <f>IF(BUSCAR!$C$8="FECHA NAC.",$G923,IF(BUSCAR!$C$8="PASAPORTE EXPIRA",$J923,IF(BUSCAR!$C$8="LICENCIA EMISION",$L923,IF(BUSCAR!$C$8="LICENCIA EXPIRA",$M923,""))))</f>
      </c>
      <c r="AG923" s="42">
        <f>IF($B923&amp;$C923&amp;$D923&amp;$E923&amp;$H923="",0,IF(AND(OR(BUSCAR!$J$5="",ISNUMBER(SEARCH(BUSCAR!$J$5,$AI923))),OR(BUSCAR!$J$6="",ISNUMBER(SEARCH(BUSCAR!$J$6,$AI923))),OR(BUSCAR!$J$8="",ISNUMBER(SEARCH(BUSCAR!$J$8,$AI923))),OR(BUSCAR!$J$9="",ISNUMBER(SEARCH(BUSCAR!$J$9,$AI923))),OR(NOT(BUSCAR!$J$2),AND(ISNUMBER($AF923),$AF923&gt;=BUSCAR!$J$3,$AF923&lt;=BUSCAR!$J$4))),1,0))</f>
      </c>
      <c r="AH923" s="42">
        <f t="shared" si="42"/>
      </c>
      <c r="AI923" s="42">
        <f t="shared" si="43"/>
      </c>
    </row>
    <row r="924" spans="1:35" x14ac:dyDescent="0.2">
      <c r="A924" s="66">
        <f t="shared" si="44"/>
      </c>
      <c r="B924" s="4"/>
      <c r="C924" s="4"/>
      <c r="D924" s="4"/>
      <c r="E924" s="4"/>
      <c r="F924" s="24"/>
      <c r="G924" s="8"/>
      <c r="H924" s="9"/>
      <c r="I924" s="8"/>
      <c r="J924" s="10"/>
      <c r="K924" s="8"/>
      <c r="L924" s="8"/>
      <c r="M924" s="8"/>
      <c r="N924" s="11"/>
      <c r="O924" s="9"/>
      <c r="P924" s="12"/>
      <c r="Q924" s="9"/>
      <c r="R924" s="13"/>
      <c r="S924" s="11"/>
      <c r="T924" s="11"/>
      <c r="U924" s="9"/>
      <c r="V924" s="9"/>
      <c r="W924" s="9"/>
      <c r="X924" s="16"/>
      <c r="AF924" s="42">
        <f>IF(BUSCAR!$C$8="FECHA NAC.",$G924,IF(BUSCAR!$C$8="PASAPORTE EXPIRA",$J924,IF(BUSCAR!$C$8="LICENCIA EMISION",$L924,IF(BUSCAR!$C$8="LICENCIA EXPIRA",$M924,""))))</f>
      </c>
      <c r="AG924" s="42">
        <f>IF($B924&amp;$C924&amp;$D924&amp;$E924&amp;$H924="",0,IF(AND(OR(BUSCAR!$J$5="",ISNUMBER(SEARCH(BUSCAR!$J$5,$AI924))),OR(BUSCAR!$J$6="",ISNUMBER(SEARCH(BUSCAR!$J$6,$AI924))),OR(BUSCAR!$J$8="",ISNUMBER(SEARCH(BUSCAR!$J$8,$AI924))),OR(BUSCAR!$J$9="",ISNUMBER(SEARCH(BUSCAR!$J$9,$AI924))),OR(NOT(BUSCAR!$J$2),AND(ISNUMBER($AF924),$AF924&gt;=BUSCAR!$J$3,$AF924&lt;=BUSCAR!$J$4))),1,0))</f>
      </c>
      <c r="AH924" s="42">
        <f t="shared" si="42"/>
      </c>
      <c r="AI924" s="42">
        <f t="shared" si="43"/>
      </c>
    </row>
    <row r="925" spans="1:35" x14ac:dyDescent="0.2">
      <c r="A925" s="66">
        <f t="shared" si="44"/>
      </c>
      <c r="B925" s="4"/>
      <c r="C925" s="4"/>
      <c r="D925" s="4"/>
      <c r="E925" s="4"/>
      <c r="F925" s="24"/>
      <c r="G925" s="8"/>
      <c r="H925" s="9"/>
      <c r="I925" s="8"/>
      <c r="J925" s="10"/>
      <c r="K925" s="8"/>
      <c r="L925" s="8"/>
      <c r="M925" s="8"/>
      <c r="N925" s="11"/>
      <c r="O925" s="9"/>
      <c r="P925" s="12"/>
      <c r="Q925" s="9"/>
      <c r="R925" s="13"/>
      <c r="S925" s="11"/>
      <c r="T925" s="11"/>
      <c r="U925" s="9"/>
      <c r="V925" s="9"/>
      <c r="W925" s="9"/>
      <c r="X925" s="16"/>
      <c r="AF925" s="42">
        <f>IF(BUSCAR!$C$8="FECHA NAC.",$G925,IF(BUSCAR!$C$8="PASAPORTE EXPIRA",$J925,IF(BUSCAR!$C$8="LICENCIA EMISION",$L925,IF(BUSCAR!$C$8="LICENCIA EXPIRA",$M925,""))))</f>
      </c>
      <c r="AG925" s="42">
        <f>IF($B925&amp;$C925&amp;$D925&amp;$E925&amp;$H925="",0,IF(AND(OR(BUSCAR!$J$5="",ISNUMBER(SEARCH(BUSCAR!$J$5,$AI925))),OR(BUSCAR!$J$6="",ISNUMBER(SEARCH(BUSCAR!$J$6,$AI925))),OR(BUSCAR!$J$8="",ISNUMBER(SEARCH(BUSCAR!$J$8,$AI925))),OR(BUSCAR!$J$9="",ISNUMBER(SEARCH(BUSCAR!$J$9,$AI925))),OR(NOT(BUSCAR!$J$2),AND(ISNUMBER($AF925),$AF925&gt;=BUSCAR!$J$3,$AF925&lt;=BUSCAR!$J$4))),1,0))</f>
      </c>
      <c r="AH925" s="42">
        <f t="shared" si="42"/>
      </c>
      <c r="AI925" s="42">
        <f t="shared" si="43"/>
      </c>
    </row>
    <row r="926" spans="1:35" x14ac:dyDescent="0.2">
      <c r="A926" s="66">
        <f t="shared" si="44"/>
      </c>
      <c r="B926" s="4"/>
      <c r="C926" s="4"/>
      <c r="D926" s="4"/>
      <c r="E926" s="4"/>
      <c r="F926" s="24"/>
      <c r="G926" s="8"/>
      <c r="H926" s="9"/>
      <c r="I926" s="8"/>
      <c r="J926" s="10"/>
      <c r="K926" s="8"/>
      <c r="L926" s="8"/>
      <c r="M926" s="8"/>
      <c r="N926" s="11"/>
      <c r="O926" s="9"/>
      <c r="P926" s="12"/>
      <c r="Q926" s="9"/>
      <c r="R926" s="13"/>
      <c r="S926" s="11"/>
      <c r="T926" s="11"/>
      <c r="U926" s="9"/>
      <c r="V926" s="9"/>
      <c r="W926" s="9"/>
      <c r="X926" s="16"/>
      <c r="AF926" s="42">
        <f>IF(BUSCAR!$C$8="FECHA NAC.",$G926,IF(BUSCAR!$C$8="PASAPORTE EXPIRA",$J926,IF(BUSCAR!$C$8="LICENCIA EMISION",$L926,IF(BUSCAR!$C$8="LICENCIA EXPIRA",$M926,""))))</f>
      </c>
      <c r="AG926" s="42">
        <f>IF($B926&amp;$C926&amp;$D926&amp;$E926&amp;$H926="",0,IF(AND(OR(BUSCAR!$J$5="",ISNUMBER(SEARCH(BUSCAR!$J$5,$AI926))),OR(BUSCAR!$J$6="",ISNUMBER(SEARCH(BUSCAR!$J$6,$AI926))),OR(BUSCAR!$J$8="",ISNUMBER(SEARCH(BUSCAR!$J$8,$AI926))),OR(BUSCAR!$J$9="",ISNUMBER(SEARCH(BUSCAR!$J$9,$AI926))),OR(NOT(BUSCAR!$J$2),AND(ISNUMBER($AF926),$AF926&gt;=BUSCAR!$J$3,$AF926&lt;=BUSCAR!$J$4))),1,0))</f>
      </c>
      <c r="AH926" s="42">
        <f t="shared" si="42"/>
      </c>
      <c r="AI926" s="42">
        <f t="shared" si="43"/>
      </c>
    </row>
    <row r="927" spans="1:35" x14ac:dyDescent="0.2">
      <c r="A927" s="66">
        <f t="shared" si="44"/>
      </c>
      <c r="B927" s="4"/>
      <c r="C927" s="4"/>
      <c r="D927" s="4"/>
      <c r="E927" s="4"/>
      <c r="F927" s="24"/>
      <c r="G927" s="8"/>
      <c r="H927" s="9"/>
      <c r="I927" s="8"/>
      <c r="J927" s="10"/>
      <c r="K927" s="8"/>
      <c r="L927" s="8"/>
      <c r="M927" s="8"/>
      <c r="N927" s="11"/>
      <c r="O927" s="9"/>
      <c r="P927" s="12"/>
      <c r="Q927" s="9"/>
      <c r="R927" s="13"/>
      <c r="S927" s="11"/>
      <c r="T927" s="11"/>
      <c r="U927" s="9"/>
      <c r="V927" s="9"/>
      <c r="W927" s="9"/>
      <c r="X927" s="16"/>
      <c r="AF927" s="42">
        <f>IF(BUSCAR!$C$8="FECHA NAC.",$G927,IF(BUSCAR!$C$8="PASAPORTE EXPIRA",$J927,IF(BUSCAR!$C$8="LICENCIA EMISION",$L927,IF(BUSCAR!$C$8="LICENCIA EXPIRA",$M927,""))))</f>
      </c>
      <c r="AG927" s="42">
        <f>IF($B927&amp;$C927&amp;$D927&amp;$E927&amp;$H927="",0,IF(AND(OR(BUSCAR!$J$5="",ISNUMBER(SEARCH(BUSCAR!$J$5,$AI927))),OR(BUSCAR!$J$6="",ISNUMBER(SEARCH(BUSCAR!$J$6,$AI927))),OR(BUSCAR!$J$8="",ISNUMBER(SEARCH(BUSCAR!$J$8,$AI927))),OR(BUSCAR!$J$9="",ISNUMBER(SEARCH(BUSCAR!$J$9,$AI927))),OR(NOT(BUSCAR!$J$2),AND(ISNUMBER($AF927),$AF927&gt;=BUSCAR!$J$3,$AF927&lt;=BUSCAR!$J$4))),1,0))</f>
      </c>
      <c r="AH927" s="42">
        <f t="shared" si="42"/>
      </c>
      <c r="AI927" s="42">
        <f t="shared" si="43"/>
      </c>
    </row>
    <row r="928" spans="1:35" x14ac:dyDescent="0.2">
      <c r="A928" s="66">
        <f t="shared" si="44"/>
      </c>
      <c r="B928" s="4"/>
      <c r="C928" s="4"/>
      <c r="D928" s="4"/>
      <c r="E928" s="4"/>
      <c r="F928" s="24"/>
      <c r="G928" s="8"/>
      <c r="H928" s="9"/>
      <c r="I928" s="8"/>
      <c r="J928" s="10"/>
      <c r="K928" s="8"/>
      <c r="L928" s="8"/>
      <c r="M928" s="8"/>
      <c r="N928" s="11"/>
      <c r="O928" s="9"/>
      <c r="P928" s="12"/>
      <c r="Q928" s="9"/>
      <c r="R928" s="13"/>
      <c r="S928" s="11"/>
      <c r="T928" s="11"/>
      <c r="U928" s="9"/>
      <c r="V928" s="9"/>
      <c r="W928" s="9"/>
      <c r="X928" s="16"/>
      <c r="AF928" s="42">
        <f>IF(BUSCAR!$C$8="FECHA NAC.",$G928,IF(BUSCAR!$C$8="PASAPORTE EXPIRA",$J928,IF(BUSCAR!$C$8="LICENCIA EMISION",$L928,IF(BUSCAR!$C$8="LICENCIA EXPIRA",$M928,""))))</f>
      </c>
      <c r="AG928" s="42">
        <f>IF($B928&amp;$C928&amp;$D928&amp;$E928&amp;$H928="",0,IF(AND(OR(BUSCAR!$J$5="",ISNUMBER(SEARCH(BUSCAR!$J$5,$AI928))),OR(BUSCAR!$J$6="",ISNUMBER(SEARCH(BUSCAR!$J$6,$AI928))),OR(BUSCAR!$J$8="",ISNUMBER(SEARCH(BUSCAR!$J$8,$AI928))),OR(BUSCAR!$J$9="",ISNUMBER(SEARCH(BUSCAR!$J$9,$AI928))),OR(NOT(BUSCAR!$J$2),AND(ISNUMBER($AF928),$AF928&gt;=BUSCAR!$J$3,$AF928&lt;=BUSCAR!$J$4))),1,0))</f>
      </c>
      <c r="AH928" s="42">
        <f t="shared" si="42"/>
      </c>
      <c r="AI928" s="42">
        <f t="shared" si="43"/>
      </c>
    </row>
    <row r="929" spans="1:35" x14ac:dyDescent="0.2">
      <c r="A929" s="66">
        <f t="shared" si="44"/>
      </c>
      <c r="B929" s="4"/>
      <c r="C929" s="4"/>
      <c r="D929" s="4"/>
      <c r="E929" s="4"/>
      <c r="F929" s="24"/>
      <c r="G929" s="8"/>
      <c r="H929" s="9"/>
      <c r="I929" s="8"/>
      <c r="J929" s="10"/>
      <c r="K929" s="8"/>
      <c r="L929" s="8"/>
      <c r="M929" s="8"/>
      <c r="N929" s="11"/>
      <c r="O929" s="9"/>
      <c r="P929" s="12"/>
      <c r="Q929" s="9"/>
      <c r="R929" s="13"/>
      <c r="S929" s="11"/>
      <c r="T929" s="11"/>
      <c r="U929" s="9"/>
      <c r="V929" s="9"/>
      <c r="W929" s="9"/>
      <c r="X929" s="16"/>
      <c r="AF929" s="42">
        <f>IF(BUSCAR!$C$8="FECHA NAC.",$G929,IF(BUSCAR!$C$8="PASAPORTE EXPIRA",$J929,IF(BUSCAR!$C$8="LICENCIA EMISION",$L929,IF(BUSCAR!$C$8="LICENCIA EXPIRA",$M929,""))))</f>
      </c>
      <c r="AG929" s="42">
        <f>IF($B929&amp;$C929&amp;$D929&amp;$E929&amp;$H929="",0,IF(AND(OR(BUSCAR!$J$5="",ISNUMBER(SEARCH(BUSCAR!$J$5,$AI929))),OR(BUSCAR!$J$6="",ISNUMBER(SEARCH(BUSCAR!$J$6,$AI929))),OR(BUSCAR!$J$8="",ISNUMBER(SEARCH(BUSCAR!$J$8,$AI929))),OR(BUSCAR!$J$9="",ISNUMBER(SEARCH(BUSCAR!$J$9,$AI929))),OR(NOT(BUSCAR!$J$2),AND(ISNUMBER($AF929),$AF929&gt;=BUSCAR!$J$3,$AF929&lt;=BUSCAR!$J$4))),1,0))</f>
      </c>
      <c r="AH929" s="42">
        <f t="shared" si="42"/>
      </c>
      <c r="AI929" s="42">
        <f t="shared" si="43"/>
      </c>
    </row>
    <row r="930" spans="1:35" x14ac:dyDescent="0.2">
      <c r="A930" s="66">
        <f t="shared" si="44"/>
      </c>
      <c r="B930" s="4"/>
      <c r="C930" s="4"/>
      <c r="D930" s="4"/>
      <c r="E930" s="4"/>
      <c r="F930" s="24"/>
      <c r="G930" s="8"/>
      <c r="H930" s="9"/>
      <c r="I930" s="8"/>
      <c r="J930" s="10"/>
      <c r="K930" s="8"/>
      <c r="L930" s="8"/>
      <c r="M930" s="8"/>
      <c r="N930" s="11"/>
      <c r="O930" s="9"/>
      <c r="P930" s="12"/>
      <c r="Q930" s="9"/>
      <c r="R930" s="13"/>
      <c r="S930" s="11"/>
      <c r="T930" s="11"/>
      <c r="U930" s="9"/>
      <c r="V930" s="9"/>
      <c r="W930" s="9"/>
      <c r="X930" s="16"/>
      <c r="AF930" s="42">
        <f>IF(BUSCAR!$C$8="FECHA NAC.",$G930,IF(BUSCAR!$C$8="PASAPORTE EXPIRA",$J930,IF(BUSCAR!$C$8="LICENCIA EMISION",$L930,IF(BUSCAR!$C$8="LICENCIA EXPIRA",$M930,""))))</f>
      </c>
      <c r="AG930" s="42">
        <f>IF($B930&amp;$C930&amp;$D930&amp;$E930&amp;$H930="",0,IF(AND(OR(BUSCAR!$J$5="",ISNUMBER(SEARCH(BUSCAR!$J$5,$AI930))),OR(BUSCAR!$J$6="",ISNUMBER(SEARCH(BUSCAR!$J$6,$AI930))),OR(BUSCAR!$J$8="",ISNUMBER(SEARCH(BUSCAR!$J$8,$AI930))),OR(BUSCAR!$J$9="",ISNUMBER(SEARCH(BUSCAR!$J$9,$AI930))),OR(NOT(BUSCAR!$J$2),AND(ISNUMBER($AF930),$AF930&gt;=BUSCAR!$J$3,$AF930&lt;=BUSCAR!$J$4))),1,0))</f>
      </c>
      <c r="AH930" s="42">
        <f t="shared" si="42"/>
      </c>
      <c r="AI930" s="42">
        <f t="shared" si="43"/>
      </c>
    </row>
    <row r="931" spans="1:35" x14ac:dyDescent="0.2">
      <c r="A931" s="66">
        <f t="shared" si="44"/>
      </c>
      <c r="B931" s="4"/>
      <c r="C931" s="4"/>
      <c r="D931" s="4"/>
      <c r="E931" s="4"/>
      <c r="F931" s="24"/>
      <c r="G931" s="8"/>
      <c r="H931" s="9"/>
      <c r="I931" s="8"/>
      <c r="J931" s="10"/>
      <c r="K931" s="8"/>
      <c r="L931" s="8"/>
      <c r="M931" s="8"/>
      <c r="N931" s="11"/>
      <c r="O931" s="9"/>
      <c r="P931" s="12"/>
      <c r="Q931" s="9"/>
      <c r="R931" s="13"/>
      <c r="S931" s="11"/>
      <c r="T931" s="11"/>
      <c r="U931" s="9"/>
      <c r="V931" s="9"/>
      <c r="W931" s="9"/>
      <c r="X931" s="16"/>
      <c r="AF931" s="42">
        <f>IF(BUSCAR!$C$8="FECHA NAC.",$G931,IF(BUSCAR!$C$8="PASAPORTE EXPIRA",$J931,IF(BUSCAR!$C$8="LICENCIA EMISION",$L931,IF(BUSCAR!$C$8="LICENCIA EXPIRA",$M931,""))))</f>
      </c>
      <c r="AG931" s="42">
        <f>IF($B931&amp;$C931&amp;$D931&amp;$E931&amp;$H931="",0,IF(AND(OR(BUSCAR!$J$5="",ISNUMBER(SEARCH(BUSCAR!$J$5,$AI931))),OR(BUSCAR!$J$6="",ISNUMBER(SEARCH(BUSCAR!$J$6,$AI931))),OR(BUSCAR!$J$8="",ISNUMBER(SEARCH(BUSCAR!$J$8,$AI931))),OR(BUSCAR!$J$9="",ISNUMBER(SEARCH(BUSCAR!$J$9,$AI931))),OR(NOT(BUSCAR!$J$2),AND(ISNUMBER($AF931),$AF931&gt;=BUSCAR!$J$3,$AF931&lt;=BUSCAR!$J$4))),1,0))</f>
      </c>
      <c r="AH931" s="42">
        <f t="shared" si="42"/>
      </c>
      <c r="AI931" s="42">
        <f t="shared" si="43"/>
      </c>
    </row>
    <row r="932" spans="1:35" x14ac:dyDescent="0.2">
      <c r="A932" s="66">
        <f t="shared" si="44"/>
      </c>
      <c r="B932" s="4"/>
      <c r="C932" s="4"/>
      <c r="D932" s="4"/>
      <c r="E932" s="4"/>
      <c r="F932" s="24"/>
      <c r="G932" s="8"/>
      <c r="H932" s="9"/>
      <c r="I932" s="8"/>
      <c r="J932" s="10"/>
      <c r="K932" s="8"/>
      <c r="L932" s="8"/>
      <c r="M932" s="8"/>
      <c r="N932" s="11"/>
      <c r="O932" s="9"/>
      <c r="P932" s="12"/>
      <c r="Q932" s="9"/>
      <c r="R932" s="13"/>
      <c r="S932" s="11"/>
      <c r="T932" s="11"/>
      <c r="U932" s="9"/>
      <c r="V932" s="9"/>
      <c r="W932" s="9"/>
      <c r="X932" s="16"/>
      <c r="AF932" s="42">
        <f>IF(BUSCAR!$C$8="FECHA NAC.",$G932,IF(BUSCAR!$C$8="PASAPORTE EXPIRA",$J932,IF(BUSCAR!$C$8="LICENCIA EMISION",$L932,IF(BUSCAR!$C$8="LICENCIA EXPIRA",$M932,""))))</f>
      </c>
      <c r="AG932" s="42">
        <f>IF($B932&amp;$C932&amp;$D932&amp;$E932&amp;$H932="",0,IF(AND(OR(BUSCAR!$J$5="",ISNUMBER(SEARCH(BUSCAR!$J$5,$AI932))),OR(BUSCAR!$J$6="",ISNUMBER(SEARCH(BUSCAR!$J$6,$AI932))),OR(BUSCAR!$J$8="",ISNUMBER(SEARCH(BUSCAR!$J$8,$AI932))),OR(BUSCAR!$J$9="",ISNUMBER(SEARCH(BUSCAR!$J$9,$AI932))),OR(NOT(BUSCAR!$J$2),AND(ISNUMBER($AF932),$AF932&gt;=BUSCAR!$J$3,$AF932&lt;=BUSCAR!$J$4))),1,0))</f>
      </c>
      <c r="AH932" s="42">
        <f t="shared" si="42"/>
      </c>
      <c r="AI932" s="42">
        <f t="shared" si="43"/>
      </c>
    </row>
    <row r="933" spans="1:35" x14ac:dyDescent="0.2">
      <c r="A933" s="66">
        <f t="shared" si="44"/>
      </c>
      <c r="B933" s="4"/>
      <c r="C933" s="4"/>
      <c r="D933" s="4"/>
      <c r="E933" s="4"/>
      <c r="F933" s="24"/>
      <c r="G933" s="8"/>
      <c r="H933" s="9"/>
      <c r="I933" s="8"/>
      <c r="J933" s="10"/>
      <c r="K933" s="8"/>
      <c r="L933" s="8"/>
      <c r="M933" s="8"/>
      <c r="N933" s="11"/>
      <c r="O933" s="9"/>
      <c r="P933" s="12"/>
      <c r="Q933" s="9"/>
      <c r="R933" s="13"/>
      <c r="S933" s="11"/>
      <c r="T933" s="11"/>
      <c r="U933" s="9"/>
      <c r="V933" s="9"/>
      <c r="W933" s="9"/>
      <c r="X933" s="16"/>
      <c r="AF933" s="42">
        <f>IF(BUSCAR!$C$8="FECHA NAC.",$G933,IF(BUSCAR!$C$8="PASAPORTE EXPIRA",$J933,IF(BUSCAR!$C$8="LICENCIA EMISION",$L933,IF(BUSCAR!$C$8="LICENCIA EXPIRA",$M933,""))))</f>
      </c>
      <c r="AG933" s="42">
        <f>IF($B933&amp;$C933&amp;$D933&amp;$E933&amp;$H933="",0,IF(AND(OR(BUSCAR!$J$5="",ISNUMBER(SEARCH(BUSCAR!$J$5,$AI933))),OR(BUSCAR!$J$6="",ISNUMBER(SEARCH(BUSCAR!$J$6,$AI933))),OR(BUSCAR!$J$8="",ISNUMBER(SEARCH(BUSCAR!$J$8,$AI933))),OR(BUSCAR!$J$9="",ISNUMBER(SEARCH(BUSCAR!$J$9,$AI933))),OR(NOT(BUSCAR!$J$2),AND(ISNUMBER($AF933),$AF933&gt;=BUSCAR!$J$3,$AF933&lt;=BUSCAR!$J$4))),1,0))</f>
      </c>
      <c r="AH933" s="42">
        <f t="shared" si="42"/>
      </c>
      <c r="AI933" s="42">
        <f t="shared" si="43"/>
      </c>
    </row>
    <row r="934" spans="1:35" x14ac:dyDescent="0.2">
      <c r="A934" s="66">
        <f t="shared" si="44"/>
      </c>
      <c r="B934" s="4"/>
      <c r="C934" s="4"/>
      <c r="D934" s="4"/>
      <c r="E934" s="4"/>
      <c r="F934" s="24"/>
      <c r="G934" s="8"/>
      <c r="H934" s="9"/>
      <c r="I934" s="8"/>
      <c r="J934" s="10"/>
      <c r="K934" s="8"/>
      <c r="L934" s="8"/>
      <c r="M934" s="8"/>
      <c r="N934" s="11"/>
      <c r="O934" s="9"/>
      <c r="P934" s="12"/>
      <c r="Q934" s="9"/>
      <c r="R934" s="13"/>
      <c r="S934" s="11"/>
      <c r="T934" s="11"/>
      <c r="U934" s="9"/>
      <c r="V934" s="9"/>
      <c r="W934" s="9"/>
      <c r="X934" s="16"/>
      <c r="AF934" s="42">
        <f>IF(BUSCAR!$C$8="FECHA NAC.",$G934,IF(BUSCAR!$C$8="PASAPORTE EXPIRA",$J934,IF(BUSCAR!$C$8="LICENCIA EMISION",$L934,IF(BUSCAR!$C$8="LICENCIA EXPIRA",$M934,""))))</f>
      </c>
      <c r="AG934" s="42">
        <f>IF($B934&amp;$C934&amp;$D934&amp;$E934&amp;$H934="",0,IF(AND(OR(BUSCAR!$J$5="",ISNUMBER(SEARCH(BUSCAR!$J$5,$AI934))),OR(BUSCAR!$J$6="",ISNUMBER(SEARCH(BUSCAR!$J$6,$AI934))),OR(BUSCAR!$J$8="",ISNUMBER(SEARCH(BUSCAR!$J$8,$AI934))),OR(BUSCAR!$J$9="",ISNUMBER(SEARCH(BUSCAR!$J$9,$AI934))),OR(NOT(BUSCAR!$J$2),AND(ISNUMBER($AF934),$AF934&gt;=BUSCAR!$J$3,$AF934&lt;=BUSCAR!$J$4))),1,0))</f>
      </c>
      <c r="AH934" s="42">
        <f t="shared" si="42"/>
      </c>
      <c r="AI934" s="42">
        <f t="shared" si="43"/>
      </c>
    </row>
    <row r="935" spans="1:35" x14ac:dyDescent="0.2">
      <c r="A935" s="66">
        <f t="shared" si="44"/>
      </c>
      <c r="B935" s="4"/>
      <c r="C935" s="4"/>
      <c r="D935" s="4"/>
      <c r="E935" s="4"/>
      <c r="F935" s="24"/>
      <c r="G935" s="8"/>
      <c r="H935" s="9"/>
      <c r="I935" s="8"/>
      <c r="J935" s="10"/>
      <c r="K935" s="8"/>
      <c r="L935" s="8"/>
      <c r="M935" s="8"/>
      <c r="N935" s="11"/>
      <c r="O935" s="9"/>
      <c r="P935" s="12"/>
      <c r="Q935" s="9"/>
      <c r="R935" s="13"/>
      <c r="S935" s="11"/>
      <c r="T935" s="11"/>
      <c r="U935" s="9"/>
      <c r="V935" s="9"/>
      <c r="W935" s="9"/>
      <c r="X935" s="16"/>
      <c r="AF935" s="42">
        <f>IF(BUSCAR!$C$8="FECHA NAC.",$G935,IF(BUSCAR!$C$8="PASAPORTE EXPIRA",$J935,IF(BUSCAR!$C$8="LICENCIA EMISION",$L935,IF(BUSCAR!$C$8="LICENCIA EXPIRA",$M935,""))))</f>
      </c>
      <c r="AG935" s="42">
        <f>IF($B935&amp;$C935&amp;$D935&amp;$E935&amp;$H935="",0,IF(AND(OR(BUSCAR!$J$5="",ISNUMBER(SEARCH(BUSCAR!$J$5,$AI935))),OR(BUSCAR!$J$6="",ISNUMBER(SEARCH(BUSCAR!$J$6,$AI935))),OR(BUSCAR!$J$8="",ISNUMBER(SEARCH(BUSCAR!$J$8,$AI935))),OR(BUSCAR!$J$9="",ISNUMBER(SEARCH(BUSCAR!$J$9,$AI935))),OR(NOT(BUSCAR!$J$2),AND(ISNUMBER($AF935),$AF935&gt;=BUSCAR!$J$3,$AF935&lt;=BUSCAR!$J$4))),1,0))</f>
      </c>
      <c r="AH935" s="42">
        <f t="shared" si="42"/>
      </c>
      <c r="AI935" s="42">
        <f t="shared" si="43"/>
      </c>
    </row>
    <row r="936" spans="1:35" x14ac:dyDescent="0.2">
      <c r="A936" s="66">
        <f t="shared" si="44"/>
      </c>
      <c r="B936" s="4"/>
      <c r="C936" s="4"/>
      <c r="D936" s="4"/>
      <c r="E936" s="4"/>
      <c r="F936" s="24"/>
      <c r="G936" s="8"/>
      <c r="H936" s="9"/>
      <c r="I936" s="8"/>
      <c r="J936" s="10"/>
      <c r="K936" s="8"/>
      <c r="L936" s="8"/>
      <c r="M936" s="8"/>
      <c r="N936" s="11"/>
      <c r="O936" s="9"/>
      <c r="P936" s="12"/>
      <c r="Q936" s="9"/>
      <c r="R936" s="13"/>
      <c r="S936" s="11"/>
      <c r="T936" s="11"/>
      <c r="U936" s="9"/>
      <c r="V936" s="9"/>
      <c r="W936" s="9"/>
      <c r="X936" s="16"/>
      <c r="AF936" s="42">
        <f>IF(BUSCAR!$C$8="FECHA NAC.",$G936,IF(BUSCAR!$C$8="PASAPORTE EXPIRA",$J936,IF(BUSCAR!$C$8="LICENCIA EMISION",$L936,IF(BUSCAR!$C$8="LICENCIA EXPIRA",$M936,""))))</f>
      </c>
      <c r="AG936" s="42">
        <f>IF($B936&amp;$C936&amp;$D936&amp;$E936&amp;$H936="",0,IF(AND(OR(BUSCAR!$J$5="",ISNUMBER(SEARCH(BUSCAR!$J$5,$AI936))),OR(BUSCAR!$J$6="",ISNUMBER(SEARCH(BUSCAR!$J$6,$AI936))),OR(BUSCAR!$J$8="",ISNUMBER(SEARCH(BUSCAR!$J$8,$AI936))),OR(BUSCAR!$J$9="",ISNUMBER(SEARCH(BUSCAR!$J$9,$AI936))),OR(NOT(BUSCAR!$J$2),AND(ISNUMBER($AF936),$AF936&gt;=BUSCAR!$J$3,$AF936&lt;=BUSCAR!$J$4))),1,0))</f>
      </c>
      <c r="AH936" s="42">
        <f t="shared" si="42"/>
      </c>
      <c r="AI936" s="42">
        <f t="shared" si="43"/>
      </c>
    </row>
    <row r="937" spans="1:35" x14ac:dyDescent="0.2">
      <c r="A937" s="66">
        <f t="shared" si="44"/>
      </c>
      <c r="B937" s="4"/>
      <c r="C937" s="4"/>
      <c r="D937" s="4"/>
      <c r="E937" s="4"/>
      <c r="F937" s="24"/>
      <c r="G937" s="8"/>
      <c r="H937" s="9"/>
      <c r="I937" s="8"/>
      <c r="J937" s="10"/>
      <c r="K937" s="8"/>
      <c r="L937" s="8"/>
      <c r="M937" s="8"/>
      <c r="N937" s="11"/>
      <c r="O937" s="9"/>
      <c r="P937" s="12"/>
      <c r="Q937" s="9"/>
      <c r="R937" s="13"/>
      <c r="S937" s="11"/>
      <c r="T937" s="11"/>
      <c r="U937" s="9"/>
      <c r="V937" s="9"/>
      <c r="W937" s="9"/>
      <c r="X937" s="16"/>
      <c r="AF937" s="42">
        <f>IF(BUSCAR!$C$8="FECHA NAC.",$G937,IF(BUSCAR!$C$8="PASAPORTE EXPIRA",$J937,IF(BUSCAR!$C$8="LICENCIA EMISION",$L937,IF(BUSCAR!$C$8="LICENCIA EXPIRA",$M937,""))))</f>
      </c>
      <c r="AG937" s="42">
        <f>IF($B937&amp;$C937&amp;$D937&amp;$E937&amp;$H937="",0,IF(AND(OR(BUSCAR!$J$5="",ISNUMBER(SEARCH(BUSCAR!$J$5,$AI937))),OR(BUSCAR!$J$6="",ISNUMBER(SEARCH(BUSCAR!$J$6,$AI937))),OR(BUSCAR!$J$8="",ISNUMBER(SEARCH(BUSCAR!$J$8,$AI937))),OR(BUSCAR!$J$9="",ISNUMBER(SEARCH(BUSCAR!$J$9,$AI937))),OR(NOT(BUSCAR!$J$2),AND(ISNUMBER($AF937),$AF937&gt;=BUSCAR!$J$3,$AF937&lt;=BUSCAR!$J$4))),1,0))</f>
      </c>
      <c r="AH937" s="42">
        <f t="shared" si="42"/>
      </c>
      <c r="AI937" s="42">
        <f t="shared" si="43"/>
      </c>
    </row>
    <row r="938" spans="1:35" x14ac:dyDescent="0.2">
      <c r="A938" s="66">
        <f t="shared" si="44"/>
      </c>
      <c r="B938" s="4"/>
      <c r="C938" s="4"/>
      <c r="D938" s="4"/>
      <c r="E938" s="4"/>
      <c r="F938" s="24"/>
      <c r="G938" s="8"/>
      <c r="H938" s="9"/>
      <c r="I938" s="8"/>
      <c r="J938" s="10"/>
      <c r="K938" s="8"/>
      <c r="L938" s="8"/>
      <c r="M938" s="8"/>
      <c r="N938" s="11"/>
      <c r="O938" s="9"/>
      <c r="P938" s="12"/>
      <c r="Q938" s="9"/>
      <c r="R938" s="13"/>
      <c r="S938" s="11"/>
      <c r="T938" s="11"/>
      <c r="U938" s="9"/>
      <c r="V938" s="9"/>
      <c r="W938" s="9"/>
      <c r="X938" s="16"/>
      <c r="AF938" s="42">
        <f>IF(BUSCAR!$C$8="FECHA NAC.",$G938,IF(BUSCAR!$C$8="PASAPORTE EXPIRA",$J938,IF(BUSCAR!$C$8="LICENCIA EMISION",$L938,IF(BUSCAR!$C$8="LICENCIA EXPIRA",$M938,""))))</f>
      </c>
      <c r="AG938" s="42">
        <f>IF($B938&amp;$C938&amp;$D938&amp;$E938&amp;$H938="",0,IF(AND(OR(BUSCAR!$J$5="",ISNUMBER(SEARCH(BUSCAR!$J$5,$AI938))),OR(BUSCAR!$J$6="",ISNUMBER(SEARCH(BUSCAR!$J$6,$AI938))),OR(BUSCAR!$J$8="",ISNUMBER(SEARCH(BUSCAR!$J$8,$AI938))),OR(BUSCAR!$J$9="",ISNUMBER(SEARCH(BUSCAR!$J$9,$AI938))),OR(NOT(BUSCAR!$J$2),AND(ISNUMBER($AF938),$AF938&gt;=BUSCAR!$J$3,$AF938&lt;=BUSCAR!$J$4))),1,0))</f>
      </c>
      <c r="AH938" s="42">
        <f t="shared" si="42"/>
      </c>
      <c r="AI938" s="42">
        <f t="shared" si="43"/>
      </c>
    </row>
    <row r="939" spans="1:35" x14ac:dyDescent="0.2">
      <c r="A939" s="66">
        <f t="shared" si="44"/>
      </c>
      <c r="B939" s="4"/>
      <c r="C939" s="4"/>
      <c r="D939" s="4"/>
      <c r="E939" s="4"/>
      <c r="F939" s="24"/>
      <c r="G939" s="8"/>
      <c r="H939" s="9"/>
      <c r="I939" s="8"/>
      <c r="J939" s="10"/>
      <c r="K939" s="8"/>
      <c r="L939" s="8"/>
      <c r="M939" s="8"/>
      <c r="N939" s="11"/>
      <c r="O939" s="9"/>
      <c r="P939" s="12"/>
      <c r="Q939" s="9"/>
      <c r="R939" s="13"/>
      <c r="S939" s="11"/>
      <c r="T939" s="11"/>
      <c r="U939" s="9"/>
      <c r="V939" s="9"/>
      <c r="W939" s="9"/>
      <c r="X939" s="16"/>
      <c r="AF939" s="42">
        <f>IF(BUSCAR!$C$8="FECHA NAC.",$G939,IF(BUSCAR!$C$8="PASAPORTE EXPIRA",$J939,IF(BUSCAR!$C$8="LICENCIA EMISION",$L939,IF(BUSCAR!$C$8="LICENCIA EXPIRA",$M939,""))))</f>
      </c>
      <c r="AG939" s="42">
        <f>IF($B939&amp;$C939&amp;$D939&amp;$E939&amp;$H939="",0,IF(AND(OR(BUSCAR!$J$5="",ISNUMBER(SEARCH(BUSCAR!$J$5,$AI939))),OR(BUSCAR!$J$6="",ISNUMBER(SEARCH(BUSCAR!$J$6,$AI939))),OR(BUSCAR!$J$8="",ISNUMBER(SEARCH(BUSCAR!$J$8,$AI939))),OR(BUSCAR!$J$9="",ISNUMBER(SEARCH(BUSCAR!$J$9,$AI939))),OR(NOT(BUSCAR!$J$2),AND(ISNUMBER($AF939),$AF939&gt;=BUSCAR!$J$3,$AF939&lt;=BUSCAR!$J$4))),1,0))</f>
      </c>
      <c r="AH939" s="42">
        <f t="shared" si="42"/>
      </c>
      <c r="AI939" s="42">
        <f t="shared" si="43"/>
      </c>
    </row>
    <row r="940" spans="1:35" x14ac:dyDescent="0.2">
      <c r="A940" s="66">
        <f t="shared" si="44"/>
      </c>
      <c r="B940" s="4"/>
      <c r="C940" s="4"/>
      <c r="D940" s="4"/>
      <c r="E940" s="4"/>
      <c r="F940" s="24"/>
      <c r="G940" s="8"/>
      <c r="H940" s="9"/>
      <c r="I940" s="8"/>
      <c r="J940" s="10"/>
      <c r="K940" s="8"/>
      <c r="L940" s="8"/>
      <c r="M940" s="8"/>
      <c r="N940" s="11"/>
      <c r="O940" s="9"/>
      <c r="P940" s="12"/>
      <c r="Q940" s="9"/>
      <c r="R940" s="13"/>
      <c r="S940" s="11"/>
      <c r="T940" s="11"/>
      <c r="U940" s="9"/>
      <c r="V940" s="9"/>
      <c r="W940" s="9"/>
      <c r="X940" s="16"/>
      <c r="AF940" s="42">
        <f>IF(BUSCAR!$C$8="FECHA NAC.",$G940,IF(BUSCAR!$C$8="PASAPORTE EXPIRA",$J940,IF(BUSCAR!$C$8="LICENCIA EMISION",$L940,IF(BUSCAR!$C$8="LICENCIA EXPIRA",$M940,""))))</f>
      </c>
      <c r="AG940" s="42">
        <f>IF($B940&amp;$C940&amp;$D940&amp;$E940&amp;$H940="",0,IF(AND(OR(BUSCAR!$J$5="",ISNUMBER(SEARCH(BUSCAR!$J$5,$AI940))),OR(BUSCAR!$J$6="",ISNUMBER(SEARCH(BUSCAR!$J$6,$AI940))),OR(BUSCAR!$J$8="",ISNUMBER(SEARCH(BUSCAR!$J$8,$AI940))),OR(BUSCAR!$J$9="",ISNUMBER(SEARCH(BUSCAR!$J$9,$AI940))),OR(NOT(BUSCAR!$J$2),AND(ISNUMBER($AF940),$AF940&gt;=BUSCAR!$J$3,$AF940&lt;=BUSCAR!$J$4))),1,0))</f>
      </c>
      <c r="AH940" s="42">
        <f t="shared" si="42"/>
      </c>
      <c r="AI940" s="42">
        <f t="shared" si="43"/>
      </c>
    </row>
    <row r="941" spans="1:35" x14ac:dyDescent="0.2">
      <c r="A941" s="66">
        <f t="shared" si="44"/>
      </c>
      <c r="B941" s="4"/>
      <c r="C941" s="4"/>
      <c r="D941" s="4"/>
      <c r="E941" s="4"/>
      <c r="F941" s="24"/>
      <c r="G941" s="8"/>
      <c r="H941" s="9"/>
      <c r="I941" s="8"/>
      <c r="J941" s="10"/>
      <c r="K941" s="8"/>
      <c r="L941" s="8"/>
      <c r="M941" s="8"/>
      <c r="N941" s="11"/>
      <c r="O941" s="9"/>
      <c r="P941" s="12"/>
      <c r="Q941" s="9"/>
      <c r="R941" s="13"/>
      <c r="S941" s="11"/>
      <c r="T941" s="11"/>
      <c r="U941" s="9"/>
      <c r="V941" s="9"/>
      <c r="W941" s="9"/>
      <c r="X941" s="16"/>
      <c r="AF941" s="42">
        <f>IF(BUSCAR!$C$8="FECHA NAC.",$G941,IF(BUSCAR!$C$8="PASAPORTE EXPIRA",$J941,IF(BUSCAR!$C$8="LICENCIA EMISION",$L941,IF(BUSCAR!$C$8="LICENCIA EXPIRA",$M941,""))))</f>
      </c>
      <c r="AG941" s="42">
        <f>IF($B941&amp;$C941&amp;$D941&amp;$E941&amp;$H941="",0,IF(AND(OR(BUSCAR!$J$5="",ISNUMBER(SEARCH(BUSCAR!$J$5,$AI941))),OR(BUSCAR!$J$6="",ISNUMBER(SEARCH(BUSCAR!$J$6,$AI941))),OR(BUSCAR!$J$8="",ISNUMBER(SEARCH(BUSCAR!$J$8,$AI941))),OR(BUSCAR!$J$9="",ISNUMBER(SEARCH(BUSCAR!$J$9,$AI941))),OR(NOT(BUSCAR!$J$2),AND(ISNUMBER($AF941),$AF941&gt;=BUSCAR!$J$3,$AF941&lt;=BUSCAR!$J$4))),1,0))</f>
      </c>
      <c r="AH941" s="42">
        <f t="shared" si="42"/>
      </c>
      <c r="AI941" s="42">
        <f t="shared" si="43"/>
      </c>
    </row>
    <row r="942" spans="1:35" x14ac:dyDescent="0.2">
      <c r="A942" s="66">
        <f t="shared" si="44"/>
      </c>
      <c r="B942" s="4"/>
      <c r="C942" s="4"/>
      <c r="D942" s="4"/>
      <c r="E942" s="4"/>
      <c r="F942" s="24"/>
      <c r="G942" s="8"/>
      <c r="H942" s="9"/>
      <c r="I942" s="8"/>
      <c r="J942" s="10"/>
      <c r="K942" s="8"/>
      <c r="L942" s="8"/>
      <c r="M942" s="8"/>
      <c r="N942" s="11"/>
      <c r="O942" s="9"/>
      <c r="P942" s="12"/>
      <c r="Q942" s="9"/>
      <c r="R942" s="13"/>
      <c r="S942" s="11"/>
      <c r="T942" s="11"/>
      <c r="U942" s="9"/>
      <c r="V942" s="9"/>
      <c r="W942" s="9"/>
      <c r="X942" s="16"/>
      <c r="AF942" s="42">
        <f>IF(BUSCAR!$C$8="FECHA NAC.",$G942,IF(BUSCAR!$C$8="PASAPORTE EXPIRA",$J942,IF(BUSCAR!$C$8="LICENCIA EMISION",$L942,IF(BUSCAR!$C$8="LICENCIA EXPIRA",$M942,""))))</f>
      </c>
      <c r="AG942" s="42">
        <f>IF($B942&amp;$C942&amp;$D942&amp;$E942&amp;$H942="",0,IF(AND(OR(BUSCAR!$J$5="",ISNUMBER(SEARCH(BUSCAR!$J$5,$AI942))),OR(BUSCAR!$J$6="",ISNUMBER(SEARCH(BUSCAR!$J$6,$AI942))),OR(BUSCAR!$J$8="",ISNUMBER(SEARCH(BUSCAR!$J$8,$AI942))),OR(BUSCAR!$J$9="",ISNUMBER(SEARCH(BUSCAR!$J$9,$AI942))),OR(NOT(BUSCAR!$J$2),AND(ISNUMBER($AF942),$AF942&gt;=BUSCAR!$J$3,$AF942&lt;=BUSCAR!$J$4))),1,0))</f>
      </c>
      <c r="AH942" s="42">
        <f t="shared" si="42"/>
      </c>
      <c r="AI942" s="42">
        <f t="shared" si="43"/>
      </c>
    </row>
    <row r="943" spans="1:35" x14ac:dyDescent="0.2">
      <c r="A943" s="66">
        <f t="shared" si="44"/>
      </c>
      <c r="B943" s="4"/>
      <c r="C943" s="4"/>
      <c r="D943" s="4"/>
      <c r="E943" s="4"/>
      <c r="F943" s="24"/>
      <c r="G943" s="8"/>
      <c r="H943" s="9"/>
      <c r="I943" s="8"/>
      <c r="J943" s="10"/>
      <c r="K943" s="8"/>
      <c r="L943" s="8"/>
      <c r="M943" s="8"/>
      <c r="N943" s="11"/>
      <c r="O943" s="9"/>
      <c r="P943" s="12"/>
      <c r="Q943" s="9"/>
      <c r="R943" s="13"/>
      <c r="S943" s="11"/>
      <c r="T943" s="11"/>
      <c r="U943" s="9"/>
      <c r="V943" s="9"/>
      <c r="W943" s="9"/>
      <c r="X943" s="16"/>
      <c r="AF943" s="42">
        <f>IF(BUSCAR!$C$8="FECHA NAC.",$G943,IF(BUSCAR!$C$8="PASAPORTE EXPIRA",$J943,IF(BUSCAR!$C$8="LICENCIA EMISION",$L943,IF(BUSCAR!$C$8="LICENCIA EXPIRA",$M943,""))))</f>
      </c>
      <c r="AG943" s="42">
        <f>IF($B943&amp;$C943&amp;$D943&amp;$E943&amp;$H943="",0,IF(AND(OR(BUSCAR!$J$5="",ISNUMBER(SEARCH(BUSCAR!$J$5,$AI943))),OR(BUSCAR!$J$6="",ISNUMBER(SEARCH(BUSCAR!$J$6,$AI943))),OR(BUSCAR!$J$8="",ISNUMBER(SEARCH(BUSCAR!$J$8,$AI943))),OR(BUSCAR!$J$9="",ISNUMBER(SEARCH(BUSCAR!$J$9,$AI943))),OR(NOT(BUSCAR!$J$2),AND(ISNUMBER($AF943),$AF943&gt;=BUSCAR!$J$3,$AF943&lt;=BUSCAR!$J$4))),1,0))</f>
      </c>
      <c r="AH943" s="42">
        <f t="shared" si="42"/>
      </c>
      <c r="AI943" s="42">
        <f t="shared" si="43"/>
      </c>
    </row>
    <row r="944" spans="1:35" x14ac:dyDescent="0.2">
      <c r="A944" s="66">
        <f t="shared" si="44"/>
      </c>
      <c r="B944" s="4"/>
      <c r="C944" s="4"/>
      <c r="D944" s="4"/>
      <c r="E944" s="4"/>
      <c r="F944" s="24"/>
      <c r="G944" s="8"/>
      <c r="H944" s="9"/>
      <c r="I944" s="8"/>
      <c r="J944" s="10"/>
      <c r="K944" s="8"/>
      <c r="L944" s="8"/>
      <c r="M944" s="8"/>
      <c r="N944" s="11"/>
      <c r="O944" s="9"/>
      <c r="P944" s="12"/>
      <c r="Q944" s="9"/>
      <c r="R944" s="13"/>
      <c r="S944" s="11"/>
      <c r="T944" s="11"/>
      <c r="U944" s="9"/>
      <c r="V944" s="9"/>
      <c r="W944" s="9"/>
      <c r="X944" s="16"/>
      <c r="AF944" s="42">
        <f>IF(BUSCAR!$C$8="FECHA NAC.",$G944,IF(BUSCAR!$C$8="PASAPORTE EXPIRA",$J944,IF(BUSCAR!$C$8="LICENCIA EMISION",$L944,IF(BUSCAR!$C$8="LICENCIA EXPIRA",$M944,""))))</f>
      </c>
      <c r="AG944" s="42">
        <f>IF($B944&amp;$C944&amp;$D944&amp;$E944&amp;$H944="",0,IF(AND(OR(BUSCAR!$J$5="",ISNUMBER(SEARCH(BUSCAR!$J$5,$AI944))),OR(BUSCAR!$J$6="",ISNUMBER(SEARCH(BUSCAR!$J$6,$AI944))),OR(BUSCAR!$J$8="",ISNUMBER(SEARCH(BUSCAR!$J$8,$AI944))),OR(BUSCAR!$J$9="",ISNUMBER(SEARCH(BUSCAR!$J$9,$AI944))),OR(NOT(BUSCAR!$J$2),AND(ISNUMBER($AF944),$AF944&gt;=BUSCAR!$J$3,$AF944&lt;=BUSCAR!$J$4))),1,0))</f>
      </c>
      <c r="AH944" s="42">
        <f t="shared" si="42"/>
      </c>
      <c r="AI944" s="42">
        <f t="shared" si="43"/>
      </c>
    </row>
    <row r="945" spans="1:35" x14ac:dyDescent="0.2">
      <c r="A945" s="66">
        <f t="shared" si="44"/>
      </c>
      <c r="B945" s="4"/>
      <c r="C945" s="4"/>
      <c r="D945" s="4"/>
      <c r="E945" s="4"/>
      <c r="F945" s="24"/>
      <c r="G945" s="8"/>
      <c r="H945" s="9"/>
      <c r="I945" s="8"/>
      <c r="J945" s="10"/>
      <c r="K945" s="8"/>
      <c r="L945" s="8"/>
      <c r="M945" s="8"/>
      <c r="N945" s="11"/>
      <c r="O945" s="9"/>
      <c r="P945" s="12"/>
      <c r="Q945" s="9"/>
      <c r="R945" s="13"/>
      <c r="S945" s="11"/>
      <c r="T945" s="11"/>
      <c r="U945" s="9"/>
      <c r="V945" s="9"/>
      <c r="W945" s="9"/>
      <c r="X945" s="16"/>
      <c r="AF945" s="42">
        <f>IF(BUSCAR!$C$8="FECHA NAC.",$G945,IF(BUSCAR!$C$8="PASAPORTE EXPIRA",$J945,IF(BUSCAR!$C$8="LICENCIA EMISION",$L945,IF(BUSCAR!$C$8="LICENCIA EXPIRA",$M945,""))))</f>
      </c>
      <c r="AG945" s="42">
        <f>IF($B945&amp;$C945&amp;$D945&amp;$E945&amp;$H945="",0,IF(AND(OR(BUSCAR!$J$5="",ISNUMBER(SEARCH(BUSCAR!$J$5,$AI945))),OR(BUSCAR!$J$6="",ISNUMBER(SEARCH(BUSCAR!$J$6,$AI945))),OR(BUSCAR!$J$8="",ISNUMBER(SEARCH(BUSCAR!$J$8,$AI945))),OR(BUSCAR!$J$9="",ISNUMBER(SEARCH(BUSCAR!$J$9,$AI945))),OR(NOT(BUSCAR!$J$2),AND(ISNUMBER($AF945),$AF945&gt;=BUSCAR!$J$3,$AF945&lt;=BUSCAR!$J$4))),1,0))</f>
      </c>
      <c r="AH945" s="42">
        <f t="shared" si="42"/>
      </c>
      <c r="AI945" s="42">
        <f t="shared" si="43"/>
      </c>
    </row>
    <row r="946" spans="1:35" x14ac:dyDescent="0.2">
      <c r="A946" s="66">
        <f t="shared" si="44"/>
      </c>
      <c r="B946" s="4"/>
      <c r="C946" s="4"/>
      <c r="D946" s="4"/>
      <c r="E946" s="4"/>
      <c r="F946" s="24"/>
      <c r="G946" s="8"/>
      <c r="H946" s="9"/>
      <c r="I946" s="8"/>
      <c r="J946" s="10"/>
      <c r="K946" s="8"/>
      <c r="L946" s="8"/>
      <c r="M946" s="8"/>
      <c r="N946" s="11"/>
      <c r="O946" s="9"/>
      <c r="P946" s="12"/>
      <c r="Q946" s="9"/>
      <c r="R946" s="13"/>
      <c r="S946" s="11"/>
      <c r="T946" s="11"/>
      <c r="U946" s="9"/>
      <c r="V946" s="9"/>
      <c r="W946" s="9"/>
      <c r="X946" s="16"/>
      <c r="AF946" s="42">
        <f>IF(BUSCAR!$C$8="FECHA NAC.",$G946,IF(BUSCAR!$C$8="PASAPORTE EXPIRA",$J946,IF(BUSCAR!$C$8="LICENCIA EMISION",$L946,IF(BUSCAR!$C$8="LICENCIA EXPIRA",$M946,""))))</f>
      </c>
      <c r="AG946" s="42">
        <f>IF($B946&amp;$C946&amp;$D946&amp;$E946&amp;$H946="",0,IF(AND(OR(BUSCAR!$J$5="",ISNUMBER(SEARCH(BUSCAR!$J$5,$AI946))),OR(BUSCAR!$J$6="",ISNUMBER(SEARCH(BUSCAR!$J$6,$AI946))),OR(BUSCAR!$J$8="",ISNUMBER(SEARCH(BUSCAR!$J$8,$AI946))),OR(BUSCAR!$J$9="",ISNUMBER(SEARCH(BUSCAR!$J$9,$AI946))),OR(NOT(BUSCAR!$J$2),AND(ISNUMBER($AF946),$AF946&gt;=BUSCAR!$J$3,$AF946&lt;=BUSCAR!$J$4))),1,0))</f>
      </c>
      <c r="AH946" s="42">
        <f t="shared" si="42"/>
      </c>
      <c r="AI946" s="42">
        <f t="shared" si="43"/>
      </c>
    </row>
    <row r="947" spans="1:35" x14ac:dyDescent="0.2">
      <c r="A947" s="66">
        <f t="shared" si="44"/>
      </c>
      <c r="B947" s="4"/>
      <c r="C947" s="4"/>
      <c r="D947" s="4"/>
      <c r="E947" s="4"/>
      <c r="F947" s="24"/>
      <c r="G947" s="8"/>
      <c r="H947" s="9"/>
      <c r="I947" s="8"/>
      <c r="J947" s="10"/>
      <c r="K947" s="8"/>
      <c r="L947" s="8"/>
      <c r="M947" s="8"/>
      <c r="N947" s="11"/>
      <c r="O947" s="9"/>
      <c r="P947" s="12"/>
      <c r="Q947" s="9"/>
      <c r="R947" s="13"/>
      <c r="S947" s="11"/>
      <c r="T947" s="11"/>
      <c r="U947" s="9"/>
      <c r="V947" s="9"/>
      <c r="W947" s="9"/>
      <c r="X947" s="16"/>
      <c r="AF947" s="42">
        <f>IF(BUSCAR!$C$8="FECHA NAC.",$G947,IF(BUSCAR!$C$8="PASAPORTE EXPIRA",$J947,IF(BUSCAR!$C$8="LICENCIA EMISION",$L947,IF(BUSCAR!$C$8="LICENCIA EXPIRA",$M947,""))))</f>
      </c>
      <c r="AG947" s="42">
        <f>IF($B947&amp;$C947&amp;$D947&amp;$E947&amp;$H947="",0,IF(AND(OR(BUSCAR!$J$5="",ISNUMBER(SEARCH(BUSCAR!$J$5,$AI947))),OR(BUSCAR!$J$6="",ISNUMBER(SEARCH(BUSCAR!$J$6,$AI947))),OR(BUSCAR!$J$8="",ISNUMBER(SEARCH(BUSCAR!$J$8,$AI947))),OR(BUSCAR!$J$9="",ISNUMBER(SEARCH(BUSCAR!$J$9,$AI947))),OR(NOT(BUSCAR!$J$2),AND(ISNUMBER($AF947),$AF947&gt;=BUSCAR!$J$3,$AF947&lt;=BUSCAR!$J$4))),1,0))</f>
      </c>
      <c r="AH947" s="42">
        <f t="shared" si="42"/>
      </c>
      <c r="AI947" s="42">
        <f t="shared" si="43"/>
      </c>
    </row>
    <row r="948" spans="1:35" x14ac:dyDescent="0.2">
      <c r="A948" s="66">
        <f t="shared" si="44"/>
      </c>
      <c r="B948" s="4"/>
      <c r="C948" s="4"/>
      <c r="D948" s="4"/>
      <c r="E948" s="4"/>
      <c r="F948" s="24"/>
      <c r="G948" s="8"/>
      <c r="H948" s="9"/>
      <c r="I948" s="8"/>
      <c r="J948" s="10"/>
      <c r="K948" s="8"/>
      <c r="L948" s="8"/>
      <c r="M948" s="8"/>
      <c r="N948" s="11"/>
      <c r="O948" s="9"/>
      <c r="P948" s="12"/>
      <c r="Q948" s="9"/>
      <c r="R948" s="13"/>
      <c r="S948" s="11"/>
      <c r="T948" s="11"/>
      <c r="U948" s="9"/>
      <c r="V948" s="9"/>
      <c r="W948" s="9"/>
      <c r="X948" s="16"/>
      <c r="AF948" s="42">
        <f>IF(BUSCAR!$C$8="FECHA NAC.",$G948,IF(BUSCAR!$C$8="PASAPORTE EXPIRA",$J948,IF(BUSCAR!$C$8="LICENCIA EMISION",$L948,IF(BUSCAR!$C$8="LICENCIA EXPIRA",$M948,""))))</f>
      </c>
      <c r="AG948" s="42">
        <f>IF($B948&amp;$C948&amp;$D948&amp;$E948&amp;$H948="",0,IF(AND(OR(BUSCAR!$J$5="",ISNUMBER(SEARCH(BUSCAR!$J$5,$AI948))),OR(BUSCAR!$J$6="",ISNUMBER(SEARCH(BUSCAR!$J$6,$AI948))),OR(BUSCAR!$J$8="",ISNUMBER(SEARCH(BUSCAR!$J$8,$AI948))),OR(BUSCAR!$J$9="",ISNUMBER(SEARCH(BUSCAR!$J$9,$AI948))),OR(NOT(BUSCAR!$J$2),AND(ISNUMBER($AF948),$AF948&gt;=BUSCAR!$J$3,$AF948&lt;=BUSCAR!$J$4))),1,0))</f>
      </c>
      <c r="AH948" s="42">
        <f t="shared" si="42"/>
      </c>
      <c r="AI948" s="42">
        <f t="shared" si="43"/>
      </c>
    </row>
    <row r="949" spans="1:35" x14ac:dyDescent="0.2">
      <c r="A949" s="66">
        <f t="shared" si="44"/>
      </c>
      <c r="B949" s="4"/>
      <c r="C949" s="4"/>
      <c r="D949" s="4"/>
      <c r="E949" s="4"/>
      <c r="F949" s="24"/>
      <c r="G949" s="8"/>
      <c r="H949" s="9"/>
      <c r="I949" s="8"/>
      <c r="J949" s="10"/>
      <c r="K949" s="8"/>
      <c r="L949" s="8"/>
      <c r="M949" s="8"/>
      <c r="N949" s="11"/>
      <c r="O949" s="9"/>
      <c r="P949" s="12"/>
      <c r="Q949" s="9"/>
      <c r="R949" s="13"/>
      <c r="S949" s="11"/>
      <c r="T949" s="11"/>
      <c r="U949" s="9"/>
      <c r="V949" s="9"/>
      <c r="W949" s="9"/>
      <c r="X949" s="16"/>
      <c r="AF949" s="42">
        <f>IF(BUSCAR!$C$8="FECHA NAC.",$G949,IF(BUSCAR!$C$8="PASAPORTE EXPIRA",$J949,IF(BUSCAR!$C$8="LICENCIA EMISION",$L949,IF(BUSCAR!$C$8="LICENCIA EXPIRA",$M949,""))))</f>
      </c>
      <c r="AG949" s="42">
        <f>IF($B949&amp;$C949&amp;$D949&amp;$E949&amp;$H949="",0,IF(AND(OR(BUSCAR!$J$5="",ISNUMBER(SEARCH(BUSCAR!$J$5,$AI949))),OR(BUSCAR!$J$6="",ISNUMBER(SEARCH(BUSCAR!$J$6,$AI949))),OR(BUSCAR!$J$8="",ISNUMBER(SEARCH(BUSCAR!$J$8,$AI949))),OR(BUSCAR!$J$9="",ISNUMBER(SEARCH(BUSCAR!$J$9,$AI949))),OR(NOT(BUSCAR!$J$2),AND(ISNUMBER($AF949),$AF949&gt;=BUSCAR!$J$3,$AF949&lt;=BUSCAR!$J$4))),1,0))</f>
      </c>
      <c r="AH949" s="42">
        <f t="shared" si="42"/>
      </c>
      <c r="AI949" s="42">
        <f t="shared" si="43"/>
      </c>
    </row>
    <row r="950" spans="1:35" x14ac:dyDescent="0.2">
      <c r="A950" s="66">
        <f t="shared" si="44"/>
      </c>
      <c r="B950" s="4"/>
      <c r="C950" s="4"/>
      <c r="D950" s="4"/>
      <c r="E950" s="4"/>
      <c r="F950" s="24"/>
      <c r="G950" s="8"/>
      <c r="H950" s="9"/>
      <c r="I950" s="8"/>
      <c r="J950" s="10"/>
      <c r="K950" s="8"/>
      <c r="L950" s="8"/>
      <c r="M950" s="8"/>
      <c r="N950" s="11"/>
      <c r="O950" s="9"/>
      <c r="P950" s="12"/>
      <c r="Q950" s="9"/>
      <c r="R950" s="13"/>
      <c r="S950" s="11"/>
      <c r="T950" s="11"/>
      <c r="U950" s="9"/>
      <c r="V950" s="9"/>
      <c r="W950" s="9"/>
      <c r="X950" s="16"/>
      <c r="AF950" s="42">
        <f>IF(BUSCAR!$C$8="FECHA NAC.",$G950,IF(BUSCAR!$C$8="PASAPORTE EXPIRA",$J950,IF(BUSCAR!$C$8="LICENCIA EMISION",$L950,IF(BUSCAR!$C$8="LICENCIA EXPIRA",$M950,""))))</f>
      </c>
      <c r="AG950" s="42">
        <f>IF($B950&amp;$C950&amp;$D950&amp;$E950&amp;$H950="",0,IF(AND(OR(BUSCAR!$J$5="",ISNUMBER(SEARCH(BUSCAR!$J$5,$AI950))),OR(BUSCAR!$J$6="",ISNUMBER(SEARCH(BUSCAR!$J$6,$AI950))),OR(BUSCAR!$J$8="",ISNUMBER(SEARCH(BUSCAR!$J$8,$AI950))),OR(BUSCAR!$J$9="",ISNUMBER(SEARCH(BUSCAR!$J$9,$AI950))),OR(NOT(BUSCAR!$J$2),AND(ISNUMBER($AF950),$AF950&gt;=BUSCAR!$J$3,$AF950&lt;=BUSCAR!$J$4))),1,0))</f>
      </c>
      <c r="AH950" s="42">
        <f t="shared" si="42"/>
      </c>
      <c r="AI950" s="42">
        <f t="shared" si="43"/>
      </c>
    </row>
    <row r="951" spans="1:35" x14ac:dyDescent="0.2">
      <c r="A951" s="66">
        <f t="shared" si="44"/>
      </c>
      <c r="B951" s="4"/>
      <c r="C951" s="4"/>
      <c r="D951" s="4"/>
      <c r="E951" s="4"/>
      <c r="F951" s="24"/>
      <c r="G951" s="8"/>
      <c r="H951" s="9"/>
      <c r="I951" s="8"/>
      <c r="J951" s="10"/>
      <c r="K951" s="8"/>
      <c r="L951" s="8"/>
      <c r="M951" s="8"/>
      <c r="N951" s="11"/>
      <c r="O951" s="9"/>
      <c r="P951" s="12"/>
      <c r="Q951" s="9"/>
      <c r="R951" s="13"/>
      <c r="S951" s="11"/>
      <c r="T951" s="11"/>
      <c r="U951" s="9"/>
      <c r="V951" s="9"/>
      <c r="W951" s="9"/>
      <c r="X951" s="16"/>
      <c r="AF951" s="42">
        <f>IF(BUSCAR!$C$8="FECHA NAC.",$G951,IF(BUSCAR!$C$8="PASAPORTE EXPIRA",$J951,IF(BUSCAR!$C$8="LICENCIA EMISION",$L951,IF(BUSCAR!$C$8="LICENCIA EXPIRA",$M951,""))))</f>
      </c>
      <c r="AG951" s="42">
        <f>IF($B951&amp;$C951&amp;$D951&amp;$E951&amp;$H951="",0,IF(AND(OR(BUSCAR!$J$5="",ISNUMBER(SEARCH(BUSCAR!$J$5,$AI951))),OR(BUSCAR!$J$6="",ISNUMBER(SEARCH(BUSCAR!$J$6,$AI951))),OR(BUSCAR!$J$8="",ISNUMBER(SEARCH(BUSCAR!$J$8,$AI951))),OR(BUSCAR!$J$9="",ISNUMBER(SEARCH(BUSCAR!$J$9,$AI951))),OR(NOT(BUSCAR!$J$2),AND(ISNUMBER($AF951),$AF951&gt;=BUSCAR!$J$3,$AF951&lt;=BUSCAR!$J$4))),1,0))</f>
      </c>
      <c r="AH951" s="42">
        <f t="shared" si="42"/>
      </c>
      <c r="AI951" s="42">
        <f t="shared" si="43"/>
      </c>
    </row>
    <row r="952" spans="1:35" x14ac:dyDescent="0.2">
      <c r="A952" s="66">
        <f t="shared" si="44"/>
      </c>
      <c r="B952" s="4"/>
      <c r="C952" s="4"/>
      <c r="D952" s="4"/>
      <c r="E952" s="4"/>
      <c r="F952" s="24"/>
      <c r="G952" s="8"/>
      <c r="H952" s="9"/>
      <c r="I952" s="8"/>
      <c r="J952" s="10"/>
      <c r="K952" s="8"/>
      <c r="L952" s="8"/>
      <c r="M952" s="8"/>
      <c r="N952" s="11"/>
      <c r="O952" s="9"/>
      <c r="P952" s="12"/>
      <c r="Q952" s="9"/>
      <c r="R952" s="13"/>
      <c r="S952" s="11"/>
      <c r="T952" s="11"/>
      <c r="U952" s="9"/>
      <c r="V952" s="9"/>
      <c r="W952" s="9"/>
      <c r="X952" s="16"/>
      <c r="AF952" s="42">
        <f>IF(BUSCAR!$C$8="FECHA NAC.",$G952,IF(BUSCAR!$C$8="PASAPORTE EXPIRA",$J952,IF(BUSCAR!$C$8="LICENCIA EMISION",$L952,IF(BUSCAR!$C$8="LICENCIA EXPIRA",$M952,""))))</f>
      </c>
      <c r="AG952" s="42">
        <f>IF($B952&amp;$C952&amp;$D952&amp;$E952&amp;$H952="",0,IF(AND(OR(BUSCAR!$J$5="",ISNUMBER(SEARCH(BUSCAR!$J$5,$AI952))),OR(BUSCAR!$J$6="",ISNUMBER(SEARCH(BUSCAR!$J$6,$AI952))),OR(BUSCAR!$J$8="",ISNUMBER(SEARCH(BUSCAR!$J$8,$AI952))),OR(BUSCAR!$J$9="",ISNUMBER(SEARCH(BUSCAR!$J$9,$AI952))),OR(NOT(BUSCAR!$J$2),AND(ISNUMBER($AF952),$AF952&gt;=BUSCAR!$J$3,$AF952&lt;=BUSCAR!$J$4))),1,0))</f>
      </c>
      <c r="AH952" s="42">
        <f t="shared" si="42"/>
      </c>
      <c r="AI952" s="42">
        <f t="shared" si="43"/>
      </c>
    </row>
    <row r="953" spans="1:35" x14ac:dyDescent="0.2">
      <c r="A953" s="66">
        <f t="shared" si="44"/>
      </c>
      <c r="B953" s="4"/>
      <c r="C953" s="4"/>
      <c r="D953" s="4"/>
      <c r="E953" s="4"/>
      <c r="F953" s="24"/>
      <c r="G953" s="8"/>
      <c r="H953" s="9"/>
      <c r="I953" s="8"/>
      <c r="J953" s="10"/>
      <c r="K953" s="8"/>
      <c r="L953" s="8"/>
      <c r="M953" s="8"/>
      <c r="N953" s="11"/>
      <c r="O953" s="9"/>
      <c r="P953" s="12"/>
      <c r="Q953" s="9"/>
      <c r="R953" s="13"/>
      <c r="S953" s="11"/>
      <c r="T953" s="11"/>
      <c r="U953" s="9"/>
      <c r="V953" s="9"/>
      <c r="W953" s="9"/>
      <c r="X953" s="16"/>
      <c r="AF953" s="42">
        <f>IF(BUSCAR!$C$8="FECHA NAC.",$G953,IF(BUSCAR!$C$8="PASAPORTE EXPIRA",$J953,IF(BUSCAR!$C$8="LICENCIA EMISION",$L953,IF(BUSCAR!$C$8="LICENCIA EXPIRA",$M953,""))))</f>
      </c>
      <c r="AG953" s="42">
        <f>IF($B953&amp;$C953&amp;$D953&amp;$E953&amp;$H953="",0,IF(AND(OR(BUSCAR!$J$5="",ISNUMBER(SEARCH(BUSCAR!$J$5,$AI953))),OR(BUSCAR!$J$6="",ISNUMBER(SEARCH(BUSCAR!$J$6,$AI953))),OR(BUSCAR!$J$8="",ISNUMBER(SEARCH(BUSCAR!$J$8,$AI953))),OR(BUSCAR!$J$9="",ISNUMBER(SEARCH(BUSCAR!$J$9,$AI953))),OR(NOT(BUSCAR!$J$2),AND(ISNUMBER($AF953),$AF953&gt;=BUSCAR!$J$3,$AF953&lt;=BUSCAR!$J$4))),1,0))</f>
      </c>
      <c r="AH953" s="42">
        <f t="shared" si="42"/>
      </c>
      <c r="AI953" s="42">
        <f t="shared" si="43"/>
      </c>
    </row>
    <row r="954" spans="1:35" x14ac:dyDescent="0.2">
      <c r="A954" s="66">
        <f t="shared" si="44"/>
      </c>
      <c r="B954" s="4"/>
      <c r="C954" s="4"/>
      <c r="D954" s="4"/>
      <c r="E954" s="4"/>
      <c r="F954" s="24"/>
      <c r="G954" s="8"/>
      <c r="H954" s="9"/>
      <c r="I954" s="8"/>
      <c r="J954" s="10"/>
      <c r="K954" s="8"/>
      <c r="L954" s="8"/>
      <c r="M954" s="8"/>
      <c r="N954" s="11"/>
      <c r="O954" s="9"/>
      <c r="P954" s="12"/>
      <c r="Q954" s="9"/>
      <c r="R954" s="13"/>
      <c r="S954" s="11"/>
      <c r="T954" s="11"/>
      <c r="U954" s="9"/>
      <c r="V954" s="9"/>
      <c r="W954" s="9"/>
      <c r="X954" s="16"/>
      <c r="AF954" s="42">
        <f>IF(BUSCAR!$C$8="FECHA NAC.",$G954,IF(BUSCAR!$C$8="PASAPORTE EXPIRA",$J954,IF(BUSCAR!$C$8="LICENCIA EMISION",$L954,IF(BUSCAR!$C$8="LICENCIA EXPIRA",$M954,""))))</f>
      </c>
      <c r="AG954" s="42">
        <f>IF($B954&amp;$C954&amp;$D954&amp;$E954&amp;$H954="",0,IF(AND(OR(BUSCAR!$J$5="",ISNUMBER(SEARCH(BUSCAR!$J$5,$AI954))),OR(BUSCAR!$J$6="",ISNUMBER(SEARCH(BUSCAR!$J$6,$AI954))),OR(BUSCAR!$J$8="",ISNUMBER(SEARCH(BUSCAR!$J$8,$AI954))),OR(BUSCAR!$J$9="",ISNUMBER(SEARCH(BUSCAR!$J$9,$AI954))),OR(NOT(BUSCAR!$J$2),AND(ISNUMBER($AF954),$AF954&gt;=BUSCAR!$J$3,$AF954&lt;=BUSCAR!$J$4))),1,0))</f>
      </c>
      <c r="AH954" s="42">
        <f t="shared" si="42"/>
      </c>
      <c r="AI954" s="42">
        <f t="shared" si="43"/>
      </c>
    </row>
    <row r="955" spans="1:35" x14ac:dyDescent="0.2">
      <c r="A955" s="66">
        <f t="shared" si="44"/>
      </c>
      <c r="B955" s="4"/>
      <c r="C955" s="4"/>
      <c r="D955" s="4"/>
      <c r="E955" s="4"/>
      <c r="F955" s="24"/>
      <c r="G955" s="8"/>
      <c r="H955" s="9"/>
      <c r="I955" s="8"/>
      <c r="J955" s="10"/>
      <c r="K955" s="8"/>
      <c r="L955" s="8"/>
      <c r="M955" s="8"/>
      <c r="N955" s="11"/>
      <c r="O955" s="9"/>
      <c r="P955" s="12"/>
      <c r="Q955" s="9"/>
      <c r="R955" s="13"/>
      <c r="S955" s="11"/>
      <c r="T955" s="11"/>
      <c r="U955" s="9"/>
      <c r="V955" s="9"/>
      <c r="W955" s="9"/>
      <c r="X955" s="16"/>
      <c r="AF955" s="42">
        <f>IF(BUSCAR!$C$8="FECHA NAC.",$G955,IF(BUSCAR!$C$8="PASAPORTE EXPIRA",$J955,IF(BUSCAR!$C$8="LICENCIA EMISION",$L955,IF(BUSCAR!$C$8="LICENCIA EXPIRA",$M955,""))))</f>
      </c>
      <c r="AG955" s="42">
        <f>IF($B955&amp;$C955&amp;$D955&amp;$E955&amp;$H955="",0,IF(AND(OR(BUSCAR!$J$5="",ISNUMBER(SEARCH(BUSCAR!$J$5,$AI955))),OR(BUSCAR!$J$6="",ISNUMBER(SEARCH(BUSCAR!$J$6,$AI955))),OR(BUSCAR!$J$8="",ISNUMBER(SEARCH(BUSCAR!$J$8,$AI955))),OR(BUSCAR!$J$9="",ISNUMBER(SEARCH(BUSCAR!$J$9,$AI955))),OR(NOT(BUSCAR!$J$2),AND(ISNUMBER($AF955),$AF955&gt;=BUSCAR!$J$3,$AF955&lt;=BUSCAR!$J$4))),1,0))</f>
      </c>
      <c r="AH955" s="42">
        <f t="shared" si="42"/>
      </c>
      <c r="AI955" s="42">
        <f t="shared" si="43"/>
      </c>
    </row>
    <row r="956" spans="1:35" x14ac:dyDescent="0.2">
      <c r="A956" s="66">
        <f t="shared" si="44"/>
      </c>
      <c r="B956" s="4"/>
      <c r="C956" s="4"/>
      <c r="D956" s="4"/>
      <c r="E956" s="4"/>
      <c r="F956" s="24"/>
      <c r="G956" s="8"/>
      <c r="H956" s="9"/>
      <c r="I956" s="8"/>
      <c r="J956" s="10"/>
      <c r="K956" s="8"/>
      <c r="L956" s="8"/>
      <c r="M956" s="8"/>
      <c r="N956" s="11"/>
      <c r="O956" s="9"/>
      <c r="P956" s="12"/>
      <c r="Q956" s="9"/>
      <c r="R956" s="13"/>
      <c r="S956" s="11"/>
      <c r="T956" s="11"/>
      <c r="U956" s="9"/>
      <c r="V956" s="9"/>
      <c r="W956" s="9"/>
      <c r="X956" s="16"/>
      <c r="AF956" s="42">
        <f>IF(BUSCAR!$C$8="FECHA NAC.",$G956,IF(BUSCAR!$C$8="PASAPORTE EXPIRA",$J956,IF(BUSCAR!$C$8="LICENCIA EMISION",$L956,IF(BUSCAR!$C$8="LICENCIA EXPIRA",$M956,""))))</f>
      </c>
      <c r="AG956" s="42">
        <f>IF($B956&amp;$C956&amp;$D956&amp;$E956&amp;$H956="",0,IF(AND(OR(BUSCAR!$J$5="",ISNUMBER(SEARCH(BUSCAR!$J$5,$AI956))),OR(BUSCAR!$J$6="",ISNUMBER(SEARCH(BUSCAR!$J$6,$AI956))),OR(BUSCAR!$J$8="",ISNUMBER(SEARCH(BUSCAR!$J$8,$AI956))),OR(BUSCAR!$J$9="",ISNUMBER(SEARCH(BUSCAR!$J$9,$AI956))),OR(NOT(BUSCAR!$J$2),AND(ISNUMBER($AF956),$AF956&gt;=BUSCAR!$J$3,$AF956&lt;=BUSCAR!$J$4))),1,0))</f>
      </c>
      <c r="AH956" s="42">
        <f t="shared" si="42"/>
      </c>
      <c r="AI956" s="42">
        <f t="shared" si="43"/>
      </c>
    </row>
    <row r="957" spans="1:35" x14ac:dyDescent="0.2">
      <c r="A957" s="66">
        <f t="shared" si="44"/>
      </c>
      <c r="B957" s="4"/>
      <c r="C957" s="4"/>
      <c r="D957" s="4"/>
      <c r="E957" s="4"/>
      <c r="F957" s="24"/>
      <c r="G957" s="8"/>
      <c r="H957" s="9"/>
      <c r="I957" s="8"/>
      <c r="J957" s="10"/>
      <c r="K957" s="8"/>
      <c r="L957" s="8"/>
      <c r="M957" s="8"/>
      <c r="N957" s="11"/>
      <c r="O957" s="9"/>
      <c r="P957" s="12"/>
      <c r="Q957" s="9"/>
      <c r="R957" s="13"/>
      <c r="S957" s="11"/>
      <c r="T957" s="11"/>
      <c r="U957" s="9"/>
      <c r="V957" s="9"/>
      <c r="W957" s="9"/>
      <c r="X957" s="16"/>
      <c r="AF957" s="42">
        <f>IF(BUSCAR!$C$8="FECHA NAC.",$G957,IF(BUSCAR!$C$8="PASAPORTE EXPIRA",$J957,IF(BUSCAR!$C$8="LICENCIA EMISION",$L957,IF(BUSCAR!$C$8="LICENCIA EXPIRA",$M957,""))))</f>
      </c>
      <c r="AG957" s="42">
        <f>IF($B957&amp;$C957&amp;$D957&amp;$E957&amp;$H957="",0,IF(AND(OR(BUSCAR!$J$5="",ISNUMBER(SEARCH(BUSCAR!$J$5,$AI957))),OR(BUSCAR!$J$6="",ISNUMBER(SEARCH(BUSCAR!$J$6,$AI957))),OR(BUSCAR!$J$8="",ISNUMBER(SEARCH(BUSCAR!$J$8,$AI957))),OR(BUSCAR!$J$9="",ISNUMBER(SEARCH(BUSCAR!$J$9,$AI957))),OR(NOT(BUSCAR!$J$2),AND(ISNUMBER($AF957),$AF957&gt;=BUSCAR!$J$3,$AF957&lt;=BUSCAR!$J$4))),1,0))</f>
      </c>
      <c r="AH957" s="42">
        <f t="shared" si="42"/>
      </c>
      <c r="AI957" s="42">
        <f t="shared" si="43"/>
      </c>
    </row>
    <row r="958" spans="1:35" x14ac:dyDescent="0.2">
      <c r="A958" s="66">
        <f t="shared" si="44"/>
      </c>
      <c r="B958" s="4"/>
      <c r="C958" s="4"/>
      <c r="D958" s="4"/>
      <c r="E958" s="4"/>
      <c r="F958" s="24"/>
      <c r="G958" s="8"/>
      <c r="H958" s="9"/>
      <c r="I958" s="8"/>
      <c r="J958" s="10"/>
      <c r="K958" s="8"/>
      <c r="L958" s="8"/>
      <c r="M958" s="8"/>
      <c r="N958" s="11"/>
      <c r="O958" s="9"/>
      <c r="P958" s="12"/>
      <c r="Q958" s="9"/>
      <c r="R958" s="13"/>
      <c r="S958" s="11"/>
      <c r="T958" s="11"/>
      <c r="U958" s="9"/>
      <c r="V958" s="9"/>
      <c r="W958" s="9"/>
      <c r="X958" s="16"/>
      <c r="AF958" s="42">
        <f>IF(BUSCAR!$C$8="FECHA NAC.",$G958,IF(BUSCAR!$C$8="PASAPORTE EXPIRA",$J958,IF(BUSCAR!$C$8="LICENCIA EMISION",$L958,IF(BUSCAR!$C$8="LICENCIA EXPIRA",$M958,""))))</f>
      </c>
      <c r="AG958" s="42">
        <f>IF($B958&amp;$C958&amp;$D958&amp;$E958&amp;$H958="",0,IF(AND(OR(BUSCAR!$J$5="",ISNUMBER(SEARCH(BUSCAR!$J$5,$AI958))),OR(BUSCAR!$J$6="",ISNUMBER(SEARCH(BUSCAR!$J$6,$AI958))),OR(BUSCAR!$J$8="",ISNUMBER(SEARCH(BUSCAR!$J$8,$AI958))),OR(BUSCAR!$J$9="",ISNUMBER(SEARCH(BUSCAR!$J$9,$AI958))),OR(NOT(BUSCAR!$J$2),AND(ISNUMBER($AF958),$AF958&gt;=BUSCAR!$J$3,$AF958&lt;=BUSCAR!$J$4))),1,0))</f>
      </c>
      <c r="AH958" s="42">
        <f t="shared" si="42"/>
      </c>
      <c r="AI958" s="42">
        <f t="shared" si="43"/>
      </c>
    </row>
    <row r="959" spans="1:35" x14ac:dyDescent="0.2">
      <c r="A959" s="66">
        <f t="shared" si="44"/>
      </c>
      <c r="B959" s="4"/>
      <c r="C959" s="4"/>
      <c r="D959" s="4"/>
      <c r="E959" s="4"/>
      <c r="F959" s="24"/>
      <c r="G959" s="8"/>
      <c r="H959" s="9"/>
      <c r="I959" s="8"/>
      <c r="J959" s="10"/>
      <c r="K959" s="8"/>
      <c r="L959" s="8"/>
      <c r="M959" s="8"/>
      <c r="N959" s="11"/>
      <c r="O959" s="9"/>
      <c r="P959" s="12"/>
      <c r="Q959" s="9"/>
      <c r="R959" s="13"/>
      <c r="S959" s="11"/>
      <c r="T959" s="11"/>
      <c r="U959" s="9"/>
      <c r="V959" s="9"/>
      <c r="W959" s="9"/>
      <c r="X959" s="16"/>
      <c r="AF959" s="42">
        <f>IF(BUSCAR!$C$8="FECHA NAC.",$G959,IF(BUSCAR!$C$8="PASAPORTE EXPIRA",$J959,IF(BUSCAR!$C$8="LICENCIA EMISION",$L959,IF(BUSCAR!$C$8="LICENCIA EXPIRA",$M959,""))))</f>
      </c>
      <c r="AG959" s="42">
        <f>IF($B959&amp;$C959&amp;$D959&amp;$E959&amp;$H959="",0,IF(AND(OR(BUSCAR!$J$5="",ISNUMBER(SEARCH(BUSCAR!$J$5,$AI959))),OR(BUSCAR!$J$6="",ISNUMBER(SEARCH(BUSCAR!$J$6,$AI959))),OR(BUSCAR!$J$8="",ISNUMBER(SEARCH(BUSCAR!$J$8,$AI959))),OR(BUSCAR!$J$9="",ISNUMBER(SEARCH(BUSCAR!$J$9,$AI959))),OR(NOT(BUSCAR!$J$2),AND(ISNUMBER($AF959),$AF959&gt;=BUSCAR!$J$3,$AF959&lt;=BUSCAR!$J$4))),1,0))</f>
      </c>
      <c r="AH959" s="42">
        <f t="shared" si="42"/>
      </c>
      <c r="AI959" s="42">
        <f t="shared" si="43"/>
      </c>
    </row>
    <row r="960" spans="1:35" x14ac:dyDescent="0.2">
      <c r="A960" s="66">
        <f t="shared" si="44"/>
      </c>
      <c r="B960" s="4"/>
      <c r="C960" s="4"/>
      <c r="D960" s="4"/>
      <c r="E960" s="4"/>
      <c r="F960" s="24"/>
      <c r="G960" s="8"/>
      <c r="H960" s="9"/>
      <c r="I960" s="8"/>
      <c r="J960" s="10"/>
      <c r="K960" s="8"/>
      <c r="L960" s="8"/>
      <c r="M960" s="8"/>
      <c r="N960" s="11"/>
      <c r="O960" s="9"/>
      <c r="P960" s="12"/>
      <c r="Q960" s="9"/>
      <c r="R960" s="13"/>
      <c r="S960" s="11"/>
      <c r="T960" s="11"/>
      <c r="U960" s="9"/>
      <c r="V960" s="9"/>
      <c r="W960" s="9"/>
      <c r="X960" s="16"/>
      <c r="AF960" s="42">
        <f>IF(BUSCAR!$C$8="FECHA NAC.",$G960,IF(BUSCAR!$C$8="PASAPORTE EXPIRA",$J960,IF(BUSCAR!$C$8="LICENCIA EMISION",$L960,IF(BUSCAR!$C$8="LICENCIA EXPIRA",$M960,""))))</f>
      </c>
      <c r="AG960" s="42">
        <f>IF($B960&amp;$C960&amp;$D960&amp;$E960&amp;$H960="",0,IF(AND(OR(BUSCAR!$J$5="",ISNUMBER(SEARCH(BUSCAR!$J$5,$AI960))),OR(BUSCAR!$J$6="",ISNUMBER(SEARCH(BUSCAR!$J$6,$AI960))),OR(BUSCAR!$J$8="",ISNUMBER(SEARCH(BUSCAR!$J$8,$AI960))),OR(BUSCAR!$J$9="",ISNUMBER(SEARCH(BUSCAR!$J$9,$AI960))),OR(NOT(BUSCAR!$J$2),AND(ISNUMBER($AF960),$AF960&gt;=BUSCAR!$J$3,$AF960&lt;=BUSCAR!$J$4))),1,0))</f>
      </c>
      <c r="AH960" s="42">
        <f t="shared" si="42"/>
      </c>
      <c r="AI960" s="42">
        <f t="shared" si="43"/>
      </c>
    </row>
    <row r="961" spans="1:35" x14ac:dyDescent="0.2">
      <c r="A961" s="66">
        <f t="shared" si="44"/>
      </c>
      <c r="B961" s="4"/>
      <c r="C961" s="4"/>
      <c r="D961" s="4"/>
      <c r="E961" s="4"/>
      <c r="F961" s="24"/>
      <c r="G961" s="8"/>
      <c r="H961" s="9"/>
      <c r="I961" s="8"/>
      <c r="J961" s="10"/>
      <c r="K961" s="8"/>
      <c r="L961" s="8"/>
      <c r="M961" s="8"/>
      <c r="N961" s="11"/>
      <c r="O961" s="9"/>
      <c r="P961" s="12"/>
      <c r="Q961" s="9"/>
      <c r="R961" s="13"/>
      <c r="S961" s="11"/>
      <c r="T961" s="11"/>
      <c r="U961" s="9"/>
      <c r="V961" s="9"/>
      <c r="W961" s="9"/>
      <c r="X961" s="16"/>
      <c r="AF961" s="42">
        <f>IF(BUSCAR!$C$8="FECHA NAC.",$G961,IF(BUSCAR!$C$8="PASAPORTE EXPIRA",$J961,IF(BUSCAR!$C$8="LICENCIA EMISION",$L961,IF(BUSCAR!$C$8="LICENCIA EXPIRA",$M961,""))))</f>
      </c>
      <c r="AG961" s="42">
        <f>IF($B961&amp;$C961&amp;$D961&amp;$E961&amp;$H961="",0,IF(AND(OR(BUSCAR!$J$5="",ISNUMBER(SEARCH(BUSCAR!$J$5,$AI961))),OR(BUSCAR!$J$6="",ISNUMBER(SEARCH(BUSCAR!$J$6,$AI961))),OR(BUSCAR!$J$8="",ISNUMBER(SEARCH(BUSCAR!$J$8,$AI961))),OR(BUSCAR!$J$9="",ISNUMBER(SEARCH(BUSCAR!$J$9,$AI961))),OR(NOT(BUSCAR!$J$2),AND(ISNUMBER($AF961),$AF961&gt;=BUSCAR!$J$3,$AF961&lt;=BUSCAR!$J$4))),1,0))</f>
      </c>
      <c r="AH961" s="42">
        <f t="shared" si="42"/>
      </c>
      <c r="AI961" s="42">
        <f t="shared" si="43"/>
      </c>
    </row>
    <row r="962" spans="1:35" x14ac:dyDescent="0.2">
      <c r="A962" s="66">
        <f t="shared" si="44"/>
      </c>
      <c r="B962" s="4"/>
      <c r="C962" s="4"/>
      <c r="D962" s="4"/>
      <c r="E962" s="4"/>
      <c r="F962" s="24"/>
      <c r="G962" s="8"/>
      <c r="H962" s="9"/>
      <c r="I962" s="8"/>
      <c r="J962" s="10"/>
      <c r="K962" s="8"/>
      <c r="L962" s="8"/>
      <c r="M962" s="8"/>
      <c r="N962" s="11"/>
      <c r="O962" s="9"/>
      <c r="P962" s="12"/>
      <c r="Q962" s="9"/>
      <c r="R962" s="13"/>
      <c r="S962" s="11"/>
      <c r="T962" s="11"/>
      <c r="U962" s="9"/>
      <c r="V962" s="9"/>
      <c r="W962" s="9"/>
      <c r="X962" s="16"/>
      <c r="AF962" s="42">
        <f>IF(BUSCAR!$C$8="FECHA NAC.",$G962,IF(BUSCAR!$C$8="PASAPORTE EXPIRA",$J962,IF(BUSCAR!$C$8="LICENCIA EMISION",$L962,IF(BUSCAR!$C$8="LICENCIA EXPIRA",$M962,""))))</f>
      </c>
      <c r="AG962" s="42">
        <f>IF($B962&amp;$C962&amp;$D962&amp;$E962&amp;$H962="",0,IF(AND(OR(BUSCAR!$J$5="",ISNUMBER(SEARCH(BUSCAR!$J$5,$AI962))),OR(BUSCAR!$J$6="",ISNUMBER(SEARCH(BUSCAR!$J$6,$AI962))),OR(BUSCAR!$J$8="",ISNUMBER(SEARCH(BUSCAR!$J$8,$AI962))),OR(BUSCAR!$J$9="",ISNUMBER(SEARCH(BUSCAR!$J$9,$AI962))),OR(NOT(BUSCAR!$J$2),AND(ISNUMBER($AF962),$AF962&gt;=BUSCAR!$J$3,$AF962&lt;=BUSCAR!$J$4))),1,0))</f>
      </c>
      <c r="AH962" s="42">
        <f t="shared" si="42"/>
      </c>
      <c r="AI962" s="42">
        <f t="shared" si="43"/>
      </c>
    </row>
    <row r="963" spans="1:35" x14ac:dyDescent="0.2">
      <c r="A963" s="66">
        <f t="shared" si="44"/>
      </c>
      <c r="B963" s="4"/>
      <c r="C963" s="4"/>
      <c r="D963" s="4"/>
      <c r="E963" s="4"/>
      <c r="F963" s="24"/>
      <c r="G963" s="8"/>
      <c r="H963" s="9"/>
      <c r="I963" s="8"/>
      <c r="J963" s="10"/>
      <c r="K963" s="8"/>
      <c r="L963" s="8"/>
      <c r="M963" s="8"/>
      <c r="N963" s="11"/>
      <c r="O963" s="9"/>
      <c r="P963" s="12"/>
      <c r="Q963" s="9"/>
      <c r="R963" s="13"/>
      <c r="S963" s="11"/>
      <c r="T963" s="11"/>
      <c r="U963" s="9"/>
      <c r="V963" s="9"/>
      <c r="W963" s="9"/>
      <c r="X963" s="16"/>
      <c r="AF963" s="42">
        <f>IF(BUSCAR!$C$8="FECHA NAC.",$G963,IF(BUSCAR!$C$8="PASAPORTE EXPIRA",$J963,IF(BUSCAR!$C$8="LICENCIA EMISION",$L963,IF(BUSCAR!$C$8="LICENCIA EXPIRA",$M963,""))))</f>
      </c>
      <c r="AG963" s="42">
        <f>IF($B963&amp;$C963&amp;$D963&amp;$E963&amp;$H963="",0,IF(AND(OR(BUSCAR!$J$5="",ISNUMBER(SEARCH(BUSCAR!$J$5,$AI963))),OR(BUSCAR!$J$6="",ISNUMBER(SEARCH(BUSCAR!$J$6,$AI963))),OR(BUSCAR!$J$8="",ISNUMBER(SEARCH(BUSCAR!$J$8,$AI963))),OR(BUSCAR!$J$9="",ISNUMBER(SEARCH(BUSCAR!$J$9,$AI963))),OR(NOT(BUSCAR!$J$2),AND(ISNUMBER($AF963),$AF963&gt;=BUSCAR!$J$3,$AF963&lt;=BUSCAR!$J$4))),1,0))</f>
      </c>
      <c r="AH963" s="42">
        <f t="shared" ref="AH963:AH1026" si="45">AH962+AG963</f>
      </c>
      <c r="AI963" s="42">
        <f t="shared" ref="AI963:AI1026" si="46">IF($B963&amp;" "&amp;$C963&amp;" "&amp;$D963&amp;" "&amp;$E963&amp;" "&amp;$H963&amp;" "&amp;$K963&amp;" "&amp;$R963&amp;" "&amp;$AC963&amp;" "&amp;$AD963="","",SUBSTITUTE(SUBSTITUTE(SUBSTITUTE(SUBSTITUTE(SUBSTITUTE(SUBSTITUTE(SUBSTITUTE(UPPER($B963&amp;" "&amp;$C963&amp;" "&amp;$D963&amp;" "&amp;$E963&amp;" "&amp;$H963&amp;" "&amp;$K963&amp;" "&amp;$R963&amp;" "&amp;$AC963&amp;" "&amp;$AD963),"Á","A"),"É","E"),"Í","I"),"Ó","O"),"Ú","U"),"Ü","U"),"Ñ","N"))</f>
      </c>
    </row>
    <row r="964" spans="1:35" x14ac:dyDescent="0.2">
      <c r="A964" s="66">
        <f t="shared" ref="A964:A1027" si="47">A963+1</f>
      </c>
      <c r="B964" s="4"/>
      <c r="C964" s="4"/>
      <c r="D964" s="4"/>
      <c r="E964" s="4"/>
      <c r="F964" s="24"/>
      <c r="G964" s="8"/>
      <c r="H964" s="9"/>
      <c r="I964" s="8"/>
      <c r="J964" s="10"/>
      <c r="K964" s="8"/>
      <c r="L964" s="8"/>
      <c r="M964" s="8"/>
      <c r="N964" s="11"/>
      <c r="O964" s="9"/>
      <c r="P964" s="12"/>
      <c r="Q964" s="9"/>
      <c r="R964" s="13"/>
      <c r="S964" s="11"/>
      <c r="T964" s="11"/>
      <c r="U964" s="9"/>
      <c r="V964" s="9"/>
      <c r="W964" s="9"/>
      <c r="X964" s="16"/>
      <c r="AF964" s="42">
        <f>IF(BUSCAR!$C$8="FECHA NAC.",$G964,IF(BUSCAR!$C$8="PASAPORTE EXPIRA",$J964,IF(BUSCAR!$C$8="LICENCIA EMISION",$L964,IF(BUSCAR!$C$8="LICENCIA EXPIRA",$M964,""))))</f>
      </c>
      <c r="AG964" s="42">
        <f>IF($B964&amp;$C964&amp;$D964&amp;$E964&amp;$H964="",0,IF(AND(OR(BUSCAR!$J$5="",ISNUMBER(SEARCH(BUSCAR!$J$5,$AI964))),OR(BUSCAR!$J$6="",ISNUMBER(SEARCH(BUSCAR!$J$6,$AI964))),OR(BUSCAR!$J$8="",ISNUMBER(SEARCH(BUSCAR!$J$8,$AI964))),OR(BUSCAR!$J$9="",ISNUMBER(SEARCH(BUSCAR!$J$9,$AI964))),OR(NOT(BUSCAR!$J$2),AND(ISNUMBER($AF964),$AF964&gt;=BUSCAR!$J$3,$AF964&lt;=BUSCAR!$J$4))),1,0))</f>
      </c>
      <c r="AH964" s="42">
        <f t="shared" si="45"/>
      </c>
      <c r="AI964" s="42">
        <f t="shared" si="46"/>
      </c>
    </row>
    <row r="965" spans="1:35" x14ac:dyDescent="0.2">
      <c r="A965" s="66">
        <f t="shared" si="47"/>
      </c>
      <c r="B965" s="4"/>
      <c r="C965" s="4"/>
      <c r="D965" s="4"/>
      <c r="E965" s="4"/>
      <c r="F965" s="24"/>
      <c r="G965" s="8"/>
      <c r="H965" s="9"/>
      <c r="I965" s="8"/>
      <c r="J965" s="10"/>
      <c r="K965" s="8"/>
      <c r="L965" s="8"/>
      <c r="M965" s="8"/>
      <c r="N965" s="11"/>
      <c r="O965" s="9"/>
      <c r="P965" s="12"/>
      <c r="Q965" s="9"/>
      <c r="R965" s="13"/>
      <c r="S965" s="11"/>
      <c r="T965" s="11"/>
      <c r="U965" s="9"/>
      <c r="V965" s="9"/>
      <c r="W965" s="9"/>
      <c r="X965" s="16"/>
      <c r="AF965" s="42">
        <f>IF(BUSCAR!$C$8="FECHA NAC.",$G965,IF(BUSCAR!$C$8="PASAPORTE EXPIRA",$J965,IF(BUSCAR!$C$8="LICENCIA EMISION",$L965,IF(BUSCAR!$C$8="LICENCIA EXPIRA",$M965,""))))</f>
      </c>
      <c r="AG965" s="42">
        <f>IF($B965&amp;$C965&amp;$D965&amp;$E965&amp;$H965="",0,IF(AND(OR(BUSCAR!$J$5="",ISNUMBER(SEARCH(BUSCAR!$J$5,$AI965))),OR(BUSCAR!$J$6="",ISNUMBER(SEARCH(BUSCAR!$J$6,$AI965))),OR(BUSCAR!$J$8="",ISNUMBER(SEARCH(BUSCAR!$J$8,$AI965))),OR(BUSCAR!$J$9="",ISNUMBER(SEARCH(BUSCAR!$J$9,$AI965))),OR(NOT(BUSCAR!$J$2),AND(ISNUMBER($AF965),$AF965&gt;=BUSCAR!$J$3,$AF965&lt;=BUSCAR!$J$4))),1,0))</f>
      </c>
      <c r="AH965" s="42">
        <f t="shared" si="45"/>
      </c>
      <c r="AI965" s="42">
        <f t="shared" si="46"/>
      </c>
    </row>
    <row r="966" spans="1:35" x14ac:dyDescent="0.2">
      <c r="A966" s="66">
        <f t="shared" si="47"/>
      </c>
      <c r="B966" s="4"/>
      <c r="C966" s="4"/>
      <c r="D966" s="4"/>
      <c r="E966" s="4"/>
      <c r="F966" s="24"/>
      <c r="G966" s="8"/>
      <c r="H966" s="9"/>
      <c r="I966" s="8"/>
      <c r="J966" s="10"/>
      <c r="K966" s="8"/>
      <c r="L966" s="8"/>
      <c r="M966" s="8"/>
      <c r="N966" s="11"/>
      <c r="O966" s="9"/>
      <c r="P966" s="12"/>
      <c r="Q966" s="9"/>
      <c r="R966" s="13"/>
      <c r="S966" s="11"/>
      <c r="T966" s="11"/>
      <c r="U966" s="9"/>
      <c r="V966" s="9"/>
      <c r="W966" s="9"/>
      <c r="X966" s="16"/>
      <c r="AF966" s="42">
        <f>IF(BUSCAR!$C$8="FECHA NAC.",$G966,IF(BUSCAR!$C$8="PASAPORTE EXPIRA",$J966,IF(BUSCAR!$C$8="LICENCIA EMISION",$L966,IF(BUSCAR!$C$8="LICENCIA EXPIRA",$M966,""))))</f>
      </c>
      <c r="AG966" s="42">
        <f>IF($B966&amp;$C966&amp;$D966&amp;$E966&amp;$H966="",0,IF(AND(OR(BUSCAR!$J$5="",ISNUMBER(SEARCH(BUSCAR!$J$5,$AI966))),OR(BUSCAR!$J$6="",ISNUMBER(SEARCH(BUSCAR!$J$6,$AI966))),OR(BUSCAR!$J$8="",ISNUMBER(SEARCH(BUSCAR!$J$8,$AI966))),OR(BUSCAR!$J$9="",ISNUMBER(SEARCH(BUSCAR!$J$9,$AI966))),OR(NOT(BUSCAR!$J$2),AND(ISNUMBER($AF966),$AF966&gt;=BUSCAR!$J$3,$AF966&lt;=BUSCAR!$J$4))),1,0))</f>
      </c>
      <c r="AH966" s="42">
        <f t="shared" si="45"/>
      </c>
      <c r="AI966" s="42">
        <f t="shared" si="46"/>
      </c>
    </row>
    <row r="967" spans="1:35" x14ac:dyDescent="0.2">
      <c r="A967" s="66">
        <f t="shared" si="47"/>
      </c>
      <c r="B967" s="4"/>
      <c r="C967" s="4"/>
      <c r="D967" s="4"/>
      <c r="E967" s="4"/>
      <c r="F967" s="24"/>
      <c r="G967" s="8"/>
      <c r="H967" s="9"/>
      <c r="I967" s="8"/>
      <c r="J967" s="10"/>
      <c r="K967" s="8"/>
      <c r="L967" s="8"/>
      <c r="M967" s="8"/>
      <c r="N967" s="11"/>
      <c r="O967" s="9"/>
      <c r="P967" s="12"/>
      <c r="Q967" s="9"/>
      <c r="R967" s="13"/>
      <c r="S967" s="11"/>
      <c r="T967" s="11"/>
      <c r="U967" s="9"/>
      <c r="V967" s="9"/>
      <c r="W967" s="9"/>
      <c r="X967" s="16"/>
      <c r="AF967" s="42">
        <f>IF(BUSCAR!$C$8="FECHA NAC.",$G967,IF(BUSCAR!$C$8="PASAPORTE EXPIRA",$J967,IF(BUSCAR!$C$8="LICENCIA EMISION",$L967,IF(BUSCAR!$C$8="LICENCIA EXPIRA",$M967,""))))</f>
      </c>
      <c r="AG967" s="42">
        <f>IF($B967&amp;$C967&amp;$D967&amp;$E967&amp;$H967="",0,IF(AND(OR(BUSCAR!$J$5="",ISNUMBER(SEARCH(BUSCAR!$J$5,$AI967))),OR(BUSCAR!$J$6="",ISNUMBER(SEARCH(BUSCAR!$J$6,$AI967))),OR(BUSCAR!$J$8="",ISNUMBER(SEARCH(BUSCAR!$J$8,$AI967))),OR(BUSCAR!$J$9="",ISNUMBER(SEARCH(BUSCAR!$J$9,$AI967))),OR(NOT(BUSCAR!$J$2),AND(ISNUMBER($AF967),$AF967&gt;=BUSCAR!$J$3,$AF967&lt;=BUSCAR!$J$4))),1,0))</f>
      </c>
      <c r="AH967" s="42">
        <f t="shared" si="45"/>
      </c>
      <c r="AI967" s="42">
        <f t="shared" si="46"/>
      </c>
    </row>
    <row r="968" spans="1:35" x14ac:dyDescent="0.2">
      <c r="A968" s="66">
        <f t="shared" si="47"/>
      </c>
      <c r="B968" s="4"/>
      <c r="C968" s="4"/>
      <c r="D968" s="4"/>
      <c r="E968" s="4"/>
      <c r="F968" s="24"/>
      <c r="G968" s="8"/>
      <c r="H968" s="9"/>
      <c r="I968" s="8"/>
      <c r="J968" s="10"/>
      <c r="K968" s="8"/>
      <c r="L968" s="8"/>
      <c r="M968" s="8"/>
      <c r="N968" s="11"/>
      <c r="O968" s="9"/>
      <c r="P968" s="12"/>
      <c r="Q968" s="9"/>
      <c r="R968" s="13"/>
      <c r="S968" s="11"/>
      <c r="T968" s="11"/>
      <c r="U968" s="9"/>
      <c r="V968" s="9"/>
      <c r="W968" s="9"/>
      <c r="X968" s="16"/>
      <c r="AF968" s="42">
        <f>IF(BUSCAR!$C$8="FECHA NAC.",$G968,IF(BUSCAR!$C$8="PASAPORTE EXPIRA",$J968,IF(BUSCAR!$C$8="LICENCIA EMISION",$L968,IF(BUSCAR!$C$8="LICENCIA EXPIRA",$M968,""))))</f>
      </c>
      <c r="AG968" s="42">
        <f>IF($B968&amp;$C968&amp;$D968&amp;$E968&amp;$H968="",0,IF(AND(OR(BUSCAR!$J$5="",ISNUMBER(SEARCH(BUSCAR!$J$5,$AI968))),OR(BUSCAR!$J$6="",ISNUMBER(SEARCH(BUSCAR!$J$6,$AI968))),OR(BUSCAR!$J$8="",ISNUMBER(SEARCH(BUSCAR!$J$8,$AI968))),OR(BUSCAR!$J$9="",ISNUMBER(SEARCH(BUSCAR!$J$9,$AI968))),OR(NOT(BUSCAR!$J$2),AND(ISNUMBER($AF968),$AF968&gt;=BUSCAR!$J$3,$AF968&lt;=BUSCAR!$J$4))),1,0))</f>
      </c>
      <c r="AH968" s="42">
        <f t="shared" si="45"/>
      </c>
      <c r="AI968" s="42">
        <f t="shared" si="46"/>
      </c>
    </row>
    <row r="969" spans="1:35" x14ac:dyDescent="0.2">
      <c r="A969" s="66">
        <f t="shared" si="47"/>
      </c>
      <c r="B969" s="4"/>
      <c r="C969" s="4"/>
      <c r="D969" s="4"/>
      <c r="E969" s="4"/>
      <c r="F969" s="24"/>
      <c r="G969" s="8"/>
      <c r="H969" s="9"/>
      <c r="I969" s="8"/>
      <c r="J969" s="10"/>
      <c r="K969" s="8"/>
      <c r="L969" s="8"/>
      <c r="M969" s="8"/>
      <c r="N969" s="11"/>
      <c r="O969" s="9"/>
      <c r="P969" s="12"/>
      <c r="Q969" s="9"/>
      <c r="R969" s="13"/>
      <c r="S969" s="11"/>
      <c r="T969" s="11"/>
      <c r="U969" s="9"/>
      <c r="V969" s="9"/>
      <c r="W969" s="9"/>
      <c r="X969" s="16"/>
      <c r="AF969" s="42">
        <f>IF(BUSCAR!$C$8="FECHA NAC.",$G969,IF(BUSCAR!$C$8="PASAPORTE EXPIRA",$J969,IF(BUSCAR!$C$8="LICENCIA EMISION",$L969,IF(BUSCAR!$C$8="LICENCIA EXPIRA",$M969,""))))</f>
      </c>
      <c r="AG969" s="42">
        <f>IF($B969&amp;$C969&amp;$D969&amp;$E969&amp;$H969="",0,IF(AND(OR(BUSCAR!$J$5="",ISNUMBER(SEARCH(BUSCAR!$J$5,$AI969))),OR(BUSCAR!$J$6="",ISNUMBER(SEARCH(BUSCAR!$J$6,$AI969))),OR(BUSCAR!$J$8="",ISNUMBER(SEARCH(BUSCAR!$J$8,$AI969))),OR(BUSCAR!$J$9="",ISNUMBER(SEARCH(BUSCAR!$J$9,$AI969))),OR(NOT(BUSCAR!$J$2),AND(ISNUMBER($AF969),$AF969&gt;=BUSCAR!$J$3,$AF969&lt;=BUSCAR!$J$4))),1,0))</f>
      </c>
      <c r="AH969" s="42">
        <f t="shared" si="45"/>
      </c>
      <c r="AI969" s="42">
        <f t="shared" si="46"/>
      </c>
    </row>
    <row r="970" spans="1:35" x14ac:dyDescent="0.2">
      <c r="A970" s="66">
        <f t="shared" si="47"/>
      </c>
      <c r="B970" s="4"/>
      <c r="C970" s="4"/>
      <c r="D970" s="4"/>
      <c r="E970" s="4"/>
      <c r="F970" s="24"/>
      <c r="G970" s="8"/>
      <c r="H970" s="9"/>
      <c r="I970" s="8"/>
      <c r="J970" s="10"/>
      <c r="K970" s="8"/>
      <c r="L970" s="8"/>
      <c r="M970" s="8"/>
      <c r="N970" s="11"/>
      <c r="O970" s="9"/>
      <c r="P970" s="12"/>
      <c r="Q970" s="9"/>
      <c r="R970" s="13"/>
      <c r="S970" s="11"/>
      <c r="T970" s="11"/>
      <c r="U970" s="9"/>
      <c r="V970" s="9"/>
      <c r="W970" s="9"/>
      <c r="X970" s="16"/>
      <c r="AF970" s="42">
        <f>IF(BUSCAR!$C$8="FECHA NAC.",$G970,IF(BUSCAR!$C$8="PASAPORTE EXPIRA",$J970,IF(BUSCAR!$C$8="LICENCIA EMISION",$L970,IF(BUSCAR!$C$8="LICENCIA EXPIRA",$M970,""))))</f>
      </c>
      <c r="AG970" s="42">
        <f>IF($B970&amp;$C970&amp;$D970&amp;$E970&amp;$H970="",0,IF(AND(OR(BUSCAR!$J$5="",ISNUMBER(SEARCH(BUSCAR!$J$5,$AI970))),OR(BUSCAR!$J$6="",ISNUMBER(SEARCH(BUSCAR!$J$6,$AI970))),OR(BUSCAR!$J$8="",ISNUMBER(SEARCH(BUSCAR!$J$8,$AI970))),OR(BUSCAR!$J$9="",ISNUMBER(SEARCH(BUSCAR!$J$9,$AI970))),OR(NOT(BUSCAR!$J$2),AND(ISNUMBER($AF970),$AF970&gt;=BUSCAR!$J$3,$AF970&lt;=BUSCAR!$J$4))),1,0))</f>
      </c>
      <c r="AH970" s="42">
        <f t="shared" si="45"/>
      </c>
      <c r="AI970" s="42">
        <f t="shared" si="46"/>
      </c>
    </row>
    <row r="971" spans="1:35" x14ac:dyDescent="0.2">
      <c r="A971" s="66">
        <f t="shared" si="47"/>
      </c>
      <c r="B971" s="4"/>
      <c r="C971" s="4"/>
      <c r="D971" s="4"/>
      <c r="E971" s="4"/>
      <c r="F971" s="24"/>
      <c r="G971" s="8"/>
      <c r="H971" s="9"/>
      <c r="I971" s="8"/>
      <c r="J971" s="10"/>
      <c r="K971" s="8"/>
      <c r="L971" s="8"/>
      <c r="M971" s="8"/>
      <c r="N971" s="11"/>
      <c r="O971" s="9"/>
      <c r="P971" s="12"/>
      <c r="Q971" s="9"/>
      <c r="R971" s="13"/>
      <c r="S971" s="11"/>
      <c r="T971" s="11"/>
      <c r="U971" s="9"/>
      <c r="V971" s="9"/>
      <c r="W971" s="9"/>
      <c r="X971" s="16"/>
      <c r="AF971" s="42">
        <f>IF(BUSCAR!$C$8="FECHA NAC.",$G971,IF(BUSCAR!$C$8="PASAPORTE EXPIRA",$J971,IF(BUSCAR!$C$8="LICENCIA EMISION",$L971,IF(BUSCAR!$C$8="LICENCIA EXPIRA",$M971,""))))</f>
      </c>
      <c r="AG971" s="42">
        <f>IF($B971&amp;$C971&amp;$D971&amp;$E971&amp;$H971="",0,IF(AND(OR(BUSCAR!$J$5="",ISNUMBER(SEARCH(BUSCAR!$J$5,$AI971))),OR(BUSCAR!$J$6="",ISNUMBER(SEARCH(BUSCAR!$J$6,$AI971))),OR(BUSCAR!$J$8="",ISNUMBER(SEARCH(BUSCAR!$J$8,$AI971))),OR(BUSCAR!$J$9="",ISNUMBER(SEARCH(BUSCAR!$J$9,$AI971))),OR(NOT(BUSCAR!$J$2),AND(ISNUMBER($AF971),$AF971&gt;=BUSCAR!$J$3,$AF971&lt;=BUSCAR!$J$4))),1,0))</f>
      </c>
      <c r="AH971" s="42">
        <f t="shared" si="45"/>
      </c>
      <c r="AI971" s="42">
        <f t="shared" si="46"/>
      </c>
    </row>
    <row r="972" spans="1:35" x14ac:dyDescent="0.2">
      <c r="A972" s="66">
        <f t="shared" si="47"/>
      </c>
      <c r="B972" s="4"/>
      <c r="C972" s="4"/>
      <c r="D972" s="4"/>
      <c r="E972" s="4"/>
      <c r="F972" s="24"/>
      <c r="G972" s="8"/>
      <c r="H972" s="9"/>
      <c r="I972" s="8"/>
      <c r="J972" s="10"/>
      <c r="K972" s="8"/>
      <c r="L972" s="8"/>
      <c r="M972" s="8"/>
      <c r="N972" s="11"/>
      <c r="O972" s="9"/>
      <c r="P972" s="12"/>
      <c r="Q972" s="9"/>
      <c r="R972" s="13"/>
      <c r="S972" s="11"/>
      <c r="T972" s="11"/>
      <c r="U972" s="9"/>
      <c r="V972" s="9"/>
      <c r="W972" s="9"/>
      <c r="X972" s="16"/>
      <c r="AF972" s="42">
        <f>IF(BUSCAR!$C$8="FECHA NAC.",$G972,IF(BUSCAR!$C$8="PASAPORTE EXPIRA",$J972,IF(BUSCAR!$C$8="LICENCIA EMISION",$L972,IF(BUSCAR!$C$8="LICENCIA EXPIRA",$M972,""))))</f>
      </c>
      <c r="AG972" s="42">
        <f>IF($B972&amp;$C972&amp;$D972&amp;$E972&amp;$H972="",0,IF(AND(OR(BUSCAR!$J$5="",ISNUMBER(SEARCH(BUSCAR!$J$5,$AI972))),OR(BUSCAR!$J$6="",ISNUMBER(SEARCH(BUSCAR!$J$6,$AI972))),OR(BUSCAR!$J$8="",ISNUMBER(SEARCH(BUSCAR!$J$8,$AI972))),OR(BUSCAR!$J$9="",ISNUMBER(SEARCH(BUSCAR!$J$9,$AI972))),OR(NOT(BUSCAR!$J$2),AND(ISNUMBER($AF972),$AF972&gt;=BUSCAR!$J$3,$AF972&lt;=BUSCAR!$J$4))),1,0))</f>
      </c>
      <c r="AH972" s="42">
        <f t="shared" si="45"/>
      </c>
      <c r="AI972" s="42">
        <f t="shared" si="46"/>
      </c>
    </row>
    <row r="973" spans="1:35" x14ac:dyDescent="0.2">
      <c r="A973" s="66">
        <f t="shared" si="47"/>
      </c>
      <c r="B973" s="4"/>
      <c r="C973" s="4"/>
      <c r="D973" s="4"/>
      <c r="E973" s="4"/>
      <c r="F973" s="24"/>
      <c r="G973" s="8"/>
      <c r="H973" s="9"/>
      <c r="I973" s="8"/>
      <c r="J973" s="10"/>
      <c r="K973" s="8"/>
      <c r="L973" s="8"/>
      <c r="M973" s="8"/>
      <c r="N973" s="11"/>
      <c r="O973" s="9"/>
      <c r="P973" s="12"/>
      <c r="Q973" s="9"/>
      <c r="R973" s="13"/>
      <c r="S973" s="11"/>
      <c r="T973" s="11"/>
      <c r="U973" s="9"/>
      <c r="V973" s="9"/>
      <c r="W973" s="9"/>
      <c r="X973" s="16"/>
      <c r="AF973" s="42">
        <f>IF(BUSCAR!$C$8="FECHA NAC.",$G973,IF(BUSCAR!$C$8="PASAPORTE EXPIRA",$J973,IF(BUSCAR!$C$8="LICENCIA EMISION",$L973,IF(BUSCAR!$C$8="LICENCIA EXPIRA",$M973,""))))</f>
      </c>
      <c r="AG973" s="42">
        <f>IF($B973&amp;$C973&amp;$D973&amp;$E973&amp;$H973="",0,IF(AND(OR(BUSCAR!$J$5="",ISNUMBER(SEARCH(BUSCAR!$J$5,$AI973))),OR(BUSCAR!$J$6="",ISNUMBER(SEARCH(BUSCAR!$J$6,$AI973))),OR(BUSCAR!$J$8="",ISNUMBER(SEARCH(BUSCAR!$J$8,$AI973))),OR(BUSCAR!$J$9="",ISNUMBER(SEARCH(BUSCAR!$J$9,$AI973))),OR(NOT(BUSCAR!$J$2),AND(ISNUMBER($AF973),$AF973&gt;=BUSCAR!$J$3,$AF973&lt;=BUSCAR!$J$4))),1,0))</f>
      </c>
      <c r="AH973" s="42">
        <f t="shared" si="45"/>
      </c>
      <c r="AI973" s="42">
        <f t="shared" si="46"/>
      </c>
    </row>
    <row r="974" spans="1:35" x14ac:dyDescent="0.2">
      <c r="A974" s="66">
        <f t="shared" si="47"/>
      </c>
      <c r="B974" s="4"/>
      <c r="C974" s="4"/>
      <c r="D974" s="4"/>
      <c r="E974" s="4"/>
      <c r="F974" s="24"/>
      <c r="G974" s="8"/>
      <c r="H974" s="9"/>
      <c r="I974" s="8"/>
      <c r="J974" s="10"/>
      <c r="K974" s="8"/>
      <c r="L974" s="8"/>
      <c r="M974" s="8"/>
      <c r="N974" s="11"/>
      <c r="O974" s="9"/>
      <c r="P974" s="12"/>
      <c r="Q974" s="9"/>
      <c r="R974" s="13"/>
      <c r="S974" s="11"/>
      <c r="T974" s="11"/>
      <c r="U974" s="9"/>
      <c r="V974" s="9"/>
      <c r="W974" s="9"/>
      <c r="X974" s="16"/>
      <c r="AF974" s="42">
        <f>IF(BUSCAR!$C$8="FECHA NAC.",$G974,IF(BUSCAR!$C$8="PASAPORTE EXPIRA",$J974,IF(BUSCAR!$C$8="LICENCIA EMISION",$L974,IF(BUSCAR!$C$8="LICENCIA EXPIRA",$M974,""))))</f>
      </c>
      <c r="AG974" s="42">
        <f>IF($B974&amp;$C974&amp;$D974&amp;$E974&amp;$H974="",0,IF(AND(OR(BUSCAR!$J$5="",ISNUMBER(SEARCH(BUSCAR!$J$5,$AI974))),OR(BUSCAR!$J$6="",ISNUMBER(SEARCH(BUSCAR!$J$6,$AI974))),OR(BUSCAR!$J$8="",ISNUMBER(SEARCH(BUSCAR!$J$8,$AI974))),OR(BUSCAR!$J$9="",ISNUMBER(SEARCH(BUSCAR!$J$9,$AI974))),OR(NOT(BUSCAR!$J$2),AND(ISNUMBER($AF974),$AF974&gt;=BUSCAR!$J$3,$AF974&lt;=BUSCAR!$J$4))),1,0))</f>
      </c>
      <c r="AH974" s="42">
        <f t="shared" si="45"/>
      </c>
      <c r="AI974" s="42">
        <f t="shared" si="46"/>
      </c>
    </row>
    <row r="975" spans="1:35" x14ac:dyDescent="0.2">
      <c r="A975" s="66">
        <f t="shared" si="47"/>
      </c>
      <c r="B975" s="4"/>
      <c r="C975" s="4"/>
      <c r="D975" s="4"/>
      <c r="E975" s="4"/>
      <c r="F975" s="24"/>
      <c r="G975" s="8"/>
      <c r="H975" s="9"/>
      <c r="I975" s="8"/>
      <c r="J975" s="10"/>
      <c r="K975" s="8"/>
      <c r="L975" s="8"/>
      <c r="M975" s="8"/>
      <c r="N975" s="11"/>
      <c r="O975" s="9"/>
      <c r="P975" s="12"/>
      <c r="Q975" s="9"/>
      <c r="R975" s="13"/>
      <c r="S975" s="11"/>
      <c r="T975" s="11"/>
      <c r="U975" s="9"/>
      <c r="V975" s="9"/>
      <c r="W975" s="9"/>
      <c r="X975" s="16"/>
      <c r="AF975" s="42">
        <f>IF(BUSCAR!$C$8="FECHA NAC.",$G975,IF(BUSCAR!$C$8="PASAPORTE EXPIRA",$J975,IF(BUSCAR!$C$8="LICENCIA EMISION",$L975,IF(BUSCAR!$C$8="LICENCIA EXPIRA",$M975,""))))</f>
      </c>
      <c r="AG975" s="42">
        <f>IF($B975&amp;$C975&amp;$D975&amp;$E975&amp;$H975="",0,IF(AND(OR(BUSCAR!$J$5="",ISNUMBER(SEARCH(BUSCAR!$J$5,$AI975))),OR(BUSCAR!$J$6="",ISNUMBER(SEARCH(BUSCAR!$J$6,$AI975))),OR(BUSCAR!$J$8="",ISNUMBER(SEARCH(BUSCAR!$J$8,$AI975))),OR(BUSCAR!$J$9="",ISNUMBER(SEARCH(BUSCAR!$J$9,$AI975))),OR(NOT(BUSCAR!$J$2),AND(ISNUMBER($AF975),$AF975&gt;=BUSCAR!$J$3,$AF975&lt;=BUSCAR!$J$4))),1,0))</f>
      </c>
      <c r="AH975" s="42">
        <f t="shared" si="45"/>
      </c>
      <c r="AI975" s="42">
        <f t="shared" si="46"/>
      </c>
    </row>
    <row r="976" spans="1:35" x14ac:dyDescent="0.2">
      <c r="A976" s="66">
        <f t="shared" si="47"/>
      </c>
      <c r="B976" s="4"/>
      <c r="C976" s="4"/>
      <c r="D976" s="4"/>
      <c r="E976" s="4"/>
      <c r="F976" s="24"/>
      <c r="G976" s="8"/>
      <c r="H976" s="9"/>
      <c r="I976" s="8"/>
      <c r="J976" s="10"/>
      <c r="K976" s="8"/>
      <c r="L976" s="8"/>
      <c r="M976" s="8"/>
      <c r="N976" s="11"/>
      <c r="O976" s="9"/>
      <c r="P976" s="12"/>
      <c r="Q976" s="9"/>
      <c r="R976" s="13"/>
      <c r="S976" s="11"/>
      <c r="T976" s="11"/>
      <c r="U976" s="9"/>
      <c r="V976" s="9"/>
      <c r="W976" s="9"/>
      <c r="X976" s="16"/>
      <c r="AF976" s="42">
        <f>IF(BUSCAR!$C$8="FECHA NAC.",$G976,IF(BUSCAR!$C$8="PASAPORTE EXPIRA",$J976,IF(BUSCAR!$C$8="LICENCIA EMISION",$L976,IF(BUSCAR!$C$8="LICENCIA EXPIRA",$M976,""))))</f>
      </c>
      <c r="AG976" s="42">
        <f>IF($B976&amp;$C976&amp;$D976&amp;$E976&amp;$H976="",0,IF(AND(OR(BUSCAR!$J$5="",ISNUMBER(SEARCH(BUSCAR!$J$5,$AI976))),OR(BUSCAR!$J$6="",ISNUMBER(SEARCH(BUSCAR!$J$6,$AI976))),OR(BUSCAR!$J$8="",ISNUMBER(SEARCH(BUSCAR!$J$8,$AI976))),OR(BUSCAR!$J$9="",ISNUMBER(SEARCH(BUSCAR!$J$9,$AI976))),OR(NOT(BUSCAR!$J$2),AND(ISNUMBER($AF976),$AF976&gt;=BUSCAR!$J$3,$AF976&lt;=BUSCAR!$J$4))),1,0))</f>
      </c>
      <c r="AH976" s="42">
        <f t="shared" si="45"/>
      </c>
      <c r="AI976" s="42">
        <f t="shared" si="46"/>
      </c>
    </row>
    <row r="977" spans="1:35" x14ac:dyDescent="0.2">
      <c r="A977" s="66">
        <f t="shared" si="47"/>
      </c>
      <c r="B977" s="4"/>
      <c r="C977" s="4"/>
      <c r="D977" s="4"/>
      <c r="E977" s="4"/>
      <c r="F977" s="24"/>
      <c r="G977" s="8"/>
      <c r="H977" s="9"/>
      <c r="I977" s="8"/>
      <c r="J977" s="10"/>
      <c r="K977" s="8"/>
      <c r="L977" s="8"/>
      <c r="M977" s="8"/>
      <c r="N977" s="11"/>
      <c r="O977" s="9"/>
      <c r="P977" s="12"/>
      <c r="Q977" s="9"/>
      <c r="R977" s="13"/>
      <c r="S977" s="11"/>
      <c r="T977" s="11"/>
      <c r="U977" s="9"/>
      <c r="V977" s="9"/>
      <c r="W977" s="9"/>
      <c r="X977" s="16"/>
      <c r="AF977" s="42">
        <f>IF(BUSCAR!$C$8="FECHA NAC.",$G977,IF(BUSCAR!$C$8="PASAPORTE EXPIRA",$J977,IF(BUSCAR!$C$8="LICENCIA EMISION",$L977,IF(BUSCAR!$C$8="LICENCIA EXPIRA",$M977,""))))</f>
      </c>
      <c r="AG977" s="42">
        <f>IF($B977&amp;$C977&amp;$D977&amp;$E977&amp;$H977="",0,IF(AND(OR(BUSCAR!$J$5="",ISNUMBER(SEARCH(BUSCAR!$J$5,$AI977))),OR(BUSCAR!$J$6="",ISNUMBER(SEARCH(BUSCAR!$J$6,$AI977))),OR(BUSCAR!$J$8="",ISNUMBER(SEARCH(BUSCAR!$J$8,$AI977))),OR(BUSCAR!$J$9="",ISNUMBER(SEARCH(BUSCAR!$J$9,$AI977))),OR(NOT(BUSCAR!$J$2),AND(ISNUMBER($AF977),$AF977&gt;=BUSCAR!$J$3,$AF977&lt;=BUSCAR!$J$4))),1,0))</f>
      </c>
      <c r="AH977" s="42">
        <f t="shared" si="45"/>
      </c>
      <c r="AI977" s="42">
        <f t="shared" si="46"/>
      </c>
    </row>
    <row r="978" spans="1:35" x14ac:dyDescent="0.2">
      <c r="A978" s="66">
        <f t="shared" si="47"/>
      </c>
      <c r="B978" s="4"/>
      <c r="C978" s="4"/>
      <c r="D978" s="4"/>
      <c r="E978" s="4"/>
      <c r="F978" s="24"/>
      <c r="G978" s="8"/>
      <c r="H978" s="9"/>
      <c r="I978" s="8"/>
      <c r="J978" s="10"/>
      <c r="K978" s="8"/>
      <c r="L978" s="8"/>
      <c r="M978" s="8"/>
      <c r="N978" s="11"/>
      <c r="O978" s="9"/>
      <c r="P978" s="12"/>
      <c r="Q978" s="9"/>
      <c r="R978" s="13"/>
      <c r="S978" s="11"/>
      <c r="T978" s="11"/>
      <c r="U978" s="9"/>
      <c r="V978" s="9"/>
      <c r="W978" s="9"/>
      <c r="X978" s="16"/>
      <c r="AF978" s="42">
        <f>IF(BUSCAR!$C$8="FECHA NAC.",$G978,IF(BUSCAR!$C$8="PASAPORTE EXPIRA",$J978,IF(BUSCAR!$C$8="LICENCIA EMISION",$L978,IF(BUSCAR!$C$8="LICENCIA EXPIRA",$M978,""))))</f>
      </c>
      <c r="AG978" s="42">
        <f>IF($B978&amp;$C978&amp;$D978&amp;$E978&amp;$H978="",0,IF(AND(OR(BUSCAR!$J$5="",ISNUMBER(SEARCH(BUSCAR!$J$5,$AI978))),OR(BUSCAR!$J$6="",ISNUMBER(SEARCH(BUSCAR!$J$6,$AI978))),OR(BUSCAR!$J$8="",ISNUMBER(SEARCH(BUSCAR!$J$8,$AI978))),OR(BUSCAR!$J$9="",ISNUMBER(SEARCH(BUSCAR!$J$9,$AI978))),OR(NOT(BUSCAR!$J$2),AND(ISNUMBER($AF978),$AF978&gt;=BUSCAR!$J$3,$AF978&lt;=BUSCAR!$J$4))),1,0))</f>
      </c>
      <c r="AH978" s="42">
        <f t="shared" si="45"/>
      </c>
      <c r="AI978" s="42">
        <f t="shared" si="46"/>
      </c>
    </row>
    <row r="979" spans="1:35" x14ac:dyDescent="0.2">
      <c r="A979" s="66">
        <f t="shared" si="47"/>
      </c>
      <c r="B979" s="4"/>
      <c r="C979" s="4"/>
      <c r="D979" s="4"/>
      <c r="E979" s="4"/>
      <c r="F979" s="24"/>
      <c r="G979" s="8"/>
      <c r="H979" s="9"/>
      <c r="I979" s="8"/>
      <c r="J979" s="10"/>
      <c r="K979" s="8"/>
      <c r="L979" s="8"/>
      <c r="M979" s="8"/>
      <c r="N979" s="11"/>
      <c r="O979" s="9"/>
      <c r="P979" s="12"/>
      <c r="Q979" s="9"/>
      <c r="R979" s="13"/>
      <c r="S979" s="11"/>
      <c r="T979" s="11"/>
      <c r="U979" s="9"/>
      <c r="V979" s="9"/>
      <c r="W979" s="9"/>
      <c r="X979" s="16"/>
      <c r="AF979" s="42">
        <f>IF(BUSCAR!$C$8="FECHA NAC.",$G979,IF(BUSCAR!$C$8="PASAPORTE EXPIRA",$J979,IF(BUSCAR!$C$8="LICENCIA EMISION",$L979,IF(BUSCAR!$C$8="LICENCIA EXPIRA",$M979,""))))</f>
      </c>
      <c r="AG979" s="42">
        <f>IF($B979&amp;$C979&amp;$D979&amp;$E979&amp;$H979="",0,IF(AND(OR(BUSCAR!$J$5="",ISNUMBER(SEARCH(BUSCAR!$J$5,$AI979))),OR(BUSCAR!$J$6="",ISNUMBER(SEARCH(BUSCAR!$J$6,$AI979))),OR(BUSCAR!$J$8="",ISNUMBER(SEARCH(BUSCAR!$J$8,$AI979))),OR(BUSCAR!$J$9="",ISNUMBER(SEARCH(BUSCAR!$J$9,$AI979))),OR(NOT(BUSCAR!$J$2),AND(ISNUMBER($AF979),$AF979&gt;=BUSCAR!$J$3,$AF979&lt;=BUSCAR!$J$4))),1,0))</f>
      </c>
      <c r="AH979" s="42">
        <f t="shared" si="45"/>
      </c>
      <c r="AI979" s="42">
        <f t="shared" si="46"/>
      </c>
    </row>
    <row r="980" spans="1:35" x14ac:dyDescent="0.2">
      <c r="A980" s="66">
        <f t="shared" si="47"/>
      </c>
      <c r="B980" s="4"/>
      <c r="C980" s="4"/>
      <c r="D980" s="4"/>
      <c r="E980" s="4"/>
      <c r="F980" s="24"/>
      <c r="G980" s="8"/>
      <c r="H980" s="9"/>
      <c r="I980" s="8"/>
      <c r="J980" s="10"/>
      <c r="K980" s="8"/>
      <c r="L980" s="8"/>
      <c r="M980" s="8"/>
      <c r="N980" s="11"/>
      <c r="O980" s="9"/>
      <c r="P980" s="12"/>
      <c r="Q980" s="9"/>
      <c r="R980" s="13"/>
      <c r="S980" s="11"/>
      <c r="T980" s="11"/>
      <c r="U980" s="9"/>
      <c r="V980" s="9"/>
      <c r="W980" s="9"/>
      <c r="X980" s="16"/>
      <c r="AF980" s="42">
        <f>IF(BUSCAR!$C$8="FECHA NAC.",$G980,IF(BUSCAR!$C$8="PASAPORTE EXPIRA",$J980,IF(BUSCAR!$C$8="LICENCIA EMISION",$L980,IF(BUSCAR!$C$8="LICENCIA EXPIRA",$M980,""))))</f>
      </c>
      <c r="AG980" s="42">
        <f>IF($B980&amp;$C980&amp;$D980&amp;$E980&amp;$H980="",0,IF(AND(OR(BUSCAR!$J$5="",ISNUMBER(SEARCH(BUSCAR!$J$5,$AI980))),OR(BUSCAR!$J$6="",ISNUMBER(SEARCH(BUSCAR!$J$6,$AI980))),OR(BUSCAR!$J$8="",ISNUMBER(SEARCH(BUSCAR!$J$8,$AI980))),OR(BUSCAR!$J$9="",ISNUMBER(SEARCH(BUSCAR!$J$9,$AI980))),OR(NOT(BUSCAR!$J$2),AND(ISNUMBER($AF980),$AF980&gt;=BUSCAR!$J$3,$AF980&lt;=BUSCAR!$J$4))),1,0))</f>
      </c>
      <c r="AH980" s="42">
        <f t="shared" si="45"/>
      </c>
      <c r="AI980" s="42">
        <f t="shared" si="46"/>
      </c>
    </row>
    <row r="981" spans="1:35" x14ac:dyDescent="0.2">
      <c r="A981" s="66">
        <f t="shared" si="47"/>
      </c>
      <c r="B981" s="4"/>
      <c r="C981" s="4"/>
      <c r="D981" s="4"/>
      <c r="E981" s="4"/>
      <c r="F981" s="24"/>
      <c r="G981" s="8"/>
      <c r="H981" s="9"/>
      <c r="I981" s="8"/>
      <c r="J981" s="10"/>
      <c r="K981" s="8"/>
      <c r="L981" s="8"/>
      <c r="M981" s="8"/>
      <c r="N981" s="11"/>
      <c r="O981" s="9"/>
      <c r="P981" s="12"/>
      <c r="Q981" s="9"/>
      <c r="R981" s="13"/>
      <c r="S981" s="11"/>
      <c r="T981" s="11"/>
      <c r="U981" s="9"/>
      <c r="V981" s="9"/>
      <c r="W981" s="9"/>
      <c r="X981" s="16"/>
      <c r="AF981" s="42">
        <f>IF(BUSCAR!$C$8="FECHA NAC.",$G981,IF(BUSCAR!$C$8="PASAPORTE EXPIRA",$J981,IF(BUSCAR!$C$8="LICENCIA EMISION",$L981,IF(BUSCAR!$C$8="LICENCIA EXPIRA",$M981,""))))</f>
      </c>
      <c r="AG981" s="42">
        <f>IF($B981&amp;$C981&amp;$D981&amp;$E981&amp;$H981="",0,IF(AND(OR(BUSCAR!$J$5="",ISNUMBER(SEARCH(BUSCAR!$J$5,$AI981))),OR(BUSCAR!$J$6="",ISNUMBER(SEARCH(BUSCAR!$J$6,$AI981))),OR(BUSCAR!$J$8="",ISNUMBER(SEARCH(BUSCAR!$J$8,$AI981))),OR(BUSCAR!$J$9="",ISNUMBER(SEARCH(BUSCAR!$J$9,$AI981))),OR(NOT(BUSCAR!$J$2),AND(ISNUMBER($AF981),$AF981&gt;=BUSCAR!$J$3,$AF981&lt;=BUSCAR!$J$4))),1,0))</f>
      </c>
      <c r="AH981" s="42">
        <f t="shared" si="45"/>
      </c>
      <c r="AI981" s="42">
        <f t="shared" si="46"/>
      </c>
    </row>
    <row r="982" spans="1:35" x14ac:dyDescent="0.2">
      <c r="A982" s="66">
        <f t="shared" si="47"/>
      </c>
      <c r="B982" s="4"/>
      <c r="C982" s="4"/>
      <c r="D982" s="4"/>
      <c r="E982" s="4"/>
      <c r="F982" s="24"/>
      <c r="G982" s="8"/>
      <c r="H982" s="9"/>
      <c r="I982" s="8"/>
      <c r="J982" s="10"/>
      <c r="K982" s="8"/>
      <c r="L982" s="8"/>
      <c r="M982" s="8"/>
      <c r="N982" s="11"/>
      <c r="O982" s="9"/>
      <c r="P982" s="12"/>
      <c r="Q982" s="9"/>
      <c r="R982" s="13"/>
      <c r="S982" s="11"/>
      <c r="T982" s="11"/>
      <c r="U982" s="9"/>
      <c r="V982" s="9"/>
      <c r="W982" s="9"/>
      <c r="X982" s="16"/>
      <c r="AF982" s="42">
        <f>IF(BUSCAR!$C$8="FECHA NAC.",$G982,IF(BUSCAR!$C$8="PASAPORTE EXPIRA",$J982,IF(BUSCAR!$C$8="LICENCIA EMISION",$L982,IF(BUSCAR!$C$8="LICENCIA EXPIRA",$M982,""))))</f>
      </c>
      <c r="AG982" s="42">
        <f>IF($B982&amp;$C982&amp;$D982&amp;$E982&amp;$H982="",0,IF(AND(OR(BUSCAR!$J$5="",ISNUMBER(SEARCH(BUSCAR!$J$5,$AI982))),OR(BUSCAR!$J$6="",ISNUMBER(SEARCH(BUSCAR!$J$6,$AI982))),OR(BUSCAR!$J$8="",ISNUMBER(SEARCH(BUSCAR!$J$8,$AI982))),OR(BUSCAR!$J$9="",ISNUMBER(SEARCH(BUSCAR!$J$9,$AI982))),OR(NOT(BUSCAR!$J$2),AND(ISNUMBER($AF982),$AF982&gt;=BUSCAR!$J$3,$AF982&lt;=BUSCAR!$J$4))),1,0))</f>
      </c>
      <c r="AH982" s="42">
        <f t="shared" si="45"/>
      </c>
      <c r="AI982" s="42">
        <f t="shared" si="46"/>
      </c>
    </row>
    <row r="983" spans="1:35" x14ac:dyDescent="0.2">
      <c r="A983" s="66">
        <f t="shared" si="47"/>
      </c>
      <c r="B983" s="4"/>
      <c r="C983" s="4"/>
      <c r="D983" s="4"/>
      <c r="E983" s="4"/>
      <c r="F983" s="24"/>
      <c r="G983" s="8"/>
      <c r="H983" s="9"/>
      <c r="I983" s="8"/>
      <c r="J983" s="10"/>
      <c r="K983" s="8"/>
      <c r="L983" s="8"/>
      <c r="M983" s="8"/>
      <c r="N983" s="11"/>
      <c r="O983" s="9"/>
      <c r="P983" s="12"/>
      <c r="Q983" s="9"/>
      <c r="R983" s="13"/>
      <c r="S983" s="11"/>
      <c r="T983" s="11"/>
      <c r="U983" s="9"/>
      <c r="V983" s="9"/>
      <c r="W983" s="9"/>
      <c r="X983" s="16"/>
      <c r="AF983" s="42">
        <f>IF(BUSCAR!$C$8="FECHA NAC.",$G983,IF(BUSCAR!$C$8="PASAPORTE EXPIRA",$J983,IF(BUSCAR!$C$8="LICENCIA EMISION",$L983,IF(BUSCAR!$C$8="LICENCIA EXPIRA",$M983,""))))</f>
      </c>
      <c r="AG983" s="42">
        <f>IF($B983&amp;$C983&amp;$D983&amp;$E983&amp;$H983="",0,IF(AND(OR(BUSCAR!$J$5="",ISNUMBER(SEARCH(BUSCAR!$J$5,$AI983))),OR(BUSCAR!$J$6="",ISNUMBER(SEARCH(BUSCAR!$J$6,$AI983))),OR(BUSCAR!$J$8="",ISNUMBER(SEARCH(BUSCAR!$J$8,$AI983))),OR(BUSCAR!$J$9="",ISNUMBER(SEARCH(BUSCAR!$J$9,$AI983))),OR(NOT(BUSCAR!$J$2),AND(ISNUMBER($AF983),$AF983&gt;=BUSCAR!$J$3,$AF983&lt;=BUSCAR!$J$4))),1,0))</f>
      </c>
      <c r="AH983" s="42">
        <f t="shared" si="45"/>
      </c>
      <c r="AI983" s="42">
        <f t="shared" si="46"/>
      </c>
    </row>
    <row r="984" spans="1:35" x14ac:dyDescent="0.2">
      <c r="A984" s="66">
        <f t="shared" si="47"/>
      </c>
      <c r="B984" s="4"/>
      <c r="C984" s="4"/>
      <c r="D984" s="4"/>
      <c r="E984" s="4"/>
      <c r="F984" s="24"/>
      <c r="G984" s="8"/>
      <c r="H984" s="9"/>
      <c r="I984" s="8"/>
      <c r="J984" s="10"/>
      <c r="K984" s="8"/>
      <c r="L984" s="8"/>
      <c r="M984" s="8"/>
      <c r="N984" s="11"/>
      <c r="O984" s="9"/>
      <c r="P984" s="12"/>
      <c r="Q984" s="9"/>
      <c r="R984" s="13"/>
      <c r="S984" s="11"/>
      <c r="T984" s="11"/>
      <c r="U984" s="9"/>
      <c r="V984" s="9"/>
      <c r="W984" s="9"/>
      <c r="X984" s="16"/>
      <c r="AF984" s="42">
        <f>IF(BUSCAR!$C$8="FECHA NAC.",$G984,IF(BUSCAR!$C$8="PASAPORTE EXPIRA",$J984,IF(BUSCAR!$C$8="LICENCIA EMISION",$L984,IF(BUSCAR!$C$8="LICENCIA EXPIRA",$M984,""))))</f>
      </c>
      <c r="AG984" s="42">
        <f>IF($B984&amp;$C984&amp;$D984&amp;$E984&amp;$H984="",0,IF(AND(OR(BUSCAR!$J$5="",ISNUMBER(SEARCH(BUSCAR!$J$5,$AI984))),OR(BUSCAR!$J$6="",ISNUMBER(SEARCH(BUSCAR!$J$6,$AI984))),OR(BUSCAR!$J$8="",ISNUMBER(SEARCH(BUSCAR!$J$8,$AI984))),OR(BUSCAR!$J$9="",ISNUMBER(SEARCH(BUSCAR!$J$9,$AI984))),OR(NOT(BUSCAR!$J$2),AND(ISNUMBER($AF984),$AF984&gt;=BUSCAR!$J$3,$AF984&lt;=BUSCAR!$J$4))),1,0))</f>
      </c>
      <c r="AH984" s="42">
        <f t="shared" si="45"/>
      </c>
      <c r="AI984" s="42">
        <f t="shared" si="46"/>
      </c>
    </row>
    <row r="985" spans="1:35" x14ac:dyDescent="0.2">
      <c r="A985" s="66">
        <f t="shared" si="47"/>
      </c>
      <c r="B985" s="4"/>
      <c r="C985" s="4"/>
      <c r="D985" s="4"/>
      <c r="E985" s="4"/>
      <c r="F985" s="24"/>
      <c r="G985" s="8"/>
      <c r="H985" s="9"/>
      <c r="I985" s="8"/>
      <c r="J985" s="10"/>
      <c r="K985" s="8"/>
      <c r="L985" s="8"/>
      <c r="M985" s="8"/>
      <c r="N985" s="11"/>
      <c r="O985" s="9"/>
      <c r="P985" s="12"/>
      <c r="Q985" s="9"/>
      <c r="R985" s="13"/>
      <c r="S985" s="11"/>
      <c r="T985" s="11"/>
      <c r="U985" s="9"/>
      <c r="V985" s="9"/>
      <c r="W985" s="9"/>
      <c r="X985" s="16"/>
      <c r="AF985" s="42">
        <f>IF(BUSCAR!$C$8="FECHA NAC.",$G985,IF(BUSCAR!$C$8="PASAPORTE EXPIRA",$J985,IF(BUSCAR!$C$8="LICENCIA EMISION",$L985,IF(BUSCAR!$C$8="LICENCIA EXPIRA",$M985,""))))</f>
      </c>
      <c r="AG985" s="42">
        <f>IF($B985&amp;$C985&amp;$D985&amp;$E985&amp;$H985="",0,IF(AND(OR(BUSCAR!$J$5="",ISNUMBER(SEARCH(BUSCAR!$J$5,$AI985))),OR(BUSCAR!$J$6="",ISNUMBER(SEARCH(BUSCAR!$J$6,$AI985))),OR(BUSCAR!$J$8="",ISNUMBER(SEARCH(BUSCAR!$J$8,$AI985))),OR(BUSCAR!$J$9="",ISNUMBER(SEARCH(BUSCAR!$J$9,$AI985))),OR(NOT(BUSCAR!$J$2),AND(ISNUMBER($AF985),$AF985&gt;=BUSCAR!$J$3,$AF985&lt;=BUSCAR!$J$4))),1,0))</f>
      </c>
      <c r="AH985" s="42">
        <f t="shared" si="45"/>
      </c>
      <c r="AI985" s="42">
        <f t="shared" si="46"/>
      </c>
    </row>
    <row r="986" spans="1:35" x14ac:dyDescent="0.2">
      <c r="A986" s="66">
        <f t="shared" si="47"/>
      </c>
      <c r="B986" s="4"/>
      <c r="C986" s="4"/>
      <c r="D986" s="4"/>
      <c r="E986" s="4"/>
      <c r="F986" s="24"/>
      <c r="G986" s="8"/>
      <c r="H986" s="9"/>
      <c r="I986" s="8"/>
      <c r="J986" s="10"/>
      <c r="K986" s="8"/>
      <c r="L986" s="8"/>
      <c r="M986" s="8"/>
      <c r="N986" s="11"/>
      <c r="O986" s="9"/>
      <c r="P986" s="12"/>
      <c r="Q986" s="9"/>
      <c r="R986" s="13"/>
      <c r="S986" s="11"/>
      <c r="T986" s="11"/>
      <c r="U986" s="9"/>
      <c r="V986" s="9"/>
      <c r="W986" s="9"/>
      <c r="X986" s="16"/>
      <c r="AF986" s="42">
        <f>IF(BUSCAR!$C$8="FECHA NAC.",$G986,IF(BUSCAR!$C$8="PASAPORTE EXPIRA",$J986,IF(BUSCAR!$C$8="LICENCIA EMISION",$L986,IF(BUSCAR!$C$8="LICENCIA EXPIRA",$M986,""))))</f>
      </c>
      <c r="AG986" s="42">
        <f>IF($B986&amp;$C986&amp;$D986&amp;$E986&amp;$H986="",0,IF(AND(OR(BUSCAR!$J$5="",ISNUMBER(SEARCH(BUSCAR!$J$5,$AI986))),OR(BUSCAR!$J$6="",ISNUMBER(SEARCH(BUSCAR!$J$6,$AI986))),OR(BUSCAR!$J$8="",ISNUMBER(SEARCH(BUSCAR!$J$8,$AI986))),OR(BUSCAR!$J$9="",ISNUMBER(SEARCH(BUSCAR!$J$9,$AI986))),OR(NOT(BUSCAR!$J$2),AND(ISNUMBER($AF986),$AF986&gt;=BUSCAR!$J$3,$AF986&lt;=BUSCAR!$J$4))),1,0))</f>
      </c>
      <c r="AH986" s="42">
        <f t="shared" si="45"/>
      </c>
      <c r="AI986" s="42">
        <f t="shared" si="46"/>
      </c>
    </row>
    <row r="987" spans="1:35" x14ac:dyDescent="0.2">
      <c r="A987" s="66">
        <f t="shared" si="47"/>
      </c>
      <c r="B987" s="4"/>
      <c r="C987" s="4"/>
      <c r="D987" s="4"/>
      <c r="E987" s="4"/>
      <c r="F987" s="24"/>
      <c r="G987" s="8"/>
      <c r="H987" s="9"/>
      <c r="I987" s="8"/>
      <c r="J987" s="10"/>
      <c r="K987" s="8"/>
      <c r="L987" s="8"/>
      <c r="M987" s="8"/>
      <c r="N987" s="11"/>
      <c r="O987" s="9"/>
      <c r="P987" s="12"/>
      <c r="Q987" s="9"/>
      <c r="R987" s="13"/>
      <c r="S987" s="11"/>
      <c r="T987" s="11"/>
      <c r="U987" s="9"/>
      <c r="V987" s="9"/>
      <c r="W987" s="9"/>
      <c r="X987" s="16"/>
      <c r="AF987" s="42">
        <f>IF(BUSCAR!$C$8="FECHA NAC.",$G987,IF(BUSCAR!$C$8="PASAPORTE EXPIRA",$J987,IF(BUSCAR!$C$8="LICENCIA EMISION",$L987,IF(BUSCAR!$C$8="LICENCIA EXPIRA",$M987,""))))</f>
      </c>
      <c r="AG987" s="42">
        <f>IF($B987&amp;$C987&amp;$D987&amp;$E987&amp;$H987="",0,IF(AND(OR(BUSCAR!$J$5="",ISNUMBER(SEARCH(BUSCAR!$J$5,$AI987))),OR(BUSCAR!$J$6="",ISNUMBER(SEARCH(BUSCAR!$J$6,$AI987))),OR(BUSCAR!$J$8="",ISNUMBER(SEARCH(BUSCAR!$J$8,$AI987))),OR(BUSCAR!$J$9="",ISNUMBER(SEARCH(BUSCAR!$J$9,$AI987))),OR(NOT(BUSCAR!$J$2),AND(ISNUMBER($AF987),$AF987&gt;=BUSCAR!$J$3,$AF987&lt;=BUSCAR!$J$4))),1,0))</f>
      </c>
      <c r="AH987" s="42">
        <f t="shared" si="45"/>
      </c>
      <c r="AI987" s="42">
        <f t="shared" si="46"/>
      </c>
    </row>
    <row r="988" spans="1:35" x14ac:dyDescent="0.2">
      <c r="A988" s="66">
        <f t="shared" si="47"/>
      </c>
      <c r="B988" s="4"/>
      <c r="C988" s="4"/>
      <c r="D988" s="4"/>
      <c r="E988" s="4"/>
      <c r="F988" s="24"/>
      <c r="G988" s="8"/>
      <c r="H988" s="9"/>
      <c r="I988" s="8"/>
      <c r="J988" s="10"/>
      <c r="K988" s="8"/>
      <c r="L988" s="8"/>
      <c r="M988" s="8"/>
      <c r="N988" s="11"/>
      <c r="O988" s="9"/>
      <c r="P988" s="12"/>
      <c r="Q988" s="9"/>
      <c r="R988" s="13"/>
      <c r="S988" s="11"/>
      <c r="T988" s="11"/>
      <c r="U988" s="9"/>
      <c r="V988" s="9"/>
      <c r="W988" s="9"/>
      <c r="X988" s="16"/>
      <c r="AF988" s="42">
        <f>IF(BUSCAR!$C$8="FECHA NAC.",$G988,IF(BUSCAR!$C$8="PASAPORTE EXPIRA",$J988,IF(BUSCAR!$C$8="LICENCIA EMISION",$L988,IF(BUSCAR!$C$8="LICENCIA EXPIRA",$M988,""))))</f>
      </c>
      <c r="AG988" s="42">
        <f>IF($B988&amp;$C988&amp;$D988&amp;$E988&amp;$H988="",0,IF(AND(OR(BUSCAR!$J$5="",ISNUMBER(SEARCH(BUSCAR!$J$5,$AI988))),OR(BUSCAR!$J$6="",ISNUMBER(SEARCH(BUSCAR!$J$6,$AI988))),OR(BUSCAR!$J$8="",ISNUMBER(SEARCH(BUSCAR!$J$8,$AI988))),OR(BUSCAR!$J$9="",ISNUMBER(SEARCH(BUSCAR!$J$9,$AI988))),OR(NOT(BUSCAR!$J$2),AND(ISNUMBER($AF988),$AF988&gt;=BUSCAR!$J$3,$AF988&lt;=BUSCAR!$J$4))),1,0))</f>
      </c>
      <c r="AH988" s="42">
        <f t="shared" si="45"/>
      </c>
      <c r="AI988" s="42">
        <f t="shared" si="46"/>
      </c>
    </row>
    <row r="989" spans="1:35" x14ac:dyDescent="0.2">
      <c r="A989" s="66">
        <f t="shared" si="47"/>
      </c>
      <c r="B989" s="4"/>
      <c r="C989" s="4"/>
      <c r="D989" s="4"/>
      <c r="E989" s="4"/>
      <c r="F989" s="24"/>
      <c r="G989" s="8"/>
      <c r="H989" s="9"/>
      <c r="I989" s="8"/>
      <c r="J989" s="10"/>
      <c r="K989" s="8"/>
      <c r="L989" s="8"/>
      <c r="M989" s="8"/>
      <c r="N989" s="11"/>
      <c r="O989" s="9"/>
      <c r="P989" s="12"/>
      <c r="Q989" s="9"/>
      <c r="R989" s="13"/>
      <c r="S989" s="11"/>
      <c r="T989" s="11"/>
      <c r="U989" s="9"/>
      <c r="V989" s="9"/>
      <c r="W989" s="9"/>
      <c r="X989" s="16"/>
      <c r="AF989" s="42">
        <f>IF(BUSCAR!$C$8="FECHA NAC.",$G989,IF(BUSCAR!$C$8="PASAPORTE EXPIRA",$J989,IF(BUSCAR!$C$8="LICENCIA EMISION",$L989,IF(BUSCAR!$C$8="LICENCIA EXPIRA",$M989,""))))</f>
      </c>
      <c r="AG989" s="42">
        <f>IF($B989&amp;$C989&amp;$D989&amp;$E989&amp;$H989="",0,IF(AND(OR(BUSCAR!$J$5="",ISNUMBER(SEARCH(BUSCAR!$J$5,$AI989))),OR(BUSCAR!$J$6="",ISNUMBER(SEARCH(BUSCAR!$J$6,$AI989))),OR(BUSCAR!$J$8="",ISNUMBER(SEARCH(BUSCAR!$J$8,$AI989))),OR(BUSCAR!$J$9="",ISNUMBER(SEARCH(BUSCAR!$J$9,$AI989))),OR(NOT(BUSCAR!$J$2),AND(ISNUMBER($AF989),$AF989&gt;=BUSCAR!$J$3,$AF989&lt;=BUSCAR!$J$4))),1,0))</f>
      </c>
      <c r="AH989" s="42">
        <f t="shared" si="45"/>
      </c>
      <c r="AI989" s="42">
        <f t="shared" si="46"/>
      </c>
    </row>
    <row r="990" spans="1:35" x14ac:dyDescent="0.2">
      <c r="A990" s="66">
        <f t="shared" si="47"/>
      </c>
      <c r="B990" s="4"/>
      <c r="C990" s="4"/>
      <c r="D990" s="4"/>
      <c r="E990" s="4"/>
      <c r="F990" s="24"/>
      <c r="G990" s="8"/>
      <c r="H990" s="9"/>
      <c r="I990" s="8"/>
      <c r="J990" s="10"/>
      <c r="K990" s="8"/>
      <c r="L990" s="8"/>
      <c r="M990" s="8"/>
      <c r="N990" s="11"/>
      <c r="O990" s="9"/>
      <c r="P990" s="12"/>
      <c r="Q990" s="9"/>
      <c r="R990" s="13"/>
      <c r="S990" s="11"/>
      <c r="T990" s="11"/>
      <c r="U990" s="9"/>
      <c r="V990" s="9"/>
      <c r="W990" s="9"/>
      <c r="X990" s="16"/>
      <c r="AF990" s="42">
        <f>IF(BUSCAR!$C$8="FECHA NAC.",$G990,IF(BUSCAR!$C$8="PASAPORTE EXPIRA",$J990,IF(BUSCAR!$C$8="LICENCIA EMISION",$L990,IF(BUSCAR!$C$8="LICENCIA EXPIRA",$M990,""))))</f>
      </c>
      <c r="AG990" s="42">
        <f>IF($B990&amp;$C990&amp;$D990&amp;$E990&amp;$H990="",0,IF(AND(OR(BUSCAR!$J$5="",ISNUMBER(SEARCH(BUSCAR!$J$5,$AI990))),OR(BUSCAR!$J$6="",ISNUMBER(SEARCH(BUSCAR!$J$6,$AI990))),OR(BUSCAR!$J$8="",ISNUMBER(SEARCH(BUSCAR!$J$8,$AI990))),OR(BUSCAR!$J$9="",ISNUMBER(SEARCH(BUSCAR!$J$9,$AI990))),OR(NOT(BUSCAR!$J$2),AND(ISNUMBER($AF990),$AF990&gt;=BUSCAR!$J$3,$AF990&lt;=BUSCAR!$J$4))),1,0))</f>
      </c>
      <c r="AH990" s="42">
        <f t="shared" si="45"/>
      </c>
      <c r="AI990" s="42">
        <f t="shared" si="46"/>
      </c>
    </row>
    <row r="991" spans="1:35" x14ac:dyDescent="0.2">
      <c r="A991" s="66">
        <f t="shared" si="47"/>
      </c>
      <c r="B991" s="4"/>
      <c r="C991" s="4"/>
      <c r="D991" s="4"/>
      <c r="E991" s="4"/>
      <c r="F991" s="24"/>
      <c r="G991" s="8"/>
      <c r="H991" s="9"/>
      <c r="I991" s="8"/>
      <c r="J991" s="10"/>
      <c r="K991" s="8"/>
      <c r="L991" s="8"/>
      <c r="M991" s="8"/>
      <c r="N991" s="11"/>
      <c r="O991" s="9"/>
      <c r="P991" s="12"/>
      <c r="Q991" s="9"/>
      <c r="R991" s="13"/>
      <c r="S991" s="11"/>
      <c r="T991" s="11"/>
      <c r="U991" s="9"/>
      <c r="V991" s="9"/>
      <c r="W991" s="9"/>
      <c r="X991" s="16"/>
      <c r="AF991" s="42">
        <f>IF(BUSCAR!$C$8="FECHA NAC.",$G991,IF(BUSCAR!$C$8="PASAPORTE EXPIRA",$J991,IF(BUSCAR!$C$8="LICENCIA EMISION",$L991,IF(BUSCAR!$C$8="LICENCIA EXPIRA",$M991,""))))</f>
      </c>
      <c r="AG991" s="42">
        <f>IF($B991&amp;$C991&amp;$D991&amp;$E991&amp;$H991="",0,IF(AND(OR(BUSCAR!$J$5="",ISNUMBER(SEARCH(BUSCAR!$J$5,$AI991))),OR(BUSCAR!$J$6="",ISNUMBER(SEARCH(BUSCAR!$J$6,$AI991))),OR(BUSCAR!$J$8="",ISNUMBER(SEARCH(BUSCAR!$J$8,$AI991))),OR(BUSCAR!$J$9="",ISNUMBER(SEARCH(BUSCAR!$J$9,$AI991))),OR(NOT(BUSCAR!$J$2),AND(ISNUMBER($AF991),$AF991&gt;=BUSCAR!$J$3,$AF991&lt;=BUSCAR!$J$4))),1,0))</f>
      </c>
      <c r="AH991" s="42">
        <f t="shared" si="45"/>
      </c>
      <c r="AI991" s="42">
        <f t="shared" si="46"/>
      </c>
    </row>
    <row r="992" spans="1:35" x14ac:dyDescent="0.2">
      <c r="A992" s="66">
        <f t="shared" si="47"/>
      </c>
      <c r="B992" s="4"/>
      <c r="C992" s="4"/>
      <c r="D992" s="4"/>
      <c r="E992" s="4"/>
      <c r="F992" s="24"/>
      <c r="G992" s="8"/>
      <c r="H992" s="9"/>
      <c r="I992" s="8"/>
      <c r="J992" s="10"/>
      <c r="K992" s="8"/>
      <c r="L992" s="8"/>
      <c r="M992" s="8"/>
      <c r="N992" s="11"/>
      <c r="O992" s="9"/>
      <c r="P992" s="12"/>
      <c r="Q992" s="9"/>
      <c r="R992" s="13"/>
      <c r="S992" s="11"/>
      <c r="T992" s="11"/>
      <c r="U992" s="9"/>
      <c r="V992" s="9"/>
      <c r="W992" s="9"/>
      <c r="X992" s="16"/>
      <c r="AF992" s="42">
        <f>IF(BUSCAR!$C$8="FECHA NAC.",$G992,IF(BUSCAR!$C$8="PASAPORTE EXPIRA",$J992,IF(BUSCAR!$C$8="LICENCIA EMISION",$L992,IF(BUSCAR!$C$8="LICENCIA EXPIRA",$M992,""))))</f>
      </c>
      <c r="AG992" s="42">
        <f>IF($B992&amp;$C992&amp;$D992&amp;$E992&amp;$H992="",0,IF(AND(OR(BUSCAR!$J$5="",ISNUMBER(SEARCH(BUSCAR!$J$5,$AI992))),OR(BUSCAR!$J$6="",ISNUMBER(SEARCH(BUSCAR!$J$6,$AI992))),OR(BUSCAR!$J$8="",ISNUMBER(SEARCH(BUSCAR!$J$8,$AI992))),OR(BUSCAR!$J$9="",ISNUMBER(SEARCH(BUSCAR!$J$9,$AI992))),OR(NOT(BUSCAR!$J$2),AND(ISNUMBER($AF992),$AF992&gt;=BUSCAR!$J$3,$AF992&lt;=BUSCAR!$J$4))),1,0))</f>
      </c>
      <c r="AH992" s="42">
        <f t="shared" si="45"/>
      </c>
      <c r="AI992" s="42">
        <f t="shared" si="46"/>
      </c>
    </row>
    <row r="993" spans="1:35" x14ac:dyDescent="0.2">
      <c r="A993" s="66">
        <f t="shared" si="47"/>
      </c>
      <c r="B993" s="4"/>
      <c r="C993" s="4"/>
      <c r="D993" s="4"/>
      <c r="E993" s="4"/>
      <c r="F993" s="24"/>
      <c r="G993" s="8"/>
      <c r="H993" s="9"/>
      <c r="I993" s="8"/>
      <c r="J993" s="10"/>
      <c r="K993" s="8"/>
      <c r="L993" s="8"/>
      <c r="M993" s="8"/>
      <c r="N993" s="11"/>
      <c r="O993" s="9"/>
      <c r="P993" s="12"/>
      <c r="Q993" s="9"/>
      <c r="R993" s="13"/>
      <c r="S993" s="11"/>
      <c r="T993" s="11"/>
      <c r="U993" s="9"/>
      <c r="V993" s="9"/>
      <c r="W993" s="9"/>
      <c r="X993" s="16"/>
      <c r="AF993" s="42">
        <f>IF(BUSCAR!$C$8="FECHA NAC.",$G993,IF(BUSCAR!$C$8="PASAPORTE EXPIRA",$J993,IF(BUSCAR!$C$8="LICENCIA EMISION",$L993,IF(BUSCAR!$C$8="LICENCIA EXPIRA",$M993,""))))</f>
      </c>
      <c r="AG993" s="42">
        <f>IF($B993&amp;$C993&amp;$D993&amp;$E993&amp;$H993="",0,IF(AND(OR(BUSCAR!$J$5="",ISNUMBER(SEARCH(BUSCAR!$J$5,$AI993))),OR(BUSCAR!$J$6="",ISNUMBER(SEARCH(BUSCAR!$J$6,$AI993))),OR(BUSCAR!$J$8="",ISNUMBER(SEARCH(BUSCAR!$J$8,$AI993))),OR(BUSCAR!$J$9="",ISNUMBER(SEARCH(BUSCAR!$J$9,$AI993))),OR(NOT(BUSCAR!$J$2),AND(ISNUMBER($AF993),$AF993&gt;=BUSCAR!$J$3,$AF993&lt;=BUSCAR!$J$4))),1,0))</f>
      </c>
      <c r="AH993" s="42">
        <f t="shared" si="45"/>
      </c>
      <c r="AI993" s="42">
        <f t="shared" si="46"/>
      </c>
    </row>
    <row r="994" spans="1:35" x14ac:dyDescent="0.2">
      <c r="A994" s="66">
        <f t="shared" si="47"/>
      </c>
      <c r="B994" s="4"/>
      <c r="C994" s="4"/>
      <c r="D994" s="4"/>
      <c r="E994" s="4"/>
      <c r="F994" s="24"/>
      <c r="G994" s="8"/>
      <c r="H994" s="9"/>
      <c r="I994" s="8"/>
      <c r="J994" s="10"/>
      <c r="K994" s="8"/>
      <c r="L994" s="8"/>
      <c r="M994" s="8"/>
      <c r="N994" s="11"/>
      <c r="O994" s="9"/>
      <c r="P994" s="12"/>
      <c r="Q994" s="9"/>
      <c r="R994" s="13"/>
      <c r="S994" s="11"/>
      <c r="T994" s="11"/>
      <c r="U994" s="9"/>
      <c r="V994" s="9"/>
      <c r="W994" s="9"/>
      <c r="X994" s="16"/>
      <c r="AF994" s="42">
        <f>IF(BUSCAR!$C$8="FECHA NAC.",$G994,IF(BUSCAR!$C$8="PASAPORTE EXPIRA",$J994,IF(BUSCAR!$C$8="LICENCIA EMISION",$L994,IF(BUSCAR!$C$8="LICENCIA EXPIRA",$M994,""))))</f>
      </c>
      <c r="AG994" s="42">
        <f>IF($B994&amp;$C994&amp;$D994&amp;$E994&amp;$H994="",0,IF(AND(OR(BUSCAR!$J$5="",ISNUMBER(SEARCH(BUSCAR!$J$5,$AI994))),OR(BUSCAR!$J$6="",ISNUMBER(SEARCH(BUSCAR!$J$6,$AI994))),OR(BUSCAR!$J$8="",ISNUMBER(SEARCH(BUSCAR!$J$8,$AI994))),OR(BUSCAR!$J$9="",ISNUMBER(SEARCH(BUSCAR!$J$9,$AI994))),OR(NOT(BUSCAR!$J$2),AND(ISNUMBER($AF994),$AF994&gt;=BUSCAR!$J$3,$AF994&lt;=BUSCAR!$J$4))),1,0))</f>
      </c>
      <c r="AH994" s="42">
        <f t="shared" si="45"/>
      </c>
      <c r="AI994" s="42">
        <f t="shared" si="46"/>
      </c>
    </row>
    <row r="995" spans="1:35" x14ac:dyDescent="0.2">
      <c r="A995" s="66">
        <f t="shared" si="47"/>
      </c>
      <c r="B995" s="4"/>
      <c r="C995" s="4"/>
      <c r="D995" s="4"/>
      <c r="E995" s="4"/>
      <c r="F995" s="24"/>
      <c r="G995" s="8"/>
      <c r="H995" s="9"/>
      <c r="I995" s="8"/>
      <c r="J995" s="10"/>
      <c r="K995" s="8"/>
      <c r="L995" s="8"/>
      <c r="M995" s="8"/>
      <c r="N995" s="11"/>
      <c r="O995" s="9"/>
      <c r="P995" s="12"/>
      <c r="Q995" s="9"/>
      <c r="R995" s="13"/>
      <c r="S995" s="11"/>
      <c r="T995" s="11"/>
      <c r="U995" s="9"/>
      <c r="V995" s="9"/>
      <c r="W995" s="9"/>
      <c r="X995" s="16"/>
      <c r="AF995" s="42">
        <f>IF(BUSCAR!$C$8="FECHA NAC.",$G995,IF(BUSCAR!$C$8="PASAPORTE EXPIRA",$J995,IF(BUSCAR!$C$8="LICENCIA EMISION",$L995,IF(BUSCAR!$C$8="LICENCIA EXPIRA",$M995,""))))</f>
      </c>
      <c r="AG995" s="42">
        <f>IF($B995&amp;$C995&amp;$D995&amp;$E995&amp;$H995="",0,IF(AND(OR(BUSCAR!$J$5="",ISNUMBER(SEARCH(BUSCAR!$J$5,$AI995))),OR(BUSCAR!$J$6="",ISNUMBER(SEARCH(BUSCAR!$J$6,$AI995))),OR(BUSCAR!$J$8="",ISNUMBER(SEARCH(BUSCAR!$J$8,$AI995))),OR(BUSCAR!$J$9="",ISNUMBER(SEARCH(BUSCAR!$J$9,$AI995))),OR(NOT(BUSCAR!$J$2),AND(ISNUMBER($AF995),$AF995&gt;=BUSCAR!$J$3,$AF995&lt;=BUSCAR!$J$4))),1,0))</f>
      </c>
      <c r="AH995" s="42">
        <f t="shared" si="45"/>
      </c>
      <c r="AI995" s="42">
        <f t="shared" si="46"/>
      </c>
    </row>
    <row r="996" spans="1:35" x14ac:dyDescent="0.2">
      <c r="A996" s="66">
        <f t="shared" si="47"/>
      </c>
      <c r="B996" s="4"/>
      <c r="C996" s="4"/>
      <c r="D996" s="4"/>
      <c r="E996" s="4"/>
      <c r="F996" s="24"/>
      <c r="G996" s="8"/>
      <c r="H996" s="9"/>
      <c r="I996" s="8"/>
      <c r="J996" s="10"/>
      <c r="K996" s="8"/>
      <c r="L996" s="8"/>
      <c r="M996" s="8"/>
      <c r="N996" s="11"/>
      <c r="O996" s="9"/>
      <c r="P996" s="12"/>
      <c r="Q996" s="9"/>
      <c r="R996" s="13"/>
      <c r="S996" s="11"/>
      <c r="T996" s="11"/>
      <c r="U996" s="9"/>
      <c r="V996" s="9"/>
      <c r="W996" s="9"/>
      <c r="X996" s="16"/>
      <c r="AF996" s="42">
        <f>IF(BUSCAR!$C$8="FECHA NAC.",$G996,IF(BUSCAR!$C$8="PASAPORTE EXPIRA",$J996,IF(BUSCAR!$C$8="LICENCIA EMISION",$L996,IF(BUSCAR!$C$8="LICENCIA EXPIRA",$M996,""))))</f>
      </c>
      <c r="AG996" s="42">
        <f>IF($B996&amp;$C996&amp;$D996&amp;$E996&amp;$H996="",0,IF(AND(OR(BUSCAR!$J$5="",ISNUMBER(SEARCH(BUSCAR!$J$5,$AI996))),OR(BUSCAR!$J$6="",ISNUMBER(SEARCH(BUSCAR!$J$6,$AI996))),OR(BUSCAR!$J$8="",ISNUMBER(SEARCH(BUSCAR!$J$8,$AI996))),OR(BUSCAR!$J$9="",ISNUMBER(SEARCH(BUSCAR!$J$9,$AI996))),OR(NOT(BUSCAR!$J$2),AND(ISNUMBER($AF996),$AF996&gt;=BUSCAR!$J$3,$AF996&lt;=BUSCAR!$J$4))),1,0))</f>
      </c>
      <c r="AH996" s="42">
        <f t="shared" si="45"/>
      </c>
      <c r="AI996" s="42">
        <f t="shared" si="46"/>
      </c>
    </row>
    <row r="997" spans="1:35" x14ac:dyDescent="0.2">
      <c r="A997" s="66">
        <f t="shared" si="47"/>
      </c>
      <c r="B997" s="4"/>
      <c r="C997" s="4"/>
      <c r="D997" s="4"/>
      <c r="E997" s="4"/>
      <c r="F997" s="24"/>
      <c r="G997" s="8"/>
      <c r="H997" s="9"/>
      <c r="I997" s="8"/>
      <c r="J997" s="10"/>
      <c r="K997" s="8"/>
      <c r="L997" s="8"/>
      <c r="M997" s="8"/>
      <c r="N997" s="11"/>
      <c r="O997" s="9"/>
      <c r="P997" s="12"/>
      <c r="Q997" s="9"/>
      <c r="R997" s="13"/>
      <c r="S997" s="11"/>
      <c r="T997" s="11"/>
      <c r="U997" s="9"/>
      <c r="V997" s="9"/>
      <c r="W997" s="9"/>
      <c r="X997" s="16"/>
      <c r="AF997" s="42">
        <f>IF(BUSCAR!$C$8="FECHA NAC.",$G997,IF(BUSCAR!$C$8="PASAPORTE EXPIRA",$J997,IF(BUSCAR!$C$8="LICENCIA EMISION",$L997,IF(BUSCAR!$C$8="LICENCIA EXPIRA",$M997,""))))</f>
      </c>
      <c r="AG997" s="42">
        <f>IF($B997&amp;$C997&amp;$D997&amp;$E997&amp;$H997="",0,IF(AND(OR(BUSCAR!$J$5="",ISNUMBER(SEARCH(BUSCAR!$J$5,$AI997))),OR(BUSCAR!$J$6="",ISNUMBER(SEARCH(BUSCAR!$J$6,$AI997))),OR(BUSCAR!$J$8="",ISNUMBER(SEARCH(BUSCAR!$J$8,$AI997))),OR(BUSCAR!$J$9="",ISNUMBER(SEARCH(BUSCAR!$J$9,$AI997))),OR(NOT(BUSCAR!$J$2),AND(ISNUMBER($AF997),$AF997&gt;=BUSCAR!$J$3,$AF997&lt;=BUSCAR!$J$4))),1,0))</f>
      </c>
      <c r="AH997" s="42">
        <f t="shared" si="45"/>
      </c>
      <c r="AI997" s="42">
        <f t="shared" si="46"/>
      </c>
    </row>
    <row r="998" spans="1:35" x14ac:dyDescent="0.2">
      <c r="A998" s="66">
        <f t="shared" si="47"/>
      </c>
      <c r="B998" s="4"/>
      <c r="C998" s="4"/>
      <c r="D998" s="4"/>
      <c r="E998" s="4"/>
      <c r="F998" s="24"/>
      <c r="G998" s="8"/>
      <c r="H998" s="9"/>
      <c r="I998" s="8"/>
      <c r="J998" s="10"/>
      <c r="K998" s="8"/>
      <c r="L998" s="8"/>
      <c r="M998" s="8"/>
      <c r="N998" s="11"/>
      <c r="O998" s="9"/>
      <c r="P998" s="12"/>
      <c r="Q998" s="9"/>
      <c r="R998" s="13"/>
      <c r="S998" s="11"/>
      <c r="T998" s="11"/>
      <c r="U998" s="9"/>
      <c r="V998" s="9"/>
      <c r="W998" s="9"/>
      <c r="X998" s="16"/>
      <c r="AF998" s="42">
        <f>IF(BUSCAR!$C$8="FECHA NAC.",$G998,IF(BUSCAR!$C$8="PASAPORTE EXPIRA",$J998,IF(BUSCAR!$C$8="LICENCIA EMISION",$L998,IF(BUSCAR!$C$8="LICENCIA EXPIRA",$M998,""))))</f>
      </c>
      <c r="AG998" s="42">
        <f>IF($B998&amp;$C998&amp;$D998&amp;$E998&amp;$H998="",0,IF(AND(OR(BUSCAR!$J$5="",ISNUMBER(SEARCH(BUSCAR!$J$5,$AI998))),OR(BUSCAR!$J$6="",ISNUMBER(SEARCH(BUSCAR!$J$6,$AI998))),OR(BUSCAR!$J$8="",ISNUMBER(SEARCH(BUSCAR!$J$8,$AI998))),OR(BUSCAR!$J$9="",ISNUMBER(SEARCH(BUSCAR!$J$9,$AI998))),OR(NOT(BUSCAR!$J$2),AND(ISNUMBER($AF998),$AF998&gt;=BUSCAR!$J$3,$AF998&lt;=BUSCAR!$J$4))),1,0))</f>
      </c>
      <c r="AH998" s="42">
        <f t="shared" si="45"/>
      </c>
      <c r="AI998" s="42">
        <f t="shared" si="46"/>
      </c>
    </row>
    <row r="999" spans="1:35" x14ac:dyDescent="0.2">
      <c r="A999" s="66">
        <f t="shared" si="47"/>
      </c>
      <c r="B999" s="4"/>
      <c r="C999" s="4"/>
      <c r="D999" s="4"/>
      <c r="E999" s="4"/>
      <c r="F999" s="24"/>
      <c r="G999" s="8"/>
      <c r="H999" s="9"/>
      <c r="I999" s="8"/>
      <c r="J999" s="10"/>
      <c r="K999" s="8"/>
      <c r="L999" s="8"/>
      <c r="M999" s="8"/>
      <c r="N999" s="11"/>
      <c r="O999" s="9"/>
      <c r="P999" s="12"/>
      <c r="Q999" s="9"/>
      <c r="R999" s="13"/>
      <c r="S999" s="11"/>
      <c r="T999" s="11"/>
      <c r="U999" s="9"/>
      <c r="V999" s="9"/>
      <c r="W999" s="9"/>
      <c r="X999" s="16"/>
      <c r="AF999" s="42">
        <f>IF(BUSCAR!$C$8="FECHA NAC.",$G999,IF(BUSCAR!$C$8="PASAPORTE EXPIRA",$J999,IF(BUSCAR!$C$8="LICENCIA EMISION",$L999,IF(BUSCAR!$C$8="LICENCIA EXPIRA",$M999,""))))</f>
      </c>
      <c r="AG999" s="42">
        <f>IF($B999&amp;$C999&amp;$D999&amp;$E999&amp;$H999="",0,IF(AND(OR(BUSCAR!$J$5="",ISNUMBER(SEARCH(BUSCAR!$J$5,$AI999))),OR(BUSCAR!$J$6="",ISNUMBER(SEARCH(BUSCAR!$J$6,$AI999))),OR(BUSCAR!$J$8="",ISNUMBER(SEARCH(BUSCAR!$J$8,$AI999))),OR(BUSCAR!$J$9="",ISNUMBER(SEARCH(BUSCAR!$J$9,$AI999))),OR(NOT(BUSCAR!$J$2),AND(ISNUMBER($AF999),$AF999&gt;=BUSCAR!$J$3,$AF999&lt;=BUSCAR!$J$4))),1,0))</f>
      </c>
      <c r="AH999" s="42">
        <f t="shared" si="45"/>
      </c>
      <c r="AI999" s="42">
        <f t="shared" si="46"/>
      </c>
    </row>
    <row r="1000" spans="1:35" x14ac:dyDescent="0.2">
      <c r="A1000" s="66">
        <f t="shared" si="47"/>
      </c>
      <c r="B1000" s="4"/>
      <c r="C1000" s="4"/>
      <c r="D1000" s="4"/>
      <c r="E1000" s="4"/>
      <c r="F1000" s="24"/>
      <c r="G1000" s="8"/>
      <c r="H1000" s="9"/>
      <c r="I1000" s="8"/>
      <c r="J1000" s="10"/>
      <c r="K1000" s="8"/>
      <c r="L1000" s="8"/>
      <c r="M1000" s="8"/>
      <c r="N1000" s="11"/>
      <c r="O1000" s="9"/>
      <c r="P1000" s="12"/>
      <c r="Q1000" s="9"/>
      <c r="R1000" s="13"/>
      <c r="S1000" s="11"/>
      <c r="T1000" s="11"/>
      <c r="U1000" s="9"/>
      <c r="V1000" s="9"/>
      <c r="W1000" s="9"/>
      <c r="X1000" s="16"/>
      <c r="AF1000" s="42">
        <f>IF(BUSCAR!$C$8="FECHA NAC.",$G1000,IF(BUSCAR!$C$8="PASAPORTE EXPIRA",$J1000,IF(BUSCAR!$C$8="LICENCIA EMISION",$L1000,IF(BUSCAR!$C$8="LICENCIA EXPIRA",$M1000,""))))</f>
      </c>
      <c r="AG1000" s="42">
        <f>IF($B1000&amp;$C1000&amp;$D1000&amp;$E1000&amp;$H1000="",0,IF(AND(OR(BUSCAR!$J$5="",ISNUMBER(SEARCH(BUSCAR!$J$5,$AI1000))),OR(BUSCAR!$J$6="",ISNUMBER(SEARCH(BUSCAR!$J$6,$AI1000))),OR(BUSCAR!$J$8="",ISNUMBER(SEARCH(BUSCAR!$J$8,$AI1000))),OR(BUSCAR!$J$9="",ISNUMBER(SEARCH(BUSCAR!$J$9,$AI1000))),OR(NOT(BUSCAR!$J$2),AND(ISNUMBER($AF1000),$AF1000&gt;=BUSCAR!$J$3,$AF1000&lt;=BUSCAR!$J$4))),1,0))</f>
      </c>
      <c r="AH1000" s="42">
        <f t="shared" si="45"/>
      </c>
      <c r="AI1000" s="42">
        <f t="shared" si="46"/>
      </c>
    </row>
    <row r="1001" spans="1:35" x14ac:dyDescent="0.2">
      <c r="A1001" s="66">
        <f t="shared" si="47"/>
      </c>
      <c r="B1001" s="4"/>
      <c r="C1001" s="4"/>
      <c r="D1001" s="4"/>
      <c r="E1001" s="4"/>
      <c r="F1001" s="24"/>
      <c r="G1001" s="8"/>
      <c r="H1001" s="9"/>
      <c r="I1001" s="8"/>
      <c r="J1001" s="10"/>
      <c r="K1001" s="8"/>
      <c r="L1001" s="8"/>
      <c r="M1001" s="8"/>
      <c r="N1001" s="11"/>
      <c r="O1001" s="9"/>
      <c r="P1001" s="12"/>
      <c r="Q1001" s="9"/>
      <c r="R1001" s="13"/>
      <c r="S1001" s="11"/>
      <c r="T1001" s="11"/>
      <c r="U1001" s="9"/>
      <c r="V1001" s="9"/>
      <c r="W1001" s="9"/>
      <c r="X1001" s="16"/>
      <c r="AF1001" s="42">
        <f>IF(BUSCAR!$C$8="FECHA NAC.",$G1001,IF(BUSCAR!$C$8="PASAPORTE EXPIRA",$J1001,IF(BUSCAR!$C$8="LICENCIA EMISION",$L1001,IF(BUSCAR!$C$8="LICENCIA EXPIRA",$M1001,""))))</f>
      </c>
      <c r="AG1001" s="42">
        <f>IF($B1001&amp;$C1001&amp;$D1001&amp;$E1001&amp;$H1001="",0,IF(AND(OR(BUSCAR!$J$5="",ISNUMBER(SEARCH(BUSCAR!$J$5,$AI1001))),OR(BUSCAR!$J$6="",ISNUMBER(SEARCH(BUSCAR!$J$6,$AI1001))),OR(BUSCAR!$J$8="",ISNUMBER(SEARCH(BUSCAR!$J$8,$AI1001))),OR(BUSCAR!$J$9="",ISNUMBER(SEARCH(BUSCAR!$J$9,$AI1001))),OR(NOT(BUSCAR!$J$2),AND(ISNUMBER($AF1001),$AF1001&gt;=BUSCAR!$J$3,$AF1001&lt;=BUSCAR!$J$4))),1,0))</f>
      </c>
      <c r="AH1001" s="42">
        <f t="shared" si="45"/>
      </c>
      <c r="AI1001" s="42">
        <f t="shared" si="46"/>
      </c>
    </row>
    <row r="1002" spans="1:35" x14ac:dyDescent="0.2">
      <c r="A1002" s="66">
        <f t="shared" si="47"/>
      </c>
      <c r="B1002" s="4"/>
      <c r="C1002" s="4"/>
      <c r="D1002" s="4"/>
      <c r="E1002" s="4"/>
      <c r="F1002" s="24"/>
      <c r="G1002" s="8"/>
      <c r="H1002" s="9"/>
      <c r="I1002" s="8"/>
      <c r="J1002" s="10"/>
      <c r="K1002" s="8"/>
      <c r="L1002" s="8"/>
      <c r="M1002" s="8"/>
      <c r="N1002" s="11"/>
      <c r="O1002" s="9"/>
      <c r="P1002" s="12"/>
      <c r="Q1002" s="9"/>
      <c r="R1002" s="13"/>
      <c r="S1002" s="11"/>
      <c r="T1002" s="11"/>
      <c r="U1002" s="9"/>
      <c r="V1002" s="9"/>
      <c r="W1002" s="9"/>
      <c r="X1002" s="16"/>
      <c r="AF1002" s="42">
        <f>IF(BUSCAR!$C$8="FECHA NAC.",$G1002,IF(BUSCAR!$C$8="PASAPORTE EXPIRA",$J1002,IF(BUSCAR!$C$8="LICENCIA EMISION",$L1002,IF(BUSCAR!$C$8="LICENCIA EXPIRA",$M1002,""))))</f>
      </c>
      <c r="AG1002" s="42">
        <f>IF($B1002&amp;$C1002&amp;$D1002&amp;$E1002&amp;$H1002="",0,IF(AND(OR(BUSCAR!$J$5="",ISNUMBER(SEARCH(BUSCAR!$J$5,$AI1002))),OR(BUSCAR!$J$6="",ISNUMBER(SEARCH(BUSCAR!$J$6,$AI1002))),OR(BUSCAR!$J$8="",ISNUMBER(SEARCH(BUSCAR!$J$8,$AI1002))),OR(BUSCAR!$J$9="",ISNUMBER(SEARCH(BUSCAR!$J$9,$AI1002))),OR(NOT(BUSCAR!$J$2),AND(ISNUMBER($AF1002),$AF1002&gt;=BUSCAR!$J$3,$AF1002&lt;=BUSCAR!$J$4))),1,0))</f>
      </c>
      <c r="AH1002" s="42">
        <f t="shared" si="45"/>
      </c>
      <c r="AI1002" s="42">
        <f t="shared" si="46"/>
      </c>
    </row>
    <row r="1003" spans="1:35" x14ac:dyDescent="0.2">
      <c r="A1003" s="66">
        <f t="shared" si="47"/>
      </c>
      <c r="B1003" s="4"/>
      <c r="C1003" s="4"/>
      <c r="D1003" s="4"/>
      <c r="E1003" s="4"/>
      <c r="F1003" s="24"/>
      <c r="G1003" s="8"/>
      <c r="H1003" s="9"/>
      <c r="I1003" s="8"/>
      <c r="J1003" s="10"/>
      <c r="K1003" s="8"/>
      <c r="L1003" s="8"/>
      <c r="M1003" s="8"/>
      <c r="N1003" s="11"/>
      <c r="O1003" s="9"/>
      <c r="P1003" s="12"/>
      <c r="Q1003" s="9"/>
      <c r="R1003" s="13"/>
      <c r="S1003" s="11"/>
      <c r="T1003" s="11"/>
      <c r="U1003" s="9"/>
      <c r="V1003" s="9"/>
      <c r="W1003" s="9"/>
      <c r="X1003" s="16"/>
      <c r="AF1003" s="42">
        <f>IF(BUSCAR!$C$8="FECHA NAC.",$G1003,IF(BUSCAR!$C$8="PASAPORTE EXPIRA",$J1003,IF(BUSCAR!$C$8="LICENCIA EMISION",$L1003,IF(BUSCAR!$C$8="LICENCIA EXPIRA",$M1003,""))))</f>
      </c>
      <c r="AG1003" s="42">
        <f>IF($B1003&amp;$C1003&amp;$D1003&amp;$E1003&amp;$H1003="",0,IF(AND(OR(BUSCAR!$J$5="",ISNUMBER(SEARCH(BUSCAR!$J$5,$AI1003))),OR(BUSCAR!$J$6="",ISNUMBER(SEARCH(BUSCAR!$J$6,$AI1003))),OR(BUSCAR!$J$8="",ISNUMBER(SEARCH(BUSCAR!$J$8,$AI1003))),OR(BUSCAR!$J$9="",ISNUMBER(SEARCH(BUSCAR!$J$9,$AI1003))),OR(NOT(BUSCAR!$J$2),AND(ISNUMBER($AF1003),$AF1003&gt;=BUSCAR!$J$3,$AF1003&lt;=BUSCAR!$J$4))),1,0))</f>
      </c>
      <c r="AH1003" s="42">
        <f t="shared" si="45"/>
      </c>
      <c r="AI1003" s="42">
        <f t="shared" si="46"/>
      </c>
    </row>
    <row r="1004" spans="1:35" x14ac:dyDescent="0.2">
      <c r="A1004" s="66">
        <f t="shared" si="47"/>
      </c>
      <c r="B1004" s="4"/>
      <c r="C1004" s="4"/>
      <c r="D1004" s="4"/>
      <c r="E1004" s="4"/>
      <c r="F1004" s="24"/>
      <c r="G1004" s="8"/>
      <c r="H1004" s="9"/>
      <c r="I1004" s="8"/>
      <c r="J1004" s="10"/>
      <c r="K1004" s="8"/>
      <c r="L1004" s="8"/>
      <c r="M1004" s="8"/>
      <c r="N1004" s="11"/>
      <c r="O1004" s="9"/>
      <c r="P1004" s="12"/>
      <c r="Q1004" s="9"/>
      <c r="R1004" s="13"/>
      <c r="S1004" s="11"/>
      <c r="T1004" s="11"/>
      <c r="U1004" s="9"/>
      <c r="V1004" s="9"/>
      <c r="W1004" s="9"/>
      <c r="X1004" s="16"/>
      <c r="AF1004" s="42">
        <f>IF(BUSCAR!$C$8="FECHA NAC.",$G1004,IF(BUSCAR!$C$8="PASAPORTE EXPIRA",$J1004,IF(BUSCAR!$C$8="LICENCIA EMISION",$L1004,IF(BUSCAR!$C$8="LICENCIA EXPIRA",$M1004,""))))</f>
      </c>
      <c r="AG1004" s="42">
        <f>IF($B1004&amp;$C1004&amp;$D1004&amp;$E1004&amp;$H1004="",0,IF(AND(OR(BUSCAR!$J$5="",ISNUMBER(SEARCH(BUSCAR!$J$5,$AI1004))),OR(BUSCAR!$J$6="",ISNUMBER(SEARCH(BUSCAR!$J$6,$AI1004))),OR(BUSCAR!$J$8="",ISNUMBER(SEARCH(BUSCAR!$J$8,$AI1004))),OR(BUSCAR!$J$9="",ISNUMBER(SEARCH(BUSCAR!$J$9,$AI1004))),OR(NOT(BUSCAR!$J$2),AND(ISNUMBER($AF1004),$AF1004&gt;=BUSCAR!$J$3,$AF1004&lt;=BUSCAR!$J$4))),1,0))</f>
      </c>
      <c r="AH1004" s="42">
        <f t="shared" si="45"/>
      </c>
      <c r="AI1004" s="42">
        <f t="shared" si="46"/>
      </c>
    </row>
    <row r="1005" spans="1:35" x14ac:dyDescent="0.2">
      <c r="A1005" s="66">
        <f t="shared" si="47"/>
      </c>
      <c r="B1005" s="4"/>
      <c r="C1005" s="4"/>
      <c r="D1005" s="4"/>
      <c r="E1005" s="4"/>
      <c r="F1005" s="24"/>
      <c r="G1005" s="8"/>
      <c r="H1005" s="9"/>
      <c r="I1005" s="8"/>
      <c r="J1005" s="10"/>
      <c r="K1005" s="8"/>
      <c r="L1005" s="8"/>
      <c r="M1005" s="8"/>
      <c r="N1005" s="11"/>
      <c r="O1005" s="9"/>
      <c r="P1005" s="12"/>
      <c r="Q1005" s="9"/>
      <c r="R1005" s="13"/>
      <c r="S1005" s="11"/>
      <c r="T1005" s="11"/>
      <c r="U1005" s="9"/>
      <c r="V1005" s="9"/>
      <c r="W1005" s="9"/>
      <c r="X1005" s="16"/>
      <c r="AF1005" s="42">
        <f>IF(BUSCAR!$C$8="FECHA NAC.",$G1005,IF(BUSCAR!$C$8="PASAPORTE EXPIRA",$J1005,IF(BUSCAR!$C$8="LICENCIA EMISION",$L1005,IF(BUSCAR!$C$8="LICENCIA EXPIRA",$M1005,""))))</f>
      </c>
      <c r="AG1005" s="42">
        <f>IF($B1005&amp;$C1005&amp;$D1005&amp;$E1005&amp;$H1005="",0,IF(AND(OR(BUSCAR!$J$5="",ISNUMBER(SEARCH(BUSCAR!$J$5,$AI1005))),OR(BUSCAR!$J$6="",ISNUMBER(SEARCH(BUSCAR!$J$6,$AI1005))),OR(BUSCAR!$J$8="",ISNUMBER(SEARCH(BUSCAR!$J$8,$AI1005))),OR(BUSCAR!$J$9="",ISNUMBER(SEARCH(BUSCAR!$J$9,$AI1005))),OR(NOT(BUSCAR!$J$2),AND(ISNUMBER($AF1005),$AF1005&gt;=BUSCAR!$J$3,$AF1005&lt;=BUSCAR!$J$4))),1,0))</f>
      </c>
      <c r="AH1005" s="42">
        <f t="shared" si="45"/>
      </c>
      <c r="AI1005" s="42">
        <f t="shared" si="46"/>
      </c>
    </row>
    <row r="1006" spans="1:35" x14ac:dyDescent="0.2">
      <c r="A1006" s="66">
        <f t="shared" si="47"/>
      </c>
      <c r="B1006" s="4"/>
      <c r="C1006" s="4"/>
      <c r="D1006" s="4"/>
      <c r="E1006" s="4"/>
      <c r="F1006" s="24"/>
      <c r="G1006" s="8"/>
      <c r="H1006" s="9"/>
      <c r="I1006" s="8"/>
      <c r="J1006" s="10"/>
      <c r="K1006" s="8"/>
      <c r="L1006" s="8"/>
      <c r="M1006" s="8"/>
      <c r="N1006" s="11"/>
      <c r="O1006" s="9"/>
      <c r="P1006" s="12"/>
      <c r="Q1006" s="9"/>
      <c r="R1006" s="13"/>
      <c r="S1006" s="11"/>
      <c r="T1006" s="11"/>
      <c r="U1006" s="9"/>
      <c r="V1006" s="9"/>
      <c r="W1006" s="9"/>
      <c r="X1006" s="16"/>
      <c r="AF1006" s="42">
        <f>IF(BUSCAR!$C$8="FECHA NAC.",$G1006,IF(BUSCAR!$C$8="PASAPORTE EXPIRA",$J1006,IF(BUSCAR!$C$8="LICENCIA EMISION",$L1006,IF(BUSCAR!$C$8="LICENCIA EXPIRA",$M1006,""))))</f>
      </c>
      <c r="AG1006" s="42">
        <f>IF($B1006&amp;$C1006&amp;$D1006&amp;$E1006&amp;$H1006="",0,IF(AND(OR(BUSCAR!$J$5="",ISNUMBER(SEARCH(BUSCAR!$J$5,$AI1006))),OR(BUSCAR!$J$6="",ISNUMBER(SEARCH(BUSCAR!$J$6,$AI1006))),OR(BUSCAR!$J$8="",ISNUMBER(SEARCH(BUSCAR!$J$8,$AI1006))),OR(BUSCAR!$J$9="",ISNUMBER(SEARCH(BUSCAR!$J$9,$AI1006))),OR(NOT(BUSCAR!$J$2),AND(ISNUMBER($AF1006),$AF1006&gt;=BUSCAR!$J$3,$AF1006&lt;=BUSCAR!$J$4))),1,0))</f>
      </c>
      <c r="AH1006" s="42">
        <f t="shared" si="45"/>
      </c>
      <c r="AI1006" s="42">
        <f t="shared" si="46"/>
      </c>
    </row>
    <row r="1007" spans="1:35" x14ac:dyDescent="0.2">
      <c r="A1007" s="66">
        <f t="shared" si="47"/>
      </c>
      <c r="B1007" s="4"/>
      <c r="C1007" s="4"/>
      <c r="D1007" s="4"/>
      <c r="E1007" s="4"/>
      <c r="F1007" s="24"/>
      <c r="G1007" s="8"/>
      <c r="H1007" s="9"/>
      <c r="I1007" s="8"/>
      <c r="J1007" s="10"/>
      <c r="K1007" s="8"/>
      <c r="L1007" s="8"/>
      <c r="M1007" s="8"/>
      <c r="N1007" s="11"/>
      <c r="O1007" s="9"/>
      <c r="P1007" s="12"/>
      <c r="Q1007" s="9"/>
      <c r="R1007" s="13"/>
      <c r="S1007" s="11"/>
      <c r="T1007" s="11"/>
      <c r="U1007" s="9"/>
      <c r="V1007" s="9"/>
      <c r="W1007" s="9"/>
      <c r="X1007" s="16"/>
      <c r="AF1007" s="42">
        <f>IF(BUSCAR!$C$8="FECHA NAC.",$G1007,IF(BUSCAR!$C$8="PASAPORTE EXPIRA",$J1007,IF(BUSCAR!$C$8="LICENCIA EMISION",$L1007,IF(BUSCAR!$C$8="LICENCIA EXPIRA",$M1007,""))))</f>
      </c>
      <c r="AG1007" s="42">
        <f>IF($B1007&amp;$C1007&amp;$D1007&amp;$E1007&amp;$H1007="",0,IF(AND(OR(BUSCAR!$J$5="",ISNUMBER(SEARCH(BUSCAR!$J$5,$AI1007))),OR(BUSCAR!$J$6="",ISNUMBER(SEARCH(BUSCAR!$J$6,$AI1007))),OR(BUSCAR!$J$8="",ISNUMBER(SEARCH(BUSCAR!$J$8,$AI1007))),OR(BUSCAR!$J$9="",ISNUMBER(SEARCH(BUSCAR!$J$9,$AI1007))),OR(NOT(BUSCAR!$J$2),AND(ISNUMBER($AF1007),$AF1007&gt;=BUSCAR!$J$3,$AF1007&lt;=BUSCAR!$J$4))),1,0))</f>
      </c>
      <c r="AH1007" s="42">
        <f t="shared" si="45"/>
      </c>
      <c r="AI1007" s="42">
        <f t="shared" si="46"/>
      </c>
    </row>
    <row r="1008" spans="1:35" x14ac:dyDescent="0.2">
      <c r="A1008" s="66">
        <f t="shared" si="47"/>
      </c>
      <c r="B1008" s="4"/>
      <c r="C1008" s="4"/>
      <c r="D1008" s="4"/>
      <c r="E1008" s="4"/>
      <c r="F1008" s="24"/>
      <c r="G1008" s="8"/>
      <c r="H1008" s="9"/>
      <c r="I1008" s="8"/>
      <c r="J1008" s="10"/>
      <c r="K1008" s="8"/>
      <c r="L1008" s="8"/>
      <c r="M1008" s="8"/>
      <c r="N1008" s="11"/>
      <c r="O1008" s="9"/>
      <c r="P1008" s="12"/>
      <c r="Q1008" s="9"/>
      <c r="R1008" s="13"/>
      <c r="S1008" s="11"/>
      <c r="T1008" s="11"/>
      <c r="U1008" s="9"/>
      <c r="V1008" s="9"/>
      <c r="W1008" s="9"/>
      <c r="X1008" s="16"/>
      <c r="AF1008" s="42">
        <f>IF(BUSCAR!$C$8="FECHA NAC.",$G1008,IF(BUSCAR!$C$8="PASAPORTE EXPIRA",$J1008,IF(BUSCAR!$C$8="LICENCIA EMISION",$L1008,IF(BUSCAR!$C$8="LICENCIA EXPIRA",$M1008,""))))</f>
      </c>
      <c r="AG1008" s="42">
        <f>IF($B1008&amp;$C1008&amp;$D1008&amp;$E1008&amp;$H1008="",0,IF(AND(OR(BUSCAR!$J$5="",ISNUMBER(SEARCH(BUSCAR!$J$5,$AI1008))),OR(BUSCAR!$J$6="",ISNUMBER(SEARCH(BUSCAR!$J$6,$AI1008))),OR(BUSCAR!$J$8="",ISNUMBER(SEARCH(BUSCAR!$J$8,$AI1008))),OR(BUSCAR!$J$9="",ISNUMBER(SEARCH(BUSCAR!$J$9,$AI1008))),OR(NOT(BUSCAR!$J$2),AND(ISNUMBER($AF1008),$AF1008&gt;=BUSCAR!$J$3,$AF1008&lt;=BUSCAR!$J$4))),1,0))</f>
      </c>
      <c r="AH1008" s="42">
        <f t="shared" si="45"/>
      </c>
      <c r="AI1008" s="42">
        <f t="shared" si="46"/>
      </c>
    </row>
    <row r="1009" spans="1:35" x14ac:dyDescent="0.2">
      <c r="A1009" s="66">
        <f t="shared" si="47"/>
      </c>
      <c r="B1009" s="4"/>
      <c r="C1009" s="4"/>
      <c r="D1009" s="4"/>
      <c r="E1009" s="4"/>
      <c r="F1009" s="24"/>
      <c r="G1009" s="8"/>
      <c r="H1009" s="9"/>
      <c r="I1009" s="8"/>
      <c r="J1009" s="10"/>
      <c r="K1009" s="8"/>
      <c r="L1009" s="8"/>
      <c r="M1009" s="8"/>
      <c r="N1009" s="11"/>
      <c r="O1009" s="9"/>
      <c r="P1009" s="12"/>
      <c r="Q1009" s="9"/>
      <c r="R1009" s="13"/>
      <c r="S1009" s="11"/>
      <c r="T1009" s="11"/>
      <c r="U1009" s="9"/>
      <c r="V1009" s="9"/>
      <c r="W1009" s="9"/>
      <c r="X1009" s="16"/>
      <c r="AF1009" s="42">
        <f>IF(BUSCAR!$C$8="FECHA NAC.",$G1009,IF(BUSCAR!$C$8="PASAPORTE EXPIRA",$J1009,IF(BUSCAR!$C$8="LICENCIA EMISION",$L1009,IF(BUSCAR!$C$8="LICENCIA EXPIRA",$M1009,""))))</f>
      </c>
      <c r="AG1009" s="42">
        <f>IF($B1009&amp;$C1009&amp;$D1009&amp;$E1009&amp;$H1009="",0,IF(AND(OR(BUSCAR!$J$5="",ISNUMBER(SEARCH(BUSCAR!$J$5,$AI1009))),OR(BUSCAR!$J$6="",ISNUMBER(SEARCH(BUSCAR!$J$6,$AI1009))),OR(BUSCAR!$J$8="",ISNUMBER(SEARCH(BUSCAR!$J$8,$AI1009))),OR(BUSCAR!$J$9="",ISNUMBER(SEARCH(BUSCAR!$J$9,$AI1009))),OR(NOT(BUSCAR!$J$2),AND(ISNUMBER($AF1009),$AF1009&gt;=BUSCAR!$J$3,$AF1009&lt;=BUSCAR!$J$4))),1,0))</f>
      </c>
      <c r="AH1009" s="42">
        <f t="shared" si="45"/>
      </c>
      <c r="AI1009" s="42">
        <f t="shared" si="46"/>
      </c>
    </row>
    <row r="1010" spans="1:35" x14ac:dyDescent="0.2">
      <c r="A1010" s="66">
        <f t="shared" si="47"/>
      </c>
      <c r="B1010" s="4"/>
      <c r="C1010" s="4"/>
      <c r="D1010" s="4"/>
      <c r="E1010" s="4"/>
      <c r="F1010" s="24"/>
      <c r="G1010" s="8"/>
      <c r="H1010" s="9"/>
      <c r="I1010" s="8"/>
      <c r="J1010" s="10"/>
      <c r="K1010" s="8"/>
      <c r="L1010" s="8"/>
      <c r="M1010" s="8"/>
      <c r="N1010" s="11"/>
      <c r="O1010" s="9"/>
      <c r="P1010" s="12"/>
      <c r="Q1010" s="9"/>
      <c r="R1010" s="13"/>
      <c r="S1010" s="11"/>
      <c r="T1010" s="11"/>
      <c r="U1010" s="9"/>
      <c r="V1010" s="9"/>
      <c r="W1010" s="9"/>
      <c r="X1010" s="16"/>
      <c r="AF1010" s="42">
        <f>IF(BUSCAR!$C$8="FECHA NAC.",$G1010,IF(BUSCAR!$C$8="PASAPORTE EXPIRA",$J1010,IF(BUSCAR!$C$8="LICENCIA EMISION",$L1010,IF(BUSCAR!$C$8="LICENCIA EXPIRA",$M1010,""))))</f>
      </c>
      <c r="AG1010" s="42">
        <f>IF($B1010&amp;$C1010&amp;$D1010&amp;$E1010&amp;$H1010="",0,IF(AND(OR(BUSCAR!$J$5="",ISNUMBER(SEARCH(BUSCAR!$J$5,$AI1010))),OR(BUSCAR!$J$6="",ISNUMBER(SEARCH(BUSCAR!$J$6,$AI1010))),OR(BUSCAR!$J$8="",ISNUMBER(SEARCH(BUSCAR!$J$8,$AI1010))),OR(BUSCAR!$J$9="",ISNUMBER(SEARCH(BUSCAR!$J$9,$AI1010))),OR(NOT(BUSCAR!$J$2),AND(ISNUMBER($AF1010),$AF1010&gt;=BUSCAR!$J$3,$AF1010&lt;=BUSCAR!$J$4))),1,0))</f>
      </c>
      <c r="AH1010" s="42">
        <f t="shared" si="45"/>
      </c>
      <c r="AI1010" s="42">
        <f t="shared" si="46"/>
      </c>
    </row>
    <row r="1011" spans="1:35" x14ac:dyDescent="0.2">
      <c r="A1011" s="66">
        <f t="shared" si="47"/>
      </c>
      <c r="B1011" s="4"/>
      <c r="C1011" s="4"/>
      <c r="D1011" s="4"/>
      <c r="E1011" s="4"/>
      <c r="F1011" s="24"/>
      <c r="G1011" s="8"/>
      <c r="H1011" s="9"/>
      <c r="I1011" s="8"/>
      <c r="J1011" s="10"/>
      <c r="K1011" s="8"/>
      <c r="L1011" s="8"/>
      <c r="M1011" s="8"/>
      <c r="N1011" s="11"/>
      <c r="O1011" s="9"/>
      <c r="P1011" s="12"/>
      <c r="Q1011" s="9"/>
      <c r="R1011" s="13"/>
      <c r="S1011" s="11"/>
      <c r="T1011" s="11"/>
      <c r="U1011" s="9"/>
      <c r="V1011" s="9"/>
      <c r="W1011" s="9"/>
      <c r="X1011" s="16"/>
      <c r="AF1011" s="42">
        <f>IF(BUSCAR!$C$8="FECHA NAC.",$G1011,IF(BUSCAR!$C$8="PASAPORTE EXPIRA",$J1011,IF(BUSCAR!$C$8="LICENCIA EMISION",$L1011,IF(BUSCAR!$C$8="LICENCIA EXPIRA",$M1011,""))))</f>
      </c>
      <c r="AG1011" s="42">
        <f>IF($B1011&amp;$C1011&amp;$D1011&amp;$E1011&amp;$H1011="",0,IF(AND(OR(BUSCAR!$J$5="",ISNUMBER(SEARCH(BUSCAR!$J$5,$AI1011))),OR(BUSCAR!$J$6="",ISNUMBER(SEARCH(BUSCAR!$J$6,$AI1011))),OR(BUSCAR!$J$8="",ISNUMBER(SEARCH(BUSCAR!$J$8,$AI1011))),OR(BUSCAR!$J$9="",ISNUMBER(SEARCH(BUSCAR!$J$9,$AI1011))),OR(NOT(BUSCAR!$J$2),AND(ISNUMBER($AF1011),$AF1011&gt;=BUSCAR!$J$3,$AF1011&lt;=BUSCAR!$J$4))),1,0))</f>
      </c>
      <c r="AH1011" s="42">
        <f t="shared" si="45"/>
      </c>
      <c r="AI1011" s="42">
        <f t="shared" si="46"/>
      </c>
    </row>
    <row r="1012" spans="1:35" x14ac:dyDescent="0.2">
      <c r="A1012" s="66">
        <f t="shared" si="47"/>
      </c>
      <c r="B1012" s="4"/>
      <c r="C1012" s="4"/>
      <c r="D1012" s="4"/>
      <c r="E1012" s="4"/>
      <c r="F1012" s="24"/>
      <c r="G1012" s="8"/>
      <c r="H1012" s="9"/>
      <c r="I1012" s="8"/>
      <c r="J1012" s="10"/>
      <c r="K1012" s="8"/>
      <c r="L1012" s="8"/>
      <c r="M1012" s="8"/>
      <c r="N1012" s="11"/>
      <c r="O1012" s="9"/>
      <c r="P1012" s="12"/>
      <c r="Q1012" s="9"/>
      <c r="R1012" s="13"/>
      <c r="S1012" s="11"/>
      <c r="T1012" s="11"/>
      <c r="U1012" s="9"/>
      <c r="V1012" s="9"/>
      <c r="W1012" s="9"/>
      <c r="X1012" s="16"/>
      <c r="AF1012" s="42">
        <f>IF(BUSCAR!$C$8="FECHA NAC.",$G1012,IF(BUSCAR!$C$8="PASAPORTE EXPIRA",$J1012,IF(BUSCAR!$C$8="LICENCIA EMISION",$L1012,IF(BUSCAR!$C$8="LICENCIA EXPIRA",$M1012,""))))</f>
      </c>
      <c r="AG1012" s="42">
        <f>IF($B1012&amp;$C1012&amp;$D1012&amp;$E1012&amp;$H1012="",0,IF(AND(OR(BUSCAR!$J$5="",ISNUMBER(SEARCH(BUSCAR!$J$5,$AI1012))),OR(BUSCAR!$J$6="",ISNUMBER(SEARCH(BUSCAR!$J$6,$AI1012))),OR(BUSCAR!$J$8="",ISNUMBER(SEARCH(BUSCAR!$J$8,$AI1012))),OR(BUSCAR!$J$9="",ISNUMBER(SEARCH(BUSCAR!$J$9,$AI1012))),OR(NOT(BUSCAR!$J$2),AND(ISNUMBER($AF1012),$AF1012&gt;=BUSCAR!$J$3,$AF1012&lt;=BUSCAR!$J$4))),1,0))</f>
      </c>
      <c r="AH1012" s="42">
        <f t="shared" si="45"/>
      </c>
      <c r="AI1012" s="42">
        <f t="shared" si="46"/>
      </c>
    </row>
    <row r="1013" spans="1:35" x14ac:dyDescent="0.2">
      <c r="A1013" s="66">
        <f t="shared" si="47"/>
      </c>
      <c r="B1013" s="4"/>
      <c r="C1013" s="4"/>
      <c r="D1013" s="4"/>
      <c r="E1013" s="4"/>
      <c r="F1013" s="24"/>
      <c r="G1013" s="8"/>
      <c r="H1013" s="9"/>
      <c r="I1013" s="8"/>
      <c r="J1013" s="10"/>
      <c r="K1013" s="8"/>
      <c r="L1013" s="8"/>
      <c r="M1013" s="8"/>
      <c r="N1013" s="11"/>
      <c r="O1013" s="9"/>
      <c r="P1013" s="12"/>
      <c r="Q1013" s="9"/>
      <c r="R1013" s="13"/>
      <c r="S1013" s="11"/>
      <c r="T1013" s="11"/>
      <c r="U1013" s="9"/>
      <c r="V1013" s="9"/>
      <c r="W1013" s="9"/>
      <c r="X1013" s="16"/>
      <c r="AF1013" s="42">
        <f>IF(BUSCAR!$C$8="FECHA NAC.",$G1013,IF(BUSCAR!$C$8="PASAPORTE EXPIRA",$J1013,IF(BUSCAR!$C$8="LICENCIA EMISION",$L1013,IF(BUSCAR!$C$8="LICENCIA EXPIRA",$M1013,""))))</f>
      </c>
      <c r="AG1013" s="42">
        <f>IF($B1013&amp;$C1013&amp;$D1013&amp;$E1013&amp;$H1013="",0,IF(AND(OR(BUSCAR!$J$5="",ISNUMBER(SEARCH(BUSCAR!$J$5,$AI1013))),OR(BUSCAR!$J$6="",ISNUMBER(SEARCH(BUSCAR!$J$6,$AI1013))),OR(BUSCAR!$J$8="",ISNUMBER(SEARCH(BUSCAR!$J$8,$AI1013))),OR(BUSCAR!$J$9="",ISNUMBER(SEARCH(BUSCAR!$J$9,$AI1013))),OR(NOT(BUSCAR!$J$2),AND(ISNUMBER($AF1013),$AF1013&gt;=BUSCAR!$J$3,$AF1013&lt;=BUSCAR!$J$4))),1,0))</f>
      </c>
      <c r="AH1013" s="42">
        <f t="shared" si="45"/>
      </c>
      <c r="AI1013" s="42">
        <f t="shared" si="46"/>
      </c>
    </row>
    <row r="1014" spans="1:35" x14ac:dyDescent="0.2">
      <c r="A1014" s="66">
        <f t="shared" si="47"/>
      </c>
      <c r="B1014" s="4"/>
      <c r="C1014" s="4"/>
      <c r="D1014" s="4"/>
      <c r="E1014" s="4"/>
      <c r="F1014" s="24"/>
      <c r="G1014" s="8"/>
      <c r="H1014" s="9"/>
      <c r="I1014" s="8"/>
      <c r="J1014" s="10"/>
      <c r="K1014" s="8"/>
      <c r="L1014" s="8"/>
      <c r="M1014" s="8"/>
      <c r="N1014" s="11"/>
      <c r="O1014" s="9"/>
      <c r="P1014" s="12"/>
      <c r="Q1014" s="9"/>
      <c r="R1014" s="13"/>
      <c r="S1014" s="11"/>
      <c r="T1014" s="11"/>
      <c r="U1014" s="9"/>
      <c r="V1014" s="9"/>
      <c r="W1014" s="9"/>
      <c r="X1014" s="16"/>
      <c r="AF1014" s="42">
        <f>IF(BUSCAR!$C$8="FECHA NAC.",$G1014,IF(BUSCAR!$C$8="PASAPORTE EXPIRA",$J1014,IF(BUSCAR!$C$8="LICENCIA EMISION",$L1014,IF(BUSCAR!$C$8="LICENCIA EXPIRA",$M1014,""))))</f>
      </c>
      <c r="AG1014" s="42">
        <f>IF($B1014&amp;$C1014&amp;$D1014&amp;$E1014&amp;$H1014="",0,IF(AND(OR(BUSCAR!$J$5="",ISNUMBER(SEARCH(BUSCAR!$J$5,$AI1014))),OR(BUSCAR!$J$6="",ISNUMBER(SEARCH(BUSCAR!$J$6,$AI1014))),OR(BUSCAR!$J$8="",ISNUMBER(SEARCH(BUSCAR!$J$8,$AI1014))),OR(BUSCAR!$J$9="",ISNUMBER(SEARCH(BUSCAR!$J$9,$AI1014))),OR(NOT(BUSCAR!$J$2),AND(ISNUMBER($AF1014),$AF1014&gt;=BUSCAR!$J$3,$AF1014&lt;=BUSCAR!$J$4))),1,0))</f>
      </c>
      <c r="AH1014" s="42">
        <f t="shared" si="45"/>
      </c>
      <c r="AI1014" s="42">
        <f t="shared" si="46"/>
      </c>
    </row>
    <row r="1015" spans="1:35" x14ac:dyDescent="0.2">
      <c r="A1015" s="66">
        <f t="shared" si="47"/>
      </c>
      <c r="B1015" s="4"/>
      <c r="C1015" s="4"/>
      <c r="D1015" s="4"/>
      <c r="E1015" s="4"/>
      <c r="F1015" s="24"/>
      <c r="G1015" s="8"/>
      <c r="H1015" s="9"/>
      <c r="I1015" s="8"/>
      <c r="J1015" s="10"/>
      <c r="K1015" s="8"/>
      <c r="L1015" s="8"/>
      <c r="M1015" s="8"/>
      <c r="N1015" s="11"/>
      <c r="O1015" s="9"/>
      <c r="P1015" s="12"/>
      <c r="Q1015" s="9"/>
      <c r="R1015" s="13"/>
      <c r="S1015" s="11"/>
      <c r="T1015" s="11"/>
      <c r="U1015" s="9"/>
      <c r="V1015" s="9"/>
      <c r="W1015" s="9"/>
      <c r="X1015" s="16"/>
      <c r="AF1015" s="42">
        <f>IF(BUSCAR!$C$8="FECHA NAC.",$G1015,IF(BUSCAR!$C$8="PASAPORTE EXPIRA",$J1015,IF(BUSCAR!$C$8="LICENCIA EMISION",$L1015,IF(BUSCAR!$C$8="LICENCIA EXPIRA",$M1015,""))))</f>
      </c>
      <c r="AG1015" s="42">
        <f>IF($B1015&amp;$C1015&amp;$D1015&amp;$E1015&amp;$H1015="",0,IF(AND(OR(BUSCAR!$J$5="",ISNUMBER(SEARCH(BUSCAR!$J$5,$AI1015))),OR(BUSCAR!$J$6="",ISNUMBER(SEARCH(BUSCAR!$J$6,$AI1015))),OR(BUSCAR!$J$8="",ISNUMBER(SEARCH(BUSCAR!$J$8,$AI1015))),OR(BUSCAR!$J$9="",ISNUMBER(SEARCH(BUSCAR!$J$9,$AI1015))),OR(NOT(BUSCAR!$J$2),AND(ISNUMBER($AF1015),$AF1015&gt;=BUSCAR!$J$3,$AF1015&lt;=BUSCAR!$J$4))),1,0))</f>
      </c>
      <c r="AH1015" s="42">
        <f t="shared" si="45"/>
      </c>
      <c r="AI1015" s="42">
        <f t="shared" si="46"/>
      </c>
    </row>
    <row r="1016" spans="1:35" x14ac:dyDescent="0.2">
      <c r="A1016" s="66">
        <f t="shared" si="47"/>
      </c>
      <c r="B1016" s="4"/>
      <c r="C1016" s="4"/>
      <c r="D1016" s="4"/>
      <c r="E1016" s="4"/>
      <c r="F1016" s="24"/>
      <c r="G1016" s="8"/>
      <c r="H1016" s="9"/>
      <c r="I1016" s="8"/>
      <c r="J1016" s="10"/>
      <c r="K1016" s="8"/>
      <c r="L1016" s="8"/>
      <c r="M1016" s="8"/>
      <c r="N1016" s="11"/>
      <c r="O1016" s="9"/>
      <c r="P1016" s="12"/>
      <c r="Q1016" s="9"/>
      <c r="R1016" s="13"/>
      <c r="S1016" s="11"/>
      <c r="T1016" s="11"/>
      <c r="U1016" s="9"/>
      <c r="V1016" s="9"/>
      <c r="W1016" s="9"/>
      <c r="X1016" s="16"/>
      <c r="AF1016" s="42">
        <f>IF(BUSCAR!$C$8="FECHA NAC.",$G1016,IF(BUSCAR!$C$8="PASAPORTE EXPIRA",$J1016,IF(BUSCAR!$C$8="LICENCIA EMISION",$L1016,IF(BUSCAR!$C$8="LICENCIA EXPIRA",$M1016,""))))</f>
      </c>
      <c r="AG1016" s="42">
        <f>IF($B1016&amp;$C1016&amp;$D1016&amp;$E1016&amp;$H1016="",0,IF(AND(OR(BUSCAR!$J$5="",ISNUMBER(SEARCH(BUSCAR!$J$5,$AI1016))),OR(BUSCAR!$J$6="",ISNUMBER(SEARCH(BUSCAR!$J$6,$AI1016))),OR(BUSCAR!$J$8="",ISNUMBER(SEARCH(BUSCAR!$J$8,$AI1016))),OR(BUSCAR!$J$9="",ISNUMBER(SEARCH(BUSCAR!$J$9,$AI1016))),OR(NOT(BUSCAR!$J$2),AND(ISNUMBER($AF1016),$AF1016&gt;=BUSCAR!$J$3,$AF1016&lt;=BUSCAR!$J$4))),1,0))</f>
      </c>
      <c r="AH1016" s="42">
        <f t="shared" si="45"/>
      </c>
      <c r="AI1016" s="42">
        <f t="shared" si="46"/>
      </c>
    </row>
    <row r="1017" spans="1:35" x14ac:dyDescent="0.2">
      <c r="A1017" s="66">
        <f t="shared" si="47"/>
      </c>
      <c r="B1017" s="4"/>
      <c r="C1017" s="4"/>
      <c r="D1017" s="4"/>
      <c r="E1017" s="4"/>
      <c r="F1017" s="24"/>
      <c r="G1017" s="8"/>
      <c r="H1017" s="9"/>
      <c r="I1017" s="8"/>
      <c r="J1017" s="10"/>
      <c r="K1017" s="8"/>
      <c r="L1017" s="8"/>
      <c r="M1017" s="8"/>
      <c r="N1017" s="11"/>
      <c r="O1017" s="9"/>
      <c r="P1017" s="12"/>
      <c r="Q1017" s="9"/>
      <c r="R1017" s="13"/>
      <c r="S1017" s="11"/>
      <c r="T1017" s="11"/>
      <c r="U1017" s="9"/>
      <c r="V1017" s="9"/>
      <c r="W1017" s="9"/>
      <c r="X1017" s="16"/>
      <c r="AF1017" s="42">
        <f>IF(BUSCAR!$C$8="FECHA NAC.",$G1017,IF(BUSCAR!$C$8="PASAPORTE EXPIRA",$J1017,IF(BUSCAR!$C$8="LICENCIA EMISION",$L1017,IF(BUSCAR!$C$8="LICENCIA EXPIRA",$M1017,""))))</f>
      </c>
      <c r="AG1017" s="42">
        <f>IF($B1017&amp;$C1017&amp;$D1017&amp;$E1017&amp;$H1017="",0,IF(AND(OR(BUSCAR!$J$5="",ISNUMBER(SEARCH(BUSCAR!$J$5,$AI1017))),OR(BUSCAR!$J$6="",ISNUMBER(SEARCH(BUSCAR!$J$6,$AI1017))),OR(BUSCAR!$J$8="",ISNUMBER(SEARCH(BUSCAR!$J$8,$AI1017))),OR(BUSCAR!$J$9="",ISNUMBER(SEARCH(BUSCAR!$J$9,$AI1017))),OR(NOT(BUSCAR!$J$2),AND(ISNUMBER($AF1017),$AF1017&gt;=BUSCAR!$J$3,$AF1017&lt;=BUSCAR!$J$4))),1,0))</f>
      </c>
      <c r="AH1017" s="42">
        <f t="shared" si="45"/>
      </c>
      <c r="AI1017" s="42">
        <f t="shared" si="46"/>
      </c>
    </row>
    <row r="1018" spans="1:35" x14ac:dyDescent="0.2">
      <c r="A1018" s="66">
        <f t="shared" si="47"/>
      </c>
      <c r="B1018" s="4"/>
      <c r="C1018" s="4"/>
      <c r="D1018" s="4"/>
      <c r="E1018" s="4"/>
      <c r="F1018" s="24"/>
      <c r="G1018" s="8"/>
      <c r="H1018" s="9"/>
      <c r="I1018" s="8"/>
      <c r="J1018" s="10"/>
      <c r="K1018" s="8"/>
      <c r="L1018" s="8"/>
      <c r="M1018" s="8"/>
      <c r="N1018" s="11"/>
      <c r="O1018" s="9"/>
      <c r="P1018" s="12"/>
      <c r="Q1018" s="9"/>
      <c r="R1018" s="13"/>
      <c r="S1018" s="11"/>
      <c r="T1018" s="11"/>
      <c r="U1018" s="9"/>
      <c r="V1018" s="9"/>
      <c r="W1018" s="9"/>
      <c r="X1018" s="16"/>
      <c r="AF1018" s="42">
        <f>IF(BUSCAR!$C$8="FECHA NAC.",$G1018,IF(BUSCAR!$C$8="PASAPORTE EXPIRA",$J1018,IF(BUSCAR!$C$8="LICENCIA EMISION",$L1018,IF(BUSCAR!$C$8="LICENCIA EXPIRA",$M1018,""))))</f>
      </c>
      <c r="AG1018" s="42">
        <f>IF($B1018&amp;$C1018&amp;$D1018&amp;$E1018&amp;$H1018="",0,IF(AND(OR(BUSCAR!$J$5="",ISNUMBER(SEARCH(BUSCAR!$J$5,$AI1018))),OR(BUSCAR!$J$6="",ISNUMBER(SEARCH(BUSCAR!$J$6,$AI1018))),OR(BUSCAR!$J$8="",ISNUMBER(SEARCH(BUSCAR!$J$8,$AI1018))),OR(BUSCAR!$J$9="",ISNUMBER(SEARCH(BUSCAR!$J$9,$AI1018))),OR(NOT(BUSCAR!$J$2),AND(ISNUMBER($AF1018),$AF1018&gt;=BUSCAR!$J$3,$AF1018&lt;=BUSCAR!$J$4))),1,0))</f>
      </c>
      <c r="AH1018" s="42">
        <f t="shared" si="45"/>
      </c>
      <c r="AI1018" s="42">
        <f t="shared" si="46"/>
      </c>
    </row>
    <row r="1019" spans="1:35" x14ac:dyDescent="0.2">
      <c r="A1019" s="66">
        <f t="shared" si="47"/>
      </c>
      <c r="B1019" s="4"/>
      <c r="C1019" s="4"/>
      <c r="D1019" s="4"/>
      <c r="E1019" s="4"/>
      <c r="F1019" s="24"/>
      <c r="G1019" s="8"/>
      <c r="H1019" s="9"/>
      <c r="I1019" s="8"/>
      <c r="J1019" s="10"/>
      <c r="K1019" s="8"/>
      <c r="L1019" s="8"/>
      <c r="M1019" s="8"/>
      <c r="N1019" s="11"/>
      <c r="O1019" s="9"/>
      <c r="P1019" s="12"/>
      <c r="Q1019" s="9"/>
      <c r="R1019" s="13"/>
      <c r="S1019" s="11"/>
      <c r="T1019" s="11"/>
      <c r="U1019" s="9"/>
      <c r="V1019" s="9"/>
      <c r="W1019" s="9"/>
      <c r="X1019" s="16"/>
      <c r="AF1019" s="42">
        <f>IF(BUSCAR!$C$8="FECHA NAC.",$G1019,IF(BUSCAR!$C$8="PASAPORTE EXPIRA",$J1019,IF(BUSCAR!$C$8="LICENCIA EMISION",$L1019,IF(BUSCAR!$C$8="LICENCIA EXPIRA",$M1019,""))))</f>
      </c>
      <c r="AG1019" s="42">
        <f>IF($B1019&amp;$C1019&amp;$D1019&amp;$E1019&amp;$H1019="",0,IF(AND(OR(BUSCAR!$J$5="",ISNUMBER(SEARCH(BUSCAR!$J$5,$AI1019))),OR(BUSCAR!$J$6="",ISNUMBER(SEARCH(BUSCAR!$J$6,$AI1019))),OR(BUSCAR!$J$8="",ISNUMBER(SEARCH(BUSCAR!$J$8,$AI1019))),OR(BUSCAR!$J$9="",ISNUMBER(SEARCH(BUSCAR!$J$9,$AI1019))),OR(NOT(BUSCAR!$J$2),AND(ISNUMBER($AF1019),$AF1019&gt;=BUSCAR!$J$3,$AF1019&lt;=BUSCAR!$J$4))),1,0))</f>
      </c>
      <c r="AH1019" s="42">
        <f t="shared" si="45"/>
      </c>
      <c r="AI1019" s="42">
        <f t="shared" si="46"/>
      </c>
    </row>
    <row r="1020" spans="1:35" x14ac:dyDescent="0.2">
      <c r="A1020" s="66">
        <f t="shared" si="47"/>
      </c>
      <c r="B1020" s="4"/>
      <c r="C1020" s="4"/>
      <c r="D1020" s="4"/>
      <c r="E1020" s="4"/>
      <c r="F1020" s="24"/>
      <c r="G1020" s="8"/>
      <c r="H1020" s="9"/>
      <c r="I1020" s="8"/>
      <c r="J1020" s="10"/>
      <c r="K1020" s="8"/>
      <c r="L1020" s="8"/>
      <c r="M1020" s="8"/>
      <c r="N1020" s="11"/>
      <c r="O1020" s="9"/>
      <c r="P1020" s="12"/>
      <c r="Q1020" s="9"/>
      <c r="R1020" s="13"/>
      <c r="S1020" s="11"/>
      <c r="T1020" s="11"/>
      <c r="U1020" s="9"/>
      <c r="V1020" s="9"/>
      <c r="W1020" s="9"/>
      <c r="X1020" s="16"/>
      <c r="AF1020" s="42">
        <f>IF(BUSCAR!$C$8="FECHA NAC.",$G1020,IF(BUSCAR!$C$8="PASAPORTE EXPIRA",$J1020,IF(BUSCAR!$C$8="LICENCIA EMISION",$L1020,IF(BUSCAR!$C$8="LICENCIA EXPIRA",$M1020,""))))</f>
      </c>
      <c r="AG1020" s="42">
        <f>IF($B1020&amp;$C1020&amp;$D1020&amp;$E1020&amp;$H1020="",0,IF(AND(OR(BUSCAR!$J$5="",ISNUMBER(SEARCH(BUSCAR!$J$5,$AI1020))),OR(BUSCAR!$J$6="",ISNUMBER(SEARCH(BUSCAR!$J$6,$AI1020))),OR(BUSCAR!$J$8="",ISNUMBER(SEARCH(BUSCAR!$J$8,$AI1020))),OR(BUSCAR!$J$9="",ISNUMBER(SEARCH(BUSCAR!$J$9,$AI1020))),OR(NOT(BUSCAR!$J$2),AND(ISNUMBER($AF1020),$AF1020&gt;=BUSCAR!$J$3,$AF1020&lt;=BUSCAR!$J$4))),1,0))</f>
      </c>
      <c r="AH1020" s="42">
        <f t="shared" si="45"/>
      </c>
      <c r="AI1020" s="42">
        <f t="shared" si="46"/>
      </c>
    </row>
    <row r="1021" spans="1:35" x14ac:dyDescent="0.2">
      <c r="A1021" s="66">
        <f t="shared" si="47"/>
      </c>
      <c r="B1021" s="4"/>
      <c r="C1021" s="4"/>
      <c r="D1021" s="4"/>
      <c r="E1021" s="4"/>
      <c r="F1021" s="24"/>
      <c r="G1021" s="8"/>
      <c r="H1021" s="9"/>
      <c r="I1021" s="8"/>
      <c r="J1021" s="10"/>
      <c r="K1021" s="8"/>
      <c r="L1021" s="8"/>
      <c r="M1021" s="8"/>
      <c r="N1021" s="11"/>
      <c r="O1021" s="9"/>
      <c r="P1021" s="12"/>
      <c r="Q1021" s="9"/>
      <c r="R1021" s="13"/>
      <c r="S1021" s="11"/>
      <c r="T1021" s="11"/>
      <c r="U1021" s="9"/>
      <c r="V1021" s="9"/>
      <c r="W1021" s="9"/>
      <c r="X1021" s="16"/>
      <c r="AF1021" s="42">
        <f>IF(BUSCAR!$C$8="FECHA NAC.",$G1021,IF(BUSCAR!$C$8="PASAPORTE EXPIRA",$J1021,IF(BUSCAR!$C$8="LICENCIA EMISION",$L1021,IF(BUSCAR!$C$8="LICENCIA EXPIRA",$M1021,""))))</f>
      </c>
      <c r="AG1021" s="42">
        <f>IF($B1021&amp;$C1021&amp;$D1021&amp;$E1021&amp;$H1021="",0,IF(AND(OR(BUSCAR!$J$5="",ISNUMBER(SEARCH(BUSCAR!$J$5,$AI1021))),OR(BUSCAR!$J$6="",ISNUMBER(SEARCH(BUSCAR!$J$6,$AI1021))),OR(BUSCAR!$J$8="",ISNUMBER(SEARCH(BUSCAR!$J$8,$AI1021))),OR(BUSCAR!$J$9="",ISNUMBER(SEARCH(BUSCAR!$J$9,$AI1021))),OR(NOT(BUSCAR!$J$2),AND(ISNUMBER($AF1021),$AF1021&gt;=BUSCAR!$J$3,$AF1021&lt;=BUSCAR!$J$4))),1,0))</f>
      </c>
      <c r="AH1021" s="42">
        <f t="shared" si="45"/>
      </c>
      <c r="AI1021" s="42">
        <f t="shared" si="46"/>
      </c>
    </row>
    <row r="1022" spans="1:35" x14ac:dyDescent="0.2">
      <c r="A1022" s="66">
        <f t="shared" si="47"/>
      </c>
      <c r="B1022" s="4"/>
      <c r="C1022" s="4"/>
      <c r="D1022" s="4"/>
      <c r="E1022" s="4"/>
      <c r="F1022" s="24"/>
      <c r="G1022" s="8"/>
      <c r="H1022" s="9"/>
      <c r="I1022" s="8"/>
      <c r="J1022" s="10"/>
      <c r="K1022" s="8"/>
      <c r="L1022" s="8"/>
      <c r="M1022" s="8"/>
      <c r="N1022" s="11"/>
      <c r="O1022" s="9"/>
      <c r="P1022" s="12"/>
      <c r="Q1022" s="9"/>
      <c r="R1022" s="13"/>
      <c r="S1022" s="11"/>
      <c r="T1022" s="11"/>
      <c r="U1022" s="9"/>
      <c r="V1022" s="9"/>
      <c r="W1022" s="9"/>
      <c r="X1022" s="16"/>
      <c r="AF1022" s="42">
        <f>IF(BUSCAR!$C$8="FECHA NAC.",$G1022,IF(BUSCAR!$C$8="PASAPORTE EXPIRA",$J1022,IF(BUSCAR!$C$8="LICENCIA EMISION",$L1022,IF(BUSCAR!$C$8="LICENCIA EXPIRA",$M1022,""))))</f>
      </c>
      <c r="AG1022" s="42">
        <f>IF($B1022&amp;$C1022&amp;$D1022&amp;$E1022&amp;$H1022="",0,IF(AND(OR(BUSCAR!$J$5="",ISNUMBER(SEARCH(BUSCAR!$J$5,$AI1022))),OR(BUSCAR!$J$6="",ISNUMBER(SEARCH(BUSCAR!$J$6,$AI1022))),OR(BUSCAR!$J$8="",ISNUMBER(SEARCH(BUSCAR!$J$8,$AI1022))),OR(BUSCAR!$J$9="",ISNUMBER(SEARCH(BUSCAR!$J$9,$AI1022))),OR(NOT(BUSCAR!$J$2),AND(ISNUMBER($AF1022),$AF1022&gt;=BUSCAR!$J$3,$AF1022&lt;=BUSCAR!$J$4))),1,0))</f>
      </c>
      <c r="AH1022" s="42">
        <f t="shared" si="45"/>
      </c>
      <c r="AI1022" s="42">
        <f t="shared" si="46"/>
      </c>
    </row>
    <row r="1023" spans="1:35" x14ac:dyDescent="0.2">
      <c r="A1023" s="66">
        <f t="shared" si="47"/>
      </c>
      <c r="B1023" s="4"/>
      <c r="C1023" s="4"/>
      <c r="D1023" s="4"/>
      <c r="E1023" s="4"/>
      <c r="F1023" s="24"/>
      <c r="G1023" s="8"/>
      <c r="H1023" s="9"/>
      <c r="I1023" s="8"/>
      <c r="J1023" s="10"/>
      <c r="K1023" s="8"/>
      <c r="L1023" s="8"/>
      <c r="M1023" s="8"/>
      <c r="N1023" s="11"/>
      <c r="O1023" s="9"/>
      <c r="P1023" s="12"/>
      <c r="Q1023" s="9"/>
      <c r="R1023" s="13"/>
      <c r="S1023" s="11"/>
      <c r="T1023" s="11"/>
      <c r="U1023" s="9"/>
      <c r="V1023" s="9"/>
      <c r="W1023" s="9"/>
      <c r="X1023" s="16"/>
      <c r="AF1023" s="42">
        <f>IF(BUSCAR!$C$8="FECHA NAC.",$G1023,IF(BUSCAR!$C$8="PASAPORTE EXPIRA",$J1023,IF(BUSCAR!$C$8="LICENCIA EMISION",$L1023,IF(BUSCAR!$C$8="LICENCIA EXPIRA",$M1023,""))))</f>
      </c>
      <c r="AG1023" s="42">
        <f>IF($B1023&amp;$C1023&amp;$D1023&amp;$E1023&amp;$H1023="",0,IF(AND(OR(BUSCAR!$J$5="",ISNUMBER(SEARCH(BUSCAR!$J$5,$AI1023))),OR(BUSCAR!$J$6="",ISNUMBER(SEARCH(BUSCAR!$J$6,$AI1023))),OR(BUSCAR!$J$8="",ISNUMBER(SEARCH(BUSCAR!$J$8,$AI1023))),OR(BUSCAR!$J$9="",ISNUMBER(SEARCH(BUSCAR!$J$9,$AI1023))),OR(NOT(BUSCAR!$J$2),AND(ISNUMBER($AF1023),$AF1023&gt;=BUSCAR!$J$3,$AF1023&lt;=BUSCAR!$J$4))),1,0))</f>
      </c>
      <c r="AH1023" s="42">
        <f t="shared" si="45"/>
      </c>
      <c r="AI1023" s="42">
        <f t="shared" si="46"/>
      </c>
    </row>
    <row r="1024" spans="1:35" x14ac:dyDescent="0.2">
      <c r="A1024" s="66">
        <f t="shared" si="47"/>
      </c>
      <c r="B1024" s="4"/>
      <c r="C1024" s="4"/>
      <c r="D1024" s="4"/>
      <c r="E1024" s="4"/>
      <c r="F1024" s="24"/>
      <c r="G1024" s="8"/>
      <c r="H1024" s="9"/>
      <c r="I1024" s="8"/>
      <c r="J1024" s="10"/>
      <c r="K1024" s="8"/>
      <c r="L1024" s="8"/>
      <c r="M1024" s="8"/>
      <c r="N1024" s="11"/>
      <c r="O1024" s="9"/>
      <c r="P1024" s="12"/>
      <c r="Q1024" s="9"/>
      <c r="R1024" s="13"/>
      <c r="S1024" s="11"/>
      <c r="T1024" s="11"/>
      <c r="U1024" s="9"/>
      <c r="V1024" s="9"/>
      <c r="W1024" s="9"/>
      <c r="X1024" s="16"/>
      <c r="AF1024" s="42">
        <f>IF(BUSCAR!$C$8="FECHA NAC.",$G1024,IF(BUSCAR!$C$8="PASAPORTE EXPIRA",$J1024,IF(BUSCAR!$C$8="LICENCIA EMISION",$L1024,IF(BUSCAR!$C$8="LICENCIA EXPIRA",$M1024,""))))</f>
      </c>
      <c r="AG1024" s="42">
        <f>IF($B1024&amp;$C1024&amp;$D1024&amp;$E1024&amp;$H1024="",0,IF(AND(OR(BUSCAR!$J$5="",ISNUMBER(SEARCH(BUSCAR!$J$5,$AI1024))),OR(BUSCAR!$J$6="",ISNUMBER(SEARCH(BUSCAR!$J$6,$AI1024))),OR(BUSCAR!$J$8="",ISNUMBER(SEARCH(BUSCAR!$J$8,$AI1024))),OR(BUSCAR!$J$9="",ISNUMBER(SEARCH(BUSCAR!$J$9,$AI1024))),OR(NOT(BUSCAR!$J$2),AND(ISNUMBER($AF1024),$AF1024&gt;=BUSCAR!$J$3,$AF1024&lt;=BUSCAR!$J$4))),1,0))</f>
      </c>
      <c r="AH1024" s="42">
        <f t="shared" si="45"/>
      </c>
      <c r="AI1024" s="42">
        <f t="shared" si="46"/>
      </c>
    </row>
    <row r="1025" spans="1:35" x14ac:dyDescent="0.2">
      <c r="A1025" s="66">
        <f t="shared" si="47"/>
      </c>
      <c r="B1025" s="4"/>
      <c r="C1025" s="4"/>
      <c r="D1025" s="4"/>
      <c r="E1025" s="4"/>
      <c r="F1025" s="24"/>
      <c r="G1025" s="8"/>
      <c r="H1025" s="9"/>
      <c r="I1025" s="8"/>
      <c r="J1025" s="10"/>
      <c r="K1025" s="8"/>
      <c r="L1025" s="8"/>
      <c r="M1025" s="8"/>
      <c r="N1025" s="11"/>
      <c r="O1025" s="9"/>
      <c r="P1025" s="12"/>
      <c r="Q1025" s="9"/>
      <c r="R1025" s="13"/>
      <c r="S1025" s="11"/>
      <c r="T1025" s="11"/>
      <c r="U1025" s="9"/>
      <c r="V1025" s="9"/>
      <c r="W1025" s="9"/>
      <c r="X1025" s="16"/>
      <c r="AF1025" s="42">
        <f>IF(BUSCAR!$C$8="FECHA NAC.",$G1025,IF(BUSCAR!$C$8="PASAPORTE EXPIRA",$J1025,IF(BUSCAR!$C$8="LICENCIA EMISION",$L1025,IF(BUSCAR!$C$8="LICENCIA EXPIRA",$M1025,""))))</f>
      </c>
      <c r="AG1025" s="42">
        <f>IF($B1025&amp;$C1025&amp;$D1025&amp;$E1025&amp;$H1025="",0,IF(AND(OR(BUSCAR!$J$5="",ISNUMBER(SEARCH(BUSCAR!$J$5,$AI1025))),OR(BUSCAR!$J$6="",ISNUMBER(SEARCH(BUSCAR!$J$6,$AI1025))),OR(BUSCAR!$J$8="",ISNUMBER(SEARCH(BUSCAR!$J$8,$AI1025))),OR(BUSCAR!$J$9="",ISNUMBER(SEARCH(BUSCAR!$J$9,$AI1025))),OR(NOT(BUSCAR!$J$2),AND(ISNUMBER($AF1025),$AF1025&gt;=BUSCAR!$J$3,$AF1025&lt;=BUSCAR!$J$4))),1,0))</f>
      </c>
      <c r="AH1025" s="42">
        <f t="shared" si="45"/>
      </c>
      <c r="AI1025" s="42">
        <f t="shared" si="46"/>
      </c>
    </row>
    <row r="1026" spans="1:35" x14ac:dyDescent="0.2">
      <c r="A1026" s="66">
        <f t="shared" si="47"/>
      </c>
      <c r="B1026" s="4"/>
      <c r="C1026" s="4"/>
      <c r="D1026" s="4"/>
      <c r="E1026" s="4"/>
      <c r="F1026" s="24"/>
      <c r="G1026" s="8"/>
      <c r="H1026" s="9"/>
      <c r="I1026" s="8"/>
      <c r="J1026" s="10"/>
      <c r="K1026" s="8"/>
      <c r="L1026" s="8"/>
      <c r="M1026" s="8"/>
      <c r="N1026" s="11"/>
      <c r="O1026" s="9"/>
      <c r="P1026" s="12"/>
      <c r="Q1026" s="9"/>
      <c r="R1026" s="13"/>
      <c r="S1026" s="11"/>
      <c r="T1026" s="11"/>
      <c r="U1026" s="9"/>
      <c r="V1026" s="9"/>
      <c r="W1026" s="9"/>
      <c r="X1026" s="16"/>
      <c r="AF1026" s="42">
        <f>IF(BUSCAR!$C$8="FECHA NAC.",$G1026,IF(BUSCAR!$C$8="PASAPORTE EXPIRA",$J1026,IF(BUSCAR!$C$8="LICENCIA EMISION",$L1026,IF(BUSCAR!$C$8="LICENCIA EXPIRA",$M1026,""))))</f>
      </c>
      <c r="AG1026" s="42">
        <f>IF($B1026&amp;$C1026&amp;$D1026&amp;$E1026&amp;$H1026="",0,IF(AND(OR(BUSCAR!$J$5="",ISNUMBER(SEARCH(BUSCAR!$J$5,$AI1026))),OR(BUSCAR!$J$6="",ISNUMBER(SEARCH(BUSCAR!$J$6,$AI1026))),OR(BUSCAR!$J$8="",ISNUMBER(SEARCH(BUSCAR!$J$8,$AI1026))),OR(BUSCAR!$J$9="",ISNUMBER(SEARCH(BUSCAR!$J$9,$AI1026))),OR(NOT(BUSCAR!$J$2),AND(ISNUMBER($AF1026),$AF1026&gt;=BUSCAR!$J$3,$AF1026&lt;=BUSCAR!$J$4))),1,0))</f>
      </c>
      <c r="AH1026" s="42">
        <f t="shared" si="45"/>
      </c>
      <c r="AI1026" s="42">
        <f t="shared" si="46"/>
      </c>
    </row>
    <row r="1027" spans="1:35" x14ac:dyDescent="0.2">
      <c r="A1027" s="66">
        <f t="shared" si="47"/>
      </c>
      <c r="B1027" s="4"/>
      <c r="C1027" s="4"/>
      <c r="D1027" s="4"/>
      <c r="E1027" s="4"/>
      <c r="F1027" s="24"/>
      <c r="G1027" s="8"/>
      <c r="H1027" s="9"/>
      <c r="I1027" s="8"/>
      <c r="J1027" s="10"/>
      <c r="K1027" s="8"/>
      <c r="L1027" s="8"/>
      <c r="M1027" s="8"/>
      <c r="N1027" s="11"/>
      <c r="O1027" s="9"/>
      <c r="P1027" s="12"/>
      <c r="Q1027" s="9"/>
      <c r="R1027" s="13"/>
      <c r="S1027" s="11"/>
      <c r="T1027" s="11"/>
      <c r="U1027" s="9"/>
      <c r="V1027" s="9"/>
      <c r="W1027" s="9"/>
      <c r="X1027" s="16"/>
      <c r="AF1027" s="42">
        <f>IF(BUSCAR!$C$8="FECHA NAC.",$G1027,IF(BUSCAR!$C$8="PASAPORTE EXPIRA",$J1027,IF(BUSCAR!$C$8="LICENCIA EMISION",$L1027,IF(BUSCAR!$C$8="LICENCIA EXPIRA",$M1027,""))))</f>
      </c>
      <c r="AG1027" s="42">
        <f>IF($B1027&amp;$C1027&amp;$D1027&amp;$E1027&amp;$H1027="",0,IF(AND(OR(BUSCAR!$J$5="",ISNUMBER(SEARCH(BUSCAR!$J$5,$AI1027))),OR(BUSCAR!$J$6="",ISNUMBER(SEARCH(BUSCAR!$J$6,$AI1027))),OR(BUSCAR!$J$8="",ISNUMBER(SEARCH(BUSCAR!$J$8,$AI1027))),OR(BUSCAR!$J$9="",ISNUMBER(SEARCH(BUSCAR!$J$9,$AI1027))),OR(NOT(BUSCAR!$J$2),AND(ISNUMBER($AF1027),$AF1027&gt;=BUSCAR!$J$3,$AF1027&lt;=BUSCAR!$J$4))),1,0))</f>
      </c>
      <c r="AH1027" s="42">
        <f t="shared" ref="AH1027:AH1090" si="48">AH1026+AG1027</f>
      </c>
      <c r="AI1027" s="42">
        <f t="shared" ref="AI1027:AI1090" si="49">IF($B1027&amp;" "&amp;$C1027&amp;" "&amp;$D1027&amp;" "&amp;$E1027&amp;" "&amp;$H1027&amp;" "&amp;$K1027&amp;" "&amp;$R1027&amp;" "&amp;$AC1027&amp;" "&amp;$AD1027="","",SUBSTITUTE(SUBSTITUTE(SUBSTITUTE(SUBSTITUTE(SUBSTITUTE(SUBSTITUTE(SUBSTITUTE(UPPER($B1027&amp;" "&amp;$C1027&amp;" "&amp;$D1027&amp;" "&amp;$E1027&amp;" "&amp;$H1027&amp;" "&amp;$K1027&amp;" "&amp;$R1027&amp;" "&amp;$AC1027&amp;" "&amp;$AD1027),"Á","A"),"É","E"),"Í","I"),"Ó","O"),"Ú","U"),"Ü","U"),"Ñ","N"))</f>
      </c>
    </row>
    <row r="1028" spans="1:35" x14ac:dyDescent="0.2">
      <c r="A1028" s="66">
        <f t="shared" ref="A1028:A1091" si="50">A1027+1</f>
      </c>
      <c r="B1028" s="4"/>
      <c r="C1028" s="4"/>
      <c r="D1028" s="4"/>
      <c r="E1028" s="4"/>
      <c r="F1028" s="24"/>
      <c r="G1028" s="8"/>
      <c r="H1028" s="9"/>
      <c r="I1028" s="8"/>
      <c r="J1028" s="10"/>
      <c r="K1028" s="8"/>
      <c r="L1028" s="8"/>
      <c r="M1028" s="8"/>
      <c r="N1028" s="11"/>
      <c r="O1028" s="9"/>
      <c r="P1028" s="12"/>
      <c r="Q1028" s="9"/>
      <c r="R1028" s="13"/>
      <c r="S1028" s="11"/>
      <c r="T1028" s="11"/>
      <c r="U1028" s="9"/>
      <c r="V1028" s="9"/>
      <c r="W1028" s="9"/>
      <c r="X1028" s="16"/>
      <c r="AF1028" s="42">
        <f>IF(BUSCAR!$C$8="FECHA NAC.",$G1028,IF(BUSCAR!$C$8="PASAPORTE EXPIRA",$J1028,IF(BUSCAR!$C$8="LICENCIA EMISION",$L1028,IF(BUSCAR!$C$8="LICENCIA EXPIRA",$M1028,""))))</f>
      </c>
      <c r="AG1028" s="42">
        <f>IF($B1028&amp;$C1028&amp;$D1028&amp;$E1028&amp;$H1028="",0,IF(AND(OR(BUSCAR!$J$5="",ISNUMBER(SEARCH(BUSCAR!$J$5,$AI1028))),OR(BUSCAR!$J$6="",ISNUMBER(SEARCH(BUSCAR!$J$6,$AI1028))),OR(BUSCAR!$J$8="",ISNUMBER(SEARCH(BUSCAR!$J$8,$AI1028))),OR(BUSCAR!$J$9="",ISNUMBER(SEARCH(BUSCAR!$J$9,$AI1028))),OR(NOT(BUSCAR!$J$2),AND(ISNUMBER($AF1028),$AF1028&gt;=BUSCAR!$J$3,$AF1028&lt;=BUSCAR!$J$4))),1,0))</f>
      </c>
      <c r="AH1028" s="42">
        <f t="shared" si="48"/>
      </c>
      <c r="AI1028" s="42">
        <f t="shared" si="49"/>
      </c>
    </row>
    <row r="1029" spans="1:35" x14ac:dyDescent="0.2">
      <c r="A1029" s="66">
        <f t="shared" si="50"/>
      </c>
      <c r="B1029" s="4"/>
      <c r="C1029" s="4"/>
      <c r="D1029" s="4"/>
      <c r="E1029" s="4"/>
      <c r="F1029" s="24"/>
      <c r="G1029" s="8"/>
      <c r="H1029" s="9"/>
      <c r="I1029" s="8"/>
      <c r="J1029" s="10"/>
      <c r="K1029" s="8"/>
      <c r="L1029" s="8"/>
      <c r="M1029" s="8"/>
      <c r="N1029" s="11"/>
      <c r="O1029" s="9"/>
      <c r="P1029" s="12"/>
      <c r="Q1029" s="9"/>
      <c r="R1029" s="13"/>
      <c r="S1029" s="11"/>
      <c r="T1029" s="11"/>
      <c r="U1029" s="9"/>
      <c r="V1029" s="9"/>
      <c r="W1029" s="9"/>
      <c r="X1029" s="16"/>
      <c r="AF1029" s="42">
        <f>IF(BUSCAR!$C$8="FECHA NAC.",$G1029,IF(BUSCAR!$C$8="PASAPORTE EXPIRA",$J1029,IF(BUSCAR!$C$8="LICENCIA EMISION",$L1029,IF(BUSCAR!$C$8="LICENCIA EXPIRA",$M1029,""))))</f>
      </c>
      <c r="AG1029" s="42">
        <f>IF($B1029&amp;$C1029&amp;$D1029&amp;$E1029&amp;$H1029="",0,IF(AND(OR(BUSCAR!$J$5="",ISNUMBER(SEARCH(BUSCAR!$J$5,$AI1029))),OR(BUSCAR!$J$6="",ISNUMBER(SEARCH(BUSCAR!$J$6,$AI1029))),OR(BUSCAR!$J$8="",ISNUMBER(SEARCH(BUSCAR!$J$8,$AI1029))),OR(BUSCAR!$J$9="",ISNUMBER(SEARCH(BUSCAR!$J$9,$AI1029))),OR(NOT(BUSCAR!$J$2),AND(ISNUMBER($AF1029),$AF1029&gt;=BUSCAR!$J$3,$AF1029&lt;=BUSCAR!$J$4))),1,0))</f>
      </c>
      <c r="AH1029" s="42">
        <f t="shared" si="48"/>
      </c>
      <c r="AI1029" s="42">
        <f t="shared" si="49"/>
      </c>
    </row>
    <row r="1030" spans="1:35" x14ac:dyDescent="0.2">
      <c r="A1030" s="66">
        <f t="shared" si="50"/>
      </c>
      <c r="B1030" s="4"/>
      <c r="C1030" s="4"/>
      <c r="D1030" s="4"/>
      <c r="E1030" s="4"/>
      <c r="F1030" s="24"/>
      <c r="G1030" s="8"/>
      <c r="H1030" s="9"/>
      <c r="I1030" s="8"/>
      <c r="J1030" s="10"/>
      <c r="K1030" s="8"/>
      <c r="L1030" s="8"/>
      <c r="M1030" s="8"/>
      <c r="N1030" s="11"/>
      <c r="O1030" s="9"/>
      <c r="P1030" s="12"/>
      <c r="Q1030" s="9"/>
      <c r="R1030" s="13"/>
      <c r="S1030" s="11"/>
      <c r="T1030" s="11"/>
      <c r="U1030" s="9"/>
      <c r="V1030" s="9"/>
      <c r="W1030" s="9"/>
      <c r="X1030" s="16"/>
      <c r="AF1030" s="42">
        <f>IF(BUSCAR!$C$8="FECHA NAC.",$G1030,IF(BUSCAR!$C$8="PASAPORTE EXPIRA",$J1030,IF(BUSCAR!$C$8="LICENCIA EMISION",$L1030,IF(BUSCAR!$C$8="LICENCIA EXPIRA",$M1030,""))))</f>
      </c>
      <c r="AG1030" s="42">
        <f>IF($B1030&amp;$C1030&amp;$D1030&amp;$E1030&amp;$H1030="",0,IF(AND(OR(BUSCAR!$J$5="",ISNUMBER(SEARCH(BUSCAR!$J$5,$AI1030))),OR(BUSCAR!$J$6="",ISNUMBER(SEARCH(BUSCAR!$J$6,$AI1030))),OR(BUSCAR!$J$8="",ISNUMBER(SEARCH(BUSCAR!$J$8,$AI1030))),OR(BUSCAR!$J$9="",ISNUMBER(SEARCH(BUSCAR!$J$9,$AI1030))),OR(NOT(BUSCAR!$J$2),AND(ISNUMBER($AF1030),$AF1030&gt;=BUSCAR!$J$3,$AF1030&lt;=BUSCAR!$J$4))),1,0))</f>
      </c>
      <c r="AH1030" s="42">
        <f t="shared" si="48"/>
      </c>
      <c r="AI1030" s="42">
        <f t="shared" si="49"/>
      </c>
    </row>
    <row r="1031" spans="1:35" x14ac:dyDescent="0.2">
      <c r="A1031" s="66">
        <f t="shared" si="50"/>
      </c>
      <c r="B1031" s="4"/>
      <c r="C1031" s="4"/>
      <c r="D1031" s="4"/>
      <c r="E1031" s="4"/>
      <c r="F1031" s="24"/>
      <c r="G1031" s="8"/>
      <c r="H1031" s="9"/>
      <c r="I1031" s="8"/>
      <c r="J1031" s="10"/>
      <c r="K1031" s="8"/>
      <c r="L1031" s="8"/>
      <c r="M1031" s="8"/>
      <c r="N1031" s="11"/>
      <c r="O1031" s="9"/>
      <c r="P1031" s="12"/>
      <c r="Q1031" s="9"/>
      <c r="R1031" s="13"/>
      <c r="S1031" s="11"/>
      <c r="T1031" s="11"/>
      <c r="U1031" s="9"/>
      <c r="V1031" s="9"/>
      <c r="W1031" s="9"/>
      <c r="X1031" s="16"/>
      <c r="AF1031" s="42">
        <f>IF(BUSCAR!$C$8="FECHA NAC.",$G1031,IF(BUSCAR!$C$8="PASAPORTE EXPIRA",$J1031,IF(BUSCAR!$C$8="LICENCIA EMISION",$L1031,IF(BUSCAR!$C$8="LICENCIA EXPIRA",$M1031,""))))</f>
      </c>
      <c r="AG1031" s="42">
        <f>IF($B1031&amp;$C1031&amp;$D1031&amp;$E1031&amp;$H1031="",0,IF(AND(OR(BUSCAR!$J$5="",ISNUMBER(SEARCH(BUSCAR!$J$5,$AI1031))),OR(BUSCAR!$J$6="",ISNUMBER(SEARCH(BUSCAR!$J$6,$AI1031))),OR(BUSCAR!$J$8="",ISNUMBER(SEARCH(BUSCAR!$J$8,$AI1031))),OR(BUSCAR!$J$9="",ISNUMBER(SEARCH(BUSCAR!$J$9,$AI1031))),OR(NOT(BUSCAR!$J$2),AND(ISNUMBER($AF1031),$AF1031&gt;=BUSCAR!$J$3,$AF1031&lt;=BUSCAR!$J$4))),1,0))</f>
      </c>
      <c r="AH1031" s="42">
        <f t="shared" si="48"/>
      </c>
      <c r="AI1031" s="42">
        <f t="shared" si="49"/>
      </c>
    </row>
    <row r="1032" spans="1:35" x14ac:dyDescent="0.2">
      <c r="A1032" s="66">
        <f t="shared" si="50"/>
      </c>
      <c r="B1032" s="4"/>
      <c r="C1032" s="4"/>
      <c r="D1032" s="4"/>
      <c r="E1032" s="4"/>
      <c r="F1032" s="24"/>
      <c r="G1032" s="8"/>
      <c r="H1032" s="9"/>
      <c r="I1032" s="8"/>
      <c r="J1032" s="10"/>
      <c r="K1032" s="8"/>
      <c r="L1032" s="8"/>
      <c r="M1032" s="8"/>
      <c r="N1032" s="11"/>
      <c r="O1032" s="9"/>
      <c r="P1032" s="12"/>
      <c r="Q1032" s="9"/>
      <c r="R1032" s="13"/>
      <c r="S1032" s="11"/>
      <c r="T1032" s="11"/>
      <c r="U1032" s="9"/>
      <c r="V1032" s="9"/>
      <c r="W1032" s="9"/>
      <c r="X1032" s="16"/>
      <c r="AF1032" s="42">
        <f>IF(BUSCAR!$C$8="FECHA NAC.",$G1032,IF(BUSCAR!$C$8="PASAPORTE EXPIRA",$J1032,IF(BUSCAR!$C$8="LICENCIA EMISION",$L1032,IF(BUSCAR!$C$8="LICENCIA EXPIRA",$M1032,""))))</f>
      </c>
      <c r="AG1032" s="42">
        <f>IF($B1032&amp;$C1032&amp;$D1032&amp;$E1032&amp;$H1032="",0,IF(AND(OR(BUSCAR!$J$5="",ISNUMBER(SEARCH(BUSCAR!$J$5,$AI1032))),OR(BUSCAR!$J$6="",ISNUMBER(SEARCH(BUSCAR!$J$6,$AI1032))),OR(BUSCAR!$J$8="",ISNUMBER(SEARCH(BUSCAR!$J$8,$AI1032))),OR(BUSCAR!$J$9="",ISNUMBER(SEARCH(BUSCAR!$J$9,$AI1032))),OR(NOT(BUSCAR!$J$2),AND(ISNUMBER($AF1032),$AF1032&gt;=BUSCAR!$J$3,$AF1032&lt;=BUSCAR!$J$4))),1,0))</f>
      </c>
      <c r="AH1032" s="42">
        <f t="shared" si="48"/>
      </c>
      <c r="AI1032" s="42">
        <f t="shared" si="49"/>
      </c>
    </row>
    <row r="1033" spans="1:35" x14ac:dyDescent="0.2">
      <c r="A1033" s="66">
        <f t="shared" si="50"/>
      </c>
      <c r="B1033" s="4"/>
      <c r="C1033" s="4"/>
      <c r="D1033" s="4"/>
      <c r="E1033" s="4"/>
      <c r="F1033" s="24"/>
      <c r="G1033" s="8"/>
      <c r="H1033" s="9"/>
      <c r="I1033" s="8"/>
      <c r="J1033" s="10"/>
      <c r="K1033" s="8"/>
      <c r="L1033" s="8"/>
      <c r="M1033" s="8"/>
      <c r="N1033" s="11"/>
      <c r="O1033" s="9"/>
      <c r="P1033" s="12"/>
      <c r="Q1033" s="9"/>
      <c r="R1033" s="13"/>
      <c r="S1033" s="11"/>
      <c r="T1033" s="11"/>
      <c r="U1033" s="9"/>
      <c r="V1033" s="9"/>
      <c r="W1033" s="9"/>
      <c r="X1033" s="16"/>
      <c r="AF1033" s="42">
        <f>IF(BUSCAR!$C$8="FECHA NAC.",$G1033,IF(BUSCAR!$C$8="PASAPORTE EXPIRA",$J1033,IF(BUSCAR!$C$8="LICENCIA EMISION",$L1033,IF(BUSCAR!$C$8="LICENCIA EXPIRA",$M1033,""))))</f>
      </c>
      <c r="AG1033" s="42">
        <f>IF($B1033&amp;$C1033&amp;$D1033&amp;$E1033&amp;$H1033="",0,IF(AND(OR(BUSCAR!$J$5="",ISNUMBER(SEARCH(BUSCAR!$J$5,$AI1033))),OR(BUSCAR!$J$6="",ISNUMBER(SEARCH(BUSCAR!$J$6,$AI1033))),OR(BUSCAR!$J$8="",ISNUMBER(SEARCH(BUSCAR!$J$8,$AI1033))),OR(BUSCAR!$J$9="",ISNUMBER(SEARCH(BUSCAR!$J$9,$AI1033))),OR(NOT(BUSCAR!$J$2),AND(ISNUMBER($AF1033),$AF1033&gt;=BUSCAR!$J$3,$AF1033&lt;=BUSCAR!$J$4))),1,0))</f>
      </c>
      <c r="AH1033" s="42">
        <f t="shared" si="48"/>
      </c>
      <c r="AI1033" s="42">
        <f t="shared" si="49"/>
      </c>
    </row>
    <row r="1034" spans="1:35" x14ac:dyDescent="0.2">
      <c r="A1034" s="66">
        <f t="shared" si="50"/>
      </c>
      <c r="B1034" s="4"/>
      <c r="C1034" s="4"/>
      <c r="D1034" s="4"/>
      <c r="E1034" s="4"/>
      <c r="F1034" s="24"/>
      <c r="G1034" s="8"/>
      <c r="H1034" s="9"/>
      <c r="I1034" s="8"/>
      <c r="J1034" s="10"/>
      <c r="K1034" s="8"/>
      <c r="L1034" s="8"/>
      <c r="M1034" s="8"/>
      <c r="N1034" s="11"/>
      <c r="O1034" s="9"/>
      <c r="P1034" s="12"/>
      <c r="Q1034" s="9"/>
      <c r="R1034" s="13"/>
      <c r="S1034" s="11"/>
      <c r="T1034" s="11"/>
      <c r="U1034" s="9"/>
      <c r="V1034" s="9"/>
      <c r="W1034" s="9"/>
      <c r="X1034" s="16"/>
      <c r="AF1034" s="42">
        <f>IF(BUSCAR!$C$8="FECHA NAC.",$G1034,IF(BUSCAR!$C$8="PASAPORTE EXPIRA",$J1034,IF(BUSCAR!$C$8="LICENCIA EMISION",$L1034,IF(BUSCAR!$C$8="LICENCIA EXPIRA",$M1034,""))))</f>
      </c>
      <c r="AG1034" s="42">
        <f>IF($B1034&amp;$C1034&amp;$D1034&amp;$E1034&amp;$H1034="",0,IF(AND(OR(BUSCAR!$J$5="",ISNUMBER(SEARCH(BUSCAR!$J$5,$AI1034))),OR(BUSCAR!$J$6="",ISNUMBER(SEARCH(BUSCAR!$J$6,$AI1034))),OR(BUSCAR!$J$8="",ISNUMBER(SEARCH(BUSCAR!$J$8,$AI1034))),OR(BUSCAR!$J$9="",ISNUMBER(SEARCH(BUSCAR!$J$9,$AI1034))),OR(NOT(BUSCAR!$J$2),AND(ISNUMBER($AF1034),$AF1034&gt;=BUSCAR!$J$3,$AF1034&lt;=BUSCAR!$J$4))),1,0))</f>
      </c>
      <c r="AH1034" s="42">
        <f t="shared" si="48"/>
      </c>
      <c r="AI1034" s="42">
        <f t="shared" si="49"/>
      </c>
    </row>
    <row r="1035" spans="1:35" x14ac:dyDescent="0.2">
      <c r="A1035" s="66">
        <f t="shared" si="50"/>
      </c>
      <c r="B1035" s="4"/>
      <c r="C1035" s="4"/>
      <c r="D1035" s="4"/>
      <c r="E1035" s="4"/>
      <c r="F1035" s="24"/>
      <c r="G1035" s="8"/>
      <c r="H1035" s="9"/>
      <c r="I1035" s="8"/>
      <c r="J1035" s="10"/>
      <c r="K1035" s="8"/>
      <c r="L1035" s="8"/>
      <c r="M1035" s="8"/>
      <c r="N1035" s="11"/>
      <c r="O1035" s="9"/>
      <c r="P1035" s="12"/>
      <c r="Q1035" s="9"/>
      <c r="R1035" s="13"/>
      <c r="S1035" s="11"/>
      <c r="T1035" s="11"/>
      <c r="U1035" s="9"/>
      <c r="V1035" s="9"/>
      <c r="W1035" s="9"/>
      <c r="X1035" s="16"/>
      <c r="AF1035" s="42">
        <f>IF(BUSCAR!$C$8="FECHA NAC.",$G1035,IF(BUSCAR!$C$8="PASAPORTE EXPIRA",$J1035,IF(BUSCAR!$C$8="LICENCIA EMISION",$L1035,IF(BUSCAR!$C$8="LICENCIA EXPIRA",$M1035,""))))</f>
      </c>
      <c r="AG1035" s="42">
        <f>IF($B1035&amp;$C1035&amp;$D1035&amp;$E1035&amp;$H1035="",0,IF(AND(OR(BUSCAR!$J$5="",ISNUMBER(SEARCH(BUSCAR!$J$5,$AI1035))),OR(BUSCAR!$J$6="",ISNUMBER(SEARCH(BUSCAR!$J$6,$AI1035))),OR(BUSCAR!$J$8="",ISNUMBER(SEARCH(BUSCAR!$J$8,$AI1035))),OR(BUSCAR!$J$9="",ISNUMBER(SEARCH(BUSCAR!$J$9,$AI1035))),OR(NOT(BUSCAR!$J$2),AND(ISNUMBER($AF1035),$AF1035&gt;=BUSCAR!$J$3,$AF1035&lt;=BUSCAR!$J$4))),1,0))</f>
      </c>
      <c r="AH1035" s="42">
        <f t="shared" si="48"/>
      </c>
      <c r="AI1035" s="42">
        <f t="shared" si="49"/>
      </c>
    </row>
    <row r="1036" spans="1:35" x14ac:dyDescent="0.2">
      <c r="A1036" s="66">
        <f t="shared" si="50"/>
      </c>
      <c r="B1036" s="4"/>
      <c r="C1036" s="4"/>
      <c r="D1036" s="4"/>
      <c r="E1036" s="4"/>
      <c r="F1036" s="24"/>
      <c r="G1036" s="8"/>
      <c r="H1036" s="9"/>
      <c r="I1036" s="8"/>
      <c r="J1036" s="10"/>
      <c r="K1036" s="8"/>
      <c r="L1036" s="8"/>
      <c r="M1036" s="8"/>
      <c r="N1036" s="11"/>
      <c r="O1036" s="9"/>
      <c r="P1036" s="12"/>
      <c r="Q1036" s="9"/>
      <c r="R1036" s="13"/>
      <c r="S1036" s="11"/>
      <c r="T1036" s="11"/>
      <c r="U1036" s="9"/>
      <c r="V1036" s="9"/>
      <c r="W1036" s="9"/>
      <c r="X1036" s="16"/>
      <c r="AF1036" s="42">
        <f>IF(BUSCAR!$C$8="FECHA NAC.",$G1036,IF(BUSCAR!$C$8="PASAPORTE EXPIRA",$J1036,IF(BUSCAR!$C$8="LICENCIA EMISION",$L1036,IF(BUSCAR!$C$8="LICENCIA EXPIRA",$M1036,""))))</f>
      </c>
      <c r="AG1036" s="42">
        <f>IF($B1036&amp;$C1036&amp;$D1036&amp;$E1036&amp;$H1036="",0,IF(AND(OR(BUSCAR!$J$5="",ISNUMBER(SEARCH(BUSCAR!$J$5,$AI1036))),OR(BUSCAR!$J$6="",ISNUMBER(SEARCH(BUSCAR!$J$6,$AI1036))),OR(BUSCAR!$J$8="",ISNUMBER(SEARCH(BUSCAR!$J$8,$AI1036))),OR(BUSCAR!$J$9="",ISNUMBER(SEARCH(BUSCAR!$J$9,$AI1036))),OR(NOT(BUSCAR!$J$2),AND(ISNUMBER($AF1036),$AF1036&gt;=BUSCAR!$J$3,$AF1036&lt;=BUSCAR!$J$4))),1,0))</f>
      </c>
      <c r="AH1036" s="42">
        <f t="shared" si="48"/>
      </c>
      <c r="AI1036" s="42">
        <f t="shared" si="49"/>
      </c>
    </row>
    <row r="1037" spans="1:35" x14ac:dyDescent="0.2">
      <c r="A1037" s="66">
        <f t="shared" si="50"/>
      </c>
      <c r="B1037" s="4"/>
      <c r="C1037" s="4"/>
      <c r="D1037" s="4"/>
      <c r="E1037" s="4"/>
      <c r="F1037" s="24"/>
      <c r="G1037" s="8"/>
      <c r="H1037" s="9"/>
      <c r="I1037" s="8"/>
      <c r="J1037" s="10"/>
      <c r="K1037" s="8"/>
      <c r="L1037" s="8"/>
      <c r="M1037" s="8"/>
      <c r="N1037" s="11"/>
      <c r="O1037" s="9"/>
      <c r="P1037" s="12"/>
      <c r="Q1037" s="9"/>
      <c r="R1037" s="13"/>
      <c r="S1037" s="11"/>
      <c r="T1037" s="11"/>
      <c r="U1037" s="9"/>
      <c r="V1037" s="9"/>
      <c r="W1037" s="9"/>
      <c r="X1037" s="16"/>
      <c r="AF1037" s="42">
        <f>IF(BUSCAR!$C$8="FECHA NAC.",$G1037,IF(BUSCAR!$C$8="PASAPORTE EXPIRA",$J1037,IF(BUSCAR!$C$8="LICENCIA EMISION",$L1037,IF(BUSCAR!$C$8="LICENCIA EXPIRA",$M1037,""))))</f>
      </c>
      <c r="AG1037" s="42">
        <f>IF($B1037&amp;$C1037&amp;$D1037&amp;$E1037&amp;$H1037="",0,IF(AND(OR(BUSCAR!$J$5="",ISNUMBER(SEARCH(BUSCAR!$J$5,$AI1037))),OR(BUSCAR!$J$6="",ISNUMBER(SEARCH(BUSCAR!$J$6,$AI1037))),OR(BUSCAR!$J$8="",ISNUMBER(SEARCH(BUSCAR!$J$8,$AI1037))),OR(BUSCAR!$J$9="",ISNUMBER(SEARCH(BUSCAR!$J$9,$AI1037))),OR(NOT(BUSCAR!$J$2),AND(ISNUMBER($AF1037),$AF1037&gt;=BUSCAR!$J$3,$AF1037&lt;=BUSCAR!$J$4))),1,0))</f>
      </c>
      <c r="AH1037" s="42">
        <f t="shared" si="48"/>
      </c>
      <c r="AI1037" s="42">
        <f t="shared" si="49"/>
      </c>
    </row>
    <row r="1038" spans="1:35" x14ac:dyDescent="0.2">
      <c r="A1038" s="66">
        <f t="shared" si="50"/>
      </c>
      <c r="B1038" s="4"/>
      <c r="C1038" s="4"/>
      <c r="D1038" s="4"/>
      <c r="E1038" s="4"/>
      <c r="F1038" s="24"/>
      <c r="G1038" s="8"/>
      <c r="H1038" s="9"/>
      <c r="I1038" s="8"/>
      <c r="J1038" s="10"/>
      <c r="K1038" s="8"/>
      <c r="L1038" s="8"/>
      <c r="M1038" s="8"/>
      <c r="N1038" s="11"/>
      <c r="O1038" s="9"/>
      <c r="P1038" s="12"/>
      <c r="Q1038" s="9"/>
      <c r="R1038" s="13"/>
      <c r="S1038" s="11"/>
      <c r="T1038" s="11"/>
      <c r="U1038" s="9"/>
      <c r="V1038" s="9"/>
      <c r="W1038" s="9"/>
      <c r="X1038" s="16"/>
      <c r="AF1038" s="42">
        <f>IF(BUSCAR!$C$8="FECHA NAC.",$G1038,IF(BUSCAR!$C$8="PASAPORTE EXPIRA",$J1038,IF(BUSCAR!$C$8="LICENCIA EMISION",$L1038,IF(BUSCAR!$C$8="LICENCIA EXPIRA",$M1038,""))))</f>
      </c>
      <c r="AG1038" s="42">
        <f>IF($B1038&amp;$C1038&amp;$D1038&amp;$E1038&amp;$H1038="",0,IF(AND(OR(BUSCAR!$J$5="",ISNUMBER(SEARCH(BUSCAR!$J$5,$AI1038))),OR(BUSCAR!$J$6="",ISNUMBER(SEARCH(BUSCAR!$J$6,$AI1038))),OR(BUSCAR!$J$8="",ISNUMBER(SEARCH(BUSCAR!$J$8,$AI1038))),OR(BUSCAR!$J$9="",ISNUMBER(SEARCH(BUSCAR!$J$9,$AI1038))),OR(NOT(BUSCAR!$J$2),AND(ISNUMBER($AF1038),$AF1038&gt;=BUSCAR!$J$3,$AF1038&lt;=BUSCAR!$J$4))),1,0))</f>
      </c>
      <c r="AH1038" s="42">
        <f t="shared" si="48"/>
      </c>
      <c r="AI1038" s="42">
        <f t="shared" si="49"/>
      </c>
    </row>
    <row r="1039" spans="1:35" x14ac:dyDescent="0.2">
      <c r="A1039" s="66">
        <f t="shared" si="50"/>
      </c>
      <c r="B1039" s="4"/>
      <c r="C1039" s="4"/>
      <c r="D1039" s="4"/>
      <c r="E1039" s="4"/>
      <c r="F1039" s="24"/>
      <c r="G1039" s="8"/>
      <c r="H1039" s="9"/>
      <c r="I1039" s="8"/>
      <c r="J1039" s="10"/>
      <c r="K1039" s="8"/>
      <c r="L1039" s="8"/>
      <c r="M1039" s="8"/>
      <c r="N1039" s="11"/>
      <c r="O1039" s="9"/>
      <c r="P1039" s="12"/>
      <c r="Q1039" s="9"/>
      <c r="R1039" s="13"/>
      <c r="S1039" s="11"/>
      <c r="T1039" s="11"/>
      <c r="U1039" s="9"/>
      <c r="V1039" s="9"/>
      <c r="W1039" s="9"/>
      <c r="X1039" s="16"/>
      <c r="AF1039" s="42">
        <f>IF(BUSCAR!$C$8="FECHA NAC.",$G1039,IF(BUSCAR!$C$8="PASAPORTE EXPIRA",$J1039,IF(BUSCAR!$C$8="LICENCIA EMISION",$L1039,IF(BUSCAR!$C$8="LICENCIA EXPIRA",$M1039,""))))</f>
      </c>
      <c r="AG1039" s="42">
        <f>IF($B1039&amp;$C1039&amp;$D1039&amp;$E1039&amp;$H1039="",0,IF(AND(OR(BUSCAR!$J$5="",ISNUMBER(SEARCH(BUSCAR!$J$5,$AI1039))),OR(BUSCAR!$J$6="",ISNUMBER(SEARCH(BUSCAR!$J$6,$AI1039))),OR(BUSCAR!$J$8="",ISNUMBER(SEARCH(BUSCAR!$J$8,$AI1039))),OR(BUSCAR!$J$9="",ISNUMBER(SEARCH(BUSCAR!$J$9,$AI1039))),OR(NOT(BUSCAR!$J$2),AND(ISNUMBER($AF1039),$AF1039&gt;=BUSCAR!$J$3,$AF1039&lt;=BUSCAR!$J$4))),1,0))</f>
      </c>
      <c r="AH1039" s="42">
        <f t="shared" si="48"/>
      </c>
      <c r="AI1039" s="42">
        <f t="shared" si="49"/>
      </c>
    </row>
    <row r="1040" spans="1:35" x14ac:dyDescent="0.2">
      <c r="A1040" s="66">
        <f t="shared" si="50"/>
      </c>
      <c r="B1040" s="4"/>
      <c r="C1040" s="4"/>
      <c r="D1040" s="4"/>
      <c r="E1040" s="4"/>
      <c r="F1040" s="24"/>
      <c r="G1040" s="8"/>
      <c r="H1040" s="9"/>
      <c r="I1040" s="8"/>
      <c r="J1040" s="10"/>
      <c r="K1040" s="8"/>
      <c r="L1040" s="8"/>
      <c r="M1040" s="8"/>
      <c r="N1040" s="11"/>
      <c r="O1040" s="9"/>
      <c r="P1040" s="12"/>
      <c r="Q1040" s="9"/>
      <c r="R1040" s="13"/>
      <c r="S1040" s="11"/>
      <c r="T1040" s="11"/>
      <c r="U1040" s="9"/>
      <c r="V1040" s="9"/>
      <c r="W1040" s="9"/>
      <c r="X1040" s="16"/>
      <c r="AF1040" s="42">
        <f>IF(BUSCAR!$C$8="FECHA NAC.",$G1040,IF(BUSCAR!$C$8="PASAPORTE EXPIRA",$J1040,IF(BUSCAR!$C$8="LICENCIA EMISION",$L1040,IF(BUSCAR!$C$8="LICENCIA EXPIRA",$M1040,""))))</f>
      </c>
      <c r="AG1040" s="42">
        <f>IF($B1040&amp;$C1040&amp;$D1040&amp;$E1040&amp;$H1040="",0,IF(AND(OR(BUSCAR!$J$5="",ISNUMBER(SEARCH(BUSCAR!$J$5,$AI1040))),OR(BUSCAR!$J$6="",ISNUMBER(SEARCH(BUSCAR!$J$6,$AI1040))),OR(BUSCAR!$J$8="",ISNUMBER(SEARCH(BUSCAR!$J$8,$AI1040))),OR(BUSCAR!$J$9="",ISNUMBER(SEARCH(BUSCAR!$J$9,$AI1040))),OR(NOT(BUSCAR!$J$2),AND(ISNUMBER($AF1040),$AF1040&gt;=BUSCAR!$J$3,$AF1040&lt;=BUSCAR!$J$4))),1,0))</f>
      </c>
      <c r="AH1040" s="42">
        <f t="shared" si="48"/>
      </c>
      <c r="AI1040" s="42">
        <f t="shared" si="49"/>
      </c>
    </row>
    <row r="1041" spans="1:35" x14ac:dyDescent="0.2">
      <c r="A1041" s="66">
        <f t="shared" si="50"/>
      </c>
      <c r="B1041" s="4"/>
      <c r="C1041" s="4"/>
      <c r="D1041" s="4"/>
      <c r="E1041" s="4"/>
      <c r="F1041" s="24"/>
      <c r="G1041" s="8"/>
      <c r="H1041" s="9"/>
      <c r="I1041" s="8"/>
      <c r="J1041" s="10"/>
      <c r="K1041" s="8"/>
      <c r="L1041" s="8"/>
      <c r="M1041" s="8"/>
      <c r="N1041" s="11"/>
      <c r="O1041" s="9"/>
      <c r="P1041" s="12"/>
      <c r="Q1041" s="9"/>
      <c r="R1041" s="13"/>
      <c r="S1041" s="11"/>
      <c r="T1041" s="11"/>
      <c r="U1041" s="9"/>
      <c r="V1041" s="9"/>
      <c r="W1041" s="9"/>
      <c r="X1041" s="16"/>
      <c r="AF1041" s="42">
        <f>IF(BUSCAR!$C$8="FECHA NAC.",$G1041,IF(BUSCAR!$C$8="PASAPORTE EXPIRA",$J1041,IF(BUSCAR!$C$8="LICENCIA EMISION",$L1041,IF(BUSCAR!$C$8="LICENCIA EXPIRA",$M1041,""))))</f>
      </c>
      <c r="AG1041" s="42">
        <f>IF($B1041&amp;$C1041&amp;$D1041&amp;$E1041&amp;$H1041="",0,IF(AND(OR(BUSCAR!$J$5="",ISNUMBER(SEARCH(BUSCAR!$J$5,$AI1041))),OR(BUSCAR!$J$6="",ISNUMBER(SEARCH(BUSCAR!$J$6,$AI1041))),OR(BUSCAR!$J$8="",ISNUMBER(SEARCH(BUSCAR!$J$8,$AI1041))),OR(BUSCAR!$J$9="",ISNUMBER(SEARCH(BUSCAR!$J$9,$AI1041))),OR(NOT(BUSCAR!$J$2),AND(ISNUMBER($AF1041),$AF1041&gt;=BUSCAR!$J$3,$AF1041&lt;=BUSCAR!$J$4))),1,0))</f>
      </c>
      <c r="AH1041" s="42">
        <f t="shared" si="48"/>
      </c>
      <c r="AI1041" s="42">
        <f t="shared" si="49"/>
      </c>
    </row>
    <row r="1042" spans="1:35" x14ac:dyDescent="0.2">
      <c r="A1042" s="66">
        <f t="shared" si="50"/>
      </c>
      <c r="B1042" s="4"/>
      <c r="C1042" s="4"/>
      <c r="D1042" s="4"/>
      <c r="E1042" s="4"/>
      <c r="F1042" s="24"/>
      <c r="G1042" s="8"/>
      <c r="H1042" s="9"/>
      <c r="I1042" s="8"/>
      <c r="J1042" s="10"/>
      <c r="K1042" s="8"/>
      <c r="L1042" s="8"/>
      <c r="M1042" s="8"/>
      <c r="N1042" s="11"/>
      <c r="O1042" s="9"/>
      <c r="P1042" s="12"/>
      <c r="Q1042" s="9"/>
      <c r="R1042" s="13"/>
      <c r="S1042" s="11"/>
      <c r="T1042" s="11"/>
      <c r="U1042" s="9"/>
      <c r="V1042" s="9"/>
      <c r="W1042" s="9"/>
      <c r="X1042" s="16"/>
      <c r="AF1042" s="42">
        <f>IF(BUSCAR!$C$8="FECHA NAC.",$G1042,IF(BUSCAR!$C$8="PASAPORTE EXPIRA",$J1042,IF(BUSCAR!$C$8="LICENCIA EMISION",$L1042,IF(BUSCAR!$C$8="LICENCIA EXPIRA",$M1042,""))))</f>
      </c>
      <c r="AG1042" s="42">
        <f>IF($B1042&amp;$C1042&amp;$D1042&amp;$E1042&amp;$H1042="",0,IF(AND(OR(BUSCAR!$J$5="",ISNUMBER(SEARCH(BUSCAR!$J$5,$AI1042))),OR(BUSCAR!$J$6="",ISNUMBER(SEARCH(BUSCAR!$J$6,$AI1042))),OR(BUSCAR!$J$8="",ISNUMBER(SEARCH(BUSCAR!$J$8,$AI1042))),OR(BUSCAR!$J$9="",ISNUMBER(SEARCH(BUSCAR!$J$9,$AI1042))),OR(NOT(BUSCAR!$J$2),AND(ISNUMBER($AF1042),$AF1042&gt;=BUSCAR!$J$3,$AF1042&lt;=BUSCAR!$J$4))),1,0))</f>
      </c>
      <c r="AH1042" s="42">
        <f t="shared" si="48"/>
      </c>
      <c r="AI1042" s="42">
        <f t="shared" si="49"/>
      </c>
    </row>
    <row r="1043" spans="1:35" x14ac:dyDescent="0.2">
      <c r="A1043" s="66">
        <f t="shared" si="50"/>
      </c>
      <c r="B1043" s="4"/>
      <c r="C1043" s="4"/>
      <c r="D1043" s="4"/>
      <c r="E1043" s="4"/>
      <c r="F1043" s="24"/>
      <c r="G1043" s="8"/>
      <c r="H1043" s="9"/>
      <c r="I1043" s="8"/>
      <c r="J1043" s="10"/>
      <c r="K1043" s="8"/>
      <c r="L1043" s="8"/>
      <c r="M1043" s="8"/>
      <c r="N1043" s="11"/>
      <c r="O1043" s="9"/>
      <c r="P1043" s="12"/>
      <c r="Q1043" s="9"/>
      <c r="R1043" s="13"/>
      <c r="S1043" s="11"/>
      <c r="T1043" s="11"/>
      <c r="U1043" s="9"/>
      <c r="V1043" s="9"/>
      <c r="W1043" s="9"/>
      <c r="X1043" s="16"/>
      <c r="AF1043" s="42">
        <f>IF(BUSCAR!$C$8="FECHA NAC.",$G1043,IF(BUSCAR!$C$8="PASAPORTE EXPIRA",$J1043,IF(BUSCAR!$C$8="LICENCIA EMISION",$L1043,IF(BUSCAR!$C$8="LICENCIA EXPIRA",$M1043,""))))</f>
      </c>
      <c r="AG1043" s="42">
        <f>IF($B1043&amp;$C1043&amp;$D1043&amp;$E1043&amp;$H1043="",0,IF(AND(OR(BUSCAR!$J$5="",ISNUMBER(SEARCH(BUSCAR!$J$5,$AI1043))),OR(BUSCAR!$J$6="",ISNUMBER(SEARCH(BUSCAR!$J$6,$AI1043))),OR(BUSCAR!$J$8="",ISNUMBER(SEARCH(BUSCAR!$J$8,$AI1043))),OR(BUSCAR!$J$9="",ISNUMBER(SEARCH(BUSCAR!$J$9,$AI1043))),OR(NOT(BUSCAR!$J$2),AND(ISNUMBER($AF1043),$AF1043&gt;=BUSCAR!$J$3,$AF1043&lt;=BUSCAR!$J$4))),1,0))</f>
      </c>
      <c r="AH1043" s="42">
        <f t="shared" si="48"/>
      </c>
      <c r="AI1043" s="42">
        <f t="shared" si="49"/>
      </c>
    </row>
    <row r="1044" spans="1:35" x14ac:dyDescent="0.2">
      <c r="A1044" s="66">
        <f t="shared" si="50"/>
      </c>
      <c r="B1044" s="4"/>
      <c r="C1044" s="4"/>
      <c r="D1044" s="4"/>
      <c r="E1044" s="4"/>
      <c r="F1044" s="24"/>
      <c r="G1044" s="8"/>
      <c r="H1044" s="9"/>
      <c r="I1044" s="8"/>
      <c r="J1044" s="10"/>
      <c r="K1044" s="8"/>
      <c r="L1044" s="8"/>
      <c r="M1044" s="8"/>
      <c r="N1044" s="11"/>
      <c r="O1044" s="9"/>
      <c r="P1044" s="12"/>
      <c r="Q1044" s="9"/>
      <c r="R1044" s="13"/>
      <c r="S1044" s="11"/>
      <c r="T1044" s="11"/>
      <c r="U1044" s="9"/>
      <c r="V1044" s="9"/>
      <c r="W1044" s="9"/>
      <c r="X1044" s="16"/>
      <c r="AF1044" s="42">
        <f>IF(BUSCAR!$C$8="FECHA NAC.",$G1044,IF(BUSCAR!$C$8="PASAPORTE EXPIRA",$J1044,IF(BUSCAR!$C$8="LICENCIA EMISION",$L1044,IF(BUSCAR!$C$8="LICENCIA EXPIRA",$M1044,""))))</f>
      </c>
      <c r="AG1044" s="42">
        <f>IF($B1044&amp;$C1044&amp;$D1044&amp;$E1044&amp;$H1044="",0,IF(AND(OR(BUSCAR!$J$5="",ISNUMBER(SEARCH(BUSCAR!$J$5,$AI1044))),OR(BUSCAR!$J$6="",ISNUMBER(SEARCH(BUSCAR!$J$6,$AI1044))),OR(BUSCAR!$J$8="",ISNUMBER(SEARCH(BUSCAR!$J$8,$AI1044))),OR(BUSCAR!$J$9="",ISNUMBER(SEARCH(BUSCAR!$J$9,$AI1044))),OR(NOT(BUSCAR!$J$2),AND(ISNUMBER($AF1044),$AF1044&gt;=BUSCAR!$J$3,$AF1044&lt;=BUSCAR!$J$4))),1,0))</f>
      </c>
      <c r="AH1044" s="42">
        <f t="shared" si="48"/>
      </c>
      <c r="AI1044" s="42">
        <f t="shared" si="49"/>
      </c>
    </row>
    <row r="1045" spans="1:35" x14ac:dyDescent="0.2">
      <c r="A1045" s="66">
        <f t="shared" si="50"/>
      </c>
      <c r="B1045" s="4"/>
      <c r="C1045" s="4"/>
      <c r="D1045" s="4"/>
      <c r="E1045" s="4"/>
      <c r="F1045" s="24"/>
      <c r="G1045" s="8"/>
      <c r="H1045" s="9"/>
      <c r="I1045" s="8"/>
      <c r="J1045" s="10"/>
      <c r="K1045" s="8"/>
      <c r="L1045" s="8"/>
      <c r="M1045" s="8"/>
      <c r="N1045" s="11"/>
      <c r="O1045" s="9"/>
      <c r="P1045" s="12"/>
      <c r="Q1045" s="9"/>
      <c r="R1045" s="13"/>
      <c r="S1045" s="11"/>
      <c r="T1045" s="11"/>
      <c r="U1045" s="9"/>
      <c r="V1045" s="9"/>
      <c r="W1045" s="9"/>
      <c r="X1045" s="16"/>
      <c r="AF1045" s="42">
        <f>IF(BUSCAR!$C$8="FECHA NAC.",$G1045,IF(BUSCAR!$C$8="PASAPORTE EXPIRA",$J1045,IF(BUSCAR!$C$8="LICENCIA EMISION",$L1045,IF(BUSCAR!$C$8="LICENCIA EXPIRA",$M1045,""))))</f>
      </c>
      <c r="AG1045" s="42">
        <f>IF($B1045&amp;$C1045&amp;$D1045&amp;$E1045&amp;$H1045="",0,IF(AND(OR(BUSCAR!$J$5="",ISNUMBER(SEARCH(BUSCAR!$J$5,$AI1045))),OR(BUSCAR!$J$6="",ISNUMBER(SEARCH(BUSCAR!$J$6,$AI1045))),OR(BUSCAR!$J$8="",ISNUMBER(SEARCH(BUSCAR!$J$8,$AI1045))),OR(BUSCAR!$J$9="",ISNUMBER(SEARCH(BUSCAR!$J$9,$AI1045))),OR(NOT(BUSCAR!$J$2),AND(ISNUMBER($AF1045),$AF1045&gt;=BUSCAR!$J$3,$AF1045&lt;=BUSCAR!$J$4))),1,0))</f>
      </c>
      <c r="AH1045" s="42">
        <f t="shared" si="48"/>
      </c>
      <c r="AI1045" s="42">
        <f t="shared" si="49"/>
      </c>
    </row>
    <row r="1046" spans="1:35" x14ac:dyDescent="0.2">
      <c r="A1046" s="66">
        <f t="shared" si="50"/>
      </c>
      <c r="B1046" s="4"/>
      <c r="C1046" s="4"/>
      <c r="D1046" s="4"/>
      <c r="E1046" s="4"/>
      <c r="F1046" s="24"/>
      <c r="G1046" s="8"/>
      <c r="H1046" s="9"/>
      <c r="I1046" s="8"/>
      <c r="J1046" s="10"/>
      <c r="K1046" s="8"/>
      <c r="L1046" s="8"/>
      <c r="M1046" s="8"/>
      <c r="N1046" s="11"/>
      <c r="O1046" s="9"/>
      <c r="P1046" s="12"/>
      <c r="Q1046" s="9"/>
      <c r="R1046" s="13"/>
      <c r="S1046" s="11"/>
      <c r="T1046" s="11"/>
      <c r="U1046" s="9"/>
      <c r="V1046" s="9"/>
      <c r="W1046" s="9"/>
      <c r="X1046" s="16"/>
      <c r="AF1046" s="42">
        <f>IF(BUSCAR!$C$8="FECHA NAC.",$G1046,IF(BUSCAR!$C$8="PASAPORTE EXPIRA",$J1046,IF(BUSCAR!$C$8="LICENCIA EMISION",$L1046,IF(BUSCAR!$C$8="LICENCIA EXPIRA",$M1046,""))))</f>
      </c>
      <c r="AG1046" s="42">
        <f>IF($B1046&amp;$C1046&amp;$D1046&amp;$E1046&amp;$H1046="",0,IF(AND(OR(BUSCAR!$J$5="",ISNUMBER(SEARCH(BUSCAR!$J$5,$AI1046))),OR(BUSCAR!$J$6="",ISNUMBER(SEARCH(BUSCAR!$J$6,$AI1046))),OR(BUSCAR!$J$8="",ISNUMBER(SEARCH(BUSCAR!$J$8,$AI1046))),OR(BUSCAR!$J$9="",ISNUMBER(SEARCH(BUSCAR!$J$9,$AI1046))),OR(NOT(BUSCAR!$J$2),AND(ISNUMBER($AF1046),$AF1046&gt;=BUSCAR!$J$3,$AF1046&lt;=BUSCAR!$J$4))),1,0))</f>
      </c>
      <c r="AH1046" s="42">
        <f t="shared" si="48"/>
      </c>
      <c r="AI1046" s="42">
        <f t="shared" si="49"/>
      </c>
    </row>
    <row r="1047" spans="1:35" x14ac:dyDescent="0.2">
      <c r="A1047" s="66">
        <f t="shared" si="50"/>
      </c>
      <c r="B1047" s="4"/>
      <c r="C1047" s="4"/>
      <c r="D1047" s="4"/>
      <c r="E1047" s="4"/>
      <c r="F1047" s="24"/>
      <c r="G1047" s="8"/>
      <c r="H1047" s="9"/>
      <c r="I1047" s="8"/>
      <c r="J1047" s="10"/>
      <c r="K1047" s="8"/>
      <c r="L1047" s="8"/>
      <c r="M1047" s="8"/>
      <c r="N1047" s="11"/>
      <c r="O1047" s="9"/>
      <c r="P1047" s="12"/>
      <c r="Q1047" s="9"/>
      <c r="R1047" s="13"/>
      <c r="S1047" s="11"/>
      <c r="T1047" s="11"/>
      <c r="U1047" s="9"/>
      <c r="V1047" s="9"/>
      <c r="W1047" s="9"/>
      <c r="X1047" s="16"/>
      <c r="AF1047" s="42">
        <f>IF(BUSCAR!$C$8="FECHA NAC.",$G1047,IF(BUSCAR!$C$8="PASAPORTE EXPIRA",$J1047,IF(BUSCAR!$C$8="LICENCIA EMISION",$L1047,IF(BUSCAR!$C$8="LICENCIA EXPIRA",$M1047,""))))</f>
      </c>
      <c r="AG1047" s="42">
        <f>IF($B1047&amp;$C1047&amp;$D1047&amp;$E1047&amp;$H1047="",0,IF(AND(OR(BUSCAR!$J$5="",ISNUMBER(SEARCH(BUSCAR!$J$5,$AI1047))),OR(BUSCAR!$J$6="",ISNUMBER(SEARCH(BUSCAR!$J$6,$AI1047))),OR(BUSCAR!$J$8="",ISNUMBER(SEARCH(BUSCAR!$J$8,$AI1047))),OR(BUSCAR!$J$9="",ISNUMBER(SEARCH(BUSCAR!$J$9,$AI1047))),OR(NOT(BUSCAR!$J$2),AND(ISNUMBER($AF1047),$AF1047&gt;=BUSCAR!$J$3,$AF1047&lt;=BUSCAR!$J$4))),1,0))</f>
      </c>
      <c r="AH1047" s="42">
        <f t="shared" si="48"/>
      </c>
      <c r="AI1047" s="42">
        <f t="shared" si="49"/>
      </c>
    </row>
    <row r="1048" spans="1:35" x14ac:dyDescent="0.2">
      <c r="A1048" s="66">
        <f t="shared" si="50"/>
      </c>
      <c r="B1048" s="4"/>
      <c r="C1048" s="4"/>
      <c r="D1048" s="4"/>
      <c r="E1048" s="4"/>
      <c r="F1048" s="24"/>
      <c r="G1048" s="8"/>
      <c r="H1048" s="9"/>
      <c r="I1048" s="8"/>
      <c r="J1048" s="10"/>
      <c r="K1048" s="8"/>
      <c r="L1048" s="8"/>
      <c r="M1048" s="8"/>
      <c r="N1048" s="11"/>
      <c r="O1048" s="9"/>
      <c r="P1048" s="12"/>
      <c r="Q1048" s="9"/>
      <c r="R1048" s="13"/>
      <c r="S1048" s="11"/>
      <c r="T1048" s="11"/>
      <c r="U1048" s="9"/>
      <c r="V1048" s="9"/>
      <c r="W1048" s="9"/>
      <c r="X1048" s="16"/>
      <c r="AF1048" s="42">
        <f>IF(BUSCAR!$C$8="FECHA NAC.",$G1048,IF(BUSCAR!$C$8="PASAPORTE EXPIRA",$J1048,IF(BUSCAR!$C$8="LICENCIA EMISION",$L1048,IF(BUSCAR!$C$8="LICENCIA EXPIRA",$M1048,""))))</f>
      </c>
      <c r="AG1048" s="42">
        <f>IF($B1048&amp;$C1048&amp;$D1048&amp;$E1048&amp;$H1048="",0,IF(AND(OR(BUSCAR!$J$5="",ISNUMBER(SEARCH(BUSCAR!$J$5,$AI1048))),OR(BUSCAR!$J$6="",ISNUMBER(SEARCH(BUSCAR!$J$6,$AI1048))),OR(BUSCAR!$J$8="",ISNUMBER(SEARCH(BUSCAR!$J$8,$AI1048))),OR(BUSCAR!$J$9="",ISNUMBER(SEARCH(BUSCAR!$J$9,$AI1048))),OR(NOT(BUSCAR!$J$2),AND(ISNUMBER($AF1048),$AF1048&gt;=BUSCAR!$J$3,$AF1048&lt;=BUSCAR!$J$4))),1,0))</f>
      </c>
      <c r="AH1048" s="42">
        <f t="shared" si="48"/>
      </c>
      <c r="AI1048" s="42">
        <f t="shared" si="49"/>
      </c>
    </row>
    <row r="1049" spans="1:35" x14ac:dyDescent="0.2">
      <c r="A1049" s="66">
        <f t="shared" si="50"/>
      </c>
      <c r="B1049" s="4"/>
      <c r="C1049" s="4"/>
      <c r="D1049" s="4"/>
      <c r="E1049" s="4"/>
      <c r="F1049" s="24"/>
      <c r="G1049" s="8"/>
      <c r="H1049" s="9"/>
      <c r="I1049" s="8"/>
      <c r="J1049" s="10"/>
      <c r="K1049" s="8"/>
      <c r="L1049" s="8"/>
      <c r="M1049" s="8"/>
      <c r="N1049" s="11"/>
      <c r="O1049" s="9"/>
      <c r="P1049" s="12"/>
      <c r="Q1049" s="9"/>
      <c r="R1049" s="13"/>
      <c r="S1049" s="11"/>
      <c r="T1049" s="11"/>
      <c r="U1049" s="9"/>
      <c r="V1049" s="9"/>
      <c r="W1049" s="9"/>
      <c r="X1049" s="16"/>
      <c r="AF1049" s="42">
        <f>IF(BUSCAR!$C$8="FECHA NAC.",$G1049,IF(BUSCAR!$C$8="PASAPORTE EXPIRA",$J1049,IF(BUSCAR!$C$8="LICENCIA EMISION",$L1049,IF(BUSCAR!$C$8="LICENCIA EXPIRA",$M1049,""))))</f>
      </c>
      <c r="AG1049" s="42">
        <f>IF($B1049&amp;$C1049&amp;$D1049&amp;$E1049&amp;$H1049="",0,IF(AND(OR(BUSCAR!$J$5="",ISNUMBER(SEARCH(BUSCAR!$J$5,$AI1049))),OR(BUSCAR!$J$6="",ISNUMBER(SEARCH(BUSCAR!$J$6,$AI1049))),OR(BUSCAR!$J$8="",ISNUMBER(SEARCH(BUSCAR!$J$8,$AI1049))),OR(BUSCAR!$J$9="",ISNUMBER(SEARCH(BUSCAR!$J$9,$AI1049))),OR(NOT(BUSCAR!$J$2),AND(ISNUMBER($AF1049),$AF1049&gt;=BUSCAR!$J$3,$AF1049&lt;=BUSCAR!$J$4))),1,0))</f>
      </c>
      <c r="AH1049" s="42">
        <f t="shared" si="48"/>
      </c>
      <c r="AI1049" s="42">
        <f t="shared" si="49"/>
      </c>
    </row>
    <row r="1050" spans="1:35" x14ac:dyDescent="0.2">
      <c r="A1050" s="66">
        <f t="shared" si="50"/>
      </c>
      <c r="B1050" s="4"/>
      <c r="C1050" s="4"/>
      <c r="D1050" s="4"/>
      <c r="E1050" s="4"/>
      <c r="F1050" s="24"/>
      <c r="G1050" s="8"/>
      <c r="H1050" s="9"/>
      <c r="I1050" s="8"/>
      <c r="J1050" s="10"/>
      <c r="K1050" s="8"/>
      <c r="L1050" s="8"/>
      <c r="M1050" s="8"/>
      <c r="N1050" s="11"/>
      <c r="O1050" s="9"/>
      <c r="P1050" s="12"/>
      <c r="Q1050" s="9"/>
      <c r="R1050" s="13"/>
      <c r="S1050" s="11"/>
      <c r="T1050" s="11"/>
      <c r="U1050" s="9"/>
      <c r="V1050" s="9"/>
      <c r="W1050" s="9"/>
      <c r="X1050" s="16"/>
      <c r="AF1050" s="42">
        <f>IF(BUSCAR!$C$8="FECHA NAC.",$G1050,IF(BUSCAR!$C$8="PASAPORTE EXPIRA",$J1050,IF(BUSCAR!$C$8="LICENCIA EMISION",$L1050,IF(BUSCAR!$C$8="LICENCIA EXPIRA",$M1050,""))))</f>
      </c>
      <c r="AG1050" s="42">
        <f>IF($B1050&amp;$C1050&amp;$D1050&amp;$E1050&amp;$H1050="",0,IF(AND(OR(BUSCAR!$J$5="",ISNUMBER(SEARCH(BUSCAR!$J$5,$AI1050))),OR(BUSCAR!$J$6="",ISNUMBER(SEARCH(BUSCAR!$J$6,$AI1050))),OR(BUSCAR!$J$8="",ISNUMBER(SEARCH(BUSCAR!$J$8,$AI1050))),OR(BUSCAR!$J$9="",ISNUMBER(SEARCH(BUSCAR!$J$9,$AI1050))),OR(NOT(BUSCAR!$J$2),AND(ISNUMBER($AF1050),$AF1050&gt;=BUSCAR!$J$3,$AF1050&lt;=BUSCAR!$J$4))),1,0))</f>
      </c>
      <c r="AH1050" s="42">
        <f t="shared" si="48"/>
      </c>
      <c r="AI1050" s="42">
        <f t="shared" si="49"/>
      </c>
    </row>
    <row r="1051" spans="1:35" x14ac:dyDescent="0.2">
      <c r="A1051" s="66">
        <f t="shared" si="50"/>
      </c>
      <c r="B1051" s="4"/>
      <c r="C1051" s="4"/>
      <c r="D1051" s="4"/>
      <c r="E1051" s="4"/>
      <c r="F1051" s="24"/>
      <c r="G1051" s="8"/>
      <c r="H1051" s="9"/>
      <c r="I1051" s="8"/>
      <c r="J1051" s="10"/>
      <c r="K1051" s="8"/>
      <c r="L1051" s="8"/>
      <c r="M1051" s="8"/>
      <c r="N1051" s="11"/>
      <c r="O1051" s="9"/>
      <c r="P1051" s="12"/>
      <c r="Q1051" s="9"/>
      <c r="R1051" s="13"/>
      <c r="S1051" s="11"/>
      <c r="T1051" s="11"/>
      <c r="U1051" s="9"/>
      <c r="V1051" s="9"/>
      <c r="W1051" s="9"/>
      <c r="X1051" s="16"/>
      <c r="AF1051" s="42">
        <f>IF(BUSCAR!$C$8="FECHA NAC.",$G1051,IF(BUSCAR!$C$8="PASAPORTE EXPIRA",$J1051,IF(BUSCAR!$C$8="LICENCIA EMISION",$L1051,IF(BUSCAR!$C$8="LICENCIA EXPIRA",$M1051,""))))</f>
      </c>
      <c r="AG1051" s="42">
        <f>IF($B1051&amp;$C1051&amp;$D1051&amp;$E1051&amp;$H1051="",0,IF(AND(OR(BUSCAR!$J$5="",ISNUMBER(SEARCH(BUSCAR!$J$5,$AI1051))),OR(BUSCAR!$J$6="",ISNUMBER(SEARCH(BUSCAR!$J$6,$AI1051))),OR(BUSCAR!$J$8="",ISNUMBER(SEARCH(BUSCAR!$J$8,$AI1051))),OR(BUSCAR!$J$9="",ISNUMBER(SEARCH(BUSCAR!$J$9,$AI1051))),OR(NOT(BUSCAR!$J$2),AND(ISNUMBER($AF1051),$AF1051&gt;=BUSCAR!$J$3,$AF1051&lt;=BUSCAR!$J$4))),1,0))</f>
      </c>
      <c r="AH1051" s="42">
        <f t="shared" si="48"/>
      </c>
      <c r="AI1051" s="42">
        <f t="shared" si="49"/>
      </c>
    </row>
    <row r="1052" spans="1:35" x14ac:dyDescent="0.2">
      <c r="A1052" s="66">
        <f t="shared" si="50"/>
      </c>
      <c r="B1052" s="4"/>
      <c r="C1052" s="4"/>
      <c r="D1052" s="4"/>
      <c r="E1052" s="4"/>
      <c r="F1052" s="24"/>
      <c r="G1052" s="8"/>
      <c r="H1052" s="9"/>
      <c r="I1052" s="8"/>
      <c r="J1052" s="10"/>
      <c r="K1052" s="8"/>
      <c r="L1052" s="8"/>
      <c r="M1052" s="8"/>
      <c r="N1052" s="11"/>
      <c r="O1052" s="9"/>
      <c r="P1052" s="12"/>
      <c r="Q1052" s="9"/>
      <c r="R1052" s="13"/>
      <c r="S1052" s="11"/>
      <c r="T1052" s="11"/>
      <c r="U1052" s="9"/>
      <c r="V1052" s="9"/>
      <c r="W1052" s="9"/>
      <c r="X1052" s="16"/>
      <c r="AF1052" s="42">
        <f>IF(BUSCAR!$C$8="FECHA NAC.",$G1052,IF(BUSCAR!$C$8="PASAPORTE EXPIRA",$J1052,IF(BUSCAR!$C$8="LICENCIA EMISION",$L1052,IF(BUSCAR!$C$8="LICENCIA EXPIRA",$M1052,""))))</f>
      </c>
      <c r="AG1052" s="42">
        <f>IF($B1052&amp;$C1052&amp;$D1052&amp;$E1052&amp;$H1052="",0,IF(AND(OR(BUSCAR!$J$5="",ISNUMBER(SEARCH(BUSCAR!$J$5,$AI1052))),OR(BUSCAR!$J$6="",ISNUMBER(SEARCH(BUSCAR!$J$6,$AI1052))),OR(BUSCAR!$J$8="",ISNUMBER(SEARCH(BUSCAR!$J$8,$AI1052))),OR(BUSCAR!$J$9="",ISNUMBER(SEARCH(BUSCAR!$J$9,$AI1052))),OR(NOT(BUSCAR!$J$2),AND(ISNUMBER($AF1052),$AF1052&gt;=BUSCAR!$J$3,$AF1052&lt;=BUSCAR!$J$4))),1,0))</f>
      </c>
      <c r="AH1052" s="42">
        <f t="shared" si="48"/>
      </c>
      <c r="AI1052" s="42">
        <f t="shared" si="49"/>
      </c>
    </row>
    <row r="1053" spans="1:35" x14ac:dyDescent="0.2">
      <c r="A1053" s="66">
        <f t="shared" si="50"/>
      </c>
      <c r="B1053" s="4"/>
      <c r="C1053" s="4"/>
      <c r="D1053" s="4"/>
      <c r="E1053" s="4"/>
      <c r="F1053" s="24"/>
      <c r="G1053" s="8"/>
      <c r="H1053" s="9"/>
      <c r="I1053" s="8"/>
      <c r="J1053" s="10"/>
      <c r="K1053" s="8"/>
      <c r="L1053" s="8"/>
      <c r="M1053" s="8"/>
      <c r="N1053" s="11"/>
      <c r="O1053" s="9"/>
      <c r="P1053" s="12"/>
      <c r="Q1053" s="9"/>
      <c r="R1053" s="13"/>
      <c r="S1053" s="11"/>
      <c r="T1053" s="11"/>
      <c r="U1053" s="9"/>
      <c r="V1053" s="9"/>
      <c r="W1053" s="9"/>
      <c r="X1053" s="16"/>
      <c r="AF1053" s="42">
        <f>IF(BUSCAR!$C$8="FECHA NAC.",$G1053,IF(BUSCAR!$C$8="PASAPORTE EXPIRA",$J1053,IF(BUSCAR!$C$8="LICENCIA EMISION",$L1053,IF(BUSCAR!$C$8="LICENCIA EXPIRA",$M1053,""))))</f>
      </c>
      <c r="AG1053" s="42">
        <f>IF($B1053&amp;$C1053&amp;$D1053&amp;$E1053&amp;$H1053="",0,IF(AND(OR(BUSCAR!$J$5="",ISNUMBER(SEARCH(BUSCAR!$J$5,$AI1053))),OR(BUSCAR!$J$6="",ISNUMBER(SEARCH(BUSCAR!$J$6,$AI1053))),OR(BUSCAR!$J$8="",ISNUMBER(SEARCH(BUSCAR!$J$8,$AI1053))),OR(BUSCAR!$J$9="",ISNUMBER(SEARCH(BUSCAR!$J$9,$AI1053))),OR(NOT(BUSCAR!$J$2),AND(ISNUMBER($AF1053),$AF1053&gt;=BUSCAR!$J$3,$AF1053&lt;=BUSCAR!$J$4))),1,0))</f>
      </c>
      <c r="AH1053" s="42">
        <f t="shared" si="48"/>
      </c>
      <c r="AI1053" s="42">
        <f t="shared" si="49"/>
      </c>
    </row>
    <row r="1054" spans="1:35" x14ac:dyDescent="0.2">
      <c r="A1054" s="66">
        <f t="shared" si="50"/>
      </c>
      <c r="B1054" s="4"/>
      <c r="C1054" s="4"/>
      <c r="D1054" s="4"/>
      <c r="E1054" s="4"/>
      <c r="F1054" s="24"/>
      <c r="G1054" s="8"/>
      <c r="H1054" s="9"/>
      <c r="I1054" s="8"/>
      <c r="J1054" s="10"/>
      <c r="K1054" s="8"/>
      <c r="L1054" s="8"/>
      <c r="M1054" s="8"/>
      <c r="N1054" s="11"/>
      <c r="O1054" s="9"/>
      <c r="P1054" s="12"/>
      <c r="Q1054" s="9"/>
      <c r="R1054" s="13"/>
      <c r="S1054" s="11"/>
      <c r="T1054" s="11"/>
      <c r="U1054" s="9"/>
      <c r="V1054" s="9"/>
      <c r="W1054" s="9"/>
      <c r="X1054" s="16"/>
      <c r="AF1054" s="42">
        <f>IF(BUSCAR!$C$8="FECHA NAC.",$G1054,IF(BUSCAR!$C$8="PASAPORTE EXPIRA",$J1054,IF(BUSCAR!$C$8="LICENCIA EMISION",$L1054,IF(BUSCAR!$C$8="LICENCIA EXPIRA",$M1054,""))))</f>
      </c>
      <c r="AG1054" s="42">
        <f>IF($B1054&amp;$C1054&amp;$D1054&amp;$E1054&amp;$H1054="",0,IF(AND(OR(BUSCAR!$J$5="",ISNUMBER(SEARCH(BUSCAR!$J$5,$AI1054))),OR(BUSCAR!$J$6="",ISNUMBER(SEARCH(BUSCAR!$J$6,$AI1054))),OR(BUSCAR!$J$8="",ISNUMBER(SEARCH(BUSCAR!$J$8,$AI1054))),OR(BUSCAR!$J$9="",ISNUMBER(SEARCH(BUSCAR!$J$9,$AI1054))),OR(NOT(BUSCAR!$J$2),AND(ISNUMBER($AF1054),$AF1054&gt;=BUSCAR!$J$3,$AF1054&lt;=BUSCAR!$J$4))),1,0))</f>
      </c>
      <c r="AH1054" s="42">
        <f t="shared" si="48"/>
      </c>
      <c r="AI1054" s="42">
        <f t="shared" si="49"/>
      </c>
    </row>
    <row r="1055" spans="1:35" x14ac:dyDescent="0.2">
      <c r="A1055" s="66">
        <f t="shared" si="50"/>
      </c>
      <c r="B1055" s="4"/>
      <c r="C1055" s="4"/>
      <c r="D1055" s="4"/>
      <c r="E1055" s="4"/>
      <c r="F1055" s="24"/>
      <c r="G1055" s="8"/>
      <c r="H1055" s="9"/>
      <c r="I1055" s="8"/>
      <c r="J1055" s="10"/>
      <c r="K1055" s="8"/>
      <c r="L1055" s="8"/>
      <c r="M1055" s="8"/>
      <c r="N1055" s="11"/>
      <c r="O1055" s="9"/>
      <c r="P1055" s="12"/>
      <c r="Q1055" s="9"/>
      <c r="R1055" s="13"/>
      <c r="S1055" s="11"/>
      <c r="T1055" s="11"/>
      <c r="U1055" s="9"/>
      <c r="V1055" s="9"/>
      <c r="W1055" s="9"/>
      <c r="X1055" s="16"/>
      <c r="AF1055" s="42">
        <f>IF(BUSCAR!$C$8="FECHA NAC.",$G1055,IF(BUSCAR!$C$8="PASAPORTE EXPIRA",$J1055,IF(BUSCAR!$C$8="LICENCIA EMISION",$L1055,IF(BUSCAR!$C$8="LICENCIA EXPIRA",$M1055,""))))</f>
      </c>
      <c r="AG1055" s="42">
        <f>IF($B1055&amp;$C1055&amp;$D1055&amp;$E1055&amp;$H1055="",0,IF(AND(OR(BUSCAR!$J$5="",ISNUMBER(SEARCH(BUSCAR!$J$5,$AI1055))),OR(BUSCAR!$J$6="",ISNUMBER(SEARCH(BUSCAR!$J$6,$AI1055))),OR(BUSCAR!$J$8="",ISNUMBER(SEARCH(BUSCAR!$J$8,$AI1055))),OR(BUSCAR!$J$9="",ISNUMBER(SEARCH(BUSCAR!$J$9,$AI1055))),OR(NOT(BUSCAR!$J$2),AND(ISNUMBER($AF1055),$AF1055&gt;=BUSCAR!$J$3,$AF1055&lt;=BUSCAR!$J$4))),1,0))</f>
      </c>
      <c r="AH1055" s="42">
        <f t="shared" si="48"/>
      </c>
      <c r="AI1055" s="42">
        <f t="shared" si="49"/>
      </c>
    </row>
    <row r="1056" spans="1:35" x14ac:dyDescent="0.2">
      <c r="A1056" s="66">
        <f t="shared" si="50"/>
      </c>
      <c r="B1056" s="4"/>
      <c r="C1056" s="4"/>
      <c r="D1056" s="4"/>
      <c r="E1056" s="4"/>
      <c r="F1056" s="24"/>
      <c r="G1056" s="8"/>
      <c r="H1056" s="9"/>
      <c r="I1056" s="8"/>
      <c r="J1056" s="10"/>
      <c r="K1056" s="8"/>
      <c r="L1056" s="8"/>
      <c r="M1056" s="8"/>
      <c r="N1056" s="11"/>
      <c r="O1056" s="9"/>
      <c r="P1056" s="12"/>
      <c r="Q1056" s="9"/>
      <c r="R1056" s="13"/>
      <c r="S1056" s="11"/>
      <c r="T1056" s="11"/>
      <c r="U1056" s="9"/>
      <c r="V1056" s="9"/>
      <c r="W1056" s="9"/>
      <c r="X1056" s="16"/>
      <c r="AF1056" s="42">
        <f>IF(BUSCAR!$C$8="FECHA NAC.",$G1056,IF(BUSCAR!$C$8="PASAPORTE EXPIRA",$J1056,IF(BUSCAR!$C$8="LICENCIA EMISION",$L1056,IF(BUSCAR!$C$8="LICENCIA EXPIRA",$M1056,""))))</f>
      </c>
      <c r="AG1056" s="42">
        <f>IF($B1056&amp;$C1056&amp;$D1056&amp;$E1056&amp;$H1056="",0,IF(AND(OR(BUSCAR!$J$5="",ISNUMBER(SEARCH(BUSCAR!$J$5,$AI1056))),OR(BUSCAR!$J$6="",ISNUMBER(SEARCH(BUSCAR!$J$6,$AI1056))),OR(BUSCAR!$J$8="",ISNUMBER(SEARCH(BUSCAR!$J$8,$AI1056))),OR(BUSCAR!$J$9="",ISNUMBER(SEARCH(BUSCAR!$J$9,$AI1056))),OR(NOT(BUSCAR!$J$2),AND(ISNUMBER($AF1056),$AF1056&gt;=BUSCAR!$J$3,$AF1056&lt;=BUSCAR!$J$4))),1,0))</f>
      </c>
      <c r="AH1056" s="42">
        <f t="shared" si="48"/>
      </c>
      <c r="AI1056" s="42">
        <f t="shared" si="49"/>
      </c>
    </row>
    <row r="1057" spans="1:35" x14ac:dyDescent="0.2">
      <c r="A1057" s="66">
        <f t="shared" si="50"/>
      </c>
      <c r="B1057" s="4"/>
      <c r="C1057" s="4"/>
      <c r="D1057" s="4"/>
      <c r="E1057" s="4"/>
      <c r="F1057" s="24"/>
      <c r="G1057" s="8"/>
      <c r="H1057" s="9"/>
      <c r="I1057" s="8"/>
      <c r="J1057" s="10"/>
      <c r="K1057" s="8"/>
      <c r="L1057" s="8"/>
      <c r="M1057" s="8"/>
      <c r="N1057" s="11"/>
      <c r="O1057" s="9"/>
      <c r="P1057" s="12"/>
      <c r="Q1057" s="9"/>
      <c r="R1057" s="13"/>
      <c r="S1057" s="11"/>
      <c r="T1057" s="11"/>
      <c r="U1057" s="9"/>
      <c r="V1057" s="9"/>
      <c r="W1057" s="9"/>
      <c r="X1057" s="16"/>
      <c r="AF1057" s="42">
        <f>IF(BUSCAR!$C$8="FECHA NAC.",$G1057,IF(BUSCAR!$C$8="PASAPORTE EXPIRA",$J1057,IF(BUSCAR!$C$8="LICENCIA EMISION",$L1057,IF(BUSCAR!$C$8="LICENCIA EXPIRA",$M1057,""))))</f>
      </c>
      <c r="AG1057" s="42">
        <f>IF($B1057&amp;$C1057&amp;$D1057&amp;$E1057&amp;$H1057="",0,IF(AND(OR(BUSCAR!$J$5="",ISNUMBER(SEARCH(BUSCAR!$J$5,$AI1057))),OR(BUSCAR!$J$6="",ISNUMBER(SEARCH(BUSCAR!$J$6,$AI1057))),OR(BUSCAR!$J$8="",ISNUMBER(SEARCH(BUSCAR!$J$8,$AI1057))),OR(BUSCAR!$J$9="",ISNUMBER(SEARCH(BUSCAR!$J$9,$AI1057))),OR(NOT(BUSCAR!$J$2),AND(ISNUMBER($AF1057),$AF1057&gt;=BUSCAR!$J$3,$AF1057&lt;=BUSCAR!$J$4))),1,0))</f>
      </c>
      <c r="AH1057" s="42">
        <f t="shared" si="48"/>
      </c>
      <c r="AI1057" s="42">
        <f t="shared" si="49"/>
      </c>
    </row>
    <row r="1058" spans="1:35" x14ac:dyDescent="0.2">
      <c r="A1058" s="66">
        <f t="shared" si="50"/>
      </c>
      <c r="B1058" s="4"/>
      <c r="C1058" s="4"/>
      <c r="D1058" s="4"/>
      <c r="E1058" s="4"/>
      <c r="F1058" s="24"/>
      <c r="G1058" s="8"/>
      <c r="H1058" s="9"/>
      <c r="I1058" s="8"/>
      <c r="J1058" s="10"/>
      <c r="K1058" s="8"/>
      <c r="L1058" s="8"/>
      <c r="M1058" s="8"/>
      <c r="N1058" s="11"/>
      <c r="O1058" s="9"/>
      <c r="P1058" s="12"/>
      <c r="Q1058" s="9"/>
      <c r="R1058" s="13"/>
      <c r="S1058" s="11"/>
      <c r="T1058" s="11"/>
      <c r="U1058" s="9"/>
      <c r="V1058" s="9"/>
      <c r="W1058" s="9"/>
      <c r="X1058" s="16"/>
      <c r="AF1058" s="42">
        <f>IF(BUSCAR!$C$8="FECHA NAC.",$G1058,IF(BUSCAR!$C$8="PASAPORTE EXPIRA",$J1058,IF(BUSCAR!$C$8="LICENCIA EMISION",$L1058,IF(BUSCAR!$C$8="LICENCIA EXPIRA",$M1058,""))))</f>
      </c>
      <c r="AG1058" s="42">
        <f>IF($B1058&amp;$C1058&amp;$D1058&amp;$E1058&amp;$H1058="",0,IF(AND(OR(BUSCAR!$J$5="",ISNUMBER(SEARCH(BUSCAR!$J$5,$AI1058))),OR(BUSCAR!$J$6="",ISNUMBER(SEARCH(BUSCAR!$J$6,$AI1058))),OR(BUSCAR!$J$8="",ISNUMBER(SEARCH(BUSCAR!$J$8,$AI1058))),OR(BUSCAR!$J$9="",ISNUMBER(SEARCH(BUSCAR!$J$9,$AI1058))),OR(NOT(BUSCAR!$J$2),AND(ISNUMBER($AF1058),$AF1058&gt;=BUSCAR!$J$3,$AF1058&lt;=BUSCAR!$J$4))),1,0))</f>
      </c>
      <c r="AH1058" s="42">
        <f t="shared" si="48"/>
      </c>
      <c r="AI1058" s="42">
        <f t="shared" si="49"/>
      </c>
    </row>
    <row r="1059" spans="1:35" x14ac:dyDescent="0.2">
      <c r="A1059" s="66">
        <f t="shared" si="50"/>
      </c>
      <c r="B1059" s="4"/>
      <c r="C1059" s="4"/>
      <c r="D1059" s="4"/>
      <c r="E1059" s="4"/>
      <c r="F1059" s="24"/>
      <c r="G1059" s="8"/>
      <c r="H1059" s="9"/>
      <c r="I1059" s="8"/>
      <c r="J1059" s="10"/>
      <c r="K1059" s="8"/>
      <c r="L1059" s="8"/>
      <c r="M1059" s="8"/>
      <c r="N1059" s="11"/>
      <c r="O1059" s="9"/>
      <c r="P1059" s="12"/>
      <c r="Q1059" s="9"/>
      <c r="R1059" s="13"/>
      <c r="S1059" s="11"/>
      <c r="T1059" s="11"/>
      <c r="U1059" s="9"/>
      <c r="V1059" s="9"/>
      <c r="W1059" s="9"/>
      <c r="X1059" s="16"/>
      <c r="AF1059" s="42">
        <f>IF(BUSCAR!$C$8="FECHA NAC.",$G1059,IF(BUSCAR!$C$8="PASAPORTE EXPIRA",$J1059,IF(BUSCAR!$C$8="LICENCIA EMISION",$L1059,IF(BUSCAR!$C$8="LICENCIA EXPIRA",$M1059,""))))</f>
      </c>
      <c r="AG1059" s="42">
        <f>IF($B1059&amp;$C1059&amp;$D1059&amp;$E1059&amp;$H1059="",0,IF(AND(OR(BUSCAR!$J$5="",ISNUMBER(SEARCH(BUSCAR!$J$5,$AI1059))),OR(BUSCAR!$J$6="",ISNUMBER(SEARCH(BUSCAR!$J$6,$AI1059))),OR(BUSCAR!$J$8="",ISNUMBER(SEARCH(BUSCAR!$J$8,$AI1059))),OR(BUSCAR!$J$9="",ISNUMBER(SEARCH(BUSCAR!$J$9,$AI1059))),OR(NOT(BUSCAR!$J$2),AND(ISNUMBER($AF1059),$AF1059&gt;=BUSCAR!$J$3,$AF1059&lt;=BUSCAR!$J$4))),1,0))</f>
      </c>
      <c r="AH1059" s="42">
        <f t="shared" si="48"/>
      </c>
      <c r="AI1059" s="42">
        <f t="shared" si="49"/>
      </c>
    </row>
    <row r="1060" spans="1:35" x14ac:dyDescent="0.2">
      <c r="A1060" s="66">
        <f t="shared" si="50"/>
      </c>
      <c r="B1060" s="4"/>
      <c r="C1060" s="4"/>
      <c r="D1060" s="4"/>
      <c r="E1060" s="4"/>
      <c r="F1060" s="24"/>
      <c r="G1060" s="8"/>
      <c r="H1060" s="9"/>
      <c r="I1060" s="8"/>
      <c r="J1060" s="10"/>
      <c r="K1060" s="8"/>
      <c r="L1060" s="8"/>
      <c r="M1060" s="8"/>
      <c r="N1060" s="11"/>
      <c r="O1060" s="9"/>
      <c r="P1060" s="12"/>
      <c r="Q1060" s="9"/>
      <c r="R1060" s="13"/>
      <c r="S1060" s="11"/>
      <c r="T1060" s="11"/>
      <c r="U1060" s="9"/>
      <c r="V1060" s="9"/>
      <c r="W1060" s="9"/>
      <c r="X1060" s="16"/>
      <c r="AF1060" s="42">
        <f>IF(BUSCAR!$C$8="FECHA NAC.",$G1060,IF(BUSCAR!$C$8="PASAPORTE EXPIRA",$J1060,IF(BUSCAR!$C$8="LICENCIA EMISION",$L1060,IF(BUSCAR!$C$8="LICENCIA EXPIRA",$M1060,""))))</f>
      </c>
      <c r="AG1060" s="42">
        <f>IF($B1060&amp;$C1060&amp;$D1060&amp;$E1060&amp;$H1060="",0,IF(AND(OR(BUSCAR!$J$5="",ISNUMBER(SEARCH(BUSCAR!$J$5,$AI1060))),OR(BUSCAR!$J$6="",ISNUMBER(SEARCH(BUSCAR!$J$6,$AI1060))),OR(BUSCAR!$J$8="",ISNUMBER(SEARCH(BUSCAR!$J$8,$AI1060))),OR(BUSCAR!$J$9="",ISNUMBER(SEARCH(BUSCAR!$J$9,$AI1060))),OR(NOT(BUSCAR!$J$2),AND(ISNUMBER($AF1060),$AF1060&gt;=BUSCAR!$J$3,$AF1060&lt;=BUSCAR!$J$4))),1,0))</f>
      </c>
      <c r="AH1060" s="42">
        <f t="shared" si="48"/>
      </c>
      <c r="AI1060" s="42">
        <f t="shared" si="49"/>
      </c>
    </row>
    <row r="1061" spans="1:35" x14ac:dyDescent="0.2">
      <c r="A1061" s="66">
        <f t="shared" si="50"/>
      </c>
      <c r="B1061" s="4"/>
      <c r="C1061" s="4"/>
      <c r="D1061" s="4"/>
      <c r="E1061" s="4"/>
      <c r="F1061" s="24"/>
      <c r="G1061" s="8"/>
      <c r="H1061" s="9"/>
      <c r="I1061" s="8"/>
      <c r="J1061" s="10"/>
      <c r="K1061" s="8"/>
      <c r="L1061" s="8"/>
      <c r="M1061" s="8"/>
      <c r="N1061" s="11"/>
      <c r="O1061" s="9"/>
      <c r="P1061" s="12"/>
      <c r="Q1061" s="9"/>
      <c r="R1061" s="13"/>
      <c r="S1061" s="11"/>
      <c r="T1061" s="11"/>
      <c r="U1061" s="9"/>
      <c r="V1061" s="9"/>
      <c r="W1061" s="9"/>
      <c r="X1061" s="16"/>
      <c r="AF1061" s="42">
        <f>IF(BUSCAR!$C$8="FECHA NAC.",$G1061,IF(BUSCAR!$C$8="PASAPORTE EXPIRA",$J1061,IF(BUSCAR!$C$8="LICENCIA EMISION",$L1061,IF(BUSCAR!$C$8="LICENCIA EXPIRA",$M1061,""))))</f>
      </c>
      <c r="AG1061" s="42">
        <f>IF($B1061&amp;$C1061&amp;$D1061&amp;$E1061&amp;$H1061="",0,IF(AND(OR(BUSCAR!$J$5="",ISNUMBER(SEARCH(BUSCAR!$J$5,$AI1061))),OR(BUSCAR!$J$6="",ISNUMBER(SEARCH(BUSCAR!$J$6,$AI1061))),OR(BUSCAR!$J$8="",ISNUMBER(SEARCH(BUSCAR!$J$8,$AI1061))),OR(BUSCAR!$J$9="",ISNUMBER(SEARCH(BUSCAR!$J$9,$AI1061))),OR(NOT(BUSCAR!$J$2),AND(ISNUMBER($AF1061),$AF1061&gt;=BUSCAR!$J$3,$AF1061&lt;=BUSCAR!$J$4))),1,0))</f>
      </c>
      <c r="AH1061" s="42">
        <f t="shared" si="48"/>
      </c>
      <c r="AI1061" s="42">
        <f t="shared" si="49"/>
      </c>
    </row>
    <row r="1062" spans="1:35" x14ac:dyDescent="0.2">
      <c r="A1062" s="66">
        <f t="shared" si="50"/>
      </c>
      <c r="B1062" s="4"/>
      <c r="C1062" s="4"/>
      <c r="D1062" s="4"/>
      <c r="E1062" s="4"/>
      <c r="F1062" s="24"/>
      <c r="G1062" s="8"/>
      <c r="H1062" s="9"/>
      <c r="I1062" s="8"/>
      <c r="J1062" s="10"/>
      <c r="K1062" s="8"/>
      <c r="L1062" s="8"/>
      <c r="M1062" s="8"/>
      <c r="N1062" s="11"/>
      <c r="O1062" s="9"/>
      <c r="P1062" s="12"/>
      <c r="Q1062" s="9"/>
      <c r="R1062" s="13"/>
      <c r="S1062" s="11"/>
      <c r="T1062" s="11"/>
      <c r="U1062" s="9"/>
      <c r="V1062" s="9"/>
      <c r="W1062" s="9"/>
      <c r="X1062" s="16"/>
      <c r="AF1062" s="42">
        <f>IF(BUSCAR!$C$8="FECHA NAC.",$G1062,IF(BUSCAR!$C$8="PASAPORTE EXPIRA",$J1062,IF(BUSCAR!$C$8="LICENCIA EMISION",$L1062,IF(BUSCAR!$C$8="LICENCIA EXPIRA",$M1062,""))))</f>
      </c>
      <c r="AG1062" s="42">
        <f>IF($B1062&amp;$C1062&amp;$D1062&amp;$E1062&amp;$H1062="",0,IF(AND(OR(BUSCAR!$J$5="",ISNUMBER(SEARCH(BUSCAR!$J$5,$AI1062))),OR(BUSCAR!$J$6="",ISNUMBER(SEARCH(BUSCAR!$J$6,$AI1062))),OR(BUSCAR!$J$8="",ISNUMBER(SEARCH(BUSCAR!$J$8,$AI1062))),OR(BUSCAR!$J$9="",ISNUMBER(SEARCH(BUSCAR!$J$9,$AI1062))),OR(NOT(BUSCAR!$J$2),AND(ISNUMBER($AF1062),$AF1062&gt;=BUSCAR!$J$3,$AF1062&lt;=BUSCAR!$J$4))),1,0))</f>
      </c>
      <c r="AH1062" s="42">
        <f t="shared" si="48"/>
      </c>
      <c r="AI1062" s="42">
        <f t="shared" si="49"/>
      </c>
    </row>
    <row r="1063" spans="1:35" x14ac:dyDescent="0.2">
      <c r="A1063" s="66">
        <f t="shared" si="50"/>
      </c>
      <c r="B1063" s="4"/>
      <c r="C1063" s="4"/>
      <c r="D1063" s="4"/>
      <c r="E1063" s="4"/>
      <c r="F1063" s="24"/>
      <c r="G1063" s="8"/>
      <c r="H1063" s="9"/>
      <c r="I1063" s="8"/>
      <c r="J1063" s="10"/>
      <c r="K1063" s="8"/>
      <c r="L1063" s="8"/>
      <c r="M1063" s="8"/>
      <c r="N1063" s="11"/>
      <c r="O1063" s="9"/>
      <c r="P1063" s="12"/>
      <c r="Q1063" s="9"/>
      <c r="R1063" s="13"/>
      <c r="S1063" s="11"/>
      <c r="T1063" s="11"/>
      <c r="U1063" s="9"/>
      <c r="V1063" s="9"/>
      <c r="W1063" s="9"/>
      <c r="X1063" s="16"/>
      <c r="AF1063" s="42">
        <f>IF(BUSCAR!$C$8="FECHA NAC.",$G1063,IF(BUSCAR!$C$8="PASAPORTE EXPIRA",$J1063,IF(BUSCAR!$C$8="LICENCIA EMISION",$L1063,IF(BUSCAR!$C$8="LICENCIA EXPIRA",$M1063,""))))</f>
      </c>
      <c r="AG1063" s="42">
        <f>IF($B1063&amp;$C1063&amp;$D1063&amp;$E1063&amp;$H1063="",0,IF(AND(OR(BUSCAR!$J$5="",ISNUMBER(SEARCH(BUSCAR!$J$5,$AI1063))),OR(BUSCAR!$J$6="",ISNUMBER(SEARCH(BUSCAR!$J$6,$AI1063))),OR(BUSCAR!$J$8="",ISNUMBER(SEARCH(BUSCAR!$J$8,$AI1063))),OR(BUSCAR!$J$9="",ISNUMBER(SEARCH(BUSCAR!$J$9,$AI1063))),OR(NOT(BUSCAR!$J$2),AND(ISNUMBER($AF1063),$AF1063&gt;=BUSCAR!$J$3,$AF1063&lt;=BUSCAR!$J$4))),1,0))</f>
      </c>
      <c r="AH1063" s="42">
        <f t="shared" si="48"/>
      </c>
      <c r="AI1063" s="42">
        <f t="shared" si="49"/>
      </c>
    </row>
    <row r="1064" spans="1:35" x14ac:dyDescent="0.2">
      <c r="A1064" s="66">
        <f t="shared" si="50"/>
      </c>
      <c r="B1064" s="4"/>
      <c r="C1064" s="4"/>
      <c r="D1064" s="4"/>
      <c r="E1064" s="4"/>
      <c r="F1064" s="24"/>
      <c r="G1064" s="8"/>
      <c r="H1064" s="9"/>
      <c r="I1064" s="8"/>
      <c r="J1064" s="10"/>
      <c r="K1064" s="8"/>
      <c r="L1064" s="8"/>
      <c r="M1064" s="8"/>
      <c r="N1064" s="11"/>
      <c r="O1064" s="9"/>
      <c r="P1064" s="12"/>
      <c r="Q1064" s="9"/>
      <c r="R1064" s="13"/>
      <c r="S1064" s="11"/>
      <c r="T1064" s="11"/>
      <c r="U1064" s="9"/>
      <c r="V1064" s="9"/>
      <c r="W1064" s="9"/>
      <c r="X1064" s="16"/>
      <c r="AF1064" s="42">
        <f>IF(BUSCAR!$C$8="FECHA NAC.",$G1064,IF(BUSCAR!$C$8="PASAPORTE EXPIRA",$J1064,IF(BUSCAR!$C$8="LICENCIA EMISION",$L1064,IF(BUSCAR!$C$8="LICENCIA EXPIRA",$M1064,""))))</f>
      </c>
      <c r="AG1064" s="42">
        <f>IF($B1064&amp;$C1064&amp;$D1064&amp;$E1064&amp;$H1064="",0,IF(AND(OR(BUSCAR!$J$5="",ISNUMBER(SEARCH(BUSCAR!$J$5,$AI1064))),OR(BUSCAR!$J$6="",ISNUMBER(SEARCH(BUSCAR!$J$6,$AI1064))),OR(BUSCAR!$J$8="",ISNUMBER(SEARCH(BUSCAR!$J$8,$AI1064))),OR(BUSCAR!$J$9="",ISNUMBER(SEARCH(BUSCAR!$J$9,$AI1064))),OR(NOT(BUSCAR!$J$2),AND(ISNUMBER($AF1064),$AF1064&gt;=BUSCAR!$J$3,$AF1064&lt;=BUSCAR!$J$4))),1,0))</f>
      </c>
      <c r="AH1064" s="42">
        <f t="shared" si="48"/>
      </c>
      <c r="AI1064" s="42">
        <f t="shared" si="49"/>
      </c>
    </row>
    <row r="1065" spans="1:35" x14ac:dyDescent="0.2">
      <c r="A1065" s="66">
        <f t="shared" si="50"/>
      </c>
      <c r="B1065" s="4"/>
      <c r="C1065" s="4"/>
      <c r="D1065" s="4"/>
      <c r="E1065" s="4"/>
      <c r="F1065" s="24"/>
      <c r="G1065" s="8"/>
      <c r="H1065" s="9"/>
      <c r="I1065" s="8"/>
      <c r="J1065" s="10"/>
      <c r="K1065" s="8"/>
      <c r="L1065" s="8"/>
      <c r="M1065" s="8"/>
      <c r="N1065" s="11"/>
      <c r="O1065" s="9"/>
      <c r="P1065" s="12"/>
      <c r="Q1065" s="9"/>
      <c r="R1065" s="13"/>
      <c r="S1065" s="11"/>
      <c r="T1065" s="11"/>
      <c r="U1065" s="9"/>
      <c r="V1065" s="9"/>
      <c r="W1065" s="9"/>
      <c r="X1065" s="16"/>
      <c r="AF1065" s="42">
        <f>IF(BUSCAR!$C$8="FECHA NAC.",$G1065,IF(BUSCAR!$C$8="PASAPORTE EXPIRA",$J1065,IF(BUSCAR!$C$8="LICENCIA EMISION",$L1065,IF(BUSCAR!$C$8="LICENCIA EXPIRA",$M1065,""))))</f>
      </c>
      <c r="AG1065" s="42">
        <f>IF($B1065&amp;$C1065&amp;$D1065&amp;$E1065&amp;$H1065="",0,IF(AND(OR(BUSCAR!$J$5="",ISNUMBER(SEARCH(BUSCAR!$J$5,$AI1065))),OR(BUSCAR!$J$6="",ISNUMBER(SEARCH(BUSCAR!$J$6,$AI1065))),OR(BUSCAR!$J$8="",ISNUMBER(SEARCH(BUSCAR!$J$8,$AI1065))),OR(BUSCAR!$J$9="",ISNUMBER(SEARCH(BUSCAR!$J$9,$AI1065))),OR(NOT(BUSCAR!$J$2),AND(ISNUMBER($AF1065),$AF1065&gt;=BUSCAR!$J$3,$AF1065&lt;=BUSCAR!$J$4))),1,0))</f>
      </c>
      <c r="AH1065" s="42">
        <f t="shared" si="48"/>
      </c>
      <c r="AI1065" s="42">
        <f t="shared" si="49"/>
      </c>
    </row>
    <row r="1066" spans="1:35" x14ac:dyDescent="0.2">
      <c r="A1066" s="66">
        <f t="shared" si="50"/>
      </c>
      <c r="B1066" s="4"/>
      <c r="C1066" s="4"/>
      <c r="D1066" s="4"/>
      <c r="E1066" s="4"/>
      <c r="F1066" s="24"/>
      <c r="G1066" s="8"/>
      <c r="H1066" s="9"/>
      <c r="I1066" s="8"/>
      <c r="J1066" s="10"/>
      <c r="K1066" s="8"/>
      <c r="L1066" s="8"/>
      <c r="M1066" s="8"/>
      <c r="N1066" s="11"/>
      <c r="O1066" s="9"/>
      <c r="P1066" s="12"/>
      <c r="Q1066" s="9"/>
      <c r="R1066" s="13"/>
      <c r="S1066" s="11"/>
      <c r="T1066" s="11"/>
      <c r="U1066" s="9"/>
      <c r="V1066" s="9"/>
      <c r="W1066" s="9"/>
      <c r="X1066" s="16"/>
      <c r="AF1066" s="42">
        <f>IF(BUSCAR!$C$8="FECHA NAC.",$G1066,IF(BUSCAR!$C$8="PASAPORTE EXPIRA",$J1066,IF(BUSCAR!$C$8="LICENCIA EMISION",$L1066,IF(BUSCAR!$C$8="LICENCIA EXPIRA",$M1066,""))))</f>
      </c>
      <c r="AG1066" s="42">
        <f>IF($B1066&amp;$C1066&amp;$D1066&amp;$E1066&amp;$H1066="",0,IF(AND(OR(BUSCAR!$J$5="",ISNUMBER(SEARCH(BUSCAR!$J$5,$AI1066))),OR(BUSCAR!$J$6="",ISNUMBER(SEARCH(BUSCAR!$J$6,$AI1066))),OR(BUSCAR!$J$8="",ISNUMBER(SEARCH(BUSCAR!$J$8,$AI1066))),OR(BUSCAR!$J$9="",ISNUMBER(SEARCH(BUSCAR!$J$9,$AI1066))),OR(NOT(BUSCAR!$J$2),AND(ISNUMBER($AF1066),$AF1066&gt;=BUSCAR!$J$3,$AF1066&lt;=BUSCAR!$J$4))),1,0))</f>
      </c>
      <c r="AH1066" s="42">
        <f t="shared" si="48"/>
      </c>
      <c r="AI1066" s="42">
        <f t="shared" si="49"/>
      </c>
    </row>
    <row r="1067" spans="1:35" x14ac:dyDescent="0.2">
      <c r="A1067" s="66">
        <f t="shared" si="50"/>
      </c>
      <c r="B1067" s="4"/>
      <c r="C1067" s="4"/>
      <c r="D1067" s="4"/>
      <c r="E1067" s="4"/>
      <c r="F1067" s="24"/>
      <c r="G1067" s="8"/>
      <c r="H1067" s="9"/>
      <c r="I1067" s="8"/>
      <c r="J1067" s="10"/>
      <c r="K1067" s="8"/>
      <c r="L1067" s="8"/>
      <c r="M1067" s="8"/>
      <c r="N1067" s="11"/>
      <c r="O1067" s="9"/>
      <c r="P1067" s="12"/>
      <c r="Q1067" s="9"/>
      <c r="R1067" s="13"/>
      <c r="S1067" s="11"/>
      <c r="T1067" s="11"/>
      <c r="U1067" s="9"/>
      <c r="V1067" s="9"/>
      <c r="W1067" s="9"/>
      <c r="X1067" s="16"/>
      <c r="AF1067" s="42">
        <f>IF(BUSCAR!$C$8="FECHA NAC.",$G1067,IF(BUSCAR!$C$8="PASAPORTE EXPIRA",$J1067,IF(BUSCAR!$C$8="LICENCIA EMISION",$L1067,IF(BUSCAR!$C$8="LICENCIA EXPIRA",$M1067,""))))</f>
      </c>
      <c r="AG1067" s="42">
        <f>IF($B1067&amp;$C1067&amp;$D1067&amp;$E1067&amp;$H1067="",0,IF(AND(OR(BUSCAR!$J$5="",ISNUMBER(SEARCH(BUSCAR!$J$5,$AI1067))),OR(BUSCAR!$J$6="",ISNUMBER(SEARCH(BUSCAR!$J$6,$AI1067))),OR(BUSCAR!$J$8="",ISNUMBER(SEARCH(BUSCAR!$J$8,$AI1067))),OR(BUSCAR!$J$9="",ISNUMBER(SEARCH(BUSCAR!$J$9,$AI1067))),OR(NOT(BUSCAR!$J$2),AND(ISNUMBER($AF1067),$AF1067&gt;=BUSCAR!$J$3,$AF1067&lt;=BUSCAR!$J$4))),1,0))</f>
      </c>
      <c r="AH1067" s="42">
        <f t="shared" si="48"/>
      </c>
      <c r="AI1067" s="42">
        <f t="shared" si="49"/>
      </c>
    </row>
    <row r="1068" spans="1:35" x14ac:dyDescent="0.2">
      <c r="A1068" s="66">
        <f t="shared" si="50"/>
      </c>
      <c r="B1068" s="4"/>
      <c r="C1068" s="4"/>
      <c r="D1068" s="4"/>
      <c r="E1068" s="4"/>
      <c r="F1068" s="24"/>
      <c r="G1068" s="8"/>
      <c r="H1068" s="9"/>
      <c r="I1068" s="8"/>
      <c r="J1068" s="10"/>
      <c r="K1068" s="8"/>
      <c r="L1068" s="8"/>
      <c r="M1068" s="8"/>
      <c r="N1068" s="11"/>
      <c r="O1068" s="9"/>
      <c r="P1068" s="12"/>
      <c r="Q1068" s="9"/>
      <c r="R1068" s="13"/>
      <c r="S1068" s="11"/>
      <c r="T1068" s="11"/>
      <c r="U1068" s="9"/>
      <c r="V1068" s="9"/>
      <c r="W1068" s="9"/>
      <c r="X1068" s="16"/>
      <c r="AF1068" s="42">
        <f>IF(BUSCAR!$C$8="FECHA NAC.",$G1068,IF(BUSCAR!$C$8="PASAPORTE EXPIRA",$J1068,IF(BUSCAR!$C$8="LICENCIA EMISION",$L1068,IF(BUSCAR!$C$8="LICENCIA EXPIRA",$M1068,""))))</f>
      </c>
      <c r="AG1068" s="42">
        <f>IF($B1068&amp;$C1068&amp;$D1068&amp;$E1068&amp;$H1068="",0,IF(AND(OR(BUSCAR!$J$5="",ISNUMBER(SEARCH(BUSCAR!$J$5,$AI1068))),OR(BUSCAR!$J$6="",ISNUMBER(SEARCH(BUSCAR!$J$6,$AI1068))),OR(BUSCAR!$J$8="",ISNUMBER(SEARCH(BUSCAR!$J$8,$AI1068))),OR(BUSCAR!$J$9="",ISNUMBER(SEARCH(BUSCAR!$J$9,$AI1068))),OR(NOT(BUSCAR!$J$2),AND(ISNUMBER($AF1068),$AF1068&gt;=BUSCAR!$J$3,$AF1068&lt;=BUSCAR!$J$4))),1,0))</f>
      </c>
      <c r="AH1068" s="42">
        <f t="shared" si="48"/>
      </c>
      <c r="AI1068" s="42">
        <f t="shared" si="49"/>
      </c>
    </row>
    <row r="1069" spans="1:35" x14ac:dyDescent="0.2">
      <c r="A1069" s="66">
        <f t="shared" si="50"/>
      </c>
      <c r="B1069" s="4"/>
      <c r="C1069" s="4"/>
      <c r="D1069" s="4"/>
      <c r="E1069" s="4"/>
      <c r="F1069" s="24"/>
      <c r="G1069" s="8"/>
      <c r="H1069" s="9"/>
      <c r="I1069" s="8"/>
      <c r="J1069" s="10"/>
      <c r="K1069" s="8"/>
      <c r="L1069" s="8"/>
      <c r="M1069" s="8"/>
      <c r="N1069" s="11"/>
      <c r="O1069" s="9"/>
      <c r="P1069" s="12"/>
      <c r="Q1069" s="9"/>
      <c r="R1069" s="13"/>
      <c r="S1069" s="11"/>
      <c r="T1069" s="11"/>
      <c r="U1069" s="9"/>
      <c r="V1069" s="9"/>
      <c r="W1069" s="9"/>
      <c r="X1069" s="16"/>
      <c r="AF1069" s="42">
        <f>IF(BUSCAR!$C$8="FECHA NAC.",$G1069,IF(BUSCAR!$C$8="PASAPORTE EXPIRA",$J1069,IF(BUSCAR!$C$8="LICENCIA EMISION",$L1069,IF(BUSCAR!$C$8="LICENCIA EXPIRA",$M1069,""))))</f>
      </c>
      <c r="AG1069" s="42">
        <f>IF($B1069&amp;$C1069&amp;$D1069&amp;$E1069&amp;$H1069="",0,IF(AND(OR(BUSCAR!$J$5="",ISNUMBER(SEARCH(BUSCAR!$J$5,$AI1069))),OR(BUSCAR!$J$6="",ISNUMBER(SEARCH(BUSCAR!$J$6,$AI1069))),OR(BUSCAR!$J$8="",ISNUMBER(SEARCH(BUSCAR!$J$8,$AI1069))),OR(BUSCAR!$J$9="",ISNUMBER(SEARCH(BUSCAR!$J$9,$AI1069))),OR(NOT(BUSCAR!$J$2),AND(ISNUMBER($AF1069),$AF1069&gt;=BUSCAR!$J$3,$AF1069&lt;=BUSCAR!$J$4))),1,0))</f>
      </c>
      <c r="AH1069" s="42">
        <f t="shared" si="48"/>
      </c>
      <c r="AI1069" s="42">
        <f t="shared" si="49"/>
      </c>
    </row>
    <row r="1070" spans="1:35" x14ac:dyDescent="0.2">
      <c r="A1070" s="66">
        <f t="shared" si="50"/>
      </c>
      <c r="B1070" s="4"/>
      <c r="C1070" s="4"/>
      <c r="D1070" s="4"/>
      <c r="E1070" s="4"/>
      <c r="F1070" s="24"/>
      <c r="G1070" s="8"/>
      <c r="H1070" s="9"/>
      <c r="I1070" s="8"/>
      <c r="J1070" s="10"/>
      <c r="K1070" s="8"/>
      <c r="L1070" s="8"/>
      <c r="M1070" s="8"/>
      <c r="N1070" s="11"/>
      <c r="O1070" s="9"/>
      <c r="P1070" s="12"/>
      <c r="Q1070" s="9"/>
      <c r="R1070" s="13"/>
      <c r="S1070" s="11"/>
      <c r="T1070" s="11"/>
      <c r="U1070" s="9"/>
      <c r="V1070" s="9"/>
      <c r="W1070" s="9"/>
      <c r="X1070" s="16"/>
      <c r="AF1070" s="42">
        <f>IF(BUSCAR!$C$8="FECHA NAC.",$G1070,IF(BUSCAR!$C$8="PASAPORTE EXPIRA",$J1070,IF(BUSCAR!$C$8="LICENCIA EMISION",$L1070,IF(BUSCAR!$C$8="LICENCIA EXPIRA",$M1070,""))))</f>
      </c>
      <c r="AG1070" s="42">
        <f>IF($B1070&amp;$C1070&amp;$D1070&amp;$E1070&amp;$H1070="",0,IF(AND(OR(BUSCAR!$J$5="",ISNUMBER(SEARCH(BUSCAR!$J$5,$AI1070))),OR(BUSCAR!$J$6="",ISNUMBER(SEARCH(BUSCAR!$J$6,$AI1070))),OR(BUSCAR!$J$8="",ISNUMBER(SEARCH(BUSCAR!$J$8,$AI1070))),OR(BUSCAR!$J$9="",ISNUMBER(SEARCH(BUSCAR!$J$9,$AI1070))),OR(NOT(BUSCAR!$J$2),AND(ISNUMBER($AF1070),$AF1070&gt;=BUSCAR!$J$3,$AF1070&lt;=BUSCAR!$J$4))),1,0))</f>
      </c>
      <c r="AH1070" s="42">
        <f t="shared" si="48"/>
      </c>
      <c r="AI1070" s="42">
        <f t="shared" si="49"/>
      </c>
    </row>
    <row r="1071" spans="1:35" x14ac:dyDescent="0.2">
      <c r="A1071" s="66">
        <f t="shared" si="50"/>
      </c>
      <c r="B1071" s="4"/>
      <c r="C1071" s="4"/>
      <c r="D1071" s="4"/>
      <c r="E1071" s="4"/>
      <c r="F1071" s="24"/>
      <c r="G1071" s="8"/>
      <c r="H1071" s="9"/>
      <c r="I1071" s="8"/>
      <c r="J1071" s="10"/>
      <c r="K1071" s="8"/>
      <c r="L1071" s="8"/>
      <c r="M1071" s="8"/>
      <c r="N1071" s="11"/>
      <c r="O1071" s="9"/>
      <c r="P1071" s="12"/>
      <c r="Q1071" s="9"/>
      <c r="R1071" s="13"/>
      <c r="S1071" s="11"/>
      <c r="T1071" s="11"/>
      <c r="U1071" s="9"/>
      <c r="V1071" s="9"/>
      <c r="W1071" s="9"/>
      <c r="X1071" s="16"/>
      <c r="AF1071" s="42">
        <f>IF(BUSCAR!$C$8="FECHA NAC.",$G1071,IF(BUSCAR!$C$8="PASAPORTE EXPIRA",$J1071,IF(BUSCAR!$C$8="LICENCIA EMISION",$L1071,IF(BUSCAR!$C$8="LICENCIA EXPIRA",$M1071,""))))</f>
      </c>
      <c r="AG1071" s="42">
        <f>IF($B1071&amp;$C1071&amp;$D1071&amp;$E1071&amp;$H1071="",0,IF(AND(OR(BUSCAR!$J$5="",ISNUMBER(SEARCH(BUSCAR!$J$5,$AI1071))),OR(BUSCAR!$J$6="",ISNUMBER(SEARCH(BUSCAR!$J$6,$AI1071))),OR(BUSCAR!$J$8="",ISNUMBER(SEARCH(BUSCAR!$J$8,$AI1071))),OR(BUSCAR!$J$9="",ISNUMBER(SEARCH(BUSCAR!$J$9,$AI1071))),OR(NOT(BUSCAR!$J$2),AND(ISNUMBER($AF1071),$AF1071&gt;=BUSCAR!$J$3,$AF1071&lt;=BUSCAR!$J$4))),1,0))</f>
      </c>
      <c r="AH1071" s="42">
        <f t="shared" si="48"/>
      </c>
      <c r="AI1071" s="42">
        <f t="shared" si="49"/>
      </c>
    </row>
    <row r="1072" spans="1:35" x14ac:dyDescent="0.2">
      <c r="A1072" s="66">
        <f t="shared" si="50"/>
      </c>
      <c r="B1072" s="4"/>
      <c r="C1072" s="4"/>
      <c r="D1072" s="4"/>
      <c r="E1072" s="4"/>
      <c r="F1072" s="24"/>
      <c r="G1072" s="8"/>
      <c r="H1072" s="9"/>
      <c r="I1072" s="8"/>
      <c r="J1072" s="10"/>
      <c r="K1072" s="8"/>
      <c r="L1072" s="8"/>
      <c r="M1072" s="8"/>
      <c r="N1072" s="11"/>
      <c r="O1072" s="9"/>
      <c r="P1072" s="12"/>
      <c r="Q1072" s="9"/>
      <c r="R1072" s="13"/>
      <c r="S1072" s="11"/>
      <c r="T1072" s="11"/>
      <c r="U1072" s="9"/>
      <c r="V1072" s="9"/>
      <c r="W1072" s="9"/>
      <c r="X1072" s="16"/>
      <c r="AF1072" s="42">
        <f>IF(BUSCAR!$C$8="FECHA NAC.",$G1072,IF(BUSCAR!$C$8="PASAPORTE EXPIRA",$J1072,IF(BUSCAR!$C$8="LICENCIA EMISION",$L1072,IF(BUSCAR!$C$8="LICENCIA EXPIRA",$M1072,""))))</f>
      </c>
      <c r="AG1072" s="42">
        <f>IF($B1072&amp;$C1072&amp;$D1072&amp;$E1072&amp;$H1072="",0,IF(AND(OR(BUSCAR!$J$5="",ISNUMBER(SEARCH(BUSCAR!$J$5,$AI1072))),OR(BUSCAR!$J$6="",ISNUMBER(SEARCH(BUSCAR!$J$6,$AI1072))),OR(BUSCAR!$J$8="",ISNUMBER(SEARCH(BUSCAR!$J$8,$AI1072))),OR(BUSCAR!$J$9="",ISNUMBER(SEARCH(BUSCAR!$J$9,$AI1072))),OR(NOT(BUSCAR!$J$2),AND(ISNUMBER($AF1072),$AF1072&gt;=BUSCAR!$J$3,$AF1072&lt;=BUSCAR!$J$4))),1,0))</f>
      </c>
      <c r="AH1072" s="42">
        <f t="shared" si="48"/>
      </c>
      <c r="AI1072" s="42">
        <f t="shared" si="49"/>
      </c>
    </row>
    <row r="1073" spans="1:35" x14ac:dyDescent="0.2">
      <c r="A1073" s="66">
        <f t="shared" si="50"/>
      </c>
      <c r="B1073" s="4"/>
      <c r="C1073" s="4"/>
      <c r="D1073" s="4"/>
      <c r="E1073" s="4"/>
      <c r="F1073" s="24"/>
      <c r="G1073" s="8"/>
      <c r="H1073" s="9"/>
      <c r="I1073" s="8"/>
      <c r="J1073" s="10"/>
      <c r="K1073" s="8"/>
      <c r="L1073" s="8"/>
      <c r="M1073" s="8"/>
      <c r="N1073" s="11"/>
      <c r="O1073" s="9"/>
      <c r="P1073" s="12"/>
      <c r="Q1073" s="9"/>
      <c r="R1073" s="13"/>
      <c r="S1073" s="11"/>
      <c r="T1073" s="11"/>
      <c r="U1073" s="9"/>
      <c r="V1073" s="9"/>
      <c r="W1073" s="9"/>
      <c r="X1073" s="16"/>
      <c r="AF1073" s="42">
        <f>IF(BUSCAR!$C$8="FECHA NAC.",$G1073,IF(BUSCAR!$C$8="PASAPORTE EXPIRA",$J1073,IF(BUSCAR!$C$8="LICENCIA EMISION",$L1073,IF(BUSCAR!$C$8="LICENCIA EXPIRA",$M1073,""))))</f>
      </c>
      <c r="AG1073" s="42">
        <f>IF($B1073&amp;$C1073&amp;$D1073&amp;$E1073&amp;$H1073="",0,IF(AND(OR(BUSCAR!$J$5="",ISNUMBER(SEARCH(BUSCAR!$J$5,$AI1073))),OR(BUSCAR!$J$6="",ISNUMBER(SEARCH(BUSCAR!$J$6,$AI1073))),OR(BUSCAR!$J$8="",ISNUMBER(SEARCH(BUSCAR!$J$8,$AI1073))),OR(BUSCAR!$J$9="",ISNUMBER(SEARCH(BUSCAR!$J$9,$AI1073))),OR(NOT(BUSCAR!$J$2),AND(ISNUMBER($AF1073),$AF1073&gt;=BUSCAR!$J$3,$AF1073&lt;=BUSCAR!$J$4))),1,0))</f>
      </c>
      <c r="AH1073" s="42">
        <f t="shared" si="48"/>
      </c>
      <c r="AI1073" s="42">
        <f t="shared" si="49"/>
      </c>
    </row>
    <row r="1074" spans="1:35" x14ac:dyDescent="0.2">
      <c r="A1074" s="66">
        <f t="shared" si="50"/>
      </c>
      <c r="B1074" s="4"/>
      <c r="C1074" s="4"/>
      <c r="D1074" s="4"/>
      <c r="E1074" s="4"/>
      <c r="F1074" s="24"/>
      <c r="G1074" s="8"/>
      <c r="H1074" s="9"/>
      <c r="I1074" s="8"/>
      <c r="J1074" s="10"/>
      <c r="K1074" s="8"/>
      <c r="L1074" s="8"/>
      <c r="M1074" s="8"/>
      <c r="N1074" s="11"/>
      <c r="O1074" s="9"/>
      <c r="P1074" s="12"/>
      <c r="Q1074" s="9"/>
      <c r="R1074" s="13"/>
      <c r="S1074" s="11"/>
      <c r="T1074" s="11"/>
      <c r="U1074" s="9"/>
      <c r="V1074" s="9"/>
      <c r="W1074" s="9"/>
      <c r="X1074" s="16"/>
      <c r="AF1074" s="42">
        <f>IF(BUSCAR!$C$8="FECHA NAC.",$G1074,IF(BUSCAR!$C$8="PASAPORTE EXPIRA",$J1074,IF(BUSCAR!$C$8="LICENCIA EMISION",$L1074,IF(BUSCAR!$C$8="LICENCIA EXPIRA",$M1074,""))))</f>
      </c>
      <c r="AG1074" s="42">
        <f>IF($B1074&amp;$C1074&amp;$D1074&amp;$E1074&amp;$H1074="",0,IF(AND(OR(BUSCAR!$J$5="",ISNUMBER(SEARCH(BUSCAR!$J$5,$AI1074))),OR(BUSCAR!$J$6="",ISNUMBER(SEARCH(BUSCAR!$J$6,$AI1074))),OR(BUSCAR!$J$8="",ISNUMBER(SEARCH(BUSCAR!$J$8,$AI1074))),OR(BUSCAR!$J$9="",ISNUMBER(SEARCH(BUSCAR!$J$9,$AI1074))),OR(NOT(BUSCAR!$J$2),AND(ISNUMBER($AF1074),$AF1074&gt;=BUSCAR!$J$3,$AF1074&lt;=BUSCAR!$J$4))),1,0))</f>
      </c>
      <c r="AH1074" s="42">
        <f t="shared" si="48"/>
      </c>
      <c r="AI1074" s="42">
        <f t="shared" si="49"/>
      </c>
    </row>
    <row r="1075" spans="1:35" x14ac:dyDescent="0.2">
      <c r="A1075" s="66">
        <f t="shared" si="50"/>
      </c>
      <c r="B1075" s="4"/>
      <c r="C1075" s="4"/>
      <c r="D1075" s="4"/>
      <c r="E1075" s="4"/>
      <c r="F1075" s="24"/>
      <c r="G1075" s="8"/>
      <c r="H1075" s="9"/>
      <c r="I1075" s="8"/>
      <c r="J1075" s="10"/>
      <c r="K1075" s="8"/>
      <c r="L1075" s="8"/>
      <c r="M1075" s="8"/>
      <c r="N1075" s="11"/>
      <c r="O1075" s="9"/>
      <c r="P1075" s="12"/>
      <c r="Q1075" s="9"/>
      <c r="R1075" s="13"/>
      <c r="S1075" s="11"/>
      <c r="T1075" s="11"/>
      <c r="U1075" s="9"/>
      <c r="V1075" s="9"/>
      <c r="W1075" s="9"/>
      <c r="X1075" s="16"/>
      <c r="AF1075" s="42">
        <f>IF(BUSCAR!$C$8="FECHA NAC.",$G1075,IF(BUSCAR!$C$8="PASAPORTE EXPIRA",$J1075,IF(BUSCAR!$C$8="LICENCIA EMISION",$L1075,IF(BUSCAR!$C$8="LICENCIA EXPIRA",$M1075,""))))</f>
      </c>
      <c r="AG1075" s="42">
        <f>IF($B1075&amp;$C1075&amp;$D1075&amp;$E1075&amp;$H1075="",0,IF(AND(OR(BUSCAR!$J$5="",ISNUMBER(SEARCH(BUSCAR!$J$5,$AI1075))),OR(BUSCAR!$J$6="",ISNUMBER(SEARCH(BUSCAR!$J$6,$AI1075))),OR(BUSCAR!$J$8="",ISNUMBER(SEARCH(BUSCAR!$J$8,$AI1075))),OR(BUSCAR!$J$9="",ISNUMBER(SEARCH(BUSCAR!$J$9,$AI1075))),OR(NOT(BUSCAR!$J$2),AND(ISNUMBER($AF1075),$AF1075&gt;=BUSCAR!$J$3,$AF1075&lt;=BUSCAR!$J$4))),1,0))</f>
      </c>
      <c r="AH1075" s="42">
        <f t="shared" si="48"/>
      </c>
      <c r="AI1075" s="42">
        <f t="shared" si="49"/>
      </c>
    </row>
    <row r="1076" spans="1:35" x14ac:dyDescent="0.2">
      <c r="A1076" s="66">
        <f t="shared" si="50"/>
      </c>
      <c r="B1076" s="4"/>
      <c r="C1076" s="4"/>
      <c r="D1076" s="4"/>
      <c r="E1076" s="4"/>
      <c r="F1076" s="24"/>
      <c r="G1076" s="8"/>
      <c r="H1076" s="9"/>
      <c r="I1076" s="8"/>
      <c r="J1076" s="10"/>
      <c r="K1076" s="8"/>
      <c r="L1076" s="8"/>
      <c r="M1076" s="8"/>
      <c r="N1076" s="11"/>
      <c r="O1076" s="9"/>
      <c r="P1076" s="12"/>
      <c r="Q1076" s="9"/>
      <c r="R1076" s="13"/>
      <c r="S1076" s="11"/>
      <c r="T1076" s="11"/>
      <c r="U1076" s="9"/>
      <c r="V1076" s="9"/>
      <c r="W1076" s="9"/>
      <c r="X1076" s="16"/>
      <c r="AF1076" s="42">
        <f>IF(BUSCAR!$C$8="FECHA NAC.",$G1076,IF(BUSCAR!$C$8="PASAPORTE EXPIRA",$J1076,IF(BUSCAR!$C$8="LICENCIA EMISION",$L1076,IF(BUSCAR!$C$8="LICENCIA EXPIRA",$M1076,""))))</f>
      </c>
      <c r="AG1076" s="42">
        <f>IF($B1076&amp;$C1076&amp;$D1076&amp;$E1076&amp;$H1076="",0,IF(AND(OR(BUSCAR!$J$5="",ISNUMBER(SEARCH(BUSCAR!$J$5,$AI1076))),OR(BUSCAR!$J$6="",ISNUMBER(SEARCH(BUSCAR!$J$6,$AI1076))),OR(BUSCAR!$J$8="",ISNUMBER(SEARCH(BUSCAR!$J$8,$AI1076))),OR(BUSCAR!$J$9="",ISNUMBER(SEARCH(BUSCAR!$J$9,$AI1076))),OR(NOT(BUSCAR!$J$2),AND(ISNUMBER($AF1076),$AF1076&gt;=BUSCAR!$J$3,$AF1076&lt;=BUSCAR!$J$4))),1,0))</f>
      </c>
      <c r="AH1076" s="42">
        <f t="shared" si="48"/>
      </c>
      <c r="AI1076" s="42">
        <f t="shared" si="49"/>
      </c>
    </row>
    <row r="1077" spans="1:35" x14ac:dyDescent="0.2">
      <c r="A1077" s="66">
        <f t="shared" si="50"/>
      </c>
      <c r="B1077" s="4"/>
      <c r="C1077" s="4"/>
      <c r="D1077" s="4"/>
      <c r="E1077" s="4"/>
      <c r="F1077" s="24"/>
      <c r="G1077" s="8"/>
      <c r="H1077" s="9"/>
      <c r="I1077" s="8"/>
      <c r="J1077" s="10"/>
      <c r="K1077" s="8"/>
      <c r="L1077" s="8"/>
      <c r="M1077" s="8"/>
      <c r="N1077" s="11"/>
      <c r="O1077" s="9"/>
      <c r="P1077" s="12"/>
      <c r="Q1077" s="9"/>
      <c r="R1077" s="13"/>
      <c r="S1077" s="11"/>
      <c r="T1077" s="11"/>
      <c r="U1077" s="9"/>
      <c r="V1077" s="9"/>
      <c r="W1077" s="9"/>
      <c r="X1077" s="16"/>
      <c r="AF1077" s="42">
        <f>IF(BUSCAR!$C$8="FECHA NAC.",$G1077,IF(BUSCAR!$C$8="PASAPORTE EXPIRA",$J1077,IF(BUSCAR!$C$8="LICENCIA EMISION",$L1077,IF(BUSCAR!$C$8="LICENCIA EXPIRA",$M1077,""))))</f>
      </c>
      <c r="AG1077" s="42">
        <f>IF($B1077&amp;$C1077&amp;$D1077&amp;$E1077&amp;$H1077="",0,IF(AND(OR(BUSCAR!$J$5="",ISNUMBER(SEARCH(BUSCAR!$J$5,$AI1077))),OR(BUSCAR!$J$6="",ISNUMBER(SEARCH(BUSCAR!$J$6,$AI1077))),OR(BUSCAR!$J$8="",ISNUMBER(SEARCH(BUSCAR!$J$8,$AI1077))),OR(BUSCAR!$J$9="",ISNUMBER(SEARCH(BUSCAR!$J$9,$AI1077))),OR(NOT(BUSCAR!$J$2),AND(ISNUMBER($AF1077),$AF1077&gt;=BUSCAR!$J$3,$AF1077&lt;=BUSCAR!$J$4))),1,0))</f>
      </c>
      <c r="AH1077" s="42">
        <f t="shared" si="48"/>
      </c>
      <c r="AI1077" s="42">
        <f t="shared" si="49"/>
      </c>
    </row>
    <row r="1078" spans="1:35" x14ac:dyDescent="0.2">
      <c r="A1078" s="66">
        <f t="shared" si="50"/>
      </c>
      <c r="B1078" s="4"/>
      <c r="C1078" s="4"/>
      <c r="D1078" s="4"/>
      <c r="E1078" s="4"/>
      <c r="F1078" s="24"/>
      <c r="G1078" s="8"/>
      <c r="H1078" s="9"/>
      <c r="I1078" s="8"/>
      <c r="J1078" s="10"/>
      <c r="K1078" s="8"/>
      <c r="L1078" s="8"/>
      <c r="M1078" s="8"/>
      <c r="N1078" s="11"/>
      <c r="O1078" s="9"/>
      <c r="P1078" s="12"/>
      <c r="Q1078" s="9"/>
      <c r="R1078" s="13"/>
      <c r="S1078" s="11"/>
      <c r="T1078" s="11"/>
      <c r="U1078" s="9"/>
      <c r="V1078" s="9"/>
      <c r="W1078" s="9"/>
      <c r="X1078" s="16"/>
      <c r="AF1078" s="42">
        <f>IF(BUSCAR!$C$8="FECHA NAC.",$G1078,IF(BUSCAR!$C$8="PASAPORTE EXPIRA",$J1078,IF(BUSCAR!$C$8="LICENCIA EMISION",$L1078,IF(BUSCAR!$C$8="LICENCIA EXPIRA",$M1078,""))))</f>
      </c>
      <c r="AG1078" s="42">
        <f>IF($B1078&amp;$C1078&amp;$D1078&amp;$E1078&amp;$H1078="",0,IF(AND(OR(BUSCAR!$J$5="",ISNUMBER(SEARCH(BUSCAR!$J$5,$AI1078))),OR(BUSCAR!$J$6="",ISNUMBER(SEARCH(BUSCAR!$J$6,$AI1078))),OR(BUSCAR!$J$8="",ISNUMBER(SEARCH(BUSCAR!$J$8,$AI1078))),OR(BUSCAR!$J$9="",ISNUMBER(SEARCH(BUSCAR!$J$9,$AI1078))),OR(NOT(BUSCAR!$J$2),AND(ISNUMBER($AF1078),$AF1078&gt;=BUSCAR!$J$3,$AF1078&lt;=BUSCAR!$J$4))),1,0))</f>
      </c>
      <c r="AH1078" s="42">
        <f t="shared" si="48"/>
      </c>
      <c r="AI1078" s="42">
        <f t="shared" si="49"/>
      </c>
    </row>
    <row r="1079" spans="1:35" x14ac:dyDescent="0.2">
      <c r="A1079" s="66">
        <f t="shared" si="50"/>
      </c>
      <c r="B1079" s="4"/>
      <c r="C1079" s="4"/>
      <c r="D1079" s="4"/>
      <c r="E1079" s="4"/>
      <c r="F1079" s="24"/>
      <c r="G1079" s="8"/>
      <c r="H1079" s="9"/>
      <c r="I1079" s="8"/>
      <c r="J1079" s="10"/>
      <c r="K1079" s="8"/>
      <c r="L1079" s="8"/>
      <c r="M1079" s="8"/>
      <c r="N1079" s="11"/>
      <c r="O1079" s="9"/>
      <c r="P1079" s="12"/>
      <c r="Q1079" s="9"/>
      <c r="R1079" s="13"/>
      <c r="S1079" s="11"/>
      <c r="T1079" s="11"/>
      <c r="U1079" s="9"/>
      <c r="V1079" s="9"/>
      <c r="W1079" s="9"/>
      <c r="X1079" s="16"/>
      <c r="AF1079" s="42">
        <f>IF(BUSCAR!$C$8="FECHA NAC.",$G1079,IF(BUSCAR!$C$8="PASAPORTE EXPIRA",$J1079,IF(BUSCAR!$C$8="LICENCIA EMISION",$L1079,IF(BUSCAR!$C$8="LICENCIA EXPIRA",$M1079,""))))</f>
      </c>
      <c r="AG1079" s="42">
        <f>IF($B1079&amp;$C1079&amp;$D1079&amp;$E1079&amp;$H1079="",0,IF(AND(OR(BUSCAR!$J$5="",ISNUMBER(SEARCH(BUSCAR!$J$5,$AI1079))),OR(BUSCAR!$J$6="",ISNUMBER(SEARCH(BUSCAR!$J$6,$AI1079))),OR(BUSCAR!$J$8="",ISNUMBER(SEARCH(BUSCAR!$J$8,$AI1079))),OR(BUSCAR!$J$9="",ISNUMBER(SEARCH(BUSCAR!$J$9,$AI1079))),OR(NOT(BUSCAR!$J$2),AND(ISNUMBER($AF1079),$AF1079&gt;=BUSCAR!$J$3,$AF1079&lt;=BUSCAR!$J$4))),1,0))</f>
      </c>
      <c r="AH1079" s="42">
        <f t="shared" si="48"/>
      </c>
      <c r="AI1079" s="42">
        <f t="shared" si="49"/>
      </c>
    </row>
    <row r="1080" spans="1:35" x14ac:dyDescent="0.2">
      <c r="A1080" s="66">
        <f t="shared" si="50"/>
      </c>
      <c r="B1080" s="4"/>
      <c r="C1080" s="4"/>
      <c r="D1080" s="4"/>
      <c r="E1080" s="4"/>
      <c r="F1080" s="24"/>
      <c r="G1080" s="8"/>
      <c r="H1080" s="9"/>
      <c r="I1080" s="8"/>
      <c r="J1080" s="10"/>
      <c r="K1080" s="8"/>
      <c r="L1080" s="8"/>
      <c r="M1080" s="8"/>
      <c r="N1080" s="11"/>
      <c r="O1080" s="9"/>
      <c r="P1080" s="12"/>
      <c r="Q1080" s="9"/>
      <c r="R1080" s="13"/>
      <c r="S1080" s="11"/>
      <c r="T1080" s="11"/>
      <c r="U1080" s="9"/>
      <c r="V1080" s="9"/>
      <c r="W1080" s="9"/>
      <c r="X1080" s="16"/>
      <c r="AF1080" s="42">
        <f>IF(BUSCAR!$C$8="FECHA NAC.",$G1080,IF(BUSCAR!$C$8="PASAPORTE EXPIRA",$J1080,IF(BUSCAR!$C$8="LICENCIA EMISION",$L1080,IF(BUSCAR!$C$8="LICENCIA EXPIRA",$M1080,""))))</f>
      </c>
      <c r="AG1080" s="42">
        <f>IF($B1080&amp;$C1080&amp;$D1080&amp;$E1080&amp;$H1080="",0,IF(AND(OR(BUSCAR!$J$5="",ISNUMBER(SEARCH(BUSCAR!$J$5,$AI1080))),OR(BUSCAR!$J$6="",ISNUMBER(SEARCH(BUSCAR!$J$6,$AI1080))),OR(BUSCAR!$J$8="",ISNUMBER(SEARCH(BUSCAR!$J$8,$AI1080))),OR(BUSCAR!$J$9="",ISNUMBER(SEARCH(BUSCAR!$J$9,$AI1080))),OR(NOT(BUSCAR!$J$2),AND(ISNUMBER($AF1080),$AF1080&gt;=BUSCAR!$J$3,$AF1080&lt;=BUSCAR!$J$4))),1,0))</f>
      </c>
      <c r="AH1080" s="42">
        <f t="shared" si="48"/>
      </c>
      <c r="AI1080" s="42">
        <f t="shared" si="49"/>
      </c>
    </row>
    <row r="1081" spans="1:35" x14ac:dyDescent="0.2">
      <c r="A1081" s="66">
        <f t="shared" si="50"/>
      </c>
      <c r="B1081" s="4"/>
      <c r="C1081" s="4"/>
      <c r="D1081" s="4"/>
      <c r="E1081" s="4"/>
      <c r="F1081" s="24"/>
      <c r="G1081" s="8"/>
      <c r="H1081" s="9"/>
      <c r="I1081" s="8"/>
      <c r="J1081" s="10"/>
      <c r="K1081" s="8"/>
      <c r="L1081" s="8"/>
      <c r="M1081" s="8"/>
      <c r="N1081" s="11"/>
      <c r="O1081" s="9"/>
      <c r="P1081" s="12"/>
      <c r="Q1081" s="9"/>
      <c r="R1081" s="13"/>
      <c r="S1081" s="11"/>
      <c r="T1081" s="11"/>
      <c r="U1081" s="9"/>
      <c r="V1081" s="9"/>
      <c r="W1081" s="9"/>
      <c r="X1081" s="16"/>
      <c r="AF1081" s="42">
        <f>IF(BUSCAR!$C$8="FECHA NAC.",$G1081,IF(BUSCAR!$C$8="PASAPORTE EXPIRA",$J1081,IF(BUSCAR!$C$8="LICENCIA EMISION",$L1081,IF(BUSCAR!$C$8="LICENCIA EXPIRA",$M1081,""))))</f>
      </c>
      <c r="AG1081" s="42">
        <f>IF($B1081&amp;$C1081&amp;$D1081&amp;$E1081&amp;$H1081="",0,IF(AND(OR(BUSCAR!$J$5="",ISNUMBER(SEARCH(BUSCAR!$J$5,$AI1081))),OR(BUSCAR!$J$6="",ISNUMBER(SEARCH(BUSCAR!$J$6,$AI1081))),OR(BUSCAR!$J$8="",ISNUMBER(SEARCH(BUSCAR!$J$8,$AI1081))),OR(BUSCAR!$J$9="",ISNUMBER(SEARCH(BUSCAR!$J$9,$AI1081))),OR(NOT(BUSCAR!$J$2),AND(ISNUMBER($AF1081),$AF1081&gt;=BUSCAR!$J$3,$AF1081&lt;=BUSCAR!$J$4))),1,0))</f>
      </c>
      <c r="AH1081" s="42">
        <f t="shared" si="48"/>
      </c>
      <c r="AI1081" s="42">
        <f t="shared" si="49"/>
      </c>
    </row>
    <row r="1082" spans="1:35" x14ac:dyDescent="0.2">
      <c r="A1082" s="66">
        <f t="shared" si="50"/>
      </c>
      <c r="B1082" s="4"/>
      <c r="C1082" s="4"/>
      <c r="D1082" s="4"/>
      <c r="E1082" s="4"/>
      <c r="F1082" s="24"/>
      <c r="G1082" s="8"/>
      <c r="H1082" s="9"/>
      <c r="I1082" s="8"/>
      <c r="J1082" s="10"/>
      <c r="K1082" s="8"/>
      <c r="L1082" s="8"/>
      <c r="M1082" s="8"/>
      <c r="N1082" s="11"/>
      <c r="O1082" s="9"/>
      <c r="P1082" s="12"/>
      <c r="Q1082" s="9"/>
      <c r="R1082" s="13"/>
      <c r="S1082" s="11"/>
      <c r="T1082" s="11"/>
      <c r="U1082" s="9"/>
      <c r="V1082" s="9"/>
      <c r="W1082" s="9"/>
      <c r="X1082" s="16"/>
      <c r="AF1082" s="42">
        <f>IF(BUSCAR!$C$8="FECHA NAC.",$G1082,IF(BUSCAR!$C$8="PASAPORTE EXPIRA",$J1082,IF(BUSCAR!$C$8="LICENCIA EMISION",$L1082,IF(BUSCAR!$C$8="LICENCIA EXPIRA",$M1082,""))))</f>
      </c>
      <c r="AG1082" s="42">
        <f>IF($B1082&amp;$C1082&amp;$D1082&amp;$E1082&amp;$H1082="",0,IF(AND(OR(BUSCAR!$J$5="",ISNUMBER(SEARCH(BUSCAR!$J$5,$AI1082))),OR(BUSCAR!$J$6="",ISNUMBER(SEARCH(BUSCAR!$J$6,$AI1082))),OR(BUSCAR!$J$8="",ISNUMBER(SEARCH(BUSCAR!$J$8,$AI1082))),OR(BUSCAR!$J$9="",ISNUMBER(SEARCH(BUSCAR!$J$9,$AI1082))),OR(NOT(BUSCAR!$J$2),AND(ISNUMBER($AF1082),$AF1082&gt;=BUSCAR!$J$3,$AF1082&lt;=BUSCAR!$J$4))),1,0))</f>
      </c>
      <c r="AH1082" s="42">
        <f t="shared" si="48"/>
      </c>
      <c r="AI1082" s="42">
        <f t="shared" si="49"/>
      </c>
    </row>
    <row r="1083" spans="1:35" x14ac:dyDescent="0.2">
      <c r="A1083" s="66">
        <f t="shared" si="50"/>
      </c>
      <c r="B1083" s="4"/>
      <c r="C1083" s="4"/>
      <c r="D1083" s="4"/>
      <c r="E1083" s="4"/>
      <c r="F1083" s="24"/>
      <c r="G1083" s="8"/>
      <c r="H1083" s="9"/>
      <c r="I1083" s="8"/>
      <c r="J1083" s="10"/>
      <c r="K1083" s="8"/>
      <c r="L1083" s="8"/>
      <c r="M1083" s="8"/>
      <c r="N1083" s="11"/>
      <c r="O1083" s="9"/>
      <c r="P1083" s="12"/>
      <c r="Q1083" s="9"/>
      <c r="R1083" s="13"/>
      <c r="S1083" s="11"/>
      <c r="T1083" s="11"/>
      <c r="U1083" s="9"/>
      <c r="V1083" s="9"/>
      <c r="W1083" s="9"/>
      <c r="X1083" s="16"/>
      <c r="AF1083" s="42">
        <f>IF(BUSCAR!$C$8="FECHA NAC.",$G1083,IF(BUSCAR!$C$8="PASAPORTE EXPIRA",$J1083,IF(BUSCAR!$C$8="LICENCIA EMISION",$L1083,IF(BUSCAR!$C$8="LICENCIA EXPIRA",$M1083,""))))</f>
      </c>
      <c r="AG1083" s="42">
        <f>IF($B1083&amp;$C1083&amp;$D1083&amp;$E1083&amp;$H1083="",0,IF(AND(OR(BUSCAR!$J$5="",ISNUMBER(SEARCH(BUSCAR!$J$5,$AI1083))),OR(BUSCAR!$J$6="",ISNUMBER(SEARCH(BUSCAR!$J$6,$AI1083))),OR(BUSCAR!$J$8="",ISNUMBER(SEARCH(BUSCAR!$J$8,$AI1083))),OR(BUSCAR!$J$9="",ISNUMBER(SEARCH(BUSCAR!$J$9,$AI1083))),OR(NOT(BUSCAR!$J$2),AND(ISNUMBER($AF1083),$AF1083&gt;=BUSCAR!$J$3,$AF1083&lt;=BUSCAR!$J$4))),1,0))</f>
      </c>
      <c r="AH1083" s="42">
        <f t="shared" si="48"/>
      </c>
      <c r="AI1083" s="42">
        <f t="shared" si="49"/>
      </c>
    </row>
    <row r="1084" spans="1:35" x14ac:dyDescent="0.2">
      <c r="A1084" s="66">
        <f t="shared" si="50"/>
      </c>
      <c r="B1084" s="4"/>
      <c r="C1084" s="4"/>
      <c r="D1084" s="4"/>
      <c r="E1084" s="4"/>
      <c r="F1084" s="24"/>
      <c r="G1084" s="8"/>
      <c r="H1084" s="9"/>
      <c r="I1084" s="8"/>
      <c r="J1084" s="10"/>
      <c r="K1084" s="8"/>
      <c r="L1084" s="8"/>
      <c r="M1084" s="8"/>
      <c r="N1084" s="11"/>
      <c r="O1084" s="9"/>
      <c r="P1084" s="12"/>
      <c r="Q1084" s="9"/>
      <c r="R1084" s="13"/>
      <c r="S1084" s="11"/>
      <c r="T1084" s="11"/>
      <c r="U1084" s="9"/>
      <c r="V1084" s="9"/>
      <c r="W1084" s="9"/>
      <c r="X1084" s="16"/>
      <c r="AF1084" s="42">
        <f>IF(BUSCAR!$C$8="FECHA NAC.",$G1084,IF(BUSCAR!$C$8="PASAPORTE EXPIRA",$J1084,IF(BUSCAR!$C$8="LICENCIA EMISION",$L1084,IF(BUSCAR!$C$8="LICENCIA EXPIRA",$M1084,""))))</f>
      </c>
      <c r="AG1084" s="42">
        <f>IF($B1084&amp;$C1084&amp;$D1084&amp;$E1084&amp;$H1084="",0,IF(AND(OR(BUSCAR!$J$5="",ISNUMBER(SEARCH(BUSCAR!$J$5,$AI1084))),OR(BUSCAR!$J$6="",ISNUMBER(SEARCH(BUSCAR!$J$6,$AI1084))),OR(BUSCAR!$J$8="",ISNUMBER(SEARCH(BUSCAR!$J$8,$AI1084))),OR(BUSCAR!$J$9="",ISNUMBER(SEARCH(BUSCAR!$J$9,$AI1084))),OR(NOT(BUSCAR!$J$2),AND(ISNUMBER($AF1084),$AF1084&gt;=BUSCAR!$J$3,$AF1084&lt;=BUSCAR!$J$4))),1,0))</f>
      </c>
      <c r="AH1084" s="42">
        <f t="shared" si="48"/>
      </c>
      <c r="AI1084" s="42">
        <f t="shared" si="49"/>
      </c>
    </row>
    <row r="1085" spans="1:35" x14ac:dyDescent="0.2">
      <c r="A1085" s="66">
        <f t="shared" si="50"/>
      </c>
      <c r="B1085" s="4"/>
      <c r="C1085" s="4"/>
      <c r="D1085" s="4"/>
      <c r="E1085" s="4"/>
      <c r="F1085" s="24"/>
      <c r="G1085" s="8"/>
      <c r="H1085" s="9"/>
      <c r="I1085" s="8"/>
      <c r="J1085" s="10"/>
      <c r="K1085" s="8"/>
      <c r="L1085" s="8"/>
      <c r="M1085" s="8"/>
      <c r="N1085" s="11"/>
      <c r="O1085" s="9"/>
      <c r="P1085" s="12"/>
      <c r="Q1085" s="9"/>
      <c r="R1085" s="13"/>
      <c r="S1085" s="11"/>
      <c r="T1085" s="11"/>
      <c r="U1085" s="9"/>
      <c r="V1085" s="9"/>
      <c r="W1085" s="9"/>
      <c r="X1085" s="16"/>
      <c r="AF1085" s="42">
        <f>IF(BUSCAR!$C$8="FECHA NAC.",$G1085,IF(BUSCAR!$C$8="PASAPORTE EXPIRA",$J1085,IF(BUSCAR!$C$8="LICENCIA EMISION",$L1085,IF(BUSCAR!$C$8="LICENCIA EXPIRA",$M1085,""))))</f>
      </c>
      <c r="AG1085" s="42">
        <f>IF($B1085&amp;$C1085&amp;$D1085&amp;$E1085&amp;$H1085="",0,IF(AND(OR(BUSCAR!$J$5="",ISNUMBER(SEARCH(BUSCAR!$J$5,$AI1085))),OR(BUSCAR!$J$6="",ISNUMBER(SEARCH(BUSCAR!$J$6,$AI1085))),OR(BUSCAR!$J$8="",ISNUMBER(SEARCH(BUSCAR!$J$8,$AI1085))),OR(BUSCAR!$J$9="",ISNUMBER(SEARCH(BUSCAR!$J$9,$AI1085))),OR(NOT(BUSCAR!$J$2),AND(ISNUMBER($AF1085),$AF1085&gt;=BUSCAR!$J$3,$AF1085&lt;=BUSCAR!$J$4))),1,0))</f>
      </c>
      <c r="AH1085" s="42">
        <f t="shared" si="48"/>
      </c>
      <c r="AI1085" s="42">
        <f t="shared" si="49"/>
      </c>
    </row>
    <row r="1086" spans="1:35" x14ac:dyDescent="0.2">
      <c r="A1086" s="66">
        <f t="shared" si="50"/>
      </c>
      <c r="B1086" s="4"/>
      <c r="C1086" s="4"/>
      <c r="D1086" s="4"/>
      <c r="E1086" s="4"/>
      <c r="F1086" s="24"/>
      <c r="G1086" s="8"/>
      <c r="H1086" s="9"/>
      <c r="I1086" s="8"/>
      <c r="J1086" s="10"/>
      <c r="K1086" s="8"/>
      <c r="L1086" s="8"/>
      <c r="M1086" s="8"/>
      <c r="N1086" s="11"/>
      <c r="O1086" s="9"/>
      <c r="P1086" s="12"/>
      <c r="Q1086" s="9"/>
      <c r="R1086" s="13"/>
      <c r="S1086" s="11"/>
      <c r="T1086" s="11"/>
      <c r="U1086" s="9"/>
      <c r="V1086" s="9"/>
      <c r="W1086" s="9"/>
      <c r="X1086" s="16"/>
      <c r="AF1086" s="42">
        <f>IF(BUSCAR!$C$8="FECHA NAC.",$G1086,IF(BUSCAR!$C$8="PASAPORTE EXPIRA",$J1086,IF(BUSCAR!$C$8="LICENCIA EMISION",$L1086,IF(BUSCAR!$C$8="LICENCIA EXPIRA",$M1086,""))))</f>
      </c>
      <c r="AG1086" s="42">
        <f>IF($B1086&amp;$C1086&amp;$D1086&amp;$E1086&amp;$H1086="",0,IF(AND(OR(BUSCAR!$J$5="",ISNUMBER(SEARCH(BUSCAR!$J$5,$AI1086))),OR(BUSCAR!$J$6="",ISNUMBER(SEARCH(BUSCAR!$J$6,$AI1086))),OR(BUSCAR!$J$8="",ISNUMBER(SEARCH(BUSCAR!$J$8,$AI1086))),OR(BUSCAR!$J$9="",ISNUMBER(SEARCH(BUSCAR!$J$9,$AI1086))),OR(NOT(BUSCAR!$J$2),AND(ISNUMBER($AF1086),$AF1086&gt;=BUSCAR!$J$3,$AF1086&lt;=BUSCAR!$J$4))),1,0))</f>
      </c>
      <c r="AH1086" s="42">
        <f t="shared" si="48"/>
      </c>
      <c r="AI1086" s="42">
        <f t="shared" si="49"/>
      </c>
    </row>
    <row r="1087" spans="1:35" x14ac:dyDescent="0.2">
      <c r="A1087" s="66">
        <f t="shared" si="50"/>
      </c>
      <c r="B1087" s="4"/>
      <c r="C1087" s="4"/>
      <c r="D1087" s="4"/>
      <c r="E1087" s="4"/>
      <c r="F1087" s="24"/>
      <c r="G1087" s="8"/>
      <c r="H1087" s="9"/>
      <c r="I1087" s="8"/>
      <c r="J1087" s="10"/>
      <c r="K1087" s="8"/>
      <c r="L1087" s="8"/>
      <c r="M1087" s="8"/>
      <c r="N1087" s="11"/>
      <c r="O1087" s="9"/>
      <c r="P1087" s="12"/>
      <c r="Q1087" s="9"/>
      <c r="R1087" s="13"/>
      <c r="S1087" s="11"/>
      <c r="T1087" s="11"/>
      <c r="U1087" s="9"/>
      <c r="V1087" s="9"/>
      <c r="W1087" s="9"/>
      <c r="X1087" s="16"/>
      <c r="AF1087" s="42">
        <f>IF(BUSCAR!$C$8="FECHA NAC.",$G1087,IF(BUSCAR!$C$8="PASAPORTE EXPIRA",$J1087,IF(BUSCAR!$C$8="LICENCIA EMISION",$L1087,IF(BUSCAR!$C$8="LICENCIA EXPIRA",$M1087,""))))</f>
      </c>
      <c r="AG1087" s="42">
        <f>IF($B1087&amp;$C1087&amp;$D1087&amp;$E1087&amp;$H1087="",0,IF(AND(OR(BUSCAR!$J$5="",ISNUMBER(SEARCH(BUSCAR!$J$5,$AI1087))),OR(BUSCAR!$J$6="",ISNUMBER(SEARCH(BUSCAR!$J$6,$AI1087))),OR(BUSCAR!$J$8="",ISNUMBER(SEARCH(BUSCAR!$J$8,$AI1087))),OR(BUSCAR!$J$9="",ISNUMBER(SEARCH(BUSCAR!$J$9,$AI1087))),OR(NOT(BUSCAR!$J$2),AND(ISNUMBER($AF1087),$AF1087&gt;=BUSCAR!$J$3,$AF1087&lt;=BUSCAR!$J$4))),1,0))</f>
      </c>
      <c r="AH1087" s="42">
        <f t="shared" si="48"/>
      </c>
      <c r="AI1087" s="42">
        <f t="shared" si="49"/>
      </c>
    </row>
    <row r="1088" spans="1:35" x14ac:dyDescent="0.2">
      <c r="A1088" s="66">
        <f t="shared" si="50"/>
      </c>
      <c r="B1088" s="4"/>
      <c r="C1088" s="4"/>
      <c r="D1088" s="4"/>
      <c r="E1088" s="4"/>
      <c r="F1088" s="24"/>
      <c r="G1088" s="8"/>
      <c r="H1088" s="9"/>
      <c r="I1088" s="8"/>
      <c r="J1088" s="10"/>
      <c r="K1088" s="8"/>
      <c r="L1088" s="8"/>
      <c r="M1088" s="8"/>
      <c r="N1088" s="11"/>
      <c r="O1088" s="9"/>
      <c r="P1088" s="12"/>
      <c r="Q1088" s="9"/>
      <c r="R1088" s="13"/>
      <c r="S1088" s="11"/>
      <c r="T1088" s="11"/>
      <c r="U1088" s="9"/>
      <c r="V1088" s="9"/>
      <c r="W1088" s="9"/>
      <c r="X1088" s="16"/>
      <c r="AF1088" s="42">
        <f>IF(BUSCAR!$C$8="FECHA NAC.",$G1088,IF(BUSCAR!$C$8="PASAPORTE EXPIRA",$J1088,IF(BUSCAR!$C$8="LICENCIA EMISION",$L1088,IF(BUSCAR!$C$8="LICENCIA EXPIRA",$M1088,""))))</f>
      </c>
      <c r="AG1088" s="42">
        <f>IF($B1088&amp;$C1088&amp;$D1088&amp;$E1088&amp;$H1088="",0,IF(AND(OR(BUSCAR!$J$5="",ISNUMBER(SEARCH(BUSCAR!$J$5,$AI1088))),OR(BUSCAR!$J$6="",ISNUMBER(SEARCH(BUSCAR!$J$6,$AI1088))),OR(BUSCAR!$J$8="",ISNUMBER(SEARCH(BUSCAR!$J$8,$AI1088))),OR(BUSCAR!$J$9="",ISNUMBER(SEARCH(BUSCAR!$J$9,$AI1088))),OR(NOT(BUSCAR!$J$2),AND(ISNUMBER($AF1088),$AF1088&gt;=BUSCAR!$J$3,$AF1088&lt;=BUSCAR!$J$4))),1,0))</f>
      </c>
      <c r="AH1088" s="42">
        <f t="shared" si="48"/>
      </c>
      <c r="AI1088" s="42">
        <f t="shared" si="49"/>
      </c>
    </row>
    <row r="1089" spans="1:35" x14ac:dyDescent="0.2">
      <c r="A1089" s="66">
        <f t="shared" si="50"/>
      </c>
      <c r="B1089" s="4"/>
      <c r="C1089" s="4"/>
      <c r="D1089" s="4"/>
      <c r="E1089" s="4"/>
      <c r="F1089" s="24"/>
      <c r="G1089" s="8"/>
      <c r="H1089" s="9"/>
      <c r="I1089" s="8"/>
      <c r="J1089" s="10"/>
      <c r="K1089" s="8"/>
      <c r="L1089" s="8"/>
      <c r="M1089" s="8"/>
      <c r="N1089" s="11"/>
      <c r="O1089" s="9"/>
      <c r="P1089" s="12"/>
      <c r="Q1089" s="9"/>
      <c r="R1089" s="13"/>
      <c r="S1089" s="11"/>
      <c r="T1089" s="11"/>
      <c r="U1089" s="9"/>
      <c r="V1089" s="9"/>
      <c r="W1089" s="9"/>
      <c r="X1089" s="16"/>
      <c r="AF1089" s="42">
        <f>IF(BUSCAR!$C$8="FECHA NAC.",$G1089,IF(BUSCAR!$C$8="PASAPORTE EXPIRA",$J1089,IF(BUSCAR!$C$8="LICENCIA EMISION",$L1089,IF(BUSCAR!$C$8="LICENCIA EXPIRA",$M1089,""))))</f>
      </c>
      <c r="AG1089" s="42">
        <f>IF($B1089&amp;$C1089&amp;$D1089&amp;$E1089&amp;$H1089="",0,IF(AND(OR(BUSCAR!$J$5="",ISNUMBER(SEARCH(BUSCAR!$J$5,$AI1089))),OR(BUSCAR!$J$6="",ISNUMBER(SEARCH(BUSCAR!$J$6,$AI1089))),OR(BUSCAR!$J$8="",ISNUMBER(SEARCH(BUSCAR!$J$8,$AI1089))),OR(BUSCAR!$J$9="",ISNUMBER(SEARCH(BUSCAR!$J$9,$AI1089))),OR(NOT(BUSCAR!$J$2),AND(ISNUMBER($AF1089),$AF1089&gt;=BUSCAR!$J$3,$AF1089&lt;=BUSCAR!$J$4))),1,0))</f>
      </c>
      <c r="AH1089" s="42">
        <f t="shared" si="48"/>
      </c>
      <c r="AI1089" s="42">
        <f t="shared" si="49"/>
      </c>
    </row>
    <row r="1090" spans="1:35" x14ac:dyDescent="0.2">
      <c r="A1090" s="66">
        <f t="shared" si="50"/>
      </c>
      <c r="B1090" s="4"/>
      <c r="C1090" s="4"/>
      <c r="D1090" s="4"/>
      <c r="E1090" s="4"/>
      <c r="F1090" s="24"/>
      <c r="G1090" s="8"/>
      <c r="H1090" s="9"/>
      <c r="I1090" s="8"/>
      <c r="J1090" s="10"/>
      <c r="K1090" s="8"/>
      <c r="L1090" s="8"/>
      <c r="M1090" s="8"/>
      <c r="N1090" s="11"/>
      <c r="O1090" s="9"/>
      <c r="P1090" s="12"/>
      <c r="Q1090" s="9"/>
      <c r="R1090" s="13"/>
      <c r="S1090" s="11"/>
      <c r="T1090" s="11"/>
      <c r="U1090" s="9"/>
      <c r="V1090" s="9"/>
      <c r="W1090" s="9"/>
      <c r="X1090" s="16"/>
      <c r="AF1090" s="42">
        <f>IF(BUSCAR!$C$8="FECHA NAC.",$G1090,IF(BUSCAR!$C$8="PASAPORTE EXPIRA",$J1090,IF(BUSCAR!$C$8="LICENCIA EMISION",$L1090,IF(BUSCAR!$C$8="LICENCIA EXPIRA",$M1090,""))))</f>
      </c>
      <c r="AG1090" s="42">
        <f>IF($B1090&amp;$C1090&amp;$D1090&amp;$E1090&amp;$H1090="",0,IF(AND(OR(BUSCAR!$J$5="",ISNUMBER(SEARCH(BUSCAR!$J$5,$AI1090))),OR(BUSCAR!$J$6="",ISNUMBER(SEARCH(BUSCAR!$J$6,$AI1090))),OR(BUSCAR!$J$8="",ISNUMBER(SEARCH(BUSCAR!$J$8,$AI1090))),OR(BUSCAR!$J$9="",ISNUMBER(SEARCH(BUSCAR!$J$9,$AI1090))),OR(NOT(BUSCAR!$J$2),AND(ISNUMBER($AF1090),$AF1090&gt;=BUSCAR!$J$3,$AF1090&lt;=BUSCAR!$J$4))),1,0))</f>
      </c>
      <c r="AH1090" s="42">
        <f t="shared" si="48"/>
      </c>
      <c r="AI1090" s="42">
        <f t="shared" si="49"/>
      </c>
    </row>
    <row r="1091" spans="1:35" x14ac:dyDescent="0.2">
      <c r="A1091" s="66">
        <f t="shared" si="50"/>
      </c>
      <c r="B1091" s="4"/>
      <c r="C1091" s="4"/>
      <c r="D1091" s="4"/>
      <c r="E1091" s="4"/>
      <c r="F1091" s="24"/>
      <c r="G1091" s="8"/>
      <c r="H1091" s="9"/>
      <c r="I1091" s="8"/>
      <c r="J1091" s="10"/>
      <c r="K1091" s="8"/>
      <c r="L1091" s="8"/>
      <c r="M1091" s="8"/>
      <c r="N1091" s="11"/>
      <c r="O1091" s="9"/>
      <c r="P1091" s="12"/>
      <c r="Q1091" s="9"/>
      <c r="R1091" s="13"/>
      <c r="S1091" s="11"/>
      <c r="T1091" s="11"/>
      <c r="U1091" s="9"/>
      <c r="V1091" s="9"/>
      <c r="W1091" s="9"/>
      <c r="X1091" s="16"/>
      <c r="AF1091" s="42">
        <f>IF(BUSCAR!$C$8="FECHA NAC.",$G1091,IF(BUSCAR!$C$8="PASAPORTE EXPIRA",$J1091,IF(BUSCAR!$C$8="LICENCIA EMISION",$L1091,IF(BUSCAR!$C$8="LICENCIA EXPIRA",$M1091,""))))</f>
      </c>
      <c r="AG1091" s="42">
        <f>IF($B1091&amp;$C1091&amp;$D1091&amp;$E1091&amp;$H1091="",0,IF(AND(OR(BUSCAR!$J$5="",ISNUMBER(SEARCH(BUSCAR!$J$5,$AI1091))),OR(BUSCAR!$J$6="",ISNUMBER(SEARCH(BUSCAR!$J$6,$AI1091))),OR(BUSCAR!$J$8="",ISNUMBER(SEARCH(BUSCAR!$J$8,$AI1091))),OR(BUSCAR!$J$9="",ISNUMBER(SEARCH(BUSCAR!$J$9,$AI1091))),OR(NOT(BUSCAR!$J$2),AND(ISNUMBER($AF1091),$AF1091&gt;=BUSCAR!$J$3,$AF1091&lt;=BUSCAR!$J$4))),1,0))</f>
      </c>
      <c r="AH1091" s="42">
        <f t="shared" ref="AH1091:AH1154" si="51">AH1090+AG1091</f>
      </c>
      <c r="AI1091" s="42">
        <f t="shared" ref="AI1091:AI1154" si="52">IF($B1091&amp;" "&amp;$C1091&amp;" "&amp;$D1091&amp;" "&amp;$E1091&amp;" "&amp;$H1091&amp;" "&amp;$K1091&amp;" "&amp;$R1091&amp;" "&amp;$AC1091&amp;" "&amp;$AD1091="","",SUBSTITUTE(SUBSTITUTE(SUBSTITUTE(SUBSTITUTE(SUBSTITUTE(SUBSTITUTE(SUBSTITUTE(UPPER($B1091&amp;" "&amp;$C1091&amp;" "&amp;$D1091&amp;" "&amp;$E1091&amp;" "&amp;$H1091&amp;" "&amp;$K1091&amp;" "&amp;$R1091&amp;" "&amp;$AC1091&amp;" "&amp;$AD1091),"Á","A"),"É","E"),"Í","I"),"Ó","O"),"Ú","U"),"Ü","U"),"Ñ","N"))</f>
      </c>
    </row>
    <row r="1092" spans="1:35" x14ac:dyDescent="0.2">
      <c r="A1092" s="66">
        <f t="shared" ref="A1092:A1155" si="53">A1091+1</f>
      </c>
      <c r="B1092" s="4"/>
      <c r="C1092" s="4"/>
      <c r="D1092" s="4"/>
      <c r="E1092" s="4"/>
      <c r="F1092" s="24"/>
      <c r="G1092" s="8"/>
      <c r="H1092" s="9"/>
      <c r="I1092" s="8"/>
      <c r="J1092" s="10"/>
      <c r="K1092" s="8"/>
      <c r="L1092" s="8"/>
      <c r="M1092" s="8"/>
      <c r="N1092" s="11"/>
      <c r="O1092" s="9"/>
      <c r="P1092" s="12"/>
      <c r="Q1092" s="9"/>
      <c r="R1092" s="13"/>
      <c r="S1092" s="11"/>
      <c r="T1092" s="11"/>
      <c r="U1092" s="9"/>
      <c r="V1092" s="9"/>
      <c r="W1092" s="9"/>
      <c r="X1092" s="16"/>
      <c r="AF1092" s="42">
        <f>IF(BUSCAR!$C$8="FECHA NAC.",$G1092,IF(BUSCAR!$C$8="PASAPORTE EXPIRA",$J1092,IF(BUSCAR!$C$8="LICENCIA EMISION",$L1092,IF(BUSCAR!$C$8="LICENCIA EXPIRA",$M1092,""))))</f>
      </c>
      <c r="AG1092" s="42">
        <f>IF($B1092&amp;$C1092&amp;$D1092&amp;$E1092&amp;$H1092="",0,IF(AND(OR(BUSCAR!$J$5="",ISNUMBER(SEARCH(BUSCAR!$J$5,$AI1092))),OR(BUSCAR!$J$6="",ISNUMBER(SEARCH(BUSCAR!$J$6,$AI1092))),OR(BUSCAR!$J$8="",ISNUMBER(SEARCH(BUSCAR!$J$8,$AI1092))),OR(BUSCAR!$J$9="",ISNUMBER(SEARCH(BUSCAR!$J$9,$AI1092))),OR(NOT(BUSCAR!$J$2),AND(ISNUMBER($AF1092),$AF1092&gt;=BUSCAR!$J$3,$AF1092&lt;=BUSCAR!$J$4))),1,0))</f>
      </c>
      <c r="AH1092" s="42">
        <f t="shared" si="51"/>
      </c>
      <c r="AI1092" s="42">
        <f t="shared" si="52"/>
      </c>
    </row>
    <row r="1093" spans="1:35" x14ac:dyDescent="0.2">
      <c r="A1093" s="66">
        <f t="shared" si="53"/>
      </c>
      <c r="B1093" s="4"/>
      <c r="C1093" s="4"/>
      <c r="D1093" s="4"/>
      <c r="E1093" s="4"/>
      <c r="F1093" s="24"/>
      <c r="G1093" s="8"/>
      <c r="H1093" s="9"/>
      <c r="I1093" s="8"/>
      <c r="J1093" s="10"/>
      <c r="K1093" s="8"/>
      <c r="L1093" s="8"/>
      <c r="M1093" s="8"/>
      <c r="N1093" s="11"/>
      <c r="O1093" s="9"/>
      <c r="P1093" s="12"/>
      <c r="Q1093" s="9"/>
      <c r="R1093" s="13"/>
      <c r="S1093" s="11"/>
      <c r="T1093" s="11"/>
      <c r="U1093" s="9"/>
      <c r="V1093" s="9"/>
      <c r="W1093" s="9"/>
      <c r="X1093" s="16"/>
      <c r="AF1093" s="42">
        <f>IF(BUSCAR!$C$8="FECHA NAC.",$G1093,IF(BUSCAR!$C$8="PASAPORTE EXPIRA",$J1093,IF(BUSCAR!$C$8="LICENCIA EMISION",$L1093,IF(BUSCAR!$C$8="LICENCIA EXPIRA",$M1093,""))))</f>
      </c>
      <c r="AG1093" s="42">
        <f>IF($B1093&amp;$C1093&amp;$D1093&amp;$E1093&amp;$H1093="",0,IF(AND(OR(BUSCAR!$J$5="",ISNUMBER(SEARCH(BUSCAR!$J$5,$AI1093))),OR(BUSCAR!$J$6="",ISNUMBER(SEARCH(BUSCAR!$J$6,$AI1093))),OR(BUSCAR!$J$8="",ISNUMBER(SEARCH(BUSCAR!$J$8,$AI1093))),OR(BUSCAR!$J$9="",ISNUMBER(SEARCH(BUSCAR!$J$9,$AI1093))),OR(NOT(BUSCAR!$J$2),AND(ISNUMBER($AF1093),$AF1093&gt;=BUSCAR!$J$3,$AF1093&lt;=BUSCAR!$J$4))),1,0))</f>
      </c>
      <c r="AH1093" s="42">
        <f t="shared" si="51"/>
      </c>
      <c r="AI1093" s="42">
        <f t="shared" si="52"/>
      </c>
    </row>
    <row r="1094" spans="1:35" x14ac:dyDescent="0.2">
      <c r="A1094" s="66">
        <f t="shared" si="53"/>
      </c>
      <c r="B1094" s="4"/>
      <c r="C1094" s="4"/>
      <c r="D1094" s="4"/>
      <c r="E1094" s="4"/>
      <c r="F1094" s="24"/>
      <c r="G1094" s="8"/>
      <c r="H1094" s="9"/>
      <c r="I1094" s="8"/>
      <c r="J1094" s="10"/>
      <c r="K1094" s="8"/>
      <c r="L1094" s="8"/>
      <c r="M1094" s="8"/>
      <c r="N1094" s="11"/>
      <c r="O1094" s="9"/>
      <c r="P1094" s="12"/>
      <c r="Q1094" s="9"/>
      <c r="R1094" s="13"/>
      <c r="S1094" s="11"/>
      <c r="T1094" s="11"/>
      <c r="U1094" s="9"/>
      <c r="V1094" s="9"/>
      <c r="W1094" s="9"/>
      <c r="X1094" s="16"/>
      <c r="AF1094" s="42">
        <f>IF(BUSCAR!$C$8="FECHA NAC.",$G1094,IF(BUSCAR!$C$8="PASAPORTE EXPIRA",$J1094,IF(BUSCAR!$C$8="LICENCIA EMISION",$L1094,IF(BUSCAR!$C$8="LICENCIA EXPIRA",$M1094,""))))</f>
      </c>
      <c r="AG1094" s="42">
        <f>IF($B1094&amp;$C1094&amp;$D1094&amp;$E1094&amp;$H1094="",0,IF(AND(OR(BUSCAR!$J$5="",ISNUMBER(SEARCH(BUSCAR!$J$5,$AI1094))),OR(BUSCAR!$J$6="",ISNUMBER(SEARCH(BUSCAR!$J$6,$AI1094))),OR(BUSCAR!$J$8="",ISNUMBER(SEARCH(BUSCAR!$J$8,$AI1094))),OR(BUSCAR!$J$9="",ISNUMBER(SEARCH(BUSCAR!$J$9,$AI1094))),OR(NOT(BUSCAR!$J$2),AND(ISNUMBER($AF1094),$AF1094&gt;=BUSCAR!$J$3,$AF1094&lt;=BUSCAR!$J$4))),1,0))</f>
      </c>
      <c r="AH1094" s="42">
        <f t="shared" si="51"/>
      </c>
      <c r="AI1094" s="42">
        <f t="shared" si="52"/>
      </c>
    </row>
    <row r="1095" spans="1:35" x14ac:dyDescent="0.2">
      <c r="A1095" s="66">
        <f t="shared" si="53"/>
      </c>
      <c r="B1095" s="4"/>
      <c r="C1095" s="4"/>
      <c r="D1095" s="4"/>
      <c r="E1095" s="4"/>
      <c r="F1095" s="24"/>
      <c r="G1095" s="8"/>
      <c r="H1095" s="9"/>
      <c r="I1095" s="8"/>
      <c r="J1095" s="10"/>
      <c r="K1095" s="8"/>
      <c r="L1095" s="8"/>
      <c r="M1095" s="8"/>
      <c r="N1095" s="11"/>
      <c r="O1095" s="9"/>
      <c r="P1095" s="12"/>
      <c r="Q1095" s="9"/>
      <c r="R1095" s="13"/>
      <c r="S1095" s="11"/>
      <c r="T1095" s="11"/>
      <c r="U1095" s="9"/>
      <c r="V1095" s="9"/>
      <c r="W1095" s="9"/>
      <c r="X1095" s="16"/>
      <c r="AF1095" s="42">
        <f>IF(BUSCAR!$C$8="FECHA NAC.",$G1095,IF(BUSCAR!$C$8="PASAPORTE EXPIRA",$J1095,IF(BUSCAR!$C$8="LICENCIA EMISION",$L1095,IF(BUSCAR!$C$8="LICENCIA EXPIRA",$M1095,""))))</f>
      </c>
      <c r="AG1095" s="42">
        <f>IF($B1095&amp;$C1095&amp;$D1095&amp;$E1095&amp;$H1095="",0,IF(AND(OR(BUSCAR!$J$5="",ISNUMBER(SEARCH(BUSCAR!$J$5,$AI1095))),OR(BUSCAR!$J$6="",ISNUMBER(SEARCH(BUSCAR!$J$6,$AI1095))),OR(BUSCAR!$J$8="",ISNUMBER(SEARCH(BUSCAR!$J$8,$AI1095))),OR(BUSCAR!$J$9="",ISNUMBER(SEARCH(BUSCAR!$J$9,$AI1095))),OR(NOT(BUSCAR!$J$2),AND(ISNUMBER($AF1095),$AF1095&gt;=BUSCAR!$J$3,$AF1095&lt;=BUSCAR!$J$4))),1,0))</f>
      </c>
      <c r="AH1095" s="42">
        <f t="shared" si="51"/>
      </c>
      <c r="AI1095" s="42">
        <f t="shared" si="52"/>
      </c>
    </row>
    <row r="1096" spans="1:35" x14ac:dyDescent="0.2">
      <c r="A1096" s="66">
        <f t="shared" si="53"/>
      </c>
      <c r="B1096" s="4"/>
      <c r="C1096" s="4"/>
      <c r="D1096" s="4"/>
      <c r="E1096" s="4"/>
      <c r="F1096" s="24"/>
      <c r="G1096" s="8"/>
      <c r="H1096" s="9"/>
      <c r="I1096" s="8"/>
      <c r="J1096" s="10"/>
      <c r="K1096" s="8"/>
      <c r="L1096" s="8"/>
      <c r="M1096" s="8"/>
      <c r="N1096" s="11"/>
      <c r="O1096" s="9"/>
      <c r="P1096" s="12"/>
      <c r="Q1096" s="9"/>
      <c r="R1096" s="13"/>
      <c r="S1096" s="11"/>
      <c r="T1096" s="11"/>
      <c r="U1096" s="9"/>
      <c r="V1096" s="9"/>
      <c r="W1096" s="9"/>
      <c r="X1096" s="16"/>
      <c r="AF1096" s="42">
        <f>IF(BUSCAR!$C$8="FECHA NAC.",$G1096,IF(BUSCAR!$C$8="PASAPORTE EXPIRA",$J1096,IF(BUSCAR!$C$8="LICENCIA EMISION",$L1096,IF(BUSCAR!$C$8="LICENCIA EXPIRA",$M1096,""))))</f>
      </c>
      <c r="AG1096" s="42">
        <f>IF($B1096&amp;$C1096&amp;$D1096&amp;$E1096&amp;$H1096="",0,IF(AND(OR(BUSCAR!$J$5="",ISNUMBER(SEARCH(BUSCAR!$J$5,$AI1096))),OR(BUSCAR!$J$6="",ISNUMBER(SEARCH(BUSCAR!$J$6,$AI1096))),OR(BUSCAR!$J$8="",ISNUMBER(SEARCH(BUSCAR!$J$8,$AI1096))),OR(BUSCAR!$J$9="",ISNUMBER(SEARCH(BUSCAR!$J$9,$AI1096))),OR(NOT(BUSCAR!$J$2),AND(ISNUMBER($AF1096),$AF1096&gt;=BUSCAR!$J$3,$AF1096&lt;=BUSCAR!$J$4))),1,0))</f>
      </c>
      <c r="AH1096" s="42">
        <f t="shared" si="51"/>
      </c>
      <c r="AI1096" s="42">
        <f t="shared" si="52"/>
      </c>
    </row>
    <row r="1097" spans="1:35" x14ac:dyDescent="0.2">
      <c r="A1097" s="66">
        <f t="shared" si="53"/>
      </c>
      <c r="B1097" s="4"/>
      <c r="C1097" s="4"/>
      <c r="D1097" s="4"/>
      <c r="E1097" s="4"/>
      <c r="F1097" s="24"/>
      <c r="G1097" s="8"/>
      <c r="H1097" s="9"/>
      <c r="I1097" s="8"/>
      <c r="J1097" s="10"/>
      <c r="K1097" s="8"/>
      <c r="L1097" s="8"/>
      <c r="M1097" s="8"/>
      <c r="N1097" s="11"/>
      <c r="O1097" s="9"/>
      <c r="P1097" s="12"/>
      <c r="Q1097" s="9"/>
      <c r="R1097" s="13"/>
      <c r="S1097" s="11"/>
      <c r="T1097" s="11"/>
      <c r="U1097" s="9"/>
      <c r="V1097" s="9"/>
      <c r="W1097" s="9"/>
      <c r="X1097" s="16"/>
      <c r="AF1097" s="42">
        <f>IF(BUSCAR!$C$8="FECHA NAC.",$G1097,IF(BUSCAR!$C$8="PASAPORTE EXPIRA",$J1097,IF(BUSCAR!$C$8="LICENCIA EMISION",$L1097,IF(BUSCAR!$C$8="LICENCIA EXPIRA",$M1097,""))))</f>
      </c>
      <c r="AG1097" s="42">
        <f>IF($B1097&amp;$C1097&amp;$D1097&amp;$E1097&amp;$H1097="",0,IF(AND(OR(BUSCAR!$J$5="",ISNUMBER(SEARCH(BUSCAR!$J$5,$AI1097))),OR(BUSCAR!$J$6="",ISNUMBER(SEARCH(BUSCAR!$J$6,$AI1097))),OR(BUSCAR!$J$8="",ISNUMBER(SEARCH(BUSCAR!$J$8,$AI1097))),OR(BUSCAR!$J$9="",ISNUMBER(SEARCH(BUSCAR!$J$9,$AI1097))),OR(NOT(BUSCAR!$J$2),AND(ISNUMBER($AF1097),$AF1097&gt;=BUSCAR!$J$3,$AF1097&lt;=BUSCAR!$J$4))),1,0))</f>
      </c>
      <c r="AH1097" s="42">
        <f t="shared" si="51"/>
      </c>
      <c r="AI1097" s="42">
        <f t="shared" si="52"/>
      </c>
    </row>
    <row r="1098" spans="1:35" x14ac:dyDescent="0.2">
      <c r="A1098" s="66">
        <f t="shared" si="53"/>
      </c>
      <c r="B1098" s="4"/>
      <c r="C1098" s="4"/>
      <c r="D1098" s="4"/>
      <c r="E1098" s="4"/>
      <c r="F1098" s="24"/>
      <c r="G1098" s="8"/>
      <c r="H1098" s="9"/>
      <c r="I1098" s="8"/>
      <c r="J1098" s="10"/>
      <c r="K1098" s="8"/>
      <c r="L1098" s="8"/>
      <c r="M1098" s="8"/>
      <c r="N1098" s="11"/>
      <c r="O1098" s="9"/>
      <c r="P1098" s="12"/>
      <c r="Q1098" s="9"/>
      <c r="R1098" s="13"/>
      <c r="S1098" s="11"/>
      <c r="T1098" s="11"/>
      <c r="U1098" s="9"/>
      <c r="V1098" s="9"/>
      <c r="W1098" s="9"/>
      <c r="X1098" s="16"/>
      <c r="AF1098" s="42">
        <f>IF(BUSCAR!$C$8="FECHA NAC.",$G1098,IF(BUSCAR!$C$8="PASAPORTE EXPIRA",$J1098,IF(BUSCAR!$C$8="LICENCIA EMISION",$L1098,IF(BUSCAR!$C$8="LICENCIA EXPIRA",$M1098,""))))</f>
      </c>
      <c r="AG1098" s="42">
        <f>IF($B1098&amp;$C1098&amp;$D1098&amp;$E1098&amp;$H1098="",0,IF(AND(OR(BUSCAR!$J$5="",ISNUMBER(SEARCH(BUSCAR!$J$5,$AI1098))),OR(BUSCAR!$J$6="",ISNUMBER(SEARCH(BUSCAR!$J$6,$AI1098))),OR(BUSCAR!$J$8="",ISNUMBER(SEARCH(BUSCAR!$J$8,$AI1098))),OR(BUSCAR!$J$9="",ISNUMBER(SEARCH(BUSCAR!$J$9,$AI1098))),OR(NOT(BUSCAR!$J$2),AND(ISNUMBER($AF1098),$AF1098&gt;=BUSCAR!$J$3,$AF1098&lt;=BUSCAR!$J$4))),1,0))</f>
      </c>
      <c r="AH1098" s="42">
        <f t="shared" si="51"/>
      </c>
      <c r="AI1098" s="42">
        <f t="shared" si="52"/>
      </c>
    </row>
    <row r="1099" spans="1:35" x14ac:dyDescent="0.2">
      <c r="A1099" s="66">
        <f t="shared" si="53"/>
      </c>
      <c r="B1099" s="4"/>
      <c r="C1099" s="4"/>
      <c r="D1099" s="4"/>
      <c r="E1099" s="4"/>
      <c r="F1099" s="24"/>
      <c r="G1099" s="8"/>
      <c r="H1099" s="9"/>
      <c r="I1099" s="8"/>
      <c r="J1099" s="10"/>
      <c r="K1099" s="8"/>
      <c r="L1099" s="8"/>
      <c r="M1099" s="8"/>
      <c r="N1099" s="11"/>
      <c r="O1099" s="9"/>
      <c r="P1099" s="12"/>
      <c r="Q1099" s="9"/>
      <c r="R1099" s="13"/>
      <c r="S1099" s="11"/>
      <c r="T1099" s="11"/>
      <c r="U1099" s="9"/>
      <c r="V1099" s="9"/>
      <c r="W1099" s="9"/>
      <c r="X1099" s="16"/>
      <c r="AF1099" s="42">
        <f>IF(BUSCAR!$C$8="FECHA NAC.",$G1099,IF(BUSCAR!$C$8="PASAPORTE EXPIRA",$J1099,IF(BUSCAR!$C$8="LICENCIA EMISION",$L1099,IF(BUSCAR!$C$8="LICENCIA EXPIRA",$M1099,""))))</f>
      </c>
      <c r="AG1099" s="42">
        <f>IF($B1099&amp;$C1099&amp;$D1099&amp;$E1099&amp;$H1099="",0,IF(AND(OR(BUSCAR!$J$5="",ISNUMBER(SEARCH(BUSCAR!$J$5,$AI1099))),OR(BUSCAR!$J$6="",ISNUMBER(SEARCH(BUSCAR!$J$6,$AI1099))),OR(BUSCAR!$J$8="",ISNUMBER(SEARCH(BUSCAR!$J$8,$AI1099))),OR(BUSCAR!$J$9="",ISNUMBER(SEARCH(BUSCAR!$J$9,$AI1099))),OR(NOT(BUSCAR!$J$2),AND(ISNUMBER($AF1099),$AF1099&gt;=BUSCAR!$J$3,$AF1099&lt;=BUSCAR!$J$4))),1,0))</f>
      </c>
      <c r="AH1099" s="42">
        <f t="shared" si="51"/>
      </c>
      <c r="AI1099" s="42">
        <f t="shared" si="52"/>
      </c>
    </row>
    <row r="1100" spans="1:35" x14ac:dyDescent="0.2">
      <c r="A1100" s="66">
        <f t="shared" si="53"/>
      </c>
      <c r="B1100" s="4"/>
      <c r="C1100" s="4"/>
      <c r="D1100" s="4"/>
      <c r="E1100" s="4"/>
      <c r="F1100" s="24"/>
      <c r="G1100" s="8"/>
      <c r="H1100" s="9"/>
      <c r="I1100" s="8"/>
      <c r="J1100" s="10"/>
      <c r="K1100" s="8"/>
      <c r="L1100" s="8"/>
      <c r="M1100" s="8"/>
      <c r="N1100" s="11"/>
      <c r="O1100" s="9"/>
      <c r="P1100" s="12"/>
      <c r="Q1100" s="9"/>
      <c r="R1100" s="9"/>
      <c r="S1100" s="11"/>
      <c r="T1100" s="11"/>
      <c r="U1100" s="9"/>
      <c r="V1100" s="9"/>
      <c r="W1100" s="9"/>
      <c r="X1100" s="16"/>
      <c r="AF1100" s="42">
        <f>IF(BUSCAR!$C$8="FECHA NAC.",$G1100,IF(BUSCAR!$C$8="PASAPORTE EXPIRA",$J1100,IF(BUSCAR!$C$8="LICENCIA EMISION",$L1100,IF(BUSCAR!$C$8="LICENCIA EXPIRA",$M1100,""))))</f>
      </c>
      <c r="AG1100" s="42">
        <f>IF($B1100&amp;$C1100&amp;$D1100&amp;$E1100&amp;$H1100="",0,IF(AND(OR(BUSCAR!$J$5="",ISNUMBER(SEARCH(BUSCAR!$J$5,$AI1100))),OR(BUSCAR!$J$6="",ISNUMBER(SEARCH(BUSCAR!$J$6,$AI1100))),OR(BUSCAR!$J$8="",ISNUMBER(SEARCH(BUSCAR!$J$8,$AI1100))),OR(BUSCAR!$J$9="",ISNUMBER(SEARCH(BUSCAR!$J$9,$AI1100))),OR(NOT(BUSCAR!$J$2),AND(ISNUMBER($AF1100),$AF1100&gt;=BUSCAR!$J$3,$AF1100&lt;=BUSCAR!$J$4))),1,0))</f>
      </c>
      <c r="AH1100" s="42">
        <f t="shared" si="51"/>
      </c>
      <c r="AI1100" s="42">
        <f t="shared" si="52"/>
      </c>
    </row>
    <row r="1101" spans="1:35" x14ac:dyDescent="0.2">
      <c r="A1101" s="66">
        <f t="shared" si="53"/>
      </c>
      <c r="B1101" s="4"/>
      <c r="C1101" s="4"/>
      <c r="D1101" s="4"/>
      <c r="E1101" s="4"/>
      <c r="F1101" s="24"/>
      <c r="G1101" s="8"/>
      <c r="H1101" s="9"/>
      <c r="I1101" s="8"/>
      <c r="J1101" s="10"/>
      <c r="K1101" s="8"/>
      <c r="L1101" s="8"/>
      <c r="M1101" s="8"/>
      <c r="N1101" s="11"/>
      <c r="O1101" s="9"/>
      <c r="P1101" s="12"/>
      <c r="Q1101" s="9"/>
      <c r="R1101" s="13"/>
      <c r="S1101" s="11"/>
      <c r="T1101" s="11"/>
      <c r="U1101" s="9"/>
      <c r="V1101" s="9"/>
      <c r="W1101" s="9"/>
      <c r="X1101" s="16"/>
      <c r="AF1101" s="42">
        <f>IF(BUSCAR!$C$8="FECHA NAC.",$G1101,IF(BUSCAR!$C$8="PASAPORTE EXPIRA",$J1101,IF(BUSCAR!$C$8="LICENCIA EMISION",$L1101,IF(BUSCAR!$C$8="LICENCIA EXPIRA",$M1101,""))))</f>
      </c>
      <c r="AG1101" s="42">
        <f>IF($B1101&amp;$C1101&amp;$D1101&amp;$E1101&amp;$H1101="",0,IF(AND(OR(BUSCAR!$J$5="",ISNUMBER(SEARCH(BUSCAR!$J$5,$AI1101))),OR(BUSCAR!$J$6="",ISNUMBER(SEARCH(BUSCAR!$J$6,$AI1101))),OR(BUSCAR!$J$8="",ISNUMBER(SEARCH(BUSCAR!$J$8,$AI1101))),OR(BUSCAR!$J$9="",ISNUMBER(SEARCH(BUSCAR!$J$9,$AI1101))),OR(NOT(BUSCAR!$J$2),AND(ISNUMBER($AF1101),$AF1101&gt;=BUSCAR!$J$3,$AF1101&lt;=BUSCAR!$J$4))),1,0))</f>
      </c>
      <c r="AH1101" s="42">
        <f t="shared" si="51"/>
      </c>
      <c r="AI1101" s="42">
        <f t="shared" si="52"/>
      </c>
    </row>
    <row r="1102" spans="1:35" x14ac:dyDescent="0.2">
      <c r="A1102" s="66">
        <f t="shared" si="53"/>
      </c>
      <c r="B1102" s="4"/>
      <c r="C1102" s="4"/>
      <c r="D1102" s="4"/>
      <c r="E1102" s="4"/>
      <c r="F1102" s="24"/>
      <c r="G1102" s="8"/>
      <c r="H1102" s="9"/>
      <c r="I1102" s="8"/>
      <c r="J1102" s="10"/>
      <c r="K1102" s="8"/>
      <c r="L1102" s="8"/>
      <c r="M1102" s="8"/>
      <c r="N1102" s="11"/>
      <c r="O1102" s="9"/>
      <c r="P1102" s="12"/>
      <c r="Q1102" s="9"/>
      <c r="R1102" s="13"/>
      <c r="S1102" s="11"/>
      <c r="T1102" s="11"/>
      <c r="U1102" s="9"/>
      <c r="V1102" s="9"/>
      <c r="W1102" s="9"/>
      <c r="X1102" s="16"/>
      <c r="AF1102" s="42">
        <f>IF(BUSCAR!$C$8="FECHA NAC.",$G1102,IF(BUSCAR!$C$8="PASAPORTE EXPIRA",$J1102,IF(BUSCAR!$C$8="LICENCIA EMISION",$L1102,IF(BUSCAR!$C$8="LICENCIA EXPIRA",$M1102,""))))</f>
      </c>
      <c r="AG1102" s="42">
        <f>IF($B1102&amp;$C1102&amp;$D1102&amp;$E1102&amp;$H1102="",0,IF(AND(OR(BUSCAR!$J$5="",ISNUMBER(SEARCH(BUSCAR!$J$5,$AI1102))),OR(BUSCAR!$J$6="",ISNUMBER(SEARCH(BUSCAR!$J$6,$AI1102))),OR(BUSCAR!$J$8="",ISNUMBER(SEARCH(BUSCAR!$J$8,$AI1102))),OR(BUSCAR!$J$9="",ISNUMBER(SEARCH(BUSCAR!$J$9,$AI1102))),OR(NOT(BUSCAR!$J$2),AND(ISNUMBER($AF1102),$AF1102&gt;=BUSCAR!$J$3,$AF1102&lt;=BUSCAR!$J$4))),1,0))</f>
      </c>
      <c r="AH1102" s="42">
        <f t="shared" si="51"/>
      </c>
      <c r="AI1102" s="42">
        <f t="shared" si="52"/>
      </c>
    </row>
    <row r="1103" spans="1:35" x14ac:dyDescent="0.2">
      <c r="A1103" s="66">
        <f t="shared" si="53"/>
      </c>
      <c r="B1103" s="4"/>
      <c r="C1103" s="4"/>
      <c r="D1103" s="4"/>
      <c r="E1103" s="4"/>
      <c r="F1103" s="24"/>
      <c r="G1103" s="8"/>
      <c r="H1103" s="9"/>
      <c r="I1103" s="8"/>
      <c r="J1103" s="10"/>
      <c r="K1103" s="8"/>
      <c r="L1103" s="8"/>
      <c r="M1103" s="8"/>
      <c r="N1103" s="11"/>
      <c r="O1103" s="9"/>
      <c r="P1103" s="12"/>
      <c r="Q1103" s="9"/>
      <c r="R1103" s="13"/>
      <c r="S1103" s="11"/>
      <c r="T1103" s="11"/>
      <c r="U1103" s="9"/>
      <c r="V1103" s="9"/>
      <c r="W1103" s="9"/>
      <c r="X1103" s="16"/>
      <c r="AF1103" s="42">
        <f>IF(BUSCAR!$C$8="FECHA NAC.",$G1103,IF(BUSCAR!$C$8="PASAPORTE EXPIRA",$J1103,IF(BUSCAR!$C$8="LICENCIA EMISION",$L1103,IF(BUSCAR!$C$8="LICENCIA EXPIRA",$M1103,""))))</f>
      </c>
      <c r="AG1103" s="42">
        <f>IF($B1103&amp;$C1103&amp;$D1103&amp;$E1103&amp;$H1103="",0,IF(AND(OR(BUSCAR!$J$5="",ISNUMBER(SEARCH(BUSCAR!$J$5,$AI1103))),OR(BUSCAR!$J$6="",ISNUMBER(SEARCH(BUSCAR!$J$6,$AI1103))),OR(BUSCAR!$J$8="",ISNUMBER(SEARCH(BUSCAR!$J$8,$AI1103))),OR(BUSCAR!$J$9="",ISNUMBER(SEARCH(BUSCAR!$J$9,$AI1103))),OR(NOT(BUSCAR!$J$2),AND(ISNUMBER($AF1103),$AF1103&gt;=BUSCAR!$J$3,$AF1103&lt;=BUSCAR!$J$4))),1,0))</f>
      </c>
      <c r="AH1103" s="42">
        <f t="shared" si="51"/>
      </c>
      <c r="AI1103" s="42">
        <f t="shared" si="52"/>
      </c>
    </row>
    <row r="1104" spans="1:35" x14ac:dyDescent="0.2">
      <c r="A1104" s="66">
        <f t="shared" si="53"/>
      </c>
      <c r="B1104" s="4"/>
      <c r="C1104" s="4"/>
      <c r="D1104" s="4"/>
      <c r="E1104" s="4"/>
      <c r="F1104" s="24"/>
      <c r="G1104" s="8"/>
      <c r="H1104" s="9"/>
      <c r="I1104" s="8"/>
      <c r="J1104" s="10"/>
      <c r="K1104" s="8"/>
      <c r="L1104" s="8"/>
      <c r="M1104" s="8"/>
      <c r="N1104" s="11"/>
      <c r="O1104" s="9"/>
      <c r="P1104" s="12"/>
      <c r="Q1104" s="9"/>
      <c r="R1104" s="13"/>
      <c r="S1104" s="11"/>
      <c r="T1104" s="11"/>
      <c r="U1104" s="9"/>
      <c r="V1104" s="9"/>
      <c r="W1104" s="9"/>
      <c r="X1104" s="16"/>
      <c r="AF1104" s="42">
        <f>IF(BUSCAR!$C$8="FECHA NAC.",$G1104,IF(BUSCAR!$C$8="PASAPORTE EXPIRA",$J1104,IF(BUSCAR!$C$8="LICENCIA EMISION",$L1104,IF(BUSCAR!$C$8="LICENCIA EXPIRA",$M1104,""))))</f>
      </c>
      <c r="AG1104" s="42">
        <f>IF($B1104&amp;$C1104&amp;$D1104&amp;$E1104&amp;$H1104="",0,IF(AND(OR(BUSCAR!$J$5="",ISNUMBER(SEARCH(BUSCAR!$J$5,$AI1104))),OR(BUSCAR!$J$6="",ISNUMBER(SEARCH(BUSCAR!$J$6,$AI1104))),OR(BUSCAR!$J$8="",ISNUMBER(SEARCH(BUSCAR!$J$8,$AI1104))),OR(BUSCAR!$J$9="",ISNUMBER(SEARCH(BUSCAR!$J$9,$AI1104))),OR(NOT(BUSCAR!$J$2),AND(ISNUMBER($AF1104),$AF1104&gt;=BUSCAR!$J$3,$AF1104&lt;=BUSCAR!$J$4))),1,0))</f>
      </c>
      <c r="AH1104" s="42">
        <f t="shared" si="51"/>
      </c>
      <c r="AI1104" s="42">
        <f t="shared" si="52"/>
      </c>
    </row>
    <row r="1105" spans="1:35" x14ac:dyDescent="0.2">
      <c r="A1105" s="66">
        <f t="shared" si="53"/>
      </c>
      <c r="B1105" s="4"/>
      <c r="C1105" s="4"/>
      <c r="D1105" s="4"/>
      <c r="E1105" s="4"/>
      <c r="F1105" s="24"/>
      <c r="G1105" s="8"/>
      <c r="H1105" s="9"/>
      <c r="I1105" s="8"/>
      <c r="J1105" s="10"/>
      <c r="K1105" s="8"/>
      <c r="L1105" s="8"/>
      <c r="M1105" s="8"/>
      <c r="N1105" s="11"/>
      <c r="O1105" s="9"/>
      <c r="P1105" s="12"/>
      <c r="Q1105" s="9"/>
      <c r="R1105" s="13"/>
      <c r="S1105" s="11"/>
      <c r="T1105" s="11"/>
      <c r="U1105" s="9"/>
      <c r="V1105" s="9"/>
      <c r="W1105" s="9"/>
      <c r="X1105" s="16"/>
      <c r="AF1105" s="42">
        <f>IF(BUSCAR!$C$8="FECHA NAC.",$G1105,IF(BUSCAR!$C$8="PASAPORTE EXPIRA",$J1105,IF(BUSCAR!$C$8="LICENCIA EMISION",$L1105,IF(BUSCAR!$C$8="LICENCIA EXPIRA",$M1105,""))))</f>
      </c>
      <c r="AG1105" s="42">
        <f>IF($B1105&amp;$C1105&amp;$D1105&amp;$E1105&amp;$H1105="",0,IF(AND(OR(BUSCAR!$J$5="",ISNUMBER(SEARCH(BUSCAR!$J$5,$AI1105))),OR(BUSCAR!$J$6="",ISNUMBER(SEARCH(BUSCAR!$J$6,$AI1105))),OR(BUSCAR!$J$8="",ISNUMBER(SEARCH(BUSCAR!$J$8,$AI1105))),OR(BUSCAR!$J$9="",ISNUMBER(SEARCH(BUSCAR!$J$9,$AI1105))),OR(NOT(BUSCAR!$J$2),AND(ISNUMBER($AF1105),$AF1105&gt;=BUSCAR!$J$3,$AF1105&lt;=BUSCAR!$J$4))),1,0))</f>
      </c>
      <c r="AH1105" s="42">
        <f t="shared" si="51"/>
      </c>
      <c r="AI1105" s="42">
        <f t="shared" si="52"/>
      </c>
    </row>
    <row r="1106" spans="1:35" x14ac:dyDescent="0.2">
      <c r="A1106" s="66">
        <f t="shared" si="53"/>
      </c>
      <c r="B1106" s="4"/>
      <c r="C1106" s="4"/>
      <c r="D1106" s="4"/>
      <c r="E1106" s="4"/>
      <c r="F1106" s="24"/>
      <c r="G1106" s="8"/>
      <c r="H1106" s="9"/>
      <c r="I1106" s="8"/>
      <c r="J1106" s="10"/>
      <c r="K1106" s="8"/>
      <c r="L1106" s="8"/>
      <c r="M1106" s="8"/>
      <c r="N1106" s="11"/>
      <c r="O1106" s="9"/>
      <c r="P1106" s="12"/>
      <c r="Q1106" s="9"/>
      <c r="R1106" s="13"/>
      <c r="S1106" s="11"/>
      <c r="T1106" s="11"/>
      <c r="U1106" s="9"/>
      <c r="V1106" s="9"/>
      <c r="W1106" s="9"/>
      <c r="X1106" s="16"/>
      <c r="AF1106" s="42">
        <f>IF(BUSCAR!$C$8="FECHA NAC.",$G1106,IF(BUSCAR!$C$8="PASAPORTE EXPIRA",$J1106,IF(BUSCAR!$C$8="LICENCIA EMISION",$L1106,IF(BUSCAR!$C$8="LICENCIA EXPIRA",$M1106,""))))</f>
      </c>
      <c r="AG1106" s="42">
        <f>IF($B1106&amp;$C1106&amp;$D1106&amp;$E1106&amp;$H1106="",0,IF(AND(OR(BUSCAR!$J$5="",ISNUMBER(SEARCH(BUSCAR!$J$5,$AI1106))),OR(BUSCAR!$J$6="",ISNUMBER(SEARCH(BUSCAR!$J$6,$AI1106))),OR(BUSCAR!$J$8="",ISNUMBER(SEARCH(BUSCAR!$J$8,$AI1106))),OR(BUSCAR!$J$9="",ISNUMBER(SEARCH(BUSCAR!$J$9,$AI1106))),OR(NOT(BUSCAR!$J$2),AND(ISNUMBER($AF1106),$AF1106&gt;=BUSCAR!$J$3,$AF1106&lt;=BUSCAR!$J$4))),1,0))</f>
      </c>
      <c r="AH1106" s="42">
        <f t="shared" si="51"/>
      </c>
      <c r="AI1106" s="42">
        <f t="shared" si="52"/>
      </c>
    </row>
    <row r="1107" spans="1:35" x14ac:dyDescent="0.2">
      <c r="A1107" s="66">
        <f t="shared" si="53"/>
      </c>
      <c r="B1107" s="4"/>
      <c r="C1107" s="4"/>
      <c r="D1107" s="4"/>
      <c r="E1107" s="4"/>
      <c r="F1107" s="24"/>
      <c r="G1107" s="8"/>
      <c r="H1107" s="9"/>
      <c r="I1107" s="8"/>
      <c r="J1107" s="10"/>
      <c r="K1107" s="8"/>
      <c r="L1107" s="8"/>
      <c r="M1107" s="8"/>
      <c r="N1107" s="11"/>
      <c r="O1107" s="9"/>
      <c r="P1107" s="12"/>
      <c r="Q1107" s="9"/>
      <c r="R1107" s="13"/>
      <c r="S1107" s="11"/>
      <c r="T1107" s="11"/>
      <c r="U1107" s="9"/>
      <c r="V1107" s="9"/>
      <c r="W1107" s="9"/>
      <c r="X1107" s="16"/>
      <c r="AF1107" s="42">
        <f>IF(BUSCAR!$C$8="FECHA NAC.",$G1107,IF(BUSCAR!$C$8="PASAPORTE EXPIRA",$J1107,IF(BUSCAR!$C$8="LICENCIA EMISION",$L1107,IF(BUSCAR!$C$8="LICENCIA EXPIRA",$M1107,""))))</f>
      </c>
      <c r="AG1107" s="42">
        <f>IF($B1107&amp;$C1107&amp;$D1107&amp;$E1107&amp;$H1107="",0,IF(AND(OR(BUSCAR!$J$5="",ISNUMBER(SEARCH(BUSCAR!$J$5,$AI1107))),OR(BUSCAR!$J$6="",ISNUMBER(SEARCH(BUSCAR!$J$6,$AI1107))),OR(BUSCAR!$J$8="",ISNUMBER(SEARCH(BUSCAR!$J$8,$AI1107))),OR(BUSCAR!$J$9="",ISNUMBER(SEARCH(BUSCAR!$J$9,$AI1107))),OR(NOT(BUSCAR!$J$2),AND(ISNUMBER($AF1107),$AF1107&gt;=BUSCAR!$J$3,$AF1107&lt;=BUSCAR!$J$4))),1,0))</f>
      </c>
      <c r="AH1107" s="42">
        <f t="shared" si="51"/>
      </c>
      <c r="AI1107" s="42">
        <f t="shared" si="52"/>
      </c>
    </row>
    <row r="1108" spans="1:35" x14ac:dyDescent="0.2">
      <c r="A1108" s="66">
        <f t="shared" si="53"/>
      </c>
      <c r="B1108" s="4"/>
      <c r="C1108" s="4"/>
      <c r="D1108" s="4"/>
      <c r="E1108" s="4"/>
      <c r="F1108" s="24"/>
      <c r="G1108" s="8"/>
      <c r="H1108" s="9"/>
      <c r="I1108" s="8"/>
      <c r="J1108" s="10"/>
      <c r="K1108" s="8"/>
      <c r="L1108" s="8"/>
      <c r="M1108" s="8"/>
      <c r="N1108" s="11"/>
      <c r="O1108" s="9"/>
      <c r="P1108" s="12"/>
      <c r="Q1108" s="9"/>
      <c r="R1108" s="13"/>
      <c r="S1108" s="11"/>
      <c r="T1108" s="11"/>
      <c r="U1108" s="9"/>
      <c r="V1108" s="9"/>
      <c r="W1108" s="9"/>
      <c r="X1108" s="16"/>
      <c r="AF1108" s="42">
        <f>IF(BUSCAR!$C$8="FECHA NAC.",$G1108,IF(BUSCAR!$C$8="PASAPORTE EXPIRA",$J1108,IF(BUSCAR!$C$8="LICENCIA EMISION",$L1108,IF(BUSCAR!$C$8="LICENCIA EXPIRA",$M1108,""))))</f>
      </c>
      <c r="AG1108" s="42">
        <f>IF($B1108&amp;$C1108&amp;$D1108&amp;$E1108&amp;$H1108="",0,IF(AND(OR(BUSCAR!$J$5="",ISNUMBER(SEARCH(BUSCAR!$J$5,$AI1108))),OR(BUSCAR!$J$6="",ISNUMBER(SEARCH(BUSCAR!$J$6,$AI1108))),OR(BUSCAR!$J$8="",ISNUMBER(SEARCH(BUSCAR!$J$8,$AI1108))),OR(BUSCAR!$J$9="",ISNUMBER(SEARCH(BUSCAR!$J$9,$AI1108))),OR(NOT(BUSCAR!$J$2),AND(ISNUMBER($AF1108),$AF1108&gt;=BUSCAR!$J$3,$AF1108&lt;=BUSCAR!$J$4))),1,0))</f>
      </c>
      <c r="AH1108" s="42">
        <f t="shared" si="51"/>
      </c>
      <c r="AI1108" s="42">
        <f t="shared" si="52"/>
      </c>
    </row>
    <row r="1109" spans="1:35" x14ac:dyDescent="0.2">
      <c r="A1109" s="66">
        <f t="shared" si="53"/>
      </c>
      <c r="B1109" s="4"/>
      <c r="C1109" s="4"/>
      <c r="D1109" s="4"/>
      <c r="E1109" s="4"/>
      <c r="F1109" s="24"/>
      <c r="G1109" s="8"/>
      <c r="H1109" s="9"/>
      <c r="I1109" s="8"/>
      <c r="J1109" s="10"/>
      <c r="K1109" s="8"/>
      <c r="L1109" s="8"/>
      <c r="M1109" s="8"/>
      <c r="N1109" s="11"/>
      <c r="O1109" s="9"/>
      <c r="P1109" s="12"/>
      <c r="Q1109" s="9"/>
      <c r="R1109" s="13"/>
      <c r="S1109" s="11"/>
      <c r="T1109" s="11"/>
      <c r="U1109" s="9"/>
      <c r="V1109" s="9"/>
      <c r="W1109" s="9"/>
      <c r="X1109" s="16"/>
      <c r="AF1109" s="42">
        <f>IF(BUSCAR!$C$8="FECHA NAC.",$G1109,IF(BUSCAR!$C$8="PASAPORTE EXPIRA",$J1109,IF(BUSCAR!$C$8="LICENCIA EMISION",$L1109,IF(BUSCAR!$C$8="LICENCIA EXPIRA",$M1109,""))))</f>
      </c>
      <c r="AG1109" s="42">
        <f>IF($B1109&amp;$C1109&amp;$D1109&amp;$E1109&amp;$H1109="",0,IF(AND(OR(BUSCAR!$J$5="",ISNUMBER(SEARCH(BUSCAR!$J$5,$AI1109))),OR(BUSCAR!$J$6="",ISNUMBER(SEARCH(BUSCAR!$J$6,$AI1109))),OR(BUSCAR!$J$8="",ISNUMBER(SEARCH(BUSCAR!$J$8,$AI1109))),OR(BUSCAR!$J$9="",ISNUMBER(SEARCH(BUSCAR!$J$9,$AI1109))),OR(NOT(BUSCAR!$J$2),AND(ISNUMBER($AF1109),$AF1109&gt;=BUSCAR!$J$3,$AF1109&lt;=BUSCAR!$J$4))),1,0))</f>
      </c>
      <c r="AH1109" s="42">
        <f t="shared" si="51"/>
      </c>
      <c r="AI1109" s="42">
        <f t="shared" si="52"/>
      </c>
    </row>
    <row r="1110" spans="1:35" x14ac:dyDescent="0.2">
      <c r="A1110" s="66">
        <f t="shared" si="53"/>
      </c>
      <c r="B1110" s="4"/>
      <c r="C1110" s="4"/>
      <c r="D1110" s="4"/>
      <c r="E1110" s="4"/>
      <c r="F1110" s="24"/>
      <c r="G1110" s="8"/>
      <c r="H1110" s="9"/>
      <c r="I1110" s="8"/>
      <c r="J1110" s="10"/>
      <c r="K1110" s="8"/>
      <c r="L1110" s="8"/>
      <c r="M1110" s="8"/>
      <c r="N1110" s="11"/>
      <c r="O1110" s="9"/>
      <c r="P1110" s="12"/>
      <c r="Q1110" s="9"/>
      <c r="R1110" s="13"/>
      <c r="S1110" s="11"/>
      <c r="T1110" s="11"/>
      <c r="U1110" s="9"/>
      <c r="V1110" s="9"/>
      <c r="W1110" s="9"/>
      <c r="X1110" s="16"/>
      <c r="AF1110" s="42">
        <f>IF(BUSCAR!$C$8="FECHA NAC.",$G1110,IF(BUSCAR!$C$8="PASAPORTE EXPIRA",$J1110,IF(BUSCAR!$C$8="LICENCIA EMISION",$L1110,IF(BUSCAR!$C$8="LICENCIA EXPIRA",$M1110,""))))</f>
      </c>
      <c r="AG1110" s="42">
        <f>IF($B1110&amp;$C1110&amp;$D1110&amp;$E1110&amp;$H1110="",0,IF(AND(OR(BUSCAR!$J$5="",ISNUMBER(SEARCH(BUSCAR!$J$5,$AI1110))),OR(BUSCAR!$J$6="",ISNUMBER(SEARCH(BUSCAR!$J$6,$AI1110))),OR(BUSCAR!$J$8="",ISNUMBER(SEARCH(BUSCAR!$J$8,$AI1110))),OR(BUSCAR!$J$9="",ISNUMBER(SEARCH(BUSCAR!$J$9,$AI1110))),OR(NOT(BUSCAR!$J$2),AND(ISNUMBER($AF1110),$AF1110&gt;=BUSCAR!$J$3,$AF1110&lt;=BUSCAR!$J$4))),1,0))</f>
      </c>
      <c r="AH1110" s="42">
        <f t="shared" si="51"/>
      </c>
      <c r="AI1110" s="42">
        <f t="shared" si="52"/>
      </c>
    </row>
    <row r="1111" spans="1:35" x14ac:dyDescent="0.2">
      <c r="A1111" s="66">
        <f t="shared" si="53"/>
      </c>
      <c r="B1111" s="4"/>
      <c r="C1111" s="4"/>
      <c r="D1111" s="4"/>
      <c r="E1111" s="4"/>
      <c r="F1111" s="24"/>
      <c r="G1111" s="8"/>
      <c r="H1111" s="9"/>
      <c r="I1111" s="8"/>
      <c r="J1111" s="10"/>
      <c r="K1111" s="8"/>
      <c r="L1111" s="8"/>
      <c r="M1111" s="8"/>
      <c r="N1111" s="11"/>
      <c r="O1111" s="9"/>
      <c r="P1111" s="12"/>
      <c r="Q1111" s="9"/>
      <c r="R1111" s="13"/>
      <c r="S1111" s="11"/>
      <c r="T1111" s="11"/>
      <c r="U1111" s="9"/>
      <c r="V1111" s="9"/>
      <c r="W1111" s="9"/>
      <c r="X1111" s="16"/>
      <c r="AF1111" s="42">
        <f>IF(BUSCAR!$C$8="FECHA NAC.",$G1111,IF(BUSCAR!$C$8="PASAPORTE EXPIRA",$J1111,IF(BUSCAR!$C$8="LICENCIA EMISION",$L1111,IF(BUSCAR!$C$8="LICENCIA EXPIRA",$M1111,""))))</f>
      </c>
      <c r="AG1111" s="42">
        <f>IF($B1111&amp;$C1111&amp;$D1111&amp;$E1111&amp;$H1111="",0,IF(AND(OR(BUSCAR!$J$5="",ISNUMBER(SEARCH(BUSCAR!$J$5,$AI1111))),OR(BUSCAR!$J$6="",ISNUMBER(SEARCH(BUSCAR!$J$6,$AI1111))),OR(BUSCAR!$J$8="",ISNUMBER(SEARCH(BUSCAR!$J$8,$AI1111))),OR(BUSCAR!$J$9="",ISNUMBER(SEARCH(BUSCAR!$J$9,$AI1111))),OR(NOT(BUSCAR!$J$2),AND(ISNUMBER($AF1111),$AF1111&gt;=BUSCAR!$J$3,$AF1111&lt;=BUSCAR!$J$4))),1,0))</f>
      </c>
      <c r="AH1111" s="42">
        <f t="shared" si="51"/>
      </c>
      <c r="AI1111" s="42">
        <f t="shared" si="52"/>
      </c>
    </row>
    <row r="1112" spans="1:35" x14ac:dyDescent="0.2">
      <c r="A1112" s="66">
        <f t="shared" si="53"/>
      </c>
      <c r="B1112" s="4"/>
      <c r="C1112" s="4"/>
      <c r="D1112" s="4"/>
      <c r="E1112" s="4"/>
      <c r="F1112" s="24"/>
      <c r="G1112" s="8"/>
      <c r="H1112" s="9"/>
      <c r="I1112" s="8"/>
      <c r="J1112" s="10"/>
      <c r="K1112" s="8"/>
      <c r="L1112" s="8"/>
      <c r="M1112" s="8"/>
      <c r="N1112" s="11"/>
      <c r="O1112" s="9"/>
      <c r="P1112" s="12"/>
      <c r="Q1112" s="9"/>
      <c r="R1112" s="13"/>
      <c r="S1112" s="11"/>
      <c r="T1112" s="11"/>
      <c r="U1112" s="9"/>
      <c r="V1112" s="9"/>
      <c r="W1112" s="9"/>
      <c r="X1112" s="16"/>
      <c r="AF1112" s="42">
        <f>IF(BUSCAR!$C$8="FECHA NAC.",$G1112,IF(BUSCAR!$C$8="PASAPORTE EXPIRA",$J1112,IF(BUSCAR!$C$8="LICENCIA EMISION",$L1112,IF(BUSCAR!$C$8="LICENCIA EXPIRA",$M1112,""))))</f>
      </c>
      <c r="AG1112" s="42">
        <f>IF($B1112&amp;$C1112&amp;$D1112&amp;$E1112&amp;$H1112="",0,IF(AND(OR(BUSCAR!$J$5="",ISNUMBER(SEARCH(BUSCAR!$J$5,$AI1112))),OR(BUSCAR!$J$6="",ISNUMBER(SEARCH(BUSCAR!$J$6,$AI1112))),OR(BUSCAR!$J$8="",ISNUMBER(SEARCH(BUSCAR!$J$8,$AI1112))),OR(BUSCAR!$J$9="",ISNUMBER(SEARCH(BUSCAR!$J$9,$AI1112))),OR(NOT(BUSCAR!$J$2),AND(ISNUMBER($AF1112),$AF1112&gt;=BUSCAR!$J$3,$AF1112&lt;=BUSCAR!$J$4))),1,0))</f>
      </c>
      <c r="AH1112" s="42">
        <f t="shared" si="51"/>
      </c>
      <c r="AI1112" s="42">
        <f t="shared" si="52"/>
      </c>
    </row>
    <row r="1113" spans="1:35" x14ac:dyDescent="0.2">
      <c r="A1113" s="66">
        <f t="shared" si="53"/>
      </c>
      <c r="B1113" s="4"/>
      <c r="C1113" s="4"/>
      <c r="D1113" s="4"/>
      <c r="E1113" s="4"/>
      <c r="F1113" s="24"/>
      <c r="G1113" s="8"/>
      <c r="H1113" s="9"/>
      <c r="I1113" s="8"/>
      <c r="J1113" s="10"/>
      <c r="K1113" s="8"/>
      <c r="L1113" s="8"/>
      <c r="M1113" s="8"/>
      <c r="N1113" s="11"/>
      <c r="O1113" s="9"/>
      <c r="P1113" s="12"/>
      <c r="Q1113" s="9"/>
      <c r="R1113" s="13"/>
      <c r="S1113" s="11"/>
      <c r="T1113" s="11"/>
      <c r="U1113" s="9"/>
      <c r="V1113" s="9"/>
      <c r="W1113" s="9"/>
      <c r="X1113" s="16"/>
      <c r="AF1113" s="42">
        <f>IF(BUSCAR!$C$8="FECHA NAC.",$G1113,IF(BUSCAR!$C$8="PASAPORTE EXPIRA",$J1113,IF(BUSCAR!$C$8="LICENCIA EMISION",$L1113,IF(BUSCAR!$C$8="LICENCIA EXPIRA",$M1113,""))))</f>
      </c>
      <c r="AG1113" s="42">
        <f>IF($B1113&amp;$C1113&amp;$D1113&amp;$E1113&amp;$H1113="",0,IF(AND(OR(BUSCAR!$J$5="",ISNUMBER(SEARCH(BUSCAR!$J$5,$AI1113))),OR(BUSCAR!$J$6="",ISNUMBER(SEARCH(BUSCAR!$J$6,$AI1113))),OR(BUSCAR!$J$8="",ISNUMBER(SEARCH(BUSCAR!$J$8,$AI1113))),OR(BUSCAR!$J$9="",ISNUMBER(SEARCH(BUSCAR!$J$9,$AI1113))),OR(NOT(BUSCAR!$J$2),AND(ISNUMBER($AF1113),$AF1113&gt;=BUSCAR!$J$3,$AF1113&lt;=BUSCAR!$J$4))),1,0))</f>
      </c>
      <c r="AH1113" s="42">
        <f t="shared" si="51"/>
      </c>
      <c r="AI1113" s="42">
        <f t="shared" si="52"/>
      </c>
    </row>
    <row r="1114" spans="1:35" x14ac:dyDescent="0.2">
      <c r="A1114" s="66">
        <f t="shared" si="53"/>
      </c>
      <c r="B1114" s="4"/>
      <c r="C1114" s="4"/>
      <c r="D1114" s="4"/>
      <c r="E1114" s="4"/>
      <c r="F1114" s="24"/>
      <c r="G1114" s="8"/>
      <c r="H1114" s="9"/>
      <c r="I1114" s="8"/>
      <c r="J1114" s="10"/>
      <c r="K1114" s="8"/>
      <c r="L1114" s="8"/>
      <c r="M1114" s="8"/>
      <c r="N1114" s="11"/>
      <c r="O1114" s="9"/>
      <c r="P1114" s="12"/>
      <c r="Q1114" s="9"/>
      <c r="R1114" s="13"/>
      <c r="S1114" s="11"/>
      <c r="T1114" s="11"/>
      <c r="U1114" s="9"/>
      <c r="V1114" s="9"/>
      <c r="W1114" s="9"/>
      <c r="X1114" s="16"/>
      <c r="AF1114" s="42">
        <f>IF(BUSCAR!$C$8="FECHA NAC.",$G1114,IF(BUSCAR!$C$8="PASAPORTE EXPIRA",$J1114,IF(BUSCAR!$C$8="LICENCIA EMISION",$L1114,IF(BUSCAR!$C$8="LICENCIA EXPIRA",$M1114,""))))</f>
      </c>
      <c r="AG1114" s="42">
        <f>IF($B1114&amp;$C1114&amp;$D1114&amp;$E1114&amp;$H1114="",0,IF(AND(OR(BUSCAR!$J$5="",ISNUMBER(SEARCH(BUSCAR!$J$5,$AI1114))),OR(BUSCAR!$J$6="",ISNUMBER(SEARCH(BUSCAR!$J$6,$AI1114))),OR(BUSCAR!$J$8="",ISNUMBER(SEARCH(BUSCAR!$J$8,$AI1114))),OR(BUSCAR!$J$9="",ISNUMBER(SEARCH(BUSCAR!$J$9,$AI1114))),OR(NOT(BUSCAR!$J$2),AND(ISNUMBER($AF1114),$AF1114&gt;=BUSCAR!$J$3,$AF1114&lt;=BUSCAR!$J$4))),1,0))</f>
      </c>
      <c r="AH1114" s="42">
        <f t="shared" si="51"/>
      </c>
      <c r="AI1114" s="42">
        <f t="shared" si="52"/>
      </c>
    </row>
    <row r="1115" spans="1:35" x14ac:dyDescent="0.2">
      <c r="A1115" s="66">
        <f t="shared" si="53"/>
      </c>
      <c r="B1115" s="4"/>
      <c r="C1115" s="4"/>
      <c r="D1115" s="4"/>
      <c r="E1115" s="4"/>
      <c r="F1115" s="24"/>
      <c r="G1115" s="8"/>
      <c r="H1115" s="9"/>
      <c r="I1115" s="8"/>
      <c r="J1115" s="10"/>
      <c r="K1115" s="8"/>
      <c r="L1115" s="8"/>
      <c r="M1115" s="8"/>
      <c r="N1115" s="11"/>
      <c r="O1115" s="9"/>
      <c r="P1115" s="12"/>
      <c r="Q1115" s="9"/>
      <c r="R1115" s="13"/>
      <c r="S1115" s="11"/>
      <c r="T1115" s="11"/>
      <c r="U1115" s="9"/>
      <c r="V1115" s="9"/>
      <c r="W1115" s="9"/>
      <c r="X1115" s="16"/>
      <c r="AF1115" s="42">
        <f>IF(BUSCAR!$C$8="FECHA NAC.",$G1115,IF(BUSCAR!$C$8="PASAPORTE EXPIRA",$J1115,IF(BUSCAR!$C$8="LICENCIA EMISION",$L1115,IF(BUSCAR!$C$8="LICENCIA EXPIRA",$M1115,""))))</f>
      </c>
      <c r="AG1115" s="42">
        <f>IF($B1115&amp;$C1115&amp;$D1115&amp;$E1115&amp;$H1115="",0,IF(AND(OR(BUSCAR!$J$5="",ISNUMBER(SEARCH(BUSCAR!$J$5,$AI1115))),OR(BUSCAR!$J$6="",ISNUMBER(SEARCH(BUSCAR!$J$6,$AI1115))),OR(BUSCAR!$J$8="",ISNUMBER(SEARCH(BUSCAR!$J$8,$AI1115))),OR(BUSCAR!$J$9="",ISNUMBER(SEARCH(BUSCAR!$J$9,$AI1115))),OR(NOT(BUSCAR!$J$2),AND(ISNUMBER($AF1115),$AF1115&gt;=BUSCAR!$J$3,$AF1115&lt;=BUSCAR!$J$4))),1,0))</f>
      </c>
      <c r="AH1115" s="42">
        <f t="shared" si="51"/>
      </c>
      <c r="AI1115" s="42">
        <f t="shared" si="52"/>
      </c>
    </row>
    <row r="1116" spans="1:35" x14ac:dyDescent="0.2">
      <c r="A1116" s="66">
        <f t="shared" si="53"/>
      </c>
      <c r="B1116" s="4"/>
      <c r="C1116" s="4"/>
      <c r="D1116" s="4"/>
      <c r="E1116" s="4"/>
      <c r="F1116" s="24"/>
      <c r="G1116" s="8"/>
      <c r="H1116" s="9"/>
      <c r="I1116" s="8"/>
      <c r="J1116" s="10"/>
      <c r="K1116" s="8"/>
      <c r="L1116" s="8"/>
      <c r="M1116" s="8"/>
      <c r="N1116" s="11"/>
      <c r="O1116" s="9"/>
      <c r="P1116" s="12"/>
      <c r="Q1116" s="9"/>
      <c r="R1116" s="13"/>
      <c r="S1116" s="11"/>
      <c r="T1116" s="11"/>
      <c r="U1116" s="9"/>
      <c r="V1116" s="9"/>
      <c r="W1116" s="9"/>
      <c r="X1116" s="16"/>
      <c r="AF1116" s="42">
        <f>IF(BUSCAR!$C$8="FECHA NAC.",$G1116,IF(BUSCAR!$C$8="PASAPORTE EXPIRA",$J1116,IF(BUSCAR!$C$8="LICENCIA EMISION",$L1116,IF(BUSCAR!$C$8="LICENCIA EXPIRA",$M1116,""))))</f>
      </c>
      <c r="AG1116" s="42">
        <f>IF($B1116&amp;$C1116&amp;$D1116&amp;$E1116&amp;$H1116="",0,IF(AND(OR(BUSCAR!$J$5="",ISNUMBER(SEARCH(BUSCAR!$J$5,$AI1116))),OR(BUSCAR!$J$6="",ISNUMBER(SEARCH(BUSCAR!$J$6,$AI1116))),OR(BUSCAR!$J$8="",ISNUMBER(SEARCH(BUSCAR!$J$8,$AI1116))),OR(BUSCAR!$J$9="",ISNUMBER(SEARCH(BUSCAR!$J$9,$AI1116))),OR(NOT(BUSCAR!$J$2),AND(ISNUMBER($AF1116),$AF1116&gt;=BUSCAR!$J$3,$AF1116&lt;=BUSCAR!$J$4))),1,0))</f>
      </c>
      <c r="AH1116" s="42">
        <f t="shared" si="51"/>
      </c>
      <c r="AI1116" s="42">
        <f t="shared" si="52"/>
      </c>
    </row>
    <row r="1117" spans="1:35" x14ac:dyDescent="0.2">
      <c r="A1117" s="66">
        <f t="shared" si="53"/>
      </c>
      <c r="B1117" s="4"/>
      <c r="C1117" s="4"/>
      <c r="D1117" s="4"/>
      <c r="E1117" s="4"/>
      <c r="F1117" s="24"/>
      <c r="G1117" s="8"/>
      <c r="H1117" s="9"/>
      <c r="I1117" s="8"/>
      <c r="J1117" s="10"/>
      <c r="K1117" s="8"/>
      <c r="L1117" s="8"/>
      <c r="M1117" s="8"/>
      <c r="N1117" s="11"/>
      <c r="O1117" s="9"/>
      <c r="P1117" s="12"/>
      <c r="Q1117" s="9"/>
      <c r="R1117" s="13"/>
      <c r="S1117" s="11"/>
      <c r="T1117" s="11"/>
      <c r="U1117" s="9"/>
      <c r="V1117" s="9"/>
      <c r="W1117" s="9"/>
      <c r="X1117" s="16"/>
      <c r="AF1117" s="42">
        <f>IF(BUSCAR!$C$8="FECHA NAC.",$G1117,IF(BUSCAR!$C$8="PASAPORTE EXPIRA",$J1117,IF(BUSCAR!$C$8="LICENCIA EMISION",$L1117,IF(BUSCAR!$C$8="LICENCIA EXPIRA",$M1117,""))))</f>
      </c>
      <c r="AG1117" s="42">
        <f>IF($B1117&amp;$C1117&amp;$D1117&amp;$E1117&amp;$H1117="",0,IF(AND(OR(BUSCAR!$J$5="",ISNUMBER(SEARCH(BUSCAR!$J$5,$AI1117))),OR(BUSCAR!$J$6="",ISNUMBER(SEARCH(BUSCAR!$J$6,$AI1117))),OR(BUSCAR!$J$8="",ISNUMBER(SEARCH(BUSCAR!$J$8,$AI1117))),OR(BUSCAR!$J$9="",ISNUMBER(SEARCH(BUSCAR!$J$9,$AI1117))),OR(NOT(BUSCAR!$J$2),AND(ISNUMBER($AF1117),$AF1117&gt;=BUSCAR!$J$3,$AF1117&lt;=BUSCAR!$J$4))),1,0))</f>
      </c>
      <c r="AH1117" s="42">
        <f t="shared" si="51"/>
      </c>
      <c r="AI1117" s="42">
        <f t="shared" si="52"/>
      </c>
    </row>
    <row r="1118" spans="1:35" x14ac:dyDescent="0.2">
      <c r="A1118" s="66">
        <f t="shared" si="53"/>
      </c>
      <c r="B1118" s="4"/>
      <c r="C1118" s="4"/>
      <c r="D1118" s="4"/>
      <c r="E1118" s="4"/>
      <c r="F1118" s="24"/>
      <c r="G1118" s="8"/>
      <c r="H1118" s="9"/>
      <c r="I1118" s="8"/>
      <c r="J1118" s="10"/>
      <c r="K1118" s="8"/>
      <c r="L1118" s="8"/>
      <c r="M1118" s="8"/>
      <c r="N1118" s="11"/>
      <c r="O1118" s="9"/>
      <c r="P1118" s="12"/>
      <c r="Q1118" s="9"/>
      <c r="R1118" s="13"/>
      <c r="S1118" s="11"/>
      <c r="T1118" s="11"/>
      <c r="U1118" s="9"/>
      <c r="V1118" s="9"/>
      <c r="W1118" s="9"/>
      <c r="X1118" s="16"/>
      <c r="AF1118" s="42">
        <f>IF(BUSCAR!$C$8="FECHA NAC.",$G1118,IF(BUSCAR!$C$8="PASAPORTE EXPIRA",$J1118,IF(BUSCAR!$C$8="LICENCIA EMISION",$L1118,IF(BUSCAR!$C$8="LICENCIA EXPIRA",$M1118,""))))</f>
      </c>
      <c r="AG1118" s="42">
        <f>IF($B1118&amp;$C1118&amp;$D1118&amp;$E1118&amp;$H1118="",0,IF(AND(OR(BUSCAR!$J$5="",ISNUMBER(SEARCH(BUSCAR!$J$5,$AI1118))),OR(BUSCAR!$J$6="",ISNUMBER(SEARCH(BUSCAR!$J$6,$AI1118))),OR(BUSCAR!$J$8="",ISNUMBER(SEARCH(BUSCAR!$J$8,$AI1118))),OR(BUSCAR!$J$9="",ISNUMBER(SEARCH(BUSCAR!$J$9,$AI1118))),OR(NOT(BUSCAR!$J$2),AND(ISNUMBER($AF1118),$AF1118&gt;=BUSCAR!$J$3,$AF1118&lt;=BUSCAR!$J$4))),1,0))</f>
      </c>
      <c r="AH1118" s="42">
        <f t="shared" si="51"/>
      </c>
      <c r="AI1118" s="42">
        <f t="shared" si="52"/>
      </c>
    </row>
    <row r="1119" spans="1:35" x14ac:dyDescent="0.2">
      <c r="A1119" s="66">
        <f t="shared" si="53"/>
      </c>
      <c r="B1119" s="4"/>
      <c r="C1119" s="4"/>
      <c r="D1119" s="4"/>
      <c r="E1119" s="4"/>
      <c r="F1119" s="24"/>
      <c r="G1119" s="8"/>
      <c r="H1119" s="9"/>
      <c r="I1119" s="8"/>
      <c r="J1119" s="10"/>
      <c r="K1119" s="8"/>
      <c r="L1119" s="8"/>
      <c r="M1119" s="8"/>
      <c r="N1119" s="11"/>
      <c r="O1119" s="9"/>
      <c r="P1119" s="12"/>
      <c r="Q1119" s="9"/>
      <c r="R1119" s="13"/>
      <c r="S1119" s="11"/>
      <c r="T1119" s="11"/>
      <c r="U1119" s="9"/>
      <c r="V1119" s="9"/>
      <c r="W1119" s="9"/>
      <c r="X1119" s="16"/>
      <c r="AF1119" s="42">
        <f>IF(BUSCAR!$C$8="FECHA NAC.",$G1119,IF(BUSCAR!$C$8="PASAPORTE EXPIRA",$J1119,IF(BUSCAR!$C$8="LICENCIA EMISION",$L1119,IF(BUSCAR!$C$8="LICENCIA EXPIRA",$M1119,""))))</f>
      </c>
      <c r="AG1119" s="42">
        <f>IF($B1119&amp;$C1119&amp;$D1119&amp;$E1119&amp;$H1119="",0,IF(AND(OR(BUSCAR!$J$5="",ISNUMBER(SEARCH(BUSCAR!$J$5,$AI1119))),OR(BUSCAR!$J$6="",ISNUMBER(SEARCH(BUSCAR!$J$6,$AI1119))),OR(BUSCAR!$J$8="",ISNUMBER(SEARCH(BUSCAR!$J$8,$AI1119))),OR(BUSCAR!$J$9="",ISNUMBER(SEARCH(BUSCAR!$J$9,$AI1119))),OR(NOT(BUSCAR!$J$2),AND(ISNUMBER($AF1119),$AF1119&gt;=BUSCAR!$J$3,$AF1119&lt;=BUSCAR!$J$4))),1,0))</f>
      </c>
      <c r="AH1119" s="42">
        <f t="shared" si="51"/>
      </c>
      <c r="AI1119" s="42">
        <f t="shared" si="52"/>
      </c>
    </row>
    <row r="1120" spans="1:35" x14ac:dyDescent="0.2">
      <c r="A1120" s="66">
        <f t="shared" si="53"/>
      </c>
      <c r="B1120" s="4"/>
      <c r="C1120" s="4"/>
      <c r="D1120" s="4"/>
      <c r="E1120" s="4"/>
      <c r="F1120" s="24"/>
      <c r="G1120" s="8"/>
      <c r="H1120" s="9"/>
      <c r="I1120" s="8"/>
      <c r="J1120" s="10"/>
      <c r="K1120" s="8"/>
      <c r="L1120" s="8"/>
      <c r="M1120" s="8"/>
      <c r="N1120" s="11"/>
      <c r="O1120" s="9"/>
      <c r="P1120" s="12"/>
      <c r="Q1120" s="9"/>
      <c r="R1120" s="13"/>
      <c r="S1120" s="11"/>
      <c r="T1120" s="11"/>
      <c r="U1120" s="9"/>
      <c r="V1120" s="9"/>
      <c r="W1120" s="9"/>
      <c r="X1120" s="16"/>
      <c r="AF1120" s="42">
        <f>IF(BUSCAR!$C$8="FECHA NAC.",$G1120,IF(BUSCAR!$C$8="PASAPORTE EXPIRA",$J1120,IF(BUSCAR!$C$8="LICENCIA EMISION",$L1120,IF(BUSCAR!$C$8="LICENCIA EXPIRA",$M1120,""))))</f>
      </c>
      <c r="AG1120" s="42">
        <f>IF($B1120&amp;$C1120&amp;$D1120&amp;$E1120&amp;$H1120="",0,IF(AND(OR(BUSCAR!$J$5="",ISNUMBER(SEARCH(BUSCAR!$J$5,$AI1120))),OR(BUSCAR!$J$6="",ISNUMBER(SEARCH(BUSCAR!$J$6,$AI1120))),OR(BUSCAR!$J$8="",ISNUMBER(SEARCH(BUSCAR!$J$8,$AI1120))),OR(BUSCAR!$J$9="",ISNUMBER(SEARCH(BUSCAR!$J$9,$AI1120))),OR(NOT(BUSCAR!$J$2),AND(ISNUMBER($AF1120),$AF1120&gt;=BUSCAR!$J$3,$AF1120&lt;=BUSCAR!$J$4))),1,0))</f>
      </c>
      <c r="AH1120" s="42">
        <f t="shared" si="51"/>
      </c>
      <c r="AI1120" s="42">
        <f t="shared" si="52"/>
      </c>
    </row>
    <row r="1121" spans="1:35" x14ac:dyDescent="0.2">
      <c r="A1121" s="66">
        <f t="shared" si="53"/>
      </c>
      <c r="B1121" s="4"/>
      <c r="C1121" s="4"/>
      <c r="D1121" s="4"/>
      <c r="E1121" s="4"/>
      <c r="F1121" s="24"/>
      <c r="G1121" s="8"/>
      <c r="H1121" s="9"/>
      <c r="I1121" s="8"/>
      <c r="J1121" s="10"/>
      <c r="K1121" s="8"/>
      <c r="L1121" s="8"/>
      <c r="M1121" s="8"/>
      <c r="N1121" s="11"/>
      <c r="O1121" s="9"/>
      <c r="P1121" s="12"/>
      <c r="Q1121" s="9"/>
      <c r="R1121" s="13"/>
      <c r="S1121" s="11"/>
      <c r="T1121" s="11"/>
      <c r="U1121" s="9"/>
      <c r="V1121" s="9"/>
      <c r="W1121" s="9"/>
      <c r="X1121" s="16"/>
      <c r="AF1121" s="42">
        <f>IF(BUSCAR!$C$8="FECHA NAC.",$G1121,IF(BUSCAR!$C$8="PASAPORTE EXPIRA",$J1121,IF(BUSCAR!$C$8="LICENCIA EMISION",$L1121,IF(BUSCAR!$C$8="LICENCIA EXPIRA",$M1121,""))))</f>
      </c>
      <c r="AG1121" s="42">
        <f>IF($B1121&amp;$C1121&amp;$D1121&amp;$E1121&amp;$H1121="",0,IF(AND(OR(BUSCAR!$J$5="",ISNUMBER(SEARCH(BUSCAR!$J$5,$AI1121))),OR(BUSCAR!$J$6="",ISNUMBER(SEARCH(BUSCAR!$J$6,$AI1121))),OR(BUSCAR!$J$8="",ISNUMBER(SEARCH(BUSCAR!$J$8,$AI1121))),OR(BUSCAR!$J$9="",ISNUMBER(SEARCH(BUSCAR!$J$9,$AI1121))),OR(NOT(BUSCAR!$J$2),AND(ISNUMBER($AF1121),$AF1121&gt;=BUSCAR!$J$3,$AF1121&lt;=BUSCAR!$J$4))),1,0))</f>
      </c>
      <c r="AH1121" s="42">
        <f t="shared" si="51"/>
      </c>
      <c r="AI1121" s="42">
        <f t="shared" si="52"/>
      </c>
    </row>
    <row r="1122" spans="1:35" x14ac:dyDescent="0.2">
      <c r="A1122" s="66">
        <f t="shared" si="53"/>
      </c>
      <c r="B1122" s="4"/>
      <c r="C1122" s="4"/>
      <c r="D1122" s="4"/>
      <c r="E1122" s="4"/>
      <c r="F1122" s="24"/>
      <c r="G1122" s="8"/>
      <c r="H1122" s="9"/>
      <c r="I1122" s="8"/>
      <c r="J1122" s="10"/>
      <c r="K1122" s="8"/>
      <c r="L1122" s="8"/>
      <c r="M1122" s="8"/>
      <c r="N1122" s="11"/>
      <c r="O1122" s="9"/>
      <c r="P1122" s="12"/>
      <c r="Q1122" s="9"/>
      <c r="R1122" s="13"/>
      <c r="S1122" s="11"/>
      <c r="T1122" s="11"/>
      <c r="U1122" s="9"/>
      <c r="V1122" s="9"/>
      <c r="W1122" s="9"/>
      <c r="X1122" s="16"/>
      <c r="AF1122" s="42">
        <f>IF(BUSCAR!$C$8="FECHA NAC.",$G1122,IF(BUSCAR!$C$8="PASAPORTE EXPIRA",$J1122,IF(BUSCAR!$C$8="LICENCIA EMISION",$L1122,IF(BUSCAR!$C$8="LICENCIA EXPIRA",$M1122,""))))</f>
      </c>
      <c r="AG1122" s="42">
        <f>IF($B1122&amp;$C1122&amp;$D1122&amp;$E1122&amp;$H1122="",0,IF(AND(OR(BUSCAR!$J$5="",ISNUMBER(SEARCH(BUSCAR!$J$5,$AI1122))),OR(BUSCAR!$J$6="",ISNUMBER(SEARCH(BUSCAR!$J$6,$AI1122))),OR(BUSCAR!$J$8="",ISNUMBER(SEARCH(BUSCAR!$J$8,$AI1122))),OR(BUSCAR!$J$9="",ISNUMBER(SEARCH(BUSCAR!$J$9,$AI1122))),OR(NOT(BUSCAR!$J$2),AND(ISNUMBER($AF1122),$AF1122&gt;=BUSCAR!$J$3,$AF1122&lt;=BUSCAR!$J$4))),1,0))</f>
      </c>
      <c r="AH1122" s="42">
        <f t="shared" si="51"/>
      </c>
      <c r="AI1122" s="42">
        <f t="shared" si="52"/>
      </c>
    </row>
    <row r="1123" spans="1:35" x14ac:dyDescent="0.2">
      <c r="A1123" s="66">
        <f t="shared" si="53"/>
      </c>
      <c r="B1123" s="4"/>
      <c r="C1123" s="4"/>
      <c r="D1123" s="4"/>
      <c r="E1123" s="4"/>
      <c r="F1123" s="24"/>
      <c r="G1123" s="8"/>
      <c r="H1123" s="9"/>
      <c r="I1123" s="8"/>
      <c r="J1123" s="10"/>
      <c r="K1123" s="8"/>
      <c r="L1123" s="8"/>
      <c r="M1123" s="8"/>
      <c r="N1123" s="11"/>
      <c r="O1123" s="9"/>
      <c r="P1123" s="12"/>
      <c r="Q1123" s="9"/>
      <c r="R1123" s="13"/>
      <c r="S1123" s="11"/>
      <c r="T1123" s="11"/>
      <c r="U1123" s="9"/>
      <c r="V1123" s="9"/>
      <c r="W1123" s="9"/>
      <c r="X1123" s="16"/>
      <c r="AF1123" s="42">
        <f>IF(BUSCAR!$C$8="FECHA NAC.",$G1123,IF(BUSCAR!$C$8="PASAPORTE EXPIRA",$J1123,IF(BUSCAR!$C$8="LICENCIA EMISION",$L1123,IF(BUSCAR!$C$8="LICENCIA EXPIRA",$M1123,""))))</f>
      </c>
      <c r="AG1123" s="42">
        <f>IF($B1123&amp;$C1123&amp;$D1123&amp;$E1123&amp;$H1123="",0,IF(AND(OR(BUSCAR!$J$5="",ISNUMBER(SEARCH(BUSCAR!$J$5,$AI1123))),OR(BUSCAR!$J$6="",ISNUMBER(SEARCH(BUSCAR!$J$6,$AI1123))),OR(BUSCAR!$J$8="",ISNUMBER(SEARCH(BUSCAR!$J$8,$AI1123))),OR(BUSCAR!$J$9="",ISNUMBER(SEARCH(BUSCAR!$J$9,$AI1123))),OR(NOT(BUSCAR!$J$2),AND(ISNUMBER($AF1123),$AF1123&gt;=BUSCAR!$J$3,$AF1123&lt;=BUSCAR!$J$4))),1,0))</f>
      </c>
      <c r="AH1123" s="42">
        <f t="shared" si="51"/>
      </c>
      <c r="AI1123" s="42">
        <f t="shared" si="52"/>
      </c>
    </row>
    <row r="1124" spans="1:35" x14ac:dyDescent="0.2">
      <c r="A1124" s="66">
        <f t="shared" si="53"/>
      </c>
      <c r="B1124" s="4"/>
      <c r="C1124" s="4"/>
      <c r="D1124" s="4"/>
      <c r="E1124" s="4"/>
      <c r="F1124" s="24"/>
      <c r="G1124" s="8"/>
      <c r="H1124" s="9"/>
      <c r="I1124" s="8"/>
      <c r="J1124" s="10"/>
      <c r="K1124" s="8"/>
      <c r="L1124" s="8"/>
      <c r="M1124" s="8"/>
      <c r="N1124" s="11"/>
      <c r="O1124" s="9"/>
      <c r="P1124" s="12"/>
      <c r="Q1124" s="9"/>
      <c r="R1124" s="13"/>
      <c r="S1124" s="11"/>
      <c r="T1124" s="11"/>
      <c r="U1124" s="9"/>
      <c r="V1124" s="9"/>
      <c r="W1124" s="9"/>
      <c r="X1124" s="16"/>
      <c r="AF1124" s="42">
        <f>IF(BUSCAR!$C$8="FECHA NAC.",$G1124,IF(BUSCAR!$C$8="PASAPORTE EXPIRA",$J1124,IF(BUSCAR!$C$8="LICENCIA EMISION",$L1124,IF(BUSCAR!$C$8="LICENCIA EXPIRA",$M1124,""))))</f>
      </c>
      <c r="AG1124" s="42">
        <f>IF($B1124&amp;$C1124&amp;$D1124&amp;$E1124&amp;$H1124="",0,IF(AND(OR(BUSCAR!$J$5="",ISNUMBER(SEARCH(BUSCAR!$J$5,$AI1124))),OR(BUSCAR!$J$6="",ISNUMBER(SEARCH(BUSCAR!$J$6,$AI1124))),OR(BUSCAR!$J$8="",ISNUMBER(SEARCH(BUSCAR!$J$8,$AI1124))),OR(BUSCAR!$J$9="",ISNUMBER(SEARCH(BUSCAR!$J$9,$AI1124))),OR(NOT(BUSCAR!$J$2),AND(ISNUMBER($AF1124),$AF1124&gt;=BUSCAR!$J$3,$AF1124&lt;=BUSCAR!$J$4))),1,0))</f>
      </c>
      <c r="AH1124" s="42">
        <f t="shared" si="51"/>
      </c>
      <c r="AI1124" s="42">
        <f t="shared" si="52"/>
      </c>
    </row>
    <row r="1125" spans="1:35" x14ac:dyDescent="0.2">
      <c r="A1125" s="66">
        <f t="shared" si="53"/>
      </c>
      <c r="B1125" s="4"/>
      <c r="C1125" s="4"/>
      <c r="D1125" s="4"/>
      <c r="E1125" s="4"/>
      <c r="F1125" s="24"/>
      <c r="G1125" s="8"/>
      <c r="H1125" s="9"/>
      <c r="I1125" s="8"/>
      <c r="J1125" s="10"/>
      <c r="K1125" s="8"/>
      <c r="L1125" s="8"/>
      <c r="M1125" s="8"/>
      <c r="N1125" s="11"/>
      <c r="O1125" s="9"/>
      <c r="P1125" s="12"/>
      <c r="Q1125" s="9"/>
      <c r="R1125" s="13"/>
      <c r="S1125" s="11"/>
      <c r="T1125" s="11"/>
      <c r="U1125" s="9"/>
      <c r="V1125" s="9"/>
      <c r="W1125" s="9"/>
      <c r="X1125" s="16"/>
      <c r="AF1125" s="42">
        <f>IF(BUSCAR!$C$8="FECHA NAC.",$G1125,IF(BUSCAR!$C$8="PASAPORTE EXPIRA",$J1125,IF(BUSCAR!$C$8="LICENCIA EMISION",$L1125,IF(BUSCAR!$C$8="LICENCIA EXPIRA",$M1125,""))))</f>
      </c>
      <c r="AG1125" s="42">
        <f>IF($B1125&amp;$C1125&amp;$D1125&amp;$E1125&amp;$H1125="",0,IF(AND(OR(BUSCAR!$J$5="",ISNUMBER(SEARCH(BUSCAR!$J$5,$AI1125))),OR(BUSCAR!$J$6="",ISNUMBER(SEARCH(BUSCAR!$J$6,$AI1125))),OR(BUSCAR!$J$8="",ISNUMBER(SEARCH(BUSCAR!$J$8,$AI1125))),OR(BUSCAR!$J$9="",ISNUMBER(SEARCH(BUSCAR!$J$9,$AI1125))),OR(NOT(BUSCAR!$J$2),AND(ISNUMBER($AF1125),$AF1125&gt;=BUSCAR!$J$3,$AF1125&lt;=BUSCAR!$J$4))),1,0))</f>
      </c>
      <c r="AH1125" s="42">
        <f t="shared" si="51"/>
      </c>
      <c r="AI1125" s="42">
        <f t="shared" si="52"/>
      </c>
    </row>
    <row r="1126" spans="1:35" x14ac:dyDescent="0.2">
      <c r="A1126" s="66">
        <f t="shared" si="53"/>
      </c>
      <c r="B1126" s="4"/>
      <c r="C1126" s="4"/>
      <c r="D1126" s="4"/>
      <c r="E1126" s="4"/>
      <c r="F1126" s="24"/>
      <c r="G1126" s="8"/>
      <c r="H1126" s="9"/>
      <c r="I1126" s="8"/>
      <c r="J1126" s="10"/>
      <c r="K1126" s="8"/>
      <c r="L1126" s="8"/>
      <c r="M1126" s="8"/>
      <c r="N1126" s="11"/>
      <c r="O1126" s="9"/>
      <c r="P1126" s="12"/>
      <c r="Q1126" s="9"/>
      <c r="R1126" s="13"/>
      <c r="S1126" s="11"/>
      <c r="T1126" s="11"/>
      <c r="U1126" s="9"/>
      <c r="V1126" s="9"/>
      <c r="W1126" s="9"/>
      <c r="X1126" s="16"/>
      <c r="AF1126" s="42">
        <f>IF(BUSCAR!$C$8="FECHA NAC.",$G1126,IF(BUSCAR!$C$8="PASAPORTE EXPIRA",$J1126,IF(BUSCAR!$C$8="LICENCIA EMISION",$L1126,IF(BUSCAR!$C$8="LICENCIA EXPIRA",$M1126,""))))</f>
      </c>
      <c r="AG1126" s="42">
        <f>IF($B1126&amp;$C1126&amp;$D1126&amp;$E1126&amp;$H1126="",0,IF(AND(OR(BUSCAR!$J$5="",ISNUMBER(SEARCH(BUSCAR!$J$5,$AI1126))),OR(BUSCAR!$J$6="",ISNUMBER(SEARCH(BUSCAR!$J$6,$AI1126))),OR(BUSCAR!$J$8="",ISNUMBER(SEARCH(BUSCAR!$J$8,$AI1126))),OR(BUSCAR!$J$9="",ISNUMBER(SEARCH(BUSCAR!$J$9,$AI1126))),OR(NOT(BUSCAR!$J$2),AND(ISNUMBER($AF1126),$AF1126&gt;=BUSCAR!$J$3,$AF1126&lt;=BUSCAR!$J$4))),1,0))</f>
      </c>
      <c r="AH1126" s="42">
        <f t="shared" si="51"/>
      </c>
      <c r="AI1126" s="42">
        <f t="shared" si="52"/>
      </c>
    </row>
    <row r="1127" spans="1:35" x14ac:dyDescent="0.2">
      <c r="A1127" s="66">
        <f t="shared" si="53"/>
      </c>
      <c r="B1127" s="4"/>
      <c r="C1127" s="4"/>
      <c r="D1127" s="4"/>
      <c r="E1127" s="4"/>
      <c r="F1127" s="24"/>
      <c r="G1127" s="8"/>
      <c r="H1127" s="9"/>
      <c r="I1127" s="8"/>
      <c r="J1127" s="10"/>
      <c r="K1127" s="8"/>
      <c r="L1127" s="8"/>
      <c r="M1127" s="8"/>
      <c r="N1127" s="11"/>
      <c r="O1127" s="9"/>
      <c r="P1127" s="12"/>
      <c r="Q1127" s="9"/>
      <c r="R1127" s="13"/>
      <c r="S1127" s="11"/>
      <c r="T1127" s="11"/>
      <c r="U1127" s="9"/>
      <c r="V1127" s="9"/>
      <c r="W1127" s="9"/>
      <c r="X1127" s="16"/>
      <c r="AF1127" s="42">
        <f>IF(BUSCAR!$C$8="FECHA NAC.",$G1127,IF(BUSCAR!$C$8="PASAPORTE EXPIRA",$J1127,IF(BUSCAR!$C$8="LICENCIA EMISION",$L1127,IF(BUSCAR!$C$8="LICENCIA EXPIRA",$M1127,""))))</f>
      </c>
      <c r="AG1127" s="42">
        <f>IF($B1127&amp;$C1127&amp;$D1127&amp;$E1127&amp;$H1127="",0,IF(AND(OR(BUSCAR!$J$5="",ISNUMBER(SEARCH(BUSCAR!$J$5,$AI1127))),OR(BUSCAR!$J$6="",ISNUMBER(SEARCH(BUSCAR!$J$6,$AI1127))),OR(BUSCAR!$J$8="",ISNUMBER(SEARCH(BUSCAR!$J$8,$AI1127))),OR(BUSCAR!$J$9="",ISNUMBER(SEARCH(BUSCAR!$J$9,$AI1127))),OR(NOT(BUSCAR!$J$2),AND(ISNUMBER($AF1127),$AF1127&gt;=BUSCAR!$J$3,$AF1127&lt;=BUSCAR!$J$4))),1,0))</f>
      </c>
      <c r="AH1127" s="42">
        <f t="shared" si="51"/>
      </c>
      <c r="AI1127" s="42">
        <f t="shared" si="52"/>
      </c>
    </row>
    <row r="1128" spans="1:35" x14ac:dyDescent="0.2">
      <c r="A1128" s="66">
        <f t="shared" si="53"/>
      </c>
      <c r="B1128" s="4"/>
      <c r="C1128" s="4"/>
      <c r="D1128" s="4"/>
      <c r="E1128" s="4"/>
      <c r="F1128" s="24"/>
      <c r="G1128" s="8"/>
      <c r="H1128" s="9"/>
      <c r="I1128" s="8"/>
      <c r="J1128" s="10"/>
      <c r="K1128" s="8"/>
      <c r="L1128" s="8"/>
      <c r="M1128" s="8"/>
      <c r="N1128" s="11"/>
      <c r="O1128" s="9"/>
      <c r="P1128" s="12"/>
      <c r="Q1128" s="9"/>
      <c r="R1128" s="13"/>
      <c r="S1128" s="11"/>
      <c r="T1128" s="11"/>
      <c r="U1128" s="9"/>
      <c r="V1128" s="9"/>
      <c r="W1128" s="9"/>
      <c r="X1128" s="16"/>
      <c r="AF1128" s="42">
        <f>IF(BUSCAR!$C$8="FECHA NAC.",$G1128,IF(BUSCAR!$C$8="PASAPORTE EXPIRA",$J1128,IF(BUSCAR!$C$8="LICENCIA EMISION",$L1128,IF(BUSCAR!$C$8="LICENCIA EXPIRA",$M1128,""))))</f>
      </c>
      <c r="AG1128" s="42">
        <f>IF($B1128&amp;$C1128&amp;$D1128&amp;$E1128&amp;$H1128="",0,IF(AND(OR(BUSCAR!$J$5="",ISNUMBER(SEARCH(BUSCAR!$J$5,$AI1128))),OR(BUSCAR!$J$6="",ISNUMBER(SEARCH(BUSCAR!$J$6,$AI1128))),OR(BUSCAR!$J$8="",ISNUMBER(SEARCH(BUSCAR!$J$8,$AI1128))),OR(BUSCAR!$J$9="",ISNUMBER(SEARCH(BUSCAR!$J$9,$AI1128))),OR(NOT(BUSCAR!$J$2),AND(ISNUMBER($AF1128),$AF1128&gt;=BUSCAR!$J$3,$AF1128&lt;=BUSCAR!$J$4))),1,0))</f>
      </c>
      <c r="AH1128" s="42">
        <f t="shared" si="51"/>
      </c>
      <c r="AI1128" s="42">
        <f t="shared" si="52"/>
      </c>
    </row>
    <row r="1129" spans="1:35" x14ac:dyDescent="0.2">
      <c r="A1129" s="66">
        <f t="shared" si="53"/>
      </c>
      <c r="B1129" s="4"/>
      <c r="C1129" s="4"/>
      <c r="D1129" s="4"/>
      <c r="E1129" s="4"/>
      <c r="F1129" s="24"/>
      <c r="G1129" s="8"/>
      <c r="H1129" s="9"/>
      <c r="I1129" s="8"/>
      <c r="J1129" s="10"/>
      <c r="K1129" s="8"/>
      <c r="L1129" s="8"/>
      <c r="M1129" s="8"/>
      <c r="N1129" s="11"/>
      <c r="O1129" s="9"/>
      <c r="P1129" s="12"/>
      <c r="Q1129" s="9"/>
      <c r="R1129" s="13"/>
      <c r="S1129" s="11"/>
      <c r="T1129" s="11"/>
      <c r="U1129" s="9"/>
      <c r="V1129" s="9"/>
      <c r="W1129" s="9"/>
      <c r="X1129" s="16"/>
      <c r="AF1129" s="42">
        <f>IF(BUSCAR!$C$8="FECHA NAC.",$G1129,IF(BUSCAR!$C$8="PASAPORTE EXPIRA",$J1129,IF(BUSCAR!$C$8="LICENCIA EMISION",$L1129,IF(BUSCAR!$C$8="LICENCIA EXPIRA",$M1129,""))))</f>
      </c>
      <c r="AG1129" s="42">
        <f>IF($B1129&amp;$C1129&amp;$D1129&amp;$E1129&amp;$H1129="",0,IF(AND(OR(BUSCAR!$J$5="",ISNUMBER(SEARCH(BUSCAR!$J$5,$AI1129))),OR(BUSCAR!$J$6="",ISNUMBER(SEARCH(BUSCAR!$J$6,$AI1129))),OR(BUSCAR!$J$8="",ISNUMBER(SEARCH(BUSCAR!$J$8,$AI1129))),OR(BUSCAR!$J$9="",ISNUMBER(SEARCH(BUSCAR!$J$9,$AI1129))),OR(NOT(BUSCAR!$J$2),AND(ISNUMBER($AF1129),$AF1129&gt;=BUSCAR!$J$3,$AF1129&lt;=BUSCAR!$J$4))),1,0))</f>
      </c>
      <c r="AH1129" s="42">
        <f t="shared" si="51"/>
      </c>
      <c r="AI1129" s="42">
        <f t="shared" si="52"/>
      </c>
    </row>
    <row r="1130" spans="1:35" x14ac:dyDescent="0.2">
      <c r="A1130" s="66">
        <f t="shared" si="53"/>
      </c>
      <c r="B1130" s="4"/>
      <c r="C1130" s="4"/>
      <c r="D1130" s="4"/>
      <c r="E1130" s="4"/>
      <c r="F1130" s="24"/>
      <c r="G1130" s="8"/>
      <c r="H1130" s="9"/>
      <c r="I1130" s="8"/>
      <c r="J1130" s="10"/>
      <c r="K1130" s="8"/>
      <c r="L1130" s="8"/>
      <c r="M1130" s="8"/>
      <c r="N1130" s="11"/>
      <c r="O1130" s="9"/>
      <c r="P1130" s="12"/>
      <c r="Q1130" s="9"/>
      <c r="R1130" s="13"/>
      <c r="S1130" s="11"/>
      <c r="T1130" s="11"/>
      <c r="U1130" s="9"/>
      <c r="V1130" s="9"/>
      <c r="W1130" s="9"/>
      <c r="X1130" s="16"/>
      <c r="AF1130" s="42">
        <f>IF(BUSCAR!$C$8="FECHA NAC.",$G1130,IF(BUSCAR!$C$8="PASAPORTE EXPIRA",$J1130,IF(BUSCAR!$C$8="LICENCIA EMISION",$L1130,IF(BUSCAR!$C$8="LICENCIA EXPIRA",$M1130,""))))</f>
      </c>
      <c r="AG1130" s="42">
        <f>IF($B1130&amp;$C1130&amp;$D1130&amp;$E1130&amp;$H1130="",0,IF(AND(OR(BUSCAR!$J$5="",ISNUMBER(SEARCH(BUSCAR!$J$5,$AI1130))),OR(BUSCAR!$J$6="",ISNUMBER(SEARCH(BUSCAR!$J$6,$AI1130))),OR(BUSCAR!$J$8="",ISNUMBER(SEARCH(BUSCAR!$J$8,$AI1130))),OR(BUSCAR!$J$9="",ISNUMBER(SEARCH(BUSCAR!$J$9,$AI1130))),OR(NOT(BUSCAR!$J$2),AND(ISNUMBER($AF1130),$AF1130&gt;=BUSCAR!$J$3,$AF1130&lt;=BUSCAR!$J$4))),1,0))</f>
      </c>
      <c r="AH1130" s="42">
        <f t="shared" si="51"/>
      </c>
      <c r="AI1130" s="42">
        <f t="shared" si="52"/>
      </c>
    </row>
    <row r="1131" spans="1:35" x14ac:dyDescent="0.2">
      <c r="A1131" s="66">
        <f t="shared" si="53"/>
      </c>
      <c r="B1131" s="4"/>
      <c r="C1131" s="4"/>
      <c r="D1131" s="4"/>
      <c r="E1131" s="4"/>
      <c r="F1131" s="24"/>
      <c r="G1131" s="8"/>
      <c r="H1131" s="9"/>
      <c r="I1131" s="8"/>
      <c r="J1131" s="10"/>
      <c r="K1131" s="8"/>
      <c r="L1131" s="8"/>
      <c r="M1131" s="8"/>
      <c r="N1131" s="11"/>
      <c r="O1131" s="9"/>
      <c r="P1131" s="12"/>
      <c r="Q1131" s="9"/>
      <c r="R1131" s="13"/>
      <c r="S1131" s="11"/>
      <c r="T1131" s="11"/>
      <c r="U1131" s="9"/>
      <c r="V1131" s="9"/>
      <c r="W1131" s="9"/>
      <c r="X1131" s="16"/>
      <c r="AF1131" s="42">
        <f>IF(BUSCAR!$C$8="FECHA NAC.",$G1131,IF(BUSCAR!$C$8="PASAPORTE EXPIRA",$J1131,IF(BUSCAR!$C$8="LICENCIA EMISION",$L1131,IF(BUSCAR!$C$8="LICENCIA EXPIRA",$M1131,""))))</f>
      </c>
      <c r="AG1131" s="42">
        <f>IF($B1131&amp;$C1131&amp;$D1131&amp;$E1131&amp;$H1131="",0,IF(AND(OR(BUSCAR!$J$5="",ISNUMBER(SEARCH(BUSCAR!$J$5,$AI1131))),OR(BUSCAR!$J$6="",ISNUMBER(SEARCH(BUSCAR!$J$6,$AI1131))),OR(BUSCAR!$J$8="",ISNUMBER(SEARCH(BUSCAR!$J$8,$AI1131))),OR(BUSCAR!$J$9="",ISNUMBER(SEARCH(BUSCAR!$J$9,$AI1131))),OR(NOT(BUSCAR!$J$2),AND(ISNUMBER($AF1131),$AF1131&gt;=BUSCAR!$J$3,$AF1131&lt;=BUSCAR!$J$4))),1,0))</f>
      </c>
      <c r="AH1131" s="42">
        <f t="shared" si="51"/>
      </c>
      <c r="AI1131" s="42">
        <f t="shared" si="52"/>
      </c>
    </row>
    <row r="1132" spans="1:35" x14ac:dyDescent="0.2">
      <c r="A1132" s="66">
        <f t="shared" si="53"/>
      </c>
      <c r="B1132" s="4"/>
      <c r="C1132" s="4"/>
      <c r="D1132" s="4"/>
      <c r="E1132" s="4"/>
      <c r="F1132" s="24"/>
      <c r="G1132" s="8"/>
      <c r="H1132" s="9"/>
      <c r="I1132" s="8"/>
      <c r="J1132" s="10"/>
      <c r="K1132" s="8"/>
      <c r="L1132" s="8"/>
      <c r="M1132" s="8"/>
      <c r="N1132" s="11"/>
      <c r="O1132" s="9"/>
      <c r="P1132" s="12"/>
      <c r="Q1132" s="9"/>
      <c r="R1132" s="13"/>
      <c r="S1132" s="11"/>
      <c r="T1132" s="11"/>
      <c r="U1132" s="9"/>
      <c r="V1132" s="9"/>
      <c r="W1132" s="9"/>
      <c r="X1132" s="16"/>
      <c r="AF1132" s="42">
        <f>IF(BUSCAR!$C$8="FECHA NAC.",$G1132,IF(BUSCAR!$C$8="PASAPORTE EXPIRA",$J1132,IF(BUSCAR!$C$8="LICENCIA EMISION",$L1132,IF(BUSCAR!$C$8="LICENCIA EXPIRA",$M1132,""))))</f>
      </c>
      <c r="AG1132" s="42">
        <f>IF($B1132&amp;$C1132&amp;$D1132&amp;$E1132&amp;$H1132="",0,IF(AND(OR(BUSCAR!$J$5="",ISNUMBER(SEARCH(BUSCAR!$J$5,$AI1132))),OR(BUSCAR!$J$6="",ISNUMBER(SEARCH(BUSCAR!$J$6,$AI1132))),OR(BUSCAR!$J$8="",ISNUMBER(SEARCH(BUSCAR!$J$8,$AI1132))),OR(BUSCAR!$J$9="",ISNUMBER(SEARCH(BUSCAR!$J$9,$AI1132))),OR(NOT(BUSCAR!$J$2),AND(ISNUMBER($AF1132),$AF1132&gt;=BUSCAR!$J$3,$AF1132&lt;=BUSCAR!$J$4))),1,0))</f>
      </c>
      <c r="AH1132" s="42">
        <f t="shared" si="51"/>
      </c>
      <c r="AI1132" s="42">
        <f t="shared" si="52"/>
      </c>
    </row>
    <row r="1133" spans="1:35" x14ac:dyDescent="0.2">
      <c r="A1133" s="66">
        <f t="shared" si="53"/>
      </c>
      <c r="B1133" s="4"/>
      <c r="C1133" s="4"/>
      <c r="D1133" s="4"/>
      <c r="E1133" s="4"/>
      <c r="F1133" s="24"/>
      <c r="G1133" s="8"/>
      <c r="H1133" s="9"/>
      <c r="I1133" s="8"/>
      <c r="J1133" s="10"/>
      <c r="K1133" s="8"/>
      <c r="L1133" s="8"/>
      <c r="M1133" s="8"/>
      <c r="N1133" s="11"/>
      <c r="O1133" s="9"/>
      <c r="P1133" s="12"/>
      <c r="Q1133" s="9"/>
      <c r="R1133" s="13"/>
      <c r="S1133" s="11"/>
      <c r="T1133" s="11"/>
      <c r="U1133" s="9"/>
      <c r="V1133" s="9"/>
      <c r="W1133" s="9"/>
      <c r="X1133" s="16"/>
      <c r="AF1133" s="42">
        <f>IF(BUSCAR!$C$8="FECHA NAC.",$G1133,IF(BUSCAR!$C$8="PASAPORTE EXPIRA",$J1133,IF(BUSCAR!$C$8="LICENCIA EMISION",$L1133,IF(BUSCAR!$C$8="LICENCIA EXPIRA",$M1133,""))))</f>
      </c>
      <c r="AG1133" s="42">
        <f>IF($B1133&amp;$C1133&amp;$D1133&amp;$E1133&amp;$H1133="",0,IF(AND(OR(BUSCAR!$J$5="",ISNUMBER(SEARCH(BUSCAR!$J$5,$AI1133))),OR(BUSCAR!$J$6="",ISNUMBER(SEARCH(BUSCAR!$J$6,$AI1133))),OR(BUSCAR!$J$8="",ISNUMBER(SEARCH(BUSCAR!$J$8,$AI1133))),OR(BUSCAR!$J$9="",ISNUMBER(SEARCH(BUSCAR!$J$9,$AI1133))),OR(NOT(BUSCAR!$J$2),AND(ISNUMBER($AF1133),$AF1133&gt;=BUSCAR!$J$3,$AF1133&lt;=BUSCAR!$J$4))),1,0))</f>
      </c>
      <c r="AH1133" s="42">
        <f t="shared" si="51"/>
      </c>
      <c r="AI1133" s="42">
        <f t="shared" si="52"/>
      </c>
    </row>
    <row r="1134" spans="1:35" x14ac:dyDescent="0.2">
      <c r="A1134" s="66">
        <f t="shared" si="53"/>
      </c>
      <c r="B1134" s="4"/>
      <c r="C1134" s="4"/>
      <c r="D1134" s="4"/>
      <c r="E1134" s="4"/>
      <c r="F1134" s="24"/>
      <c r="G1134" s="8"/>
      <c r="H1134" s="9"/>
      <c r="I1134" s="8"/>
      <c r="J1134" s="10"/>
      <c r="K1134" s="8"/>
      <c r="L1134" s="8"/>
      <c r="M1134" s="8"/>
      <c r="N1134" s="11"/>
      <c r="O1134" s="9"/>
      <c r="P1134" s="12"/>
      <c r="Q1134" s="9"/>
      <c r="R1134" s="13"/>
      <c r="S1134" s="11"/>
      <c r="T1134" s="11"/>
      <c r="U1134" s="9"/>
      <c r="V1134" s="9"/>
      <c r="W1134" s="9"/>
      <c r="X1134" s="16"/>
      <c r="AF1134" s="42">
        <f>IF(BUSCAR!$C$8="FECHA NAC.",$G1134,IF(BUSCAR!$C$8="PASAPORTE EXPIRA",$J1134,IF(BUSCAR!$C$8="LICENCIA EMISION",$L1134,IF(BUSCAR!$C$8="LICENCIA EXPIRA",$M1134,""))))</f>
      </c>
      <c r="AG1134" s="42">
        <f>IF($B1134&amp;$C1134&amp;$D1134&amp;$E1134&amp;$H1134="",0,IF(AND(OR(BUSCAR!$J$5="",ISNUMBER(SEARCH(BUSCAR!$J$5,$AI1134))),OR(BUSCAR!$J$6="",ISNUMBER(SEARCH(BUSCAR!$J$6,$AI1134))),OR(BUSCAR!$J$8="",ISNUMBER(SEARCH(BUSCAR!$J$8,$AI1134))),OR(BUSCAR!$J$9="",ISNUMBER(SEARCH(BUSCAR!$J$9,$AI1134))),OR(NOT(BUSCAR!$J$2),AND(ISNUMBER($AF1134),$AF1134&gt;=BUSCAR!$J$3,$AF1134&lt;=BUSCAR!$J$4))),1,0))</f>
      </c>
      <c r="AH1134" s="42">
        <f t="shared" si="51"/>
      </c>
      <c r="AI1134" s="42">
        <f t="shared" si="52"/>
      </c>
    </row>
    <row r="1135" spans="1:35" x14ac:dyDescent="0.2">
      <c r="A1135" s="66">
        <f t="shared" si="53"/>
      </c>
      <c r="B1135" s="4"/>
      <c r="C1135" s="4"/>
      <c r="D1135" s="4"/>
      <c r="E1135" s="4"/>
      <c r="F1135" s="24"/>
      <c r="G1135" s="8"/>
      <c r="H1135" s="9"/>
      <c r="I1135" s="8"/>
      <c r="J1135" s="10"/>
      <c r="K1135" s="8"/>
      <c r="L1135" s="8"/>
      <c r="M1135" s="8"/>
      <c r="N1135" s="11"/>
      <c r="O1135" s="9"/>
      <c r="P1135" s="12"/>
      <c r="Q1135" s="9"/>
      <c r="R1135" s="13"/>
      <c r="S1135" s="11"/>
      <c r="T1135" s="11"/>
      <c r="U1135" s="9"/>
      <c r="V1135" s="9"/>
      <c r="W1135" s="9"/>
      <c r="X1135" s="16"/>
      <c r="AF1135" s="42">
        <f>IF(BUSCAR!$C$8="FECHA NAC.",$G1135,IF(BUSCAR!$C$8="PASAPORTE EXPIRA",$J1135,IF(BUSCAR!$C$8="LICENCIA EMISION",$L1135,IF(BUSCAR!$C$8="LICENCIA EXPIRA",$M1135,""))))</f>
      </c>
      <c r="AG1135" s="42">
        <f>IF($B1135&amp;$C1135&amp;$D1135&amp;$E1135&amp;$H1135="",0,IF(AND(OR(BUSCAR!$J$5="",ISNUMBER(SEARCH(BUSCAR!$J$5,$AI1135))),OR(BUSCAR!$J$6="",ISNUMBER(SEARCH(BUSCAR!$J$6,$AI1135))),OR(BUSCAR!$J$8="",ISNUMBER(SEARCH(BUSCAR!$J$8,$AI1135))),OR(BUSCAR!$J$9="",ISNUMBER(SEARCH(BUSCAR!$J$9,$AI1135))),OR(NOT(BUSCAR!$J$2),AND(ISNUMBER($AF1135),$AF1135&gt;=BUSCAR!$J$3,$AF1135&lt;=BUSCAR!$J$4))),1,0))</f>
      </c>
      <c r="AH1135" s="42">
        <f t="shared" si="51"/>
      </c>
      <c r="AI1135" s="42">
        <f t="shared" si="52"/>
      </c>
    </row>
    <row r="1136" spans="1:35" x14ac:dyDescent="0.2">
      <c r="A1136" s="66">
        <f t="shared" si="53"/>
      </c>
      <c r="B1136" s="4"/>
      <c r="C1136" s="4"/>
      <c r="D1136" s="4"/>
      <c r="E1136" s="4"/>
      <c r="F1136" s="24"/>
      <c r="G1136" s="8"/>
      <c r="H1136" s="9"/>
      <c r="I1136" s="8"/>
      <c r="J1136" s="10"/>
      <c r="K1136" s="8"/>
      <c r="L1136" s="8"/>
      <c r="M1136" s="8"/>
      <c r="N1136" s="11"/>
      <c r="O1136" s="9"/>
      <c r="P1136" s="12"/>
      <c r="Q1136" s="9"/>
      <c r="R1136" s="13"/>
      <c r="S1136" s="11"/>
      <c r="T1136" s="11"/>
      <c r="U1136" s="9"/>
      <c r="V1136" s="9"/>
      <c r="W1136" s="9"/>
      <c r="X1136" s="16"/>
      <c r="AF1136" s="42">
        <f>IF(BUSCAR!$C$8="FECHA NAC.",$G1136,IF(BUSCAR!$C$8="PASAPORTE EXPIRA",$J1136,IF(BUSCAR!$C$8="LICENCIA EMISION",$L1136,IF(BUSCAR!$C$8="LICENCIA EXPIRA",$M1136,""))))</f>
      </c>
      <c r="AG1136" s="42">
        <f>IF($B1136&amp;$C1136&amp;$D1136&amp;$E1136&amp;$H1136="",0,IF(AND(OR(BUSCAR!$J$5="",ISNUMBER(SEARCH(BUSCAR!$J$5,$AI1136))),OR(BUSCAR!$J$6="",ISNUMBER(SEARCH(BUSCAR!$J$6,$AI1136))),OR(BUSCAR!$J$8="",ISNUMBER(SEARCH(BUSCAR!$J$8,$AI1136))),OR(BUSCAR!$J$9="",ISNUMBER(SEARCH(BUSCAR!$J$9,$AI1136))),OR(NOT(BUSCAR!$J$2),AND(ISNUMBER($AF1136),$AF1136&gt;=BUSCAR!$J$3,$AF1136&lt;=BUSCAR!$J$4))),1,0))</f>
      </c>
      <c r="AH1136" s="42">
        <f t="shared" si="51"/>
      </c>
      <c r="AI1136" s="42">
        <f t="shared" si="52"/>
      </c>
    </row>
    <row r="1137" spans="1:35" x14ac:dyDescent="0.2">
      <c r="A1137" s="66">
        <f t="shared" si="53"/>
      </c>
      <c r="B1137" s="4"/>
      <c r="C1137" s="4"/>
      <c r="D1137" s="4"/>
      <c r="E1137" s="4"/>
      <c r="F1137" s="32"/>
      <c r="G1137" s="8"/>
      <c r="H1137" s="9"/>
      <c r="I1137" s="8"/>
      <c r="J1137" s="10"/>
      <c r="K1137" s="8"/>
      <c r="L1137" s="8"/>
      <c r="M1137" s="8"/>
      <c r="N1137" s="11"/>
      <c r="O1137" s="9"/>
      <c r="P1137" s="12"/>
      <c r="Q1137" s="9"/>
      <c r="R1137" s="13"/>
      <c r="S1137" s="11"/>
      <c r="T1137" s="11"/>
      <c r="U1137" s="9"/>
      <c r="V1137" s="9"/>
      <c r="W1137" s="9"/>
      <c r="X1137" s="16"/>
      <c r="AF1137" s="42">
        <f>IF(BUSCAR!$C$8="FECHA NAC.",$G1137,IF(BUSCAR!$C$8="PASAPORTE EXPIRA",$J1137,IF(BUSCAR!$C$8="LICENCIA EMISION",$L1137,IF(BUSCAR!$C$8="LICENCIA EXPIRA",$M1137,""))))</f>
      </c>
      <c r="AG1137" s="42">
        <f>IF($B1137&amp;$C1137&amp;$D1137&amp;$E1137&amp;$H1137="",0,IF(AND(OR(BUSCAR!$J$5="",ISNUMBER(SEARCH(BUSCAR!$J$5,$AI1137))),OR(BUSCAR!$J$6="",ISNUMBER(SEARCH(BUSCAR!$J$6,$AI1137))),OR(BUSCAR!$J$8="",ISNUMBER(SEARCH(BUSCAR!$J$8,$AI1137))),OR(BUSCAR!$J$9="",ISNUMBER(SEARCH(BUSCAR!$J$9,$AI1137))),OR(NOT(BUSCAR!$J$2),AND(ISNUMBER($AF1137),$AF1137&gt;=BUSCAR!$J$3,$AF1137&lt;=BUSCAR!$J$4))),1,0))</f>
      </c>
      <c r="AH1137" s="42">
        <f t="shared" si="51"/>
      </c>
      <c r="AI1137" s="42">
        <f t="shared" si="52"/>
      </c>
    </row>
    <row r="1138" spans="1:35" x14ac:dyDescent="0.2">
      <c r="A1138" s="66">
        <f t="shared" si="53"/>
      </c>
      <c r="B1138" s="4"/>
      <c r="C1138" s="4"/>
      <c r="D1138" s="4"/>
      <c r="E1138" s="4"/>
      <c r="F1138" s="24"/>
      <c r="G1138" s="8"/>
      <c r="H1138" s="9"/>
      <c r="I1138" s="8"/>
      <c r="J1138" s="10"/>
      <c r="K1138" s="8"/>
      <c r="L1138" s="8"/>
      <c r="M1138" s="8"/>
      <c r="N1138" s="11"/>
      <c r="O1138" s="9"/>
      <c r="P1138" s="12"/>
      <c r="Q1138" s="9"/>
      <c r="R1138" s="13"/>
      <c r="S1138" s="11"/>
      <c r="T1138" s="11"/>
      <c r="U1138" s="9"/>
      <c r="V1138" s="9"/>
      <c r="W1138" s="9"/>
      <c r="X1138" s="16"/>
      <c r="AF1138" s="42">
        <f>IF(BUSCAR!$C$8="FECHA NAC.",$G1138,IF(BUSCAR!$C$8="PASAPORTE EXPIRA",$J1138,IF(BUSCAR!$C$8="LICENCIA EMISION",$L1138,IF(BUSCAR!$C$8="LICENCIA EXPIRA",$M1138,""))))</f>
      </c>
      <c r="AG1138" s="42">
        <f>IF($B1138&amp;$C1138&amp;$D1138&amp;$E1138&amp;$H1138="",0,IF(AND(OR(BUSCAR!$J$5="",ISNUMBER(SEARCH(BUSCAR!$J$5,$AI1138))),OR(BUSCAR!$J$6="",ISNUMBER(SEARCH(BUSCAR!$J$6,$AI1138))),OR(BUSCAR!$J$8="",ISNUMBER(SEARCH(BUSCAR!$J$8,$AI1138))),OR(BUSCAR!$J$9="",ISNUMBER(SEARCH(BUSCAR!$J$9,$AI1138))),OR(NOT(BUSCAR!$J$2),AND(ISNUMBER($AF1138),$AF1138&gt;=BUSCAR!$J$3,$AF1138&lt;=BUSCAR!$J$4))),1,0))</f>
      </c>
      <c r="AH1138" s="42">
        <f t="shared" si="51"/>
      </c>
      <c r="AI1138" s="42">
        <f t="shared" si="52"/>
      </c>
    </row>
    <row r="1139" spans="1:35" x14ac:dyDescent="0.2">
      <c r="A1139" s="66">
        <f t="shared" si="53"/>
      </c>
      <c r="B1139" s="4"/>
      <c r="C1139" s="4"/>
      <c r="D1139" s="4"/>
      <c r="E1139" s="4"/>
      <c r="F1139" s="24"/>
      <c r="G1139" s="8"/>
      <c r="H1139" s="9"/>
      <c r="I1139" s="8"/>
      <c r="J1139" s="10"/>
      <c r="K1139" s="8"/>
      <c r="L1139" s="8"/>
      <c r="M1139" s="8"/>
      <c r="N1139" s="11"/>
      <c r="O1139" s="9"/>
      <c r="P1139" s="12"/>
      <c r="Q1139" s="9"/>
      <c r="R1139" s="13"/>
      <c r="S1139" s="11"/>
      <c r="T1139" s="11"/>
      <c r="U1139" s="9"/>
      <c r="V1139" s="9"/>
      <c r="W1139" s="9"/>
      <c r="X1139" s="16"/>
      <c r="AF1139" s="42">
        <f>IF(BUSCAR!$C$8="FECHA NAC.",$G1139,IF(BUSCAR!$C$8="PASAPORTE EXPIRA",$J1139,IF(BUSCAR!$C$8="LICENCIA EMISION",$L1139,IF(BUSCAR!$C$8="LICENCIA EXPIRA",$M1139,""))))</f>
      </c>
      <c r="AG1139" s="42">
        <f>IF($B1139&amp;$C1139&amp;$D1139&amp;$E1139&amp;$H1139="",0,IF(AND(OR(BUSCAR!$J$5="",ISNUMBER(SEARCH(BUSCAR!$J$5,$AI1139))),OR(BUSCAR!$J$6="",ISNUMBER(SEARCH(BUSCAR!$J$6,$AI1139))),OR(BUSCAR!$J$8="",ISNUMBER(SEARCH(BUSCAR!$J$8,$AI1139))),OR(BUSCAR!$J$9="",ISNUMBER(SEARCH(BUSCAR!$J$9,$AI1139))),OR(NOT(BUSCAR!$J$2),AND(ISNUMBER($AF1139),$AF1139&gt;=BUSCAR!$J$3,$AF1139&lt;=BUSCAR!$J$4))),1,0))</f>
      </c>
      <c r="AH1139" s="42">
        <f t="shared" si="51"/>
      </c>
      <c r="AI1139" s="42">
        <f t="shared" si="52"/>
      </c>
    </row>
    <row r="1140" spans="1:35" x14ac:dyDescent="0.2">
      <c r="A1140" s="66">
        <f t="shared" si="53"/>
      </c>
      <c r="B1140" s="4"/>
      <c r="C1140" s="4"/>
      <c r="D1140" s="4"/>
      <c r="E1140" s="4"/>
      <c r="F1140" s="24"/>
      <c r="G1140" s="8"/>
      <c r="H1140" s="9"/>
      <c r="I1140" s="8"/>
      <c r="J1140" s="10"/>
      <c r="K1140" s="8"/>
      <c r="L1140" s="8"/>
      <c r="M1140" s="8"/>
      <c r="N1140" s="11"/>
      <c r="O1140" s="9"/>
      <c r="P1140" s="12"/>
      <c r="Q1140" s="9"/>
      <c r="R1140" s="13"/>
      <c r="S1140" s="11"/>
      <c r="T1140" s="11"/>
      <c r="U1140" s="9"/>
      <c r="V1140" s="9"/>
      <c r="W1140" s="9"/>
      <c r="X1140" s="16"/>
      <c r="AF1140" s="42">
        <f>IF(BUSCAR!$C$8="FECHA NAC.",$G1140,IF(BUSCAR!$C$8="PASAPORTE EXPIRA",$J1140,IF(BUSCAR!$C$8="LICENCIA EMISION",$L1140,IF(BUSCAR!$C$8="LICENCIA EXPIRA",$M1140,""))))</f>
      </c>
      <c r="AG1140" s="42">
        <f>IF($B1140&amp;$C1140&amp;$D1140&amp;$E1140&amp;$H1140="",0,IF(AND(OR(BUSCAR!$J$5="",ISNUMBER(SEARCH(BUSCAR!$J$5,$AI1140))),OR(BUSCAR!$J$6="",ISNUMBER(SEARCH(BUSCAR!$J$6,$AI1140))),OR(BUSCAR!$J$8="",ISNUMBER(SEARCH(BUSCAR!$J$8,$AI1140))),OR(BUSCAR!$J$9="",ISNUMBER(SEARCH(BUSCAR!$J$9,$AI1140))),OR(NOT(BUSCAR!$J$2),AND(ISNUMBER($AF1140),$AF1140&gt;=BUSCAR!$J$3,$AF1140&lt;=BUSCAR!$J$4))),1,0))</f>
      </c>
      <c r="AH1140" s="42">
        <f t="shared" si="51"/>
      </c>
      <c r="AI1140" s="42">
        <f t="shared" si="52"/>
      </c>
    </row>
    <row r="1141" spans="1:35" x14ac:dyDescent="0.2">
      <c r="A1141" s="66">
        <f t="shared" si="53"/>
      </c>
      <c r="B1141" s="4"/>
      <c r="C1141" s="4"/>
      <c r="D1141" s="4"/>
      <c r="E1141" s="4"/>
      <c r="F1141" s="24"/>
      <c r="G1141" s="8"/>
      <c r="H1141" s="9"/>
      <c r="I1141" s="8"/>
      <c r="J1141" s="10"/>
      <c r="K1141" s="8"/>
      <c r="L1141" s="8"/>
      <c r="M1141" s="8"/>
      <c r="N1141" s="11"/>
      <c r="O1141" s="9"/>
      <c r="P1141" s="12"/>
      <c r="Q1141" s="9"/>
      <c r="R1141" s="13"/>
      <c r="S1141" s="11"/>
      <c r="T1141" s="11"/>
      <c r="U1141" s="9"/>
      <c r="V1141" s="9"/>
      <c r="W1141" s="9"/>
      <c r="X1141" s="16"/>
      <c r="AF1141" s="42">
        <f>IF(BUSCAR!$C$8="FECHA NAC.",$G1141,IF(BUSCAR!$C$8="PASAPORTE EXPIRA",$J1141,IF(BUSCAR!$C$8="LICENCIA EMISION",$L1141,IF(BUSCAR!$C$8="LICENCIA EXPIRA",$M1141,""))))</f>
      </c>
      <c r="AG1141" s="42">
        <f>IF($B1141&amp;$C1141&amp;$D1141&amp;$E1141&amp;$H1141="",0,IF(AND(OR(BUSCAR!$J$5="",ISNUMBER(SEARCH(BUSCAR!$J$5,$AI1141))),OR(BUSCAR!$J$6="",ISNUMBER(SEARCH(BUSCAR!$J$6,$AI1141))),OR(BUSCAR!$J$8="",ISNUMBER(SEARCH(BUSCAR!$J$8,$AI1141))),OR(BUSCAR!$J$9="",ISNUMBER(SEARCH(BUSCAR!$J$9,$AI1141))),OR(NOT(BUSCAR!$J$2),AND(ISNUMBER($AF1141),$AF1141&gt;=BUSCAR!$J$3,$AF1141&lt;=BUSCAR!$J$4))),1,0))</f>
      </c>
      <c r="AH1141" s="42">
        <f t="shared" si="51"/>
      </c>
      <c r="AI1141" s="42">
        <f t="shared" si="52"/>
      </c>
    </row>
    <row r="1142" spans="1:35" x14ac:dyDescent="0.2">
      <c r="A1142" s="66">
        <f t="shared" si="53"/>
      </c>
      <c r="B1142" s="4"/>
      <c r="C1142" s="4"/>
      <c r="D1142" s="4"/>
      <c r="E1142" s="4"/>
      <c r="F1142" s="24"/>
      <c r="G1142" s="8"/>
      <c r="H1142" s="9"/>
      <c r="I1142" s="8"/>
      <c r="J1142" s="10"/>
      <c r="K1142" s="8"/>
      <c r="L1142" s="8"/>
      <c r="M1142" s="8"/>
      <c r="N1142" s="11"/>
      <c r="O1142" s="9"/>
      <c r="P1142" s="12"/>
      <c r="Q1142" s="9"/>
      <c r="R1142" s="13"/>
      <c r="S1142" s="11"/>
      <c r="T1142" s="11"/>
      <c r="U1142" s="9"/>
      <c r="V1142" s="9"/>
      <c r="W1142" s="9"/>
      <c r="X1142" s="16"/>
      <c r="AF1142" s="42">
        <f>IF(BUSCAR!$C$8="FECHA NAC.",$G1142,IF(BUSCAR!$C$8="PASAPORTE EXPIRA",$J1142,IF(BUSCAR!$C$8="LICENCIA EMISION",$L1142,IF(BUSCAR!$C$8="LICENCIA EXPIRA",$M1142,""))))</f>
      </c>
      <c r="AG1142" s="42">
        <f>IF($B1142&amp;$C1142&amp;$D1142&amp;$E1142&amp;$H1142="",0,IF(AND(OR(BUSCAR!$J$5="",ISNUMBER(SEARCH(BUSCAR!$J$5,$AI1142))),OR(BUSCAR!$J$6="",ISNUMBER(SEARCH(BUSCAR!$J$6,$AI1142))),OR(BUSCAR!$J$8="",ISNUMBER(SEARCH(BUSCAR!$J$8,$AI1142))),OR(BUSCAR!$J$9="",ISNUMBER(SEARCH(BUSCAR!$J$9,$AI1142))),OR(NOT(BUSCAR!$J$2),AND(ISNUMBER($AF1142),$AF1142&gt;=BUSCAR!$J$3,$AF1142&lt;=BUSCAR!$J$4))),1,0))</f>
      </c>
      <c r="AH1142" s="42">
        <f t="shared" si="51"/>
      </c>
      <c r="AI1142" s="42">
        <f t="shared" si="52"/>
      </c>
    </row>
    <row r="1143" spans="1:35" x14ac:dyDescent="0.2">
      <c r="A1143" s="66">
        <f t="shared" si="53"/>
      </c>
      <c r="B1143" s="4"/>
      <c r="C1143" s="4"/>
      <c r="D1143" s="4"/>
      <c r="E1143" s="4"/>
      <c r="F1143" s="24"/>
      <c r="G1143" s="8"/>
      <c r="H1143" s="9"/>
      <c r="I1143" s="8"/>
      <c r="J1143" s="10"/>
      <c r="K1143" s="8"/>
      <c r="L1143" s="8"/>
      <c r="M1143" s="8"/>
      <c r="N1143" s="11"/>
      <c r="O1143" s="9"/>
      <c r="P1143" s="12"/>
      <c r="Q1143" s="9"/>
      <c r="R1143" s="13"/>
      <c r="S1143" s="11"/>
      <c r="T1143" s="11"/>
      <c r="U1143" s="9"/>
      <c r="V1143" s="9"/>
      <c r="W1143" s="9"/>
      <c r="X1143" s="16"/>
      <c r="AF1143" s="42">
        <f>IF(BUSCAR!$C$8="FECHA NAC.",$G1143,IF(BUSCAR!$C$8="PASAPORTE EXPIRA",$J1143,IF(BUSCAR!$C$8="LICENCIA EMISION",$L1143,IF(BUSCAR!$C$8="LICENCIA EXPIRA",$M1143,""))))</f>
      </c>
      <c r="AG1143" s="42">
        <f>IF($B1143&amp;$C1143&amp;$D1143&amp;$E1143&amp;$H1143="",0,IF(AND(OR(BUSCAR!$J$5="",ISNUMBER(SEARCH(BUSCAR!$J$5,$AI1143))),OR(BUSCAR!$J$6="",ISNUMBER(SEARCH(BUSCAR!$J$6,$AI1143))),OR(BUSCAR!$J$8="",ISNUMBER(SEARCH(BUSCAR!$J$8,$AI1143))),OR(BUSCAR!$J$9="",ISNUMBER(SEARCH(BUSCAR!$J$9,$AI1143))),OR(NOT(BUSCAR!$J$2),AND(ISNUMBER($AF1143),$AF1143&gt;=BUSCAR!$J$3,$AF1143&lt;=BUSCAR!$J$4))),1,0))</f>
      </c>
      <c r="AH1143" s="42">
        <f t="shared" si="51"/>
      </c>
      <c r="AI1143" s="42">
        <f t="shared" si="52"/>
      </c>
    </row>
    <row r="1144" spans="1:35" x14ac:dyDescent="0.2">
      <c r="A1144" s="66">
        <f t="shared" si="53"/>
      </c>
      <c r="B1144" s="4"/>
      <c r="C1144" s="4"/>
      <c r="D1144" s="4"/>
      <c r="E1144" s="4"/>
      <c r="F1144" s="24"/>
      <c r="G1144" s="8"/>
      <c r="H1144" s="9"/>
      <c r="I1144" s="8"/>
      <c r="J1144" s="10"/>
      <c r="K1144" s="8"/>
      <c r="L1144" s="8"/>
      <c r="M1144" s="8"/>
      <c r="N1144" s="11"/>
      <c r="O1144" s="9"/>
      <c r="P1144" s="12"/>
      <c r="Q1144" s="9"/>
      <c r="R1144" s="13"/>
      <c r="S1144" s="11"/>
      <c r="T1144" s="11"/>
      <c r="U1144" s="9"/>
      <c r="V1144" s="9"/>
      <c r="W1144" s="9"/>
      <c r="X1144" s="16"/>
      <c r="AF1144" s="42">
        <f>IF(BUSCAR!$C$8="FECHA NAC.",$G1144,IF(BUSCAR!$C$8="PASAPORTE EXPIRA",$J1144,IF(BUSCAR!$C$8="LICENCIA EMISION",$L1144,IF(BUSCAR!$C$8="LICENCIA EXPIRA",$M1144,""))))</f>
      </c>
      <c r="AG1144" s="42">
        <f>IF($B1144&amp;$C1144&amp;$D1144&amp;$E1144&amp;$H1144="",0,IF(AND(OR(BUSCAR!$J$5="",ISNUMBER(SEARCH(BUSCAR!$J$5,$AI1144))),OR(BUSCAR!$J$6="",ISNUMBER(SEARCH(BUSCAR!$J$6,$AI1144))),OR(BUSCAR!$J$8="",ISNUMBER(SEARCH(BUSCAR!$J$8,$AI1144))),OR(BUSCAR!$J$9="",ISNUMBER(SEARCH(BUSCAR!$J$9,$AI1144))),OR(NOT(BUSCAR!$J$2),AND(ISNUMBER($AF1144),$AF1144&gt;=BUSCAR!$J$3,$AF1144&lt;=BUSCAR!$J$4))),1,0))</f>
      </c>
      <c r="AH1144" s="42">
        <f t="shared" si="51"/>
      </c>
      <c r="AI1144" s="42">
        <f t="shared" si="52"/>
      </c>
    </row>
    <row r="1145" spans="1:35" x14ac:dyDescent="0.2">
      <c r="A1145" s="66">
        <f t="shared" si="53"/>
      </c>
      <c r="B1145" s="4"/>
      <c r="C1145" s="4"/>
      <c r="D1145" s="4"/>
      <c r="E1145" s="4"/>
      <c r="F1145" s="24"/>
      <c r="G1145" s="8"/>
      <c r="H1145" s="9"/>
      <c r="I1145" s="8"/>
      <c r="J1145" s="10"/>
      <c r="K1145" s="8"/>
      <c r="L1145" s="8"/>
      <c r="M1145" s="8"/>
      <c r="N1145" s="11"/>
      <c r="O1145" s="9"/>
      <c r="P1145" s="12"/>
      <c r="Q1145" s="9"/>
      <c r="R1145" s="13"/>
      <c r="S1145" s="11"/>
      <c r="T1145" s="11"/>
      <c r="U1145" s="9"/>
      <c r="V1145" s="9"/>
      <c r="W1145" s="9"/>
      <c r="X1145" s="16"/>
      <c r="AF1145" s="42">
        <f>IF(BUSCAR!$C$8="FECHA NAC.",$G1145,IF(BUSCAR!$C$8="PASAPORTE EXPIRA",$J1145,IF(BUSCAR!$C$8="LICENCIA EMISION",$L1145,IF(BUSCAR!$C$8="LICENCIA EXPIRA",$M1145,""))))</f>
      </c>
      <c r="AG1145" s="42">
        <f>IF($B1145&amp;$C1145&amp;$D1145&amp;$E1145&amp;$H1145="",0,IF(AND(OR(BUSCAR!$J$5="",ISNUMBER(SEARCH(BUSCAR!$J$5,$AI1145))),OR(BUSCAR!$J$6="",ISNUMBER(SEARCH(BUSCAR!$J$6,$AI1145))),OR(BUSCAR!$J$8="",ISNUMBER(SEARCH(BUSCAR!$J$8,$AI1145))),OR(BUSCAR!$J$9="",ISNUMBER(SEARCH(BUSCAR!$J$9,$AI1145))),OR(NOT(BUSCAR!$J$2),AND(ISNUMBER($AF1145),$AF1145&gt;=BUSCAR!$J$3,$AF1145&lt;=BUSCAR!$J$4))),1,0))</f>
      </c>
      <c r="AH1145" s="42">
        <f t="shared" si="51"/>
      </c>
      <c r="AI1145" s="42">
        <f t="shared" si="52"/>
      </c>
    </row>
    <row r="1146" spans="1:35" x14ac:dyDescent="0.2">
      <c r="A1146" s="66">
        <f t="shared" si="53"/>
      </c>
      <c r="B1146" s="4"/>
      <c r="C1146" s="4"/>
      <c r="D1146" s="4"/>
      <c r="E1146" s="4"/>
      <c r="F1146" s="24"/>
      <c r="G1146" s="8"/>
      <c r="H1146" s="9"/>
      <c r="I1146" s="8"/>
      <c r="J1146" s="10"/>
      <c r="K1146" s="8"/>
      <c r="L1146" s="8"/>
      <c r="M1146" s="8"/>
      <c r="N1146" s="11"/>
      <c r="O1146" s="9"/>
      <c r="P1146" s="12"/>
      <c r="Q1146" s="9"/>
      <c r="R1146" s="13"/>
      <c r="S1146" s="11"/>
      <c r="T1146" s="11"/>
      <c r="U1146" s="9"/>
      <c r="V1146" s="9"/>
      <c r="W1146" s="9"/>
      <c r="X1146" s="16"/>
      <c r="AF1146" s="42">
        <f>IF(BUSCAR!$C$8="FECHA NAC.",$G1146,IF(BUSCAR!$C$8="PASAPORTE EXPIRA",$J1146,IF(BUSCAR!$C$8="LICENCIA EMISION",$L1146,IF(BUSCAR!$C$8="LICENCIA EXPIRA",$M1146,""))))</f>
      </c>
      <c r="AG1146" s="42">
        <f>IF($B1146&amp;$C1146&amp;$D1146&amp;$E1146&amp;$H1146="",0,IF(AND(OR(BUSCAR!$J$5="",ISNUMBER(SEARCH(BUSCAR!$J$5,$AI1146))),OR(BUSCAR!$J$6="",ISNUMBER(SEARCH(BUSCAR!$J$6,$AI1146))),OR(BUSCAR!$J$8="",ISNUMBER(SEARCH(BUSCAR!$J$8,$AI1146))),OR(BUSCAR!$J$9="",ISNUMBER(SEARCH(BUSCAR!$J$9,$AI1146))),OR(NOT(BUSCAR!$J$2),AND(ISNUMBER($AF1146),$AF1146&gt;=BUSCAR!$J$3,$AF1146&lt;=BUSCAR!$J$4))),1,0))</f>
      </c>
      <c r="AH1146" s="42">
        <f t="shared" si="51"/>
      </c>
      <c r="AI1146" s="42">
        <f t="shared" si="52"/>
      </c>
    </row>
    <row r="1147" spans="1:35" x14ac:dyDescent="0.2">
      <c r="A1147" s="66">
        <f t="shared" si="53"/>
      </c>
      <c r="B1147" s="4"/>
      <c r="C1147" s="4"/>
      <c r="D1147" s="4"/>
      <c r="E1147" s="4"/>
      <c r="F1147" s="24"/>
      <c r="G1147" s="8"/>
      <c r="H1147" s="9"/>
      <c r="I1147" s="8"/>
      <c r="J1147" s="10"/>
      <c r="K1147" s="8"/>
      <c r="L1147" s="8"/>
      <c r="M1147" s="8"/>
      <c r="N1147" s="11"/>
      <c r="O1147" s="9"/>
      <c r="P1147" s="12"/>
      <c r="Q1147" s="9"/>
      <c r="R1147" s="13"/>
      <c r="S1147" s="11"/>
      <c r="T1147" s="11"/>
      <c r="U1147" s="9"/>
      <c r="V1147" s="9"/>
      <c r="W1147" s="9"/>
      <c r="X1147" s="16"/>
      <c r="AF1147" s="42">
        <f>IF(BUSCAR!$C$8="FECHA NAC.",$G1147,IF(BUSCAR!$C$8="PASAPORTE EXPIRA",$J1147,IF(BUSCAR!$C$8="LICENCIA EMISION",$L1147,IF(BUSCAR!$C$8="LICENCIA EXPIRA",$M1147,""))))</f>
      </c>
      <c r="AG1147" s="42">
        <f>IF($B1147&amp;$C1147&amp;$D1147&amp;$E1147&amp;$H1147="",0,IF(AND(OR(BUSCAR!$J$5="",ISNUMBER(SEARCH(BUSCAR!$J$5,$AI1147))),OR(BUSCAR!$J$6="",ISNUMBER(SEARCH(BUSCAR!$J$6,$AI1147))),OR(BUSCAR!$J$8="",ISNUMBER(SEARCH(BUSCAR!$J$8,$AI1147))),OR(BUSCAR!$J$9="",ISNUMBER(SEARCH(BUSCAR!$J$9,$AI1147))),OR(NOT(BUSCAR!$J$2),AND(ISNUMBER($AF1147),$AF1147&gt;=BUSCAR!$J$3,$AF1147&lt;=BUSCAR!$J$4))),1,0))</f>
      </c>
      <c r="AH1147" s="42">
        <f t="shared" si="51"/>
      </c>
      <c r="AI1147" s="42">
        <f t="shared" si="52"/>
      </c>
    </row>
    <row r="1148" spans="1:35" x14ac:dyDescent="0.2">
      <c r="A1148" s="66">
        <f t="shared" si="53"/>
      </c>
      <c r="B1148" s="4"/>
      <c r="C1148" s="4"/>
      <c r="D1148" s="4"/>
      <c r="E1148" s="4"/>
      <c r="F1148" s="24"/>
      <c r="G1148" s="8"/>
      <c r="H1148" s="9"/>
      <c r="I1148" s="8"/>
      <c r="J1148" s="10"/>
      <c r="K1148" s="8"/>
      <c r="L1148" s="8"/>
      <c r="M1148" s="8"/>
      <c r="N1148" s="11"/>
      <c r="O1148" s="9"/>
      <c r="P1148" s="12"/>
      <c r="Q1148" s="9"/>
      <c r="R1148" s="13"/>
      <c r="S1148" s="11"/>
      <c r="T1148" s="11"/>
      <c r="U1148" s="9"/>
      <c r="V1148" s="9"/>
      <c r="W1148" s="9"/>
      <c r="X1148" s="16"/>
      <c r="AF1148" s="42">
        <f>IF(BUSCAR!$C$8="FECHA NAC.",$G1148,IF(BUSCAR!$C$8="PASAPORTE EXPIRA",$J1148,IF(BUSCAR!$C$8="LICENCIA EMISION",$L1148,IF(BUSCAR!$C$8="LICENCIA EXPIRA",$M1148,""))))</f>
      </c>
      <c r="AG1148" s="42">
        <f>IF($B1148&amp;$C1148&amp;$D1148&amp;$E1148&amp;$H1148="",0,IF(AND(OR(BUSCAR!$J$5="",ISNUMBER(SEARCH(BUSCAR!$J$5,$AI1148))),OR(BUSCAR!$J$6="",ISNUMBER(SEARCH(BUSCAR!$J$6,$AI1148))),OR(BUSCAR!$J$8="",ISNUMBER(SEARCH(BUSCAR!$J$8,$AI1148))),OR(BUSCAR!$J$9="",ISNUMBER(SEARCH(BUSCAR!$J$9,$AI1148))),OR(NOT(BUSCAR!$J$2),AND(ISNUMBER($AF1148),$AF1148&gt;=BUSCAR!$J$3,$AF1148&lt;=BUSCAR!$J$4))),1,0))</f>
      </c>
      <c r="AH1148" s="42">
        <f t="shared" si="51"/>
      </c>
      <c r="AI1148" s="42">
        <f t="shared" si="52"/>
      </c>
    </row>
    <row r="1149" spans="1:35" x14ac:dyDescent="0.2">
      <c r="A1149" s="66">
        <f t="shared" si="53"/>
      </c>
      <c r="B1149" s="4"/>
      <c r="C1149" s="4"/>
      <c r="D1149" s="4"/>
      <c r="E1149" s="4"/>
      <c r="F1149" s="24"/>
      <c r="G1149" s="8"/>
      <c r="H1149" s="9"/>
      <c r="I1149" s="8"/>
      <c r="J1149" s="10"/>
      <c r="K1149" s="8"/>
      <c r="L1149" s="8"/>
      <c r="M1149" s="8"/>
      <c r="N1149" s="11"/>
      <c r="O1149" s="9"/>
      <c r="P1149" s="12"/>
      <c r="Q1149" s="9"/>
      <c r="R1149" s="13"/>
      <c r="S1149" s="11"/>
      <c r="T1149" s="11"/>
      <c r="U1149" s="9"/>
      <c r="V1149" s="9"/>
      <c r="W1149" s="9"/>
      <c r="X1149" s="16"/>
      <c r="AF1149" s="42">
        <f>IF(BUSCAR!$C$8="FECHA NAC.",$G1149,IF(BUSCAR!$C$8="PASAPORTE EXPIRA",$J1149,IF(BUSCAR!$C$8="LICENCIA EMISION",$L1149,IF(BUSCAR!$C$8="LICENCIA EXPIRA",$M1149,""))))</f>
      </c>
      <c r="AG1149" s="42">
        <f>IF($B1149&amp;$C1149&amp;$D1149&amp;$E1149&amp;$H1149="",0,IF(AND(OR(BUSCAR!$J$5="",ISNUMBER(SEARCH(BUSCAR!$J$5,$AI1149))),OR(BUSCAR!$J$6="",ISNUMBER(SEARCH(BUSCAR!$J$6,$AI1149))),OR(BUSCAR!$J$8="",ISNUMBER(SEARCH(BUSCAR!$J$8,$AI1149))),OR(BUSCAR!$J$9="",ISNUMBER(SEARCH(BUSCAR!$J$9,$AI1149))),OR(NOT(BUSCAR!$J$2),AND(ISNUMBER($AF1149),$AF1149&gt;=BUSCAR!$J$3,$AF1149&lt;=BUSCAR!$J$4))),1,0))</f>
      </c>
      <c r="AH1149" s="42">
        <f t="shared" si="51"/>
      </c>
      <c r="AI1149" s="42">
        <f t="shared" si="52"/>
      </c>
    </row>
    <row r="1150" spans="1:35" x14ac:dyDescent="0.2">
      <c r="A1150" s="66">
        <f t="shared" si="53"/>
      </c>
      <c r="B1150" s="4"/>
      <c r="C1150" s="4"/>
      <c r="D1150" s="4"/>
      <c r="E1150" s="4"/>
      <c r="F1150" s="24"/>
      <c r="G1150" s="8"/>
      <c r="H1150" s="9"/>
      <c r="I1150" s="8"/>
      <c r="J1150" s="10"/>
      <c r="K1150" s="8"/>
      <c r="L1150" s="8"/>
      <c r="M1150" s="8"/>
      <c r="N1150" s="11"/>
      <c r="O1150" s="9"/>
      <c r="P1150" s="12"/>
      <c r="Q1150" s="9"/>
      <c r="R1150" s="13"/>
      <c r="S1150" s="11"/>
      <c r="T1150" s="11"/>
      <c r="U1150" s="9"/>
      <c r="V1150" s="9"/>
      <c r="W1150" s="9"/>
      <c r="X1150" s="16"/>
      <c r="AF1150" s="42">
        <f>IF(BUSCAR!$C$8="FECHA NAC.",$G1150,IF(BUSCAR!$C$8="PASAPORTE EXPIRA",$J1150,IF(BUSCAR!$C$8="LICENCIA EMISION",$L1150,IF(BUSCAR!$C$8="LICENCIA EXPIRA",$M1150,""))))</f>
      </c>
      <c r="AG1150" s="42">
        <f>IF($B1150&amp;$C1150&amp;$D1150&amp;$E1150&amp;$H1150="",0,IF(AND(OR(BUSCAR!$J$5="",ISNUMBER(SEARCH(BUSCAR!$J$5,$AI1150))),OR(BUSCAR!$J$6="",ISNUMBER(SEARCH(BUSCAR!$J$6,$AI1150))),OR(BUSCAR!$J$8="",ISNUMBER(SEARCH(BUSCAR!$J$8,$AI1150))),OR(BUSCAR!$J$9="",ISNUMBER(SEARCH(BUSCAR!$J$9,$AI1150))),OR(NOT(BUSCAR!$J$2),AND(ISNUMBER($AF1150),$AF1150&gt;=BUSCAR!$J$3,$AF1150&lt;=BUSCAR!$J$4))),1,0))</f>
      </c>
      <c r="AH1150" s="42">
        <f t="shared" si="51"/>
      </c>
      <c r="AI1150" s="42">
        <f t="shared" si="52"/>
      </c>
    </row>
    <row r="1151" spans="1:35" x14ac:dyDescent="0.2">
      <c r="A1151" s="66">
        <f t="shared" si="53"/>
      </c>
      <c r="B1151" s="4"/>
      <c r="C1151" s="4"/>
      <c r="D1151" s="4"/>
      <c r="E1151" s="4"/>
      <c r="F1151" s="24"/>
      <c r="G1151" s="8"/>
      <c r="H1151" s="9"/>
      <c r="I1151" s="8"/>
      <c r="J1151" s="10"/>
      <c r="K1151" s="8"/>
      <c r="L1151" s="8"/>
      <c r="M1151" s="8"/>
      <c r="N1151" s="11"/>
      <c r="O1151" s="9"/>
      <c r="P1151" s="12"/>
      <c r="Q1151" s="9"/>
      <c r="R1151" s="13"/>
      <c r="S1151" s="11"/>
      <c r="T1151" s="11"/>
      <c r="U1151" s="9"/>
      <c r="V1151" s="9"/>
      <c r="W1151" s="9"/>
      <c r="X1151" s="16"/>
      <c r="AF1151" s="42">
        <f>IF(BUSCAR!$C$8="FECHA NAC.",$G1151,IF(BUSCAR!$C$8="PASAPORTE EXPIRA",$J1151,IF(BUSCAR!$C$8="LICENCIA EMISION",$L1151,IF(BUSCAR!$C$8="LICENCIA EXPIRA",$M1151,""))))</f>
      </c>
      <c r="AG1151" s="42">
        <f>IF($B1151&amp;$C1151&amp;$D1151&amp;$E1151&amp;$H1151="",0,IF(AND(OR(BUSCAR!$J$5="",ISNUMBER(SEARCH(BUSCAR!$J$5,$AI1151))),OR(BUSCAR!$J$6="",ISNUMBER(SEARCH(BUSCAR!$J$6,$AI1151))),OR(BUSCAR!$J$8="",ISNUMBER(SEARCH(BUSCAR!$J$8,$AI1151))),OR(BUSCAR!$J$9="",ISNUMBER(SEARCH(BUSCAR!$J$9,$AI1151))),OR(NOT(BUSCAR!$J$2),AND(ISNUMBER($AF1151),$AF1151&gt;=BUSCAR!$J$3,$AF1151&lt;=BUSCAR!$J$4))),1,0))</f>
      </c>
      <c r="AH1151" s="42">
        <f t="shared" si="51"/>
      </c>
      <c r="AI1151" s="42">
        <f t="shared" si="52"/>
      </c>
    </row>
    <row r="1152" spans="1:35" x14ac:dyDescent="0.2">
      <c r="A1152" s="66">
        <f t="shared" si="53"/>
      </c>
      <c r="B1152" s="4"/>
      <c r="C1152" s="4"/>
      <c r="D1152" s="4"/>
      <c r="E1152" s="4"/>
      <c r="F1152" s="24"/>
      <c r="G1152" s="8"/>
      <c r="H1152" s="9"/>
      <c r="I1152" s="8"/>
      <c r="J1152" s="10"/>
      <c r="K1152" s="8"/>
      <c r="L1152" s="8"/>
      <c r="M1152" s="8"/>
      <c r="N1152" s="11"/>
      <c r="O1152" s="9"/>
      <c r="P1152" s="12"/>
      <c r="Q1152" s="9"/>
      <c r="R1152" s="13"/>
      <c r="S1152" s="11"/>
      <c r="T1152" s="11"/>
      <c r="U1152" s="9"/>
      <c r="V1152" s="9"/>
      <c r="W1152" s="9"/>
      <c r="X1152" s="16"/>
      <c r="AF1152" s="42">
        <f>IF(BUSCAR!$C$8="FECHA NAC.",$G1152,IF(BUSCAR!$C$8="PASAPORTE EXPIRA",$J1152,IF(BUSCAR!$C$8="LICENCIA EMISION",$L1152,IF(BUSCAR!$C$8="LICENCIA EXPIRA",$M1152,""))))</f>
      </c>
      <c r="AG1152" s="42">
        <f>IF($B1152&amp;$C1152&amp;$D1152&amp;$E1152&amp;$H1152="",0,IF(AND(OR(BUSCAR!$J$5="",ISNUMBER(SEARCH(BUSCAR!$J$5,$AI1152))),OR(BUSCAR!$J$6="",ISNUMBER(SEARCH(BUSCAR!$J$6,$AI1152))),OR(BUSCAR!$J$8="",ISNUMBER(SEARCH(BUSCAR!$J$8,$AI1152))),OR(BUSCAR!$J$9="",ISNUMBER(SEARCH(BUSCAR!$J$9,$AI1152))),OR(NOT(BUSCAR!$J$2),AND(ISNUMBER($AF1152),$AF1152&gt;=BUSCAR!$J$3,$AF1152&lt;=BUSCAR!$J$4))),1,0))</f>
      </c>
      <c r="AH1152" s="42">
        <f t="shared" si="51"/>
      </c>
      <c r="AI1152" s="42">
        <f t="shared" si="52"/>
      </c>
    </row>
    <row r="1153" spans="1:35" x14ac:dyDescent="0.2">
      <c r="A1153" s="66">
        <f t="shared" si="53"/>
      </c>
      <c r="B1153" s="4"/>
      <c r="C1153" s="4"/>
      <c r="D1153" s="4"/>
      <c r="E1153" s="4"/>
      <c r="F1153" s="24"/>
      <c r="G1153" s="8"/>
      <c r="H1153" s="9"/>
      <c r="I1153" s="8"/>
      <c r="J1153" s="10"/>
      <c r="K1153" s="8"/>
      <c r="L1153" s="8"/>
      <c r="M1153" s="8"/>
      <c r="N1153" s="11"/>
      <c r="O1153" s="9"/>
      <c r="P1153" s="12"/>
      <c r="Q1153" s="9"/>
      <c r="R1153" s="13"/>
      <c r="S1153" s="11"/>
      <c r="T1153" s="11"/>
      <c r="U1153" s="9"/>
      <c r="V1153" s="9"/>
      <c r="W1153" s="9"/>
      <c r="X1153" s="16"/>
      <c r="AF1153" s="42">
        <f>IF(BUSCAR!$C$8="FECHA NAC.",$G1153,IF(BUSCAR!$C$8="PASAPORTE EXPIRA",$J1153,IF(BUSCAR!$C$8="LICENCIA EMISION",$L1153,IF(BUSCAR!$C$8="LICENCIA EXPIRA",$M1153,""))))</f>
      </c>
      <c r="AG1153" s="42">
        <f>IF($B1153&amp;$C1153&amp;$D1153&amp;$E1153&amp;$H1153="",0,IF(AND(OR(BUSCAR!$J$5="",ISNUMBER(SEARCH(BUSCAR!$J$5,$AI1153))),OR(BUSCAR!$J$6="",ISNUMBER(SEARCH(BUSCAR!$J$6,$AI1153))),OR(BUSCAR!$J$8="",ISNUMBER(SEARCH(BUSCAR!$J$8,$AI1153))),OR(BUSCAR!$J$9="",ISNUMBER(SEARCH(BUSCAR!$J$9,$AI1153))),OR(NOT(BUSCAR!$J$2),AND(ISNUMBER($AF1153),$AF1153&gt;=BUSCAR!$J$3,$AF1153&lt;=BUSCAR!$J$4))),1,0))</f>
      </c>
      <c r="AH1153" s="42">
        <f t="shared" si="51"/>
      </c>
      <c r="AI1153" s="42">
        <f t="shared" si="52"/>
      </c>
    </row>
    <row r="1154" spans="1:35" x14ac:dyDescent="0.2">
      <c r="A1154" s="66">
        <f t="shared" si="53"/>
      </c>
      <c r="B1154" s="4"/>
      <c r="C1154" s="4"/>
      <c r="D1154" s="4"/>
      <c r="E1154" s="4"/>
      <c r="F1154" s="24"/>
      <c r="G1154" s="8"/>
      <c r="H1154" s="9"/>
      <c r="I1154" s="8"/>
      <c r="J1154" s="10"/>
      <c r="K1154" s="8"/>
      <c r="L1154" s="8"/>
      <c r="M1154" s="8"/>
      <c r="N1154" s="11"/>
      <c r="O1154" s="9"/>
      <c r="P1154" s="12"/>
      <c r="Q1154" s="9"/>
      <c r="R1154" s="13"/>
      <c r="S1154" s="11"/>
      <c r="T1154" s="11"/>
      <c r="U1154" s="9"/>
      <c r="V1154" s="9"/>
      <c r="W1154" s="9"/>
      <c r="X1154" s="16"/>
      <c r="AF1154" s="42">
        <f>IF(BUSCAR!$C$8="FECHA NAC.",$G1154,IF(BUSCAR!$C$8="PASAPORTE EXPIRA",$J1154,IF(BUSCAR!$C$8="LICENCIA EMISION",$L1154,IF(BUSCAR!$C$8="LICENCIA EXPIRA",$M1154,""))))</f>
      </c>
      <c r="AG1154" s="42">
        <f>IF($B1154&amp;$C1154&amp;$D1154&amp;$E1154&amp;$H1154="",0,IF(AND(OR(BUSCAR!$J$5="",ISNUMBER(SEARCH(BUSCAR!$J$5,$AI1154))),OR(BUSCAR!$J$6="",ISNUMBER(SEARCH(BUSCAR!$J$6,$AI1154))),OR(BUSCAR!$J$8="",ISNUMBER(SEARCH(BUSCAR!$J$8,$AI1154))),OR(BUSCAR!$J$9="",ISNUMBER(SEARCH(BUSCAR!$J$9,$AI1154))),OR(NOT(BUSCAR!$J$2),AND(ISNUMBER($AF1154),$AF1154&gt;=BUSCAR!$J$3,$AF1154&lt;=BUSCAR!$J$4))),1,0))</f>
      </c>
      <c r="AH1154" s="42">
        <f t="shared" si="51"/>
      </c>
      <c r="AI1154" s="42">
        <f t="shared" si="52"/>
      </c>
    </row>
    <row r="1155" spans="1:35" x14ac:dyDescent="0.2">
      <c r="A1155" s="66">
        <f t="shared" si="53"/>
      </c>
      <c r="B1155" s="4"/>
      <c r="C1155" s="4"/>
      <c r="D1155" s="4"/>
      <c r="E1155" s="4"/>
      <c r="F1155" s="24"/>
      <c r="G1155" s="8"/>
      <c r="H1155" s="9"/>
      <c r="I1155" s="8"/>
      <c r="J1155" s="10"/>
      <c r="K1155" s="8"/>
      <c r="L1155" s="8"/>
      <c r="M1155" s="8"/>
      <c r="N1155" s="11"/>
      <c r="O1155" s="9"/>
      <c r="P1155" s="12"/>
      <c r="Q1155" s="9"/>
      <c r="R1155" s="13"/>
      <c r="S1155" s="11"/>
      <c r="T1155" s="11"/>
      <c r="U1155" s="9"/>
      <c r="V1155" s="9"/>
      <c r="W1155" s="9"/>
      <c r="X1155" s="16"/>
      <c r="AF1155" s="42">
        <f>IF(BUSCAR!$C$8="FECHA NAC.",$G1155,IF(BUSCAR!$C$8="PASAPORTE EXPIRA",$J1155,IF(BUSCAR!$C$8="LICENCIA EMISION",$L1155,IF(BUSCAR!$C$8="LICENCIA EXPIRA",$M1155,""))))</f>
      </c>
      <c r="AG1155" s="42">
        <f>IF($B1155&amp;$C1155&amp;$D1155&amp;$E1155&amp;$H1155="",0,IF(AND(OR(BUSCAR!$J$5="",ISNUMBER(SEARCH(BUSCAR!$J$5,$AI1155))),OR(BUSCAR!$J$6="",ISNUMBER(SEARCH(BUSCAR!$J$6,$AI1155))),OR(BUSCAR!$J$8="",ISNUMBER(SEARCH(BUSCAR!$J$8,$AI1155))),OR(BUSCAR!$J$9="",ISNUMBER(SEARCH(BUSCAR!$J$9,$AI1155))),OR(NOT(BUSCAR!$J$2),AND(ISNUMBER($AF1155),$AF1155&gt;=BUSCAR!$J$3,$AF1155&lt;=BUSCAR!$J$4))),1,0))</f>
      </c>
      <c r="AH1155" s="42">
        <f t="shared" ref="AH1155:AH1218" si="54">AH1154+AG1155</f>
      </c>
      <c r="AI1155" s="42">
        <f t="shared" ref="AI1155:AI1218" si="55">IF($B1155&amp;" "&amp;$C1155&amp;" "&amp;$D1155&amp;" "&amp;$E1155&amp;" "&amp;$H1155&amp;" "&amp;$K1155&amp;" "&amp;$R1155&amp;" "&amp;$AC1155&amp;" "&amp;$AD1155="","",SUBSTITUTE(SUBSTITUTE(SUBSTITUTE(SUBSTITUTE(SUBSTITUTE(SUBSTITUTE(SUBSTITUTE(UPPER($B1155&amp;" "&amp;$C1155&amp;" "&amp;$D1155&amp;" "&amp;$E1155&amp;" "&amp;$H1155&amp;" "&amp;$K1155&amp;" "&amp;$R1155&amp;" "&amp;$AC1155&amp;" "&amp;$AD1155),"Á","A"),"É","E"),"Í","I"),"Ó","O"),"Ú","U"),"Ü","U"),"Ñ","N"))</f>
      </c>
    </row>
    <row r="1156" spans="1:35" x14ac:dyDescent="0.2">
      <c r="A1156" s="66">
        <f t="shared" ref="A1156:A1219" si="56">A1155+1</f>
      </c>
      <c r="B1156" s="4"/>
      <c r="C1156" s="4"/>
      <c r="D1156" s="4"/>
      <c r="E1156" s="4"/>
      <c r="F1156" s="24"/>
      <c r="G1156" s="8"/>
      <c r="H1156" s="9"/>
      <c r="I1156" s="8"/>
      <c r="J1156" s="10"/>
      <c r="K1156" s="8"/>
      <c r="L1156" s="8"/>
      <c r="M1156" s="8"/>
      <c r="N1156" s="11"/>
      <c r="O1156" s="9"/>
      <c r="P1156" s="12"/>
      <c r="Q1156" s="9"/>
      <c r="R1156" s="13"/>
      <c r="S1156" s="11"/>
      <c r="T1156" s="11"/>
      <c r="U1156" s="9"/>
      <c r="V1156" s="9"/>
      <c r="W1156" s="9"/>
      <c r="X1156" s="16"/>
      <c r="AF1156" s="42">
        <f>IF(BUSCAR!$C$8="FECHA NAC.",$G1156,IF(BUSCAR!$C$8="PASAPORTE EXPIRA",$J1156,IF(BUSCAR!$C$8="LICENCIA EMISION",$L1156,IF(BUSCAR!$C$8="LICENCIA EXPIRA",$M1156,""))))</f>
      </c>
      <c r="AG1156" s="42">
        <f>IF($B1156&amp;$C1156&amp;$D1156&amp;$E1156&amp;$H1156="",0,IF(AND(OR(BUSCAR!$J$5="",ISNUMBER(SEARCH(BUSCAR!$J$5,$AI1156))),OR(BUSCAR!$J$6="",ISNUMBER(SEARCH(BUSCAR!$J$6,$AI1156))),OR(BUSCAR!$J$8="",ISNUMBER(SEARCH(BUSCAR!$J$8,$AI1156))),OR(BUSCAR!$J$9="",ISNUMBER(SEARCH(BUSCAR!$J$9,$AI1156))),OR(NOT(BUSCAR!$J$2),AND(ISNUMBER($AF1156),$AF1156&gt;=BUSCAR!$J$3,$AF1156&lt;=BUSCAR!$J$4))),1,0))</f>
      </c>
      <c r="AH1156" s="42">
        <f t="shared" si="54"/>
      </c>
      <c r="AI1156" s="42">
        <f t="shared" si="55"/>
      </c>
    </row>
    <row r="1157" spans="1:35" x14ac:dyDescent="0.2">
      <c r="A1157" s="66">
        <f t="shared" si="56"/>
      </c>
      <c r="B1157" s="4"/>
      <c r="C1157" s="4"/>
      <c r="D1157" s="4"/>
      <c r="E1157" s="4"/>
      <c r="F1157" s="24"/>
      <c r="G1157" s="8"/>
      <c r="H1157" s="9"/>
      <c r="I1157" s="8"/>
      <c r="J1157" s="10"/>
      <c r="K1157" s="8"/>
      <c r="L1157" s="8"/>
      <c r="M1157" s="8"/>
      <c r="N1157" s="11"/>
      <c r="O1157" s="9"/>
      <c r="P1157" s="12"/>
      <c r="Q1157" s="9"/>
      <c r="R1157" s="13"/>
      <c r="S1157" s="11"/>
      <c r="T1157" s="11"/>
      <c r="U1157" s="9"/>
      <c r="V1157" s="9"/>
      <c r="W1157" s="9"/>
      <c r="X1157" s="16"/>
      <c r="AF1157" s="42">
        <f>IF(BUSCAR!$C$8="FECHA NAC.",$G1157,IF(BUSCAR!$C$8="PASAPORTE EXPIRA",$J1157,IF(BUSCAR!$C$8="LICENCIA EMISION",$L1157,IF(BUSCAR!$C$8="LICENCIA EXPIRA",$M1157,""))))</f>
      </c>
      <c r="AG1157" s="42">
        <f>IF($B1157&amp;$C1157&amp;$D1157&amp;$E1157&amp;$H1157="",0,IF(AND(OR(BUSCAR!$J$5="",ISNUMBER(SEARCH(BUSCAR!$J$5,$AI1157))),OR(BUSCAR!$J$6="",ISNUMBER(SEARCH(BUSCAR!$J$6,$AI1157))),OR(BUSCAR!$J$8="",ISNUMBER(SEARCH(BUSCAR!$J$8,$AI1157))),OR(BUSCAR!$J$9="",ISNUMBER(SEARCH(BUSCAR!$J$9,$AI1157))),OR(NOT(BUSCAR!$J$2),AND(ISNUMBER($AF1157),$AF1157&gt;=BUSCAR!$J$3,$AF1157&lt;=BUSCAR!$J$4))),1,0))</f>
      </c>
      <c r="AH1157" s="42">
        <f t="shared" si="54"/>
      </c>
      <c r="AI1157" s="42">
        <f t="shared" si="55"/>
      </c>
    </row>
    <row r="1158" spans="1:35" x14ac:dyDescent="0.2">
      <c r="A1158" s="66">
        <f t="shared" si="56"/>
      </c>
      <c r="B1158" s="4"/>
      <c r="C1158" s="4"/>
      <c r="D1158" s="4"/>
      <c r="E1158" s="4"/>
      <c r="F1158" s="24"/>
      <c r="G1158" s="8"/>
      <c r="H1158" s="9"/>
      <c r="I1158" s="8"/>
      <c r="J1158" s="10"/>
      <c r="K1158" s="8"/>
      <c r="L1158" s="8"/>
      <c r="M1158" s="8"/>
      <c r="N1158" s="11"/>
      <c r="O1158" s="9"/>
      <c r="P1158" s="12"/>
      <c r="Q1158" s="9"/>
      <c r="R1158" s="13"/>
      <c r="S1158" s="11"/>
      <c r="T1158" s="11"/>
      <c r="U1158" s="9"/>
      <c r="V1158" s="9"/>
      <c r="W1158" s="9"/>
      <c r="X1158" s="16"/>
      <c r="AF1158" s="42">
        <f>IF(BUSCAR!$C$8="FECHA NAC.",$G1158,IF(BUSCAR!$C$8="PASAPORTE EXPIRA",$J1158,IF(BUSCAR!$C$8="LICENCIA EMISION",$L1158,IF(BUSCAR!$C$8="LICENCIA EXPIRA",$M1158,""))))</f>
      </c>
      <c r="AG1158" s="42">
        <f>IF($B1158&amp;$C1158&amp;$D1158&amp;$E1158&amp;$H1158="",0,IF(AND(OR(BUSCAR!$J$5="",ISNUMBER(SEARCH(BUSCAR!$J$5,$AI1158))),OR(BUSCAR!$J$6="",ISNUMBER(SEARCH(BUSCAR!$J$6,$AI1158))),OR(BUSCAR!$J$8="",ISNUMBER(SEARCH(BUSCAR!$J$8,$AI1158))),OR(BUSCAR!$J$9="",ISNUMBER(SEARCH(BUSCAR!$J$9,$AI1158))),OR(NOT(BUSCAR!$J$2),AND(ISNUMBER($AF1158),$AF1158&gt;=BUSCAR!$J$3,$AF1158&lt;=BUSCAR!$J$4))),1,0))</f>
      </c>
      <c r="AH1158" s="42">
        <f t="shared" si="54"/>
      </c>
      <c r="AI1158" s="42">
        <f t="shared" si="55"/>
      </c>
    </row>
    <row r="1159" spans="1:35" x14ac:dyDescent="0.2">
      <c r="A1159" s="66">
        <f t="shared" si="56"/>
      </c>
      <c r="B1159" s="4"/>
      <c r="C1159" s="4"/>
      <c r="D1159" s="4"/>
      <c r="E1159" s="4"/>
      <c r="F1159" s="24"/>
      <c r="G1159" s="8"/>
      <c r="H1159" s="9"/>
      <c r="I1159" s="8"/>
      <c r="J1159" s="10"/>
      <c r="K1159" s="8"/>
      <c r="L1159" s="8"/>
      <c r="M1159" s="8"/>
      <c r="N1159" s="11"/>
      <c r="O1159" s="9"/>
      <c r="P1159" s="12"/>
      <c r="Q1159" s="9"/>
      <c r="R1159" s="13"/>
      <c r="S1159" s="11"/>
      <c r="T1159" s="11"/>
      <c r="U1159" s="9"/>
      <c r="V1159" s="9"/>
      <c r="W1159" s="9"/>
      <c r="X1159" s="16"/>
      <c r="AF1159" s="42">
        <f>IF(BUSCAR!$C$8="FECHA NAC.",$G1159,IF(BUSCAR!$C$8="PASAPORTE EXPIRA",$J1159,IF(BUSCAR!$C$8="LICENCIA EMISION",$L1159,IF(BUSCAR!$C$8="LICENCIA EXPIRA",$M1159,""))))</f>
      </c>
      <c r="AG1159" s="42">
        <f>IF($B1159&amp;$C1159&amp;$D1159&amp;$E1159&amp;$H1159="",0,IF(AND(OR(BUSCAR!$J$5="",ISNUMBER(SEARCH(BUSCAR!$J$5,$AI1159))),OR(BUSCAR!$J$6="",ISNUMBER(SEARCH(BUSCAR!$J$6,$AI1159))),OR(BUSCAR!$J$8="",ISNUMBER(SEARCH(BUSCAR!$J$8,$AI1159))),OR(BUSCAR!$J$9="",ISNUMBER(SEARCH(BUSCAR!$J$9,$AI1159))),OR(NOT(BUSCAR!$J$2),AND(ISNUMBER($AF1159),$AF1159&gt;=BUSCAR!$J$3,$AF1159&lt;=BUSCAR!$J$4))),1,0))</f>
      </c>
      <c r="AH1159" s="42">
        <f t="shared" si="54"/>
      </c>
      <c r="AI1159" s="42">
        <f t="shared" si="55"/>
      </c>
    </row>
    <row r="1160" spans="1:35" x14ac:dyDescent="0.2">
      <c r="A1160" s="66">
        <f t="shared" si="56"/>
      </c>
      <c r="B1160" s="4"/>
      <c r="C1160" s="4"/>
      <c r="D1160" s="4"/>
      <c r="E1160" s="4"/>
      <c r="F1160" s="24"/>
      <c r="G1160" s="8"/>
      <c r="H1160" s="9"/>
      <c r="I1160" s="8"/>
      <c r="J1160" s="10"/>
      <c r="K1160" s="8"/>
      <c r="L1160" s="8"/>
      <c r="M1160" s="8"/>
      <c r="N1160" s="11"/>
      <c r="O1160" s="9"/>
      <c r="P1160" s="12"/>
      <c r="Q1160" s="9"/>
      <c r="R1160" s="13"/>
      <c r="S1160" s="11"/>
      <c r="T1160" s="11"/>
      <c r="U1160" s="9"/>
      <c r="V1160" s="9"/>
      <c r="W1160" s="9"/>
      <c r="X1160" s="16"/>
      <c r="AF1160" s="42">
        <f>IF(BUSCAR!$C$8="FECHA NAC.",$G1160,IF(BUSCAR!$C$8="PASAPORTE EXPIRA",$J1160,IF(BUSCAR!$C$8="LICENCIA EMISION",$L1160,IF(BUSCAR!$C$8="LICENCIA EXPIRA",$M1160,""))))</f>
      </c>
      <c r="AG1160" s="42">
        <f>IF($B1160&amp;$C1160&amp;$D1160&amp;$E1160&amp;$H1160="",0,IF(AND(OR(BUSCAR!$J$5="",ISNUMBER(SEARCH(BUSCAR!$J$5,$AI1160))),OR(BUSCAR!$J$6="",ISNUMBER(SEARCH(BUSCAR!$J$6,$AI1160))),OR(BUSCAR!$J$8="",ISNUMBER(SEARCH(BUSCAR!$J$8,$AI1160))),OR(BUSCAR!$J$9="",ISNUMBER(SEARCH(BUSCAR!$J$9,$AI1160))),OR(NOT(BUSCAR!$J$2),AND(ISNUMBER($AF1160),$AF1160&gt;=BUSCAR!$J$3,$AF1160&lt;=BUSCAR!$J$4))),1,0))</f>
      </c>
      <c r="AH1160" s="42">
        <f t="shared" si="54"/>
      </c>
      <c r="AI1160" s="42">
        <f t="shared" si="55"/>
      </c>
    </row>
    <row r="1161" spans="1:35" x14ac:dyDescent="0.2">
      <c r="A1161" s="66">
        <f t="shared" si="56"/>
      </c>
      <c r="B1161" s="4"/>
      <c r="C1161" s="4"/>
      <c r="D1161" s="4"/>
      <c r="E1161" s="4"/>
      <c r="F1161" s="24"/>
      <c r="G1161" s="8"/>
      <c r="H1161" s="9"/>
      <c r="I1161" s="8"/>
      <c r="J1161" s="10"/>
      <c r="K1161" s="8"/>
      <c r="L1161" s="8"/>
      <c r="M1161" s="8"/>
      <c r="N1161" s="11"/>
      <c r="O1161" s="9"/>
      <c r="P1161" s="12"/>
      <c r="Q1161" s="9"/>
      <c r="R1161" s="13"/>
      <c r="S1161" s="11"/>
      <c r="T1161" s="11"/>
      <c r="U1161" s="9"/>
      <c r="V1161" s="9"/>
      <c r="W1161" s="9"/>
      <c r="X1161" s="16"/>
      <c r="AF1161" s="42">
        <f>IF(BUSCAR!$C$8="FECHA NAC.",$G1161,IF(BUSCAR!$C$8="PASAPORTE EXPIRA",$J1161,IF(BUSCAR!$C$8="LICENCIA EMISION",$L1161,IF(BUSCAR!$C$8="LICENCIA EXPIRA",$M1161,""))))</f>
      </c>
      <c r="AG1161" s="42">
        <f>IF($B1161&amp;$C1161&amp;$D1161&amp;$E1161&amp;$H1161="",0,IF(AND(OR(BUSCAR!$J$5="",ISNUMBER(SEARCH(BUSCAR!$J$5,$AI1161))),OR(BUSCAR!$J$6="",ISNUMBER(SEARCH(BUSCAR!$J$6,$AI1161))),OR(BUSCAR!$J$8="",ISNUMBER(SEARCH(BUSCAR!$J$8,$AI1161))),OR(BUSCAR!$J$9="",ISNUMBER(SEARCH(BUSCAR!$J$9,$AI1161))),OR(NOT(BUSCAR!$J$2),AND(ISNUMBER($AF1161),$AF1161&gt;=BUSCAR!$J$3,$AF1161&lt;=BUSCAR!$J$4))),1,0))</f>
      </c>
      <c r="AH1161" s="42">
        <f t="shared" si="54"/>
      </c>
      <c r="AI1161" s="42">
        <f t="shared" si="55"/>
      </c>
    </row>
    <row r="1162" spans="1:35" x14ac:dyDescent="0.2">
      <c r="A1162" s="66">
        <f t="shared" si="56"/>
      </c>
      <c r="B1162" s="4"/>
      <c r="C1162" s="4"/>
      <c r="D1162" s="4"/>
      <c r="E1162" s="4"/>
      <c r="F1162" s="24"/>
      <c r="G1162" s="8"/>
      <c r="H1162" s="9"/>
      <c r="I1162" s="8"/>
      <c r="J1162" s="10"/>
      <c r="K1162" s="8"/>
      <c r="L1162" s="8"/>
      <c r="M1162" s="8"/>
      <c r="N1162" s="11"/>
      <c r="O1162" s="9"/>
      <c r="P1162" s="12"/>
      <c r="Q1162" s="9"/>
      <c r="R1162" s="13"/>
      <c r="S1162" s="11"/>
      <c r="T1162" s="11"/>
      <c r="U1162" s="9"/>
      <c r="V1162" s="9"/>
      <c r="W1162" s="9"/>
      <c r="X1162" s="16"/>
      <c r="AF1162" s="42">
        <f>IF(BUSCAR!$C$8="FECHA NAC.",$G1162,IF(BUSCAR!$C$8="PASAPORTE EXPIRA",$J1162,IF(BUSCAR!$C$8="LICENCIA EMISION",$L1162,IF(BUSCAR!$C$8="LICENCIA EXPIRA",$M1162,""))))</f>
      </c>
      <c r="AG1162" s="42">
        <f>IF($B1162&amp;$C1162&amp;$D1162&amp;$E1162&amp;$H1162="",0,IF(AND(OR(BUSCAR!$J$5="",ISNUMBER(SEARCH(BUSCAR!$J$5,$AI1162))),OR(BUSCAR!$J$6="",ISNUMBER(SEARCH(BUSCAR!$J$6,$AI1162))),OR(BUSCAR!$J$8="",ISNUMBER(SEARCH(BUSCAR!$J$8,$AI1162))),OR(BUSCAR!$J$9="",ISNUMBER(SEARCH(BUSCAR!$J$9,$AI1162))),OR(NOT(BUSCAR!$J$2),AND(ISNUMBER($AF1162),$AF1162&gt;=BUSCAR!$J$3,$AF1162&lt;=BUSCAR!$J$4))),1,0))</f>
      </c>
      <c r="AH1162" s="42">
        <f t="shared" si="54"/>
      </c>
      <c r="AI1162" s="42">
        <f t="shared" si="55"/>
      </c>
    </row>
    <row r="1163" spans="1:35" x14ac:dyDescent="0.2">
      <c r="A1163" s="66">
        <f t="shared" si="56"/>
      </c>
      <c r="B1163" s="4"/>
      <c r="C1163" s="4"/>
      <c r="D1163" s="4"/>
      <c r="E1163" s="4"/>
      <c r="F1163" s="24"/>
      <c r="G1163" s="8"/>
      <c r="H1163" s="9"/>
      <c r="I1163" s="8"/>
      <c r="J1163" s="10"/>
      <c r="K1163" s="8"/>
      <c r="L1163" s="8"/>
      <c r="M1163" s="8"/>
      <c r="N1163" s="11"/>
      <c r="O1163" s="9"/>
      <c r="P1163" s="12"/>
      <c r="Q1163" s="9"/>
      <c r="R1163" s="13"/>
      <c r="S1163" s="11"/>
      <c r="T1163" s="11"/>
      <c r="U1163" s="9"/>
      <c r="V1163" s="9"/>
      <c r="W1163" s="9"/>
      <c r="X1163" s="16"/>
      <c r="AF1163" s="42">
        <f>IF(BUSCAR!$C$8="FECHA NAC.",$G1163,IF(BUSCAR!$C$8="PASAPORTE EXPIRA",$J1163,IF(BUSCAR!$C$8="LICENCIA EMISION",$L1163,IF(BUSCAR!$C$8="LICENCIA EXPIRA",$M1163,""))))</f>
      </c>
      <c r="AG1163" s="42">
        <f>IF($B1163&amp;$C1163&amp;$D1163&amp;$E1163&amp;$H1163="",0,IF(AND(OR(BUSCAR!$J$5="",ISNUMBER(SEARCH(BUSCAR!$J$5,$AI1163))),OR(BUSCAR!$J$6="",ISNUMBER(SEARCH(BUSCAR!$J$6,$AI1163))),OR(BUSCAR!$J$8="",ISNUMBER(SEARCH(BUSCAR!$J$8,$AI1163))),OR(BUSCAR!$J$9="",ISNUMBER(SEARCH(BUSCAR!$J$9,$AI1163))),OR(NOT(BUSCAR!$J$2),AND(ISNUMBER($AF1163),$AF1163&gt;=BUSCAR!$J$3,$AF1163&lt;=BUSCAR!$J$4))),1,0))</f>
      </c>
      <c r="AH1163" s="42">
        <f t="shared" si="54"/>
      </c>
      <c r="AI1163" s="42">
        <f t="shared" si="55"/>
      </c>
    </row>
    <row r="1164" spans="1:35" x14ac:dyDescent="0.2">
      <c r="A1164" s="66">
        <f t="shared" si="56"/>
      </c>
      <c r="B1164" s="4"/>
      <c r="C1164" s="4"/>
      <c r="D1164" s="4"/>
      <c r="E1164" s="4"/>
      <c r="F1164" s="24"/>
      <c r="G1164" s="8"/>
      <c r="H1164" s="9"/>
      <c r="I1164" s="8"/>
      <c r="J1164" s="10"/>
      <c r="K1164" s="8"/>
      <c r="L1164" s="8"/>
      <c r="M1164" s="8"/>
      <c r="N1164" s="11"/>
      <c r="O1164" s="9"/>
      <c r="P1164" s="12"/>
      <c r="Q1164" s="9"/>
      <c r="R1164" s="13"/>
      <c r="S1164" s="11"/>
      <c r="T1164" s="11"/>
      <c r="U1164" s="9"/>
      <c r="V1164" s="9"/>
      <c r="W1164" s="9"/>
      <c r="X1164" s="16"/>
      <c r="AF1164" s="42">
        <f>IF(BUSCAR!$C$8="FECHA NAC.",$G1164,IF(BUSCAR!$C$8="PASAPORTE EXPIRA",$J1164,IF(BUSCAR!$C$8="LICENCIA EMISION",$L1164,IF(BUSCAR!$C$8="LICENCIA EXPIRA",$M1164,""))))</f>
      </c>
      <c r="AG1164" s="42">
        <f>IF($B1164&amp;$C1164&amp;$D1164&amp;$E1164&amp;$H1164="",0,IF(AND(OR(BUSCAR!$J$5="",ISNUMBER(SEARCH(BUSCAR!$J$5,$AI1164))),OR(BUSCAR!$J$6="",ISNUMBER(SEARCH(BUSCAR!$J$6,$AI1164))),OR(BUSCAR!$J$8="",ISNUMBER(SEARCH(BUSCAR!$J$8,$AI1164))),OR(BUSCAR!$J$9="",ISNUMBER(SEARCH(BUSCAR!$J$9,$AI1164))),OR(NOT(BUSCAR!$J$2),AND(ISNUMBER($AF1164),$AF1164&gt;=BUSCAR!$J$3,$AF1164&lt;=BUSCAR!$J$4))),1,0))</f>
      </c>
      <c r="AH1164" s="42">
        <f t="shared" si="54"/>
      </c>
      <c r="AI1164" s="42">
        <f t="shared" si="55"/>
      </c>
    </row>
    <row r="1165" spans="1:35" x14ac:dyDescent="0.2">
      <c r="A1165" s="66">
        <f t="shared" si="56"/>
      </c>
      <c r="B1165" s="4"/>
      <c r="C1165" s="4"/>
      <c r="D1165" s="4"/>
      <c r="E1165" s="4"/>
      <c r="F1165" s="24"/>
      <c r="G1165" s="8"/>
      <c r="H1165" s="9"/>
      <c r="I1165" s="8"/>
      <c r="J1165" s="10"/>
      <c r="K1165" s="8"/>
      <c r="L1165" s="8"/>
      <c r="M1165" s="8"/>
      <c r="N1165" s="11"/>
      <c r="O1165" s="9"/>
      <c r="P1165" s="12"/>
      <c r="Q1165" s="9"/>
      <c r="R1165" s="13"/>
      <c r="S1165" s="11"/>
      <c r="T1165" s="11"/>
      <c r="U1165" s="9"/>
      <c r="V1165" s="9"/>
      <c r="W1165" s="9"/>
      <c r="X1165" s="16"/>
      <c r="AF1165" s="42">
        <f>IF(BUSCAR!$C$8="FECHA NAC.",$G1165,IF(BUSCAR!$C$8="PASAPORTE EXPIRA",$J1165,IF(BUSCAR!$C$8="LICENCIA EMISION",$L1165,IF(BUSCAR!$C$8="LICENCIA EXPIRA",$M1165,""))))</f>
      </c>
      <c r="AG1165" s="42">
        <f>IF($B1165&amp;$C1165&amp;$D1165&amp;$E1165&amp;$H1165="",0,IF(AND(OR(BUSCAR!$J$5="",ISNUMBER(SEARCH(BUSCAR!$J$5,$AI1165))),OR(BUSCAR!$J$6="",ISNUMBER(SEARCH(BUSCAR!$J$6,$AI1165))),OR(BUSCAR!$J$8="",ISNUMBER(SEARCH(BUSCAR!$J$8,$AI1165))),OR(BUSCAR!$J$9="",ISNUMBER(SEARCH(BUSCAR!$J$9,$AI1165))),OR(NOT(BUSCAR!$J$2),AND(ISNUMBER($AF1165),$AF1165&gt;=BUSCAR!$J$3,$AF1165&lt;=BUSCAR!$J$4))),1,0))</f>
      </c>
      <c r="AH1165" s="42">
        <f t="shared" si="54"/>
      </c>
      <c r="AI1165" s="42">
        <f t="shared" si="55"/>
      </c>
    </row>
    <row r="1166" spans="1:35" x14ac:dyDescent="0.2">
      <c r="A1166" s="66">
        <f t="shared" si="56"/>
      </c>
      <c r="B1166" s="4"/>
      <c r="C1166" s="4"/>
      <c r="D1166" s="4"/>
      <c r="E1166" s="4"/>
      <c r="F1166" s="24"/>
      <c r="G1166" s="8"/>
      <c r="H1166" s="9"/>
      <c r="I1166" s="8"/>
      <c r="J1166" s="10"/>
      <c r="K1166" s="8"/>
      <c r="L1166" s="8"/>
      <c r="M1166" s="8"/>
      <c r="N1166" s="11"/>
      <c r="O1166" s="9"/>
      <c r="P1166" s="12"/>
      <c r="Q1166" s="9"/>
      <c r="R1166" s="13"/>
      <c r="S1166" s="11"/>
      <c r="T1166" s="11"/>
      <c r="U1166" s="9"/>
      <c r="V1166" s="9"/>
      <c r="W1166" s="9"/>
      <c r="X1166" s="16"/>
      <c r="AF1166" s="42">
        <f>IF(BUSCAR!$C$8="FECHA NAC.",$G1166,IF(BUSCAR!$C$8="PASAPORTE EXPIRA",$J1166,IF(BUSCAR!$C$8="LICENCIA EMISION",$L1166,IF(BUSCAR!$C$8="LICENCIA EXPIRA",$M1166,""))))</f>
      </c>
      <c r="AG1166" s="42">
        <f>IF($B1166&amp;$C1166&amp;$D1166&amp;$E1166&amp;$H1166="",0,IF(AND(OR(BUSCAR!$J$5="",ISNUMBER(SEARCH(BUSCAR!$J$5,$AI1166))),OR(BUSCAR!$J$6="",ISNUMBER(SEARCH(BUSCAR!$J$6,$AI1166))),OR(BUSCAR!$J$8="",ISNUMBER(SEARCH(BUSCAR!$J$8,$AI1166))),OR(BUSCAR!$J$9="",ISNUMBER(SEARCH(BUSCAR!$J$9,$AI1166))),OR(NOT(BUSCAR!$J$2),AND(ISNUMBER($AF1166),$AF1166&gt;=BUSCAR!$J$3,$AF1166&lt;=BUSCAR!$J$4))),1,0))</f>
      </c>
      <c r="AH1166" s="42">
        <f t="shared" si="54"/>
      </c>
      <c r="AI1166" s="42">
        <f t="shared" si="55"/>
      </c>
    </row>
    <row r="1167" spans="1:35" x14ac:dyDescent="0.2">
      <c r="A1167" s="66">
        <f t="shared" si="56"/>
      </c>
      <c r="B1167" s="4"/>
      <c r="C1167" s="4"/>
      <c r="D1167" s="4"/>
      <c r="E1167" s="4"/>
      <c r="F1167" s="24"/>
      <c r="G1167" s="8"/>
      <c r="H1167" s="9"/>
      <c r="I1167" s="8"/>
      <c r="J1167" s="10"/>
      <c r="K1167" s="8"/>
      <c r="L1167" s="8"/>
      <c r="M1167" s="8"/>
      <c r="N1167" s="11"/>
      <c r="O1167" s="9"/>
      <c r="P1167" s="12"/>
      <c r="Q1167" s="9"/>
      <c r="R1167" s="13"/>
      <c r="S1167" s="11"/>
      <c r="T1167" s="11"/>
      <c r="U1167" s="9"/>
      <c r="V1167" s="9"/>
      <c r="W1167" s="9"/>
      <c r="X1167" s="16"/>
      <c r="AF1167" s="42">
        <f>IF(BUSCAR!$C$8="FECHA NAC.",$G1167,IF(BUSCAR!$C$8="PASAPORTE EXPIRA",$J1167,IF(BUSCAR!$C$8="LICENCIA EMISION",$L1167,IF(BUSCAR!$C$8="LICENCIA EXPIRA",$M1167,""))))</f>
      </c>
      <c r="AG1167" s="42">
        <f>IF($B1167&amp;$C1167&amp;$D1167&amp;$E1167&amp;$H1167="",0,IF(AND(OR(BUSCAR!$J$5="",ISNUMBER(SEARCH(BUSCAR!$J$5,$AI1167))),OR(BUSCAR!$J$6="",ISNUMBER(SEARCH(BUSCAR!$J$6,$AI1167))),OR(BUSCAR!$J$8="",ISNUMBER(SEARCH(BUSCAR!$J$8,$AI1167))),OR(BUSCAR!$J$9="",ISNUMBER(SEARCH(BUSCAR!$J$9,$AI1167))),OR(NOT(BUSCAR!$J$2),AND(ISNUMBER($AF1167),$AF1167&gt;=BUSCAR!$J$3,$AF1167&lt;=BUSCAR!$J$4))),1,0))</f>
      </c>
      <c r="AH1167" s="42">
        <f t="shared" si="54"/>
      </c>
      <c r="AI1167" s="42">
        <f t="shared" si="55"/>
      </c>
    </row>
    <row r="1168" spans="1:35" x14ac:dyDescent="0.2">
      <c r="A1168" s="66">
        <f t="shared" si="56"/>
      </c>
      <c r="B1168" s="4"/>
      <c r="C1168" s="4"/>
      <c r="D1168" s="4"/>
      <c r="E1168" s="4"/>
      <c r="F1168" s="24"/>
      <c r="G1168" s="8"/>
      <c r="H1168" s="9"/>
      <c r="I1168" s="8"/>
      <c r="J1168" s="10"/>
      <c r="K1168" s="8"/>
      <c r="L1168" s="8"/>
      <c r="M1168" s="8"/>
      <c r="N1168" s="11"/>
      <c r="O1168" s="9"/>
      <c r="P1168" s="12"/>
      <c r="Q1168" s="9"/>
      <c r="R1168" s="13"/>
      <c r="S1168" s="11"/>
      <c r="T1168" s="11"/>
      <c r="U1168" s="9"/>
      <c r="V1168" s="9"/>
      <c r="W1168" s="9"/>
      <c r="X1168" s="16"/>
      <c r="AF1168" s="42">
        <f>IF(BUSCAR!$C$8="FECHA NAC.",$G1168,IF(BUSCAR!$C$8="PASAPORTE EXPIRA",$J1168,IF(BUSCAR!$C$8="LICENCIA EMISION",$L1168,IF(BUSCAR!$C$8="LICENCIA EXPIRA",$M1168,""))))</f>
      </c>
      <c r="AG1168" s="42">
        <f>IF($B1168&amp;$C1168&amp;$D1168&amp;$E1168&amp;$H1168="",0,IF(AND(OR(BUSCAR!$J$5="",ISNUMBER(SEARCH(BUSCAR!$J$5,$AI1168))),OR(BUSCAR!$J$6="",ISNUMBER(SEARCH(BUSCAR!$J$6,$AI1168))),OR(BUSCAR!$J$8="",ISNUMBER(SEARCH(BUSCAR!$J$8,$AI1168))),OR(BUSCAR!$J$9="",ISNUMBER(SEARCH(BUSCAR!$J$9,$AI1168))),OR(NOT(BUSCAR!$J$2),AND(ISNUMBER($AF1168),$AF1168&gt;=BUSCAR!$J$3,$AF1168&lt;=BUSCAR!$J$4))),1,0))</f>
      </c>
      <c r="AH1168" s="42">
        <f t="shared" si="54"/>
      </c>
      <c r="AI1168" s="42">
        <f t="shared" si="55"/>
      </c>
    </row>
    <row r="1169" spans="1:35" x14ac:dyDescent="0.2">
      <c r="A1169" s="66">
        <f t="shared" si="56"/>
      </c>
      <c r="B1169" s="4"/>
      <c r="C1169" s="4"/>
      <c r="D1169" s="4"/>
      <c r="E1169" s="4"/>
      <c r="F1169" s="24"/>
      <c r="G1169" s="8"/>
      <c r="H1169" s="9"/>
      <c r="I1169" s="8"/>
      <c r="J1169" s="10"/>
      <c r="K1169" s="8"/>
      <c r="L1169" s="8"/>
      <c r="M1169" s="8"/>
      <c r="N1169" s="11"/>
      <c r="O1169" s="9"/>
      <c r="P1169" s="12"/>
      <c r="Q1169" s="9"/>
      <c r="R1169" s="13"/>
      <c r="S1169" s="11"/>
      <c r="T1169" s="11"/>
      <c r="U1169" s="9"/>
      <c r="V1169" s="9"/>
      <c r="W1169" s="9"/>
      <c r="X1169" s="16"/>
      <c r="AF1169" s="42">
        <f>IF(BUSCAR!$C$8="FECHA NAC.",$G1169,IF(BUSCAR!$C$8="PASAPORTE EXPIRA",$J1169,IF(BUSCAR!$C$8="LICENCIA EMISION",$L1169,IF(BUSCAR!$C$8="LICENCIA EXPIRA",$M1169,""))))</f>
      </c>
      <c r="AG1169" s="42">
        <f>IF($B1169&amp;$C1169&amp;$D1169&amp;$E1169&amp;$H1169="",0,IF(AND(OR(BUSCAR!$J$5="",ISNUMBER(SEARCH(BUSCAR!$J$5,$AI1169))),OR(BUSCAR!$J$6="",ISNUMBER(SEARCH(BUSCAR!$J$6,$AI1169))),OR(BUSCAR!$J$8="",ISNUMBER(SEARCH(BUSCAR!$J$8,$AI1169))),OR(BUSCAR!$J$9="",ISNUMBER(SEARCH(BUSCAR!$J$9,$AI1169))),OR(NOT(BUSCAR!$J$2),AND(ISNUMBER($AF1169),$AF1169&gt;=BUSCAR!$J$3,$AF1169&lt;=BUSCAR!$J$4))),1,0))</f>
      </c>
      <c r="AH1169" s="42">
        <f t="shared" si="54"/>
      </c>
      <c r="AI1169" s="42">
        <f t="shared" si="55"/>
      </c>
    </row>
    <row r="1170" spans="1:35" x14ac:dyDescent="0.2">
      <c r="A1170" s="66">
        <f t="shared" si="56"/>
      </c>
      <c r="B1170" s="4"/>
      <c r="C1170" s="4"/>
      <c r="D1170" s="4"/>
      <c r="E1170" s="4"/>
      <c r="F1170" s="24"/>
      <c r="G1170" s="8"/>
      <c r="H1170" s="9"/>
      <c r="I1170" s="8"/>
      <c r="J1170" s="10"/>
      <c r="K1170" s="8"/>
      <c r="L1170" s="8"/>
      <c r="M1170" s="8"/>
      <c r="N1170" s="11"/>
      <c r="O1170" s="9"/>
      <c r="P1170" s="12"/>
      <c r="Q1170" s="9"/>
      <c r="R1170" s="13"/>
      <c r="S1170" s="11"/>
      <c r="T1170" s="11"/>
      <c r="U1170" s="9"/>
      <c r="V1170" s="9"/>
      <c r="W1170" s="9"/>
      <c r="X1170" s="16"/>
      <c r="AF1170" s="42">
        <f>IF(BUSCAR!$C$8="FECHA NAC.",$G1170,IF(BUSCAR!$C$8="PASAPORTE EXPIRA",$J1170,IF(BUSCAR!$C$8="LICENCIA EMISION",$L1170,IF(BUSCAR!$C$8="LICENCIA EXPIRA",$M1170,""))))</f>
      </c>
      <c r="AG1170" s="42">
        <f>IF($B1170&amp;$C1170&amp;$D1170&amp;$E1170&amp;$H1170="",0,IF(AND(OR(BUSCAR!$J$5="",ISNUMBER(SEARCH(BUSCAR!$J$5,$AI1170))),OR(BUSCAR!$J$6="",ISNUMBER(SEARCH(BUSCAR!$J$6,$AI1170))),OR(BUSCAR!$J$8="",ISNUMBER(SEARCH(BUSCAR!$J$8,$AI1170))),OR(BUSCAR!$J$9="",ISNUMBER(SEARCH(BUSCAR!$J$9,$AI1170))),OR(NOT(BUSCAR!$J$2),AND(ISNUMBER($AF1170),$AF1170&gt;=BUSCAR!$J$3,$AF1170&lt;=BUSCAR!$J$4))),1,0))</f>
      </c>
      <c r="AH1170" s="42">
        <f t="shared" si="54"/>
      </c>
      <c r="AI1170" s="42">
        <f t="shared" si="55"/>
      </c>
    </row>
    <row r="1171" spans="1:35" x14ac:dyDescent="0.2">
      <c r="A1171" s="66">
        <f t="shared" si="56"/>
      </c>
      <c r="B1171" s="4"/>
      <c r="C1171" s="4"/>
      <c r="D1171" s="4"/>
      <c r="E1171" s="4"/>
      <c r="F1171" s="24"/>
      <c r="G1171" s="8"/>
      <c r="H1171" s="9"/>
      <c r="I1171" s="8"/>
      <c r="J1171" s="10"/>
      <c r="K1171" s="8"/>
      <c r="L1171" s="8"/>
      <c r="M1171" s="8"/>
      <c r="N1171" s="11"/>
      <c r="O1171" s="9"/>
      <c r="P1171" s="12"/>
      <c r="Q1171" s="9"/>
      <c r="R1171" s="9"/>
      <c r="S1171" s="11"/>
      <c r="T1171" s="11"/>
      <c r="U1171" s="9"/>
      <c r="V1171" s="9"/>
      <c r="W1171" s="9"/>
      <c r="X1171" s="16"/>
      <c r="AF1171" s="42">
        <f>IF(BUSCAR!$C$8="FECHA NAC.",$G1171,IF(BUSCAR!$C$8="PASAPORTE EXPIRA",$J1171,IF(BUSCAR!$C$8="LICENCIA EMISION",$L1171,IF(BUSCAR!$C$8="LICENCIA EXPIRA",$M1171,""))))</f>
      </c>
      <c r="AG1171" s="42">
        <f>IF($B1171&amp;$C1171&amp;$D1171&amp;$E1171&amp;$H1171="",0,IF(AND(OR(BUSCAR!$J$5="",ISNUMBER(SEARCH(BUSCAR!$J$5,$AI1171))),OR(BUSCAR!$J$6="",ISNUMBER(SEARCH(BUSCAR!$J$6,$AI1171))),OR(BUSCAR!$J$8="",ISNUMBER(SEARCH(BUSCAR!$J$8,$AI1171))),OR(BUSCAR!$J$9="",ISNUMBER(SEARCH(BUSCAR!$J$9,$AI1171))),OR(NOT(BUSCAR!$J$2),AND(ISNUMBER($AF1171),$AF1171&gt;=BUSCAR!$J$3,$AF1171&lt;=BUSCAR!$J$4))),1,0))</f>
      </c>
      <c r="AH1171" s="42">
        <f t="shared" si="54"/>
      </c>
      <c r="AI1171" s="42">
        <f t="shared" si="55"/>
      </c>
    </row>
    <row r="1172" spans="1:35" x14ac:dyDescent="0.2">
      <c r="A1172" s="66">
        <f t="shared" si="56"/>
      </c>
      <c r="B1172" s="4"/>
      <c r="C1172" s="4"/>
      <c r="D1172" s="4"/>
      <c r="E1172" s="4"/>
      <c r="F1172" s="24"/>
      <c r="G1172" s="8"/>
      <c r="H1172" s="9"/>
      <c r="I1172" s="8"/>
      <c r="J1172" s="10"/>
      <c r="K1172" s="8"/>
      <c r="L1172" s="8"/>
      <c r="M1172" s="8"/>
      <c r="N1172" s="11"/>
      <c r="O1172" s="9"/>
      <c r="P1172" s="12"/>
      <c r="Q1172" s="9"/>
      <c r="R1172" s="13"/>
      <c r="S1172" s="11"/>
      <c r="T1172" s="11"/>
      <c r="U1172" s="9"/>
      <c r="V1172" s="9"/>
      <c r="W1172" s="9"/>
      <c r="X1172" s="16"/>
      <c r="AF1172" s="42">
        <f>IF(BUSCAR!$C$8="FECHA NAC.",$G1172,IF(BUSCAR!$C$8="PASAPORTE EXPIRA",$J1172,IF(BUSCAR!$C$8="LICENCIA EMISION",$L1172,IF(BUSCAR!$C$8="LICENCIA EXPIRA",$M1172,""))))</f>
      </c>
      <c r="AG1172" s="42">
        <f>IF($B1172&amp;$C1172&amp;$D1172&amp;$E1172&amp;$H1172="",0,IF(AND(OR(BUSCAR!$J$5="",ISNUMBER(SEARCH(BUSCAR!$J$5,$AI1172))),OR(BUSCAR!$J$6="",ISNUMBER(SEARCH(BUSCAR!$J$6,$AI1172))),OR(BUSCAR!$J$8="",ISNUMBER(SEARCH(BUSCAR!$J$8,$AI1172))),OR(BUSCAR!$J$9="",ISNUMBER(SEARCH(BUSCAR!$J$9,$AI1172))),OR(NOT(BUSCAR!$J$2),AND(ISNUMBER($AF1172),$AF1172&gt;=BUSCAR!$J$3,$AF1172&lt;=BUSCAR!$J$4))),1,0))</f>
      </c>
      <c r="AH1172" s="42">
        <f t="shared" si="54"/>
      </c>
      <c r="AI1172" s="42">
        <f t="shared" si="55"/>
      </c>
    </row>
    <row r="1173" spans="1:35" x14ac:dyDescent="0.2">
      <c r="A1173" s="66">
        <f t="shared" si="56"/>
      </c>
      <c r="B1173" s="4"/>
      <c r="C1173" s="4"/>
      <c r="D1173" s="4"/>
      <c r="E1173" s="4"/>
      <c r="F1173" s="24"/>
      <c r="G1173" s="8"/>
      <c r="H1173" s="9"/>
      <c r="I1173" s="8"/>
      <c r="J1173" s="10"/>
      <c r="K1173" s="8"/>
      <c r="L1173" s="8"/>
      <c r="M1173" s="8"/>
      <c r="N1173" s="11"/>
      <c r="O1173" s="9"/>
      <c r="P1173" s="12"/>
      <c r="Q1173" s="9"/>
      <c r="R1173" s="13"/>
      <c r="S1173" s="11"/>
      <c r="T1173" s="11"/>
      <c r="U1173" s="9"/>
      <c r="V1173" s="9"/>
      <c r="W1173" s="9"/>
      <c r="X1173" s="16"/>
      <c r="AF1173" s="42">
        <f>IF(BUSCAR!$C$8="FECHA NAC.",$G1173,IF(BUSCAR!$C$8="PASAPORTE EXPIRA",$J1173,IF(BUSCAR!$C$8="LICENCIA EMISION",$L1173,IF(BUSCAR!$C$8="LICENCIA EXPIRA",$M1173,""))))</f>
      </c>
      <c r="AG1173" s="42">
        <f>IF($B1173&amp;$C1173&amp;$D1173&amp;$E1173&amp;$H1173="",0,IF(AND(OR(BUSCAR!$J$5="",ISNUMBER(SEARCH(BUSCAR!$J$5,$AI1173))),OR(BUSCAR!$J$6="",ISNUMBER(SEARCH(BUSCAR!$J$6,$AI1173))),OR(BUSCAR!$J$8="",ISNUMBER(SEARCH(BUSCAR!$J$8,$AI1173))),OR(BUSCAR!$J$9="",ISNUMBER(SEARCH(BUSCAR!$J$9,$AI1173))),OR(NOT(BUSCAR!$J$2),AND(ISNUMBER($AF1173),$AF1173&gt;=BUSCAR!$J$3,$AF1173&lt;=BUSCAR!$J$4))),1,0))</f>
      </c>
      <c r="AH1173" s="42">
        <f t="shared" si="54"/>
      </c>
      <c r="AI1173" s="42">
        <f t="shared" si="55"/>
      </c>
    </row>
    <row r="1174" spans="1:35" x14ac:dyDescent="0.2">
      <c r="A1174" s="66">
        <f t="shared" si="56"/>
      </c>
      <c r="B1174" s="4"/>
      <c r="C1174" s="4"/>
      <c r="D1174" s="4"/>
      <c r="E1174" s="4"/>
      <c r="F1174" s="24"/>
      <c r="G1174" s="8"/>
      <c r="H1174" s="9"/>
      <c r="I1174" s="8"/>
      <c r="J1174" s="10"/>
      <c r="K1174" s="8"/>
      <c r="L1174" s="8"/>
      <c r="M1174" s="8"/>
      <c r="N1174" s="11"/>
      <c r="O1174" s="9"/>
      <c r="P1174" s="12"/>
      <c r="Q1174" s="9"/>
      <c r="R1174" s="13"/>
      <c r="S1174" s="11"/>
      <c r="T1174" s="11"/>
      <c r="U1174" s="9"/>
      <c r="V1174" s="9"/>
      <c r="W1174" s="9"/>
      <c r="X1174" s="16"/>
      <c r="AF1174" s="42">
        <f>IF(BUSCAR!$C$8="FECHA NAC.",$G1174,IF(BUSCAR!$C$8="PASAPORTE EXPIRA",$J1174,IF(BUSCAR!$C$8="LICENCIA EMISION",$L1174,IF(BUSCAR!$C$8="LICENCIA EXPIRA",$M1174,""))))</f>
      </c>
      <c r="AG1174" s="42">
        <f>IF($B1174&amp;$C1174&amp;$D1174&amp;$E1174&amp;$H1174="",0,IF(AND(OR(BUSCAR!$J$5="",ISNUMBER(SEARCH(BUSCAR!$J$5,$AI1174))),OR(BUSCAR!$J$6="",ISNUMBER(SEARCH(BUSCAR!$J$6,$AI1174))),OR(BUSCAR!$J$8="",ISNUMBER(SEARCH(BUSCAR!$J$8,$AI1174))),OR(BUSCAR!$J$9="",ISNUMBER(SEARCH(BUSCAR!$J$9,$AI1174))),OR(NOT(BUSCAR!$J$2),AND(ISNUMBER($AF1174),$AF1174&gt;=BUSCAR!$J$3,$AF1174&lt;=BUSCAR!$J$4))),1,0))</f>
      </c>
      <c r="AH1174" s="42">
        <f t="shared" si="54"/>
      </c>
      <c r="AI1174" s="42">
        <f t="shared" si="55"/>
      </c>
    </row>
    <row r="1175" spans="1:35" x14ac:dyDescent="0.2">
      <c r="A1175" s="66">
        <f t="shared" si="56"/>
      </c>
      <c r="B1175" s="4"/>
      <c r="C1175" s="4"/>
      <c r="D1175" s="4"/>
      <c r="E1175" s="4"/>
      <c r="F1175" s="24"/>
      <c r="G1175" s="8"/>
      <c r="H1175" s="9"/>
      <c r="I1175" s="8"/>
      <c r="J1175" s="10"/>
      <c r="K1175" s="8"/>
      <c r="L1175" s="8"/>
      <c r="M1175" s="8"/>
      <c r="N1175" s="11"/>
      <c r="O1175" s="9"/>
      <c r="P1175" s="12"/>
      <c r="Q1175" s="9"/>
      <c r="R1175" s="13"/>
      <c r="S1175" s="11"/>
      <c r="T1175" s="11"/>
      <c r="U1175" s="9"/>
      <c r="V1175" s="9"/>
      <c r="W1175" s="9"/>
      <c r="X1175" s="16"/>
      <c r="AF1175" s="42">
        <f>IF(BUSCAR!$C$8="FECHA NAC.",$G1175,IF(BUSCAR!$C$8="PASAPORTE EXPIRA",$J1175,IF(BUSCAR!$C$8="LICENCIA EMISION",$L1175,IF(BUSCAR!$C$8="LICENCIA EXPIRA",$M1175,""))))</f>
      </c>
      <c r="AG1175" s="42">
        <f>IF($B1175&amp;$C1175&amp;$D1175&amp;$E1175&amp;$H1175="",0,IF(AND(OR(BUSCAR!$J$5="",ISNUMBER(SEARCH(BUSCAR!$J$5,$AI1175))),OR(BUSCAR!$J$6="",ISNUMBER(SEARCH(BUSCAR!$J$6,$AI1175))),OR(BUSCAR!$J$8="",ISNUMBER(SEARCH(BUSCAR!$J$8,$AI1175))),OR(BUSCAR!$J$9="",ISNUMBER(SEARCH(BUSCAR!$J$9,$AI1175))),OR(NOT(BUSCAR!$J$2),AND(ISNUMBER($AF1175),$AF1175&gt;=BUSCAR!$J$3,$AF1175&lt;=BUSCAR!$J$4))),1,0))</f>
      </c>
      <c r="AH1175" s="42">
        <f t="shared" si="54"/>
      </c>
      <c r="AI1175" s="42">
        <f t="shared" si="55"/>
      </c>
    </row>
    <row r="1176" spans="1:35" x14ac:dyDescent="0.2">
      <c r="A1176" s="66">
        <f t="shared" si="56"/>
      </c>
      <c r="B1176" s="4"/>
      <c r="C1176" s="4"/>
      <c r="D1176" s="4"/>
      <c r="E1176" s="4"/>
      <c r="F1176" s="24"/>
      <c r="G1176" s="8"/>
      <c r="H1176" s="9"/>
      <c r="I1176" s="8"/>
      <c r="J1176" s="10"/>
      <c r="K1176" s="8"/>
      <c r="L1176" s="8"/>
      <c r="M1176" s="8"/>
      <c r="N1176" s="11"/>
      <c r="O1176" s="9"/>
      <c r="P1176" s="12"/>
      <c r="Q1176" s="9"/>
      <c r="R1176" s="13"/>
      <c r="S1176" s="11"/>
      <c r="T1176" s="11"/>
      <c r="U1176" s="9"/>
      <c r="V1176" s="9"/>
      <c r="W1176" s="9"/>
      <c r="X1176" s="16"/>
      <c r="AF1176" s="42">
        <f>IF(BUSCAR!$C$8="FECHA NAC.",$G1176,IF(BUSCAR!$C$8="PASAPORTE EXPIRA",$J1176,IF(BUSCAR!$C$8="LICENCIA EMISION",$L1176,IF(BUSCAR!$C$8="LICENCIA EXPIRA",$M1176,""))))</f>
      </c>
      <c r="AG1176" s="42">
        <f>IF($B1176&amp;$C1176&amp;$D1176&amp;$E1176&amp;$H1176="",0,IF(AND(OR(BUSCAR!$J$5="",ISNUMBER(SEARCH(BUSCAR!$J$5,$AI1176))),OR(BUSCAR!$J$6="",ISNUMBER(SEARCH(BUSCAR!$J$6,$AI1176))),OR(BUSCAR!$J$8="",ISNUMBER(SEARCH(BUSCAR!$J$8,$AI1176))),OR(BUSCAR!$J$9="",ISNUMBER(SEARCH(BUSCAR!$J$9,$AI1176))),OR(NOT(BUSCAR!$J$2),AND(ISNUMBER($AF1176),$AF1176&gt;=BUSCAR!$J$3,$AF1176&lt;=BUSCAR!$J$4))),1,0))</f>
      </c>
      <c r="AH1176" s="42">
        <f t="shared" si="54"/>
      </c>
      <c r="AI1176" s="42">
        <f t="shared" si="55"/>
      </c>
    </row>
    <row r="1177" spans="1:35" x14ac:dyDescent="0.2">
      <c r="A1177" s="66">
        <f t="shared" si="56"/>
      </c>
      <c r="B1177" s="4"/>
      <c r="C1177" s="4"/>
      <c r="D1177" s="4"/>
      <c r="E1177" s="4"/>
      <c r="F1177" s="24"/>
      <c r="G1177" s="8"/>
      <c r="H1177" s="9"/>
      <c r="I1177" s="8"/>
      <c r="J1177" s="10"/>
      <c r="K1177" s="8"/>
      <c r="L1177" s="8"/>
      <c r="M1177" s="8"/>
      <c r="N1177" s="11"/>
      <c r="O1177" s="9"/>
      <c r="P1177" s="12"/>
      <c r="Q1177" s="9"/>
      <c r="R1177" s="13"/>
      <c r="S1177" s="11"/>
      <c r="T1177" s="11"/>
      <c r="U1177" s="9"/>
      <c r="V1177" s="9"/>
      <c r="W1177" s="9"/>
      <c r="X1177" s="16"/>
      <c r="AF1177" s="42">
        <f>IF(BUSCAR!$C$8="FECHA NAC.",$G1177,IF(BUSCAR!$C$8="PASAPORTE EXPIRA",$J1177,IF(BUSCAR!$C$8="LICENCIA EMISION",$L1177,IF(BUSCAR!$C$8="LICENCIA EXPIRA",$M1177,""))))</f>
      </c>
      <c r="AG1177" s="42">
        <f>IF($B1177&amp;$C1177&amp;$D1177&amp;$E1177&amp;$H1177="",0,IF(AND(OR(BUSCAR!$J$5="",ISNUMBER(SEARCH(BUSCAR!$J$5,$AI1177))),OR(BUSCAR!$J$6="",ISNUMBER(SEARCH(BUSCAR!$J$6,$AI1177))),OR(BUSCAR!$J$8="",ISNUMBER(SEARCH(BUSCAR!$J$8,$AI1177))),OR(BUSCAR!$J$9="",ISNUMBER(SEARCH(BUSCAR!$J$9,$AI1177))),OR(NOT(BUSCAR!$J$2),AND(ISNUMBER($AF1177),$AF1177&gt;=BUSCAR!$J$3,$AF1177&lt;=BUSCAR!$J$4))),1,0))</f>
      </c>
      <c r="AH1177" s="42">
        <f t="shared" si="54"/>
      </c>
      <c r="AI1177" s="42">
        <f t="shared" si="55"/>
      </c>
    </row>
    <row r="1178" spans="1:35" x14ac:dyDescent="0.2">
      <c r="A1178" s="66">
        <f t="shared" si="56"/>
      </c>
      <c r="B1178" s="4"/>
      <c r="C1178" s="4"/>
      <c r="D1178" s="4"/>
      <c r="E1178" s="4"/>
      <c r="F1178" s="24"/>
      <c r="G1178" s="8"/>
      <c r="H1178" s="9"/>
      <c r="I1178" s="8"/>
      <c r="J1178" s="10"/>
      <c r="K1178" s="8"/>
      <c r="L1178" s="8"/>
      <c r="M1178" s="8"/>
      <c r="N1178" s="11"/>
      <c r="O1178" s="9"/>
      <c r="P1178" s="12"/>
      <c r="Q1178" s="9"/>
      <c r="R1178" s="13"/>
      <c r="S1178" s="11"/>
      <c r="T1178" s="11"/>
      <c r="U1178" s="9"/>
      <c r="V1178" s="9"/>
      <c r="W1178" s="9"/>
      <c r="X1178" s="16"/>
      <c r="AF1178" s="42">
        <f>IF(BUSCAR!$C$8="FECHA NAC.",$G1178,IF(BUSCAR!$C$8="PASAPORTE EXPIRA",$J1178,IF(BUSCAR!$C$8="LICENCIA EMISION",$L1178,IF(BUSCAR!$C$8="LICENCIA EXPIRA",$M1178,""))))</f>
      </c>
      <c r="AG1178" s="42">
        <f>IF($B1178&amp;$C1178&amp;$D1178&amp;$E1178&amp;$H1178="",0,IF(AND(OR(BUSCAR!$J$5="",ISNUMBER(SEARCH(BUSCAR!$J$5,$AI1178))),OR(BUSCAR!$J$6="",ISNUMBER(SEARCH(BUSCAR!$J$6,$AI1178))),OR(BUSCAR!$J$8="",ISNUMBER(SEARCH(BUSCAR!$J$8,$AI1178))),OR(BUSCAR!$J$9="",ISNUMBER(SEARCH(BUSCAR!$J$9,$AI1178))),OR(NOT(BUSCAR!$J$2),AND(ISNUMBER($AF1178),$AF1178&gt;=BUSCAR!$J$3,$AF1178&lt;=BUSCAR!$J$4))),1,0))</f>
      </c>
      <c r="AH1178" s="42">
        <f t="shared" si="54"/>
      </c>
      <c r="AI1178" s="42">
        <f t="shared" si="55"/>
      </c>
    </row>
    <row r="1179" spans="1:35" x14ac:dyDescent="0.2">
      <c r="A1179" s="66">
        <f t="shared" si="56"/>
      </c>
      <c r="B1179" s="4"/>
      <c r="C1179" s="4"/>
      <c r="D1179" s="4"/>
      <c r="E1179" s="4"/>
      <c r="F1179" s="24"/>
      <c r="G1179" s="8"/>
      <c r="H1179" s="9"/>
      <c r="I1179" s="8"/>
      <c r="J1179" s="10"/>
      <c r="K1179" s="8"/>
      <c r="L1179" s="8"/>
      <c r="M1179" s="8"/>
      <c r="N1179" s="11"/>
      <c r="O1179" s="9"/>
      <c r="P1179" s="12"/>
      <c r="Q1179" s="9"/>
      <c r="R1179" s="13"/>
      <c r="S1179" s="11"/>
      <c r="T1179" s="11"/>
      <c r="U1179" s="9"/>
      <c r="V1179" s="9"/>
      <c r="W1179" s="9"/>
      <c r="X1179" s="16"/>
      <c r="AF1179" s="42">
        <f>IF(BUSCAR!$C$8="FECHA NAC.",$G1179,IF(BUSCAR!$C$8="PASAPORTE EXPIRA",$J1179,IF(BUSCAR!$C$8="LICENCIA EMISION",$L1179,IF(BUSCAR!$C$8="LICENCIA EXPIRA",$M1179,""))))</f>
      </c>
      <c r="AG1179" s="42">
        <f>IF($B1179&amp;$C1179&amp;$D1179&amp;$E1179&amp;$H1179="",0,IF(AND(OR(BUSCAR!$J$5="",ISNUMBER(SEARCH(BUSCAR!$J$5,$AI1179))),OR(BUSCAR!$J$6="",ISNUMBER(SEARCH(BUSCAR!$J$6,$AI1179))),OR(BUSCAR!$J$8="",ISNUMBER(SEARCH(BUSCAR!$J$8,$AI1179))),OR(BUSCAR!$J$9="",ISNUMBER(SEARCH(BUSCAR!$J$9,$AI1179))),OR(NOT(BUSCAR!$J$2),AND(ISNUMBER($AF1179),$AF1179&gt;=BUSCAR!$J$3,$AF1179&lt;=BUSCAR!$J$4))),1,0))</f>
      </c>
      <c r="AH1179" s="42">
        <f t="shared" si="54"/>
      </c>
      <c r="AI1179" s="42">
        <f t="shared" si="55"/>
      </c>
    </row>
    <row r="1180" spans="1:35" x14ac:dyDescent="0.2">
      <c r="A1180" s="66">
        <f t="shared" si="56"/>
      </c>
      <c r="B1180" s="4"/>
      <c r="C1180" s="4"/>
      <c r="D1180" s="4"/>
      <c r="E1180" s="4"/>
      <c r="F1180" s="24"/>
      <c r="G1180" s="8"/>
      <c r="H1180" s="9"/>
      <c r="I1180" s="8"/>
      <c r="J1180" s="10"/>
      <c r="K1180" s="8"/>
      <c r="L1180" s="8"/>
      <c r="M1180" s="8"/>
      <c r="N1180" s="11"/>
      <c r="O1180" s="9"/>
      <c r="P1180" s="12"/>
      <c r="Q1180" s="9"/>
      <c r="R1180" s="13"/>
      <c r="S1180" s="11"/>
      <c r="T1180" s="11"/>
      <c r="U1180" s="9"/>
      <c r="V1180" s="9"/>
      <c r="W1180" s="9"/>
      <c r="X1180" s="16"/>
      <c r="AF1180" s="42">
        <f>IF(BUSCAR!$C$8="FECHA NAC.",$G1180,IF(BUSCAR!$C$8="PASAPORTE EXPIRA",$J1180,IF(BUSCAR!$C$8="LICENCIA EMISION",$L1180,IF(BUSCAR!$C$8="LICENCIA EXPIRA",$M1180,""))))</f>
      </c>
      <c r="AG1180" s="42">
        <f>IF($B1180&amp;$C1180&amp;$D1180&amp;$E1180&amp;$H1180="",0,IF(AND(OR(BUSCAR!$J$5="",ISNUMBER(SEARCH(BUSCAR!$J$5,$AI1180))),OR(BUSCAR!$J$6="",ISNUMBER(SEARCH(BUSCAR!$J$6,$AI1180))),OR(BUSCAR!$J$8="",ISNUMBER(SEARCH(BUSCAR!$J$8,$AI1180))),OR(BUSCAR!$J$9="",ISNUMBER(SEARCH(BUSCAR!$J$9,$AI1180))),OR(NOT(BUSCAR!$J$2),AND(ISNUMBER($AF1180),$AF1180&gt;=BUSCAR!$J$3,$AF1180&lt;=BUSCAR!$J$4))),1,0))</f>
      </c>
      <c r="AH1180" s="42">
        <f t="shared" si="54"/>
      </c>
      <c r="AI1180" s="42">
        <f t="shared" si="55"/>
      </c>
    </row>
    <row r="1181" spans="1:35" x14ac:dyDescent="0.2">
      <c r="A1181" s="66">
        <f t="shared" si="56"/>
      </c>
      <c r="B1181" s="4"/>
      <c r="C1181" s="4"/>
      <c r="D1181" s="4"/>
      <c r="E1181" s="4"/>
      <c r="F1181" s="24"/>
      <c r="G1181" s="8"/>
      <c r="H1181" s="9"/>
      <c r="I1181" s="8"/>
      <c r="J1181" s="10"/>
      <c r="K1181" s="8"/>
      <c r="L1181" s="8"/>
      <c r="M1181" s="8"/>
      <c r="N1181" s="11"/>
      <c r="O1181" s="9"/>
      <c r="P1181" s="12"/>
      <c r="Q1181" s="9"/>
      <c r="R1181" s="13"/>
      <c r="S1181" s="11"/>
      <c r="T1181" s="11"/>
      <c r="U1181" s="9"/>
      <c r="V1181" s="9"/>
      <c r="W1181" s="9"/>
      <c r="X1181" s="16"/>
      <c r="AF1181" s="42">
        <f>IF(BUSCAR!$C$8="FECHA NAC.",$G1181,IF(BUSCAR!$C$8="PASAPORTE EXPIRA",$J1181,IF(BUSCAR!$C$8="LICENCIA EMISION",$L1181,IF(BUSCAR!$C$8="LICENCIA EXPIRA",$M1181,""))))</f>
      </c>
      <c r="AG1181" s="42">
        <f>IF($B1181&amp;$C1181&amp;$D1181&amp;$E1181&amp;$H1181="",0,IF(AND(OR(BUSCAR!$J$5="",ISNUMBER(SEARCH(BUSCAR!$J$5,$AI1181))),OR(BUSCAR!$J$6="",ISNUMBER(SEARCH(BUSCAR!$J$6,$AI1181))),OR(BUSCAR!$J$8="",ISNUMBER(SEARCH(BUSCAR!$J$8,$AI1181))),OR(BUSCAR!$J$9="",ISNUMBER(SEARCH(BUSCAR!$J$9,$AI1181))),OR(NOT(BUSCAR!$J$2),AND(ISNUMBER($AF1181),$AF1181&gt;=BUSCAR!$J$3,$AF1181&lt;=BUSCAR!$J$4))),1,0))</f>
      </c>
      <c r="AH1181" s="42">
        <f t="shared" si="54"/>
      </c>
      <c r="AI1181" s="42">
        <f t="shared" si="55"/>
      </c>
    </row>
    <row r="1182" spans="1:35" x14ac:dyDescent="0.2">
      <c r="A1182" s="66">
        <f t="shared" si="56"/>
      </c>
      <c r="B1182" s="4"/>
      <c r="C1182" s="4"/>
      <c r="D1182" s="4"/>
      <c r="E1182" s="4"/>
      <c r="F1182" s="24"/>
      <c r="G1182" s="8"/>
      <c r="H1182" s="9"/>
      <c r="I1182" s="8"/>
      <c r="J1182" s="10"/>
      <c r="K1182" s="8"/>
      <c r="L1182" s="8"/>
      <c r="M1182" s="8"/>
      <c r="N1182" s="11"/>
      <c r="O1182" s="9"/>
      <c r="P1182" s="12"/>
      <c r="Q1182" s="9"/>
      <c r="R1182" s="13"/>
      <c r="S1182" s="11"/>
      <c r="T1182" s="11"/>
      <c r="U1182" s="9"/>
      <c r="V1182" s="9"/>
      <c r="W1182" s="9"/>
      <c r="X1182" s="16"/>
      <c r="AF1182" s="42">
        <f>IF(BUSCAR!$C$8="FECHA NAC.",$G1182,IF(BUSCAR!$C$8="PASAPORTE EXPIRA",$J1182,IF(BUSCAR!$C$8="LICENCIA EMISION",$L1182,IF(BUSCAR!$C$8="LICENCIA EXPIRA",$M1182,""))))</f>
      </c>
      <c r="AG1182" s="42">
        <f>IF($B1182&amp;$C1182&amp;$D1182&amp;$E1182&amp;$H1182="",0,IF(AND(OR(BUSCAR!$J$5="",ISNUMBER(SEARCH(BUSCAR!$J$5,$AI1182))),OR(BUSCAR!$J$6="",ISNUMBER(SEARCH(BUSCAR!$J$6,$AI1182))),OR(BUSCAR!$J$8="",ISNUMBER(SEARCH(BUSCAR!$J$8,$AI1182))),OR(BUSCAR!$J$9="",ISNUMBER(SEARCH(BUSCAR!$J$9,$AI1182))),OR(NOT(BUSCAR!$J$2),AND(ISNUMBER($AF1182),$AF1182&gt;=BUSCAR!$J$3,$AF1182&lt;=BUSCAR!$J$4))),1,0))</f>
      </c>
      <c r="AH1182" s="42">
        <f t="shared" si="54"/>
      </c>
      <c r="AI1182" s="42">
        <f t="shared" si="55"/>
      </c>
    </row>
    <row r="1183" spans="1:35" x14ac:dyDescent="0.2">
      <c r="A1183" s="66">
        <f t="shared" si="56"/>
      </c>
      <c r="B1183" s="4"/>
      <c r="C1183" s="4"/>
      <c r="D1183" s="4"/>
      <c r="E1183" s="4"/>
      <c r="F1183" s="24"/>
      <c r="G1183" s="8"/>
      <c r="H1183" s="9"/>
      <c r="I1183" s="8"/>
      <c r="J1183" s="10"/>
      <c r="K1183" s="8"/>
      <c r="L1183" s="8"/>
      <c r="M1183" s="8"/>
      <c r="N1183" s="11"/>
      <c r="O1183" s="9"/>
      <c r="P1183" s="12"/>
      <c r="Q1183" s="9"/>
      <c r="R1183" s="13"/>
      <c r="S1183" s="11"/>
      <c r="T1183" s="11"/>
      <c r="U1183" s="9"/>
      <c r="V1183" s="9"/>
      <c r="W1183" s="9"/>
      <c r="X1183" s="16"/>
      <c r="AF1183" s="42">
        <f>IF(BUSCAR!$C$8="FECHA NAC.",$G1183,IF(BUSCAR!$C$8="PASAPORTE EXPIRA",$J1183,IF(BUSCAR!$C$8="LICENCIA EMISION",$L1183,IF(BUSCAR!$C$8="LICENCIA EXPIRA",$M1183,""))))</f>
      </c>
      <c r="AG1183" s="42">
        <f>IF($B1183&amp;$C1183&amp;$D1183&amp;$E1183&amp;$H1183="",0,IF(AND(OR(BUSCAR!$J$5="",ISNUMBER(SEARCH(BUSCAR!$J$5,$AI1183))),OR(BUSCAR!$J$6="",ISNUMBER(SEARCH(BUSCAR!$J$6,$AI1183))),OR(BUSCAR!$J$8="",ISNUMBER(SEARCH(BUSCAR!$J$8,$AI1183))),OR(BUSCAR!$J$9="",ISNUMBER(SEARCH(BUSCAR!$J$9,$AI1183))),OR(NOT(BUSCAR!$J$2),AND(ISNUMBER($AF1183),$AF1183&gt;=BUSCAR!$J$3,$AF1183&lt;=BUSCAR!$J$4))),1,0))</f>
      </c>
      <c r="AH1183" s="42">
        <f t="shared" si="54"/>
      </c>
      <c r="AI1183" s="42">
        <f t="shared" si="55"/>
      </c>
    </row>
    <row r="1184" spans="1:35" x14ac:dyDescent="0.2">
      <c r="A1184" s="66">
        <f t="shared" si="56"/>
      </c>
      <c r="B1184" s="4"/>
      <c r="C1184" s="4"/>
      <c r="D1184" s="4"/>
      <c r="E1184" s="4"/>
      <c r="F1184" s="24"/>
      <c r="G1184" s="8"/>
      <c r="H1184" s="9"/>
      <c r="I1184" s="8"/>
      <c r="J1184" s="10"/>
      <c r="K1184" s="8"/>
      <c r="L1184" s="8"/>
      <c r="M1184" s="8"/>
      <c r="N1184" s="11"/>
      <c r="O1184" s="9"/>
      <c r="P1184" s="12"/>
      <c r="Q1184" s="9"/>
      <c r="R1184" s="13"/>
      <c r="S1184" s="11"/>
      <c r="T1184" s="11"/>
      <c r="U1184" s="9"/>
      <c r="V1184" s="9"/>
      <c r="W1184" s="9"/>
      <c r="X1184" s="16"/>
      <c r="AF1184" s="42">
        <f>IF(BUSCAR!$C$8="FECHA NAC.",$G1184,IF(BUSCAR!$C$8="PASAPORTE EXPIRA",$J1184,IF(BUSCAR!$C$8="LICENCIA EMISION",$L1184,IF(BUSCAR!$C$8="LICENCIA EXPIRA",$M1184,""))))</f>
      </c>
      <c r="AG1184" s="42">
        <f>IF($B1184&amp;$C1184&amp;$D1184&amp;$E1184&amp;$H1184="",0,IF(AND(OR(BUSCAR!$J$5="",ISNUMBER(SEARCH(BUSCAR!$J$5,$AI1184))),OR(BUSCAR!$J$6="",ISNUMBER(SEARCH(BUSCAR!$J$6,$AI1184))),OR(BUSCAR!$J$8="",ISNUMBER(SEARCH(BUSCAR!$J$8,$AI1184))),OR(BUSCAR!$J$9="",ISNUMBER(SEARCH(BUSCAR!$J$9,$AI1184))),OR(NOT(BUSCAR!$J$2),AND(ISNUMBER($AF1184),$AF1184&gt;=BUSCAR!$J$3,$AF1184&lt;=BUSCAR!$J$4))),1,0))</f>
      </c>
      <c r="AH1184" s="42">
        <f t="shared" si="54"/>
      </c>
      <c r="AI1184" s="42">
        <f t="shared" si="55"/>
      </c>
    </row>
    <row r="1185" spans="1:35" x14ac:dyDescent="0.2">
      <c r="A1185" s="66">
        <f t="shared" si="56"/>
      </c>
      <c r="B1185" s="4"/>
      <c r="C1185" s="4"/>
      <c r="D1185" s="4"/>
      <c r="E1185" s="4"/>
      <c r="F1185" s="24"/>
      <c r="G1185" s="8"/>
      <c r="H1185" s="9"/>
      <c r="I1185" s="8"/>
      <c r="J1185" s="10"/>
      <c r="K1185" s="8"/>
      <c r="L1185" s="8"/>
      <c r="M1185" s="8"/>
      <c r="N1185" s="11"/>
      <c r="O1185" s="9"/>
      <c r="P1185" s="12"/>
      <c r="Q1185" s="9"/>
      <c r="R1185" s="13"/>
      <c r="S1185" s="11"/>
      <c r="T1185" s="11"/>
      <c r="U1185" s="9"/>
      <c r="V1185" s="9"/>
      <c r="W1185" s="9"/>
      <c r="X1185" s="16"/>
      <c r="AF1185" s="42">
        <f>IF(BUSCAR!$C$8="FECHA NAC.",$G1185,IF(BUSCAR!$C$8="PASAPORTE EXPIRA",$J1185,IF(BUSCAR!$C$8="LICENCIA EMISION",$L1185,IF(BUSCAR!$C$8="LICENCIA EXPIRA",$M1185,""))))</f>
      </c>
      <c r="AG1185" s="42">
        <f>IF($B1185&amp;$C1185&amp;$D1185&amp;$E1185&amp;$H1185="",0,IF(AND(OR(BUSCAR!$J$5="",ISNUMBER(SEARCH(BUSCAR!$J$5,$AI1185))),OR(BUSCAR!$J$6="",ISNUMBER(SEARCH(BUSCAR!$J$6,$AI1185))),OR(BUSCAR!$J$8="",ISNUMBER(SEARCH(BUSCAR!$J$8,$AI1185))),OR(BUSCAR!$J$9="",ISNUMBER(SEARCH(BUSCAR!$J$9,$AI1185))),OR(NOT(BUSCAR!$J$2),AND(ISNUMBER($AF1185),$AF1185&gt;=BUSCAR!$J$3,$AF1185&lt;=BUSCAR!$J$4))),1,0))</f>
      </c>
      <c r="AH1185" s="42">
        <f t="shared" si="54"/>
      </c>
      <c r="AI1185" s="42">
        <f t="shared" si="55"/>
      </c>
    </row>
    <row r="1186" spans="1:35" x14ac:dyDescent="0.2">
      <c r="A1186" s="66">
        <f t="shared" si="56"/>
      </c>
      <c r="B1186" s="4"/>
      <c r="C1186" s="4"/>
      <c r="D1186" s="4"/>
      <c r="E1186" s="4"/>
      <c r="F1186" s="24"/>
      <c r="G1186" s="8"/>
      <c r="H1186" s="9"/>
      <c r="I1186" s="8"/>
      <c r="J1186" s="10"/>
      <c r="K1186" s="8"/>
      <c r="L1186" s="8"/>
      <c r="M1186" s="8"/>
      <c r="N1186" s="11"/>
      <c r="O1186" s="9"/>
      <c r="P1186" s="12"/>
      <c r="Q1186" s="9"/>
      <c r="R1186" s="13"/>
      <c r="S1186" s="11"/>
      <c r="T1186" s="11"/>
      <c r="U1186" s="9"/>
      <c r="V1186" s="9"/>
      <c r="W1186" s="9"/>
      <c r="X1186" s="16"/>
      <c r="AF1186" s="42">
        <f>IF(BUSCAR!$C$8="FECHA NAC.",$G1186,IF(BUSCAR!$C$8="PASAPORTE EXPIRA",$J1186,IF(BUSCAR!$C$8="LICENCIA EMISION",$L1186,IF(BUSCAR!$C$8="LICENCIA EXPIRA",$M1186,""))))</f>
      </c>
      <c r="AG1186" s="42">
        <f>IF($B1186&amp;$C1186&amp;$D1186&amp;$E1186&amp;$H1186="",0,IF(AND(OR(BUSCAR!$J$5="",ISNUMBER(SEARCH(BUSCAR!$J$5,$AI1186))),OR(BUSCAR!$J$6="",ISNUMBER(SEARCH(BUSCAR!$J$6,$AI1186))),OR(BUSCAR!$J$8="",ISNUMBER(SEARCH(BUSCAR!$J$8,$AI1186))),OR(BUSCAR!$J$9="",ISNUMBER(SEARCH(BUSCAR!$J$9,$AI1186))),OR(NOT(BUSCAR!$J$2),AND(ISNUMBER($AF1186),$AF1186&gt;=BUSCAR!$J$3,$AF1186&lt;=BUSCAR!$J$4))),1,0))</f>
      </c>
      <c r="AH1186" s="42">
        <f t="shared" si="54"/>
      </c>
      <c r="AI1186" s="42">
        <f t="shared" si="55"/>
      </c>
    </row>
    <row r="1187" spans="1:35" x14ac:dyDescent="0.2">
      <c r="A1187" s="66">
        <f t="shared" si="56"/>
      </c>
      <c r="B1187" s="4"/>
      <c r="C1187" s="4"/>
      <c r="D1187" s="4"/>
      <c r="E1187" s="4"/>
      <c r="F1187" s="24"/>
      <c r="G1187" s="8"/>
      <c r="H1187" s="9"/>
      <c r="I1187" s="8"/>
      <c r="J1187" s="10"/>
      <c r="K1187" s="8"/>
      <c r="L1187" s="8"/>
      <c r="M1187" s="8"/>
      <c r="N1187" s="11"/>
      <c r="O1187" s="9"/>
      <c r="P1187" s="12"/>
      <c r="Q1187" s="9"/>
      <c r="R1187" s="13"/>
      <c r="S1187" s="11"/>
      <c r="T1187" s="11"/>
      <c r="U1187" s="9"/>
      <c r="V1187" s="9"/>
      <c r="W1187" s="9"/>
      <c r="X1187" s="16"/>
      <c r="AF1187" s="42">
        <f>IF(BUSCAR!$C$8="FECHA NAC.",$G1187,IF(BUSCAR!$C$8="PASAPORTE EXPIRA",$J1187,IF(BUSCAR!$C$8="LICENCIA EMISION",$L1187,IF(BUSCAR!$C$8="LICENCIA EXPIRA",$M1187,""))))</f>
      </c>
      <c r="AG1187" s="42">
        <f>IF($B1187&amp;$C1187&amp;$D1187&amp;$E1187&amp;$H1187="",0,IF(AND(OR(BUSCAR!$J$5="",ISNUMBER(SEARCH(BUSCAR!$J$5,$AI1187))),OR(BUSCAR!$J$6="",ISNUMBER(SEARCH(BUSCAR!$J$6,$AI1187))),OR(BUSCAR!$J$8="",ISNUMBER(SEARCH(BUSCAR!$J$8,$AI1187))),OR(BUSCAR!$J$9="",ISNUMBER(SEARCH(BUSCAR!$J$9,$AI1187))),OR(NOT(BUSCAR!$J$2),AND(ISNUMBER($AF1187),$AF1187&gt;=BUSCAR!$J$3,$AF1187&lt;=BUSCAR!$J$4))),1,0))</f>
      </c>
      <c r="AH1187" s="42">
        <f t="shared" si="54"/>
      </c>
      <c r="AI1187" s="42">
        <f t="shared" si="55"/>
      </c>
    </row>
    <row r="1188" spans="1:35" x14ac:dyDescent="0.2">
      <c r="A1188" s="66">
        <f t="shared" si="56"/>
      </c>
      <c r="B1188" s="4"/>
      <c r="C1188" s="4"/>
      <c r="D1188" s="4"/>
      <c r="E1188" s="4"/>
      <c r="F1188" s="24"/>
      <c r="G1188" s="8"/>
      <c r="H1188" s="9"/>
      <c r="I1188" s="8"/>
      <c r="J1188" s="10"/>
      <c r="K1188" s="8"/>
      <c r="L1188" s="8"/>
      <c r="M1188" s="8"/>
      <c r="N1188" s="11"/>
      <c r="O1188" s="9"/>
      <c r="P1188" s="12"/>
      <c r="Q1188" s="9"/>
      <c r="R1188" s="13"/>
      <c r="S1188" s="11"/>
      <c r="T1188" s="11"/>
      <c r="U1188" s="9"/>
      <c r="V1188" s="9"/>
      <c r="W1188" s="9"/>
      <c r="X1188" s="16"/>
      <c r="AF1188" s="42">
        <f>IF(BUSCAR!$C$8="FECHA NAC.",$G1188,IF(BUSCAR!$C$8="PASAPORTE EXPIRA",$J1188,IF(BUSCAR!$C$8="LICENCIA EMISION",$L1188,IF(BUSCAR!$C$8="LICENCIA EXPIRA",$M1188,""))))</f>
      </c>
      <c r="AG1188" s="42">
        <f>IF($B1188&amp;$C1188&amp;$D1188&amp;$E1188&amp;$H1188="",0,IF(AND(OR(BUSCAR!$J$5="",ISNUMBER(SEARCH(BUSCAR!$J$5,$AI1188))),OR(BUSCAR!$J$6="",ISNUMBER(SEARCH(BUSCAR!$J$6,$AI1188))),OR(BUSCAR!$J$8="",ISNUMBER(SEARCH(BUSCAR!$J$8,$AI1188))),OR(BUSCAR!$J$9="",ISNUMBER(SEARCH(BUSCAR!$J$9,$AI1188))),OR(NOT(BUSCAR!$J$2),AND(ISNUMBER($AF1188),$AF1188&gt;=BUSCAR!$J$3,$AF1188&lt;=BUSCAR!$J$4))),1,0))</f>
      </c>
      <c r="AH1188" s="42">
        <f t="shared" si="54"/>
      </c>
      <c r="AI1188" s="42">
        <f t="shared" si="55"/>
      </c>
    </row>
    <row r="1189" spans="1:35" x14ac:dyDescent="0.2">
      <c r="A1189" s="66">
        <f t="shared" si="56"/>
      </c>
      <c r="B1189" s="4"/>
      <c r="C1189" s="4"/>
      <c r="D1189" s="4"/>
      <c r="E1189" s="4"/>
      <c r="F1189" s="24"/>
      <c r="G1189" s="8"/>
      <c r="H1189" s="9"/>
      <c r="I1189" s="8"/>
      <c r="J1189" s="10"/>
      <c r="K1189" s="8"/>
      <c r="L1189" s="8"/>
      <c r="M1189" s="8"/>
      <c r="N1189" s="11"/>
      <c r="O1189" s="9"/>
      <c r="P1189" s="12"/>
      <c r="Q1189" s="9"/>
      <c r="R1189" s="13"/>
      <c r="S1189" s="11"/>
      <c r="T1189" s="11"/>
      <c r="U1189" s="9"/>
      <c r="V1189" s="9"/>
      <c r="W1189" s="9"/>
      <c r="X1189" s="16"/>
      <c r="AF1189" s="42">
        <f>IF(BUSCAR!$C$8="FECHA NAC.",$G1189,IF(BUSCAR!$C$8="PASAPORTE EXPIRA",$J1189,IF(BUSCAR!$C$8="LICENCIA EMISION",$L1189,IF(BUSCAR!$C$8="LICENCIA EXPIRA",$M1189,""))))</f>
      </c>
      <c r="AG1189" s="42">
        <f>IF($B1189&amp;$C1189&amp;$D1189&amp;$E1189&amp;$H1189="",0,IF(AND(OR(BUSCAR!$J$5="",ISNUMBER(SEARCH(BUSCAR!$J$5,$AI1189))),OR(BUSCAR!$J$6="",ISNUMBER(SEARCH(BUSCAR!$J$6,$AI1189))),OR(BUSCAR!$J$8="",ISNUMBER(SEARCH(BUSCAR!$J$8,$AI1189))),OR(BUSCAR!$J$9="",ISNUMBER(SEARCH(BUSCAR!$J$9,$AI1189))),OR(NOT(BUSCAR!$J$2),AND(ISNUMBER($AF1189),$AF1189&gt;=BUSCAR!$J$3,$AF1189&lt;=BUSCAR!$J$4))),1,0))</f>
      </c>
      <c r="AH1189" s="42">
        <f t="shared" si="54"/>
      </c>
      <c r="AI1189" s="42">
        <f t="shared" si="55"/>
      </c>
    </row>
    <row r="1190" spans="1:35" x14ac:dyDescent="0.2">
      <c r="A1190" s="66">
        <f t="shared" si="56"/>
      </c>
      <c r="B1190" s="4"/>
      <c r="C1190" s="4"/>
      <c r="D1190" s="4"/>
      <c r="E1190" s="4"/>
      <c r="F1190" s="24"/>
      <c r="G1190" s="8"/>
      <c r="H1190" s="9"/>
      <c r="I1190" s="8"/>
      <c r="J1190" s="10"/>
      <c r="K1190" s="8"/>
      <c r="L1190" s="8"/>
      <c r="M1190" s="8"/>
      <c r="N1190" s="11"/>
      <c r="O1190" s="9"/>
      <c r="P1190" s="12"/>
      <c r="Q1190" s="9"/>
      <c r="R1190" s="13"/>
      <c r="S1190" s="11"/>
      <c r="T1190" s="11"/>
      <c r="U1190" s="9"/>
      <c r="V1190" s="9"/>
      <c r="W1190" s="9"/>
      <c r="X1190" s="16"/>
      <c r="AF1190" s="42">
        <f>IF(BUSCAR!$C$8="FECHA NAC.",$G1190,IF(BUSCAR!$C$8="PASAPORTE EXPIRA",$J1190,IF(BUSCAR!$C$8="LICENCIA EMISION",$L1190,IF(BUSCAR!$C$8="LICENCIA EXPIRA",$M1190,""))))</f>
      </c>
      <c r="AG1190" s="42">
        <f>IF($B1190&amp;$C1190&amp;$D1190&amp;$E1190&amp;$H1190="",0,IF(AND(OR(BUSCAR!$J$5="",ISNUMBER(SEARCH(BUSCAR!$J$5,$AI1190))),OR(BUSCAR!$J$6="",ISNUMBER(SEARCH(BUSCAR!$J$6,$AI1190))),OR(BUSCAR!$J$8="",ISNUMBER(SEARCH(BUSCAR!$J$8,$AI1190))),OR(BUSCAR!$J$9="",ISNUMBER(SEARCH(BUSCAR!$J$9,$AI1190))),OR(NOT(BUSCAR!$J$2),AND(ISNUMBER($AF1190),$AF1190&gt;=BUSCAR!$J$3,$AF1190&lt;=BUSCAR!$J$4))),1,0))</f>
      </c>
      <c r="AH1190" s="42">
        <f t="shared" si="54"/>
      </c>
      <c r="AI1190" s="42">
        <f t="shared" si="55"/>
      </c>
    </row>
    <row r="1191" spans="1:35" x14ac:dyDescent="0.2">
      <c r="A1191" s="66">
        <f t="shared" si="56"/>
      </c>
      <c r="B1191" s="4"/>
      <c r="C1191" s="4"/>
      <c r="D1191" s="4"/>
      <c r="E1191" s="4"/>
      <c r="F1191" s="24"/>
      <c r="G1191" s="8"/>
      <c r="H1191" s="9"/>
      <c r="I1191" s="8"/>
      <c r="J1191" s="10"/>
      <c r="K1191" s="8"/>
      <c r="L1191" s="8"/>
      <c r="M1191" s="8"/>
      <c r="N1191" s="11"/>
      <c r="O1191" s="9"/>
      <c r="P1191" s="12"/>
      <c r="Q1191" s="9"/>
      <c r="R1191" s="13"/>
      <c r="S1191" s="11"/>
      <c r="T1191" s="11"/>
      <c r="U1191" s="9"/>
      <c r="V1191" s="9"/>
      <c r="W1191" s="9"/>
      <c r="X1191" s="16"/>
      <c r="AF1191" s="42">
        <f>IF(BUSCAR!$C$8="FECHA NAC.",$G1191,IF(BUSCAR!$C$8="PASAPORTE EXPIRA",$J1191,IF(BUSCAR!$C$8="LICENCIA EMISION",$L1191,IF(BUSCAR!$C$8="LICENCIA EXPIRA",$M1191,""))))</f>
      </c>
      <c r="AG1191" s="42">
        <f>IF($B1191&amp;$C1191&amp;$D1191&amp;$E1191&amp;$H1191="",0,IF(AND(OR(BUSCAR!$J$5="",ISNUMBER(SEARCH(BUSCAR!$J$5,$AI1191))),OR(BUSCAR!$J$6="",ISNUMBER(SEARCH(BUSCAR!$J$6,$AI1191))),OR(BUSCAR!$J$8="",ISNUMBER(SEARCH(BUSCAR!$J$8,$AI1191))),OR(BUSCAR!$J$9="",ISNUMBER(SEARCH(BUSCAR!$J$9,$AI1191))),OR(NOT(BUSCAR!$J$2),AND(ISNUMBER($AF1191),$AF1191&gt;=BUSCAR!$J$3,$AF1191&lt;=BUSCAR!$J$4))),1,0))</f>
      </c>
      <c r="AH1191" s="42">
        <f t="shared" si="54"/>
      </c>
      <c r="AI1191" s="42">
        <f t="shared" si="55"/>
      </c>
    </row>
    <row r="1192" spans="1:35" x14ac:dyDescent="0.2">
      <c r="A1192" s="66">
        <f t="shared" si="56"/>
      </c>
      <c r="B1192" s="4"/>
      <c r="C1192" s="4"/>
      <c r="D1192" s="4"/>
      <c r="E1192" s="4"/>
      <c r="F1192" s="24"/>
      <c r="G1192" s="8"/>
      <c r="H1192" s="9"/>
      <c r="I1192" s="8"/>
      <c r="J1192" s="10"/>
      <c r="K1192" s="8"/>
      <c r="L1192" s="8"/>
      <c r="M1192" s="8"/>
      <c r="N1192" s="11"/>
      <c r="O1192" s="9"/>
      <c r="P1192" s="12"/>
      <c r="Q1192" s="9"/>
      <c r="R1192" s="13"/>
      <c r="S1192" s="11"/>
      <c r="T1192" s="11"/>
      <c r="U1192" s="9"/>
      <c r="V1192" s="9"/>
      <c r="W1192" s="9"/>
      <c r="X1192" s="16"/>
      <c r="AF1192" s="42">
        <f>IF(BUSCAR!$C$8="FECHA NAC.",$G1192,IF(BUSCAR!$C$8="PASAPORTE EXPIRA",$J1192,IF(BUSCAR!$C$8="LICENCIA EMISION",$L1192,IF(BUSCAR!$C$8="LICENCIA EXPIRA",$M1192,""))))</f>
      </c>
      <c r="AG1192" s="42">
        <f>IF($B1192&amp;$C1192&amp;$D1192&amp;$E1192&amp;$H1192="",0,IF(AND(OR(BUSCAR!$J$5="",ISNUMBER(SEARCH(BUSCAR!$J$5,$AI1192))),OR(BUSCAR!$J$6="",ISNUMBER(SEARCH(BUSCAR!$J$6,$AI1192))),OR(BUSCAR!$J$8="",ISNUMBER(SEARCH(BUSCAR!$J$8,$AI1192))),OR(BUSCAR!$J$9="",ISNUMBER(SEARCH(BUSCAR!$J$9,$AI1192))),OR(NOT(BUSCAR!$J$2),AND(ISNUMBER($AF1192),$AF1192&gt;=BUSCAR!$J$3,$AF1192&lt;=BUSCAR!$J$4))),1,0))</f>
      </c>
      <c r="AH1192" s="42">
        <f t="shared" si="54"/>
      </c>
      <c r="AI1192" s="42">
        <f t="shared" si="55"/>
      </c>
    </row>
    <row r="1193" spans="1:35" x14ac:dyDescent="0.2">
      <c r="A1193" s="66">
        <f t="shared" si="56"/>
      </c>
      <c r="B1193" s="4"/>
      <c r="C1193" s="4"/>
      <c r="D1193" s="4"/>
      <c r="E1193" s="4"/>
      <c r="F1193" s="24"/>
      <c r="G1193" s="8"/>
      <c r="H1193" s="9"/>
      <c r="I1193" s="8"/>
      <c r="J1193" s="10"/>
      <c r="K1193" s="8"/>
      <c r="L1193" s="8"/>
      <c r="M1193" s="8"/>
      <c r="N1193" s="11"/>
      <c r="O1193" s="9"/>
      <c r="P1193" s="12"/>
      <c r="Q1193" s="9"/>
      <c r="R1193" s="13"/>
      <c r="S1193" s="11"/>
      <c r="T1193" s="11"/>
      <c r="U1193" s="9"/>
      <c r="V1193" s="9"/>
      <c r="W1193" s="9"/>
      <c r="X1193" s="16"/>
      <c r="AF1193" s="42">
        <f>IF(BUSCAR!$C$8="FECHA NAC.",$G1193,IF(BUSCAR!$C$8="PASAPORTE EXPIRA",$J1193,IF(BUSCAR!$C$8="LICENCIA EMISION",$L1193,IF(BUSCAR!$C$8="LICENCIA EXPIRA",$M1193,""))))</f>
      </c>
      <c r="AG1193" s="42">
        <f>IF($B1193&amp;$C1193&amp;$D1193&amp;$E1193&amp;$H1193="",0,IF(AND(OR(BUSCAR!$J$5="",ISNUMBER(SEARCH(BUSCAR!$J$5,$AI1193))),OR(BUSCAR!$J$6="",ISNUMBER(SEARCH(BUSCAR!$J$6,$AI1193))),OR(BUSCAR!$J$8="",ISNUMBER(SEARCH(BUSCAR!$J$8,$AI1193))),OR(BUSCAR!$J$9="",ISNUMBER(SEARCH(BUSCAR!$J$9,$AI1193))),OR(NOT(BUSCAR!$J$2),AND(ISNUMBER($AF1193),$AF1193&gt;=BUSCAR!$J$3,$AF1193&lt;=BUSCAR!$J$4))),1,0))</f>
      </c>
      <c r="AH1193" s="42">
        <f t="shared" si="54"/>
      </c>
      <c r="AI1193" s="42">
        <f t="shared" si="55"/>
      </c>
    </row>
    <row r="1194" spans="1:35" x14ac:dyDescent="0.2">
      <c r="A1194" s="66">
        <f t="shared" si="56"/>
      </c>
      <c r="B1194" s="4"/>
      <c r="C1194" s="4"/>
      <c r="D1194" s="4"/>
      <c r="E1194" s="4"/>
      <c r="F1194" s="24"/>
      <c r="G1194" s="8"/>
      <c r="H1194" s="9"/>
      <c r="I1194" s="8"/>
      <c r="J1194" s="10"/>
      <c r="K1194" s="8"/>
      <c r="L1194" s="8"/>
      <c r="M1194" s="8"/>
      <c r="N1194" s="11"/>
      <c r="O1194" s="9"/>
      <c r="P1194" s="12"/>
      <c r="Q1194" s="9"/>
      <c r="R1194" s="13"/>
      <c r="S1194" s="11"/>
      <c r="T1194" s="11"/>
      <c r="U1194" s="9"/>
      <c r="V1194" s="9"/>
      <c r="W1194" s="9"/>
      <c r="X1194" s="16"/>
      <c r="AF1194" s="42">
        <f>IF(BUSCAR!$C$8="FECHA NAC.",$G1194,IF(BUSCAR!$C$8="PASAPORTE EXPIRA",$J1194,IF(BUSCAR!$C$8="LICENCIA EMISION",$L1194,IF(BUSCAR!$C$8="LICENCIA EXPIRA",$M1194,""))))</f>
      </c>
      <c r="AG1194" s="42">
        <f>IF($B1194&amp;$C1194&amp;$D1194&amp;$E1194&amp;$H1194="",0,IF(AND(OR(BUSCAR!$J$5="",ISNUMBER(SEARCH(BUSCAR!$J$5,$AI1194))),OR(BUSCAR!$J$6="",ISNUMBER(SEARCH(BUSCAR!$J$6,$AI1194))),OR(BUSCAR!$J$8="",ISNUMBER(SEARCH(BUSCAR!$J$8,$AI1194))),OR(BUSCAR!$J$9="",ISNUMBER(SEARCH(BUSCAR!$J$9,$AI1194))),OR(NOT(BUSCAR!$J$2),AND(ISNUMBER($AF1194),$AF1194&gt;=BUSCAR!$J$3,$AF1194&lt;=BUSCAR!$J$4))),1,0))</f>
      </c>
      <c r="AH1194" s="42">
        <f t="shared" si="54"/>
      </c>
      <c r="AI1194" s="42">
        <f t="shared" si="55"/>
      </c>
    </row>
    <row r="1195" spans="1:35" x14ac:dyDescent="0.2">
      <c r="A1195" s="66">
        <f t="shared" si="56"/>
      </c>
      <c r="B1195" s="4"/>
      <c r="C1195" s="4"/>
      <c r="D1195" s="4"/>
      <c r="E1195" s="4"/>
      <c r="F1195" s="24"/>
      <c r="G1195" s="8"/>
      <c r="H1195" s="9"/>
      <c r="I1195" s="8"/>
      <c r="J1195" s="10"/>
      <c r="K1195" s="8"/>
      <c r="L1195" s="8"/>
      <c r="M1195" s="8"/>
      <c r="N1195" s="11"/>
      <c r="O1195" s="9"/>
      <c r="P1195" s="12"/>
      <c r="Q1195" s="9"/>
      <c r="R1195" s="13"/>
      <c r="S1195" s="11"/>
      <c r="T1195" s="11"/>
      <c r="U1195" s="9"/>
      <c r="V1195" s="9"/>
      <c r="W1195" s="9"/>
      <c r="X1195" s="16"/>
      <c r="AF1195" s="42">
        <f>IF(BUSCAR!$C$8="FECHA NAC.",$G1195,IF(BUSCAR!$C$8="PASAPORTE EXPIRA",$J1195,IF(BUSCAR!$C$8="LICENCIA EMISION",$L1195,IF(BUSCAR!$C$8="LICENCIA EXPIRA",$M1195,""))))</f>
      </c>
      <c r="AG1195" s="42">
        <f>IF($B1195&amp;$C1195&amp;$D1195&amp;$E1195&amp;$H1195="",0,IF(AND(OR(BUSCAR!$J$5="",ISNUMBER(SEARCH(BUSCAR!$J$5,$AI1195))),OR(BUSCAR!$J$6="",ISNUMBER(SEARCH(BUSCAR!$J$6,$AI1195))),OR(BUSCAR!$J$8="",ISNUMBER(SEARCH(BUSCAR!$J$8,$AI1195))),OR(BUSCAR!$J$9="",ISNUMBER(SEARCH(BUSCAR!$J$9,$AI1195))),OR(NOT(BUSCAR!$J$2),AND(ISNUMBER($AF1195),$AF1195&gt;=BUSCAR!$J$3,$AF1195&lt;=BUSCAR!$J$4))),1,0))</f>
      </c>
      <c r="AH1195" s="42">
        <f t="shared" si="54"/>
      </c>
      <c r="AI1195" s="42">
        <f t="shared" si="55"/>
      </c>
    </row>
    <row r="1196" spans="1:35" x14ac:dyDescent="0.2">
      <c r="A1196" s="66">
        <f t="shared" si="56"/>
      </c>
      <c r="B1196" s="4"/>
      <c r="C1196" s="4"/>
      <c r="D1196" s="4"/>
      <c r="E1196" s="4"/>
      <c r="F1196" s="24"/>
      <c r="G1196" s="8"/>
      <c r="H1196" s="9"/>
      <c r="I1196" s="8"/>
      <c r="J1196" s="10"/>
      <c r="K1196" s="8"/>
      <c r="L1196" s="8"/>
      <c r="M1196" s="8"/>
      <c r="N1196" s="11"/>
      <c r="O1196" s="9"/>
      <c r="P1196" s="12"/>
      <c r="Q1196" s="9"/>
      <c r="R1196" s="13"/>
      <c r="S1196" s="11"/>
      <c r="T1196" s="11"/>
      <c r="U1196" s="9"/>
      <c r="V1196" s="9"/>
      <c r="W1196" s="9"/>
      <c r="X1196" s="16"/>
      <c r="AF1196" s="42">
        <f>IF(BUSCAR!$C$8="FECHA NAC.",$G1196,IF(BUSCAR!$C$8="PASAPORTE EXPIRA",$J1196,IF(BUSCAR!$C$8="LICENCIA EMISION",$L1196,IF(BUSCAR!$C$8="LICENCIA EXPIRA",$M1196,""))))</f>
      </c>
      <c r="AG1196" s="42">
        <f>IF($B1196&amp;$C1196&amp;$D1196&amp;$E1196&amp;$H1196="",0,IF(AND(OR(BUSCAR!$J$5="",ISNUMBER(SEARCH(BUSCAR!$J$5,$AI1196))),OR(BUSCAR!$J$6="",ISNUMBER(SEARCH(BUSCAR!$J$6,$AI1196))),OR(BUSCAR!$J$8="",ISNUMBER(SEARCH(BUSCAR!$J$8,$AI1196))),OR(BUSCAR!$J$9="",ISNUMBER(SEARCH(BUSCAR!$J$9,$AI1196))),OR(NOT(BUSCAR!$J$2),AND(ISNUMBER($AF1196),$AF1196&gt;=BUSCAR!$J$3,$AF1196&lt;=BUSCAR!$J$4))),1,0))</f>
      </c>
      <c r="AH1196" s="42">
        <f t="shared" si="54"/>
      </c>
      <c r="AI1196" s="42">
        <f t="shared" si="55"/>
      </c>
    </row>
    <row r="1197" spans="1:35" x14ac:dyDescent="0.2">
      <c r="A1197" s="66">
        <f t="shared" si="56"/>
      </c>
      <c r="B1197" s="4"/>
      <c r="C1197" s="4"/>
      <c r="D1197" s="4"/>
      <c r="E1197" s="4"/>
      <c r="F1197" s="24"/>
      <c r="G1197" s="8"/>
      <c r="H1197" s="9"/>
      <c r="I1197" s="8"/>
      <c r="J1197" s="10"/>
      <c r="K1197" s="8"/>
      <c r="L1197" s="8"/>
      <c r="M1197" s="8"/>
      <c r="N1197" s="11"/>
      <c r="O1197" s="9"/>
      <c r="P1197" s="12"/>
      <c r="Q1197" s="9"/>
      <c r="R1197" s="13"/>
      <c r="S1197" s="11"/>
      <c r="T1197" s="11"/>
      <c r="U1197" s="9"/>
      <c r="V1197" s="9"/>
      <c r="W1197" s="9"/>
      <c r="X1197" s="16"/>
      <c r="AF1197" s="42">
        <f>IF(BUSCAR!$C$8="FECHA NAC.",$G1197,IF(BUSCAR!$C$8="PASAPORTE EXPIRA",$J1197,IF(BUSCAR!$C$8="LICENCIA EMISION",$L1197,IF(BUSCAR!$C$8="LICENCIA EXPIRA",$M1197,""))))</f>
      </c>
      <c r="AG1197" s="42">
        <f>IF($B1197&amp;$C1197&amp;$D1197&amp;$E1197&amp;$H1197="",0,IF(AND(OR(BUSCAR!$J$5="",ISNUMBER(SEARCH(BUSCAR!$J$5,$AI1197))),OR(BUSCAR!$J$6="",ISNUMBER(SEARCH(BUSCAR!$J$6,$AI1197))),OR(BUSCAR!$J$8="",ISNUMBER(SEARCH(BUSCAR!$J$8,$AI1197))),OR(BUSCAR!$J$9="",ISNUMBER(SEARCH(BUSCAR!$J$9,$AI1197))),OR(NOT(BUSCAR!$J$2),AND(ISNUMBER($AF1197),$AF1197&gt;=BUSCAR!$J$3,$AF1197&lt;=BUSCAR!$J$4))),1,0))</f>
      </c>
      <c r="AH1197" s="42">
        <f t="shared" si="54"/>
      </c>
      <c r="AI1197" s="42">
        <f t="shared" si="55"/>
      </c>
    </row>
    <row r="1198" spans="1:35" x14ac:dyDescent="0.2">
      <c r="A1198" s="66">
        <f t="shared" si="56"/>
      </c>
      <c r="B1198" s="4"/>
      <c r="C1198" s="4"/>
      <c r="D1198" s="4"/>
      <c r="E1198" s="4"/>
      <c r="F1198" s="24"/>
      <c r="G1198" s="8"/>
      <c r="H1198" s="9"/>
      <c r="I1198" s="8"/>
      <c r="J1198" s="10"/>
      <c r="K1198" s="8"/>
      <c r="L1198" s="8"/>
      <c r="M1198" s="8"/>
      <c r="N1198" s="11"/>
      <c r="O1198" s="9"/>
      <c r="P1198" s="12"/>
      <c r="Q1198" s="9"/>
      <c r="R1198" s="13"/>
      <c r="S1198" s="11"/>
      <c r="T1198" s="11"/>
      <c r="U1198" s="9"/>
      <c r="V1198" s="9"/>
      <c r="W1198" s="9"/>
      <c r="X1198" s="16"/>
      <c r="AF1198" s="42">
        <f>IF(BUSCAR!$C$8="FECHA NAC.",$G1198,IF(BUSCAR!$C$8="PASAPORTE EXPIRA",$J1198,IF(BUSCAR!$C$8="LICENCIA EMISION",$L1198,IF(BUSCAR!$C$8="LICENCIA EXPIRA",$M1198,""))))</f>
      </c>
      <c r="AG1198" s="42">
        <f>IF($B1198&amp;$C1198&amp;$D1198&amp;$E1198&amp;$H1198="",0,IF(AND(OR(BUSCAR!$J$5="",ISNUMBER(SEARCH(BUSCAR!$J$5,$AI1198))),OR(BUSCAR!$J$6="",ISNUMBER(SEARCH(BUSCAR!$J$6,$AI1198))),OR(BUSCAR!$J$8="",ISNUMBER(SEARCH(BUSCAR!$J$8,$AI1198))),OR(BUSCAR!$J$9="",ISNUMBER(SEARCH(BUSCAR!$J$9,$AI1198))),OR(NOT(BUSCAR!$J$2),AND(ISNUMBER($AF1198),$AF1198&gt;=BUSCAR!$J$3,$AF1198&lt;=BUSCAR!$J$4))),1,0))</f>
      </c>
      <c r="AH1198" s="42">
        <f t="shared" si="54"/>
      </c>
      <c r="AI1198" s="42">
        <f t="shared" si="55"/>
      </c>
    </row>
    <row r="1199" spans="1:35" x14ac:dyDescent="0.2">
      <c r="A1199" s="66">
        <f t="shared" si="56"/>
      </c>
      <c r="B1199" s="4"/>
      <c r="C1199" s="4"/>
      <c r="D1199" s="4"/>
      <c r="E1199" s="4"/>
      <c r="F1199" s="24"/>
      <c r="G1199" s="8"/>
      <c r="H1199" s="9"/>
      <c r="I1199" s="8"/>
      <c r="J1199" s="10"/>
      <c r="K1199" s="8"/>
      <c r="L1199" s="8"/>
      <c r="M1199" s="8"/>
      <c r="N1199" s="11"/>
      <c r="O1199" s="9"/>
      <c r="P1199" s="12"/>
      <c r="Q1199" s="9"/>
      <c r="R1199" s="13"/>
      <c r="S1199" s="11"/>
      <c r="T1199" s="11"/>
      <c r="U1199" s="9"/>
      <c r="V1199" s="9"/>
      <c r="W1199" s="9"/>
      <c r="X1199" s="16"/>
      <c r="AF1199" s="42">
        <f>IF(BUSCAR!$C$8="FECHA NAC.",$G1199,IF(BUSCAR!$C$8="PASAPORTE EXPIRA",$J1199,IF(BUSCAR!$C$8="LICENCIA EMISION",$L1199,IF(BUSCAR!$C$8="LICENCIA EXPIRA",$M1199,""))))</f>
      </c>
      <c r="AG1199" s="42">
        <f>IF($B1199&amp;$C1199&amp;$D1199&amp;$E1199&amp;$H1199="",0,IF(AND(OR(BUSCAR!$J$5="",ISNUMBER(SEARCH(BUSCAR!$J$5,$AI1199))),OR(BUSCAR!$J$6="",ISNUMBER(SEARCH(BUSCAR!$J$6,$AI1199))),OR(BUSCAR!$J$8="",ISNUMBER(SEARCH(BUSCAR!$J$8,$AI1199))),OR(BUSCAR!$J$9="",ISNUMBER(SEARCH(BUSCAR!$J$9,$AI1199))),OR(NOT(BUSCAR!$J$2),AND(ISNUMBER($AF1199),$AF1199&gt;=BUSCAR!$J$3,$AF1199&lt;=BUSCAR!$J$4))),1,0))</f>
      </c>
      <c r="AH1199" s="42">
        <f t="shared" si="54"/>
      </c>
      <c r="AI1199" s="42">
        <f t="shared" si="55"/>
      </c>
    </row>
    <row r="1200" spans="1:35" x14ac:dyDescent="0.2">
      <c r="A1200" s="66">
        <f t="shared" si="56"/>
      </c>
      <c r="B1200" s="4"/>
      <c r="C1200" s="4"/>
      <c r="D1200" s="4"/>
      <c r="E1200" s="4"/>
      <c r="F1200" s="24"/>
      <c r="G1200" s="8"/>
      <c r="H1200" s="9"/>
      <c r="I1200" s="8"/>
      <c r="J1200" s="10"/>
      <c r="K1200" s="8"/>
      <c r="L1200" s="8"/>
      <c r="M1200" s="8"/>
      <c r="N1200" s="11"/>
      <c r="O1200" s="9"/>
      <c r="P1200" s="12"/>
      <c r="Q1200" s="9"/>
      <c r="R1200" s="13"/>
      <c r="S1200" s="11"/>
      <c r="T1200" s="11"/>
      <c r="U1200" s="9"/>
      <c r="V1200" s="9"/>
      <c r="W1200" s="9"/>
      <c r="X1200" s="16"/>
      <c r="AF1200" s="42">
        <f>IF(BUSCAR!$C$8="FECHA NAC.",$G1200,IF(BUSCAR!$C$8="PASAPORTE EXPIRA",$J1200,IF(BUSCAR!$C$8="LICENCIA EMISION",$L1200,IF(BUSCAR!$C$8="LICENCIA EXPIRA",$M1200,""))))</f>
      </c>
      <c r="AG1200" s="42">
        <f>IF($B1200&amp;$C1200&amp;$D1200&amp;$E1200&amp;$H1200="",0,IF(AND(OR(BUSCAR!$J$5="",ISNUMBER(SEARCH(BUSCAR!$J$5,$AI1200))),OR(BUSCAR!$J$6="",ISNUMBER(SEARCH(BUSCAR!$J$6,$AI1200))),OR(BUSCAR!$J$8="",ISNUMBER(SEARCH(BUSCAR!$J$8,$AI1200))),OR(BUSCAR!$J$9="",ISNUMBER(SEARCH(BUSCAR!$J$9,$AI1200))),OR(NOT(BUSCAR!$J$2),AND(ISNUMBER($AF1200),$AF1200&gt;=BUSCAR!$J$3,$AF1200&lt;=BUSCAR!$J$4))),1,0))</f>
      </c>
      <c r="AH1200" s="42">
        <f t="shared" si="54"/>
      </c>
      <c r="AI1200" s="42">
        <f t="shared" si="55"/>
      </c>
    </row>
    <row r="1201" spans="1:35" x14ac:dyDescent="0.2">
      <c r="A1201" s="66">
        <f t="shared" si="56"/>
      </c>
      <c r="B1201" s="4"/>
      <c r="C1201" s="4"/>
      <c r="D1201" s="4"/>
      <c r="E1201" s="4"/>
      <c r="F1201" s="24"/>
      <c r="G1201" s="8"/>
      <c r="H1201" s="9"/>
      <c r="I1201" s="8"/>
      <c r="J1201" s="10"/>
      <c r="K1201" s="8"/>
      <c r="L1201" s="8"/>
      <c r="M1201" s="8"/>
      <c r="N1201" s="11"/>
      <c r="O1201" s="9"/>
      <c r="P1201" s="12"/>
      <c r="Q1201" s="9"/>
      <c r="R1201" s="13"/>
      <c r="S1201" s="11"/>
      <c r="T1201" s="11"/>
      <c r="U1201" s="9"/>
      <c r="V1201" s="9"/>
      <c r="W1201" s="9"/>
      <c r="X1201" s="16"/>
      <c r="AF1201" s="42">
        <f>IF(BUSCAR!$C$8="FECHA NAC.",$G1201,IF(BUSCAR!$C$8="PASAPORTE EXPIRA",$J1201,IF(BUSCAR!$C$8="LICENCIA EMISION",$L1201,IF(BUSCAR!$C$8="LICENCIA EXPIRA",$M1201,""))))</f>
      </c>
      <c r="AG1201" s="42">
        <f>IF($B1201&amp;$C1201&amp;$D1201&amp;$E1201&amp;$H1201="",0,IF(AND(OR(BUSCAR!$J$5="",ISNUMBER(SEARCH(BUSCAR!$J$5,$AI1201))),OR(BUSCAR!$J$6="",ISNUMBER(SEARCH(BUSCAR!$J$6,$AI1201))),OR(BUSCAR!$J$8="",ISNUMBER(SEARCH(BUSCAR!$J$8,$AI1201))),OR(BUSCAR!$J$9="",ISNUMBER(SEARCH(BUSCAR!$J$9,$AI1201))),OR(NOT(BUSCAR!$J$2),AND(ISNUMBER($AF1201),$AF1201&gt;=BUSCAR!$J$3,$AF1201&lt;=BUSCAR!$J$4))),1,0))</f>
      </c>
      <c r="AH1201" s="42">
        <f t="shared" si="54"/>
      </c>
      <c r="AI1201" s="42">
        <f t="shared" si="55"/>
      </c>
    </row>
    <row r="1202" spans="1:35" x14ac:dyDescent="0.2">
      <c r="A1202" s="66">
        <f t="shared" si="56"/>
      </c>
      <c r="B1202" s="4"/>
      <c r="C1202" s="4"/>
      <c r="D1202" s="4"/>
      <c r="E1202" s="4"/>
      <c r="F1202" s="24"/>
      <c r="G1202" s="8"/>
      <c r="H1202" s="9"/>
      <c r="I1202" s="8"/>
      <c r="J1202" s="10"/>
      <c r="K1202" s="8"/>
      <c r="L1202" s="8"/>
      <c r="M1202" s="8"/>
      <c r="N1202" s="11"/>
      <c r="O1202" s="9"/>
      <c r="P1202" s="12"/>
      <c r="Q1202" s="9"/>
      <c r="R1202" s="13"/>
      <c r="S1202" s="11"/>
      <c r="T1202" s="11"/>
      <c r="U1202" s="9"/>
      <c r="V1202" s="9"/>
      <c r="W1202" s="9"/>
      <c r="X1202" s="16"/>
      <c r="AF1202" s="42">
        <f>IF(BUSCAR!$C$8="FECHA NAC.",$G1202,IF(BUSCAR!$C$8="PASAPORTE EXPIRA",$J1202,IF(BUSCAR!$C$8="LICENCIA EMISION",$L1202,IF(BUSCAR!$C$8="LICENCIA EXPIRA",$M1202,""))))</f>
      </c>
      <c r="AG1202" s="42">
        <f>IF($B1202&amp;$C1202&amp;$D1202&amp;$E1202&amp;$H1202="",0,IF(AND(OR(BUSCAR!$J$5="",ISNUMBER(SEARCH(BUSCAR!$J$5,$AI1202))),OR(BUSCAR!$J$6="",ISNUMBER(SEARCH(BUSCAR!$J$6,$AI1202))),OR(BUSCAR!$J$8="",ISNUMBER(SEARCH(BUSCAR!$J$8,$AI1202))),OR(BUSCAR!$J$9="",ISNUMBER(SEARCH(BUSCAR!$J$9,$AI1202))),OR(NOT(BUSCAR!$J$2),AND(ISNUMBER($AF1202),$AF1202&gt;=BUSCAR!$J$3,$AF1202&lt;=BUSCAR!$J$4))),1,0))</f>
      </c>
      <c r="AH1202" s="42">
        <f t="shared" si="54"/>
      </c>
      <c r="AI1202" s="42">
        <f t="shared" si="55"/>
      </c>
    </row>
    <row r="1203" spans="1:35" x14ac:dyDescent="0.2">
      <c r="A1203" s="66">
        <f t="shared" si="56"/>
      </c>
      <c r="B1203" s="4"/>
      <c r="C1203" s="4"/>
      <c r="D1203" s="4"/>
      <c r="E1203" s="4"/>
      <c r="F1203" s="24"/>
      <c r="G1203" s="8"/>
      <c r="H1203" s="9"/>
      <c r="I1203" s="8"/>
      <c r="J1203" s="10"/>
      <c r="K1203" s="8"/>
      <c r="L1203" s="8"/>
      <c r="M1203" s="8"/>
      <c r="N1203" s="11"/>
      <c r="O1203" s="9"/>
      <c r="P1203" s="12"/>
      <c r="Q1203" s="9"/>
      <c r="R1203" s="13"/>
      <c r="S1203" s="11"/>
      <c r="T1203" s="11"/>
      <c r="U1203" s="9"/>
      <c r="V1203" s="9"/>
      <c r="W1203" s="9"/>
      <c r="X1203" s="16"/>
      <c r="AF1203" s="42">
        <f>IF(BUSCAR!$C$8="FECHA NAC.",$G1203,IF(BUSCAR!$C$8="PASAPORTE EXPIRA",$J1203,IF(BUSCAR!$C$8="LICENCIA EMISION",$L1203,IF(BUSCAR!$C$8="LICENCIA EXPIRA",$M1203,""))))</f>
      </c>
      <c r="AG1203" s="42">
        <f>IF($B1203&amp;$C1203&amp;$D1203&amp;$E1203&amp;$H1203="",0,IF(AND(OR(BUSCAR!$J$5="",ISNUMBER(SEARCH(BUSCAR!$J$5,$AI1203))),OR(BUSCAR!$J$6="",ISNUMBER(SEARCH(BUSCAR!$J$6,$AI1203))),OR(BUSCAR!$J$8="",ISNUMBER(SEARCH(BUSCAR!$J$8,$AI1203))),OR(BUSCAR!$J$9="",ISNUMBER(SEARCH(BUSCAR!$J$9,$AI1203))),OR(NOT(BUSCAR!$J$2),AND(ISNUMBER($AF1203),$AF1203&gt;=BUSCAR!$J$3,$AF1203&lt;=BUSCAR!$J$4))),1,0))</f>
      </c>
      <c r="AH1203" s="42">
        <f t="shared" si="54"/>
      </c>
      <c r="AI1203" s="42">
        <f t="shared" si="55"/>
      </c>
    </row>
    <row r="1204" spans="1:35" x14ac:dyDescent="0.2">
      <c r="A1204" s="66">
        <f t="shared" si="56"/>
      </c>
      <c r="B1204" s="4"/>
      <c r="C1204" s="4"/>
      <c r="D1204" s="4"/>
      <c r="E1204" s="4"/>
      <c r="F1204" s="24"/>
      <c r="G1204" s="8"/>
      <c r="H1204" s="9"/>
      <c r="I1204" s="8"/>
      <c r="J1204" s="10"/>
      <c r="K1204" s="8"/>
      <c r="L1204" s="8"/>
      <c r="M1204" s="8"/>
      <c r="N1204" s="11"/>
      <c r="O1204" s="9"/>
      <c r="P1204" s="12"/>
      <c r="Q1204" s="9"/>
      <c r="R1204" s="13"/>
      <c r="S1204" s="11"/>
      <c r="T1204" s="11"/>
      <c r="U1204" s="9"/>
      <c r="V1204" s="9"/>
      <c r="W1204" s="9"/>
      <c r="X1204" s="16"/>
      <c r="AF1204" s="42">
        <f>IF(BUSCAR!$C$8="FECHA NAC.",$G1204,IF(BUSCAR!$C$8="PASAPORTE EXPIRA",$J1204,IF(BUSCAR!$C$8="LICENCIA EMISION",$L1204,IF(BUSCAR!$C$8="LICENCIA EXPIRA",$M1204,""))))</f>
      </c>
      <c r="AG1204" s="42">
        <f>IF($B1204&amp;$C1204&amp;$D1204&amp;$E1204&amp;$H1204="",0,IF(AND(OR(BUSCAR!$J$5="",ISNUMBER(SEARCH(BUSCAR!$J$5,$AI1204))),OR(BUSCAR!$J$6="",ISNUMBER(SEARCH(BUSCAR!$J$6,$AI1204))),OR(BUSCAR!$J$8="",ISNUMBER(SEARCH(BUSCAR!$J$8,$AI1204))),OR(BUSCAR!$J$9="",ISNUMBER(SEARCH(BUSCAR!$J$9,$AI1204))),OR(NOT(BUSCAR!$J$2),AND(ISNUMBER($AF1204),$AF1204&gt;=BUSCAR!$J$3,$AF1204&lt;=BUSCAR!$J$4))),1,0))</f>
      </c>
      <c r="AH1204" s="42">
        <f t="shared" si="54"/>
      </c>
      <c r="AI1204" s="42">
        <f t="shared" si="55"/>
      </c>
    </row>
    <row r="1205" spans="1:35" x14ac:dyDescent="0.2">
      <c r="A1205" s="66">
        <f t="shared" si="56"/>
      </c>
      <c r="B1205" s="4"/>
      <c r="C1205" s="4"/>
      <c r="D1205" s="4"/>
      <c r="E1205" s="4"/>
      <c r="F1205" s="24"/>
      <c r="G1205" s="8"/>
      <c r="H1205" s="9"/>
      <c r="I1205" s="8"/>
      <c r="J1205" s="10"/>
      <c r="K1205" s="8"/>
      <c r="L1205" s="8"/>
      <c r="M1205" s="8"/>
      <c r="N1205" s="11"/>
      <c r="O1205" s="9"/>
      <c r="P1205" s="12"/>
      <c r="Q1205" s="9"/>
      <c r="R1205" s="13"/>
      <c r="S1205" s="11"/>
      <c r="T1205" s="11"/>
      <c r="U1205" s="9"/>
      <c r="V1205" s="9"/>
      <c r="W1205" s="9"/>
      <c r="X1205" s="16"/>
      <c r="AF1205" s="42">
        <f>IF(BUSCAR!$C$8="FECHA NAC.",$G1205,IF(BUSCAR!$C$8="PASAPORTE EXPIRA",$J1205,IF(BUSCAR!$C$8="LICENCIA EMISION",$L1205,IF(BUSCAR!$C$8="LICENCIA EXPIRA",$M1205,""))))</f>
      </c>
      <c r="AG1205" s="42">
        <f>IF($B1205&amp;$C1205&amp;$D1205&amp;$E1205&amp;$H1205="",0,IF(AND(OR(BUSCAR!$J$5="",ISNUMBER(SEARCH(BUSCAR!$J$5,$AI1205))),OR(BUSCAR!$J$6="",ISNUMBER(SEARCH(BUSCAR!$J$6,$AI1205))),OR(BUSCAR!$J$8="",ISNUMBER(SEARCH(BUSCAR!$J$8,$AI1205))),OR(BUSCAR!$J$9="",ISNUMBER(SEARCH(BUSCAR!$J$9,$AI1205))),OR(NOT(BUSCAR!$J$2),AND(ISNUMBER($AF1205),$AF1205&gt;=BUSCAR!$J$3,$AF1205&lt;=BUSCAR!$J$4))),1,0))</f>
      </c>
      <c r="AH1205" s="42">
        <f t="shared" si="54"/>
      </c>
      <c r="AI1205" s="42">
        <f t="shared" si="55"/>
      </c>
    </row>
    <row r="1206" spans="1:35" x14ac:dyDescent="0.2">
      <c r="A1206" s="66">
        <f t="shared" si="56"/>
      </c>
      <c r="B1206" s="4"/>
      <c r="C1206" s="4"/>
      <c r="D1206" s="4"/>
      <c r="E1206" s="4"/>
      <c r="F1206" s="24"/>
      <c r="G1206" s="8"/>
      <c r="H1206" s="9"/>
      <c r="I1206" s="8"/>
      <c r="J1206" s="10"/>
      <c r="K1206" s="8"/>
      <c r="L1206" s="8"/>
      <c r="M1206" s="8"/>
      <c r="N1206" s="11"/>
      <c r="O1206" s="9"/>
      <c r="P1206" s="12"/>
      <c r="Q1206" s="9"/>
      <c r="R1206" s="13"/>
      <c r="S1206" s="11"/>
      <c r="T1206" s="11"/>
      <c r="U1206" s="9"/>
      <c r="V1206" s="9"/>
      <c r="W1206" s="9"/>
      <c r="X1206" s="16"/>
      <c r="AF1206" s="42">
        <f>IF(BUSCAR!$C$8="FECHA NAC.",$G1206,IF(BUSCAR!$C$8="PASAPORTE EXPIRA",$J1206,IF(BUSCAR!$C$8="LICENCIA EMISION",$L1206,IF(BUSCAR!$C$8="LICENCIA EXPIRA",$M1206,""))))</f>
      </c>
      <c r="AG1206" s="42">
        <f>IF($B1206&amp;$C1206&amp;$D1206&amp;$E1206&amp;$H1206="",0,IF(AND(OR(BUSCAR!$J$5="",ISNUMBER(SEARCH(BUSCAR!$J$5,$AI1206))),OR(BUSCAR!$J$6="",ISNUMBER(SEARCH(BUSCAR!$J$6,$AI1206))),OR(BUSCAR!$J$8="",ISNUMBER(SEARCH(BUSCAR!$J$8,$AI1206))),OR(BUSCAR!$J$9="",ISNUMBER(SEARCH(BUSCAR!$J$9,$AI1206))),OR(NOT(BUSCAR!$J$2),AND(ISNUMBER($AF1206),$AF1206&gt;=BUSCAR!$J$3,$AF1206&lt;=BUSCAR!$J$4))),1,0))</f>
      </c>
      <c r="AH1206" s="42">
        <f t="shared" si="54"/>
      </c>
      <c r="AI1206" s="42">
        <f t="shared" si="55"/>
      </c>
    </row>
    <row r="1207" spans="1:35" x14ac:dyDescent="0.2">
      <c r="A1207" s="66">
        <f t="shared" si="56"/>
      </c>
      <c r="B1207" s="4"/>
      <c r="C1207" s="4"/>
      <c r="D1207" s="4"/>
      <c r="E1207" s="4"/>
      <c r="F1207" s="24"/>
      <c r="G1207" s="8"/>
      <c r="H1207" s="9"/>
      <c r="I1207" s="8"/>
      <c r="J1207" s="10"/>
      <c r="K1207" s="8"/>
      <c r="L1207" s="8"/>
      <c r="M1207" s="8"/>
      <c r="N1207" s="11"/>
      <c r="O1207" s="9"/>
      <c r="P1207" s="12"/>
      <c r="Q1207" s="9"/>
      <c r="R1207" s="13"/>
      <c r="S1207" s="11"/>
      <c r="T1207" s="11"/>
      <c r="U1207" s="9"/>
      <c r="V1207" s="9"/>
      <c r="W1207" s="9"/>
      <c r="X1207" s="16"/>
      <c r="AF1207" s="42">
        <f>IF(BUSCAR!$C$8="FECHA NAC.",$G1207,IF(BUSCAR!$C$8="PASAPORTE EXPIRA",$J1207,IF(BUSCAR!$C$8="LICENCIA EMISION",$L1207,IF(BUSCAR!$C$8="LICENCIA EXPIRA",$M1207,""))))</f>
      </c>
      <c r="AG1207" s="42">
        <f>IF($B1207&amp;$C1207&amp;$D1207&amp;$E1207&amp;$H1207="",0,IF(AND(OR(BUSCAR!$J$5="",ISNUMBER(SEARCH(BUSCAR!$J$5,$AI1207))),OR(BUSCAR!$J$6="",ISNUMBER(SEARCH(BUSCAR!$J$6,$AI1207))),OR(BUSCAR!$J$8="",ISNUMBER(SEARCH(BUSCAR!$J$8,$AI1207))),OR(BUSCAR!$J$9="",ISNUMBER(SEARCH(BUSCAR!$J$9,$AI1207))),OR(NOT(BUSCAR!$J$2),AND(ISNUMBER($AF1207),$AF1207&gt;=BUSCAR!$J$3,$AF1207&lt;=BUSCAR!$J$4))),1,0))</f>
      </c>
      <c r="AH1207" s="42">
        <f t="shared" si="54"/>
      </c>
      <c r="AI1207" s="42">
        <f t="shared" si="55"/>
      </c>
    </row>
    <row r="1208" spans="1:35" x14ac:dyDescent="0.2">
      <c r="A1208" s="66">
        <f t="shared" si="56"/>
      </c>
      <c r="B1208" s="4"/>
      <c r="C1208" s="4"/>
      <c r="D1208" s="4"/>
      <c r="E1208" s="4"/>
      <c r="F1208" s="24"/>
      <c r="G1208" s="8"/>
      <c r="H1208" s="9"/>
      <c r="I1208" s="8"/>
      <c r="J1208" s="10"/>
      <c r="K1208" s="8"/>
      <c r="L1208" s="8"/>
      <c r="M1208" s="8"/>
      <c r="N1208" s="11"/>
      <c r="O1208" s="9"/>
      <c r="P1208" s="12"/>
      <c r="Q1208" s="9"/>
      <c r="R1208" s="13"/>
      <c r="S1208" s="11"/>
      <c r="T1208" s="11"/>
      <c r="U1208" s="9"/>
      <c r="V1208" s="9"/>
      <c r="W1208" s="9"/>
      <c r="X1208" s="16"/>
      <c r="AF1208" s="42">
        <f>IF(BUSCAR!$C$8="FECHA NAC.",$G1208,IF(BUSCAR!$C$8="PASAPORTE EXPIRA",$J1208,IF(BUSCAR!$C$8="LICENCIA EMISION",$L1208,IF(BUSCAR!$C$8="LICENCIA EXPIRA",$M1208,""))))</f>
      </c>
      <c r="AG1208" s="42">
        <f>IF($B1208&amp;$C1208&amp;$D1208&amp;$E1208&amp;$H1208="",0,IF(AND(OR(BUSCAR!$J$5="",ISNUMBER(SEARCH(BUSCAR!$J$5,$AI1208))),OR(BUSCAR!$J$6="",ISNUMBER(SEARCH(BUSCAR!$J$6,$AI1208))),OR(BUSCAR!$J$8="",ISNUMBER(SEARCH(BUSCAR!$J$8,$AI1208))),OR(BUSCAR!$J$9="",ISNUMBER(SEARCH(BUSCAR!$J$9,$AI1208))),OR(NOT(BUSCAR!$J$2),AND(ISNUMBER($AF1208),$AF1208&gt;=BUSCAR!$J$3,$AF1208&lt;=BUSCAR!$J$4))),1,0))</f>
      </c>
      <c r="AH1208" s="42">
        <f t="shared" si="54"/>
      </c>
      <c r="AI1208" s="42">
        <f t="shared" si="55"/>
      </c>
    </row>
    <row r="1209" spans="1:35" x14ac:dyDescent="0.2">
      <c r="A1209" s="66">
        <f t="shared" si="56"/>
      </c>
      <c r="B1209" s="4"/>
      <c r="C1209" s="4"/>
      <c r="D1209" s="4"/>
      <c r="E1209" s="4"/>
      <c r="F1209" s="24"/>
      <c r="G1209" s="8"/>
      <c r="H1209" s="9"/>
      <c r="I1209" s="8"/>
      <c r="J1209" s="10"/>
      <c r="K1209" s="8"/>
      <c r="L1209" s="8"/>
      <c r="M1209" s="8"/>
      <c r="N1209" s="11"/>
      <c r="O1209" s="9"/>
      <c r="P1209" s="12"/>
      <c r="Q1209" s="9"/>
      <c r="R1209" s="13"/>
      <c r="S1209" s="11"/>
      <c r="T1209" s="11"/>
      <c r="U1209" s="9"/>
      <c r="V1209" s="9"/>
      <c r="W1209" s="9"/>
      <c r="X1209" s="16"/>
      <c r="AF1209" s="42">
        <f>IF(BUSCAR!$C$8="FECHA NAC.",$G1209,IF(BUSCAR!$C$8="PASAPORTE EXPIRA",$J1209,IF(BUSCAR!$C$8="LICENCIA EMISION",$L1209,IF(BUSCAR!$C$8="LICENCIA EXPIRA",$M1209,""))))</f>
      </c>
      <c r="AG1209" s="42">
        <f>IF($B1209&amp;$C1209&amp;$D1209&amp;$E1209&amp;$H1209="",0,IF(AND(OR(BUSCAR!$J$5="",ISNUMBER(SEARCH(BUSCAR!$J$5,$AI1209))),OR(BUSCAR!$J$6="",ISNUMBER(SEARCH(BUSCAR!$J$6,$AI1209))),OR(BUSCAR!$J$8="",ISNUMBER(SEARCH(BUSCAR!$J$8,$AI1209))),OR(BUSCAR!$J$9="",ISNUMBER(SEARCH(BUSCAR!$J$9,$AI1209))),OR(NOT(BUSCAR!$J$2),AND(ISNUMBER($AF1209),$AF1209&gt;=BUSCAR!$J$3,$AF1209&lt;=BUSCAR!$J$4))),1,0))</f>
      </c>
      <c r="AH1209" s="42">
        <f t="shared" si="54"/>
      </c>
      <c r="AI1209" s="42">
        <f t="shared" si="55"/>
      </c>
    </row>
    <row r="1210" spans="1:35" x14ac:dyDescent="0.2">
      <c r="A1210" s="66">
        <f t="shared" si="56"/>
      </c>
      <c r="B1210" s="4"/>
      <c r="C1210" s="4"/>
      <c r="D1210" s="4"/>
      <c r="E1210" s="4"/>
      <c r="F1210" s="24"/>
      <c r="G1210" s="8"/>
      <c r="H1210" s="9"/>
      <c r="I1210" s="8"/>
      <c r="J1210" s="10"/>
      <c r="K1210" s="8"/>
      <c r="L1210" s="8"/>
      <c r="M1210" s="8"/>
      <c r="N1210" s="11"/>
      <c r="O1210" s="9"/>
      <c r="P1210" s="12"/>
      <c r="Q1210" s="9"/>
      <c r="R1210" s="13"/>
      <c r="S1210" s="11"/>
      <c r="T1210" s="11"/>
      <c r="U1210" s="9"/>
      <c r="V1210" s="9"/>
      <c r="W1210" s="9"/>
      <c r="X1210" s="16"/>
      <c r="AF1210" s="42">
        <f>IF(BUSCAR!$C$8="FECHA NAC.",$G1210,IF(BUSCAR!$C$8="PASAPORTE EXPIRA",$J1210,IF(BUSCAR!$C$8="LICENCIA EMISION",$L1210,IF(BUSCAR!$C$8="LICENCIA EXPIRA",$M1210,""))))</f>
      </c>
      <c r="AG1210" s="42">
        <f>IF($B1210&amp;$C1210&amp;$D1210&amp;$E1210&amp;$H1210="",0,IF(AND(OR(BUSCAR!$J$5="",ISNUMBER(SEARCH(BUSCAR!$J$5,$AI1210))),OR(BUSCAR!$J$6="",ISNUMBER(SEARCH(BUSCAR!$J$6,$AI1210))),OR(BUSCAR!$J$8="",ISNUMBER(SEARCH(BUSCAR!$J$8,$AI1210))),OR(BUSCAR!$J$9="",ISNUMBER(SEARCH(BUSCAR!$J$9,$AI1210))),OR(NOT(BUSCAR!$J$2),AND(ISNUMBER($AF1210),$AF1210&gt;=BUSCAR!$J$3,$AF1210&lt;=BUSCAR!$J$4))),1,0))</f>
      </c>
      <c r="AH1210" s="42">
        <f t="shared" si="54"/>
      </c>
      <c r="AI1210" s="42">
        <f t="shared" si="55"/>
      </c>
    </row>
    <row r="1211" spans="1:35" x14ac:dyDescent="0.2">
      <c r="A1211" s="66">
        <f t="shared" si="56"/>
      </c>
      <c r="B1211" s="4"/>
      <c r="C1211" s="4"/>
      <c r="D1211" s="4"/>
      <c r="E1211" s="4"/>
      <c r="F1211" s="24"/>
      <c r="G1211" s="8"/>
      <c r="H1211" s="9"/>
      <c r="I1211" s="8"/>
      <c r="J1211" s="10"/>
      <c r="K1211" s="8"/>
      <c r="L1211" s="8"/>
      <c r="M1211" s="8"/>
      <c r="N1211" s="11"/>
      <c r="O1211" s="9"/>
      <c r="P1211" s="12"/>
      <c r="Q1211" s="9"/>
      <c r="R1211" s="13"/>
      <c r="S1211" s="11"/>
      <c r="T1211" s="11"/>
      <c r="U1211" s="9"/>
      <c r="V1211" s="9"/>
      <c r="W1211" s="9"/>
      <c r="X1211" s="16"/>
      <c r="AF1211" s="42">
        <f>IF(BUSCAR!$C$8="FECHA NAC.",$G1211,IF(BUSCAR!$C$8="PASAPORTE EXPIRA",$J1211,IF(BUSCAR!$C$8="LICENCIA EMISION",$L1211,IF(BUSCAR!$C$8="LICENCIA EXPIRA",$M1211,""))))</f>
      </c>
      <c r="AG1211" s="42">
        <f>IF($B1211&amp;$C1211&amp;$D1211&amp;$E1211&amp;$H1211="",0,IF(AND(OR(BUSCAR!$J$5="",ISNUMBER(SEARCH(BUSCAR!$J$5,$AI1211))),OR(BUSCAR!$J$6="",ISNUMBER(SEARCH(BUSCAR!$J$6,$AI1211))),OR(BUSCAR!$J$8="",ISNUMBER(SEARCH(BUSCAR!$J$8,$AI1211))),OR(BUSCAR!$J$9="",ISNUMBER(SEARCH(BUSCAR!$J$9,$AI1211))),OR(NOT(BUSCAR!$J$2),AND(ISNUMBER($AF1211),$AF1211&gt;=BUSCAR!$J$3,$AF1211&lt;=BUSCAR!$J$4))),1,0))</f>
      </c>
      <c r="AH1211" s="42">
        <f t="shared" si="54"/>
      </c>
      <c r="AI1211" s="42">
        <f t="shared" si="55"/>
      </c>
    </row>
    <row r="1212" spans="1:35" x14ac:dyDescent="0.2">
      <c r="A1212" s="66">
        <f t="shared" si="56"/>
      </c>
      <c r="B1212" s="4"/>
      <c r="C1212" s="4"/>
      <c r="D1212" s="4"/>
      <c r="E1212" s="4"/>
      <c r="F1212" s="24"/>
      <c r="G1212" s="8"/>
      <c r="H1212" s="9"/>
      <c r="I1212" s="8"/>
      <c r="J1212" s="10"/>
      <c r="K1212" s="8"/>
      <c r="L1212" s="8"/>
      <c r="M1212" s="8"/>
      <c r="N1212" s="11"/>
      <c r="O1212" s="9"/>
      <c r="P1212" s="12"/>
      <c r="Q1212" s="9"/>
      <c r="R1212" s="13"/>
      <c r="S1212" s="11"/>
      <c r="T1212" s="11"/>
      <c r="U1212" s="9"/>
      <c r="V1212" s="9"/>
      <c r="W1212" s="9"/>
      <c r="X1212" s="16"/>
      <c r="AF1212" s="42">
        <f>IF(BUSCAR!$C$8="FECHA NAC.",$G1212,IF(BUSCAR!$C$8="PASAPORTE EXPIRA",$J1212,IF(BUSCAR!$C$8="LICENCIA EMISION",$L1212,IF(BUSCAR!$C$8="LICENCIA EXPIRA",$M1212,""))))</f>
      </c>
      <c r="AG1212" s="42">
        <f>IF($B1212&amp;$C1212&amp;$D1212&amp;$E1212&amp;$H1212="",0,IF(AND(OR(BUSCAR!$J$5="",ISNUMBER(SEARCH(BUSCAR!$J$5,$AI1212))),OR(BUSCAR!$J$6="",ISNUMBER(SEARCH(BUSCAR!$J$6,$AI1212))),OR(BUSCAR!$J$8="",ISNUMBER(SEARCH(BUSCAR!$J$8,$AI1212))),OR(BUSCAR!$J$9="",ISNUMBER(SEARCH(BUSCAR!$J$9,$AI1212))),OR(NOT(BUSCAR!$J$2),AND(ISNUMBER($AF1212),$AF1212&gt;=BUSCAR!$J$3,$AF1212&lt;=BUSCAR!$J$4))),1,0))</f>
      </c>
      <c r="AH1212" s="42">
        <f t="shared" si="54"/>
      </c>
      <c r="AI1212" s="42">
        <f t="shared" si="55"/>
      </c>
    </row>
    <row r="1213" spans="1:35" x14ac:dyDescent="0.2">
      <c r="A1213" s="66">
        <f t="shared" si="56"/>
      </c>
      <c r="B1213" s="4"/>
      <c r="C1213" s="4"/>
      <c r="D1213" s="4"/>
      <c r="E1213" s="4"/>
      <c r="F1213" s="24"/>
      <c r="G1213" s="8"/>
      <c r="H1213" s="9"/>
      <c r="I1213" s="8"/>
      <c r="J1213" s="10"/>
      <c r="K1213" s="8"/>
      <c r="L1213" s="8"/>
      <c r="M1213" s="8"/>
      <c r="N1213" s="11"/>
      <c r="O1213" s="9"/>
      <c r="P1213" s="12"/>
      <c r="Q1213" s="9"/>
      <c r="R1213" s="13"/>
      <c r="S1213" s="11"/>
      <c r="T1213" s="11"/>
      <c r="U1213" s="9"/>
      <c r="V1213" s="9"/>
      <c r="W1213" s="9"/>
      <c r="X1213" s="16"/>
      <c r="AF1213" s="42">
        <f>IF(BUSCAR!$C$8="FECHA NAC.",$G1213,IF(BUSCAR!$C$8="PASAPORTE EXPIRA",$J1213,IF(BUSCAR!$C$8="LICENCIA EMISION",$L1213,IF(BUSCAR!$C$8="LICENCIA EXPIRA",$M1213,""))))</f>
      </c>
      <c r="AG1213" s="42">
        <f>IF($B1213&amp;$C1213&amp;$D1213&amp;$E1213&amp;$H1213="",0,IF(AND(OR(BUSCAR!$J$5="",ISNUMBER(SEARCH(BUSCAR!$J$5,$AI1213))),OR(BUSCAR!$J$6="",ISNUMBER(SEARCH(BUSCAR!$J$6,$AI1213))),OR(BUSCAR!$J$8="",ISNUMBER(SEARCH(BUSCAR!$J$8,$AI1213))),OR(BUSCAR!$J$9="",ISNUMBER(SEARCH(BUSCAR!$J$9,$AI1213))),OR(NOT(BUSCAR!$J$2),AND(ISNUMBER($AF1213),$AF1213&gt;=BUSCAR!$J$3,$AF1213&lt;=BUSCAR!$J$4))),1,0))</f>
      </c>
      <c r="AH1213" s="42">
        <f t="shared" si="54"/>
      </c>
      <c r="AI1213" s="42">
        <f t="shared" si="55"/>
      </c>
    </row>
    <row r="1214" spans="1:35" x14ac:dyDescent="0.2">
      <c r="A1214" s="66">
        <f t="shared" si="56"/>
      </c>
      <c r="B1214" s="4"/>
      <c r="C1214" s="4"/>
      <c r="D1214" s="4"/>
      <c r="E1214" s="4"/>
      <c r="F1214" s="24"/>
      <c r="G1214" s="8"/>
      <c r="H1214" s="9"/>
      <c r="I1214" s="8"/>
      <c r="J1214" s="10"/>
      <c r="K1214" s="8"/>
      <c r="L1214" s="8"/>
      <c r="M1214" s="8"/>
      <c r="N1214" s="11"/>
      <c r="O1214" s="9"/>
      <c r="P1214" s="12"/>
      <c r="Q1214" s="9"/>
      <c r="R1214" s="13"/>
      <c r="S1214" s="11"/>
      <c r="T1214" s="11"/>
      <c r="U1214" s="9"/>
      <c r="V1214" s="9"/>
      <c r="W1214" s="9"/>
      <c r="X1214" s="16"/>
      <c r="AF1214" s="42">
        <f>IF(BUSCAR!$C$8="FECHA NAC.",$G1214,IF(BUSCAR!$C$8="PASAPORTE EXPIRA",$J1214,IF(BUSCAR!$C$8="LICENCIA EMISION",$L1214,IF(BUSCAR!$C$8="LICENCIA EXPIRA",$M1214,""))))</f>
      </c>
      <c r="AG1214" s="42">
        <f>IF($B1214&amp;$C1214&amp;$D1214&amp;$E1214&amp;$H1214="",0,IF(AND(OR(BUSCAR!$J$5="",ISNUMBER(SEARCH(BUSCAR!$J$5,$AI1214))),OR(BUSCAR!$J$6="",ISNUMBER(SEARCH(BUSCAR!$J$6,$AI1214))),OR(BUSCAR!$J$8="",ISNUMBER(SEARCH(BUSCAR!$J$8,$AI1214))),OR(BUSCAR!$J$9="",ISNUMBER(SEARCH(BUSCAR!$J$9,$AI1214))),OR(NOT(BUSCAR!$J$2),AND(ISNUMBER($AF1214),$AF1214&gt;=BUSCAR!$J$3,$AF1214&lt;=BUSCAR!$J$4))),1,0))</f>
      </c>
      <c r="AH1214" s="42">
        <f t="shared" si="54"/>
      </c>
      <c r="AI1214" s="42">
        <f t="shared" si="55"/>
      </c>
    </row>
    <row r="1215" spans="1:35" x14ac:dyDescent="0.2">
      <c r="A1215" s="66">
        <f t="shared" si="56"/>
      </c>
      <c r="B1215" s="4"/>
      <c r="C1215" s="4"/>
      <c r="D1215" s="4"/>
      <c r="E1215" s="4"/>
      <c r="F1215" s="24"/>
      <c r="G1215" s="8"/>
      <c r="H1215" s="9"/>
      <c r="I1215" s="8"/>
      <c r="J1215" s="10"/>
      <c r="K1215" s="8"/>
      <c r="L1215" s="8"/>
      <c r="M1215" s="8"/>
      <c r="N1215" s="11"/>
      <c r="O1215" s="9"/>
      <c r="P1215" s="12"/>
      <c r="Q1215" s="9"/>
      <c r="R1215" s="13"/>
      <c r="S1215" s="11"/>
      <c r="T1215" s="11"/>
      <c r="U1215" s="9"/>
      <c r="V1215" s="9"/>
      <c r="W1215" s="9"/>
      <c r="X1215" s="16"/>
      <c r="AF1215" s="42">
        <f>IF(BUSCAR!$C$8="FECHA NAC.",$G1215,IF(BUSCAR!$C$8="PASAPORTE EXPIRA",$J1215,IF(BUSCAR!$C$8="LICENCIA EMISION",$L1215,IF(BUSCAR!$C$8="LICENCIA EXPIRA",$M1215,""))))</f>
      </c>
      <c r="AG1215" s="42">
        <f>IF($B1215&amp;$C1215&amp;$D1215&amp;$E1215&amp;$H1215="",0,IF(AND(OR(BUSCAR!$J$5="",ISNUMBER(SEARCH(BUSCAR!$J$5,$AI1215))),OR(BUSCAR!$J$6="",ISNUMBER(SEARCH(BUSCAR!$J$6,$AI1215))),OR(BUSCAR!$J$8="",ISNUMBER(SEARCH(BUSCAR!$J$8,$AI1215))),OR(BUSCAR!$J$9="",ISNUMBER(SEARCH(BUSCAR!$J$9,$AI1215))),OR(NOT(BUSCAR!$J$2),AND(ISNUMBER($AF1215),$AF1215&gt;=BUSCAR!$J$3,$AF1215&lt;=BUSCAR!$J$4))),1,0))</f>
      </c>
      <c r="AH1215" s="42">
        <f t="shared" si="54"/>
      </c>
      <c r="AI1215" s="42">
        <f t="shared" si="55"/>
      </c>
    </row>
    <row r="1216" spans="1:35" x14ac:dyDescent="0.2">
      <c r="A1216" s="66">
        <f t="shared" si="56"/>
      </c>
      <c r="B1216" s="4"/>
      <c r="C1216" s="4"/>
      <c r="D1216" s="4"/>
      <c r="E1216" s="4"/>
      <c r="F1216" s="24"/>
      <c r="G1216" s="8"/>
      <c r="H1216" s="9"/>
      <c r="I1216" s="8"/>
      <c r="J1216" s="10"/>
      <c r="K1216" s="8"/>
      <c r="L1216" s="8"/>
      <c r="M1216" s="8"/>
      <c r="N1216" s="11"/>
      <c r="O1216" s="9"/>
      <c r="P1216" s="12"/>
      <c r="Q1216" s="9"/>
      <c r="R1216" s="13"/>
      <c r="S1216" s="11"/>
      <c r="T1216" s="11"/>
      <c r="U1216" s="9"/>
      <c r="V1216" s="9"/>
      <c r="W1216" s="9"/>
      <c r="X1216" s="16"/>
      <c r="AF1216" s="42">
        <f>IF(BUSCAR!$C$8="FECHA NAC.",$G1216,IF(BUSCAR!$C$8="PASAPORTE EXPIRA",$J1216,IF(BUSCAR!$C$8="LICENCIA EMISION",$L1216,IF(BUSCAR!$C$8="LICENCIA EXPIRA",$M1216,""))))</f>
      </c>
      <c r="AG1216" s="42">
        <f>IF($B1216&amp;$C1216&amp;$D1216&amp;$E1216&amp;$H1216="",0,IF(AND(OR(BUSCAR!$J$5="",ISNUMBER(SEARCH(BUSCAR!$J$5,$AI1216))),OR(BUSCAR!$J$6="",ISNUMBER(SEARCH(BUSCAR!$J$6,$AI1216))),OR(BUSCAR!$J$8="",ISNUMBER(SEARCH(BUSCAR!$J$8,$AI1216))),OR(BUSCAR!$J$9="",ISNUMBER(SEARCH(BUSCAR!$J$9,$AI1216))),OR(NOT(BUSCAR!$J$2),AND(ISNUMBER($AF1216),$AF1216&gt;=BUSCAR!$J$3,$AF1216&lt;=BUSCAR!$J$4))),1,0))</f>
      </c>
      <c r="AH1216" s="42">
        <f t="shared" si="54"/>
      </c>
      <c r="AI1216" s="42">
        <f t="shared" si="55"/>
      </c>
    </row>
    <row r="1217" spans="1:35" x14ac:dyDescent="0.2">
      <c r="A1217" s="66">
        <f t="shared" si="56"/>
      </c>
      <c r="B1217" s="4"/>
      <c r="C1217" s="4"/>
      <c r="D1217" s="4"/>
      <c r="E1217" s="4"/>
      <c r="F1217" s="24"/>
      <c r="G1217" s="8"/>
      <c r="H1217" s="9"/>
      <c r="I1217" s="8"/>
      <c r="J1217" s="10"/>
      <c r="K1217" s="8"/>
      <c r="L1217" s="8"/>
      <c r="M1217" s="8"/>
      <c r="N1217" s="11"/>
      <c r="O1217" s="9"/>
      <c r="P1217" s="12"/>
      <c r="Q1217" s="9"/>
      <c r="R1217" s="13"/>
      <c r="S1217" s="11"/>
      <c r="T1217" s="11"/>
      <c r="U1217" s="9"/>
      <c r="V1217" s="9"/>
      <c r="W1217" s="9"/>
      <c r="X1217" s="16"/>
      <c r="AF1217" s="42">
        <f>IF(BUSCAR!$C$8="FECHA NAC.",$G1217,IF(BUSCAR!$C$8="PASAPORTE EXPIRA",$J1217,IF(BUSCAR!$C$8="LICENCIA EMISION",$L1217,IF(BUSCAR!$C$8="LICENCIA EXPIRA",$M1217,""))))</f>
      </c>
      <c r="AG1217" s="42">
        <f>IF($B1217&amp;$C1217&amp;$D1217&amp;$E1217&amp;$H1217="",0,IF(AND(OR(BUSCAR!$J$5="",ISNUMBER(SEARCH(BUSCAR!$J$5,$AI1217))),OR(BUSCAR!$J$6="",ISNUMBER(SEARCH(BUSCAR!$J$6,$AI1217))),OR(BUSCAR!$J$8="",ISNUMBER(SEARCH(BUSCAR!$J$8,$AI1217))),OR(BUSCAR!$J$9="",ISNUMBER(SEARCH(BUSCAR!$J$9,$AI1217))),OR(NOT(BUSCAR!$J$2),AND(ISNUMBER($AF1217),$AF1217&gt;=BUSCAR!$J$3,$AF1217&lt;=BUSCAR!$J$4))),1,0))</f>
      </c>
      <c r="AH1217" s="42">
        <f t="shared" si="54"/>
      </c>
      <c r="AI1217" s="42">
        <f t="shared" si="55"/>
      </c>
    </row>
    <row r="1218" spans="1:35" x14ac:dyDescent="0.2">
      <c r="A1218" s="66">
        <f t="shared" si="56"/>
      </c>
      <c r="B1218" s="4"/>
      <c r="C1218" s="4"/>
      <c r="D1218" s="4"/>
      <c r="E1218" s="4"/>
      <c r="F1218" s="24"/>
      <c r="G1218" s="8"/>
      <c r="H1218" s="9"/>
      <c r="I1218" s="8"/>
      <c r="J1218" s="10"/>
      <c r="K1218" s="8"/>
      <c r="L1218" s="8"/>
      <c r="M1218" s="8"/>
      <c r="N1218" s="11"/>
      <c r="O1218" s="9"/>
      <c r="P1218" s="12"/>
      <c r="Q1218" s="9"/>
      <c r="R1218" s="13"/>
      <c r="S1218" s="11"/>
      <c r="T1218" s="11"/>
      <c r="U1218" s="9"/>
      <c r="V1218" s="9"/>
      <c r="W1218" s="9"/>
      <c r="X1218" s="16"/>
      <c r="AF1218" s="42">
        <f>IF(BUSCAR!$C$8="FECHA NAC.",$G1218,IF(BUSCAR!$C$8="PASAPORTE EXPIRA",$J1218,IF(BUSCAR!$C$8="LICENCIA EMISION",$L1218,IF(BUSCAR!$C$8="LICENCIA EXPIRA",$M1218,""))))</f>
      </c>
      <c r="AG1218" s="42">
        <f>IF($B1218&amp;$C1218&amp;$D1218&amp;$E1218&amp;$H1218="",0,IF(AND(OR(BUSCAR!$J$5="",ISNUMBER(SEARCH(BUSCAR!$J$5,$AI1218))),OR(BUSCAR!$J$6="",ISNUMBER(SEARCH(BUSCAR!$J$6,$AI1218))),OR(BUSCAR!$J$8="",ISNUMBER(SEARCH(BUSCAR!$J$8,$AI1218))),OR(BUSCAR!$J$9="",ISNUMBER(SEARCH(BUSCAR!$J$9,$AI1218))),OR(NOT(BUSCAR!$J$2),AND(ISNUMBER($AF1218),$AF1218&gt;=BUSCAR!$J$3,$AF1218&lt;=BUSCAR!$J$4))),1,0))</f>
      </c>
      <c r="AH1218" s="42">
        <f t="shared" si="54"/>
      </c>
      <c r="AI1218" s="42">
        <f t="shared" si="55"/>
      </c>
    </row>
    <row r="1219" spans="1:35" x14ac:dyDescent="0.2">
      <c r="A1219" s="66">
        <f t="shared" si="56"/>
      </c>
      <c r="B1219" s="4"/>
      <c r="C1219" s="4"/>
      <c r="D1219" s="4"/>
      <c r="E1219" s="4"/>
      <c r="F1219" s="24"/>
      <c r="G1219" s="8"/>
      <c r="H1219" s="9"/>
      <c r="I1219" s="8"/>
      <c r="J1219" s="10"/>
      <c r="K1219" s="8"/>
      <c r="L1219" s="8"/>
      <c r="M1219" s="8"/>
      <c r="N1219" s="11"/>
      <c r="O1219" s="9"/>
      <c r="P1219" s="12"/>
      <c r="Q1219" s="9"/>
      <c r="R1219" s="13"/>
      <c r="S1219" s="11"/>
      <c r="T1219" s="11"/>
      <c r="U1219" s="9"/>
      <c r="V1219" s="9"/>
      <c r="W1219" s="9"/>
      <c r="X1219" s="16"/>
      <c r="AF1219" s="42">
        <f>IF(BUSCAR!$C$8="FECHA NAC.",$G1219,IF(BUSCAR!$C$8="PASAPORTE EXPIRA",$J1219,IF(BUSCAR!$C$8="LICENCIA EMISION",$L1219,IF(BUSCAR!$C$8="LICENCIA EXPIRA",$M1219,""))))</f>
      </c>
      <c r="AG1219" s="42">
        <f>IF($B1219&amp;$C1219&amp;$D1219&amp;$E1219&amp;$H1219="",0,IF(AND(OR(BUSCAR!$J$5="",ISNUMBER(SEARCH(BUSCAR!$J$5,$AI1219))),OR(BUSCAR!$J$6="",ISNUMBER(SEARCH(BUSCAR!$J$6,$AI1219))),OR(BUSCAR!$J$8="",ISNUMBER(SEARCH(BUSCAR!$J$8,$AI1219))),OR(BUSCAR!$J$9="",ISNUMBER(SEARCH(BUSCAR!$J$9,$AI1219))),OR(NOT(BUSCAR!$J$2),AND(ISNUMBER($AF1219),$AF1219&gt;=BUSCAR!$J$3,$AF1219&lt;=BUSCAR!$J$4))),1,0))</f>
      </c>
      <c r="AH1219" s="42">
        <f t="shared" ref="AH1219:AH1282" si="57">AH1218+AG1219</f>
      </c>
      <c r="AI1219" s="42">
        <f t="shared" ref="AI1219:AI1282" si="58">IF($B1219&amp;" "&amp;$C1219&amp;" "&amp;$D1219&amp;" "&amp;$E1219&amp;" "&amp;$H1219&amp;" "&amp;$K1219&amp;" "&amp;$R1219&amp;" "&amp;$AC1219&amp;" "&amp;$AD1219="","",SUBSTITUTE(SUBSTITUTE(SUBSTITUTE(SUBSTITUTE(SUBSTITUTE(SUBSTITUTE(SUBSTITUTE(UPPER($B1219&amp;" "&amp;$C1219&amp;" "&amp;$D1219&amp;" "&amp;$E1219&amp;" "&amp;$H1219&amp;" "&amp;$K1219&amp;" "&amp;$R1219&amp;" "&amp;$AC1219&amp;" "&amp;$AD1219),"Á","A"),"É","E"),"Í","I"),"Ó","O"),"Ú","U"),"Ü","U"),"Ñ","N"))</f>
      </c>
    </row>
    <row r="1220" spans="1:35" x14ac:dyDescent="0.2">
      <c r="A1220" s="66">
        <f t="shared" ref="A1220:A1283" si="59">A1219+1</f>
      </c>
      <c r="B1220" s="4"/>
      <c r="C1220" s="4"/>
      <c r="D1220" s="4"/>
      <c r="E1220" s="4"/>
      <c r="F1220" s="24"/>
      <c r="G1220" s="8"/>
      <c r="H1220" s="9"/>
      <c r="I1220" s="8"/>
      <c r="J1220" s="10"/>
      <c r="K1220" s="8"/>
      <c r="L1220" s="8"/>
      <c r="M1220" s="8"/>
      <c r="N1220" s="11"/>
      <c r="O1220" s="9"/>
      <c r="P1220" s="12"/>
      <c r="Q1220" s="9"/>
      <c r="R1220" s="13"/>
      <c r="S1220" s="11"/>
      <c r="T1220" s="11"/>
      <c r="U1220" s="9"/>
      <c r="V1220" s="9"/>
      <c r="W1220" s="9"/>
      <c r="X1220" s="16"/>
      <c r="AF1220" s="42">
        <f>IF(BUSCAR!$C$8="FECHA NAC.",$G1220,IF(BUSCAR!$C$8="PASAPORTE EXPIRA",$J1220,IF(BUSCAR!$C$8="LICENCIA EMISION",$L1220,IF(BUSCAR!$C$8="LICENCIA EXPIRA",$M1220,""))))</f>
      </c>
      <c r="AG1220" s="42">
        <f>IF($B1220&amp;$C1220&amp;$D1220&amp;$E1220&amp;$H1220="",0,IF(AND(OR(BUSCAR!$J$5="",ISNUMBER(SEARCH(BUSCAR!$J$5,$AI1220))),OR(BUSCAR!$J$6="",ISNUMBER(SEARCH(BUSCAR!$J$6,$AI1220))),OR(BUSCAR!$J$8="",ISNUMBER(SEARCH(BUSCAR!$J$8,$AI1220))),OR(BUSCAR!$J$9="",ISNUMBER(SEARCH(BUSCAR!$J$9,$AI1220))),OR(NOT(BUSCAR!$J$2),AND(ISNUMBER($AF1220),$AF1220&gt;=BUSCAR!$J$3,$AF1220&lt;=BUSCAR!$J$4))),1,0))</f>
      </c>
      <c r="AH1220" s="42">
        <f t="shared" si="57"/>
      </c>
      <c r="AI1220" s="42">
        <f t="shared" si="58"/>
      </c>
    </row>
    <row r="1221" spans="1:35" x14ac:dyDescent="0.2">
      <c r="A1221" s="66">
        <f t="shared" si="59"/>
      </c>
      <c r="B1221" s="4"/>
      <c r="C1221" s="4"/>
      <c r="D1221" s="4"/>
      <c r="E1221" s="4"/>
      <c r="F1221" s="24"/>
      <c r="G1221" s="8"/>
      <c r="H1221" s="9"/>
      <c r="I1221" s="8"/>
      <c r="J1221" s="10"/>
      <c r="K1221" s="8"/>
      <c r="L1221" s="8"/>
      <c r="M1221" s="8"/>
      <c r="N1221" s="11"/>
      <c r="O1221" s="9"/>
      <c r="P1221" s="12"/>
      <c r="Q1221" s="9"/>
      <c r="R1221" s="13"/>
      <c r="S1221" s="11"/>
      <c r="T1221" s="11"/>
      <c r="U1221" s="9"/>
      <c r="V1221" s="9"/>
      <c r="W1221" s="9"/>
      <c r="X1221" s="16"/>
      <c r="AF1221" s="42">
        <f>IF(BUSCAR!$C$8="FECHA NAC.",$G1221,IF(BUSCAR!$C$8="PASAPORTE EXPIRA",$J1221,IF(BUSCAR!$C$8="LICENCIA EMISION",$L1221,IF(BUSCAR!$C$8="LICENCIA EXPIRA",$M1221,""))))</f>
      </c>
      <c r="AG1221" s="42">
        <f>IF($B1221&amp;$C1221&amp;$D1221&amp;$E1221&amp;$H1221="",0,IF(AND(OR(BUSCAR!$J$5="",ISNUMBER(SEARCH(BUSCAR!$J$5,$AI1221))),OR(BUSCAR!$J$6="",ISNUMBER(SEARCH(BUSCAR!$J$6,$AI1221))),OR(BUSCAR!$J$8="",ISNUMBER(SEARCH(BUSCAR!$J$8,$AI1221))),OR(BUSCAR!$J$9="",ISNUMBER(SEARCH(BUSCAR!$J$9,$AI1221))),OR(NOT(BUSCAR!$J$2),AND(ISNUMBER($AF1221),$AF1221&gt;=BUSCAR!$J$3,$AF1221&lt;=BUSCAR!$J$4))),1,0))</f>
      </c>
      <c r="AH1221" s="42">
        <f t="shared" si="57"/>
      </c>
      <c r="AI1221" s="42">
        <f t="shared" si="58"/>
      </c>
    </row>
    <row r="1222" spans="1:35" x14ac:dyDescent="0.2">
      <c r="A1222" s="66">
        <f t="shared" si="59"/>
      </c>
      <c r="B1222" s="4"/>
      <c r="C1222" s="4"/>
      <c r="D1222" s="4"/>
      <c r="E1222" s="4"/>
      <c r="F1222" s="24"/>
      <c r="G1222" s="8"/>
      <c r="H1222" s="9"/>
      <c r="I1222" s="8"/>
      <c r="J1222" s="10"/>
      <c r="K1222" s="8"/>
      <c r="L1222" s="8"/>
      <c r="M1222" s="8"/>
      <c r="N1222" s="11"/>
      <c r="O1222" s="9"/>
      <c r="P1222" s="12"/>
      <c r="Q1222" s="9"/>
      <c r="R1222" s="13"/>
      <c r="S1222" s="11"/>
      <c r="T1222" s="11"/>
      <c r="U1222" s="9"/>
      <c r="V1222" s="9"/>
      <c r="W1222" s="9"/>
      <c r="X1222" s="16"/>
      <c r="AF1222" s="42">
        <f>IF(BUSCAR!$C$8="FECHA NAC.",$G1222,IF(BUSCAR!$C$8="PASAPORTE EXPIRA",$J1222,IF(BUSCAR!$C$8="LICENCIA EMISION",$L1222,IF(BUSCAR!$C$8="LICENCIA EXPIRA",$M1222,""))))</f>
      </c>
      <c r="AG1222" s="42">
        <f>IF($B1222&amp;$C1222&amp;$D1222&amp;$E1222&amp;$H1222="",0,IF(AND(OR(BUSCAR!$J$5="",ISNUMBER(SEARCH(BUSCAR!$J$5,$AI1222))),OR(BUSCAR!$J$6="",ISNUMBER(SEARCH(BUSCAR!$J$6,$AI1222))),OR(BUSCAR!$J$8="",ISNUMBER(SEARCH(BUSCAR!$J$8,$AI1222))),OR(BUSCAR!$J$9="",ISNUMBER(SEARCH(BUSCAR!$J$9,$AI1222))),OR(NOT(BUSCAR!$J$2),AND(ISNUMBER($AF1222),$AF1222&gt;=BUSCAR!$J$3,$AF1222&lt;=BUSCAR!$J$4))),1,0))</f>
      </c>
      <c r="AH1222" s="42">
        <f t="shared" si="57"/>
      </c>
      <c r="AI1222" s="42">
        <f t="shared" si="58"/>
      </c>
    </row>
    <row r="1223" spans="1:35" x14ac:dyDescent="0.2">
      <c r="A1223" s="66">
        <f t="shared" si="59"/>
      </c>
      <c r="B1223" s="4"/>
      <c r="C1223" s="4"/>
      <c r="D1223" s="4"/>
      <c r="E1223" s="4"/>
      <c r="F1223" s="24"/>
      <c r="G1223" s="8"/>
      <c r="H1223" s="9"/>
      <c r="I1223" s="8"/>
      <c r="J1223" s="10"/>
      <c r="K1223" s="8"/>
      <c r="L1223" s="8"/>
      <c r="M1223" s="8"/>
      <c r="N1223" s="11"/>
      <c r="O1223" s="9"/>
      <c r="P1223" s="12"/>
      <c r="Q1223" s="9"/>
      <c r="R1223" s="13"/>
      <c r="S1223" s="11"/>
      <c r="T1223" s="11"/>
      <c r="U1223" s="9"/>
      <c r="V1223" s="9"/>
      <c r="W1223" s="9"/>
      <c r="X1223" s="16"/>
      <c r="AF1223" s="42">
        <f>IF(BUSCAR!$C$8="FECHA NAC.",$G1223,IF(BUSCAR!$C$8="PASAPORTE EXPIRA",$J1223,IF(BUSCAR!$C$8="LICENCIA EMISION",$L1223,IF(BUSCAR!$C$8="LICENCIA EXPIRA",$M1223,""))))</f>
      </c>
      <c r="AG1223" s="42">
        <f>IF($B1223&amp;$C1223&amp;$D1223&amp;$E1223&amp;$H1223="",0,IF(AND(OR(BUSCAR!$J$5="",ISNUMBER(SEARCH(BUSCAR!$J$5,$AI1223))),OR(BUSCAR!$J$6="",ISNUMBER(SEARCH(BUSCAR!$J$6,$AI1223))),OR(BUSCAR!$J$8="",ISNUMBER(SEARCH(BUSCAR!$J$8,$AI1223))),OR(BUSCAR!$J$9="",ISNUMBER(SEARCH(BUSCAR!$J$9,$AI1223))),OR(NOT(BUSCAR!$J$2),AND(ISNUMBER($AF1223),$AF1223&gt;=BUSCAR!$J$3,$AF1223&lt;=BUSCAR!$J$4))),1,0))</f>
      </c>
      <c r="AH1223" s="42">
        <f t="shared" si="57"/>
      </c>
      <c r="AI1223" s="42">
        <f t="shared" si="58"/>
      </c>
    </row>
    <row r="1224" spans="1:35" x14ac:dyDescent="0.2">
      <c r="A1224" s="66">
        <f t="shared" si="59"/>
      </c>
      <c r="B1224" s="4"/>
      <c r="C1224" s="4"/>
      <c r="D1224" s="4"/>
      <c r="E1224" s="4"/>
      <c r="F1224" s="24"/>
      <c r="G1224" s="8"/>
      <c r="H1224" s="9"/>
      <c r="I1224" s="8"/>
      <c r="J1224" s="10"/>
      <c r="K1224" s="8"/>
      <c r="L1224" s="8"/>
      <c r="M1224" s="8"/>
      <c r="N1224" s="11"/>
      <c r="O1224" s="9"/>
      <c r="P1224" s="12"/>
      <c r="Q1224" s="9"/>
      <c r="R1224" s="13"/>
      <c r="S1224" s="11"/>
      <c r="T1224" s="11"/>
      <c r="U1224" s="9"/>
      <c r="V1224" s="9"/>
      <c r="W1224" s="9"/>
      <c r="X1224" s="16"/>
      <c r="AF1224" s="42">
        <f>IF(BUSCAR!$C$8="FECHA NAC.",$G1224,IF(BUSCAR!$C$8="PASAPORTE EXPIRA",$J1224,IF(BUSCAR!$C$8="LICENCIA EMISION",$L1224,IF(BUSCAR!$C$8="LICENCIA EXPIRA",$M1224,""))))</f>
      </c>
      <c r="AG1224" s="42">
        <f>IF($B1224&amp;$C1224&amp;$D1224&amp;$E1224&amp;$H1224="",0,IF(AND(OR(BUSCAR!$J$5="",ISNUMBER(SEARCH(BUSCAR!$J$5,$AI1224))),OR(BUSCAR!$J$6="",ISNUMBER(SEARCH(BUSCAR!$J$6,$AI1224))),OR(BUSCAR!$J$8="",ISNUMBER(SEARCH(BUSCAR!$J$8,$AI1224))),OR(BUSCAR!$J$9="",ISNUMBER(SEARCH(BUSCAR!$J$9,$AI1224))),OR(NOT(BUSCAR!$J$2),AND(ISNUMBER($AF1224),$AF1224&gt;=BUSCAR!$J$3,$AF1224&lt;=BUSCAR!$J$4))),1,0))</f>
      </c>
      <c r="AH1224" s="42">
        <f t="shared" si="57"/>
      </c>
      <c r="AI1224" s="42">
        <f t="shared" si="58"/>
      </c>
    </row>
    <row r="1225" spans="1:35" x14ac:dyDescent="0.2">
      <c r="A1225" s="66">
        <f t="shared" si="59"/>
      </c>
      <c r="B1225" s="4"/>
      <c r="C1225" s="4"/>
      <c r="D1225" s="4"/>
      <c r="E1225" s="4"/>
      <c r="F1225" s="24"/>
      <c r="G1225" s="8"/>
      <c r="H1225" s="9"/>
      <c r="I1225" s="8"/>
      <c r="J1225" s="10"/>
      <c r="K1225" s="8"/>
      <c r="L1225" s="8"/>
      <c r="M1225" s="8"/>
      <c r="N1225" s="11"/>
      <c r="O1225" s="9"/>
      <c r="P1225" s="12"/>
      <c r="Q1225" s="9"/>
      <c r="R1225" s="13"/>
      <c r="S1225" s="11"/>
      <c r="T1225" s="11"/>
      <c r="U1225" s="9"/>
      <c r="V1225" s="9"/>
      <c r="W1225" s="9"/>
      <c r="X1225" s="16"/>
      <c r="AF1225" s="42">
        <f>IF(BUSCAR!$C$8="FECHA NAC.",$G1225,IF(BUSCAR!$C$8="PASAPORTE EXPIRA",$J1225,IF(BUSCAR!$C$8="LICENCIA EMISION",$L1225,IF(BUSCAR!$C$8="LICENCIA EXPIRA",$M1225,""))))</f>
      </c>
      <c r="AG1225" s="42">
        <f>IF($B1225&amp;$C1225&amp;$D1225&amp;$E1225&amp;$H1225="",0,IF(AND(OR(BUSCAR!$J$5="",ISNUMBER(SEARCH(BUSCAR!$J$5,$AI1225))),OR(BUSCAR!$J$6="",ISNUMBER(SEARCH(BUSCAR!$J$6,$AI1225))),OR(BUSCAR!$J$8="",ISNUMBER(SEARCH(BUSCAR!$J$8,$AI1225))),OR(BUSCAR!$J$9="",ISNUMBER(SEARCH(BUSCAR!$J$9,$AI1225))),OR(NOT(BUSCAR!$J$2),AND(ISNUMBER($AF1225),$AF1225&gt;=BUSCAR!$J$3,$AF1225&lt;=BUSCAR!$J$4))),1,0))</f>
      </c>
      <c r="AH1225" s="42">
        <f t="shared" si="57"/>
      </c>
      <c r="AI1225" s="42">
        <f t="shared" si="58"/>
      </c>
    </row>
    <row r="1226" spans="1:35" x14ac:dyDescent="0.2">
      <c r="A1226" s="66">
        <f t="shared" si="59"/>
      </c>
      <c r="B1226" s="4"/>
      <c r="C1226" s="4"/>
      <c r="D1226" s="4"/>
      <c r="E1226" s="4"/>
      <c r="F1226" s="24"/>
      <c r="G1226" s="8"/>
      <c r="H1226" s="9"/>
      <c r="I1226" s="8"/>
      <c r="J1226" s="10"/>
      <c r="K1226" s="8"/>
      <c r="L1226" s="8"/>
      <c r="M1226" s="8"/>
      <c r="N1226" s="11"/>
      <c r="O1226" s="9"/>
      <c r="P1226" s="12"/>
      <c r="Q1226" s="9"/>
      <c r="R1226" s="13"/>
      <c r="S1226" s="11"/>
      <c r="T1226" s="11"/>
      <c r="U1226" s="9"/>
      <c r="V1226" s="9"/>
      <c r="W1226" s="9"/>
      <c r="X1226" s="16"/>
      <c r="AF1226" s="42">
        <f>IF(BUSCAR!$C$8="FECHA NAC.",$G1226,IF(BUSCAR!$C$8="PASAPORTE EXPIRA",$J1226,IF(BUSCAR!$C$8="LICENCIA EMISION",$L1226,IF(BUSCAR!$C$8="LICENCIA EXPIRA",$M1226,""))))</f>
      </c>
      <c r="AG1226" s="42">
        <f>IF($B1226&amp;$C1226&amp;$D1226&amp;$E1226&amp;$H1226="",0,IF(AND(OR(BUSCAR!$J$5="",ISNUMBER(SEARCH(BUSCAR!$J$5,$AI1226))),OR(BUSCAR!$J$6="",ISNUMBER(SEARCH(BUSCAR!$J$6,$AI1226))),OR(BUSCAR!$J$8="",ISNUMBER(SEARCH(BUSCAR!$J$8,$AI1226))),OR(BUSCAR!$J$9="",ISNUMBER(SEARCH(BUSCAR!$J$9,$AI1226))),OR(NOT(BUSCAR!$J$2),AND(ISNUMBER($AF1226),$AF1226&gt;=BUSCAR!$J$3,$AF1226&lt;=BUSCAR!$J$4))),1,0))</f>
      </c>
      <c r="AH1226" s="42">
        <f t="shared" si="57"/>
      </c>
      <c r="AI1226" s="42">
        <f t="shared" si="58"/>
      </c>
    </row>
    <row r="1227" spans="1:35" x14ac:dyDescent="0.2">
      <c r="A1227" s="66">
        <f t="shared" si="59"/>
      </c>
      <c r="B1227" s="4"/>
      <c r="C1227" s="4"/>
      <c r="D1227" s="4"/>
      <c r="E1227" s="4"/>
      <c r="F1227" s="24"/>
      <c r="G1227" s="8"/>
      <c r="H1227" s="9"/>
      <c r="I1227" s="8"/>
      <c r="J1227" s="10"/>
      <c r="K1227" s="8"/>
      <c r="L1227" s="8"/>
      <c r="M1227" s="8"/>
      <c r="N1227" s="11"/>
      <c r="O1227" s="9"/>
      <c r="P1227" s="12"/>
      <c r="Q1227" s="9"/>
      <c r="R1227" s="13"/>
      <c r="S1227" s="11"/>
      <c r="T1227" s="11"/>
      <c r="U1227" s="9"/>
      <c r="V1227" s="9"/>
      <c r="W1227" s="9"/>
      <c r="X1227" s="16"/>
      <c r="AF1227" s="42">
        <f>IF(BUSCAR!$C$8="FECHA NAC.",$G1227,IF(BUSCAR!$C$8="PASAPORTE EXPIRA",$J1227,IF(BUSCAR!$C$8="LICENCIA EMISION",$L1227,IF(BUSCAR!$C$8="LICENCIA EXPIRA",$M1227,""))))</f>
      </c>
      <c r="AG1227" s="42">
        <f>IF($B1227&amp;$C1227&amp;$D1227&amp;$E1227&amp;$H1227="",0,IF(AND(OR(BUSCAR!$J$5="",ISNUMBER(SEARCH(BUSCAR!$J$5,$AI1227))),OR(BUSCAR!$J$6="",ISNUMBER(SEARCH(BUSCAR!$J$6,$AI1227))),OR(BUSCAR!$J$8="",ISNUMBER(SEARCH(BUSCAR!$J$8,$AI1227))),OR(BUSCAR!$J$9="",ISNUMBER(SEARCH(BUSCAR!$J$9,$AI1227))),OR(NOT(BUSCAR!$J$2),AND(ISNUMBER($AF1227),$AF1227&gt;=BUSCAR!$J$3,$AF1227&lt;=BUSCAR!$J$4))),1,0))</f>
      </c>
      <c r="AH1227" s="42">
        <f t="shared" si="57"/>
      </c>
      <c r="AI1227" s="42">
        <f t="shared" si="58"/>
      </c>
    </row>
    <row r="1228" spans="1:35" x14ac:dyDescent="0.2">
      <c r="A1228" s="66">
        <f t="shared" si="59"/>
      </c>
      <c r="B1228" s="4"/>
      <c r="C1228" s="4"/>
      <c r="D1228" s="4"/>
      <c r="E1228" s="4"/>
      <c r="F1228" s="24"/>
      <c r="G1228" s="8"/>
      <c r="H1228" s="9"/>
      <c r="I1228" s="8"/>
      <c r="J1228" s="10"/>
      <c r="K1228" s="8"/>
      <c r="L1228" s="8"/>
      <c r="M1228" s="8"/>
      <c r="N1228" s="11"/>
      <c r="O1228" s="9"/>
      <c r="P1228" s="12"/>
      <c r="Q1228" s="9"/>
      <c r="R1228" s="13"/>
      <c r="S1228" s="11"/>
      <c r="T1228" s="11"/>
      <c r="U1228" s="9"/>
      <c r="V1228" s="9"/>
      <c r="W1228" s="9"/>
      <c r="X1228" s="16"/>
      <c r="AF1228" s="42">
        <f>IF(BUSCAR!$C$8="FECHA NAC.",$G1228,IF(BUSCAR!$C$8="PASAPORTE EXPIRA",$J1228,IF(BUSCAR!$C$8="LICENCIA EMISION",$L1228,IF(BUSCAR!$C$8="LICENCIA EXPIRA",$M1228,""))))</f>
      </c>
      <c r="AG1228" s="42">
        <f>IF($B1228&amp;$C1228&amp;$D1228&amp;$E1228&amp;$H1228="",0,IF(AND(OR(BUSCAR!$J$5="",ISNUMBER(SEARCH(BUSCAR!$J$5,$AI1228))),OR(BUSCAR!$J$6="",ISNUMBER(SEARCH(BUSCAR!$J$6,$AI1228))),OR(BUSCAR!$J$8="",ISNUMBER(SEARCH(BUSCAR!$J$8,$AI1228))),OR(BUSCAR!$J$9="",ISNUMBER(SEARCH(BUSCAR!$J$9,$AI1228))),OR(NOT(BUSCAR!$J$2),AND(ISNUMBER($AF1228),$AF1228&gt;=BUSCAR!$J$3,$AF1228&lt;=BUSCAR!$J$4))),1,0))</f>
      </c>
      <c r="AH1228" s="42">
        <f t="shared" si="57"/>
      </c>
      <c r="AI1228" s="42">
        <f t="shared" si="58"/>
      </c>
    </row>
    <row r="1229" spans="1:35" x14ac:dyDescent="0.2">
      <c r="A1229" s="66">
        <f t="shared" si="59"/>
      </c>
      <c r="B1229" s="4"/>
      <c r="C1229" s="4"/>
      <c r="D1229" s="4"/>
      <c r="E1229" s="4"/>
      <c r="F1229" s="24"/>
      <c r="G1229" s="8"/>
      <c r="H1229" s="9"/>
      <c r="I1229" s="8"/>
      <c r="J1229" s="10"/>
      <c r="K1229" s="8"/>
      <c r="L1229" s="8"/>
      <c r="M1229" s="8"/>
      <c r="N1229" s="11"/>
      <c r="O1229" s="9"/>
      <c r="P1229" s="12"/>
      <c r="Q1229" s="9"/>
      <c r="R1229" s="13"/>
      <c r="S1229" s="11"/>
      <c r="T1229" s="11"/>
      <c r="U1229" s="9"/>
      <c r="V1229" s="9"/>
      <c r="W1229" s="9"/>
      <c r="X1229" s="16"/>
      <c r="AF1229" s="42">
        <f>IF(BUSCAR!$C$8="FECHA NAC.",$G1229,IF(BUSCAR!$C$8="PASAPORTE EXPIRA",$J1229,IF(BUSCAR!$C$8="LICENCIA EMISION",$L1229,IF(BUSCAR!$C$8="LICENCIA EXPIRA",$M1229,""))))</f>
      </c>
      <c r="AG1229" s="42">
        <f>IF($B1229&amp;$C1229&amp;$D1229&amp;$E1229&amp;$H1229="",0,IF(AND(OR(BUSCAR!$J$5="",ISNUMBER(SEARCH(BUSCAR!$J$5,$AI1229))),OR(BUSCAR!$J$6="",ISNUMBER(SEARCH(BUSCAR!$J$6,$AI1229))),OR(BUSCAR!$J$8="",ISNUMBER(SEARCH(BUSCAR!$J$8,$AI1229))),OR(BUSCAR!$J$9="",ISNUMBER(SEARCH(BUSCAR!$J$9,$AI1229))),OR(NOT(BUSCAR!$J$2),AND(ISNUMBER($AF1229),$AF1229&gt;=BUSCAR!$J$3,$AF1229&lt;=BUSCAR!$J$4))),1,0))</f>
      </c>
      <c r="AH1229" s="42">
        <f t="shared" si="57"/>
      </c>
      <c r="AI1229" s="42">
        <f t="shared" si="58"/>
      </c>
    </row>
    <row r="1230" spans="1:35" x14ac:dyDescent="0.2">
      <c r="A1230" s="66">
        <f t="shared" si="59"/>
      </c>
      <c r="B1230" s="4"/>
      <c r="C1230" s="4"/>
      <c r="D1230" s="4"/>
      <c r="E1230" s="4"/>
      <c r="F1230" s="24"/>
      <c r="G1230" s="8"/>
      <c r="H1230" s="9"/>
      <c r="I1230" s="8"/>
      <c r="J1230" s="10"/>
      <c r="K1230" s="8"/>
      <c r="L1230" s="8"/>
      <c r="M1230" s="8"/>
      <c r="N1230" s="11"/>
      <c r="O1230" s="9"/>
      <c r="P1230" s="12"/>
      <c r="Q1230" s="9"/>
      <c r="R1230" s="8"/>
      <c r="S1230" s="11"/>
      <c r="T1230" s="11"/>
      <c r="U1230" s="9"/>
      <c r="V1230" s="9"/>
      <c r="W1230" s="9"/>
      <c r="X1230" s="16"/>
      <c r="AF1230" s="42">
        <f>IF(BUSCAR!$C$8="FECHA NAC.",$G1230,IF(BUSCAR!$C$8="PASAPORTE EXPIRA",$J1230,IF(BUSCAR!$C$8="LICENCIA EMISION",$L1230,IF(BUSCAR!$C$8="LICENCIA EXPIRA",$M1230,""))))</f>
      </c>
      <c r="AG1230" s="42">
        <f>IF($B1230&amp;$C1230&amp;$D1230&amp;$E1230&amp;$H1230="",0,IF(AND(OR(BUSCAR!$J$5="",ISNUMBER(SEARCH(BUSCAR!$J$5,$AI1230))),OR(BUSCAR!$J$6="",ISNUMBER(SEARCH(BUSCAR!$J$6,$AI1230))),OR(BUSCAR!$J$8="",ISNUMBER(SEARCH(BUSCAR!$J$8,$AI1230))),OR(BUSCAR!$J$9="",ISNUMBER(SEARCH(BUSCAR!$J$9,$AI1230))),OR(NOT(BUSCAR!$J$2),AND(ISNUMBER($AF1230),$AF1230&gt;=BUSCAR!$J$3,$AF1230&lt;=BUSCAR!$J$4))),1,0))</f>
      </c>
      <c r="AH1230" s="42">
        <f t="shared" si="57"/>
      </c>
      <c r="AI1230" s="42">
        <f t="shared" si="58"/>
      </c>
    </row>
    <row r="1231" spans="1:35" x14ac:dyDescent="0.2">
      <c r="A1231" s="66">
        <f t="shared" si="59"/>
      </c>
      <c r="B1231" s="4"/>
      <c r="C1231" s="4"/>
      <c r="D1231" s="4"/>
      <c r="E1231" s="4"/>
      <c r="F1231" s="24"/>
      <c r="G1231" s="8"/>
      <c r="H1231" s="9"/>
      <c r="I1231" s="8"/>
      <c r="J1231" s="10"/>
      <c r="K1231" s="8"/>
      <c r="L1231" s="8"/>
      <c r="M1231" s="8"/>
      <c r="N1231" s="11"/>
      <c r="O1231" s="9"/>
      <c r="P1231" s="12"/>
      <c r="Q1231" s="9"/>
      <c r="R1231" s="13"/>
      <c r="S1231" s="11"/>
      <c r="T1231" s="11"/>
      <c r="U1231" s="9"/>
      <c r="V1231" s="9"/>
      <c r="W1231" s="9"/>
      <c r="X1231" s="16"/>
      <c r="AF1231" s="42">
        <f>IF(BUSCAR!$C$8="FECHA NAC.",$G1231,IF(BUSCAR!$C$8="PASAPORTE EXPIRA",$J1231,IF(BUSCAR!$C$8="LICENCIA EMISION",$L1231,IF(BUSCAR!$C$8="LICENCIA EXPIRA",$M1231,""))))</f>
      </c>
      <c r="AG1231" s="42">
        <f>IF($B1231&amp;$C1231&amp;$D1231&amp;$E1231&amp;$H1231="",0,IF(AND(OR(BUSCAR!$J$5="",ISNUMBER(SEARCH(BUSCAR!$J$5,$AI1231))),OR(BUSCAR!$J$6="",ISNUMBER(SEARCH(BUSCAR!$J$6,$AI1231))),OR(BUSCAR!$J$8="",ISNUMBER(SEARCH(BUSCAR!$J$8,$AI1231))),OR(BUSCAR!$J$9="",ISNUMBER(SEARCH(BUSCAR!$J$9,$AI1231))),OR(NOT(BUSCAR!$J$2),AND(ISNUMBER($AF1231),$AF1231&gt;=BUSCAR!$J$3,$AF1231&lt;=BUSCAR!$J$4))),1,0))</f>
      </c>
      <c r="AH1231" s="42">
        <f t="shared" si="57"/>
      </c>
      <c r="AI1231" s="42">
        <f t="shared" si="58"/>
      </c>
    </row>
    <row r="1232" spans="1:35" x14ac:dyDescent="0.2">
      <c r="A1232" s="66">
        <f t="shared" si="59"/>
      </c>
      <c r="B1232" s="4"/>
      <c r="C1232" s="4"/>
      <c r="D1232" s="4"/>
      <c r="E1232" s="4"/>
      <c r="F1232" s="24"/>
      <c r="G1232" s="8"/>
      <c r="H1232" s="9"/>
      <c r="I1232" s="8"/>
      <c r="J1232" s="10"/>
      <c r="K1232" s="8"/>
      <c r="L1232" s="8"/>
      <c r="M1232" s="8"/>
      <c r="N1232" s="11"/>
      <c r="O1232" s="9"/>
      <c r="P1232" s="12"/>
      <c r="Q1232" s="9"/>
      <c r="R1232" s="13"/>
      <c r="S1232" s="11"/>
      <c r="T1232" s="11"/>
      <c r="U1232" s="9"/>
      <c r="V1232" s="9"/>
      <c r="W1232" s="9"/>
      <c r="X1232" s="16"/>
      <c r="AF1232" s="42">
        <f>IF(BUSCAR!$C$8="FECHA NAC.",$G1232,IF(BUSCAR!$C$8="PASAPORTE EXPIRA",$J1232,IF(BUSCAR!$C$8="LICENCIA EMISION",$L1232,IF(BUSCAR!$C$8="LICENCIA EXPIRA",$M1232,""))))</f>
      </c>
      <c r="AG1232" s="42">
        <f>IF($B1232&amp;$C1232&amp;$D1232&amp;$E1232&amp;$H1232="",0,IF(AND(OR(BUSCAR!$J$5="",ISNUMBER(SEARCH(BUSCAR!$J$5,$AI1232))),OR(BUSCAR!$J$6="",ISNUMBER(SEARCH(BUSCAR!$J$6,$AI1232))),OR(BUSCAR!$J$8="",ISNUMBER(SEARCH(BUSCAR!$J$8,$AI1232))),OR(BUSCAR!$J$9="",ISNUMBER(SEARCH(BUSCAR!$J$9,$AI1232))),OR(NOT(BUSCAR!$J$2),AND(ISNUMBER($AF1232),$AF1232&gt;=BUSCAR!$J$3,$AF1232&lt;=BUSCAR!$J$4))),1,0))</f>
      </c>
      <c r="AH1232" s="42">
        <f t="shared" si="57"/>
      </c>
      <c r="AI1232" s="42">
        <f t="shared" si="58"/>
      </c>
    </row>
    <row r="1233" spans="1:35" x14ac:dyDescent="0.2">
      <c r="A1233" s="66">
        <f t="shared" si="59"/>
      </c>
      <c r="B1233" s="4"/>
      <c r="C1233" s="4"/>
      <c r="D1233" s="4"/>
      <c r="E1233" s="4"/>
      <c r="F1233" s="24"/>
      <c r="G1233" s="8"/>
      <c r="H1233" s="9"/>
      <c r="I1233" s="8"/>
      <c r="J1233" s="10"/>
      <c r="K1233" s="8"/>
      <c r="L1233" s="8"/>
      <c r="M1233" s="8"/>
      <c r="N1233" s="11"/>
      <c r="O1233" s="9"/>
      <c r="P1233" s="12"/>
      <c r="Q1233" s="9"/>
      <c r="R1233" s="13"/>
      <c r="S1233" s="11"/>
      <c r="T1233" s="11"/>
      <c r="U1233" s="9"/>
      <c r="V1233" s="9"/>
      <c r="W1233" s="9"/>
      <c r="X1233" s="16"/>
      <c r="AF1233" s="42">
        <f>IF(BUSCAR!$C$8="FECHA NAC.",$G1233,IF(BUSCAR!$C$8="PASAPORTE EXPIRA",$J1233,IF(BUSCAR!$C$8="LICENCIA EMISION",$L1233,IF(BUSCAR!$C$8="LICENCIA EXPIRA",$M1233,""))))</f>
      </c>
      <c r="AG1233" s="42">
        <f>IF($B1233&amp;$C1233&amp;$D1233&amp;$E1233&amp;$H1233="",0,IF(AND(OR(BUSCAR!$J$5="",ISNUMBER(SEARCH(BUSCAR!$J$5,$AI1233))),OR(BUSCAR!$J$6="",ISNUMBER(SEARCH(BUSCAR!$J$6,$AI1233))),OR(BUSCAR!$J$8="",ISNUMBER(SEARCH(BUSCAR!$J$8,$AI1233))),OR(BUSCAR!$J$9="",ISNUMBER(SEARCH(BUSCAR!$J$9,$AI1233))),OR(NOT(BUSCAR!$J$2),AND(ISNUMBER($AF1233),$AF1233&gt;=BUSCAR!$J$3,$AF1233&lt;=BUSCAR!$J$4))),1,0))</f>
      </c>
      <c r="AH1233" s="42">
        <f t="shared" si="57"/>
      </c>
      <c r="AI1233" s="42">
        <f t="shared" si="58"/>
      </c>
    </row>
    <row r="1234" spans="1:35" x14ac:dyDescent="0.2">
      <c r="A1234" s="66">
        <f t="shared" si="59"/>
      </c>
      <c r="B1234" s="4"/>
      <c r="C1234" s="4"/>
      <c r="D1234" s="4"/>
      <c r="E1234" s="4"/>
      <c r="F1234" s="24"/>
      <c r="G1234" s="8"/>
      <c r="H1234" s="9"/>
      <c r="I1234" s="8"/>
      <c r="J1234" s="10"/>
      <c r="K1234" s="8"/>
      <c r="L1234" s="8"/>
      <c r="M1234" s="8"/>
      <c r="N1234" s="11"/>
      <c r="O1234" s="9"/>
      <c r="P1234" s="12"/>
      <c r="Q1234" s="9"/>
      <c r="R1234" s="13"/>
      <c r="S1234" s="11"/>
      <c r="T1234" s="11"/>
      <c r="U1234" s="9"/>
      <c r="V1234" s="9"/>
      <c r="W1234" s="9"/>
      <c r="X1234" s="16"/>
      <c r="AF1234" s="42">
        <f>IF(BUSCAR!$C$8="FECHA NAC.",$G1234,IF(BUSCAR!$C$8="PASAPORTE EXPIRA",$J1234,IF(BUSCAR!$C$8="LICENCIA EMISION",$L1234,IF(BUSCAR!$C$8="LICENCIA EXPIRA",$M1234,""))))</f>
      </c>
      <c r="AG1234" s="42">
        <f>IF($B1234&amp;$C1234&amp;$D1234&amp;$E1234&amp;$H1234="",0,IF(AND(OR(BUSCAR!$J$5="",ISNUMBER(SEARCH(BUSCAR!$J$5,$AI1234))),OR(BUSCAR!$J$6="",ISNUMBER(SEARCH(BUSCAR!$J$6,$AI1234))),OR(BUSCAR!$J$8="",ISNUMBER(SEARCH(BUSCAR!$J$8,$AI1234))),OR(BUSCAR!$J$9="",ISNUMBER(SEARCH(BUSCAR!$J$9,$AI1234))),OR(NOT(BUSCAR!$J$2),AND(ISNUMBER($AF1234),$AF1234&gt;=BUSCAR!$J$3,$AF1234&lt;=BUSCAR!$J$4))),1,0))</f>
      </c>
      <c r="AH1234" s="42">
        <f t="shared" si="57"/>
      </c>
      <c r="AI1234" s="42">
        <f t="shared" si="58"/>
      </c>
    </row>
    <row r="1235" spans="1:35" x14ac:dyDescent="0.2">
      <c r="A1235" s="66">
        <f t="shared" si="59"/>
      </c>
      <c r="B1235" s="4"/>
      <c r="C1235" s="4"/>
      <c r="D1235" s="4"/>
      <c r="E1235" s="4"/>
      <c r="F1235" s="24"/>
      <c r="G1235" s="8"/>
      <c r="H1235" s="9"/>
      <c r="I1235" s="8"/>
      <c r="J1235" s="10"/>
      <c r="K1235" s="8"/>
      <c r="L1235" s="8"/>
      <c r="M1235" s="8"/>
      <c r="N1235" s="11"/>
      <c r="O1235" s="9"/>
      <c r="P1235" s="12"/>
      <c r="Q1235" s="9"/>
      <c r="R1235" s="13"/>
      <c r="S1235" s="11"/>
      <c r="T1235" s="11"/>
      <c r="U1235" s="9"/>
      <c r="V1235" s="9"/>
      <c r="W1235" s="9"/>
      <c r="X1235" s="16"/>
      <c r="AF1235" s="42">
        <f>IF(BUSCAR!$C$8="FECHA NAC.",$G1235,IF(BUSCAR!$C$8="PASAPORTE EXPIRA",$J1235,IF(BUSCAR!$C$8="LICENCIA EMISION",$L1235,IF(BUSCAR!$C$8="LICENCIA EXPIRA",$M1235,""))))</f>
      </c>
      <c r="AG1235" s="42">
        <f>IF($B1235&amp;$C1235&amp;$D1235&amp;$E1235&amp;$H1235="",0,IF(AND(OR(BUSCAR!$J$5="",ISNUMBER(SEARCH(BUSCAR!$J$5,$AI1235))),OR(BUSCAR!$J$6="",ISNUMBER(SEARCH(BUSCAR!$J$6,$AI1235))),OR(BUSCAR!$J$8="",ISNUMBER(SEARCH(BUSCAR!$J$8,$AI1235))),OR(BUSCAR!$J$9="",ISNUMBER(SEARCH(BUSCAR!$J$9,$AI1235))),OR(NOT(BUSCAR!$J$2),AND(ISNUMBER($AF1235),$AF1235&gt;=BUSCAR!$J$3,$AF1235&lt;=BUSCAR!$J$4))),1,0))</f>
      </c>
      <c r="AH1235" s="42">
        <f t="shared" si="57"/>
      </c>
      <c r="AI1235" s="42">
        <f t="shared" si="58"/>
      </c>
    </row>
    <row r="1236" spans="1:35" x14ac:dyDescent="0.2">
      <c r="A1236" s="66">
        <f t="shared" si="59"/>
      </c>
      <c r="B1236" s="4"/>
      <c r="C1236" s="4"/>
      <c r="D1236" s="4"/>
      <c r="E1236" s="4"/>
      <c r="F1236" s="24"/>
      <c r="G1236" s="8"/>
      <c r="H1236" s="9"/>
      <c r="I1236" s="8"/>
      <c r="J1236" s="10"/>
      <c r="K1236" s="8"/>
      <c r="L1236" s="8"/>
      <c r="M1236" s="8"/>
      <c r="N1236" s="11"/>
      <c r="O1236" s="9"/>
      <c r="P1236" s="12"/>
      <c r="Q1236" s="9"/>
      <c r="R1236" s="13"/>
      <c r="S1236" s="11"/>
      <c r="T1236" s="11"/>
      <c r="U1236" s="9"/>
      <c r="V1236" s="9"/>
      <c r="W1236" s="9"/>
      <c r="X1236" s="16"/>
      <c r="AF1236" s="42">
        <f>IF(BUSCAR!$C$8="FECHA NAC.",$G1236,IF(BUSCAR!$C$8="PASAPORTE EXPIRA",$J1236,IF(BUSCAR!$C$8="LICENCIA EMISION",$L1236,IF(BUSCAR!$C$8="LICENCIA EXPIRA",$M1236,""))))</f>
      </c>
      <c r="AG1236" s="42">
        <f>IF($B1236&amp;$C1236&amp;$D1236&amp;$E1236&amp;$H1236="",0,IF(AND(OR(BUSCAR!$J$5="",ISNUMBER(SEARCH(BUSCAR!$J$5,$AI1236))),OR(BUSCAR!$J$6="",ISNUMBER(SEARCH(BUSCAR!$J$6,$AI1236))),OR(BUSCAR!$J$8="",ISNUMBER(SEARCH(BUSCAR!$J$8,$AI1236))),OR(BUSCAR!$J$9="",ISNUMBER(SEARCH(BUSCAR!$J$9,$AI1236))),OR(NOT(BUSCAR!$J$2),AND(ISNUMBER($AF1236),$AF1236&gt;=BUSCAR!$J$3,$AF1236&lt;=BUSCAR!$J$4))),1,0))</f>
      </c>
      <c r="AH1236" s="42">
        <f t="shared" si="57"/>
      </c>
      <c r="AI1236" s="42">
        <f t="shared" si="58"/>
      </c>
    </row>
    <row r="1237" spans="1:35" x14ac:dyDescent="0.2">
      <c r="A1237" s="66">
        <f t="shared" si="59"/>
      </c>
      <c r="B1237" s="4"/>
      <c r="C1237" s="4"/>
      <c r="D1237" s="4"/>
      <c r="E1237" s="4"/>
      <c r="F1237" s="24"/>
      <c r="G1237" s="8"/>
      <c r="H1237" s="9"/>
      <c r="I1237" s="8"/>
      <c r="J1237" s="10"/>
      <c r="K1237" s="8"/>
      <c r="L1237" s="8"/>
      <c r="M1237" s="8"/>
      <c r="N1237" s="11"/>
      <c r="O1237" s="9"/>
      <c r="P1237" s="12"/>
      <c r="Q1237" s="9"/>
      <c r="R1237" s="13"/>
      <c r="S1237" s="11"/>
      <c r="T1237" s="11"/>
      <c r="U1237" s="9"/>
      <c r="V1237" s="9"/>
      <c r="W1237" s="9"/>
      <c r="X1237" s="16"/>
      <c r="AF1237" s="42">
        <f>IF(BUSCAR!$C$8="FECHA NAC.",$G1237,IF(BUSCAR!$C$8="PASAPORTE EXPIRA",$J1237,IF(BUSCAR!$C$8="LICENCIA EMISION",$L1237,IF(BUSCAR!$C$8="LICENCIA EXPIRA",$M1237,""))))</f>
      </c>
      <c r="AG1237" s="42">
        <f>IF($B1237&amp;$C1237&amp;$D1237&amp;$E1237&amp;$H1237="",0,IF(AND(OR(BUSCAR!$J$5="",ISNUMBER(SEARCH(BUSCAR!$J$5,$AI1237))),OR(BUSCAR!$J$6="",ISNUMBER(SEARCH(BUSCAR!$J$6,$AI1237))),OR(BUSCAR!$J$8="",ISNUMBER(SEARCH(BUSCAR!$J$8,$AI1237))),OR(BUSCAR!$J$9="",ISNUMBER(SEARCH(BUSCAR!$J$9,$AI1237))),OR(NOT(BUSCAR!$J$2),AND(ISNUMBER($AF1237),$AF1237&gt;=BUSCAR!$J$3,$AF1237&lt;=BUSCAR!$J$4))),1,0))</f>
      </c>
      <c r="AH1237" s="42">
        <f t="shared" si="57"/>
      </c>
      <c r="AI1237" s="42">
        <f t="shared" si="58"/>
      </c>
    </row>
    <row r="1238" spans="1:35" x14ac:dyDescent="0.2">
      <c r="A1238" s="66">
        <f t="shared" si="59"/>
      </c>
      <c r="B1238" s="4"/>
      <c r="C1238" s="4"/>
      <c r="D1238" s="4"/>
      <c r="E1238" s="4"/>
      <c r="F1238" s="24"/>
      <c r="G1238" s="8"/>
      <c r="H1238" s="9"/>
      <c r="I1238" s="8"/>
      <c r="J1238" s="10"/>
      <c r="K1238" s="8"/>
      <c r="L1238" s="8"/>
      <c r="M1238" s="8"/>
      <c r="N1238" s="11"/>
      <c r="O1238" s="9"/>
      <c r="P1238" s="12"/>
      <c r="Q1238" s="9"/>
      <c r="R1238" s="13"/>
      <c r="S1238" s="11"/>
      <c r="T1238" s="11"/>
      <c r="U1238" s="9"/>
      <c r="V1238" s="9"/>
      <c r="W1238" s="9"/>
      <c r="X1238" s="16"/>
      <c r="AF1238" s="42">
        <f>IF(BUSCAR!$C$8="FECHA NAC.",$G1238,IF(BUSCAR!$C$8="PASAPORTE EXPIRA",$J1238,IF(BUSCAR!$C$8="LICENCIA EMISION",$L1238,IF(BUSCAR!$C$8="LICENCIA EXPIRA",$M1238,""))))</f>
      </c>
      <c r="AG1238" s="42">
        <f>IF($B1238&amp;$C1238&amp;$D1238&amp;$E1238&amp;$H1238="",0,IF(AND(OR(BUSCAR!$J$5="",ISNUMBER(SEARCH(BUSCAR!$J$5,$AI1238))),OR(BUSCAR!$J$6="",ISNUMBER(SEARCH(BUSCAR!$J$6,$AI1238))),OR(BUSCAR!$J$8="",ISNUMBER(SEARCH(BUSCAR!$J$8,$AI1238))),OR(BUSCAR!$J$9="",ISNUMBER(SEARCH(BUSCAR!$J$9,$AI1238))),OR(NOT(BUSCAR!$J$2),AND(ISNUMBER($AF1238),$AF1238&gt;=BUSCAR!$J$3,$AF1238&lt;=BUSCAR!$J$4))),1,0))</f>
      </c>
      <c r="AH1238" s="42">
        <f t="shared" si="57"/>
      </c>
      <c r="AI1238" s="42">
        <f t="shared" si="58"/>
      </c>
    </row>
    <row r="1239" spans="1:35" x14ac:dyDescent="0.2">
      <c r="A1239" s="66">
        <f t="shared" si="59"/>
      </c>
      <c r="B1239" s="4"/>
      <c r="C1239" s="4"/>
      <c r="D1239" s="4"/>
      <c r="E1239" s="4"/>
      <c r="F1239" s="24"/>
      <c r="G1239" s="8"/>
      <c r="H1239" s="9"/>
      <c r="I1239" s="8"/>
      <c r="J1239" s="10"/>
      <c r="K1239" s="8"/>
      <c r="L1239" s="8"/>
      <c r="M1239" s="8"/>
      <c r="N1239" s="11"/>
      <c r="O1239" s="9"/>
      <c r="P1239" s="12"/>
      <c r="Q1239" s="9"/>
      <c r="R1239" s="13"/>
      <c r="S1239" s="11"/>
      <c r="T1239" s="11"/>
      <c r="U1239" s="9"/>
      <c r="V1239" s="9"/>
      <c r="W1239" s="9"/>
      <c r="X1239" s="16"/>
      <c r="AF1239" s="42">
        <f>IF(BUSCAR!$C$8="FECHA NAC.",$G1239,IF(BUSCAR!$C$8="PASAPORTE EXPIRA",$J1239,IF(BUSCAR!$C$8="LICENCIA EMISION",$L1239,IF(BUSCAR!$C$8="LICENCIA EXPIRA",$M1239,""))))</f>
      </c>
      <c r="AG1239" s="42">
        <f>IF($B1239&amp;$C1239&amp;$D1239&amp;$E1239&amp;$H1239="",0,IF(AND(OR(BUSCAR!$J$5="",ISNUMBER(SEARCH(BUSCAR!$J$5,$AI1239))),OR(BUSCAR!$J$6="",ISNUMBER(SEARCH(BUSCAR!$J$6,$AI1239))),OR(BUSCAR!$J$8="",ISNUMBER(SEARCH(BUSCAR!$J$8,$AI1239))),OR(BUSCAR!$J$9="",ISNUMBER(SEARCH(BUSCAR!$J$9,$AI1239))),OR(NOT(BUSCAR!$J$2),AND(ISNUMBER($AF1239),$AF1239&gt;=BUSCAR!$J$3,$AF1239&lt;=BUSCAR!$J$4))),1,0))</f>
      </c>
      <c r="AH1239" s="42">
        <f t="shared" si="57"/>
      </c>
      <c r="AI1239" s="42">
        <f t="shared" si="58"/>
      </c>
    </row>
    <row r="1240" spans="1:35" x14ac:dyDescent="0.2">
      <c r="A1240" s="66">
        <f t="shared" si="59"/>
      </c>
      <c r="B1240" s="4"/>
      <c r="C1240" s="4"/>
      <c r="D1240" s="4"/>
      <c r="E1240" s="4"/>
      <c r="F1240" s="24"/>
      <c r="G1240" s="8"/>
      <c r="H1240" s="9"/>
      <c r="I1240" s="8"/>
      <c r="J1240" s="10"/>
      <c r="K1240" s="8"/>
      <c r="L1240" s="8"/>
      <c r="M1240" s="8"/>
      <c r="N1240" s="11"/>
      <c r="O1240" s="9"/>
      <c r="P1240" s="12"/>
      <c r="Q1240" s="9"/>
      <c r="R1240" s="13"/>
      <c r="S1240" s="11"/>
      <c r="T1240" s="11"/>
      <c r="U1240" s="9"/>
      <c r="V1240" s="9"/>
      <c r="W1240" s="9"/>
      <c r="X1240" s="16"/>
      <c r="AF1240" s="42">
        <f>IF(BUSCAR!$C$8="FECHA NAC.",$G1240,IF(BUSCAR!$C$8="PASAPORTE EXPIRA",$J1240,IF(BUSCAR!$C$8="LICENCIA EMISION",$L1240,IF(BUSCAR!$C$8="LICENCIA EXPIRA",$M1240,""))))</f>
      </c>
      <c r="AG1240" s="42">
        <f>IF($B1240&amp;$C1240&amp;$D1240&amp;$E1240&amp;$H1240="",0,IF(AND(OR(BUSCAR!$J$5="",ISNUMBER(SEARCH(BUSCAR!$J$5,$AI1240))),OR(BUSCAR!$J$6="",ISNUMBER(SEARCH(BUSCAR!$J$6,$AI1240))),OR(BUSCAR!$J$8="",ISNUMBER(SEARCH(BUSCAR!$J$8,$AI1240))),OR(BUSCAR!$J$9="",ISNUMBER(SEARCH(BUSCAR!$J$9,$AI1240))),OR(NOT(BUSCAR!$J$2),AND(ISNUMBER($AF1240),$AF1240&gt;=BUSCAR!$J$3,$AF1240&lt;=BUSCAR!$J$4))),1,0))</f>
      </c>
      <c r="AH1240" s="42">
        <f t="shared" si="57"/>
      </c>
      <c r="AI1240" s="42">
        <f t="shared" si="58"/>
      </c>
    </row>
    <row r="1241" spans="1:35" x14ac:dyDescent="0.2">
      <c r="A1241" s="66">
        <f t="shared" si="59"/>
      </c>
      <c r="B1241" s="4"/>
      <c r="C1241" s="4"/>
      <c r="D1241" s="4"/>
      <c r="E1241" s="4"/>
      <c r="F1241" s="24"/>
      <c r="G1241" s="8"/>
      <c r="H1241" s="9"/>
      <c r="I1241" s="8"/>
      <c r="J1241" s="10"/>
      <c r="K1241" s="8"/>
      <c r="L1241" s="8"/>
      <c r="M1241" s="8"/>
      <c r="N1241" s="11"/>
      <c r="O1241" s="9"/>
      <c r="P1241" s="12"/>
      <c r="Q1241" s="9"/>
      <c r="R1241" s="13"/>
      <c r="S1241" s="11"/>
      <c r="T1241" s="11"/>
      <c r="U1241" s="9"/>
      <c r="V1241" s="9"/>
      <c r="W1241" s="9"/>
      <c r="X1241" s="16"/>
      <c r="AF1241" s="42">
        <f>IF(BUSCAR!$C$8="FECHA NAC.",$G1241,IF(BUSCAR!$C$8="PASAPORTE EXPIRA",$J1241,IF(BUSCAR!$C$8="LICENCIA EMISION",$L1241,IF(BUSCAR!$C$8="LICENCIA EXPIRA",$M1241,""))))</f>
      </c>
      <c r="AG1241" s="42">
        <f>IF($B1241&amp;$C1241&amp;$D1241&amp;$E1241&amp;$H1241="",0,IF(AND(OR(BUSCAR!$J$5="",ISNUMBER(SEARCH(BUSCAR!$J$5,$AI1241))),OR(BUSCAR!$J$6="",ISNUMBER(SEARCH(BUSCAR!$J$6,$AI1241))),OR(BUSCAR!$J$8="",ISNUMBER(SEARCH(BUSCAR!$J$8,$AI1241))),OR(BUSCAR!$J$9="",ISNUMBER(SEARCH(BUSCAR!$J$9,$AI1241))),OR(NOT(BUSCAR!$J$2),AND(ISNUMBER($AF1241),$AF1241&gt;=BUSCAR!$J$3,$AF1241&lt;=BUSCAR!$J$4))),1,0))</f>
      </c>
      <c r="AH1241" s="42">
        <f t="shared" si="57"/>
      </c>
      <c r="AI1241" s="42">
        <f t="shared" si="58"/>
      </c>
    </row>
    <row r="1242" spans="1:35" x14ac:dyDescent="0.2">
      <c r="A1242" s="66">
        <f t="shared" si="59"/>
      </c>
      <c r="B1242" s="4"/>
      <c r="C1242" s="4"/>
      <c r="D1242" s="4"/>
      <c r="E1242" s="4"/>
      <c r="F1242" s="24"/>
      <c r="G1242" s="8"/>
      <c r="H1242" s="9"/>
      <c r="I1242" s="8"/>
      <c r="J1242" s="10"/>
      <c r="K1242" s="8"/>
      <c r="L1242" s="8"/>
      <c r="M1242" s="8"/>
      <c r="N1242" s="11"/>
      <c r="O1242" s="9"/>
      <c r="P1242" s="12"/>
      <c r="Q1242" s="9"/>
      <c r="R1242" s="13"/>
      <c r="S1242" s="11"/>
      <c r="T1242" s="11"/>
      <c r="U1242" s="9"/>
      <c r="V1242" s="9"/>
      <c r="W1242" s="9"/>
      <c r="X1242" s="16"/>
      <c r="AF1242" s="42">
        <f>IF(BUSCAR!$C$8="FECHA NAC.",$G1242,IF(BUSCAR!$C$8="PASAPORTE EXPIRA",$J1242,IF(BUSCAR!$C$8="LICENCIA EMISION",$L1242,IF(BUSCAR!$C$8="LICENCIA EXPIRA",$M1242,""))))</f>
      </c>
      <c r="AG1242" s="42">
        <f>IF($B1242&amp;$C1242&amp;$D1242&amp;$E1242&amp;$H1242="",0,IF(AND(OR(BUSCAR!$J$5="",ISNUMBER(SEARCH(BUSCAR!$J$5,$AI1242))),OR(BUSCAR!$J$6="",ISNUMBER(SEARCH(BUSCAR!$J$6,$AI1242))),OR(BUSCAR!$J$8="",ISNUMBER(SEARCH(BUSCAR!$J$8,$AI1242))),OR(BUSCAR!$J$9="",ISNUMBER(SEARCH(BUSCAR!$J$9,$AI1242))),OR(NOT(BUSCAR!$J$2),AND(ISNUMBER($AF1242),$AF1242&gt;=BUSCAR!$J$3,$AF1242&lt;=BUSCAR!$J$4))),1,0))</f>
      </c>
      <c r="AH1242" s="42">
        <f t="shared" si="57"/>
      </c>
      <c r="AI1242" s="42">
        <f t="shared" si="58"/>
      </c>
    </row>
    <row r="1243" spans="1:35" x14ac:dyDescent="0.2">
      <c r="A1243" s="66">
        <f t="shared" si="59"/>
      </c>
      <c r="B1243" s="4"/>
      <c r="C1243" s="4"/>
      <c r="D1243" s="4"/>
      <c r="E1243" s="4"/>
      <c r="F1243" s="24"/>
      <c r="G1243" s="8"/>
      <c r="H1243" s="9"/>
      <c r="I1243" s="8"/>
      <c r="J1243" s="10"/>
      <c r="K1243" s="8"/>
      <c r="L1243" s="8"/>
      <c r="M1243" s="8"/>
      <c r="N1243" s="11"/>
      <c r="O1243" s="9"/>
      <c r="P1243" s="12"/>
      <c r="Q1243" s="9"/>
      <c r="R1243" s="13"/>
      <c r="S1243" s="11"/>
      <c r="T1243" s="11"/>
      <c r="U1243" s="9"/>
      <c r="V1243" s="9"/>
      <c r="W1243" s="9"/>
      <c r="X1243" s="16"/>
      <c r="AF1243" s="42">
        <f>IF(BUSCAR!$C$8="FECHA NAC.",$G1243,IF(BUSCAR!$C$8="PASAPORTE EXPIRA",$J1243,IF(BUSCAR!$C$8="LICENCIA EMISION",$L1243,IF(BUSCAR!$C$8="LICENCIA EXPIRA",$M1243,""))))</f>
      </c>
      <c r="AG1243" s="42">
        <f>IF($B1243&amp;$C1243&amp;$D1243&amp;$E1243&amp;$H1243="",0,IF(AND(OR(BUSCAR!$J$5="",ISNUMBER(SEARCH(BUSCAR!$J$5,$AI1243))),OR(BUSCAR!$J$6="",ISNUMBER(SEARCH(BUSCAR!$J$6,$AI1243))),OR(BUSCAR!$J$8="",ISNUMBER(SEARCH(BUSCAR!$J$8,$AI1243))),OR(BUSCAR!$J$9="",ISNUMBER(SEARCH(BUSCAR!$J$9,$AI1243))),OR(NOT(BUSCAR!$J$2),AND(ISNUMBER($AF1243),$AF1243&gt;=BUSCAR!$J$3,$AF1243&lt;=BUSCAR!$J$4))),1,0))</f>
      </c>
      <c r="AH1243" s="42">
        <f t="shared" si="57"/>
      </c>
      <c r="AI1243" s="42">
        <f t="shared" si="58"/>
      </c>
    </row>
    <row r="1244" spans="1:35" x14ac:dyDescent="0.2">
      <c r="A1244" s="66">
        <f t="shared" si="59"/>
      </c>
      <c r="B1244" s="4"/>
      <c r="C1244" s="4"/>
      <c r="D1244" s="4"/>
      <c r="E1244" s="4"/>
      <c r="F1244" s="24"/>
      <c r="G1244" s="8"/>
      <c r="H1244" s="9"/>
      <c r="I1244" s="8"/>
      <c r="J1244" s="10"/>
      <c r="K1244" s="8"/>
      <c r="L1244" s="8"/>
      <c r="M1244" s="8"/>
      <c r="N1244" s="11"/>
      <c r="O1244" s="9"/>
      <c r="P1244" s="12"/>
      <c r="Q1244" s="9"/>
      <c r="R1244" s="13"/>
      <c r="S1244" s="11"/>
      <c r="T1244" s="11"/>
      <c r="U1244" s="9"/>
      <c r="V1244" s="9"/>
      <c r="W1244" s="9"/>
      <c r="X1244" s="16"/>
      <c r="AF1244" s="42">
        <f>IF(BUSCAR!$C$8="FECHA NAC.",$G1244,IF(BUSCAR!$C$8="PASAPORTE EXPIRA",$J1244,IF(BUSCAR!$C$8="LICENCIA EMISION",$L1244,IF(BUSCAR!$C$8="LICENCIA EXPIRA",$M1244,""))))</f>
      </c>
      <c r="AG1244" s="42">
        <f>IF($B1244&amp;$C1244&amp;$D1244&amp;$E1244&amp;$H1244="",0,IF(AND(OR(BUSCAR!$J$5="",ISNUMBER(SEARCH(BUSCAR!$J$5,$AI1244))),OR(BUSCAR!$J$6="",ISNUMBER(SEARCH(BUSCAR!$J$6,$AI1244))),OR(BUSCAR!$J$8="",ISNUMBER(SEARCH(BUSCAR!$J$8,$AI1244))),OR(BUSCAR!$J$9="",ISNUMBER(SEARCH(BUSCAR!$J$9,$AI1244))),OR(NOT(BUSCAR!$J$2),AND(ISNUMBER($AF1244),$AF1244&gt;=BUSCAR!$J$3,$AF1244&lt;=BUSCAR!$J$4))),1,0))</f>
      </c>
      <c r="AH1244" s="42">
        <f t="shared" si="57"/>
      </c>
      <c r="AI1244" s="42">
        <f t="shared" si="58"/>
      </c>
    </row>
    <row r="1245" spans="1:35" x14ac:dyDescent="0.2">
      <c r="A1245" s="66">
        <f t="shared" si="59"/>
      </c>
      <c r="B1245" s="4"/>
      <c r="C1245" s="4"/>
      <c r="D1245" s="4"/>
      <c r="E1245" s="4"/>
      <c r="F1245" s="24"/>
      <c r="G1245" s="8"/>
      <c r="H1245" s="9"/>
      <c r="I1245" s="8"/>
      <c r="J1245" s="10"/>
      <c r="K1245" s="8"/>
      <c r="L1245" s="8"/>
      <c r="M1245" s="8"/>
      <c r="N1245" s="11"/>
      <c r="O1245" s="9"/>
      <c r="P1245" s="12"/>
      <c r="Q1245" s="9"/>
      <c r="R1245" s="13"/>
      <c r="S1245" s="11"/>
      <c r="T1245" s="11"/>
      <c r="U1245" s="9"/>
      <c r="V1245" s="9"/>
      <c r="W1245" s="9"/>
      <c r="X1245" s="16"/>
      <c r="AF1245" s="42">
        <f>IF(BUSCAR!$C$8="FECHA NAC.",$G1245,IF(BUSCAR!$C$8="PASAPORTE EXPIRA",$J1245,IF(BUSCAR!$C$8="LICENCIA EMISION",$L1245,IF(BUSCAR!$C$8="LICENCIA EXPIRA",$M1245,""))))</f>
      </c>
      <c r="AG1245" s="42">
        <f>IF($B1245&amp;$C1245&amp;$D1245&amp;$E1245&amp;$H1245="",0,IF(AND(OR(BUSCAR!$J$5="",ISNUMBER(SEARCH(BUSCAR!$J$5,$AI1245))),OR(BUSCAR!$J$6="",ISNUMBER(SEARCH(BUSCAR!$J$6,$AI1245))),OR(BUSCAR!$J$8="",ISNUMBER(SEARCH(BUSCAR!$J$8,$AI1245))),OR(BUSCAR!$J$9="",ISNUMBER(SEARCH(BUSCAR!$J$9,$AI1245))),OR(NOT(BUSCAR!$J$2),AND(ISNUMBER($AF1245),$AF1245&gt;=BUSCAR!$J$3,$AF1245&lt;=BUSCAR!$J$4))),1,0))</f>
      </c>
      <c r="AH1245" s="42">
        <f t="shared" si="57"/>
      </c>
      <c r="AI1245" s="42">
        <f t="shared" si="58"/>
      </c>
    </row>
    <row r="1246" spans="1:35" x14ac:dyDescent="0.2">
      <c r="A1246" s="66">
        <f t="shared" si="59"/>
      </c>
      <c r="B1246" s="4"/>
      <c r="C1246" s="4"/>
      <c r="D1246" s="4"/>
      <c r="E1246" s="4"/>
      <c r="F1246" s="24"/>
      <c r="G1246" s="8"/>
      <c r="H1246" s="9"/>
      <c r="I1246" s="8"/>
      <c r="J1246" s="10"/>
      <c r="K1246" s="8"/>
      <c r="L1246" s="8"/>
      <c r="M1246" s="8"/>
      <c r="N1246" s="11"/>
      <c r="O1246" s="9"/>
      <c r="P1246" s="12"/>
      <c r="Q1246" s="9"/>
      <c r="R1246" s="13"/>
      <c r="S1246" s="11"/>
      <c r="T1246" s="11"/>
      <c r="U1246" s="9"/>
      <c r="V1246" s="9"/>
      <c r="W1246" s="9"/>
      <c r="X1246" s="16"/>
      <c r="AF1246" s="42">
        <f>IF(BUSCAR!$C$8="FECHA NAC.",$G1246,IF(BUSCAR!$C$8="PASAPORTE EXPIRA",$J1246,IF(BUSCAR!$C$8="LICENCIA EMISION",$L1246,IF(BUSCAR!$C$8="LICENCIA EXPIRA",$M1246,""))))</f>
      </c>
      <c r="AG1246" s="42">
        <f>IF($B1246&amp;$C1246&amp;$D1246&amp;$E1246&amp;$H1246="",0,IF(AND(OR(BUSCAR!$J$5="",ISNUMBER(SEARCH(BUSCAR!$J$5,$AI1246))),OR(BUSCAR!$J$6="",ISNUMBER(SEARCH(BUSCAR!$J$6,$AI1246))),OR(BUSCAR!$J$8="",ISNUMBER(SEARCH(BUSCAR!$J$8,$AI1246))),OR(BUSCAR!$J$9="",ISNUMBER(SEARCH(BUSCAR!$J$9,$AI1246))),OR(NOT(BUSCAR!$J$2),AND(ISNUMBER($AF1246),$AF1246&gt;=BUSCAR!$J$3,$AF1246&lt;=BUSCAR!$J$4))),1,0))</f>
      </c>
      <c r="AH1246" s="42">
        <f t="shared" si="57"/>
      </c>
      <c r="AI1246" s="42">
        <f t="shared" si="58"/>
      </c>
    </row>
    <row r="1247" spans="1:35" x14ac:dyDescent="0.2">
      <c r="A1247" s="66">
        <f t="shared" si="59"/>
      </c>
      <c r="B1247" s="4"/>
      <c r="C1247" s="4"/>
      <c r="D1247" s="4"/>
      <c r="E1247" s="4"/>
      <c r="F1247" s="24"/>
      <c r="G1247" s="8"/>
      <c r="H1247" s="9"/>
      <c r="I1247" s="8"/>
      <c r="J1247" s="10"/>
      <c r="K1247" s="8"/>
      <c r="L1247" s="8"/>
      <c r="M1247" s="8"/>
      <c r="N1247" s="11"/>
      <c r="O1247" s="9"/>
      <c r="P1247" s="12"/>
      <c r="Q1247" s="9"/>
      <c r="R1247" s="13"/>
      <c r="S1247" s="11"/>
      <c r="T1247" s="11"/>
      <c r="U1247" s="9"/>
      <c r="V1247" s="9"/>
      <c r="W1247" s="9"/>
      <c r="X1247" s="16"/>
      <c r="AF1247" s="42">
        <f>IF(BUSCAR!$C$8="FECHA NAC.",$G1247,IF(BUSCAR!$C$8="PASAPORTE EXPIRA",$J1247,IF(BUSCAR!$C$8="LICENCIA EMISION",$L1247,IF(BUSCAR!$C$8="LICENCIA EXPIRA",$M1247,""))))</f>
      </c>
      <c r="AG1247" s="42">
        <f>IF($B1247&amp;$C1247&amp;$D1247&amp;$E1247&amp;$H1247="",0,IF(AND(OR(BUSCAR!$J$5="",ISNUMBER(SEARCH(BUSCAR!$J$5,$AI1247))),OR(BUSCAR!$J$6="",ISNUMBER(SEARCH(BUSCAR!$J$6,$AI1247))),OR(BUSCAR!$J$8="",ISNUMBER(SEARCH(BUSCAR!$J$8,$AI1247))),OR(BUSCAR!$J$9="",ISNUMBER(SEARCH(BUSCAR!$J$9,$AI1247))),OR(NOT(BUSCAR!$J$2),AND(ISNUMBER($AF1247),$AF1247&gt;=BUSCAR!$J$3,$AF1247&lt;=BUSCAR!$J$4))),1,0))</f>
      </c>
      <c r="AH1247" s="42">
        <f t="shared" si="57"/>
      </c>
      <c r="AI1247" s="42">
        <f t="shared" si="58"/>
      </c>
    </row>
    <row r="1248" spans="1:35" x14ac:dyDescent="0.2">
      <c r="A1248" s="66">
        <f t="shared" si="59"/>
      </c>
      <c r="B1248" s="4"/>
      <c r="C1248" s="4"/>
      <c r="D1248" s="4"/>
      <c r="E1248" s="4"/>
      <c r="F1248" s="24"/>
      <c r="G1248" s="8"/>
      <c r="H1248" s="9"/>
      <c r="I1248" s="8"/>
      <c r="J1248" s="10"/>
      <c r="K1248" s="8"/>
      <c r="L1248" s="8"/>
      <c r="M1248" s="8"/>
      <c r="N1248" s="11"/>
      <c r="O1248" s="9"/>
      <c r="P1248" s="12"/>
      <c r="Q1248" s="9"/>
      <c r="R1248" s="13"/>
      <c r="S1248" s="11"/>
      <c r="T1248" s="11"/>
      <c r="U1248" s="9"/>
      <c r="V1248" s="9"/>
      <c r="W1248" s="9"/>
      <c r="X1248" s="16"/>
      <c r="AF1248" s="42">
        <f>IF(BUSCAR!$C$8="FECHA NAC.",$G1248,IF(BUSCAR!$C$8="PASAPORTE EXPIRA",$J1248,IF(BUSCAR!$C$8="LICENCIA EMISION",$L1248,IF(BUSCAR!$C$8="LICENCIA EXPIRA",$M1248,""))))</f>
      </c>
      <c r="AG1248" s="42">
        <f>IF($B1248&amp;$C1248&amp;$D1248&amp;$E1248&amp;$H1248="",0,IF(AND(OR(BUSCAR!$J$5="",ISNUMBER(SEARCH(BUSCAR!$J$5,$AI1248))),OR(BUSCAR!$J$6="",ISNUMBER(SEARCH(BUSCAR!$J$6,$AI1248))),OR(BUSCAR!$J$8="",ISNUMBER(SEARCH(BUSCAR!$J$8,$AI1248))),OR(BUSCAR!$J$9="",ISNUMBER(SEARCH(BUSCAR!$J$9,$AI1248))),OR(NOT(BUSCAR!$J$2),AND(ISNUMBER($AF1248),$AF1248&gt;=BUSCAR!$J$3,$AF1248&lt;=BUSCAR!$J$4))),1,0))</f>
      </c>
      <c r="AH1248" s="42">
        <f t="shared" si="57"/>
      </c>
      <c r="AI1248" s="42">
        <f t="shared" si="58"/>
      </c>
    </row>
    <row r="1249" spans="1:35" x14ac:dyDescent="0.2">
      <c r="A1249" s="66">
        <f t="shared" si="59"/>
      </c>
      <c r="B1249" s="4"/>
      <c r="C1249" s="4"/>
      <c r="D1249" s="4"/>
      <c r="E1249" s="4"/>
      <c r="F1249" s="24"/>
      <c r="G1249" s="8"/>
      <c r="H1249" s="9"/>
      <c r="I1249" s="8"/>
      <c r="J1249" s="10"/>
      <c r="K1249" s="8"/>
      <c r="L1249" s="8"/>
      <c r="M1249" s="8"/>
      <c r="N1249" s="11"/>
      <c r="O1249" s="9"/>
      <c r="P1249" s="12"/>
      <c r="Q1249" s="9"/>
      <c r="R1249" s="13"/>
      <c r="S1249" s="11"/>
      <c r="T1249" s="11"/>
      <c r="U1249" s="9"/>
      <c r="V1249" s="9"/>
      <c r="W1249" s="9"/>
      <c r="X1249" s="16"/>
      <c r="AF1249" s="42">
        <f>IF(BUSCAR!$C$8="FECHA NAC.",$G1249,IF(BUSCAR!$C$8="PASAPORTE EXPIRA",$J1249,IF(BUSCAR!$C$8="LICENCIA EMISION",$L1249,IF(BUSCAR!$C$8="LICENCIA EXPIRA",$M1249,""))))</f>
      </c>
      <c r="AG1249" s="42">
        <f>IF($B1249&amp;$C1249&amp;$D1249&amp;$E1249&amp;$H1249="",0,IF(AND(OR(BUSCAR!$J$5="",ISNUMBER(SEARCH(BUSCAR!$J$5,$AI1249))),OR(BUSCAR!$J$6="",ISNUMBER(SEARCH(BUSCAR!$J$6,$AI1249))),OR(BUSCAR!$J$8="",ISNUMBER(SEARCH(BUSCAR!$J$8,$AI1249))),OR(BUSCAR!$J$9="",ISNUMBER(SEARCH(BUSCAR!$J$9,$AI1249))),OR(NOT(BUSCAR!$J$2),AND(ISNUMBER($AF1249),$AF1249&gt;=BUSCAR!$J$3,$AF1249&lt;=BUSCAR!$J$4))),1,0))</f>
      </c>
      <c r="AH1249" s="42">
        <f t="shared" si="57"/>
      </c>
      <c r="AI1249" s="42">
        <f t="shared" si="58"/>
      </c>
    </row>
    <row r="1250" spans="1:35" x14ac:dyDescent="0.2">
      <c r="A1250" s="66">
        <f t="shared" si="59"/>
      </c>
      <c r="B1250" s="4"/>
      <c r="C1250" s="4"/>
      <c r="D1250" s="4"/>
      <c r="E1250" s="4"/>
      <c r="F1250" s="24"/>
      <c r="G1250" s="8"/>
      <c r="H1250" s="9"/>
      <c r="I1250" s="8"/>
      <c r="J1250" s="10"/>
      <c r="K1250" s="8"/>
      <c r="L1250" s="8"/>
      <c r="M1250" s="8"/>
      <c r="N1250" s="11"/>
      <c r="O1250" s="9"/>
      <c r="P1250" s="12"/>
      <c r="Q1250" s="9"/>
      <c r="R1250" s="13"/>
      <c r="S1250" s="11"/>
      <c r="T1250" s="11"/>
      <c r="U1250" s="9"/>
      <c r="V1250" s="9"/>
      <c r="W1250" s="9"/>
      <c r="X1250" s="16"/>
      <c r="AF1250" s="42">
        <f>IF(BUSCAR!$C$8="FECHA NAC.",$G1250,IF(BUSCAR!$C$8="PASAPORTE EXPIRA",$J1250,IF(BUSCAR!$C$8="LICENCIA EMISION",$L1250,IF(BUSCAR!$C$8="LICENCIA EXPIRA",$M1250,""))))</f>
      </c>
      <c r="AG1250" s="42">
        <f>IF($B1250&amp;$C1250&amp;$D1250&amp;$E1250&amp;$H1250="",0,IF(AND(OR(BUSCAR!$J$5="",ISNUMBER(SEARCH(BUSCAR!$J$5,$AI1250))),OR(BUSCAR!$J$6="",ISNUMBER(SEARCH(BUSCAR!$J$6,$AI1250))),OR(BUSCAR!$J$8="",ISNUMBER(SEARCH(BUSCAR!$J$8,$AI1250))),OR(BUSCAR!$J$9="",ISNUMBER(SEARCH(BUSCAR!$J$9,$AI1250))),OR(NOT(BUSCAR!$J$2),AND(ISNUMBER($AF1250),$AF1250&gt;=BUSCAR!$J$3,$AF1250&lt;=BUSCAR!$J$4))),1,0))</f>
      </c>
      <c r="AH1250" s="42">
        <f t="shared" si="57"/>
      </c>
      <c r="AI1250" s="42">
        <f t="shared" si="58"/>
      </c>
    </row>
    <row r="1251" spans="1:35" x14ac:dyDescent="0.2">
      <c r="A1251" s="66">
        <f t="shared" si="59"/>
      </c>
      <c r="B1251" s="4"/>
      <c r="C1251" s="4"/>
      <c r="D1251" s="4"/>
      <c r="E1251" s="4"/>
      <c r="F1251" s="24"/>
      <c r="G1251" s="8"/>
      <c r="H1251" s="9"/>
      <c r="I1251" s="8"/>
      <c r="J1251" s="10"/>
      <c r="K1251" s="8"/>
      <c r="L1251" s="8"/>
      <c r="M1251" s="8"/>
      <c r="N1251" s="11"/>
      <c r="O1251" s="9"/>
      <c r="P1251" s="12"/>
      <c r="Q1251" s="9"/>
      <c r="R1251" s="13"/>
      <c r="S1251" s="11"/>
      <c r="T1251" s="11"/>
      <c r="U1251" s="9"/>
      <c r="V1251" s="9"/>
      <c r="W1251" s="9"/>
      <c r="X1251" s="16"/>
      <c r="AF1251" s="42">
        <f>IF(BUSCAR!$C$8="FECHA NAC.",$G1251,IF(BUSCAR!$C$8="PASAPORTE EXPIRA",$J1251,IF(BUSCAR!$C$8="LICENCIA EMISION",$L1251,IF(BUSCAR!$C$8="LICENCIA EXPIRA",$M1251,""))))</f>
      </c>
      <c r="AG1251" s="42">
        <f>IF($B1251&amp;$C1251&amp;$D1251&amp;$E1251&amp;$H1251="",0,IF(AND(OR(BUSCAR!$J$5="",ISNUMBER(SEARCH(BUSCAR!$J$5,$AI1251))),OR(BUSCAR!$J$6="",ISNUMBER(SEARCH(BUSCAR!$J$6,$AI1251))),OR(BUSCAR!$J$8="",ISNUMBER(SEARCH(BUSCAR!$J$8,$AI1251))),OR(BUSCAR!$J$9="",ISNUMBER(SEARCH(BUSCAR!$J$9,$AI1251))),OR(NOT(BUSCAR!$J$2),AND(ISNUMBER($AF1251),$AF1251&gt;=BUSCAR!$J$3,$AF1251&lt;=BUSCAR!$J$4))),1,0))</f>
      </c>
      <c r="AH1251" s="42">
        <f t="shared" si="57"/>
      </c>
      <c r="AI1251" s="42">
        <f t="shared" si="58"/>
      </c>
    </row>
    <row r="1252" spans="1:35" x14ac:dyDescent="0.2">
      <c r="A1252" s="66">
        <f t="shared" si="59"/>
      </c>
      <c r="B1252" s="4"/>
      <c r="C1252" s="4"/>
      <c r="D1252" s="4"/>
      <c r="E1252" s="4"/>
      <c r="F1252" s="24"/>
      <c r="G1252" s="8"/>
      <c r="H1252" s="9"/>
      <c r="I1252" s="8"/>
      <c r="J1252" s="10"/>
      <c r="K1252" s="8"/>
      <c r="L1252" s="8"/>
      <c r="M1252" s="8"/>
      <c r="N1252" s="11"/>
      <c r="O1252" s="9"/>
      <c r="P1252" s="12"/>
      <c r="Q1252" s="9"/>
      <c r="R1252" s="13"/>
      <c r="S1252" s="11"/>
      <c r="T1252" s="11"/>
      <c r="U1252" s="9"/>
      <c r="V1252" s="9"/>
      <c r="W1252" s="9"/>
      <c r="X1252" s="16"/>
      <c r="AF1252" s="42">
        <f>IF(BUSCAR!$C$8="FECHA NAC.",$G1252,IF(BUSCAR!$C$8="PASAPORTE EXPIRA",$J1252,IF(BUSCAR!$C$8="LICENCIA EMISION",$L1252,IF(BUSCAR!$C$8="LICENCIA EXPIRA",$M1252,""))))</f>
      </c>
      <c r="AG1252" s="42">
        <f>IF($B1252&amp;$C1252&amp;$D1252&amp;$E1252&amp;$H1252="",0,IF(AND(OR(BUSCAR!$J$5="",ISNUMBER(SEARCH(BUSCAR!$J$5,$AI1252))),OR(BUSCAR!$J$6="",ISNUMBER(SEARCH(BUSCAR!$J$6,$AI1252))),OR(BUSCAR!$J$8="",ISNUMBER(SEARCH(BUSCAR!$J$8,$AI1252))),OR(BUSCAR!$J$9="",ISNUMBER(SEARCH(BUSCAR!$J$9,$AI1252))),OR(NOT(BUSCAR!$J$2),AND(ISNUMBER($AF1252),$AF1252&gt;=BUSCAR!$J$3,$AF1252&lt;=BUSCAR!$J$4))),1,0))</f>
      </c>
      <c r="AH1252" s="42">
        <f t="shared" si="57"/>
      </c>
      <c r="AI1252" s="42">
        <f t="shared" si="58"/>
      </c>
    </row>
    <row r="1253" spans="1:35" x14ac:dyDescent="0.2">
      <c r="A1253" s="66">
        <f t="shared" si="59"/>
      </c>
      <c r="B1253" s="4"/>
      <c r="C1253" s="4"/>
      <c r="D1253" s="4"/>
      <c r="E1253" s="4"/>
      <c r="F1253" s="24"/>
      <c r="G1253" s="8"/>
      <c r="H1253" s="9"/>
      <c r="I1253" s="8"/>
      <c r="J1253" s="10"/>
      <c r="K1253" s="8"/>
      <c r="L1253" s="8"/>
      <c r="M1253" s="10"/>
      <c r="N1253" s="11"/>
      <c r="O1253" s="9"/>
      <c r="P1253" s="12"/>
      <c r="Q1253" s="9"/>
      <c r="R1253" s="13"/>
      <c r="S1253" s="11"/>
      <c r="T1253" s="11"/>
      <c r="U1253" s="9"/>
      <c r="V1253" s="9"/>
      <c r="W1253" s="9"/>
      <c r="X1253" s="16"/>
      <c r="AF1253" s="42">
        <f>IF(BUSCAR!$C$8="FECHA NAC.",$G1253,IF(BUSCAR!$C$8="PASAPORTE EXPIRA",$J1253,IF(BUSCAR!$C$8="LICENCIA EMISION",$L1253,IF(BUSCAR!$C$8="LICENCIA EXPIRA",$M1253,""))))</f>
      </c>
      <c r="AG1253" s="42">
        <f>IF($B1253&amp;$C1253&amp;$D1253&amp;$E1253&amp;$H1253="",0,IF(AND(OR(BUSCAR!$J$5="",ISNUMBER(SEARCH(BUSCAR!$J$5,$AI1253))),OR(BUSCAR!$J$6="",ISNUMBER(SEARCH(BUSCAR!$J$6,$AI1253))),OR(BUSCAR!$J$8="",ISNUMBER(SEARCH(BUSCAR!$J$8,$AI1253))),OR(BUSCAR!$J$9="",ISNUMBER(SEARCH(BUSCAR!$J$9,$AI1253))),OR(NOT(BUSCAR!$J$2),AND(ISNUMBER($AF1253),$AF1253&gt;=BUSCAR!$J$3,$AF1253&lt;=BUSCAR!$J$4))),1,0))</f>
      </c>
      <c r="AH1253" s="42">
        <f t="shared" si="57"/>
      </c>
      <c r="AI1253" s="42">
        <f t="shared" si="58"/>
      </c>
    </row>
    <row r="1254" spans="1:35" x14ac:dyDescent="0.2">
      <c r="A1254" s="66">
        <f t="shared" si="59"/>
      </c>
      <c r="B1254" s="4"/>
      <c r="C1254" s="4"/>
      <c r="D1254" s="4"/>
      <c r="E1254" s="4"/>
      <c r="F1254" s="24"/>
      <c r="G1254" s="8"/>
      <c r="H1254" s="9"/>
      <c r="I1254" s="8"/>
      <c r="J1254" s="10"/>
      <c r="K1254" s="8"/>
      <c r="L1254" s="8"/>
      <c r="M1254" s="8"/>
      <c r="N1254" s="11"/>
      <c r="O1254" s="9"/>
      <c r="P1254" s="12"/>
      <c r="Q1254" s="9"/>
      <c r="R1254" s="13"/>
      <c r="S1254" s="11"/>
      <c r="T1254" s="11"/>
      <c r="U1254" s="9"/>
      <c r="V1254" s="9"/>
      <c r="W1254" s="9"/>
      <c r="X1254" s="16"/>
      <c r="AF1254" s="42">
        <f>IF(BUSCAR!$C$8="FECHA NAC.",$G1254,IF(BUSCAR!$C$8="PASAPORTE EXPIRA",$J1254,IF(BUSCAR!$C$8="LICENCIA EMISION",$L1254,IF(BUSCAR!$C$8="LICENCIA EXPIRA",$M1254,""))))</f>
      </c>
      <c r="AG1254" s="42">
        <f>IF($B1254&amp;$C1254&amp;$D1254&amp;$E1254&amp;$H1254="",0,IF(AND(OR(BUSCAR!$J$5="",ISNUMBER(SEARCH(BUSCAR!$J$5,$AI1254))),OR(BUSCAR!$J$6="",ISNUMBER(SEARCH(BUSCAR!$J$6,$AI1254))),OR(BUSCAR!$J$8="",ISNUMBER(SEARCH(BUSCAR!$J$8,$AI1254))),OR(BUSCAR!$J$9="",ISNUMBER(SEARCH(BUSCAR!$J$9,$AI1254))),OR(NOT(BUSCAR!$J$2),AND(ISNUMBER($AF1254),$AF1254&gt;=BUSCAR!$J$3,$AF1254&lt;=BUSCAR!$J$4))),1,0))</f>
      </c>
      <c r="AH1254" s="42">
        <f t="shared" si="57"/>
      </c>
      <c r="AI1254" s="42">
        <f t="shared" si="58"/>
      </c>
    </row>
    <row r="1255" spans="1:35" x14ac:dyDescent="0.2">
      <c r="A1255" s="66">
        <f t="shared" si="59"/>
      </c>
      <c r="B1255" s="4"/>
      <c r="C1255" s="4"/>
      <c r="D1255" s="4"/>
      <c r="E1255" s="4"/>
      <c r="F1255" s="24"/>
      <c r="G1255" s="8"/>
      <c r="H1255" s="9"/>
      <c r="I1255" s="8"/>
      <c r="J1255" s="10"/>
      <c r="K1255" s="8"/>
      <c r="L1255" s="8"/>
      <c r="M1255" s="8"/>
      <c r="N1255" s="11"/>
      <c r="O1255" s="9"/>
      <c r="P1255" s="12"/>
      <c r="Q1255" s="9"/>
      <c r="R1255" s="13"/>
      <c r="S1255" s="11"/>
      <c r="T1255" s="11"/>
      <c r="U1255" s="9"/>
      <c r="V1255" s="9"/>
      <c r="W1255" s="9"/>
      <c r="X1255" s="16"/>
      <c r="AF1255" s="42">
        <f>IF(BUSCAR!$C$8="FECHA NAC.",$G1255,IF(BUSCAR!$C$8="PASAPORTE EXPIRA",$J1255,IF(BUSCAR!$C$8="LICENCIA EMISION",$L1255,IF(BUSCAR!$C$8="LICENCIA EXPIRA",$M1255,""))))</f>
      </c>
      <c r="AG1255" s="42">
        <f>IF($B1255&amp;$C1255&amp;$D1255&amp;$E1255&amp;$H1255="",0,IF(AND(OR(BUSCAR!$J$5="",ISNUMBER(SEARCH(BUSCAR!$J$5,$AI1255))),OR(BUSCAR!$J$6="",ISNUMBER(SEARCH(BUSCAR!$J$6,$AI1255))),OR(BUSCAR!$J$8="",ISNUMBER(SEARCH(BUSCAR!$J$8,$AI1255))),OR(BUSCAR!$J$9="",ISNUMBER(SEARCH(BUSCAR!$J$9,$AI1255))),OR(NOT(BUSCAR!$J$2),AND(ISNUMBER($AF1255),$AF1255&gt;=BUSCAR!$J$3,$AF1255&lt;=BUSCAR!$J$4))),1,0))</f>
      </c>
      <c r="AH1255" s="42">
        <f t="shared" si="57"/>
      </c>
      <c r="AI1255" s="42">
        <f t="shared" si="58"/>
      </c>
    </row>
    <row r="1256" spans="1:35" x14ac:dyDescent="0.2">
      <c r="A1256" s="66">
        <f t="shared" si="59"/>
      </c>
      <c r="B1256" s="4"/>
      <c r="C1256" s="4"/>
      <c r="D1256" s="4"/>
      <c r="E1256" s="4"/>
      <c r="F1256" s="24"/>
      <c r="G1256" s="8"/>
      <c r="H1256" s="9"/>
      <c r="I1256" s="8"/>
      <c r="J1256" s="10"/>
      <c r="K1256" s="8"/>
      <c r="L1256" s="8"/>
      <c r="M1256" s="8"/>
      <c r="N1256" s="11"/>
      <c r="O1256" s="9"/>
      <c r="P1256" s="12"/>
      <c r="Q1256" s="9"/>
      <c r="R1256" s="13"/>
      <c r="S1256" s="11"/>
      <c r="T1256" s="11"/>
      <c r="U1256" s="9"/>
      <c r="V1256" s="9"/>
      <c r="W1256" s="9"/>
      <c r="X1256" s="16"/>
      <c r="AF1256" s="42">
        <f>IF(BUSCAR!$C$8="FECHA NAC.",$G1256,IF(BUSCAR!$C$8="PASAPORTE EXPIRA",$J1256,IF(BUSCAR!$C$8="LICENCIA EMISION",$L1256,IF(BUSCAR!$C$8="LICENCIA EXPIRA",$M1256,""))))</f>
      </c>
      <c r="AG1256" s="42">
        <f>IF($B1256&amp;$C1256&amp;$D1256&amp;$E1256&amp;$H1256="",0,IF(AND(OR(BUSCAR!$J$5="",ISNUMBER(SEARCH(BUSCAR!$J$5,$AI1256))),OR(BUSCAR!$J$6="",ISNUMBER(SEARCH(BUSCAR!$J$6,$AI1256))),OR(BUSCAR!$J$8="",ISNUMBER(SEARCH(BUSCAR!$J$8,$AI1256))),OR(BUSCAR!$J$9="",ISNUMBER(SEARCH(BUSCAR!$J$9,$AI1256))),OR(NOT(BUSCAR!$J$2),AND(ISNUMBER($AF1256),$AF1256&gt;=BUSCAR!$J$3,$AF1256&lt;=BUSCAR!$J$4))),1,0))</f>
      </c>
      <c r="AH1256" s="42">
        <f t="shared" si="57"/>
      </c>
      <c r="AI1256" s="42">
        <f t="shared" si="58"/>
      </c>
    </row>
    <row r="1257" spans="1:35" x14ac:dyDescent="0.2">
      <c r="A1257" s="66">
        <f t="shared" si="59"/>
      </c>
      <c r="B1257" s="4"/>
      <c r="C1257" s="4"/>
      <c r="D1257" s="4"/>
      <c r="E1257" s="4"/>
      <c r="F1257" s="24"/>
      <c r="G1257" s="8"/>
      <c r="H1257" s="9"/>
      <c r="I1257" s="8"/>
      <c r="J1257" s="10"/>
      <c r="K1257" s="8"/>
      <c r="L1257" s="8"/>
      <c r="M1257" s="8"/>
      <c r="N1257" s="11"/>
      <c r="O1257" s="9"/>
      <c r="P1257" s="12"/>
      <c r="Q1257" s="9"/>
      <c r="R1257" s="13"/>
      <c r="S1257" s="11"/>
      <c r="T1257" s="11"/>
      <c r="U1257" s="9"/>
      <c r="V1257" s="9"/>
      <c r="W1257" s="9"/>
      <c r="X1257" s="16"/>
      <c r="AF1257" s="42">
        <f>IF(BUSCAR!$C$8="FECHA NAC.",$G1257,IF(BUSCAR!$C$8="PASAPORTE EXPIRA",$J1257,IF(BUSCAR!$C$8="LICENCIA EMISION",$L1257,IF(BUSCAR!$C$8="LICENCIA EXPIRA",$M1257,""))))</f>
      </c>
      <c r="AG1257" s="42">
        <f>IF($B1257&amp;$C1257&amp;$D1257&amp;$E1257&amp;$H1257="",0,IF(AND(OR(BUSCAR!$J$5="",ISNUMBER(SEARCH(BUSCAR!$J$5,$AI1257))),OR(BUSCAR!$J$6="",ISNUMBER(SEARCH(BUSCAR!$J$6,$AI1257))),OR(BUSCAR!$J$8="",ISNUMBER(SEARCH(BUSCAR!$J$8,$AI1257))),OR(BUSCAR!$J$9="",ISNUMBER(SEARCH(BUSCAR!$J$9,$AI1257))),OR(NOT(BUSCAR!$J$2),AND(ISNUMBER($AF1257),$AF1257&gt;=BUSCAR!$J$3,$AF1257&lt;=BUSCAR!$J$4))),1,0))</f>
      </c>
      <c r="AH1257" s="42">
        <f t="shared" si="57"/>
      </c>
      <c r="AI1257" s="42">
        <f t="shared" si="58"/>
      </c>
    </row>
    <row r="1258" spans="1:35" x14ac:dyDescent="0.2">
      <c r="A1258" s="66">
        <f t="shared" si="59"/>
      </c>
      <c r="B1258" s="4"/>
      <c r="C1258" s="4"/>
      <c r="D1258" s="4"/>
      <c r="E1258" s="4"/>
      <c r="F1258" s="24"/>
      <c r="G1258" s="8"/>
      <c r="H1258" s="9"/>
      <c r="I1258" s="8"/>
      <c r="J1258" s="10"/>
      <c r="K1258" s="8"/>
      <c r="L1258" s="8"/>
      <c r="M1258" s="8"/>
      <c r="N1258" s="11"/>
      <c r="O1258" s="9"/>
      <c r="P1258" s="12"/>
      <c r="Q1258" s="9"/>
      <c r="R1258" s="13"/>
      <c r="S1258" s="11"/>
      <c r="T1258" s="11"/>
      <c r="U1258" s="9"/>
      <c r="V1258" s="9"/>
      <c r="W1258" s="9"/>
      <c r="X1258" s="16"/>
      <c r="AF1258" s="42">
        <f>IF(BUSCAR!$C$8="FECHA NAC.",$G1258,IF(BUSCAR!$C$8="PASAPORTE EXPIRA",$J1258,IF(BUSCAR!$C$8="LICENCIA EMISION",$L1258,IF(BUSCAR!$C$8="LICENCIA EXPIRA",$M1258,""))))</f>
      </c>
      <c r="AG1258" s="42">
        <f>IF($B1258&amp;$C1258&amp;$D1258&amp;$E1258&amp;$H1258="",0,IF(AND(OR(BUSCAR!$J$5="",ISNUMBER(SEARCH(BUSCAR!$J$5,$AI1258))),OR(BUSCAR!$J$6="",ISNUMBER(SEARCH(BUSCAR!$J$6,$AI1258))),OR(BUSCAR!$J$8="",ISNUMBER(SEARCH(BUSCAR!$J$8,$AI1258))),OR(BUSCAR!$J$9="",ISNUMBER(SEARCH(BUSCAR!$J$9,$AI1258))),OR(NOT(BUSCAR!$J$2),AND(ISNUMBER($AF1258),$AF1258&gt;=BUSCAR!$J$3,$AF1258&lt;=BUSCAR!$J$4))),1,0))</f>
      </c>
      <c r="AH1258" s="42">
        <f t="shared" si="57"/>
      </c>
      <c r="AI1258" s="42">
        <f t="shared" si="58"/>
      </c>
    </row>
    <row r="1259" spans="1:35" x14ac:dyDescent="0.2">
      <c r="A1259" s="66">
        <f t="shared" si="59"/>
      </c>
      <c r="B1259" s="4"/>
      <c r="C1259" s="4"/>
      <c r="D1259" s="4"/>
      <c r="E1259" s="4"/>
      <c r="F1259" s="24"/>
      <c r="G1259" s="8"/>
      <c r="H1259" s="9"/>
      <c r="I1259" s="8"/>
      <c r="J1259" s="10"/>
      <c r="K1259" s="8"/>
      <c r="L1259" s="8"/>
      <c r="M1259" s="8"/>
      <c r="N1259" s="11"/>
      <c r="O1259" s="9"/>
      <c r="P1259" s="12"/>
      <c r="Q1259" s="9"/>
      <c r="R1259" s="13"/>
      <c r="S1259" s="11"/>
      <c r="T1259" s="11"/>
      <c r="U1259" s="9"/>
      <c r="V1259" s="9"/>
      <c r="W1259" s="9"/>
      <c r="X1259" s="16"/>
      <c r="AF1259" s="42">
        <f>IF(BUSCAR!$C$8="FECHA NAC.",$G1259,IF(BUSCAR!$C$8="PASAPORTE EXPIRA",$J1259,IF(BUSCAR!$C$8="LICENCIA EMISION",$L1259,IF(BUSCAR!$C$8="LICENCIA EXPIRA",$M1259,""))))</f>
      </c>
      <c r="AG1259" s="42">
        <f>IF($B1259&amp;$C1259&amp;$D1259&amp;$E1259&amp;$H1259="",0,IF(AND(OR(BUSCAR!$J$5="",ISNUMBER(SEARCH(BUSCAR!$J$5,$AI1259))),OR(BUSCAR!$J$6="",ISNUMBER(SEARCH(BUSCAR!$J$6,$AI1259))),OR(BUSCAR!$J$8="",ISNUMBER(SEARCH(BUSCAR!$J$8,$AI1259))),OR(BUSCAR!$J$9="",ISNUMBER(SEARCH(BUSCAR!$J$9,$AI1259))),OR(NOT(BUSCAR!$J$2),AND(ISNUMBER($AF1259),$AF1259&gt;=BUSCAR!$J$3,$AF1259&lt;=BUSCAR!$J$4))),1,0))</f>
      </c>
      <c r="AH1259" s="42">
        <f t="shared" si="57"/>
      </c>
      <c r="AI1259" s="42">
        <f t="shared" si="58"/>
      </c>
    </row>
    <row r="1260" spans="1:35" x14ac:dyDescent="0.2">
      <c r="A1260" s="66">
        <f t="shared" si="59"/>
      </c>
      <c r="B1260" s="4"/>
      <c r="C1260" s="4"/>
      <c r="D1260" s="4"/>
      <c r="E1260" s="4"/>
      <c r="F1260" s="24"/>
      <c r="G1260" s="8"/>
      <c r="H1260" s="9"/>
      <c r="I1260" s="8"/>
      <c r="J1260" s="10"/>
      <c r="K1260" s="8"/>
      <c r="L1260" s="8"/>
      <c r="M1260" s="8"/>
      <c r="N1260" s="11"/>
      <c r="O1260" s="9"/>
      <c r="P1260" s="12"/>
      <c r="Q1260" s="9"/>
      <c r="R1260" s="13"/>
      <c r="S1260" s="11"/>
      <c r="T1260" s="11"/>
      <c r="U1260" s="9"/>
      <c r="V1260" s="9"/>
      <c r="W1260" s="9"/>
      <c r="X1260" s="16"/>
      <c r="AF1260" s="42">
        <f>IF(BUSCAR!$C$8="FECHA NAC.",$G1260,IF(BUSCAR!$C$8="PASAPORTE EXPIRA",$J1260,IF(BUSCAR!$C$8="LICENCIA EMISION",$L1260,IF(BUSCAR!$C$8="LICENCIA EXPIRA",$M1260,""))))</f>
      </c>
      <c r="AG1260" s="42">
        <f>IF($B1260&amp;$C1260&amp;$D1260&amp;$E1260&amp;$H1260="",0,IF(AND(OR(BUSCAR!$J$5="",ISNUMBER(SEARCH(BUSCAR!$J$5,$AI1260))),OR(BUSCAR!$J$6="",ISNUMBER(SEARCH(BUSCAR!$J$6,$AI1260))),OR(BUSCAR!$J$8="",ISNUMBER(SEARCH(BUSCAR!$J$8,$AI1260))),OR(BUSCAR!$J$9="",ISNUMBER(SEARCH(BUSCAR!$J$9,$AI1260))),OR(NOT(BUSCAR!$J$2),AND(ISNUMBER($AF1260),$AF1260&gt;=BUSCAR!$J$3,$AF1260&lt;=BUSCAR!$J$4))),1,0))</f>
      </c>
      <c r="AH1260" s="42">
        <f t="shared" si="57"/>
      </c>
      <c r="AI1260" s="42">
        <f t="shared" si="58"/>
      </c>
    </row>
    <row r="1261" spans="1:35" x14ac:dyDescent="0.2">
      <c r="A1261" s="66">
        <f t="shared" si="59"/>
      </c>
      <c r="B1261" s="4"/>
      <c r="C1261" s="4"/>
      <c r="D1261" s="4"/>
      <c r="E1261" s="4"/>
      <c r="F1261" s="24"/>
      <c r="G1261" s="8"/>
      <c r="H1261" s="9"/>
      <c r="I1261" s="8"/>
      <c r="J1261" s="10"/>
      <c r="K1261" s="8"/>
      <c r="L1261" s="8"/>
      <c r="M1261" s="8"/>
      <c r="N1261" s="11"/>
      <c r="O1261" s="9"/>
      <c r="P1261" s="12"/>
      <c r="Q1261" s="9"/>
      <c r="R1261" s="13"/>
      <c r="S1261" s="11"/>
      <c r="T1261" s="11"/>
      <c r="U1261" s="9"/>
      <c r="V1261" s="9"/>
      <c r="W1261" s="9"/>
      <c r="X1261" s="16"/>
      <c r="AF1261" s="42">
        <f>IF(BUSCAR!$C$8="FECHA NAC.",$G1261,IF(BUSCAR!$C$8="PASAPORTE EXPIRA",$J1261,IF(BUSCAR!$C$8="LICENCIA EMISION",$L1261,IF(BUSCAR!$C$8="LICENCIA EXPIRA",$M1261,""))))</f>
      </c>
      <c r="AG1261" s="42">
        <f>IF($B1261&amp;$C1261&amp;$D1261&amp;$E1261&amp;$H1261="",0,IF(AND(OR(BUSCAR!$J$5="",ISNUMBER(SEARCH(BUSCAR!$J$5,$AI1261))),OR(BUSCAR!$J$6="",ISNUMBER(SEARCH(BUSCAR!$J$6,$AI1261))),OR(BUSCAR!$J$8="",ISNUMBER(SEARCH(BUSCAR!$J$8,$AI1261))),OR(BUSCAR!$J$9="",ISNUMBER(SEARCH(BUSCAR!$J$9,$AI1261))),OR(NOT(BUSCAR!$J$2),AND(ISNUMBER($AF1261),$AF1261&gt;=BUSCAR!$J$3,$AF1261&lt;=BUSCAR!$J$4))),1,0))</f>
      </c>
      <c r="AH1261" s="42">
        <f t="shared" si="57"/>
      </c>
      <c r="AI1261" s="42">
        <f t="shared" si="58"/>
      </c>
    </row>
    <row r="1262" spans="1:35" x14ac:dyDescent="0.2">
      <c r="A1262" s="66">
        <f t="shared" si="59"/>
      </c>
      <c r="B1262" s="4"/>
      <c r="C1262" s="4"/>
      <c r="D1262" s="4"/>
      <c r="E1262" s="4"/>
      <c r="F1262" s="24"/>
      <c r="G1262" s="8"/>
      <c r="H1262" s="9"/>
      <c r="I1262" s="8"/>
      <c r="J1262" s="10"/>
      <c r="K1262" s="8"/>
      <c r="L1262" s="8"/>
      <c r="M1262" s="8"/>
      <c r="N1262" s="11"/>
      <c r="O1262" s="9"/>
      <c r="P1262" s="12"/>
      <c r="Q1262" s="9"/>
      <c r="R1262" s="13"/>
      <c r="S1262" s="11"/>
      <c r="T1262" s="11"/>
      <c r="U1262" s="9"/>
      <c r="V1262" s="9"/>
      <c r="W1262" s="9"/>
      <c r="X1262" s="16"/>
      <c r="AF1262" s="42">
        <f>IF(BUSCAR!$C$8="FECHA NAC.",$G1262,IF(BUSCAR!$C$8="PASAPORTE EXPIRA",$J1262,IF(BUSCAR!$C$8="LICENCIA EMISION",$L1262,IF(BUSCAR!$C$8="LICENCIA EXPIRA",$M1262,""))))</f>
      </c>
      <c r="AG1262" s="42">
        <f>IF($B1262&amp;$C1262&amp;$D1262&amp;$E1262&amp;$H1262="",0,IF(AND(OR(BUSCAR!$J$5="",ISNUMBER(SEARCH(BUSCAR!$J$5,$AI1262))),OR(BUSCAR!$J$6="",ISNUMBER(SEARCH(BUSCAR!$J$6,$AI1262))),OR(BUSCAR!$J$8="",ISNUMBER(SEARCH(BUSCAR!$J$8,$AI1262))),OR(BUSCAR!$J$9="",ISNUMBER(SEARCH(BUSCAR!$J$9,$AI1262))),OR(NOT(BUSCAR!$J$2),AND(ISNUMBER($AF1262),$AF1262&gt;=BUSCAR!$J$3,$AF1262&lt;=BUSCAR!$J$4))),1,0))</f>
      </c>
      <c r="AH1262" s="42">
        <f t="shared" si="57"/>
      </c>
      <c r="AI1262" s="42">
        <f t="shared" si="58"/>
      </c>
    </row>
    <row r="1263" spans="1:35" x14ac:dyDescent="0.2">
      <c r="A1263" s="66">
        <f t="shared" si="59"/>
      </c>
      <c r="B1263" s="4"/>
      <c r="C1263" s="4"/>
      <c r="D1263" s="4"/>
      <c r="E1263" s="4"/>
      <c r="F1263" s="24"/>
      <c r="G1263" s="8"/>
      <c r="H1263" s="9"/>
      <c r="I1263" s="8"/>
      <c r="J1263" s="10"/>
      <c r="K1263" s="8"/>
      <c r="L1263" s="8"/>
      <c r="M1263" s="8"/>
      <c r="N1263" s="11"/>
      <c r="O1263" s="9"/>
      <c r="P1263" s="12"/>
      <c r="Q1263" s="9"/>
      <c r="R1263" s="13"/>
      <c r="S1263" s="11"/>
      <c r="T1263" s="11"/>
      <c r="U1263" s="9"/>
      <c r="V1263" s="9"/>
      <c r="W1263" s="9"/>
      <c r="X1263" s="16"/>
      <c r="AF1263" s="42">
        <f>IF(BUSCAR!$C$8="FECHA NAC.",$G1263,IF(BUSCAR!$C$8="PASAPORTE EXPIRA",$J1263,IF(BUSCAR!$C$8="LICENCIA EMISION",$L1263,IF(BUSCAR!$C$8="LICENCIA EXPIRA",$M1263,""))))</f>
      </c>
      <c r="AG1263" s="42">
        <f>IF($B1263&amp;$C1263&amp;$D1263&amp;$E1263&amp;$H1263="",0,IF(AND(OR(BUSCAR!$J$5="",ISNUMBER(SEARCH(BUSCAR!$J$5,$AI1263))),OR(BUSCAR!$J$6="",ISNUMBER(SEARCH(BUSCAR!$J$6,$AI1263))),OR(BUSCAR!$J$8="",ISNUMBER(SEARCH(BUSCAR!$J$8,$AI1263))),OR(BUSCAR!$J$9="",ISNUMBER(SEARCH(BUSCAR!$J$9,$AI1263))),OR(NOT(BUSCAR!$J$2),AND(ISNUMBER($AF1263),$AF1263&gt;=BUSCAR!$J$3,$AF1263&lt;=BUSCAR!$J$4))),1,0))</f>
      </c>
      <c r="AH1263" s="42">
        <f t="shared" si="57"/>
      </c>
      <c r="AI1263" s="42">
        <f t="shared" si="58"/>
      </c>
    </row>
    <row r="1264" spans="1:35" x14ac:dyDescent="0.2">
      <c r="A1264" s="66">
        <f t="shared" si="59"/>
      </c>
      <c r="B1264" s="4"/>
      <c r="C1264" s="4"/>
      <c r="D1264" s="4"/>
      <c r="E1264" s="4"/>
      <c r="F1264" s="24"/>
      <c r="G1264" s="8"/>
      <c r="H1264" s="9"/>
      <c r="I1264" s="8"/>
      <c r="J1264" s="10"/>
      <c r="K1264" s="8"/>
      <c r="L1264" s="8"/>
      <c r="M1264" s="8"/>
      <c r="N1264" s="11"/>
      <c r="O1264" s="9"/>
      <c r="P1264" s="12"/>
      <c r="Q1264" s="9"/>
      <c r="R1264" s="13"/>
      <c r="S1264" s="11"/>
      <c r="T1264" s="11"/>
      <c r="U1264" s="9"/>
      <c r="V1264" s="9"/>
      <c r="W1264" s="9"/>
      <c r="X1264" s="16"/>
      <c r="AF1264" s="42">
        <f>IF(BUSCAR!$C$8="FECHA NAC.",$G1264,IF(BUSCAR!$C$8="PASAPORTE EXPIRA",$J1264,IF(BUSCAR!$C$8="LICENCIA EMISION",$L1264,IF(BUSCAR!$C$8="LICENCIA EXPIRA",$M1264,""))))</f>
      </c>
      <c r="AG1264" s="42">
        <f>IF($B1264&amp;$C1264&amp;$D1264&amp;$E1264&amp;$H1264="",0,IF(AND(OR(BUSCAR!$J$5="",ISNUMBER(SEARCH(BUSCAR!$J$5,$AI1264))),OR(BUSCAR!$J$6="",ISNUMBER(SEARCH(BUSCAR!$J$6,$AI1264))),OR(BUSCAR!$J$8="",ISNUMBER(SEARCH(BUSCAR!$J$8,$AI1264))),OR(BUSCAR!$J$9="",ISNUMBER(SEARCH(BUSCAR!$J$9,$AI1264))),OR(NOT(BUSCAR!$J$2),AND(ISNUMBER($AF1264),$AF1264&gt;=BUSCAR!$J$3,$AF1264&lt;=BUSCAR!$J$4))),1,0))</f>
      </c>
      <c r="AH1264" s="42">
        <f t="shared" si="57"/>
      </c>
      <c r="AI1264" s="42">
        <f t="shared" si="58"/>
      </c>
    </row>
    <row r="1265" spans="1:35" x14ac:dyDescent="0.2">
      <c r="A1265" s="66">
        <f t="shared" si="59"/>
      </c>
      <c r="B1265" s="4"/>
      <c r="C1265" s="4"/>
      <c r="D1265" s="4"/>
      <c r="E1265" s="4"/>
      <c r="F1265" s="24"/>
      <c r="G1265" s="8"/>
      <c r="H1265" s="9"/>
      <c r="I1265" s="8"/>
      <c r="J1265" s="10"/>
      <c r="K1265" s="8"/>
      <c r="L1265" s="8"/>
      <c r="M1265" s="8"/>
      <c r="N1265" s="11"/>
      <c r="O1265" s="9"/>
      <c r="P1265" s="12"/>
      <c r="Q1265" s="9"/>
      <c r="R1265" s="13"/>
      <c r="S1265" s="11"/>
      <c r="T1265" s="11"/>
      <c r="U1265" s="9"/>
      <c r="V1265" s="9"/>
      <c r="W1265" s="9"/>
      <c r="X1265" s="16"/>
      <c r="AF1265" s="42">
        <f>IF(BUSCAR!$C$8="FECHA NAC.",$G1265,IF(BUSCAR!$C$8="PASAPORTE EXPIRA",$J1265,IF(BUSCAR!$C$8="LICENCIA EMISION",$L1265,IF(BUSCAR!$C$8="LICENCIA EXPIRA",$M1265,""))))</f>
      </c>
      <c r="AG1265" s="42">
        <f>IF($B1265&amp;$C1265&amp;$D1265&amp;$E1265&amp;$H1265="",0,IF(AND(OR(BUSCAR!$J$5="",ISNUMBER(SEARCH(BUSCAR!$J$5,$AI1265))),OR(BUSCAR!$J$6="",ISNUMBER(SEARCH(BUSCAR!$J$6,$AI1265))),OR(BUSCAR!$J$8="",ISNUMBER(SEARCH(BUSCAR!$J$8,$AI1265))),OR(BUSCAR!$J$9="",ISNUMBER(SEARCH(BUSCAR!$J$9,$AI1265))),OR(NOT(BUSCAR!$J$2),AND(ISNUMBER($AF1265),$AF1265&gt;=BUSCAR!$J$3,$AF1265&lt;=BUSCAR!$J$4))),1,0))</f>
      </c>
      <c r="AH1265" s="42">
        <f t="shared" si="57"/>
      </c>
      <c r="AI1265" s="42">
        <f t="shared" si="58"/>
      </c>
    </row>
    <row r="1266" spans="1:35" x14ac:dyDescent="0.2">
      <c r="A1266" s="66">
        <f t="shared" si="59"/>
      </c>
      <c r="B1266" s="4"/>
      <c r="C1266" s="4"/>
      <c r="D1266" s="4"/>
      <c r="E1266" s="4"/>
      <c r="F1266" s="24"/>
      <c r="G1266" s="8"/>
      <c r="H1266" s="9"/>
      <c r="I1266" s="8"/>
      <c r="J1266" s="10"/>
      <c r="K1266" s="8"/>
      <c r="L1266" s="8"/>
      <c r="M1266" s="8"/>
      <c r="N1266" s="11"/>
      <c r="O1266" s="9"/>
      <c r="P1266" s="12"/>
      <c r="Q1266" s="9"/>
      <c r="R1266" s="13"/>
      <c r="S1266" s="11"/>
      <c r="T1266" s="11"/>
      <c r="U1266" s="9"/>
      <c r="V1266" s="9"/>
      <c r="W1266" s="9"/>
      <c r="X1266" s="16"/>
      <c r="AF1266" s="42">
        <f>IF(BUSCAR!$C$8="FECHA NAC.",$G1266,IF(BUSCAR!$C$8="PASAPORTE EXPIRA",$J1266,IF(BUSCAR!$C$8="LICENCIA EMISION",$L1266,IF(BUSCAR!$C$8="LICENCIA EXPIRA",$M1266,""))))</f>
      </c>
      <c r="AG1266" s="42">
        <f>IF($B1266&amp;$C1266&amp;$D1266&amp;$E1266&amp;$H1266="",0,IF(AND(OR(BUSCAR!$J$5="",ISNUMBER(SEARCH(BUSCAR!$J$5,$AI1266))),OR(BUSCAR!$J$6="",ISNUMBER(SEARCH(BUSCAR!$J$6,$AI1266))),OR(BUSCAR!$J$8="",ISNUMBER(SEARCH(BUSCAR!$J$8,$AI1266))),OR(BUSCAR!$J$9="",ISNUMBER(SEARCH(BUSCAR!$J$9,$AI1266))),OR(NOT(BUSCAR!$J$2),AND(ISNUMBER($AF1266),$AF1266&gt;=BUSCAR!$J$3,$AF1266&lt;=BUSCAR!$J$4))),1,0))</f>
      </c>
      <c r="AH1266" s="42">
        <f t="shared" si="57"/>
      </c>
      <c r="AI1266" s="42">
        <f t="shared" si="58"/>
      </c>
    </row>
    <row r="1267" spans="1:35" x14ac:dyDescent="0.2">
      <c r="A1267" s="66">
        <f t="shared" si="59"/>
      </c>
      <c r="B1267" s="4"/>
      <c r="C1267" s="4"/>
      <c r="D1267" s="4"/>
      <c r="E1267" s="4"/>
      <c r="F1267" s="24"/>
      <c r="G1267" s="8"/>
      <c r="H1267" s="9"/>
      <c r="I1267" s="8"/>
      <c r="J1267" s="10"/>
      <c r="K1267" s="8"/>
      <c r="L1267" s="8"/>
      <c r="M1267" s="8"/>
      <c r="N1267" s="11"/>
      <c r="O1267" s="9"/>
      <c r="P1267" s="12"/>
      <c r="Q1267" s="9"/>
      <c r="R1267" s="13"/>
      <c r="S1267" s="11"/>
      <c r="T1267" s="11"/>
      <c r="U1267" s="9"/>
      <c r="V1267" s="9"/>
      <c r="W1267" s="9"/>
      <c r="X1267" s="16"/>
      <c r="AF1267" s="42">
        <f>IF(BUSCAR!$C$8="FECHA NAC.",$G1267,IF(BUSCAR!$C$8="PASAPORTE EXPIRA",$J1267,IF(BUSCAR!$C$8="LICENCIA EMISION",$L1267,IF(BUSCAR!$C$8="LICENCIA EXPIRA",$M1267,""))))</f>
      </c>
      <c r="AG1267" s="42">
        <f>IF($B1267&amp;$C1267&amp;$D1267&amp;$E1267&amp;$H1267="",0,IF(AND(OR(BUSCAR!$J$5="",ISNUMBER(SEARCH(BUSCAR!$J$5,$AI1267))),OR(BUSCAR!$J$6="",ISNUMBER(SEARCH(BUSCAR!$J$6,$AI1267))),OR(BUSCAR!$J$8="",ISNUMBER(SEARCH(BUSCAR!$J$8,$AI1267))),OR(BUSCAR!$J$9="",ISNUMBER(SEARCH(BUSCAR!$J$9,$AI1267))),OR(NOT(BUSCAR!$J$2),AND(ISNUMBER($AF1267),$AF1267&gt;=BUSCAR!$J$3,$AF1267&lt;=BUSCAR!$J$4))),1,0))</f>
      </c>
      <c r="AH1267" s="42">
        <f t="shared" si="57"/>
      </c>
      <c r="AI1267" s="42">
        <f t="shared" si="58"/>
      </c>
    </row>
    <row r="1268" spans="1:35" x14ac:dyDescent="0.2">
      <c r="A1268" s="66">
        <f t="shared" si="59"/>
      </c>
      <c r="B1268" s="4"/>
      <c r="C1268" s="4"/>
      <c r="D1268" s="4"/>
      <c r="E1268" s="4"/>
      <c r="F1268" s="24"/>
      <c r="G1268" s="8"/>
      <c r="H1268" s="9"/>
      <c r="I1268" s="8"/>
      <c r="J1268" s="10"/>
      <c r="K1268" s="8"/>
      <c r="L1268" s="8"/>
      <c r="M1268" s="8"/>
      <c r="N1268" s="11"/>
      <c r="O1268" s="9"/>
      <c r="P1268" s="12"/>
      <c r="Q1268" s="9"/>
      <c r="R1268" s="13"/>
      <c r="S1268" s="11"/>
      <c r="T1268" s="11"/>
      <c r="U1268" s="9"/>
      <c r="V1268" s="9"/>
      <c r="W1268" s="9"/>
      <c r="X1268" s="16"/>
      <c r="AF1268" s="42">
        <f>IF(BUSCAR!$C$8="FECHA NAC.",$G1268,IF(BUSCAR!$C$8="PASAPORTE EXPIRA",$J1268,IF(BUSCAR!$C$8="LICENCIA EMISION",$L1268,IF(BUSCAR!$C$8="LICENCIA EXPIRA",$M1268,""))))</f>
      </c>
      <c r="AG1268" s="42">
        <f>IF($B1268&amp;$C1268&amp;$D1268&amp;$E1268&amp;$H1268="",0,IF(AND(OR(BUSCAR!$J$5="",ISNUMBER(SEARCH(BUSCAR!$J$5,$AI1268))),OR(BUSCAR!$J$6="",ISNUMBER(SEARCH(BUSCAR!$J$6,$AI1268))),OR(BUSCAR!$J$8="",ISNUMBER(SEARCH(BUSCAR!$J$8,$AI1268))),OR(BUSCAR!$J$9="",ISNUMBER(SEARCH(BUSCAR!$J$9,$AI1268))),OR(NOT(BUSCAR!$J$2),AND(ISNUMBER($AF1268),$AF1268&gt;=BUSCAR!$J$3,$AF1268&lt;=BUSCAR!$J$4))),1,0))</f>
      </c>
      <c r="AH1268" s="42">
        <f t="shared" si="57"/>
      </c>
      <c r="AI1268" s="42">
        <f t="shared" si="58"/>
      </c>
    </row>
    <row r="1269" spans="1:35" x14ac:dyDescent="0.2">
      <c r="A1269" s="66">
        <f t="shared" si="59"/>
      </c>
      <c r="B1269" s="4"/>
      <c r="C1269" s="4"/>
      <c r="D1269" s="4"/>
      <c r="E1269" s="4"/>
      <c r="F1269" s="24"/>
      <c r="G1269" s="8"/>
      <c r="H1269" s="9"/>
      <c r="I1269" s="8"/>
      <c r="J1269" s="10"/>
      <c r="K1269" s="8"/>
      <c r="L1269" s="8"/>
      <c r="M1269" s="8"/>
      <c r="N1269" s="11"/>
      <c r="O1269" s="9"/>
      <c r="P1269" s="12"/>
      <c r="Q1269" s="9"/>
      <c r="R1269" s="13"/>
      <c r="S1269" s="11"/>
      <c r="T1269" s="11"/>
      <c r="U1269" s="9"/>
      <c r="V1269" s="9"/>
      <c r="W1269" s="9"/>
      <c r="X1269" s="16"/>
      <c r="AF1269" s="42">
        <f>IF(BUSCAR!$C$8="FECHA NAC.",$G1269,IF(BUSCAR!$C$8="PASAPORTE EXPIRA",$J1269,IF(BUSCAR!$C$8="LICENCIA EMISION",$L1269,IF(BUSCAR!$C$8="LICENCIA EXPIRA",$M1269,""))))</f>
      </c>
      <c r="AG1269" s="42">
        <f>IF($B1269&amp;$C1269&amp;$D1269&amp;$E1269&amp;$H1269="",0,IF(AND(OR(BUSCAR!$J$5="",ISNUMBER(SEARCH(BUSCAR!$J$5,$AI1269))),OR(BUSCAR!$J$6="",ISNUMBER(SEARCH(BUSCAR!$J$6,$AI1269))),OR(BUSCAR!$J$8="",ISNUMBER(SEARCH(BUSCAR!$J$8,$AI1269))),OR(BUSCAR!$J$9="",ISNUMBER(SEARCH(BUSCAR!$J$9,$AI1269))),OR(NOT(BUSCAR!$J$2),AND(ISNUMBER($AF1269),$AF1269&gt;=BUSCAR!$J$3,$AF1269&lt;=BUSCAR!$J$4))),1,0))</f>
      </c>
      <c r="AH1269" s="42">
        <f t="shared" si="57"/>
      </c>
      <c r="AI1269" s="42">
        <f t="shared" si="58"/>
      </c>
    </row>
    <row r="1270" spans="1:35" x14ac:dyDescent="0.2">
      <c r="A1270" s="66">
        <f t="shared" si="59"/>
      </c>
      <c r="B1270" s="4"/>
      <c r="C1270" s="4"/>
      <c r="D1270" s="4"/>
      <c r="E1270" s="4"/>
      <c r="F1270" s="24"/>
      <c r="G1270" s="8"/>
      <c r="H1270" s="9"/>
      <c r="I1270" s="8"/>
      <c r="J1270" s="10"/>
      <c r="K1270" s="8"/>
      <c r="L1270" s="8"/>
      <c r="M1270" s="8"/>
      <c r="N1270" s="11"/>
      <c r="O1270" s="9"/>
      <c r="P1270" s="12"/>
      <c r="Q1270" s="9"/>
      <c r="R1270" s="13"/>
      <c r="S1270" s="11"/>
      <c r="T1270" s="11"/>
      <c r="U1270" s="9"/>
      <c r="V1270" s="9"/>
      <c r="W1270" s="9"/>
      <c r="X1270" s="16"/>
      <c r="AF1270" s="42">
        <f>IF(BUSCAR!$C$8="FECHA NAC.",$G1270,IF(BUSCAR!$C$8="PASAPORTE EXPIRA",$J1270,IF(BUSCAR!$C$8="LICENCIA EMISION",$L1270,IF(BUSCAR!$C$8="LICENCIA EXPIRA",$M1270,""))))</f>
      </c>
      <c r="AG1270" s="42">
        <f>IF($B1270&amp;$C1270&amp;$D1270&amp;$E1270&amp;$H1270="",0,IF(AND(OR(BUSCAR!$J$5="",ISNUMBER(SEARCH(BUSCAR!$J$5,$AI1270))),OR(BUSCAR!$J$6="",ISNUMBER(SEARCH(BUSCAR!$J$6,$AI1270))),OR(BUSCAR!$J$8="",ISNUMBER(SEARCH(BUSCAR!$J$8,$AI1270))),OR(BUSCAR!$J$9="",ISNUMBER(SEARCH(BUSCAR!$J$9,$AI1270))),OR(NOT(BUSCAR!$J$2),AND(ISNUMBER($AF1270),$AF1270&gt;=BUSCAR!$J$3,$AF1270&lt;=BUSCAR!$J$4))),1,0))</f>
      </c>
      <c r="AH1270" s="42">
        <f t="shared" si="57"/>
      </c>
      <c r="AI1270" s="42">
        <f t="shared" si="58"/>
      </c>
    </row>
    <row r="1271" spans="1:35" x14ac:dyDescent="0.2">
      <c r="A1271" s="66">
        <f t="shared" si="59"/>
      </c>
      <c r="B1271" s="4"/>
      <c r="C1271" s="4"/>
      <c r="D1271" s="4"/>
      <c r="E1271" s="4"/>
      <c r="F1271" s="24"/>
      <c r="G1271" s="8"/>
      <c r="H1271" s="9"/>
      <c r="I1271" s="8"/>
      <c r="J1271" s="10"/>
      <c r="K1271" s="8"/>
      <c r="L1271" s="8"/>
      <c r="M1271" s="8"/>
      <c r="N1271" s="11"/>
      <c r="O1271" s="9"/>
      <c r="P1271" s="12"/>
      <c r="Q1271" s="9"/>
      <c r="R1271" s="13"/>
      <c r="S1271" s="11"/>
      <c r="T1271" s="11"/>
      <c r="U1271" s="9"/>
      <c r="V1271" s="9"/>
      <c r="W1271" s="9"/>
      <c r="X1271" s="16"/>
      <c r="AF1271" s="42">
        <f>IF(BUSCAR!$C$8="FECHA NAC.",$G1271,IF(BUSCAR!$C$8="PASAPORTE EXPIRA",$J1271,IF(BUSCAR!$C$8="LICENCIA EMISION",$L1271,IF(BUSCAR!$C$8="LICENCIA EXPIRA",$M1271,""))))</f>
      </c>
      <c r="AG1271" s="42">
        <f>IF($B1271&amp;$C1271&amp;$D1271&amp;$E1271&amp;$H1271="",0,IF(AND(OR(BUSCAR!$J$5="",ISNUMBER(SEARCH(BUSCAR!$J$5,$AI1271))),OR(BUSCAR!$J$6="",ISNUMBER(SEARCH(BUSCAR!$J$6,$AI1271))),OR(BUSCAR!$J$8="",ISNUMBER(SEARCH(BUSCAR!$J$8,$AI1271))),OR(BUSCAR!$J$9="",ISNUMBER(SEARCH(BUSCAR!$J$9,$AI1271))),OR(NOT(BUSCAR!$J$2),AND(ISNUMBER($AF1271),$AF1271&gt;=BUSCAR!$J$3,$AF1271&lt;=BUSCAR!$J$4))),1,0))</f>
      </c>
      <c r="AH1271" s="42">
        <f t="shared" si="57"/>
      </c>
      <c r="AI1271" s="42">
        <f t="shared" si="58"/>
      </c>
    </row>
    <row r="1272" spans="1:35" x14ac:dyDescent="0.2">
      <c r="A1272" s="66">
        <f t="shared" si="59"/>
      </c>
      <c r="B1272" s="4"/>
      <c r="C1272" s="4"/>
      <c r="D1272" s="4"/>
      <c r="E1272" s="4"/>
      <c r="F1272" s="24"/>
      <c r="G1272" s="8"/>
      <c r="H1272" s="28"/>
      <c r="I1272" s="8"/>
      <c r="J1272" s="10"/>
      <c r="K1272" s="8"/>
      <c r="L1272" s="8"/>
      <c r="M1272" s="8"/>
      <c r="N1272" s="11"/>
      <c r="O1272" s="9"/>
      <c r="P1272" s="12"/>
      <c r="Q1272" s="9"/>
      <c r="R1272" s="13"/>
      <c r="S1272" s="11"/>
      <c r="T1272" s="11"/>
      <c r="U1272" s="9"/>
      <c r="V1272" s="9"/>
      <c r="W1272" s="9"/>
      <c r="X1272" s="16"/>
      <c r="AF1272" s="42">
        <f>IF(BUSCAR!$C$8="FECHA NAC.",$G1272,IF(BUSCAR!$C$8="PASAPORTE EXPIRA",$J1272,IF(BUSCAR!$C$8="LICENCIA EMISION",$L1272,IF(BUSCAR!$C$8="LICENCIA EXPIRA",$M1272,""))))</f>
      </c>
      <c r="AG1272" s="42">
        <f>IF($B1272&amp;$C1272&amp;$D1272&amp;$E1272&amp;$H1272="",0,IF(AND(OR(BUSCAR!$J$5="",ISNUMBER(SEARCH(BUSCAR!$J$5,$AI1272))),OR(BUSCAR!$J$6="",ISNUMBER(SEARCH(BUSCAR!$J$6,$AI1272))),OR(BUSCAR!$J$8="",ISNUMBER(SEARCH(BUSCAR!$J$8,$AI1272))),OR(BUSCAR!$J$9="",ISNUMBER(SEARCH(BUSCAR!$J$9,$AI1272))),OR(NOT(BUSCAR!$J$2),AND(ISNUMBER($AF1272),$AF1272&gt;=BUSCAR!$J$3,$AF1272&lt;=BUSCAR!$J$4))),1,0))</f>
      </c>
      <c r="AH1272" s="42">
        <f t="shared" si="57"/>
      </c>
      <c r="AI1272" s="42">
        <f t="shared" si="58"/>
      </c>
    </row>
    <row r="1273" spans="1:35" x14ac:dyDescent="0.2">
      <c r="A1273" s="66">
        <f t="shared" si="59"/>
      </c>
      <c r="B1273" s="4"/>
      <c r="C1273" s="4"/>
      <c r="D1273" s="4"/>
      <c r="E1273" s="4"/>
      <c r="F1273" s="24"/>
      <c r="G1273" s="8"/>
      <c r="H1273" s="9"/>
      <c r="I1273" s="8"/>
      <c r="J1273" s="10"/>
      <c r="K1273" s="8"/>
      <c r="L1273" s="8"/>
      <c r="M1273" s="8"/>
      <c r="N1273" s="11"/>
      <c r="O1273" s="9"/>
      <c r="P1273" s="12"/>
      <c r="Q1273" s="9"/>
      <c r="R1273" s="13"/>
      <c r="S1273" s="11"/>
      <c r="T1273" s="11"/>
      <c r="U1273" s="9"/>
      <c r="V1273" s="9"/>
      <c r="W1273" s="9"/>
      <c r="X1273" s="16"/>
      <c r="AF1273" s="42">
        <f>IF(BUSCAR!$C$8="FECHA NAC.",$G1273,IF(BUSCAR!$C$8="PASAPORTE EXPIRA",$J1273,IF(BUSCAR!$C$8="LICENCIA EMISION",$L1273,IF(BUSCAR!$C$8="LICENCIA EXPIRA",$M1273,""))))</f>
      </c>
      <c r="AG1273" s="42">
        <f>IF($B1273&amp;$C1273&amp;$D1273&amp;$E1273&amp;$H1273="",0,IF(AND(OR(BUSCAR!$J$5="",ISNUMBER(SEARCH(BUSCAR!$J$5,$AI1273))),OR(BUSCAR!$J$6="",ISNUMBER(SEARCH(BUSCAR!$J$6,$AI1273))),OR(BUSCAR!$J$8="",ISNUMBER(SEARCH(BUSCAR!$J$8,$AI1273))),OR(BUSCAR!$J$9="",ISNUMBER(SEARCH(BUSCAR!$J$9,$AI1273))),OR(NOT(BUSCAR!$J$2),AND(ISNUMBER($AF1273),$AF1273&gt;=BUSCAR!$J$3,$AF1273&lt;=BUSCAR!$J$4))),1,0))</f>
      </c>
      <c r="AH1273" s="42">
        <f t="shared" si="57"/>
      </c>
      <c r="AI1273" s="42">
        <f t="shared" si="58"/>
      </c>
    </row>
    <row r="1274" spans="1:35" x14ac:dyDescent="0.2">
      <c r="A1274" s="66">
        <f t="shared" si="59"/>
      </c>
      <c r="B1274" s="4"/>
      <c r="C1274" s="4"/>
      <c r="D1274" s="4"/>
      <c r="E1274" s="4"/>
      <c r="F1274" s="24"/>
      <c r="G1274" s="8"/>
      <c r="H1274" s="9"/>
      <c r="I1274" s="8"/>
      <c r="J1274" s="10"/>
      <c r="K1274" s="8"/>
      <c r="L1274" s="8"/>
      <c r="M1274" s="8"/>
      <c r="N1274" s="11"/>
      <c r="O1274" s="9"/>
      <c r="P1274" s="12"/>
      <c r="Q1274" s="9"/>
      <c r="R1274" s="13"/>
      <c r="S1274" s="11"/>
      <c r="T1274" s="11"/>
      <c r="U1274" s="9"/>
      <c r="V1274" s="9"/>
      <c r="W1274" s="9"/>
      <c r="X1274" s="16"/>
      <c r="AF1274" s="42">
        <f>IF(BUSCAR!$C$8="FECHA NAC.",$G1274,IF(BUSCAR!$C$8="PASAPORTE EXPIRA",$J1274,IF(BUSCAR!$C$8="LICENCIA EMISION",$L1274,IF(BUSCAR!$C$8="LICENCIA EXPIRA",$M1274,""))))</f>
      </c>
      <c r="AG1274" s="42">
        <f>IF($B1274&amp;$C1274&amp;$D1274&amp;$E1274&amp;$H1274="",0,IF(AND(OR(BUSCAR!$J$5="",ISNUMBER(SEARCH(BUSCAR!$J$5,$AI1274))),OR(BUSCAR!$J$6="",ISNUMBER(SEARCH(BUSCAR!$J$6,$AI1274))),OR(BUSCAR!$J$8="",ISNUMBER(SEARCH(BUSCAR!$J$8,$AI1274))),OR(BUSCAR!$J$9="",ISNUMBER(SEARCH(BUSCAR!$J$9,$AI1274))),OR(NOT(BUSCAR!$J$2),AND(ISNUMBER($AF1274),$AF1274&gt;=BUSCAR!$J$3,$AF1274&lt;=BUSCAR!$J$4))),1,0))</f>
      </c>
      <c r="AH1274" s="42">
        <f t="shared" si="57"/>
      </c>
      <c r="AI1274" s="42">
        <f t="shared" si="58"/>
      </c>
    </row>
    <row r="1275" spans="1:35" x14ac:dyDescent="0.2">
      <c r="A1275" s="66">
        <f t="shared" si="59"/>
      </c>
      <c r="B1275" s="4"/>
      <c r="C1275" s="4"/>
      <c r="D1275" s="4"/>
      <c r="E1275" s="4"/>
      <c r="F1275" s="24"/>
      <c r="G1275" s="8"/>
      <c r="H1275" s="9"/>
      <c r="I1275" s="8"/>
      <c r="J1275" s="10"/>
      <c r="K1275" s="8"/>
      <c r="L1275" s="8"/>
      <c r="M1275" s="8"/>
      <c r="N1275" s="11"/>
      <c r="O1275" s="9"/>
      <c r="P1275" s="12"/>
      <c r="Q1275" s="9"/>
      <c r="R1275" s="13"/>
      <c r="S1275" s="11"/>
      <c r="T1275" s="11"/>
      <c r="U1275" s="9"/>
      <c r="V1275" s="9"/>
      <c r="W1275" s="9"/>
      <c r="X1275" s="16"/>
      <c r="AF1275" s="42">
        <f>IF(BUSCAR!$C$8="FECHA NAC.",$G1275,IF(BUSCAR!$C$8="PASAPORTE EXPIRA",$J1275,IF(BUSCAR!$C$8="LICENCIA EMISION",$L1275,IF(BUSCAR!$C$8="LICENCIA EXPIRA",$M1275,""))))</f>
      </c>
      <c r="AG1275" s="42">
        <f>IF($B1275&amp;$C1275&amp;$D1275&amp;$E1275&amp;$H1275="",0,IF(AND(OR(BUSCAR!$J$5="",ISNUMBER(SEARCH(BUSCAR!$J$5,$AI1275))),OR(BUSCAR!$J$6="",ISNUMBER(SEARCH(BUSCAR!$J$6,$AI1275))),OR(BUSCAR!$J$8="",ISNUMBER(SEARCH(BUSCAR!$J$8,$AI1275))),OR(BUSCAR!$J$9="",ISNUMBER(SEARCH(BUSCAR!$J$9,$AI1275))),OR(NOT(BUSCAR!$J$2),AND(ISNUMBER($AF1275),$AF1275&gt;=BUSCAR!$J$3,$AF1275&lt;=BUSCAR!$J$4))),1,0))</f>
      </c>
      <c r="AH1275" s="42">
        <f t="shared" si="57"/>
      </c>
      <c r="AI1275" s="42">
        <f t="shared" si="58"/>
      </c>
    </row>
    <row r="1276" spans="1:35" x14ac:dyDescent="0.2">
      <c r="A1276" s="66">
        <f t="shared" si="59"/>
      </c>
      <c r="B1276" s="4"/>
      <c r="C1276" s="4"/>
      <c r="D1276" s="4"/>
      <c r="E1276" s="4"/>
      <c r="F1276" s="24"/>
      <c r="G1276" s="8"/>
      <c r="H1276" s="9"/>
      <c r="I1276" s="8"/>
      <c r="J1276" s="10"/>
      <c r="K1276" s="8"/>
      <c r="L1276" s="8"/>
      <c r="M1276" s="8"/>
      <c r="N1276" s="11"/>
      <c r="O1276" s="9"/>
      <c r="P1276" s="12"/>
      <c r="Q1276" s="9"/>
      <c r="R1276" s="13"/>
      <c r="S1276" s="11"/>
      <c r="T1276" s="11"/>
      <c r="U1276" s="9"/>
      <c r="V1276" s="9"/>
      <c r="W1276" s="9"/>
      <c r="X1276" s="16"/>
      <c r="AF1276" s="42">
        <f>IF(BUSCAR!$C$8="FECHA NAC.",$G1276,IF(BUSCAR!$C$8="PASAPORTE EXPIRA",$J1276,IF(BUSCAR!$C$8="LICENCIA EMISION",$L1276,IF(BUSCAR!$C$8="LICENCIA EXPIRA",$M1276,""))))</f>
      </c>
      <c r="AG1276" s="42">
        <f>IF($B1276&amp;$C1276&amp;$D1276&amp;$E1276&amp;$H1276="",0,IF(AND(OR(BUSCAR!$J$5="",ISNUMBER(SEARCH(BUSCAR!$J$5,$AI1276))),OR(BUSCAR!$J$6="",ISNUMBER(SEARCH(BUSCAR!$J$6,$AI1276))),OR(BUSCAR!$J$8="",ISNUMBER(SEARCH(BUSCAR!$J$8,$AI1276))),OR(BUSCAR!$J$9="",ISNUMBER(SEARCH(BUSCAR!$J$9,$AI1276))),OR(NOT(BUSCAR!$J$2),AND(ISNUMBER($AF1276),$AF1276&gt;=BUSCAR!$J$3,$AF1276&lt;=BUSCAR!$J$4))),1,0))</f>
      </c>
      <c r="AH1276" s="42">
        <f t="shared" si="57"/>
      </c>
      <c r="AI1276" s="42">
        <f t="shared" si="58"/>
      </c>
    </row>
    <row r="1277" spans="1:35" x14ac:dyDescent="0.2">
      <c r="A1277" s="66">
        <f t="shared" si="59"/>
      </c>
      <c r="B1277" s="4"/>
      <c r="C1277" s="4"/>
      <c r="D1277" s="4"/>
      <c r="E1277" s="4"/>
      <c r="F1277" s="24"/>
      <c r="G1277" s="8"/>
      <c r="H1277" s="9"/>
      <c r="I1277" s="8"/>
      <c r="J1277" s="10"/>
      <c r="K1277" s="9"/>
      <c r="L1277" s="8"/>
      <c r="M1277" s="8"/>
      <c r="N1277" s="11"/>
      <c r="O1277" s="9"/>
      <c r="P1277" s="12"/>
      <c r="Q1277" s="9"/>
      <c r="R1277" s="13"/>
      <c r="S1277" s="11"/>
      <c r="T1277" s="11"/>
      <c r="U1277" s="9"/>
      <c r="V1277" s="9"/>
      <c r="W1277" s="9"/>
      <c r="X1277" s="16"/>
      <c r="AF1277" s="42">
        <f>IF(BUSCAR!$C$8="FECHA NAC.",$G1277,IF(BUSCAR!$C$8="PASAPORTE EXPIRA",$J1277,IF(BUSCAR!$C$8="LICENCIA EMISION",$L1277,IF(BUSCAR!$C$8="LICENCIA EXPIRA",$M1277,""))))</f>
      </c>
      <c r="AG1277" s="42">
        <f>IF($B1277&amp;$C1277&amp;$D1277&amp;$E1277&amp;$H1277="",0,IF(AND(OR(BUSCAR!$J$5="",ISNUMBER(SEARCH(BUSCAR!$J$5,$AI1277))),OR(BUSCAR!$J$6="",ISNUMBER(SEARCH(BUSCAR!$J$6,$AI1277))),OR(BUSCAR!$J$8="",ISNUMBER(SEARCH(BUSCAR!$J$8,$AI1277))),OR(BUSCAR!$J$9="",ISNUMBER(SEARCH(BUSCAR!$J$9,$AI1277))),OR(NOT(BUSCAR!$J$2),AND(ISNUMBER($AF1277),$AF1277&gt;=BUSCAR!$J$3,$AF1277&lt;=BUSCAR!$J$4))),1,0))</f>
      </c>
      <c r="AH1277" s="42">
        <f t="shared" si="57"/>
      </c>
      <c r="AI1277" s="42">
        <f t="shared" si="58"/>
      </c>
    </row>
    <row r="1278" spans="1:35" x14ac:dyDescent="0.2">
      <c r="A1278" s="66">
        <f t="shared" si="59"/>
      </c>
      <c r="B1278" s="4"/>
      <c r="C1278" s="4"/>
      <c r="D1278" s="4"/>
      <c r="E1278" s="4"/>
      <c r="F1278" s="24"/>
      <c r="G1278" s="8"/>
      <c r="H1278" s="9"/>
      <c r="I1278" s="8"/>
      <c r="J1278" s="10"/>
      <c r="K1278" s="8"/>
      <c r="L1278" s="8"/>
      <c r="M1278" s="8"/>
      <c r="N1278" s="11"/>
      <c r="O1278" s="9"/>
      <c r="P1278" s="12"/>
      <c r="Q1278" s="9"/>
      <c r="R1278" s="13"/>
      <c r="S1278" s="11"/>
      <c r="T1278" s="11"/>
      <c r="U1278" s="9"/>
      <c r="V1278" s="9"/>
      <c r="W1278" s="9"/>
      <c r="X1278" s="16"/>
      <c r="AF1278" s="42">
        <f>IF(BUSCAR!$C$8="FECHA NAC.",$G1278,IF(BUSCAR!$C$8="PASAPORTE EXPIRA",$J1278,IF(BUSCAR!$C$8="LICENCIA EMISION",$L1278,IF(BUSCAR!$C$8="LICENCIA EXPIRA",$M1278,""))))</f>
      </c>
      <c r="AG1278" s="42">
        <f>IF($B1278&amp;$C1278&amp;$D1278&amp;$E1278&amp;$H1278="",0,IF(AND(OR(BUSCAR!$J$5="",ISNUMBER(SEARCH(BUSCAR!$J$5,$AI1278))),OR(BUSCAR!$J$6="",ISNUMBER(SEARCH(BUSCAR!$J$6,$AI1278))),OR(BUSCAR!$J$8="",ISNUMBER(SEARCH(BUSCAR!$J$8,$AI1278))),OR(BUSCAR!$J$9="",ISNUMBER(SEARCH(BUSCAR!$J$9,$AI1278))),OR(NOT(BUSCAR!$J$2),AND(ISNUMBER($AF1278),$AF1278&gt;=BUSCAR!$J$3,$AF1278&lt;=BUSCAR!$J$4))),1,0))</f>
      </c>
      <c r="AH1278" s="42">
        <f t="shared" si="57"/>
      </c>
      <c r="AI1278" s="42">
        <f t="shared" si="58"/>
      </c>
    </row>
    <row r="1279" spans="1:35" x14ac:dyDescent="0.2">
      <c r="A1279" s="66">
        <f t="shared" si="59"/>
      </c>
      <c r="B1279" s="4"/>
      <c r="C1279" s="4"/>
      <c r="D1279" s="4"/>
      <c r="E1279" s="4"/>
      <c r="F1279" s="24"/>
      <c r="G1279" s="8"/>
      <c r="H1279" s="9"/>
      <c r="I1279" s="8"/>
      <c r="J1279" s="10"/>
      <c r="K1279" s="8"/>
      <c r="L1279" s="8"/>
      <c r="M1279" s="8"/>
      <c r="N1279" s="11"/>
      <c r="O1279" s="9"/>
      <c r="P1279" s="12"/>
      <c r="Q1279" s="9"/>
      <c r="R1279" s="13"/>
      <c r="S1279" s="11"/>
      <c r="T1279" s="11"/>
      <c r="U1279" s="9"/>
      <c r="V1279" s="9"/>
      <c r="W1279" s="9"/>
      <c r="X1279" s="16"/>
      <c r="AF1279" s="42">
        <f>IF(BUSCAR!$C$8="FECHA NAC.",$G1279,IF(BUSCAR!$C$8="PASAPORTE EXPIRA",$J1279,IF(BUSCAR!$C$8="LICENCIA EMISION",$L1279,IF(BUSCAR!$C$8="LICENCIA EXPIRA",$M1279,""))))</f>
      </c>
      <c r="AG1279" s="42">
        <f>IF($B1279&amp;$C1279&amp;$D1279&amp;$E1279&amp;$H1279="",0,IF(AND(OR(BUSCAR!$J$5="",ISNUMBER(SEARCH(BUSCAR!$J$5,$AI1279))),OR(BUSCAR!$J$6="",ISNUMBER(SEARCH(BUSCAR!$J$6,$AI1279))),OR(BUSCAR!$J$8="",ISNUMBER(SEARCH(BUSCAR!$J$8,$AI1279))),OR(BUSCAR!$J$9="",ISNUMBER(SEARCH(BUSCAR!$J$9,$AI1279))),OR(NOT(BUSCAR!$J$2),AND(ISNUMBER($AF1279),$AF1279&gt;=BUSCAR!$J$3,$AF1279&lt;=BUSCAR!$J$4))),1,0))</f>
      </c>
      <c r="AH1279" s="42">
        <f t="shared" si="57"/>
      </c>
      <c r="AI1279" s="42">
        <f t="shared" si="58"/>
      </c>
    </row>
    <row r="1280" spans="1:35" x14ac:dyDescent="0.2">
      <c r="A1280" s="66">
        <f t="shared" si="59"/>
      </c>
      <c r="B1280" s="4"/>
      <c r="C1280" s="4"/>
      <c r="D1280" s="4"/>
      <c r="E1280" s="4"/>
      <c r="F1280" s="24"/>
      <c r="G1280" s="8"/>
      <c r="H1280" s="9"/>
      <c r="I1280" s="8"/>
      <c r="J1280" s="10"/>
      <c r="K1280" s="8"/>
      <c r="L1280" s="8"/>
      <c r="M1280" s="8"/>
      <c r="N1280" s="11"/>
      <c r="O1280" s="9"/>
      <c r="P1280" s="12"/>
      <c r="Q1280" s="9"/>
      <c r="R1280" s="13"/>
      <c r="S1280" s="11"/>
      <c r="T1280" s="11"/>
      <c r="U1280" s="9"/>
      <c r="V1280" s="9"/>
      <c r="W1280" s="9"/>
      <c r="X1280" s="16"/>
      <c r="AF1280" s="42">
        <f>IF(BUSCAR!$C$8="FECHA NAC.",$G1280,IF(BUSCAR!$C$8="PASAPORTE EXPIRA",$J1280,IF(BUSCAR!$C$8="LICENCIA EMISION",$L1280,IF(BUSCAR!$C$8="LICENCIA EXPIRA",$M1280,""))))</f>
      </c>
      <c r="AG1280" s="42">
        <f>IF($B1280&amp;$C1280&amp;$D1280&amp;$E1280&amp;$H1280="",0,IF(AND(OR(BUSCAR!$J$5="",ISNUMBER(SEARCH(BUSCAR!$J$5,$AI1280))),OR(BUSCAR!$J$6="",ISNUMBER(SEARCH(BUSCAR!$J$6,$AI1280))),OR(BUSCAR!$J$8="",ISNUMBER(SEARCH(BUSCAR!$J$8,$AI1280))),OR(BUSCAR!$J$9="",ISNUMBER(SEARCH(BUSCAR!$J$9,$AI1280))),OR(NOT(BUSCAR!$J$2),AND(ISNUMBER($AF1280),$AF1280&gt;=BUSCAR!$J$3,$AF1280&lt;=BUSCAR!$J$4))),1,0))</f>
      </c>
      <c r="AH1280" s="42">
        <f t="shared" si="57"/>
      </c>
      <c r="AI1280" s="42">
        <f t="shared" si="58"/>
      </c>
    </row>
    <row r="1281" spans="1:35" x14ac:dyDescent="0.2">
      <c r="A1281" s="66">
        <f t="shared" si="59"/>
      </c>
      <c r="B1281" s="4"/>
      <c r="C1281" s="4"/>
      <c r="D1281" s="4"/>
      <c r="E1281" s="4"/>
      <c r="F1281" s="24"/>
      <c r="G1281" s="8"/>
      <c r="H1281" s="9"/>
      <c r="I1281" s="8"/>
      <c r="J1281" s="10"/>
      <c r="K1281" s="8"/>
      <c r="L1281" s="8"/>
      <c r="M1281" s="8"/>
      <c r="N1281" s="11"/>
      <c r="O1281" s="9"/>
      <c r="P1281" s="12"/>
      <c r="Q1281" s="9"/>
      <c r="R1281" s="13"/>
      <c r="S1281" s="11"/>
      <c r="T1281" s="11"/>
      <c r="U1281" s="9"/>
      <c r="V1281" s="9"/>
      <c r="W1281" s="9"/>
      <c r="X1281" s="16"/>
      <c r="AF1281" s="42">
        <f>IF(BUSCAR!$C$8="FECHA NAC.",$G1281,IF(BUSCAR!$C$8="PASAPORTE EXPIRA",$J1281,IF(BUSCAR!$C$8="LICENCIA EMISION",$L1281,IF(BUSCAR!$C$8="LICENCIA EXPIRA",$M1281,""))))</f>
      </c>
      <c r="AG1281" s="42">
        <f>IF($B1281&amp;$C1281&amp;$D1281&amp;$E1281&amp;$H1281="",0,IF(AND(OR(BUSCAR!$J$5="",ISNUMBER(SEARCH(BUSCAR!$J$5,$AI1281))),OR(BUSCAR!$J$6="",ISNUMBER(SEARCH(BUSCAR!$J$6,$AI1281))),OR(BUSCAR!$J$8="",ISNUMBER(SEARCH(BUSCAR!$J$8,$AI1281))),OR(BUSCAR!$J$9="",ISNUMBER(SEARCH(BUSCAR!$J$9,$AI1281))),OR(NOT(BUSCAR!$J$2),AND(ISNUMBER($AF1281),$AF1281&gt;=BUSCAR!$J$3,$AF1281&lt;=BUSCAR!$J$4))),1,0))</f>
      </c>
      <c r="AH1281" s="42">
        <f t="shared" si="57"/>
      </c>
      <c r="AI1281" s="42">
        <f t="shared" si="58"/>
      </c>
    </row>
    <row r="1282" spans="1:35" x14ac:dyDescent="0.2">
      <c r="A1282" s="66">
        <f t="shared" si="59"/>
      </c>
      <c r="B1282" s="4"/>
      <c r="C1282" s="4"/>
      <c r="D1282" s="4"/>
      <c r="E1282" s="4"/>
      <c r="F1282" s="24"/>
      <c r="G1282" s="8"/>
      <c r="H1282" s="9"/>
      <c r="I1282" s="8"/>
      <c r="J1282" s="10"/>
      <c r="K1282" s="8"/>
      <c r="L1282" s="8"/>
      <c r="M1282" s="8"/>
      <c r="N1282" s="11"/>
      <c r="O1282" s="9"/>
      <c r="P1282" s="12"/>
      <c r="Q1282" s="9"/>
      <c r="R1282" s="13"/>
      <c r="S1282" s="11"/>
      <c r="T1282" s="11"/>
      <c r="U1282" s="9"/>
      <c r="V1282" s="9"/>
      <c r="W1282" s="9"/>
      <c r="X1282" s="16"/>
      <c r="AF1282" s="42">
        <f>IF(BUSCAR!$C$8="FECHA NAC.",$G1282,IF(BUSCAR!$C$8="PASAPORTE EXPIRA",$J1282,IF(BUSCAR!$C$8="LICENCIA EMISION",$L1282,IF(BUSCAR!$C$8="LICENCIA EXPIRA",$M1282,""))))</f>
      </c>
      <c r="AG1282" s="42">
        <f>IF($B1282&amp;$C1282&amp;$D1282&amp;$E1282&amp;$H1282="",0,IF(AND(OR(BUSCAR!$J$5="",ISNUMBER(SEARCH(BUSCAR!$J$5,$AI1282))),OR(BUSCAR!$J$6="",ISNUMBER(SEARCH(BUSCAR!$J$6,$AI1282))),OR(BUSCAR!$J$8="",ISNUMBER(SEARCH(BUSCAR!$J$8,$AI1282))),OR(BUSCAR!$J$9="",ISNUMBER(SEARCH(BUSCAR!$J$9,$AI1282))),OR(NOT(BUSCAR!$J$2),AND(ISNUMBER($AF1282),$AF1282&gt;=BUSCAR!$J$3,$AF1282&lt;=BUSCAR!$J$4))),1,0))</f>
      </c>
      <c r="AH1282" s="42">
        <f t="shared" si="57"/>
      </c>
      <c r="AI1282" s="42">
        <f t="shared" si="58"/>
      </c>
    </row>
    <row r="1283" spans="1:35" x14ac:dyDescent="0.2">
      <c r="A1283" s="66">
        <f t="shared" si="59"/>
      </c>
      <c r="B1283" s="4"/>
      <c r="C1283" s="4"/>
      <c r="D1283" s="4"/>
      <c r="E1283" s="4"/>
      <c r="F1283" s="24"/>
      <c r="G1283" s="8"/>
      <c r="H1283" s="9"/>
      <c r="I1283" s="8"/>
      <c r="J1283" s="10"/>
      <c r="K1283" s="8"/>
      <c r="L1283" s="8"/>
      <c r="M1283" s="8"/>
      <c r="N1283" s="11"/>
      <c r="O1283" s="9"/>
      <c r="P1283" s="12"/>
      <c r="Q1283" s="9"/>
      <c r="R1283" s="13"/>
      <c r="S1283" s="11"/>
      <c r="T1283" s="11"/>
      <c r="U1283" s="9"/>
      <c r="V1283" s="9"/>
      <c r="W1283" s="9"/>
      <c r="X1283" s="16"/>
      <c r="AF1283" s="42">
        <f>IF(BUSCAR!$C$8="FECHA NAC.",$G1283,IF(BUSCAR!$C$8="PASAPORTE EXPIRA",$J1283,IF(BUSCAR!$C$8="LICENCIA EMISION",$L1283,IF(BUSCAR!$C$8="LICENCIA EXPIRA",$M1283,""))))</f>
      </c>
      <c r="AG1283" s="42">
        <f>IF($B1283&amp;$C1283&amp;$D1283&amp;$E1283&amp;$H1283="",0,IF(AND(OR(BUSCAR!$J$5="",ISNUMBER(SEARCH(BUSCAR!$J$5,$AI1283))),OR(BUSCAR!$J$6="",ISNUMBER(SEARCH(BUSCAR!$J$6,$AI1283))),OR(BUSCAR!$J$8="",ISNUMBER(SEARCH(BUSCAR!$J$8,$AI1283))),OR(BUSCAR!$J$9="",ISNUMBER(SEARCH(BUSCAR!$J$9,$AI1283))),OR(NOT(BUSCAR!$J$2),AND(ISNUMBER($AF1283),$AF1283&gt;=BUSCAR!$J$3,$AF1283&lt;=BUSCAR!$J$4))),1,0))</f>
      </c>
      <c r="AH1283" s="42">
        <f t="shared" ref="AH1283:AH1346" si="60">AH1282+AG1283</f>
      </c>
      <c r="AI1283" s="42">
        <f t="shared" ref="AI1283:AI1346" si="61">IF($B1283&amp;" "&amp;$C1283&amp;" "&amp;$D1283&amp;" "&amp;$E1283&amp;" "&amp;$H1283&amp;" "&amp;$K1283&amp;" "&amp;$R1283&amp;" "&amp;$AC1283&amp;" "&amp;$AD1283="","",SUBSTITUTE(SUBSTITUTE(SUBSTITUTE(SUBSTITUTE(SUBSTITUTE(SUBSTITUTE(SUBSTITUTE(UPPER($B1283&amp;" "&amp;$C1283&amp;" "&amp;$D1283&amp;" "&amp;$E1283&amp;" "&amp;$H1283&amp;" "&amp;$K1283&amp;" "&amp;$R1283&amp;" "&amp;$AC1283&amp;" "&amp;$AD1283),"Á","A"),"É","E"),"Í","I"),"Ó","O"),"Ú","U"),"Ü","U"),"Ñ","N"))</f>
      </c>
    </row>
    <row r="1284" spans="1:35" x14ac:dyDescent="0.2">
      <c r="A1284" s="66">
        <f t="shared" ref="A1284:A1347" si="62">A1283+1</f>
      </c>
      <c r="B1284" s="4"/>
      <c r="C1284" s="4"/>
      <c r="D1284" s="4"/>
      <c r="E1284" s="4"/>
      <c r="F1284" s="24"/>
      <c r="G1284" s="8"/>
      <c r="H1284" s="9"/>
      <c r="I1284" s="8"/>
      <c r="J1284" s="10"/>
      <c r="K1284" s="8"/>
      <c r="L1284" s="8"/>
      <c r="M1284" s="8"/>
      <c r="N1284" s="11"/>
      <c r="O1284" s="9"/>
      <c r="P1284" s="12"/>
      <c r="Q1284" s="9"/>
      <c r="R1284" s="13"/>
      <c r="S1284" s="11"/>
      <c r="T1284" s="11"/>
      <c r="U1284" s="9"/>
      <c r="V1284" s="9"/>
      <c r="W1284" s="9"/>
      <c r="X1284" s="16"/>
      <c r="AF1284" s="42">
        <f>IF(BUSCAR!$C$8="FECHA NAC.",$G1284,IF(BUSCAR!$C$8="PASAPORTE EXPIRA",$J1284,IF(BUSCAR!$C$8="LICENCIA EMISION",$L1284,IF(BUSCAR!$C$8="LICENCIA EXPIRA",$M1284,""))))</f>
      </c>
      <c r="AG1284" s="42">
        <f>IF($B1284&amp;$C1284&amp;$D1284&amp;$E1284&amp;$H1284="",0,IF(AND(OR(BUSCAR!$J$5="",ISNUMBER(SEARCH(BUSCAR!$J$5,$AI1284))),OR(BUSCAR!$J$6="",ISNUMBER(SEARCH(BUSCAR!$J$6,$AI1284))),OR(BUSCAR!$J$8="",ISNUMBER(SEARCH(BUSCAR!$J$8,$AI1284))),OR(BUSCAR!$J$9="",ISNUMBER(SEARCH(BUSCAR!$J$9,$AI1284))),OR(NOT(BUSCAR!$J$2),AND(ISNUMBER($AF1284),$AF1284&gt;=BUSCAR!$J$3,$AF1284&lt;=BUSCAR!$J$4))),1,0))</f>
      </c>
      <c r="AH1284" s="42">
        <f t="shared" si="60"/>
      </c>
      <c r="AI1284" s="42">
        <f t="shared" si="61"/>
      </c>
    </row>
    <row r="1285" spans="1:35" x14ac:dyDescent="0.2">
      <c r="A1285" s="66">
        <f t="shared" si="62"/>
      </c>
      <c r="B1285" s="4"/>
      <c r="C1285" s="4"/>
      <c r="D1285" s="4"/>
      <c r="E1285" s="4"/>
      <c r="F1285" s="24"/>
      <c r="G1285" s="8"/>
      <c r="H1285" s="9"/>
      <c r="I1285" s="8"/>
      <c r="J1285" s="10"/>
      <c r="K1285" s="8"/>
      <c r="L1285" s="8"/>
      <c r="M1285" s="8"/>
      <c r="N1285" s="11"/>
      <c r="O1285" s="9"/>
      <c r="P1285" s="12"/>
      <c r="Q1285" s="9"/>
      <c r="R1285" s="13"/>
      <c r="S1285" s="11"/>
      <c r="T1285" s="11"/>
      <c r="U1285" s="9"/>
      <c r="V1285" s="9"/>
      <c r="W1285" s="9"/>
      <c r="X1285" s="16"/>
      <c r="AF1285" s="42">
        <f>IF(BUSCAR!$C$8="FECHA NAC.",$G1285,IF(BUSCAR!$C$8="PASAPORTE EXPIRA",$J1285,IF(BUSCAR!$C$8="LICENCIA EMISION",$L1285,IF(BUSCAR!$C$8="LICENCIA EXPIRA",$M1285,""))))</f>
      </c>
      <c r="AG1285" s="42">
        <f>IF($B1285&amp;$C1285&amp;$D1285&amp;$E1285&amp;$H1285="",0,IF(AND(OR(BUSCAR!$J$5="",ISNUMBER(SEARCH(BUSCAR!$J$5,$AI1285))),OR(BUSCAR!$J$6="",ISNUMBER(SEARCH(BUSCAR!$J$6,$AI1285))),OR(BUSCAR!$J$8="",ISNUMBER(SEARCH(BUSCAR!$J$8,$AI1285))),OR(BUSCAR!$J$9="",ISNUMBER(SEARCH(BUSCAR!$J$9,$AI1285))),OR(NOT(BUSCAR!$J$2),AND(ISNUMBER($AF1285),$AF1285&gt;=BUSCAR!$J$3,$AF1285&lt;=BUSCAR!$J$4))),1,0))</f>
      </c>
      <c r="AH1285" s="42">
        <f t="shared" si="60"/>
      </c>
      <c r="AI1285" s="42">
        <f t="shared" si="61"/>
      </c>
    </row>
    <row r="1286" spans="1:35" x14ac:dyDescent="0.2">
      <c r="A1286" s="66">
        <f t="shared" si="62"/>
      </c>
      <c r="B1286" s="4"/>
      <c r="C1286" s="4"/>
      <c r="D1286" s="4"/>
      <c r="E1286" s="4"/>
      <c r="F1286" s="24"/>
      <c r="G1286" s="8"/>
      <c r="H1286" s="9"/>
      <c r="I1286" s="8"/>
      <c r="J1286" s="10"/>
      <c r="K1286" s="8"/>
      <c r="L1286" s="8"/>
      <c r="M1286" s="8"/>
      <c r="N1286" s="11"/>
      <c r="O1286" s="9"/>
      <c r="P1286" s="12"/>
      <c r="Q1286" s="9"/>
      <c r="R1286" s="13"/>
      <c r="S1286" s="11"/>
      <c r="T1286" s="11"/>
      <c r="U1286" s="9"/>
      <c r="V1286" s="9"/>
      <c r="W1286" s="9"/>
      <c r="X1286" s="16"/>
      <c r="AF1286" s="42">
        <f>IF(BUSCAR!$C$8="FECHA NAC.",$G1286,IF(BUSCAR!$C$8="PASAPORTE EXPIRA",$J1286,IF(BUSCAR!$C$8="LICENCIA EMISION",$L1286,IF(BUSCAR!$C$8="LICENCIA EXPIRA",$M1286,""))))</f>
      </c>
      <c r="AG1286" s="42">
        <f>IF($B1286&amp;$C1286&amp;$D1286&amp;$E1286&amp;$H1286="",0,IF(AND(OR(BUSCAR!$J$5="",ISNUMBER(SEARCH(BUSCAR!$J$5,$AI1286))),OR(BUSCAR!$J$6="",ISNUMBER(SEARCH(BUSCAR!$J$6,$AI1286))),OR(BUSCAR!$J$8="",ISNUMBER(SEARCH(BUSCAR!$J$8,$AI1286))),OR(BUSCAR!$J$9="",ISNUMBER(SEARCH(BUSCAR!$J$9,$AI1286))),OR(NOT(BUSCAR!$J$2),AND(ISNUMBER($AF1286),$AF1286&gt;=BUSCAR!$J$3,$AF1286&lt;=BUSCAR!$J$4))),1,0))</f>
      </c>
      <c r="AH1286" s="42">
        <f t="shared" si="60"/>
      </c>
      <c r="AI1286" s="42">
        <f t="shared" si="61"/>
      </c>
    </row>
    <row r="1287" spans="1:35" x14ac:dyDescent="0.2">
      <c r="A1287" s="66">
        <f t="shared" si="62"/>
      </c>
      <c r="B1287" s="4"/>
      <c r="C1287" s="4"/>
      <c r="D1287" s="4"/>
      <c r="E1287" s="4"/>
      <c r="F1287" s="24"/>
      <c r="G1287" s="8"/>
      <c r="H1287" s="9"/>
      <c r="I1287" s="8"/>
      <c r="J1287" s="10"/>
      <c r="K1287" s="8"/>
      <c r="L1287" s="8"/>
      <c r="M1287" s="8"/>
      <c r="N1287" s="11"/>
      <c r="O1287" s="9"/>
      <c r="P1287" s="12"/>
      <c r="Q1287" s="9"/>
      <c r="R1287" s="13"/>
      <c r="S1287" s="11"/>
      <c r="T1287" s="11"/>
      <c r="U1287" s="9"/>
      <c r="V1287" s="9"/>
      <c r="W1287" s="9"/>
      <c r="X1287" s="16"/>
      <c r="AF1287" s="42">
        <f>IF(BUSCAR!$C$8="FECHA NAC.",$G1287,IF(BUSCAR!$C$8="PASAPORTE EXPIRA",$J1287,IF(BUSCAR!$C$8="LICENCIA EMISION",$L1287,IF(BUSCAR!$C$8="LICENCIA EXPIRA",$M1287,""))))</f>
      </c>
      <c r="AG1287" s="42">
        <f>IF($B1287&amp;$C1287&amp;$D1287&amp;$E1287&amp;$H1287="",0,IF(AND(OR(BUSCAR!$J$5="",ISNUMBER(SEARCH(BUSCAR!$J$5,$AI1287))),OR(BUSCAR!$J$6="",ISNUMBER(SEARCH(BUSCAR!$J$6,$AI1287))),OR(BUSCAR!$J$8="",ISNUMBER(SEARCH(BUSCAR!$J$8,$AI1287))),OR(BUSCAR!$J$9="",ISNUMBER(SEARCH(BUSCAR!$J$9,$AI1287))),OR(NOT(BUSCAR!$J$2),AND(ISNUMBER($AF1287),$AF1287&gt;=BUSCAR!$J$3,$AF1287&lt;=BUSCAR!$J$4))),1,0))</f>
      </c>
      <c r="AH1287" s="42">
        <f t="shared" si="60"/>
      </c>
      <c r="AI1287" s="42">
        <f t="shared" si="61"/>
      </c>
    </row>
    <row r="1288" spans="1:35" x14ac:dyDescent="0.2">
      <c r="A1288" s="66">
        <f t="shared" si="62"/>
      </c>
      <c r="B1288" s="4"/>
      <c r="C1288" s="4"/>
      <c r="D1288" s="4"/>
      <c r="E1288" s="4"/>
      <c r="F1288" s="24"/>
      <c r="G1288" s="8"/>
      <c r="H1288" s="9"/>
      <c r="I1288" s="8"/>
      <c r="J1288" s="10"/>
      <c r="K1288" s="8"/>
      <c r="L1288" s="8"/>
      <c r="M1288" s="8"/>
      <c r="N1288" s="11"/>
      <c r="O1288" s="9"/>
      <c r="P1288" s="12"/>
      <c r="Q1288" s="9"/>
      <c r="R1288" s="13"/>
      <c r="S1288" s="11"/>
      <c r="T1288" s="11"/>
      <c r="U1288" s="9"/>
      <c r="V1288" s="9"/>
      <c r="W1288" s="9"/>
      <c r="X1288" s="16"/>
      <c r="AF1288" s="42">
        <f>IF(BUSCAR!$C$8="FECHA NAC.",$G1288,IF(BUSCAR!$C$8="PASAPORTE EXPIRA",$J1288,IF(BUSCAR!$C$8="LICENCIA EMISION",$L1288,IF(BUSCAR!$C$8="LICENCIA EXPIRA",$M1288,""))))</f>
      </c>
      <c r="AG1288" s="42">
        <f>IF($B1288&amp;$C1288&amp;$D1288&amp;$E1288&amp;$H1288="",0,IF(AND(OR(BUSCAR!$J$5="",ISNUMBER(SEARCH(BUSCAR!$J$5,$AI1288))),OR(BUSCAR!$J$6="",ISNUMBER(SEARCH(BUSCAR!$J$6,$AI1288))),OR(BUSCAR!$J$8="",ISNUMBER(SEARCH(BUSCAR!$J$8,$AI1288))),OR(BUSCAR!$J$9="",ISNUMBER(SEARCH(BUSCAR!$J$9,$AI1288))),OR(NOT(BUSCAR!$J$2),AND(ISNUMBER($AF1288),$AF1288&gt;=BUSCAR!$J$3,$AF1288&lt;=BUSCAR!$J$4))),1,0))</f>
      </c>
      <c r="AH1288" s="42">
        <f t="shared" si="60"/>
      </c>
      <c r="AI1288" s="42">
        <f t="shared" si="61"/>
      </c>
    </row>
    <row r="1289" spans="1:35" x14ac:dyDescent="0.2">
      <c r="A1289" s="66">
        <f t="shared" si="62"/>
      </c>
      <c r="B1289" s="4"/>
      <c r="C1289" s="4"/>
      <c r="D1289" s="4"/>
      <c r="E1289" s="4"/>
      <c r="F1289" s="24"/>
      <c r="G1289" s="8"/>
      <c r="H1289" s="9"/>
      <c r="I1289" s="8"/>
      <c r="J1289" s="10"/>
      <c r="K1289" s="8"/>
      <c r="L1289" s="8"/>
      <c r="M1289" s="8"/>
      <c r="N1289" s="11"/>
      <c r="O1289" s="9"/>
      <c r="P1289" s="12"/>
      <c r="Q1289" s="9"/>
      <c r="R1289" s="13"/>
      <c r="S1289" s="11"/>
      <c r="T1289" s="11"/>
      <c r="U1289" s="9"/>
      <c r="V1289" s="9"/>
      <c r="W1289" s="9"/>
      <c r="X1289" s="16"/>
      <c r="AF1289" s="42">
        <f>IF(BUSCAR!$C$8="FECHA NAC.",$G1289,IF(BUSCAR!$C$8="PASAPORTE EXPIRA",$J1289,IF(BUSCAR!$C$8="LICENCIA EMISION",$L1289,IF(BUSCAR!$C$8="LICENCIA EXPIRA",$M1289,""))))</f>
      </c>
      <c r="AG1289" s="42">
        <f>IF($B1289&amp;$C1289&amp;$D1289&amp;$E1289&amp;$H1289="",0,IF(AND(OR(BUSCAR!$J$5="",ISNUMBER(SEARCH(BUSCAR!$J$5,$AI1289))),OR(BUSCAR!$J$6="",ISNUMBER(SEARCH(BUSCAR!$J$6,$AI1289))),OR(BUSCAR!$J$8="",ISNUMBER(SEARCH(BUSCAR!$J$8,$AI1289))),OR(BUSCAR!$J$9="",ISNUMBER(SEARCH(BUSCAR!$J$9,$AI1289))),OR(NOT(BUSCAR!$J$2),AND(ISNUMBER($AF1289),$AF1289&gt;=BUSCAR!$J$3,$AF1289&lt;=BUSCAR!$J$4))),1,0))</f>
      </c>
      <c r="AH1289" s="42">
        <f t="shared" si="60"/>
      </c>
      <c r="AI1289" s="42">
        <f t="shared" si="61"/>
      </c>
    </row>
    <row r="1290" spans="1:35" x14ac:dyDescent="0.2">
      <c r="A1290" s="66">
        <f t="shared" si="62"/>
      </c>
      <c r="B1290" s="4"/>
      <c r="C1290" s="4"/>
      <c r="D1290" s="4"/>
      <c r="E1290" s="4"/>
      <c r="F1290" s="24"/>
      <c r="G1290" s="8"/>
      <c r="H1290" s="9"/>
      <c r="I1290" s="8"/>
      <c r="J1290" s="10"/>
      <c r="K1290" s="8"/>
      <c r="L1290" s="8"/>
      <c r="M1290" s="8"/>
      <c r="N1290" s="11"/>
      <c r="O1290" s="9"/>
      <c r="P1290" s="12"/>
      <c r="Q1290" s="9"/>
      <c r="R1290" s="13"/>
      <c r="S1290" s="11"/>
      <c r="T1290" s="11"/>
      <c r="U1290" s="9"/>
      <c r="V1290" s="9"/>
      <c r="W1290" s="9"/>
      <c r="X1290" s="16"/>
      <c r="AF1290" s="42">
        <f>IF(BUSCAR!$C$8="FECHA NAC.",$G1290,IF(BUSCAR!$C$8="PASAPORTE EXPIRA",$J1290,IF(BUSCAR!$C$8="LICENCIA EMISION",$L1290,IF(BUSCAR!$C$8="LICENCIA EXPIRA",$M1290,""))))</f>
      </c>
      <c r="AG1290" s="42">
        <f>IF($B1290&amp;$C1290&amp;$D1290&amp;$E1290&amp;$H1290="",0,IF(AND(OR(BUSCAR!$J$5="",ISNUMBER(SEARCH(BUSCAR!$J$5,$AI1290))),OR(BUSCAR!$J$6="",ISNUMBER(SEARCH(BUSCAR!$J$6,$AI1290))),OR(BUSCAR!$J$8="",ISNUMBER(SEARCH(BUSCAR!$J$8,$AI1290))),OR(BUSCAR!$J$9="",ISNUMBER(SEARCH(BUSCAR!$J$9,$AI1290))),OR(NOT(BUSCAR!$J$2),AND(ISNUMBER($AF1290),$AF1290&gt;=BUSCAR!$J$3,$AF1290&lt;=BUSCAR!$J$4))),1,0))</f>
      </c>
      <c r="AH1290" s="42">
        <f t="shared" si="60"/>
      </c>
      <c r="AI1290" s="42">
        <f t="shared" si="61"/>
      </c>
    </row>
    <row r="1291" spans="1:35" x14ac:dyDescent="0.2">
      <c r="A1291" s="66">
        <f t="shared" si="62"/>
      </c>
      <c r="B1291" s="4"/>
      <c r="C1291" s="4"/>
      <c r="D1291" s="4"/>
      <c r="E1291" s="4"/>
      <c r="F1291" s="24"/>
      <c r="G1291" s="8"/>
      <c r="H1291" s="9"/>
      <c r="I1291" s="8"/>
      <c r="J1291" s="10"/>
      <c r="K1291" s="8"/>
      <c r="L1291" s="8"/>
      <c r="M1291" s="8"/>
      <c r="N1291" s="11"/>
      <c r="O1291" s="9"/>
      <c r="P1291" s="12"/>
      <c r="Q1291" s="9"/>
      <c r="R1291" s="13"/>
      <c r="S1291" s="11"/>
      <c r="T1291" s="11"/>
      <c r="U1291" s="9"/>
      <c r="V1291" s="9"/>
      <c r="W1291" s="9"/>
      <c r="X1291" s="16"/>
      <c r="AF1291" s="42">
        <f>IF(BUSCAR!$C$8="FECHA NAC.",$G1291,IF(BUSCAR!$C$8="PASAPORTE EXPIRA",$J1291,IF(BUSCAR!$C$8="LICENCIA EMISION",$L1291,IF(BUSCAR!$C$8="LICENCIA EXPIRA",$M1291,""))))</f>
      </c>
      <c r="AG1291" s="42">
        <f>IF($B1291&amp;$C1291&amp;$D1291&amp;$E1291&amp;$H1291="",0,IF(AND(OR(BUSCAR!$J$5="",ISNUMBER(SEARCH(BUSCAR!$J$5,$AI1291))),OR(BUSCAR!$J$6="",ISNUMBER(SEARCH(BUSCAR!$J$6,$AI1291))),OR(BUSCAR!$J$8="",ISNUMBER(SEARCH(BUSCAR!$J$8,$AI1291))),OR(BUSCAR!$J$9="",ISNUMBER(SEARCH(BUSCAR!$J$9,$AI1291))),OR(NOT(BUSCAR!$J$2),AND(ISNUMBER($AF1291),$AF1291&gt;=BUSCAR!$J$3,$AF1291&lt;=BUSCAR!$J$4))),1,0))</f>
      </c>
      <c r="AH1291" s="42">
        <f t="shared" si="60"/>
      </c>
      <c r="AI1291" s="42">
        <f t="shared" si="61"/>
      </c>
    </row>
    <row r="1292" spans="1:35" x14ac:dyDescent="0.2">
      <c r="A1292" s="66">
        <f t="shared" si="62"/>
      </c>
      <c r="B1292" s="4"/>
      <c r="C1292" s="4"/>
      <c r="D1292" s="4"/>
      <c r="E1292" s="4"/>
      <c r="F1292" s="24"/>
      <c r="G1292" s="8"/>
      <c r="H1292" s="9"/>
      <c r="I1292" s="8"/>
      <c r="J1292" s="10"/>
      <c r="K1292" s="8"/>
      <c r="L1292" s="8"/>
      <c r="M1292" s="8"/>
      <c r="N1292" s="11"/>
      <c r="O1292" s="9"/>
      <c r="P1292" s="12"/>
      <c r="Q1292" s="9"/>
      <c r="R1292" s="13"/>
      <c r="S1292" s="11"/>
      <c r="T1292" s="11"/>
      <c r="U1292" s="9"/>
      <c r="V1292" s="9"/>
      <c r="W1292" s="9"/>
      <c r="X1292" s="16"/>
      <c r="AF1292" s="42">
        <f>IF(BUSCAR!$C$8="FECHA NAC.",$G1292,IF(BUSCAR!$C$8="PASAPORTE EXPIRA",$J1292,IF(BUSCAR!$C$8="LICENCIA EMISION",$L1292,IF(BUSCAR!$C$8="LICENCIA EXPIRA",$M1292,""))))</f>
      </c>
      <c r="AG1292" s="42">
        <f>IF($B1292&amp;$C1292&amp;$D1292&amp;$E1292&amp;$H1292="",0,IF(AND(OR(BUSCAR!$J$5="",ISNUMBER(SEARCH(BUSCAR!$J$5,$AI1292))),OR(BUSCAR!$J$6="",ISNUMBER(SEARCH(BUSCAR!$J$6,$AI1292))),OR(BUSCAR!$J$8="",ISNUMBER(SEARCH(BUSCAR!$J$8,$AI1292))),OR(BUSCAR!$J$9="",ISNUMBER(SEARCH(BUSCAR!$J$9,$AI1292))),OR(NOT(BUSCAR!$J$2),AND(ISNUMBER($AF1292),$AF1292&gt;=BUSCAR!$J$3,$AF1292&lt;=BUSCAR!$J$4))),1,0))</f>
      </c>
      <c r="AH1292" s="42">
        <f t="shared" si="60"/>
      </c>
      <c r="AI1292" s="42">
        <f t="shared" si="61"/>
      </c>
    </row>
    <row r="1293" spans="1:35" x14ac:dyDescent="0.2">
      <c r="A1293" s="66">
        <f t="shared" si="62"/>
      </c>
      <c r="B1293" s="4"/>
      <c r="C1293" s="4"/>
      <c r="D1293" s="4"/>
      <c r="E1293" s="4"/>
      <c r="F1293" s="24"/>
      <c r="G1293" s="8"/>
      <c r="H1293" s="9"/>
      <c r="I1293" s="8"/>
      <c r="J1293" s="10"/>
      <c r="K1293" s="8"/>
      <c r="L1293" s="8"/>
      <c r="M1293" s="8"/>
      <c r="N1293" s="11"/>
      <c r="O1293" s="9"/>
      <c r="P1293" s="12"/>
      <c r="Q1293" s="9"/>
      <c r="R1293" s="13"/>
      <c r="S1293" s="11"/>
      <c r="T1293" s="11"/>
      <c r="U1293" s="9"/>
      <c r="V1293" s="9"/>
      <c r="W1293" s="9"/>
      <c r="X1293" s="16"/>
      <c r="AF1293" s="42">
        <f>IF(BUSCAR!$C$8="FECHA NAC.",$G1293,IF(BUSCAR!$C$8="PASAPORTE EXPIRA",$J1293,IF(BUSCAR!$C$8="LICENCIA EMISION",$L1293,IF(BUSCAR!$C$8="LICENCIA EXPIRA",$M1293,""))))</f>
      </c>
      <c r="AG1293" s="42">
        <f>IF($B1293&amp;$C1293&amp;$D1293&amp;$E1293&amp;$H1293="",0,IF(AND(OR(BUSCAR!$J$5="",ISNUMBER(SEARCH(BUSCAR!$J$5,$AI1293))),OR(BUSCAR!$J$6="",ISNUMBER(SEARCH(BUSCAR!$J$6,$AI1293))),OR(BUSCAR!$J$8="",ISNUMBER(SEARCH(BUSCAR!$J$8,$AI1293))),OR(BUSCAR!$J$9="",ISNUMBER(SEARCH(BUSCAR!$J$9,$AI1293))),OR(NOT(BUSCAR!$J$2),AND(ISNUMBER($AF1293),$AF1293&gt;=BUSCAR!$J$3,$AF1293&lt;=BUSCAR!$J$4))),1,0))</f>
      </c>
      <c r="AH1293" s="42">
        <f t="shared" si="60"/>
      </c>
      <c r="AI1293" s="42">
        <f t="shared" si="61"/>
      </c>
    </row>
    <row r="1294" spans="1:35" x14ac:dyDescent="0.2">
      <c r="A1294" s="66">
        <f t="shared" si="62"/>
      </c>
      <c r="B1294" s="4"/>
      <c r="C1294" s="4"/>
      <c r="D1294" s="4"/>
      <c r="E1294" s="4"/>
      <c r="F1294" s="24"/>
      <c r="G1294" s="8"/>
      <c r="H1294" s="9"/>
      <c r="I1294" s="8"/>
      <c r="J1294" s="10"/>
      <c r="K1294" s="8"/>
      <c r="L1294" s="8"/>
      <c r="M1294" s="8"/>
      <c r="N1294" s="11"/>
      <c r="O1294" s="9"/>
      <c r="P1294" s="12"/>
      <c r="Q1294" s="9"/>
      <c r="R1294" s="13"/>
      <c r="S1294" s="11"/>
      <c r="T1294" s="11"/>
      <c r="U1294" s="9"/>
      <c r="V1294" s="9"/>
      <c r="W1294" s="9"/>
      <c r="X1294" s="16"/>
      <c r="AF1294" s="42">
        <f>IF(BUSCAR!$C$8="FECHA NAC.",$G1294,IF(BUSCAR!$C$8="PASAPORTE EXPIRA",$J1294,IF(BUSCAR!$C$8="LICENCIA EMISION",$L1294,IF(BUSCAR!$C$8="LICENCIA EXPIRA",$M1294,""))))</f>
      </c>
      <c r="AG1294" s="42">
        <f>IF($B1294&amp;$C1294&amp;$D1294&amp;$E1294&amp;$H1294="",0,IF(AND(OR(BUSCAR!$J$5="",ISNUMBER(SEARCH(BUSCAR!$J$5,$AI1294))),OR(BUSCAR!$J$6="",ISNUMBER(SEARCH(BUSCAR!$J$6,$AI1294))),OR(BUSCAR!$J$8="",ISNUMBER(SEARCH(BUSCAR!$J$8,$AI1294))),OR(BUSCAR!$J$9="",ISNUMBER(SEARCH(BUSCAR!$J$9,$AI1294))),OR(NOT(BUSCAR!$J$2),AND(ISNUMBER($AF1294),$AF1294&gt;=BUSCAR!$J$3,$AF1294&lt;=BUSCAR!$J$4))),1,0))</f>
      </c>
      <c r="AH1294" s="42">
        <f t="shared" si="60"/>
      </c>
      <c r="AI1294" s="42">
        <f t="shared" si="61"/>
      </c>
    </row>
    <row r="1295" spans="1:35" x14ac:dyDescent="0.2">
      <c r="A1295" s="66">
        <f t="shared" si="62"/>
      </c>
      <c r="B1295" s="4"/>
      <c r="C1295" s="4"/>
      <c r="D1295" s="4"/>
      <c r="E1295" s="4"/>
      <c r="F1295" s="24"/>
      <c r="G1295" s="8"/>
      <c r="H1295" s="9"/>
      <c r="I1295" s="8"/>
      <c r="J1295" s="10"/>
      <c r="K1295" s="8"/>
      <c r="L1295" s="8"/>
      <c r="M1295" s="8"/>
      <c r="N1295" s="11"/>
      <c r="O1295" s="9"/>
      <c r="P1295" s="12"/>
      <c r="Q1295" s="9"/>
      <c r="R1295" s="13"/>
      <c r="S1295" s="11"/>
      <c r="T1295" s="11"/>
      <c r="U1295" s="9"/>
      <c r="V1295" s="9"/>
      <c r="W1295" s="9"/>
      <c r="X1295" s="16"/>
      <c r="AF1295" s="42">
        <f>IF(BUSCAR!$C$8="FECHA NAC.",$G1295,IF(BUSCAR!$C$8="PASAPORTE EXPIRA",$J1295,IF(BUSCAR!$C$8="LICENCIA EMISION",$L1295,IF(BUSCAR!$C$8="LICENCIA EXPIRA",$M1295,""))))</f>
      </c>
      <c r="AG1295" s="42">
        <f>IF($B1295&amp;$C1295&amp;$D1295&amp;$E1295&amp;$H1295="",0,IF(AND(OR(BUSCAR!$J$5="",ISNUMBER(SEARCH(BUSCAR!$J$5,$AI1295))),OR(BUSCAR!$J$6="",ISNUMBER(SEARCH(BUSCAR!$J$6,$AI1295))),OR(BUSCAR!$J$8="",ISNUMBER(SEARCH(BUSCAR!$J$8,$AI1295))),OR(BUSCAR!$J$9="",ISNUMBER(SEARCH(BUSCAR!$J$9,$AI1295))),OR(NOT(BUSCAR!$J$2),AND(ISNUMBER($AF1295),$AF1295&gt;=BUSCAR!$J$3,$AF1295&lt;=BUSCAR!$J$4))),1,0))</f>
      </c>
      <c r="AH1295" s="42">
        <f t="shared" si="60"/>
      </c>
      <c r="AI1295" s="42">
        <f t="shared" si="61"/>
      </c>
    </row>
    <row r="1296" spans="1:35" x14ac:dyDescent="0.2">
      <c r="A1296" s="66">
        <f t="shared" si="62"/>
      </c>
      <c r="B1296" s="4"/>
      <c r="C1296" s="4"/>
      <c r="D1296" s="4"/>
      <c r="E1296" s="4"/>
      <c r="F1296" s="24"/>
      <c r="G1296" s="8"/>
      <c r="H1296" s="9"/>
      <c r="I1296" s="8"/>
      <c r="J1296" s="10"/>
      <c r="K1296" s="8"/>
      <c r="L1296" s="8"/>
      <c r="M1296" s="8"/>
      <c r="N1296" s="11"/>
      <c r="O1296" s="9"/>
      <c r="P1296" s="12"/>
      <c r="Q1296" s="9"/>
      <c r="R1296" s="13"/>
      <c r="S1296" s="11"/>
      <c r="T1296" s="11"/>
      <c r="U1296" s="9"/>
      <c r="V1296" s="9"/>
      <c r="W1296" s="9"/>
      <c r="X1296" s="16"/>
      <c r="AF1296" s="42">
        <f>IF(BUSCAR!$C$8="FECHA NAC.",$G1296,IF(BUSCAR!$C$8="PASAPORTE EXPIRA",$J1296,IF(BUSCAR!$C$8="LICENCIA EMISION",$L1296,IF(BUSCAR!$C$8="LICENCIA EXPIRA",$M1296,""))))</f>
      </c>
      <c r="AG1296" s="42">
        <f>IF($B1296&amp;$C1296&amp;$D1296&amp;$E1296&amp;$H1296="",0,IF(AND(OR(BUSCAR!$J$5="",ISNUMBER(SEARCH(BUSCAR!$J$5,$AI1296))),OR(BUSCAR!$J$6="",ISNUMBER(SEARCH(BUSCAR!$J$6,$AI1296))),OR(BUSCAR!$J$8="",ISNUMBER(SEARCH(BUSCAR!$J$8,$AI1296))),OR(BUSCAR!$J$9="",ISNUMBER(SEARCH(BUSCAR!$J$9,$AI1296))),OR(NOT(BUSCAR!$J$2),AND(ISNUMBER($AF1296),$AF1296&gt;=BUSCAR!$J$3,$AF1296&lt;=BUSCAR!$J$4))),1,0))</f>
      </c>
      <c r="AH1296" s="42">
        <f t="shared" si="60"/>
      </c>
      <c r="AI1296" s="42">
        <f t="shared" si="61"/>
      </c>
    </row>
    <row r="1297" spans="1:35" x14ac:dyDescent="0.2">
      <c r="A1297" s="66">
        <f t="shared" si="62"/>
      </c>
      <c r="B1297" s="4"/>
      <c r="C1297" s="4"/>
      <c r="D1297" s="4"/>
      <c r="E1297" s="4"/>
      <c r="F1297" s="24"/>
      <c r="G1297" s="8"/>
      <c r="H1297" s="9"/>
      <c r="I1297" s="8"/>
      <c r="J1297" s="10"/>
      <c r="K1297" s="8"/>
      <c r="L1297" s="8"/>
      <c r="M1297" s="8"/>
      <c r="N1297" s="11"/>
      <c r="O1297" s="9"/>
      <c r="P1297" s="12"/>
      <c r="Q1297" s="9"/>
      <c r="R1297" s="13"/>
      <c r="S1297" s="11"/>
      <c r="T1297" s="11"/>
      <c r="U1297" s="9"/>
      <c r="V1297" s="9"/>
      <c r="W1297" s="9"/>
      <c r="X1297" s="16"/>
      <c r="AF1297" s="42">
        <f>IF(BUSCAR!$C$8="FECHA NAC.",$G1297,IF(BUSCAR!$C$8="PASAPORTE EXPIRA",$J1297,IF(BUSCAR!$C$8="LICENCIA EMISION",$L1297,IF(BUSCAR!$C$8="LICENCIA EXPIRA",$M1297,""))))</f>
      </c>
      <c r="AG1297" s="42">
        <f>IF($B1297&amp;$C1297&amp;$D1297&amp;$E1297&amp;$H1297="",0,IF(AND(OR(BUSCAR!$J$5="",ISNUMBER(SEARCH(BUSCAR!$J$5,$AI1297))),OR(BUSCAR!$J$6="",ISNUMBER(SEARCH(BUSCAR!$J$6,$AI1297))),OR(BUSCAR!$J$8="",ISNUMBER(SEARCH(BUSCAR!$J$8,$AI1297))),OR(BUSCAR!$J$9="",ISNUMBER(SEARCH(BUSCAR!$J$9,$AI1297))),OR(NOT(BUSCAR!$J$2),AND(ISNUMBER($AF1297),$AF1297&gt;=BUSCAR!$J$3,$AF1297&lt;=BUSCAR!$J$4))),1,0))</f>
      </c>
      <c r="AH1297" s="42">
        <f t="shared" si="60"/>
      </c>
      <c r="AI1297" s="42">
        <f t="shared" si="61"/>
      </c>
    </row>
    <row r="1298" spans="1:35" x14ac:dyDescent="0.2">
      <c r="A1298" s="66">
        <f t="shared" si="62"/>
      </c>
      <c r="B1298" s="4"/>
      <c r="C1298" s="4"/>
      <c r="D1298" s="4"/>
      <c r="E1298" s="4"/>
      <c r="F1298" s="24"/>
      <c r="G1298" s="8"/>
      <c r="H1298" s="9"/>
      <c r="I1298" s="8"/>
      <c r="J1298" s="10"/>
      <c r="K1298" s="8"/>
      <c r="L1298" s="8"/>
      <c r="M1298" s="8"/>
      <c r="N1298" s="11"/>
      <c r="O1298" s="9"/>
      <c r="P1298" s="12"/>
      <c r="Q1298" s="9"/>
      <c r="R1298" s="13"/>
      <c r="S1298" s="11"/>
      <c r="T1298" s="11"/>
      <c r="U1298" s="9"/>
      <c r="V1298" s="9"/>
      <c r="W1298" s="9"/>
      <c r="X1298" s="16"/>
      <c r="AF1298" s="42">
        <f>IF(BUSCAR!$C$8="FECHA NAC.",$G1298,IF(BUSCAR!$C$8="PASAPORTE EXPIRA",$J1298,IF(BUSCAR!$C$8="LICENCIA EMISION",$L1298,IF(BUSCAR!$C$8="LICENCIA EXPIRA",$M1298,""))))</f>
      </c>
      <c r="AG1298" s="42">
        <f>IF($B1298&amp;$C1298&amp;$D1298&amp;$E1298&amp;$H1298="",0,IF(AND(OR(BUSCAR!$J$5="",ISNUMBER(SEARCH(BUSCAR!$J$5,$AI1298))),OR(BUSCAR!$J$6="",ISNUMBER(SEARCH(BUSCAR!$J$6,$AI1298))),OR(BUSCAR!$J$8="",ISNUMBER(SEARCH(BUSCAR!$J$8,$AI1298))),OR(BUSCAR!$J$9="",ISNUMBER(SEARCH(BUSCAR!$J$9,$AI1298))),OR(NOT(BUSCAR!$J$2),AND(ISNUMBER($AF1298),$AF1298&gt;=BUSCAR!$J$3,$AF1298&lt;=BUSCAR!$J$4))),1,0))</f>
      </c>
      <c r="AH1298" s="42">
        <f t="shared" si="60"/>
      </c>
      <c r="AI1298" s="42">
        <f t="shared" si="61"/>
      </c>
    </row>
    <row r="1299" spans="1:35" x14ac:dyDescent="0.2">
      <c r="A1299" s="66">
        <f t="shared" si="62"/>
      </c>
      <c r="B1299" s="4"/>
      <c r="C1299" s="4"/>
      <c r="D1299" s="4"/>
      <c r="E1299" s="4"/>
      <c r="F1299" s="24"/>
      <c r="G1299" s="8"/>
      <c r="H1299" s="9"/>
      <c r="I1299" s="8"/>
      <c r="J1299" s="10"/>
      <c r="K1299" s="8"/>
      <c r="L1299" s="8"/>
      <c r="M1299" s="8"/>
      <c r="N1299" s="11"/>
      <c r="O1299" s="9"/>
      <c r="P1299" s="12"/>
      <c r="Q1299" s="9"/>
      <c r="R1299" s="13"/>
      <c r="S1299" s="11"/>
      <c r="T1299" s="11"/>
      <c r="U1299" s="9"/>
      <c r="V1299" s="9"/>
      <c r="W1299" s="9"/>
      <c r="X1299" s="16"/>
      <c r="AF1299" s="42">
        <f>IF(BUSCAR!$C$8="FECHA NAC.",$G1299,IF(BUSCAR!$C$8="PASAPORTE EXPIRA",$J1299,IF(BUSCAR!$C$8="LICENCIA EMISION",$L1299,IF(BUSCAR!$C$8="LICENCIA EXPIRA",$M1299,""))))</f>
      </c>
      <c r="AG1299" s="42">
        <f>IF($B1299&amp;$C1299&amp;$D1299&amp;$E1299&amp;$H1299="",0,IF(AND(OR(BUSCAR!$J$5="",ISNUMBER(SEARCH(BUSCAR!$J$5,$AI1299))),OR(BUSCAR!$J$6="",ISNUMBER(SEARCH(BUSCAR!$J$6,$AI1299))),OR(BUSCAR!$J$8="",ISNUMBER(SEARCH(BUSCAR!$J$8,$AI1299))),OR(BUSCAR!$J$9="",ISNUMBER(SEARCH(BUSCAR!$J$9,$AI1299))),OR(NOT(BUSCAR!$J$2),AND(ISNUMBER($AF1299),$AF1299&gt;=BUSCAR!$J$3,$AF1299&lt;=BUSCAR!$J$4))),1,0))</f>
      </c>
      <c r="AH1299" s="42">
        <f t="shared" si="60"/>
      </c>
      <c r="AI1299" s="42">
        <f t="shared" si="61"/>
      </c>
    </row>
    <row r="1300" spans="1:35" x14ac:dyDescent="0.2">
      <c r="A1300" s="66">
        <f t="shared" si="62"/>
      </c>
      <c r="B1300" s="4"/>
      <c r="C1300" s="4"/>
      <c r="D1300" s="4"/>
      <c r="E1300" s="4"/>
      <c r="F1300" s="24"/>
      <c r="G1300" s="8"/>
      <c r="H1300" s="9"/>
      <c r="I1300" s="8"/>
      <c r="J1300" s="10"/>
      <c r="K1300" s="8"/>
      <c r="L1300" s="8"/>
      <c r="M1300" s="8"/>
      <c r="N1300" s="11"/>
      <c r="O1300" s="9"/>
      <c r="P1300" s="12"/>
      <c r="Q1300" s="9"/>
      <c r="R1300" s="13"/>
      <c r="S1300" s="11"/>
      <c r="T1300" s="11"/>
      <c r="U1300" s="9"/>
      <c r="V1300" s="9"/>
      <c r="W1300" s="9"/>
      <c r="X1300" s="16"/>
      <c r="AF1300" s="42">
        <f>IF(BUSCAR!$C$8="FECHA NAC.",$G1300,IF(BUSCAR!$C$8="PASAPORTE EXPIRA",$J1300,IF(BUSCAR!$C$8="LICENCIA EMISION",$L1300,IF(BUSCAR!$C$8="LICENCIA EXPIRA",$M1300,""))))</f>
      </c>
      <c r="AG1300" s="42">
        <f>IF($B1300&amp;$C1300&amp;$D1300&amp;$E1300&amp;$H1300="",0,IF(AND(OR(BUSCAR!$J$5="",ISNUMBER(SEARCH(BUSCAR!$J$5,$AI1300))),OR(BUSCAR!$J$6="",ISNUMBER(SEARCH(BUSCAR!$J$6,$AI1300))),OR(BUSCAR!$J$8="",ISNUMBER(SEARCH(BUSCAR!$J$8,$AI1300))),OR(BUSCAR!$J$9="",ISNUMBER(SEARCH(BUSCAR!$J$9,$AI1300))),OR(NOT(BUSCAR!$J$2),AND(ISNUMBER($AF1300),$AF1300&gt;=BUSCAR!$J$3,$AF1300&lt;=BUSCAR!$J$4))),1,0))</f>
      </c>
      <c r="AH1300" s="42">
        <f t="shared" si="60"/>
      </c>
      <c r="AI1300" s="42">
        <f t="shared" si="61"/>
      </c>
    </row>
    <row r="1301" spans="1:35" x14ac:dyDescent="0.2">
      <c r="A1301" s="66">
        <f t="shared" si="62"/>
      </c>
      <c r="B1301" s="4"/>
      <c r="C1301" s="4"/>
      <c r="D1301" s="4"/>
      <c r="E1301" s="4"/>
      <c r="F1301" s="24"/>
      <c r="G1301" s="8"/>
      <c r="H1301" s="9"/>
      <c r="I1301" s="8"/>
      <c r="J1301" s="10"/>
      <c r="K1301" s="8"/>
      <c r="L1301" s="8"/>
      <c r="M1301" s="8"/>
      <c r="N1301" s="11"/>
      <c r="O1301" s="9"/>
      <c r="P1301" s="12"/>
      <c r="Q1301" s="9"/>
      <c r="R1301" s="13"/>
      <c r="S1301" s="11"/>
      <c r="T1301" s="11"/>
      <c r="U1301" s="9"/>
      <c r="V1301" s="9"/>
      <c r="W1301" s="9"/>
      <c r="X1301" s="16"/>
      <c r="AF1301" s="42">
        <f>IF(BUSCAR!$C$8="FECHA NAC.",$G1301,IF(BUSCAR!$C$8="PASAPORTE EXPIRA",$J1301,IF(BUSCAR!$C$8="LICENCIA EMISION",$L1301,IF(BUSCAR!$C$8="LICENCIA EXPIRA",$M1301,""))))</f>
      </c>
      <c r="AG1301" s="42">
        <f>IF($B1301&amp;$C1301&amp;$D1301&amp;$E1301&amp;$H1301="",0,IF(AND(OR(BUSCAR!$J$5="",ISNUMBER(SEARCH(BUSCAR!$J$5,$AI1301))),OR(BUSCAR!$J$6="",ISNUMBER(SEARCH(BUSCAR!$J$6,$AI1301))),OR(BUSCAR!$J$8="",ISNUMBER(SEARCH(BUSCAR!$J$8,$AI1301))),OR(BUSCAR!$J$9="",ISNUMBER(SEARCH(BUSCAR!$J$9,$AI1301))),OR(NOT(BUSCAR!$J$2),AND(ISNUMBER($AF1301),$AF1301&gt;=BUSCAR!$J$3,$AF1301&lt;=BUSCAR!$J$4))),1,0))</f>
      </c>
      <c r="AH1301" s="42">
        <f t="shared" si="60"/>
      </c>
      <c r="AI1301" s="42">
        <f t="shared" si="61"/>
      </c>
    </row>
    <row r="1302" spans="1:35" x14ac:dyDescent="0.2">
      <c r="A1302" s="66">
        <f t="shared" si="62"/>
      </c>
      <c r="B1302" s="4"/>
      <c r="C1302" s="4"/>
      <c r="D1302" s="4"/>
      <c r="E1302" s="4"/>
      <c r="F1302" s="24"/>
      <c r="G1302" s="8"/>
      <c r="H1302" s="9"/>
      <c r="I1302" s="8"/>
      <c r="J1302" s="10"/>
      <c r="K1302" s="8"/>
      <c r="L1302" s="8"/>
      <c r="M1302" s="8"/>
      <c r="N1302" s="11"/>
      <c r="O1302" s="9"/>
      <c r="P1302" s="12"/>
      <c r="Q1302" s="9"/>
      <c r="R1302" s="13"/>
      <c r="S1302" s="11"/>
      <c r="T1302" s="11"/>
      <c r="U1302" s="9"/>
      <c r="V1302" s="9"/>
      <c r="W1302" s="9"/>
      <c r="X1302" s="16"/>
      <c r="AF1302" s="42">
        <f>IF(BUSCAR!$C$8="FECHA NAC.",$G1302,IF(BUSCAR!$C$8="PASAPORTE EXPIRA",$J1302,IF(BUSCAR!$C$8="LICENCIA EMISION",$L1302,IF(BUSCAR!$C$8="LICENCIA EXPIRA",$M1302,""))))</f>
      </c>
      <c r="AG1302" s="42">
        <f>IF($B1302&amp;$C1302&amp;$D1302&amp;$E1302&amp;$H1302="",0,IF(AND(OR(BUSCAR!$J$5="",ISNUMBER(SEARCH(BUSCAR!$J$5,$AI1302))),OR(BUSCAR!$J$6="",ISNUMBER(SEARCH(BUSCAR!$J$6,$AI1302))),OR(BUSCAR!$J$8="",ISNUMBER(SEARCH(BUSCAR!$J$8,$AI1302))),OR(BUSCAR!$J$9="",ISNUMBER(SEARCH(BUSCAR!$J$9,$AI1302))),OR(NOT(BUSCAR!$J$2),AND(ISNUMBER($AF1302),$AF1302&gt;=BUSCAR!$J$3,$AF1302&lt;=BUSCAR!$J$4))),1,0))</f>
      </c>
      <c r="AH1302" s="42">
        <f t="shared" si="60"/>
      </c>
      <c r="AI1302" s="42">
        <f t="shared" si="61"/>
      </c>
    </row>
    <row r="1303" spans="1:35" x14ac:dyDescent="0.2">
      <c r="A1303" s="66">
        <f t="shared" si="62"/>
      </c>
      <c r="B1303" s="4"/>
      <c r="C1303" s="4"/>
      <c r="D1303" s="4"/>
      <c r="E1303" s="4"/>
      <c r="F1303" s="24"/>
      <c r="G1303" s="8"/>
      <c r="H1303" s="9"/>
      <c r="I1303" s="8"/>
      <c r="J1303" s="10"/>
      <c r="K1303" s="8"/>
      <c r="L1303" s="8"/>
      <c r="M1303" s="8"/>
      <c r="N1303" s="11"/>
      <c r="O1303" s="9"/>
      <c r="P1303" s="12"/>
      <c r="Q1303" s="9"/>
      <c r="R1303" s="13"/>
      <c r="S1303" s="11"/>
      <c r="T1303" s="11"/>
      <c r="U1303" s="9"/>
      <c r="V1303" s="9"/>
      <c r="W1303" s="9"/>
      <c r="X1303" s="16"/>
      <c r="AF1303" s="42">
        <f>IF(BUSCAR!$C$8="FECHA NAC.",$G1303,IF(BUSCAR!$C$8="PASAPORTE EXPIRA",$J1303,IF(BUSCAR!$C$8="LICENCIA EMISION",$L1303,IF(BUSCAR!$C$8="LICENCIA EXPIRA",$M1303,""))))</f>
      </c>
      <c r="AG1303" s="42">
        <f>IF($B1303&amp;$C1303&amp;$D1303&amp;$E1303&amp;$H1303="",0,IF(AND(OR(BUSCAR!$J$5="",ISNUMBER(SEARCH(BUSCAR!$J$5,$AI1303))),OR(BUSCAR!$J$6="",ISNUMBER(SEARCH(BUSCAR!$J$6,$AI1303))),OR(BUSCAR!$J$8="",ISNUMBER(SEARCH(BUSCAR!$J$8,$AI1303))),OR(BUSCAR!$J$9="",ISNUMBER(SEARCH(BUSCAR!$J$9,$AI1303))),OR(NOT(BUSCAR!$J$2),AND(ISNUMBER($AF1303),$AF1303&gt;=BUSCAR!$J$3,$AF1303&lt;=BUSCAR!$J$4))),1,0))</f>
      </c>
      <c r="AH1303" s="42">
        <f t="shared" si="60"/>
      </c>
      <c r="AI1303" s="42">
        <f t="shared" si="61"/>
      </c>
    </row>
    <row r="1304" spans="1:35" x14ac:dyDescent="0.2">
      <c r="A1304" s="66">
        <f t="shared" si="62"/>
      </c>
      <c r="B1304" s="4"/>
      <c r="C1304" s="4"/>
      <c r="D1304" s="4"/>
      <c r="E1304" s="4"/>
      <c r="F1304" s="24"/>
      <c r="G1304" s="8"/>
      <c r="H1304" s="9"/>
      <c r="I1304" s="8"/>
      <c r="J1304" s="10"/>
      <c r="K1304" s="8"/>
      <c r="L1304" s="8"/>
      <c r="M1304" s="8"/>
      <c r="N1304" s="11"/>
      <c r="O1304" s="9"/>
      <c r="P1304" s="12"/>
      <c r="Q1304" s="9"/>
      <c r="R1304" s="13"/>
      <c r="S1304" s="11"/>
      <c r="T1304" s="11"/>
      <c r="U1304" s="9"/>
      <c r="V1304" s="9"/>
      <c r="W1304" s="9"/>
      <c r="X1304" s="16"/>
      <c r="AF1304" s="42">
        <f>IF(BUSCAR!$C$8="FECHA NAC.",$G1304,IF(BUSCAR!$C$8="PASAPORTE EXPIRA",$J1304,IF(BUSCAR!$C$8="LICENCIA EMISION",$L1304,IF(BUSCAR!$C$8="LICENCIA EXPIRA",$M1304,""))))</f>
      </c>
      <c r="AG1304" s="42">
        <f>IF($B1304&amp;$C1304&amp;$D1304&amp;$E1304&amp;$H1304="",0,IF(AND(OR(BUSCAR!$J$5="",ISNUMBER(SEARCH(BUSCAR!$J$5,$AI1304))),OR(BUSCAR!$J$6="",ISNUMBER(SEARCH(BUSCAR!$J$6,$AI1304))),OR(BUSCAR!$J$8="",ISNUMBER(SEARCH(BUSCAR!$J$8,$AI1304))),OR(BUSCAR!$J$9="",ISNUMBER(SEARCH(BUSCAR!$J$9,$AI1304))),OR(NOT(BUSCAR!$J$2),AND(ISNUMBER($AF1304),$AF1304&gt;=BUSCAR!$J$3,$AF1304&lt;=BUSCAR!$J$4))),1,0))</f>
      </c>
      <c r="AH1304" s="42">
        <f t="shared" si="60"/>
      </c>
      <c r="AI1304" s="42">
        <f t="shared" si="61"/>
      </c>
    </row>
    <row r="1305" spans="1:35" x14ac:dyDescent="0.2">
      <c r="A1305" s="66">
        <f t="shared" si="62"/>
      </c>
      <c r="B1305" s="4"/>
      <c r="C1305" s="4"/>
      <c r="D1305" s="4"/>
      <c r="E1305" s="4"/>
      <c r="F1305" s="24"/>
      <c r="G1305" s="8"/>
      <c r="H1305" s="9"/>
      <c r="I1305" s="8"/>
      <c r="J1305" s="10"/>
      <c r="K1305" s="8"/>
      <c r="L1305" s="8"/>
      <c r="M1305" s="8"/>
      <c r="N1305" s="11"/>
      <c r="O1305" s="9"/>
      <c r="P1305" s="12"/>
      <c r="Q1305" s="9"/>
      <c r="R1305" s="13"/>
      <c r="S1305" s="11"/>
      <c r="T1305" s="11"/>
      <c r="U1305" s="9"/>
      <c r="V1305" s="9"/>
      <c r="W1305" s="9"/>
      <c r="X1305" s="16"/>
      <c r="AF1305" s="42">
        <f>IF(BUSCAR!$C$8="FECHA NAC.",$G1305,IF(BUSCAR!$C$8="PASAPORTE EXPIRA",$J1305,IF(BUSCAR!$C$8="LICENCIA EMISION",$L1305,IF(BUSCAR!$C$8="LICENCIA EXPIRA",$M1305,""))))</f>
      </c>
      <c r="AG1305" s="42">
        <f>IF($B1305&amp;$C1305&amp;$D1305&amp;$E1305&amp;$H1305="",0,IF(AND(OR(BUSCAR!$J$5="",ISNUMBER(SEARCH(BUSCAR!$J$5,$AI1305))),OR(BUSCAR!$J$6="",ISNUMBER(SEARCH(BUSCAR!$J$6,$AI1305))),OR(BUSCAR!$J$8="",ISNUMBER(SEARCH(BUSCAR!$J$8,$AI1305))),OR(BUSCAR!$J$9="",ISNUMBER(SEARCH(BUSCAR!$J$9,$AI1305))),OR(NOT(BUSCAR!$J$2),AND(ISNUMBER($AF1305),$AF1305&gt;=BUSCAR!$J$3,$AF1305&lt;=BUSCAR!$J$4))),1,0))</f>
      </c>
      <c r="AH1305" s="42">
        <f t="shared" si="60"/>
      </c>
      <c r="AI1305" s="42">
        <f t="shared" si="61"/>
      </c>
    </row>
    <row r="1306" spans="1:35" x14ac:dyDescent="0.2">
      <c r="A1306" s="66">
        <f t="shared" si="62"/>
      </c>
      <c r="B1306" s="4"/>
      <c r="C1306" s="4"/>
      <c r="D1306" s="4"/>
      <c r="E1306" s="4"/>
      <c r="F1306" s="24"/>
      <c r="G1306" s="8"/>
      <c r="H1306" s="9"/>
      <c r="I1306" s="8"/>
      <c r="J1306" s="10"/>
      <c r="K1306" s="8"/>
      <c r="L1306" s="8"/>
      <c r="M1306" s="8"/>
      <c r="N1306" s="11"/>
      <c r="O1306" s="9"/>
      <c r="P1306" s="12"/>
      <c r="Q1306" s="9"/>
      <c r="R1306" s="13"/>
      <c r="S1306" s="11"/>
      <c r="T1306" s="11"/>
      <c r="U1306" s="9"/>
      <c r="V1306" s="9"/>
      <c r="W1306" s="9"/>
      <c r="X1306" s="16"/>
      <c r="AF1306" s="42">
        <f>IF(BUSCAR!$C$8="FECHA NAC.",$G1306,IF(BUSCAR!$C$8="PASAPORTE EXPIRA",$J1306,IF(BUSCAR!$C$8="LICENCIA EMISION",$L1306,IF(BUSCAR!$C$8="LICENCIA EXPIRA",$M1306,""))))</f>
      </c>
      <c r="AG1306" s="42">
        <f>IF($B1306&amp;$C1306&amp;$D1306&amp;$E1306&amp;$H1306="",0,IF(AND(OR(BUSCAR!$J$5="",ISNUMBER(SEARCH(BUSCAR!$J$5,$AI1306))),OR(BUSCAR!$J$6="",ISNUMBER(SEARCH(BUSCAR!$J$6,$AI1306))),OR(BUSCAR!$J$8="",ISNUMBER(SEARCH(BUSCAR!$J$8,$AI1306))),OR(BUSCAR!$J$9="",ISNUMBER(SEARCH(BUSCAR!$J$9,$AI1306))),OR(NOT(BUSCAR!$J$2),AND(ISNUMBER($AF1306),$AF1306&gt;=BUSCAR!$J$3,$AF1306&lt;=BUSCAR!$J$4))),1,0))</f>
      </c>
      <c r="AH1306" s="42">
        <f t="shared" si="60"/>
      </c>
      <c r="AI1306" s="42">
        <f t="shared" si="61"/>
      </c>
    </row>
    <row r="1307" spans="1:35" x14ac:dyDescent="0.2">
      <c r="A1307" s="66">
        <f t="shared" si="62"/>
      </c>
      <c r="B1307" s="4"/>
      <c r="C1307" s="4"/>
      <c r="D1307" s="4"/>
      <c r="E1307" s="4"/>
      <c r="F1307" s="24"/>
      <c r="G1307" s="8"/>
      <c r="H1307" s="9"/>
      <c r="I1307" s="8"/>
      <c r="J1307" s="10"/>
      <c r="K1307" s="8"/>
      <c r="L1307" s="8"/>
      <c r="M1307" s="8"/>
      <c r="N1307" s="11"/>
      <c r="O1307" s="9"/>
      <c r="P1307" s="12"/>
      <c r="Q1307" s="9"/>
      <c r="R1307" s="13"/>
      <c r="S1307" s="11"/>
      <c r="T1307" s="11"/>
      <c r="U1307" s="9"/>
      <c r="V1307" s="9"/>
      <c r="W1307" s="9"/>
      <c r="X1307" s="16"/>
      <c r="AF1307" s="42">
        <f>IF(BUSCAR!$C$8="FECHA NAC.",$G1307,IF(BUSCAR!$C$8="PASAPORTE EXPIRA",$J1307,IF(BUSCAR!$C$8="LICENCIA EMISION",$L1307,IF(BUSCAR!$C$8="LICENCIA EXPIRA",$M1307,""))))</f>
      </c>
      <c r="AG1307" s="42">
        <f>IF($B1307&amp;$C1307&amp;$D1307&amp;$E1307&amp;$H1307="",0,IF(AND(OR(BUSCAR!$J$5="",ISNUMBER(SEARCH(BUSCAR!$J$5,$AI1307))),OR(BUSCAR!$J$6="",ISNUMBER(SEARCH(BUSCAR!$J$6,$AI1307))),OR(BUSCAR!$J$8="",ISNUMBER(SEARCH(BUSCAR!$J$8,$AI1307))),OR(BUSCAR!$J$9="",ISNUMBER(SEARCH(BUSCAR!$J$9,$AI1307))),OR(NOT(BUSCAR!$J$2),AND(ISNUMBER($AF1307),$AF1307&gt;=BUSCAR!$J$3,$AF1307&lt;=BUSCAR!$J$4))),1,0))</f>
      </c>
      <c r="AH1307" s="42">
        <f t="shared" si="60"/>
      </c>
      <c r="AI1307" s="42">
        <f t="shared" si="61"/>
      </c>
    </row>
    <row r="1308" spans="1:35" x14ac:dyDescent="0.2">
      <c r="A1308" s="66">
        <f t="shared" si="62"/>
      </c>
      <c r="B1308" s="4"/>
      <c r="C1308" s="4"/>
      <c r="D1308" s="4"/>
      <c r="E1308" s="4"/>
      <c r="F1308" s="24"/>
      <c r="G1308" s="8"/>
      <c r="H1308" s="9"/>
      <c r="I1308" s="8"/>
      <c r="J1308" s="10"/>
      <c r="K1308" s="8"/>
      <c r="L1308" s="8"/>
      <c r="M1308" s="8"/>
      <c r="N1308" s="11"/>
      <c r="O1308" s="9"/>
      <c r="P1308" s="12"/>
      <c r="Q1308" s="9"/>
      <c r="R1308" s="13"/>
      <c r="S1308" s="11"/>
      <c r="T1308" s="11"/>
      <c r="U1308" s="9"/>
      <c r="V1308" s="9"/>
      <c r="W1308" s="9"/>
      <c r="X1308" s="16"/>
      <c r="AF1308" s="42">
        <f>IF(BUSCAR!$C$8="FECHA NAC.",$G1308,IF(BUSCAR!$C$8="PASAPORTE EXPIRA",$J1308,IF(BUSCAR!$C$8="LICENCIA EMISION",$L1308,IF(BUSCAR!$C$8="LICENCIA EXPIRA",$M1308,""))))</f>
      </c>
      <c r="AG1308" s="42">
        <f>IF($B1308&amp;$C1308&amp;$D1308&amp;$E1308&amp;$H1308="",0,IF(AND(OR(BUSCAR!$J$5="",ISNUMBER(SEARCH(BUSCAR!$J$5,$AI1308))),OR(BUSCAR!$J$6="",ISNUMBER(SEARCH(BUSCAR!$J$6,$AI1308))),OR(BUSCAR!$J$8="",ISNUMBER(SEARCH(BUSCAR!$J$8,$AI1308))),OR(BUSCAR!$J$9="",ISNUMBER(SEARCH(BUSCAR!$J$9,$AI1308))),OR(NOT(BUSCAR!$J$2),AND(ISNUMBER($AF1308),$AF1308&gt;=BUSCAR!$J$3,$AF1308&lt;=BUSCAR!$J$4))),1,0))</f>
      </c>
      <c r="AH1308" s="42">
        <f t="shared" si="60"/>
      </c>
      <c r="AI1308" s="42">
        <f t="shared" si="61"/>
      </c>
    </row>
    <row r="1309" spans="1:35" x14ac:dyDescent="0.2">
      <c r="A1309" s="66">
        <f t="shared" si="62"/>
      </c>
      <c r="B1309" s="4"/>
      <c r="C1309" s="4"/>
      <c r="D1309" s="4"/>
      <c r="E1309" s="4"/>
      <c r="F1309" s="24"/>
      <c r="G1309" s="8"/>
      <c r="H1309" s="9"/>
      <c r="I1309" s="8"/>
      <c r="J1309" s="10"/>
      <c r="K1309" s="8"/>
      <c r="L1309" s="8"/>
      <c r="M1309" s="8"/>
      <c r="N1309" s="11"/>
      <c r="O1309" s="9"/>
      <c r="P1309" s="12"/>
      <c r="Q1309" s="9"/>
      <c r="R1309" s="13"/>
      <c r="S1309" s="11"/>
      <c r="T1309" s="11"/>
      <c r="U1309" s="9"/>
      <c r="V1309" s="9"/>
      <c r="W1309" s="9"/>
      <c r="X1309" s="16"/>
      <c r="AF1309" s="42">
        <f>IF(BUSCAR!$C$8="FECHA NAC.",$G1309,IF(BUSCAR!$C$8="PASAPORTE EXPIRA",$J1309,IF(BUSCAR!$C$8="LICENCIA EMISION",$L1309,IF(BUSCAR!$C$8="LICENCIA EXPIRA",$M1309,""))))</f>
      </c>
      <c r="AG1309" s="42">
        <f>IF($B1309&amp;$C1309&amp;$D1309&amp;$E1309&amp;$H1309="",0,IF(AND(OR(BUSCAR!$J$5="",ISNUMBER(SEARCH(BUSCAR!$J$5,$AI1309))),OR(BUSCAR!$J$6="",ISNUMBER(SEARCH(BUSCAR!$J$6,$AI1309))),OR(BUSCAR!$J$8="",ISNUMBER(SEARCH(BUSCAR!$J$8,$AI1309))),OR(BUSCAR!$J$9="",ISNUMBER(SEARCH(BUSCAR!$J$9,$AI1309))),OR(NOT(BUSCAR!$J$2),AND(ISNUMBER($AF1309),$AF1309&gt;=BUSCAR!$J$3,$AF1309&lt;=BUSCAR!$J$4))),1,0))</f>
      </c>
      <c r="AH1309" s="42">
        <f t="shared" si="60"/>
      </c>
      <c r="AI1309" s="42">
        <f t="shared" si="61"/>
      </c>
    </row>
    <row r="1310" spans="1:35" x14ac:dyDescent="0.2">
      <c r="A1310" s="66">
        <f t="shared" si="62"/>
      </c>
      <c r="B1310" s="4"/>
      <c r="C1310" s="4"/>
      <c r="D1310" s="4"/>
      <c r="E1310" s="4"/>
      <c r="F1310" s="24"/>
      <c r="G1310" s="8"/>
      <c r="H1310" s="9"/>
      <c r="I1310" s="8"/>
      <c r="J1310" s="10"/>
      <c r="K1310" s="8"/>
      <c r="L1310" s="8"/>
      <c r="M1310" s="8"/>
      <c r="N1310" s="11"/>
      <c r="O1310" s="9"/>
      <c r="P1310" s="12"/>
      <c r="Q1310" s="9"/>
      <c r="R1310" s="13"/>
      <c r="S1310" s="11"/>
      <c r="T1310" s="11"/>
      <c r="U1310" s="9"/>
      <c r="V1310" s="9"/>
      <c r="W1310" s="9"/>
      <c r="X1310" s="16"/>
      <c r="AF1310" s="42">
        <f>IF(BUSCAR!$C$8="FECHA NAC.",$G1310,IF(BUSCAR!$C$8="PASAPORTE EXPIRA",$J1310,IF(BUSCAR!$C$8="LICENCIA EMISION",$L1310,IF(BUSCAR!$C$8="LICENCIA EXPIRA",$M1310,""))))</f>
      </c>
      <c r="AG1310" s="42">
        <f>IF($B1310&amp;$C1310&amp;$D1310&amp;$E1310&amp;$H1310="",0,IF(AND(OR(BUSCAR!$J$5="",ISNUMBER(SEARCH(BUSCAR!$J$5,$AI1310))),OR(BUSCAR!$J$6="",ISNUMBER(SEARCH(BUSCAR!$J$6,$AI1310))),OR(BUSCAR!$J$8="",ISNUMBER(SEARCH(BUSCAR!$J$8,$AI1310))),OR(BUSCAR!$J$9="",ISNUMBER(SEARCH(BUSCAR!$J$9,$AI1310))),OR(NOT(BUSCAR!$J$2),AND(ISNUMBER($AF1310),$AF1310&gt;=BUSCAR!$J$3,$AF1310&lt;=BUSCAR!$J$4))),1,0))</f>
      </c>
      <c r="AH1310" s="42">
        <f t="shared" si="60"/>
      </c>
      <c r="AI1310" s="42">
        <f t="shared" si="61"/>
      </c>
    </row>
    <row r="1311" spans="1:35" x14ac:dyDescent="0.2">
      <c r="A1311" s="66">
        <f t="shared" si="62"/>
      </c>
      <c r="B1311" s="4"/>
      <c r="C1311" s="4"/>
      <c r="D1311" s="4"/>
      <c r="E1311" s="4"/>
      <c r="F1311" s="24"/>
      <c r="G1311" s="8"/>
      <c r="H1311" s="9"/>
      <c r="I1311" s="8"/>
      <c r="J1311" s="10"/>
      <c r="K1311" s="8"/>
      <c r="L1311" s="8"/>
      <c r="M1311" s="8"/>
      <c r="N1311" s="11"/>
      <c r="O1311" s="9"/>
      <c r="P1311" s="12"/>
      <c r="Q1311" s="9"/>
      <c r="R1311" s="13"/>
      <c r="S1311" s="11"/>
      <c r="T1311" s="11"/>
      <c r="U1311" s="9"/>
      <c r="V1311" s="9"/>
      <c r="W1311" s="9"/>
      <c r="X1311" s="16"/>
      <c r="AF1311" s="42">
        <f>IF(BUSCAR!$C$8="FECHA NAC.",$G1311,IF(BUSCAR!$C$8="PASAPORTE EXPIRA",$J1311,IF(BUSCAR!$C$8="LICENCIA EMISION",$L1311,IF(BUSCAR!$C$8="LICENCIA EXPIRA",$M1311,""))))</f>
      </c>
      <c r="AG1311" s="42">
        <f>IF($B1311&amp;$C1311&amp;$D1311&amp;$E1311&amp;$H1311="",0,IF(AND(OR(BUSCAR!$J$5="",ISNUMBER(SEARCH(BUSCAR!$J$5,$AI1311))),OR(BUSCAR!$J$6="",ISNUMBER(SEARCH(BUSCAR!$J$6,$AI1311))),OR(BUSCAR!$J$8="",ISNUMBER(SEARCH(BUSCAR!$J$8,$AI1311))),OR(BUSCAR!$J$9="",ISNUMBER(SEARCH(BUSCAR!$J$9,$AI1311))),OR(NOT(BUSCAR!$J$2),AND(ISNUMBER($AF1311),$AF1311&gt;=BUSCAR!$J$3,$AF1311&lt;=BUSCAR!$J$4))),1,0))</f>
      </c>
      <c r="AH1311" s="42">
        <f t="shared" si="60"/>
      </c>
      <c r="AI1311" s="42">
        <f t="shared" si="61"/>
      </c>
    </row>
    <row r="1312" spans="1:35" x14ac:dyDescent="0.2">
      <c r="A1312" s="66">
        <f t="shared" si="62"/>
      </c>
      <c r="B1312" s="4"/>
      <c r="C1312" s="4"/>
      <c r="D1312" s="4"/>
      <c r="E1312" s="4"/>
      <c r="F1312" s="24"/>
      <c r="G1312" s="8"/>
      <c r="H1312" s="9"/>
      <c r="I1312" s="8"/>
      <c r="J1312" s="10"/>
      <c r="K1312" s="8"/>
      <c r="L1312" s="8"/>
      <c r="M1312" s="8"/>
      <c r="N1312" s="11"/>
      <c r="O1312" s="9"/>
      <c r="P1312" s="12"/>
      <c r="Q1312" s="9"/>
      <c r="R1312" s="13"/>
      <c r="S1312" s="11"/>
      <c r="T1312" s="11"/>
      <c r="U1312" s="9"/>
      <c r="V1312" s="9"/>
      <c r="W1312" s="9"/>
      <c r="X1312" s="16"/>
      <c r="AF1312" s="42">
        <f>IF(BUSCAR!$C$8="FECHA NAC.",$G1312,IF(BUSCAR!$C$8="PASAPORTE EXPIRA",$J1312,IF(BUSCAR!$C$8="LICENCIA EMISION",$L1312,IF(BUSCAR!$C$8="LICENCIA EXPIRA",$M1312,""))))</f>
      </c>
      <c r="AG1312" s="42">
        <f>IF($B1312&amp;$C1312&amp;$D1312&amp;$E1312&amp;$H1312="",0,IF(AND(OR(BUSCAR!$J$5="",ISNUMBER(SEARCH(BUSCAR!$J$5,$AI1312))),OR(BUSCAR!$J$6="",ISNUMBER(SEARCH(BUSCAR!$J$6,$AI1312))),OR(BUSCAR!$J$8="",ISNUMBER(SEARCH(BUSCAR!$J$8,$AI1312))),OR(BUSCAR!$J$9="",ISNUMBER(SEARCH(BUSCAR!$J$9,$AI1312))),OR(NOT(BUSCAR!$J$2),AND(ISNUMBER($AF1312),$AF1312&gt;=BUSCAR!$J$3,$AF1312&lt;=BUSCAR!$J$4))),1,0))</f>
      </c>
      <c r="AH1312" s="42">
        <f t="shared" si="60"/>
      </c>
      <c r="AI1312" s="42">
        <f t="shared" si="61"/>
      </c>
    </row>
    <row r="1313" spans="1:35" x14ac:dyDescent="0.2">
      <c r="A1313" s="66">
        <f t="shared" si="62"/>
      </c>
      <c r="B1313" s="4"/>
      <c r="C1313" s="4"/>
      <c r="D1313" s="4"/>
      <c r="E1313" s="4"/>
      <c r="F1313" s="24"/>
      <c r="G1313" s="8"/>
      <c r="H1313" s="9"/>
      <c r="I1313" s="8"/>
      <c r="J1313" s="10"/>
      <c r="K1313" s="8"/>
      <c r="L1313" s="8"/>
      <c r="M1313" s="8"/>
      <c r="N1313" s="11"/>
      <c r="O1313" s="9"/>
      <c r="P1313" s="12"/>
      <c r="Q1313" s="9"/>
      <c r="R1313" s="13"/>
      <c r="S1313" s="11"/>
      <c r="T1313" s="11"/>
      <c r="U1313" s="9"/>
      <c r="V1313" s="9"/>
      <c r="W1313" s="9"/>
      <c r="X1313" s="16"/>
      <c r="AF1313" s="42">
        <f>IF(BUSCAR!$C$8="FECHA NAC.",$G1313,IF(BUSCAR!$C$8="PASAPORTE EXPIRA",$J1313,IF(BUSCAR!$C$8="LICENCIA EMISION",$L1313,IF(BUSCAR!$C$8="LICENCIA EXPIRA",$M1313,""))))</f>
      </c>
      <c r="AG1313" s="42">
        <f>IF($B1313&amp;$C1313&amp;$D1313&amp;$E1313&amp;$H1313="",0,IF(AND(OR(BUSCAR!$J$5="",ISNUMBER(SEARCH(BUSCAR!$J$5,$AI1313))),OR(BUSCAR!$J$6="",ISNUMBER(SEARCH(BUSCAR!$J$6,$AI1313))),OR(BUSCAR!$J$8="",ISNUMBER(SEARCH(BUSCAR!$J$8,$AI1313))),OR(BUSCAR!$J$9="",ISNUMBER(SEARCH(BUSCAR!$J$9,$AI1313))),OR(NOT(BUSCAR!$J$2),AND(ISNUMBER($AF1313),$AF1313&gt;=BUSCAR!$J$3,$AF1313&lt;=BUSCAR!$J$4))),1,0))</f>
      </c>
      <c r="AH1313" s="42">
        <f t="shared" si="60"/>
      </c>
      <c r="AI1313" s="42">
        <f t="shared" si="61"/>
      </c>
    </row>
    <row r="1314" spans="1:35" x14ac:dyDescent="0.2">
      <c r="A1314" s="66">
        <f t="shared" si="62"/>
      </c>
      <c r="B1314" s="4"/>
      <c r="C1314" s="4"/>
      <c r="D1314" s="4"/>
      <c r="E1314" s="4"/>
      <c r="F1314" s="24"/>
      <c r="G1314" s="8"/>
      <c r="H1314" s="9"/>
      <c r="I1314" s="8"/>
      <c r="J1314" s="10"/>
      <c r="K1314" s="8"/>
      <c r="L1314" s="8"/>
      <c r="M1314" s="8"/>
      <c r="N1314" s="11"/>
      <c r="O1314" s="9"/>
      <c r="P1314" s="12"/>
      <c r="Q1314" s="9"/>
      <c r="R1314" s="13"/>
      <c r="S1314" s="11"/>
      <c r="T1314" s="11"/>
      <c r="U1314" s="9"/>
      <c r="V1314" s="9"/>
      <c r="W1314" s="9"/>
      <c r="X1314" s="16"/>
      <c r="AF1314" s="42">
        <f>IF(BUSCAR!$C$8="FECHA NAC.",$G1314,IF(BUSCAR!$C$8="PASAPORTE EXPIRA",$J1314,IF(BUSCAR!$C$8="LICENCIA EMISION",$L1314,IF(BUSCAR!$C$8="LICENCIA EXPIRA",$M1314,""))))</f>
      </c>
      <c r="AG1314" s="42">
        <f>IF($B1314&amp;$C1314&amp;$D1314&amp;$E1314&amp;$H1314="",0,IF(AND(OR(BUSCAR!$J$5="",ISNUMBER(SEARCH(BUSCAR!$J$5,$AI1314))),OR(BUSCAR!$J$6="",ISNUMBER(SEARCH(BUSCAR!$J$6,$AI1314))),OR(BUSCAR!$J$8="",ISNUMBER(SEARCH(BUSCAR!$J$8,$AI1314))),OR(BUSCAR!$J$9="",ISNUMBER(SEARCH(BUSCAR!$J$9,$AI1314))),OR(NOT(BUSCAR!$J$2),AND(ISNUMBER($AF1314),$AF1314&gt;=BUSCAR!$J$3,$AF1314&lt;=BUSCAR!$J$4))),1,0))</f>
      </c>
      <c r="AH1314" s="42">
        <f t="shared" si="60"/>
      </c>
      <c r="AI1314" s="42">
        <f t="shared" si="61"/>
      </c>
    </row>
    <row r="1315" spans="1:35" x14ac:dyDescent="0.2">
      <c r="A1315" s="66">
        <f t="shared" si="62"/>
      </c>
      <c r="B1315" s="4"/>
      <c r="C1315" s="4"/>
      <c r="D1315" s="4"/>
      <c r="E1315" s="4"/>
      <c r="F1315" s="24"/>
      <c r="G1315" s="8"/>
      <c r="H1315" s="9"/>
      <c r="I1315" s="8"/>
      <c r="J1315" s="10"/>
      <c r="K1315" s="8"/>
      <c r="L1315" s="8"/>
      <c r="M1315" s="8"/>
      <c r="N1315" s="11"/>
      <c r="O1315" s="9"/>
      <c r="P1315" s="12"/>
      <c r="Q1315" s="9"/>
      <c r="R1315" s="13"/>
      <c r="S1315" s="11"/>
      <c r="T1315" s="11"/>
      <c r="U1315" s="9"/>
      <c r="V1315" s="9"/>
      <c r="W1315" s="9"/>
      <c r="X1315" s="16"/>
      <c r="AF1315" s="42">
        <f>IF(BUSCAR!$C$8="FECHA NAC.",$G1315,IF(BUSCAR!$C$8="PASAPORTE EXPIRA",$J1315,IF(BUSCAR!$C$8="LICENCIA EMISION",$L1315,IF(BUSCAR!$C$8="LICENCIA EXPIRA",$M1315,""))))</f>
      </c>
      <c r="AG1315" s="42">
        <f>IF($B1315&amp;$C1315&amp;$D1315&amp;$E1315&amp;$H1315="",0,IF(AND(OR(BUSCAR!$J$5="",ISNUMBER(SEARCH(BUSCAR!$J$5,$AI1315))),OR(BUSCAR!$J$6="",ISNUMBER(SEARCH(BUSCAR!$J$6,$AI1315))),OR(BUSCAR!$J$8="",ISNUMBER(SEARCH(BUSCAR!$J$8,$AI1315))),OR(BUSCAR!$J$9="",ISNUMBER(SEARCH(BUSCAR!$J$9,$AI1315))),OR(NOT(BUSCAR!$J$2),AND(ISNUMBER($AF1315),$AF1315&gt;=BUSCAR!$J$3,$AF1315&lt;=BUSCAR!$J$4))),1,0))</f>
      </c>
      <c r="AH1315" s="42">
        <f t="shared" si="60"/>
      </c>
      <c r="AI1315" s="42">
        <f t="shared" si="61"/>
      </c>
    </row>
    <row r="1316" spans="1:35" x14ac:dyDescent="0.2">
      <c r="A1316" s="66">
        <f t="shared" si="62"/>
      </c>
      <c r="B1316" s="4"/>
      <c r="C1316" s="4"/>
      <c r="D1316" s="4"/>
      <c r="E1316" s="4"/>
      <c r="F1316" s="24"/>
      <c r="G1316" s="8"/>
      <c r="H1316" s="9"/>
      <c r="I1316" s="8"/>
      <c r="J1316" s="10"/>
      <c r="K1316" s="8"/>
      <c r="L1316" s="8"/>
      <c r="M1316" s="8"/>
      <c r="N1316" s="11"/>
      <c r="O1316" s="9"/>
      <c r="P1316" s="12"/>
      <c r="Q1316" s="9"/>
      <c r="R1316" s="13"/>
      <c r="S1316" s="11"/>
      <c r="T1316" s="11"/>
      <c r="U1316" s="9"/>
      <c r="V1316" s="9"/>
      <c r="W1316" s="9"/>
      <c r="X1316" s="16"/>
      <c r="AF1316" s="42">
        <f>IF(BUSCAR!$C$8="FECHA NAC.",$G1316,IF(BUSCAR!$C$8="PASAPORTE EXPIRA",$J1316,IF(BUSCAR!$C$8="LICENCIA EMISION",$L1316,IF(BUSCAR!$C$8="LICENCIA EXPIRA",$M1316,""))))</f>
      </c>
      <c r="AG1316" s="42">
        <f>IF($B1316&amp;$C1316&amp;$D1316&amp;$E1316&amp;$H1316="",0,IF(AND(OR(BUSCAR!$J$5="",ISNUMBER(SEARCH(BUSCAR!$J$5,$AI1316))),OR(BUSCAR!$J$6="",ISNUMBER(SEARCH(BUSCAR!$J$6,$AI1316))),OR(BUSCAR!$J$8="",ISNUMBER(SEARCH(BUSCAR!$J$8,$AI1316))),OR(BUSCAR!$J$9="",ISNUMBER(SEARCH(BUSCAR!$J$9,$AI1316))),OR(NOT(BUSCAR!$J$2),AND(ISNUMBER($AF1316),$AF1316&gt;=BUSCAR!$J$3,$AF1316&lt;=BUSCAR!$J$4))),1,0))</f>
      </c>
      <c r="AH1316" s="42">
        <f t="shared" si="60"/>
      </c>
      <c r="AI1316" s="42">
        <f t="shared" si="61"/>
      </c>
    </row>
    <row r="1317" spans="1:35" x14ac:dyDescent="0.2">
      <c r="A1317" s="66">
        <f t="shared" si="62"/>
      </c>
      <c r="B1317" s="4"/>
      <c r="C1317" s="4"/>
      <c r="D1317" s="4"/>
      <c r="E1317" s="4"/>
      <c r="F1317" s="24"/>
      <c r="G1317" s="8"/>
      <c r="H1317" s="9"/>
      <c r="I1317" s="8"/>
      <c r="J1317" s="10"/>
      <c r="K1317" s="8"/>
      <c r="L1317" s="8"/>
      <c r="M1317" s="8"/>
      <c r="N1317" s="11"/>
      <c r="O1317" s="9"/>
      <c r="P1317" s="12"/>
      <c r="Q1317" s="9"/>
      <c r="R1317" s="13"/>
      <c r="S1317" s="11"/>
      <c r="T1317" s="11"/>
      <c r="U1317" s="9"/>
      <c r="V1317" s="9"/>
      <c r="W1317" s="9"/>
      <c r="X1317" s="16"/>
      <c r="AF1317" s="42">
        <f>IF(BUSCAR!$C$8="FECHA NAC.",$G1317,IF(BUSCAR!$C$8="PASAPORTE EXPIRA",$J1317,IF(BUSCAR!$C$8="LICENCIA EMISION",$L1317,IF(BUSCAR!$C$8="LICENCIA EXPIRA",$M1317,""))))</f>
      </c>
      <c r="AG1317" s="42">
        <f>IF($B1317&amp;$C1317&amp;$D1317&amp;$E1317&amp;$H1317="",0,IF(AND(OR(BUSCAR!$J$5="",ISNUMBER(SEARCH(BUSCAR!$J$5,$AI1317))),OR(BUSCAR!$J$6="",ISNUMBER(SEARCH(BUSCAR!$J$6,$AI1317))),OR(BUSCAR!$J$8="",ISNUMBER(SEARCH(BUSCAR!$J$8,$AI1317))),OR(BUSCAR!$J$9="",ISNUMBER(SEARCH(BUSCAR!$J$9,$AI1317))),OR(NOT(BUSCAR!$J$2),AND(ISNUMBER($AF1317),$AF1317&gt;=BUSCAR!$J$3,$AF1317&lt;=BUSCAR!$J$4))),1,0))</f>
      </c>
      <c r="AH1317" s="42">
        <f t="shared" si="60"/>
      </c>
      <c r="AI1317" s="42">
        <f t="shared" si="61"/>
      </c>
    </row>
    <row r="1318" spans="1:35" x14ac:dyDescent="0.2">
      <c r="A1318" s="66">
        <f t="shared" si="62"/>
      </c>
      <c r="B1318" s="4"/>
      <c r="C1318" s="4"/>
      <c r="D1318" s="4"/>
      <c r="E1318" s="4"/>
      <c r="F1318" s="24"/>
      <c r="G1318" s="8"/>
      <c r="H1318" s="9"/>
      <c r="I1318" s="8"/>
      <c r="J1318" s="10"/>
      <c r="K1318" s="8"/>
      <c r="L1318" s="8"/>
      <c r="M1318" s="8"/>
      <c r="N1318" s="11"/>
      <c r="O1318" s="9"/>
      <c r="P1318" s="12"/>
      <c r="Q1318" s="9"/>
      <c r="R1318" s="13"/>
      <c r="S1318" s="11"/>
      <c r="T1318" s="11"/>
      <c r="U1318" s="9"/>
      <c r="V1318" s="9"/>
      <c r="W1318" s="9"/>
      <c r="X1318" s="16"/>
      <c r="AF1318" s="42">
        <f>IF(BUSCAR!$C$8="FECHA NAC.",$G1318,IF(BUSCAR!$C$8="PASAPORTE EXPIRA",$J1318,IF(BUSCAR!$C$8="LICENCIA EMISION",$L1318,IF(BUSCAR!$C$8="LICENCIA EXPIRA",$M1318,""))))</f>
      </c>
      <c r="AG1318" s="42">
        <f>IF($B1318&amp;$C1318&amp;$D1318&amp;$E1318&amp;$H1318="",0,IF(AND(OR(BUSCAR!$J$5="",ISNUMBER(SEARCH(BUSCAR!$J$5,$AI1318))),OR(BUSCAR!$J$6="",ISNUMBER(SEARCH(BUSCAR!$J$6,$AI1318))),OR(BUSCAR!$J$8="",ISNUMBER(SEARCH(BUSCAR!$J$8,$AI1318))),OR(BUSCAR!$J$9="",ISNUMBER(SEARCH(BUSCAR!$J$9,$AI1318))),OR(NOT(BUSCAR!$J$2),AND(ISNUMBER($AF1318),$AF1318&gt;=BUSCAR!$J$3,$AF1318&lt;=BUSCAR!$J$4))),1,0))</f>
      </c>
      <c r="AH1318" s="42">
        <f t="shared" si="60"/>
      </c>
      <c r="AI1318" s="42">
        <f t="shared" si="61"/>
      </c>
    </row>
    <row r="1319" spans="1:35" x14ac:dyDescent="0.2">
      <c r="A1319" s="66">
        <f t="shared" si="62"/>
      </c>
      <c r="B1319" s="4"/>
      <c r="C1319" s="4"/>
      <c r="D1319" s="4"/>
      <c r="E1319" s="4"/>
      <c r="F1319" s="24"/>
      <c r="G1319" s="8"/>
      <c r="H1319" s="9"/>
      <c r="I1319" s="8"/>
      <c r="J1319" s="10"/>
      <c r="K1319" s="8"/>
      <c r="L1319" s="8"/>
      <c r="M1319" s="8"/>
      <c r="N1319" s="11"/>
      <c r="O1319" s="9"/>
      <c r="P1319" s="12"/>
      <c r="Q1319" s="9"/>
      <c r="R1319" s="13"/>
      <c r="S1319" s="11"/>
      <c r="T1319" s="11"/>
      <c r="U1319" s="9"/>
      <c r="V1319" s="9"/>
      <c r="W1319" s="9"/>
      <c r="X1319" s="16"/>
      <c r="AF1319" s="42">
        <f>IF(BUSCAR!$C$8="FECHA NAC.",$G1319,IF(BUSCAR!$C$8="PASAPORTE EXPIRA",$J1319,IF(BUSCAR!$C$8="LICENCIA EMISION",$L1319,IF(BUSCAR!$C$8="LICENCIA EXPIRA",$M1319,""))))</f>
      </c>
      <c r="AG1319" s="42">
        <f>IF($B1319&amp;$C1319&amp;$D1319&amp;$E1319&amp;$H1319="",0,IF(AND(OR(BUSCAR!$J$5="",ISNUMBER(SEARCH(BUSCAR!$J$5,$AI1319))),OR(BUSCAR!$J$6="",ISNUMBER(SEARCH(BUSCAR!$J$6,$AI1319))),OR(BUSCAR!$J$8="",ISNUMBER(SEARCH(BUSCAR!$J$8,$AI1319))),OR(BUSCAR!$J$9="",ISNUMBER(SEARCH(BUSCAR!$J$9,$AI1319))),OR(NOT(BUSCAR!$J$2),AND(ISNUMBER($AF1319),$AF1319&gt;=BUSCAR!$J$3,$AF1319&lt;=BUSCAR!$J$4))),1,0))</f>
      </c>
      <c r="AH1319" s="42">
        <f t="shared" si="60"/>
      </c>
      <c r="AI1319" s="42">
        <f t="shared" si="61"/>
      </c>
    </row>
    <row r="1320" spans="1:35" x14ac:dyDescent="0.2">
      <c r="A1320" s="66">
        <f t="shared" si="62"/>
      </c>
      <c r="B1320" s="4"/>
      <c r="C1320" s="4"/>
      <c r="D1320" s="4"/>
      <c r="E1320" s="4"/>
      <c r="F1320" s="24"/>
      <c r="G1320" s="8"/>
      <c r="H1320" s="9"/>
      <c r="I1320" s="8"/>
      <c r="J1320" s="10"/>
      <c r="K1320" s="8"/>
      <c r="L1320" s="8"/>
      <c r="M1320" s="8"/>
      <c r="N1320" s="11"/>
      <c r="O1320" s="9"/>
      <c r="P1320" s="12"/>
      <c r="Q1320" s="9"/>
      <c r="R1320" s="13"/>
      <c r="S1320" s="11"/>
      <c r="T1320" s="11"/>
      <c r="U1320" s="9"/>
      <c r="V1320" s="9"/>
      <c r="W1320" s="9"/>
      <c r="X1320" s="16"/>
      <c r="AF1320" s="42">
        <f>IF(BUSCAR!$C$8="FECHA NAC.",$G1320,IF(BUSCAR!$C$8="PASAPORTE EXPIRA",$J1320,IF(BUSCAR!$C$8="LICENCIA EMISION",$L1320,IF(BUSCAR!$C$8="LICENCIA EXPIRA",$M1320,""))))</f>
      </c>
      <c r="AG1320" s="42">
        <f>IF($B1320&amp;$C1320&amp;$D1320&amp;$E1320&amp;$H1320="",0,IF(AND(OR(BUSCAR!$J$5="",ISNUMBER(SEARCH(BUSCAR!$J$5,$AI1320))),OR(BUSCAR!$J$6="",ISNUMBER(SEARCH(BUSCAR!$J$6,$AI1320))),OR(BUSCAR!$J$8="",ISNUMBER(SEARCH(BUSCAR!$J$8,$AI1320))),OR(BUSCAR!$J$9="",ISNUMBER(SEARCH(BUSCAR!$J$9,$AI1320))),OR(NOT(BUSCAR!$J$2),AND(ISNUMBER($AF1320),$AF1320&gt;=BUSCAR!$J$3,$AF1320&lt;=BUSCAR!$J$4))),1,0))</f>
      </c>
      <c r="AH1320" s="42">
        <f t="shared" si="60"/>
      </c>
      <c r="AI1320" s="42">
        <f t="shared" si="61"/>
      </c>
    </row>
    <row r="1321" spans="1:35" x14ac:dyDescent="0.2">
      <c r="A1321" s="66">
        <f t="shared" si="62"/>
      </c>
      <c r="B1321" s="4"/>
      <c r="C1321" s="4"/>
      <c r="D1321" s="4"/>
      <c r="E1321" s="4"/>
      <c r="F1321" s="24"/>
      <c r="G1321" s="8"/>
      <c r="H1321" s="9"/>
      <c r="I1321" s="8"/>
      <c r="J1321" s="10"/>
      <c r="K1321" s="8"/>
      <c r="L1321" s="8"/>
      <c r="M1321" s="8"/>
      <c r="N1321" s="11"/>
      <c r="O1321" s="9"/>
      <c r="P1321" s="12"/>
      <c r="Q1321" s="9"/>
      <c r="R1321" s="13"/>
      <c r="S1321" s="11"/>
      <c r="T1321" s="11"/>
      <c r="U1321" s="9"/>
      <c r="V1321" s="9"/>
      <c r="W1321" s="9"/>
      <c r="X1321" s="16"/>
      <c r="AF1321" s="42">
        <f>IF(BUSCAR!$C$8="FECHA NAC.",$G1321,IF(BUSCAR!$C$8="PASAPORTE EXPIRA",$J1321,IF(BUSCAR!$C$8="LICENCIA EMISION",$L1321,IF(BUSCAR!$C$8="LICENCIA EXPIRA",$M1321,""))))</f>
      </c>
      <c r="AG1321" s="42">
        <f>IF($B1321&amp;$C1321&amp;$D1321&amp;$E1321&amp;$H1321="",0,IF(AND(OR(BUSCAR!$J$5="",ISNUMBER(SEARCH(BUSCAR!$J$5,$AI1321))),OR(BUSCAR!$J$6="",ISNUMBER(SEARCH(BUSCAR!$J$6,$AI1321))),OR(BUSCAR!$J$8="",ISNUMBER(SEARCH(BUSCAR!$J$8,$AI1321))),OR(BUSCAR!$J$9="",ISNUMBER(SEARCH(BUSCAR!$J$9,$AI1321))),OR(NOT(BUSCAR!$J$2),AND(ISNUMBER($AF1321),$AF1321&gt;=BUSCAR!$J$3,$AF1321&lt;=BUSCAR!$J$4))),1,0))</f>
      </c>
      <c r="AH1321" s="42">
        <f t="shared" si="60"/>
      </c>
      <c r="AI1321" s="42">
        <f t="shared" si="61"/>
      </c>
    </row>
    <row r="1322" spans="1:35" x14ac:dyDescent="0.2">
      <c r="A1322" s="66">
        <f t="shared" si="62"/>
      </c>
      <c r="B1322" s="4"/>
      <c r="C1322" s="4"/>
      <c r="D1322" s="4"/>
      <c r="E1322" s="4"/>
      <c r="F1322" s="24"/>
      <c r="G1322" s="8"/>
      <c r="H1322" s="9"/>
      <c r="I1322" s="8"/>
      <c r="J1322" s="10"/>
      <c r="K1322" s="8"/>
      <c r="L1322" s="8"/>
      <c r="M1322" s="8"/>
      <c r="N1322" s="11"/>
      <c r="O1322" s="9"/>
      <c r="P1322" s="12"/>
      <c r="Q1322" s="9"/>
      <c r="R1322" s="13"/>
      <c r="S1322" s="11"/>
      <c r="T1322" s="11"/>
      <c r="U1322" s="9"/>
      <c r="V1322" s="9"/>
      <c r="W1322" s="9"/>
      <c r="X1322" s="16"/>
      <c r="AF1322" s="42">
        <f>IF(BUSCAR!$C$8="FECHA NAC.",$G1322,IF(BUSCAR!$C$8="PASAPORTE EXPIRA",$J1322,IF(BUSCAR!$C$8="LICENCIA EMISION",$L1322,IF(BUSCAR!$C$8="LICENCIA EXPIRA",$M1322,""))))</f>
      </c>
      <c r="AG1322" s="42">
        <f>IF($B1322&amp;$C1322&amp;$D1322&amp;$E1322&amp;$H1322="",0,IF(AND(OR(BUSCAR!$J$5="",ISNUMBER(SEARCH(BUSCAR!$J$5,$AI1322))),OR(BUSCAR!$J$6="",ISNUMBER(SEARCH(BUSCAR!$J$6,$AI1322))),OR(BUSCAR!$J$8="",ISNUMBER(SEARCH(BUSCAR!$J$8,$AI1322))),OR(BUSCAR!$J$9="",ISNUMBER(SEARCH(BUSCAR!$J$9,$AI1322))),OR(NOT(BUSCAR!$J$2),AND(ISNUMBER($AF1322),$AF1322&gt;=BUSCAR!$J$3,$AF1322&lt;=BUSCAR!$J$4))),1,0))</f>
      </c>
      <c r="AH1322" s="42">
        <f t="shared" si="60"/>
      </c>
      <c r="AI1322" s="42">
        <f t="shared" si="61"/>
      </c>
    </row>
    <row r="1323" spans="1:35" x14ac:dyDescent="0.2">
      <c r="A1323" s="66">
        <f t="shared" si="62"/>
      </c>
      <c r="B1323" s="4"/>
      <c r="C1323" s="4"/>
      <c r="D1323" s="4"/>
      <c r="E1323" s="4"/>
      <c r="F1323" s="24"/>
      <c r="G1323" s="8"/>
      <c r="H1323" s="9"/>
      <c r="I1323" s="8"/>
      <c r="J1323" s="10"/>
      <c r="K1323" s="8"/>
      <c r="L1323" s="8"/>
      <c r="M1323" s="8"/>
      <c r="N1323" s="11"/>
      <c r="O1323" s="9"/>
      <c r="P1323" s="12"/>
      <c r="Q1323" s="9"/>
      <c r="R1323" s="13"/>
      <c r="S1323" s="11"/>
      <c r="T1323" s="11"/>
      <c r="U1323" s="9"/>
      <c r="V1323" s="9"/>
      <c r="W1323" s="9"/>
      <c r="X1323" s="16"/>
      <c r="AF1323" s="42">
        <f>IF(BUSCAR!$C$8="FECHA NAC.",$G1323,IF(BUSCAR!$C$8="PASAPORTE EXPIRA",$J1323,IF(BUSCAR!$C$8="LICENCIA EMISION",$L1323,IF(BUSCAR!$C$8="LICENCIA EXPIRA",$M1323,""))))</f>
      </c>
      <c r="AG1323" s="42">
        <f>IF($B1323&amp;$C1323&amp;$D1323&amp;$E1323&amp;$H1323="",0,IF(AND(OR(BUSCAR!$J$5="",ISNUMBER(SEARCH(BUSCAR!$J$5,$AI1323))),OR(BUSCAR!$J$6="",ISNUMBER(SEARCH(BUSCAR!$J$6,$AI1323))),OR(BUSCAR!$J$8="",ISNUMBER(SEARCH(BUSCAR!$J$8,$AI1323))),OR(BUSCAR!$J$9="",ISNUMBER(SEARCH(BUSCAR!$J$9,$AI1323))),OR(NOT(BUSCAR!$J$2),AND(ISNUMBER($AF1323),$AF1323&gt;=BUSCAR!$J$3,$AF1323&lt;=BUSCAR!$J$4))),1,0))</f>
      </c>
      <c r="AH1323" s="42">
        <f t="shared" si="60"/>
      </c>
      <c r="AI1323" s="42">
        <f t="shared" si="61"/>
      </c>
    </row>
    <row r="1324" spans="1:35" x14ac:dyDescent="0.2">
      <c r="A1324" s="66">
        <f t="shared" si="62"/>
      </c>
      <c r="B1324" s="4"/>
      <c r="C1324" s="4"/>
      <c r="D1324" s="4"/>
      <c r="E1324" s="4"/>
      <c r="F1324" s="24"/>
      <c r="G1324" s="8"/>
      <c r="H1324" s="9"/>
      <c r="I1324" s="8"/>
      <c r="J1324" s="10"/>
      <c r="K1324" s="8"/>
      <c r="L1324" s="8"/>
      <c r="M1324" s="8"/>
      <c r="N1324" s="11"/>
      <c r="O1324" s="9"/>
      <c r="P1324" s="12"/>
      <c r="Q1324" s="9"/>
      <c r="R1324" s="13"/>
      <c r="S1324" s="11"/>
      <c r="T1324" s="11"/>
      <c r="U1324" s="9"/>
      <c r="V1324" s="9"/>
      <c r="W1324" s="9"/>
      <c r="X1324" s="16"/>
      <c r="AF1324" s="42">
        <f>IF(BUSCAR!$C$8="FECHA NAC.",$G1324,IF(BUSCAR!$C$8="PASAPORTE EXPIRA",$J1324,IF(BUSCAR!$C$8="LICENCIA EMISION",$L1324,IF(BUSCAR!$C$8="LICENCIA EXPIRA",$M1324,""))))</f>
      </c>
      <c r="AG1324" s="42">
        <f>IF($B1324&amp;$C1324&amp;$D1324&amp;$E1324&amp;$H1324="",0,IF(AND(OR(BUSCAR!$J$5="",ISNUMBER(SEARCH(BUSCAR!$J$5,$AI1324))),OR(BUSCAR!$J$6="",ISNUMBER(SEARCH(BUSCAR!$J$6,$AI1324))),OR(BUSCAR!$J$8="",ISNUMBER(SEARCH(BUSCAR!$J$8,$AI1324))),OR(BUSCAR!$J$9="",ISNUMBER(SEARCH(BUSCAR!$J$9,$AI1324))),OR(NOT(BUSCAR!$J$2),AND(ISNUMBER($AF1324),$AF1324&gt;=BUSCAR!$J$3,$AF1324&lt;=BUSCAR!$J$4))),1,0))</f>
      </c>
      <c r="AH1324" s="42">
        <f t="shared" si="60"/>
      </c>
      <c r="AI1324" s="42">
        <f t="shared" si="61"/>
      </c>
    </row>
    <row r="1325" spans="1:35" x14ac:dyDescent="0.2">
      <c r="A1325" s="66">
        <f t="shared" si="62"/>
      </c>
      <c r="B1325" s="4"/>
      <c r="C1325" s="4"/>
      <c r="D1325" s="4"/>
      <c r="E1325" s="4"/>
      <c r="F1325" s="24"/>
      <c r="G1325" s="8"/>
      <c r="H1325" s="9"/>
      <c r="I1325" s="8"/>
      <c r="J1325" s="10"/>
      <c r="K1325" s="8"/>
      <c r="L1325" s="8"/>
      <c r="M1325" s="8"/>
      <c r="N1325" s="11"/>
      <c r="O1325" s="9"/>
      <c r="P1325" s="12"/>
      <c r="Q1325" s="9"/>
      <c r="R1325" s="13"/>
      <c r="S1325" s="11"/>
      <c r="T1325" s="11"/>
      <c r="U1325" s="9"/>
      <c r="V1325" s="9"/>
      <c r="W1325" s="9"/>
      <c r="X1325" s="16"/>
      <c r="AF1325" s="42">
        <f>IF(BUSCAR!$C$8="FECHA NAC.",$G1325,IF(BUSCAR!$C$8="PASAPORTE EXPIRA",$J1325,IF(BUSCAR!$C$8="LICENCIA EMISION",$L1325,IF(BUSCAR!$C$8="LICENCIA EXPIRA",$M1325,""))))</f>
      </c>
      <c r="AG1325" s="42">
        <f>IF($B1325&amp;$C1325&amp;$D1325&amp;$E1325&amp;$H1325="",0,IF(AND(OR(BUSCAR!$J$5="",ISNUMBER(SEARCH(BUSCAR!$J$5,$AI1325))),OR(BUSCAR!$J$6="",ISNUMBER(SEARCH(BUSCAR!$J$6,$AI1325))),OR(BUSCAR!$J$8="",ISNUMBER(SEARCH(BUSCAR!$J$8,$AI1325))),OR(BUSCAR!$J$9="",ISNUMBER(SEARCH(BUSCAR!$J$9,$AI1325))),OR(NOT(BUSCAR!$J$2),AND(ISNUMBER($AF1325),$AF1325&gt;=BUSCAR!$J$3,$AF1325&lt;=BUSCAR!$J$4))),1,0))</f>
      </c>
      <c r="AH1325" s="42">
        <f t="shared" si="60"/>
      </c>
      <c r="AI1325" s="42">
        <f t="shared" si="61"/>
      </c>
    </row>
    <row r="1326" spans="1:35" x14ac:dyDescent="0.2">
      <c r="A1326" s="66">
        <f t="shared" si="62"/>
      </c>
      <c r="B1326" s="4"/>
      <c r="C1326" s="4"/>
      <c r="D1326" s="4"/>
      <c r="E1326" s="4"/>
      <c r="F1326" s="24"/>
      <c r="G1326" s="8"/>
      <c r="H1326" s="9"/>
      <c r="I1326" s="8"/>
      <c r="J1326" s="10"/>
      <c r="K1326" s="8"/>
      <c r="L1326" s="8"/>
      <c r="M1326" s="8"/>
      <c r="N1326" s="11"/>
      <c r="O1326" s="9"/>
      <c r="P1326" s="12"/>
      <c r="Q1326" s="9"/>
      <c r="R1326" s="13"/>
      <c r="S1326" s="11"/>
      <c r="T1326" s="11"/>
      <c r="U1326" s="9"/>
      <c r="V1326" s="9"/>
      <c r="W1326" s="9"/>
      <c r="X1326" s="16"/>
      <c r="AF1326" s="42">
        <f>IF(BUSCAR!$C$8="FECHA NAC.",$G1326,IF(BUSCAR!$C$8="PASAPORTE EXPIRA",$J1326,IF(BUSCAR!$C$8="LICENCIA EMISION",$L1326,IF(BUSCAR!$C$8="LICENCIA EXPIRA",$M1326,""))))</f>
      </c>
      <c r="AG1326" s="42">
        <f>IF($B1326&amp;$C1326&amp;$D1326&amp;$E1326&amp;$H1326="",0,IF(AND(OR(BUSCAR!$J$5="",ISNUMBER(SEARCH(BUSCAR!$J$5,$AI1326))),OR(BUSCAR!$J$6="",ISNUMBER(SEARCH(BUSCAR!$J$6,$AI1326))),OR(BUSCAR!$J$8="",ISNUMBER(SEARCH(BUSCAR!$J$8,$AI1326))),OR(BUSCAR!$J$9="",ISNUMBER(SEARCH(BUSCAR!$J$9,$AI1326))),OR(NOT(BUSCAR!$J$2),AND(ISNUMBER($AF1326),$AF1326&gt;=BUSCAR!$J$3,$AF1326&lt;=BUSCAR!$J$4))),1,0))</f>
      </c>
      <c r="AH1326" s="42">
        <f t="shared" si="60"/>
      </c>
      <c r="AI1326" s="42">
        <f t="shared" si="61"/>
      </c>
    </row>
    <row r="1327" spans="1:35" x14ac:dyDescent="0.2">
      <c r="A1327" s="66">
        <f t="shared" si="62"/>
      </c>
      <c r="B1327" s="47"/>
      <c r="C1327" s="4"/>
      <c r="D1327" s="4"/>
      <c r="E1327" s="4"/>
      <c r="F1327" s="24"/>
      <c r="G1327" s="8"/>
      <c r="H1327" s="9"/>
      <c r="I1327" s="8"/>
      <c r="J1327" s="10"/>
      <c r="K1327" s="8"/>
      <c r="L1327" s="8"/>
      <c r="M1327" s="8"/>
      <c r="N1327" s="11"/>
      <c r="O1327" s="9"/>
      <c r="P1327" s="12"/>
      <c r="Q1327" s="9"/>
      <c r="R1327" s="13"/>
      <c r="S1327" s="11"/>
      <c r="T1327" s="11"/>
      <c r="U1327" s="9"/>
      <c r="V1327" s="9"/>
      <c r="W1327" s="9"/>
      <c r="X1327" s="16"/>
      <c r="AF1327" s="42">
        <f>IF(BUSCAR!$C$8="FECHA NAC.",$G1327,IF(BUSCAR!$C$8="PASAPORTE EXPIRA",$J1327,IF(BUSCAR!$C$8="LICENCIA EMISION",$L1327,IF(BUSCAR!$C$8="LICENCIA EXPIRA",$M1327,""))))</f>
      </c>
      <c r="AG1327" s="42">
        <f>IF($B1327&amp;$C1327&amp;$D1327&amp;$E1327&amp;$H1327="",0,IF(AND(OR(BUSCAR!$J$5="",ISNUMBER(SEARCH(BUSCAR!$J$5,$AI1327))),OR(BUSCAR!$J$6="",ISNUMBER(SEARCH(BUSCAR!$J$6,$AI1327))),OR(BUSCAR!$J$8="",ISNUMBER(SEARCH(BUSCAR!$J$8,$AI1327))),OR(BUSCAR!$J$9="",ISNUMBER(SEARCH(BUSCAR!$J$9,$AI1327))),OR(NOT(BUSCAR!$J$2),AND(ISNUMBER($AF1327),$AF1327&gt;=BUSCAR!$J$3,$AF1327&lt;=BUSCAR!$J$4))),1,0))</f>
      </c>
      <c r="AH1327" s="42">
        <f t="shared" si="60"/>
      </c>
      <c r="AI1327" s="42">
        <f t="shared" si="61"/>
      </c>
    </row>
    <row r="1328" spans="1:35" x14ac:dyDescent="0.2">
      <c r="A1328" s="66">
        <f t="shared" si="62"/>
      </c>
      <c r="B1328" s="4"/>
      <c r="C1328" s="4"/>
      <c r="D1328" s="4"/>
      <c r="E1328" s="4"/>
      <c r="F1328" s="24"/>
      <c r="G1328" s="8"/>
      <c r="H1328" s="9"/>
      <c r="I1328" s="8"/>
      <c r="J1328" s="10"/>
      <c r="K1328" s="8"/>
      <c r="L1328" s="8"/>
      <c r="M1328" s="8"/>
      <c r="N1328" s="11"/>
      <c r="O1328" s="9"/>
      <c r="P1328" s="12"/>
      <c r="Q1328" s="9"/>
      <c r="R1328" s="13"/>
      <c r="S1328" s="11"/>
      <c r="T1328" s="11"/>
      <c r="U1328" s="9"/>
      <c r="V1328" s="9"/>
      <c r="W1328" s="9"/>
      <c r="X1328" s="16"/>
      <c r="AF1328" s="42">
        <f>IF(BUSCAR!$C$8="FECHA NAC.",$G1328,IF(BUSCAR!$C$8="PASAPORTE EXPIRA",$J1328,IF(BUSCAR!$C$8="LICENCIA EMISION",$L1328,IF(BUSCAR!$C$8="LICENCIA EXPIRA",$M1328,""))))</f>
      </c>
      <c r="AG1328" s="42">
        <f>IF($B1328&amp;$C1328&amp;$D1328&amp;$E1328&amp;$H1328="",0,IF(AND(OR(BUSCAR!$J$5="",ISNUMBER(SEARCH(BUSCAR!$J$5,$AI1328))),OR(BUSCAR!$J$6="",ISNUMBER(SEARCH(BUSCAR!$J$6,$AI1328))),OR(BUSCAR!$J$8="",ISNUMBER(SEARCH(BUSCAR!$J$8,$AI1328))),OR(BUSCAR!$J$9="",ISNUMBER(SEARCH(BUSCAR!$J$9,$AI1328))),OR(NOT(BUSCAR!$J$2),AND(ISNUMBER($AF1328),$AF1328&gt;=BUSCAR!$J$3,$AF1328&lt;=BUSCAR!$J$4))),1,0))</f>
      </c>
      <c r="AH1328" s="42">
        <f t="shared" si="60"/>
      </c>
      <c r="AI1328" s="42">
        <f t="shared" si="61"/>
      </c>
    </row>
    <row r="1329" spans="1:35" x14ac:dyDescent="0.2">
      <c r="A1329" s="66">
        <f t="shared" si="62"/>
      </c>
      <c r="B1329" s="4"/>
      <c r="C1329" s="4"/>
      <c r="D1329" s="4"/>
      <c r="E1329" s="4"/>
      <c r="F1329" s="24"/>
      <c r="G1329" s="8"/>
      <c r="H1329" s="9"/>
      <c r="I1329" s="8"/>
      <c r="J1329" s="10"/>
      <c r="K1329" s="8"/>
      <c r="L1329" s="8"/>
      <c r="M1329" s="8"/>
      <c r="N1329" s="11"/>
      <c r="O1329" s="9"/>
      <c r="P1329" s="12"/>
      <c r="Q1329" s="9"/>
      <c r="R1329" s="13"/>
      <c r="S1329" s="11"/>
      <c r="T1329" s="11"/>
      <c r="U1329" s="9"/>
      <c r="V1329" s="9"/>
      <c r="W1329" s="9"/>
      <c r="X1329" s="16"/>
      <c r="AF1329" s="42">
        <f>IF(BUSCAR!$C$8="FECHA NAC.",$G1329,IF(BUSCAR!$C$8="PASAPORTE EXPIRA",$J1329,IF(BUSCAR!$C$8="LICENCIA EMISION",$L1329,IF(BUSCAR!$C$8="LICENCIA EXPIRA",$M1329,""))))</f>
      </c>
      <c r="AG1329" s="42">
        <f>IF($B1329&amp;$C1329&amp;$D1329&amp;$E1329&amp;$H1329="",0,IF(AND(OR(BUSCAR!$J$5="",ISNUMBER(SEARCH(BUSCAR!$J$5,$AI1329))),OR(BUSCAR!$J$6="",ISNUMBER(SEARCH(BUSCAR!$J$6,$AI1329))),OR(BUSCAR!$J$8="",ISNUMBER(SEARCH(BUSCAR!$J$8,$AI1329))),OR(BUSCAR!$J$9="",ISNUMBER(SEARCH(BUSCAR!$J$9,$AI1329))),OR(NOT(BUSCAR!$J$2),AND(ISNUMBER($AF1329),$AF1329&gt;=BUSCAR!$J$3,$AF1329&lt;=BUSCAR!$J$4))),1,0))</f>
      </c>
      <c r="AH1329" s="42">
        <f t="shared" si="60"/>
      </c>
      <c r="AI1329" s="42">
        <f t="shared" si="61"/>
      </c>
    </row>
    <row r="1330" spans="1:35" x14ac:dyDescent="0.2">
      <c r="A1330" s="66">
        <f t="shared" si="62"/>
      </c>
      <c r="B1330" s="4"/>
      <c r="C1330" s="4"/>
      <c r="D1330" s="4"/>
      <c r="E1330" s="4"/>
      <c r="F1330" s="24"/>
      <c r="G1330" s="8"/>
      <c r="H1330" s="9"/>
      <c r="I1330" s="8"/>
      <c r="J1330" s="10"/>
      <c r="K1330" s="8"/>
      <c r="L1330" s="8"/>
      <c r="M1330" s="8"/>
      <c r="N1330" s="11"/>
      <c r="O1330" s="9"/>
      <c r="P1330" s="12"/>
      <c r="Q1330" s="9"/>
      <c r="R1330" s="13"/>
      <c r="S1330" s="11"/>
      <c r="T1330" s="11"/>
      <c r="U1330" s="9"/>
      <c r="V1330" s="9"/>
      <c r="W1330" s="9"/>
      <c r="X1330" s="16"/>
      <c r="AF1330" s="42">
        <f>IF(BUSCAR!$C$8="FECHA NAC.",$G1330,IF(BUSCAR!$C$8="PASAPORTE EXPIRA",$J1330,IF(BUSCAR!$C$8="LICENCIA EMISION",$L1330,IF(BUSCAR!$C$8="LICENCIA EXPIRA",$M1330,""))))</f>
      </c>
      <c r="AG1330" s="42">
        <f>IF($B1330&amp;$C1330&amp;$D1330&amp;$E1330&amp;$H1330="",0,IF(AND(OR(BUSCAR!$J$5="",ISNUMBER(SEARCH(BUSCAR!$J$5,$AI1330))),OR(BUSCAR!$J$6="",ISNUMBER(SEARCH(BUSCAR!$J$6,$AI1330))),OR(BUSCAR!$J$8="",ISNUMBER(SEARCH(BUSCAR!$J$8,$AI1330))),OR(BUSCAR!$J$9="",ISNUMBER(SEARCH(BUSCAR!$J$9,$AI1330))),OR(NOT(BUSCAR!$J$2),AND(ISNUMBER($AF1330),$AF1330&gt;=BUSCAR!$J$3,$AF1330&lt;=BUSCAR!$J$4))),1,0))</f>
      </c>
      <c r="AH1330" s="42">
        <f t="shared" si="60"/>
      </c>
      <c r="AI1330" s="42">
        <f t="shared" si="61"/>
      </c>
    </row>
    <row r="1331" spans="1:35" x14ac:dyDescent="0.2">
      <c r="A1331" s="66">
        <f t="shared" si="62"/>
      </c>
      <c r="B1331" s="4"/>
      <c r="C1331" s="4"/>
      <c r="D1331" s="4"/>
      <c r="E1331" s="4"/>
      <c r="F1331" s="24"/>
      <c r="G1331" s="8"/>
      <c r="H1331" s="9"/>
      <c r="I1331" s="8"/>
      <c r="J1331" s="10"/>
      <c r="K1331" s="8"/>
      <c r="L1331" s="8"/>
      <c r="M1331" s="8"/>
      <c r="N1331" s="11"/>
      <c r="O1331" s="9"/>
      <c r="P1331" s="12"/>
      <c r="Q1331" s="9"/>
      <c r="R1331" s="13"/>
      <c r="S1331" s="11"/>
      <c r="T1331" s="11"/>
      <c r="U1331" s="9"/>
      <c r="V1331" s="9"/>
      <c r="W1331" s="9"/>
      <c r="X1331" s="16"/>
      <c r="AF1331" s="42">
        <f>IF(BUSCAR!$C$8="FECHA NAC.",$G1331,IF(BUSCAR!$C$8="PASAPORTE EXPIRA",$J1331,IF(BUSCAR!$C$8="LICENCIA EMISION",$L1331,IF(BUSCAR!$C$8="LICENCIA EXPIRA",$M1331,""))))</f>
      </c>
      <c r="AG1331" s="42">
        <f>IF($B1331&amp;$C1331&amp;$D1331&amp;$E1331&amp;$H1331="",0,IF(AND(OR(BUSCAR!$J$5="",ISNUMBER(SEARCH(BUSCAR!$J$5,$AI1331))),OR(BUSCAR!$J$6="",ISNUMBER(SEARCH(BUSCAR!$J$6,$AI1331))),OR(BUSCAR!$J$8="",ISNUMBER(SEARCH(BUSCAR!$J$8,$AI1331))),OR(BUSCAR!$J$9="",ISNUMBER(SEARCH(BUSCAR!$J$9,$AI1331))),OR(NOT(BUSCAR!$J$2),AND(ISNUMBER($AF1331),$AF1331&gt;=BUSCAR!$J$3,$AF1331&lt;=BUSCAR!$J$4))),1,0))</f>
      </c>
      <c r="AH1331" s="42">
        <f t="shared" si="60"/>
      </c>
      <c r="AI1331" s="42">
        <f t="shared" si="61"/>
      </c>
    </row>
    <row r="1332" spans="1:35" x14ac:dyDescent="0.2">
      <c r="A1332" s="66">
        <f t="shared" si="62"/>
      </c>
      <c r="B1332" s="4"/>
      <c r="C1332" s="4"/>
      <c r="D1332" s="4"/>
      <c r="E1332" s="4"/>
      <c r="F1332" s="24"/>
      <c r="G1332" s="8"/>
      <c r="H1332" s="9"/>
      <c r="I1332" s="8"/>
      <c r="J1332" s="10"/>
      <c r="K1332" s="8"/>
      <c r="L1332" s="8"/>
      <c r="M1332" s="8"/>
      <c r="N1332" s="11"/>
      <c r="O1332" s="9"/>
      <c r="P1332" s="12"/>
      <c r="Q1332" s="9"/>
      <c r="R1332" s="13"/>
      <c r="S1332" s="11"/>
      <c r="T1332" s="11"/>
      <c r="U1332" s="9"/>
      <c r="V1332" s="9"/>
      <c r="W1332" s="9"/>
      <c r="X1332" s="16"/>
      <c r="AF1332" s="42">
        <f>IF(BUSCAR!$C$8="FECHA NAC.",$G1332,IF(BUSCAR!$C$8="PASAPORTE EXPIRA",$J1332,IF(BUSCAR!$C$8="LICENCIA EMISION",$L1332,IF(BUSCAR!$C$8="LICENCIA EXPIRA",$M1332,""))))</f>
      </c>
      <c r="AG1332" s="42">
        <f>IF($B1332&amp;$C1332&amp;$D1332&amp;$E1332&amp;$H1332="",0,IF(AND(OR(BUSCAR!$J$5="",ISNUMBER(SEARCH(BUSCAR!$J$5,$AI1332))),OR(BUSCAR!$J$6="",ISNUMBER(SEARCH(BUSCAR!$J$6,$AI1332))),OR(BUSCAR!$J$8="",ISNUMBER(SEARCH(BUSCAR!$J$8,$AI1332))),OR(BUSCAR!$J$9="",ISNUMBER(SEARCH(BUSCAR!$J$9,$AI1332))),OR(NOT(BUSCAR!$J$2),AND(ISNUMBER($AF1332),$AF1332&gt;=BUSCAR!$J$3,$AF1332&lt;=BUSCAR!$J$4))),1,0))</f>
      </c>
      <c r="AH1332" s="42">
        <f t="shared" si="60"/>
      </c>
      <c r="AI1332" s="42">
        <f t="shared" si="61"/>
      </c>
    </row>
    <row r="1333" spans="1:35" x14ac:dyDescent="0.2">
      <c r="A1333" s="66">
        <f t="shared" si="62"/>
      </c>
      <c r="B1333" s="4"/>
      <c r="C1333" s="4"/>
      <c r="D1333" s="4"/>
      <c r="E1333" s="4"/>
      <c r="F1333" s="24"/>
      <c r="G1333" s="8"/>
      <c r="H1333" s="9"/>
      <c r="I1333" s="8"/>
      <c r="J1333" s="10"/>
      <c r="K1333" s="8"/>
      <c r="L1333" s="8"/>
      <c r="M1333" s="8"/>
      <c r="N1333" s="11"/>
      <c r="O1333" s="9"/>
      <c r="P1333" s="12"/>
      <c r="Q1333" s="9"/>
      <c r="R1333" s="13"/>
      <c r="S1333" s="11"/>
      <c r="T1333" s="11"/>
      <c r="U1333" s="9"/>
      <c r="V1333" s="9"/>
      <c r="W1333" s="9"/>
      <c r="X1333" s="16"/>
      <c r="AF1333" s="42">
        <f>IF(BUSCAR!$C$8="FECHA NAC.",$G1333,IF(BUSCAR!$C$8="PASAPORTE EXPIRA",$J1333,IF(BUSCAR!$C$8="LICENCIA EMISION",$L1333,IF(BUSCAR!$C$8="LICENCIA EXPIRA",$M1333,""))))</f>
      </c>
      <c r="AG1333" s="42">
        <f>IF($B1333&amp;$C1333&amp;$D1333&amp;$E1333&amp;$H1333="",0,IF(AND(OR(BUSCAR!$J$5="",ISNUMBER(SEARCH(BUSCAR!$J$5,$AI1333))),OR(BUSCAR!$J$6="",ISNUMBER(SEARCH(BUSCAR!$J$6,$AI1333))),OR(BUSCAR!$J$8="",ISNUMBER(SEARCH(BUSCAR!$J$8,$AI1333))),OR(BUSCAR!$J$9="",ISNUMBER(SEARCH(BUSCAR!$J$9,$AI1333))),OR(NOT(BUSCAR!$J$2),AND(ISNUMBER($AF1333),$AF1333&gt;=BUSCAR!$J$3,$AF1333&lt;=BUSCAR!$J$4))),1,0))</f>
      </c>
      <c r="AH1333" s="42">
        <f t="shared" si="60"/>
      </c>
      <c r="AI1333" s="42">
        <f t="shared" si="61"/>
      </c>
    </row>
    <row r="1334" spans="1:35" x14ac:dyDescent="0.2">
      <c r="A1334" s="66">
        <f t="shared" si="62"/>
      </c>
      <c r="B1334" s="4"/>
      <c r="C1334" s="4"/>
      <c r="D1334" s="4"/>
      <c r="E1334" s="4"/>
      <c r="F1334" s="24"/>
      <c r="G1334" s="8"/>
      <c r="H1334" s="9"/>
      <c r="I1334" s="8"/>
      <c r="J1334" s="10"/>
      <c r="K1334" s="8"/>
      <c r="L1334" s="8"/>
      <c r="M1334" s="8"/>
      <c r="N1334" s="11"/>
      <c r="O1334" s="9"/>
      <c r="P1334" s="12"/>
      <c r="Q1334" s="9"/>
      <c r="R1334" s="13"/>
      <c r="S1334" s="11"/>
      <c r="T1334" s="11"/>
      <c r="U1334" s="9"/>
      <c r="V1334" s="9"/>
      <c r="W1334" s="9"/>
      <c r="X1334" s="16"/>
      <c r="AF1334" s="42">
        <f>IF(BUSCAR!$C$8="FECHA NAC.",$G1334,IF(BUSCAR!$C$8="PASAPORTE EXPIRA",$J1334,IF(BUSCAR!$C$8="LICENCIA EMISION",$L1334,IF(BUSCAR!$C$8="LICENCIA EXPIRA",$M1334,""))))</f>
      </c>
      <c r="AG1334" s="42">
        <f>IF($B1334&amp;$C1334&amp;$D1334&amp;$E1334&amp;$H1334="",0,IF(AND(OR(BUSCAR!$J$5="",ISNUMBER(SEARCH(BUSCAR!$J$5,$AI1334))),OR(BUSCAR!$J$6="",ISNUMBER(SEARCH(BUSCAR!$J$6,$AI1334))),OR(BUSCAR!$J$8="",ISNUMBER(SEARCH(BUSCAR!$J$8,$AI1334))),OR(BUSCAR!$J$9="",ISNUMBER(SEARCH(BUSCAR!$J$9,$AI1334))),OR(NOT(BUSCAR!$J$2),AND(ISNUMBER($AF1334),$AF1334&gt;=BUSCAR!$J$3,$AF1334&lt;=BUSCAR!$J$4))),1,0))</f>
      </c>
      <c r="AH1334" s="42">
        <f t="shared" si="60"/>
      </c>
      <c r="AI1334" s="42">
        <f t="shared" si="61"/>
      </c>
    </row>
    <row r="1335" spans="1:35" x14ac:dyDescent="0.2">
      <c r="A1335" s="66">
        <f t="shared" si="62"/>
      </c>
      <c r="B1335" s="4"/>
      <c r="C1335" s="4"/>
      <c r="D1335" s="4"/>
      <c r="E1335" s="4"/>
      <c r="F1335" s="24"/>
      <c r="G1335" s="8"/>
      <c r="H1335" s="9"/>
      <c r="I1335" s="8"/>
      <c r="J1335" s="10"/>
      <c r="K1335" s="8"/>
      <c r="L1335" s="8"/>
      <c r="M1335" s="8"/>
      <c r="N1335" s="11"/>
      <c r="O1335" s="9"/>
      <c r="P1335" s="12"/>
      <c r="Q1335" s="9"/>
      <c r="R1335" s="13"/>
      <c r="S1335" s="11"/>
      <c r="T1335" s="11"/>
      <c r="U1335" s="9"/>
      <c r="V1335" s="9"/>
      <c r="W1335" s="9"/>
      <c r="X1335" s="16"/>
      <c r="AF1335" s="42">
        <f>IF(BUSCAR!$C$8="FECHA NAC.",$G1335,IF(BUSCAR!$C$8="PASAPORTE EXPIRA",$J1335,IF(BUSCAR!$C$8="LICENCIA EMISION",$L1335,IF(BUSCAR!$C$8="LICENCIA EXPIRA",$M1335,""))))</f>
      </c>
      <c r="AG1335" s="42">
        <f>IF($B1335&amp;$C1335&amp;$D1335&amp;$E1335&amp;$H1335="",0,IF(AND(OR(BUSCAR!$J$5="",ISNUMBER(SEARCH(BUSCAR!$J$5,$AI1335))),OR(BUSCAR!$J$6="",ISNUMBER(SEARCH(BUSCAR!$J$6,$AI1335))),OR(BUSCAR!$J$8="",ISNUMBER(SEARCH(BUSCAR!$J$8,$AI1335))),OR(BUSCAR!$J$9="",ISNUMBER(SEARCH(BUSCAR!$J$9,$AI1335))),OR(NOT(BUSCAR!$J$2),AND(ISNUMBER($AF1335),$AF1335&gt;=BUSCAR!$J$3,$AF1335&lt;=BUSCAR!$J$4))),1,0))</f>
      </c>
      <c r="AH1335" s="42">
        <f t="shared" si="60"/>
      </c>
      <c r="AI1335" s="42">
        <f t="shared" si="61"/>
      </c>
    </row>
    <row r="1336" spans="1:35" x14ac:dyDescent="0.2">
      <c r="A1336" s="66">
        <f t="shared" si="62"/>
      </c>
      <c r="B1336" s="4"/>
      <c r="C1336" s="4"/>
      <c r="D1336" s="4"/>
      <c r="E1336" s="4"/>
      <c r="F1336" s="24"/>
      <c r="G1336" s="8"/>
      <c r="H1336" s="9"/>
      <c r="I1336" s="8"/>
      <c r="J1336" s="10"/>
      <c r="K1336" s="8"/>
      <c r="L1336" s="8"/>
      <c r="M1336" s="8"/>
      <c r="N1336" s="11"/>
      <c r="O1336" s="9"/>
      <c r="P1336" s="12"/>
      <c r="Q1336" s="9"/>
      <c r="R1336" s="13"/>
      <c r="S1336" s="11"/>
      <c r="T1336" s="11"/>
      <c r="U1336" s="9"/>
      <c r="V1336" s="9"/>
      <c r="W1336" s="9"/>
      <c r="X1336" s="16"/>
      <c r="AF1336" s="42">
        <f>IF(BUSCAR!$C$8="FECHA NAC.",$G1336,IF(BUSCAR!$C$8="PASAPORTE EXPIRA",$J1336,IF(BUSCAR!$C$8="LICENCIA EMISION",$L1336,IF(BUSCAR!$C$8="LICENCIA EXPIRA",$M1336,""))))</f>
      </c>
      <c r="AG1336" s="42">
        <f>IF($B1336&amp;$C1336&amp;$D1336&amp;$E1336&amp;$H1336="",0,IF(AND(OR(BUSCAR!$J$5="",ISNUMBER(SEARCH(BUSCAR!$J$5,$AI1336))),OR(BUSCAR!$J$6="",ISNUMBER(SEARCH(BUSCAR!$J$6,$AI1336))),OR(BUSCAR!$J$8="",ISNUMBER(SEARCH(BUSCAR!$J$8,$AI1336))),OR(BUSCAR!$J$9="",ISNUMBER(SEARCH(BUSCAR!$J$9,$AI1336))),OR(NOT(BUSCAR!$J$2),AND(ISNUMBER($AF1336),$AF1336&gt;=BUSCAR!$J$3,$AF1336&lt;=BUSCAR!$J$4))),1,0))</f>
      </c>
      <c r="AH1336" s="42">
        <f t="shared" si="60"/>
      </c>
      <c r="AI1336" s="42">
        <f t="shared" si="61"/>
      </c>
    </row>
    <row r="1337" spans="1:35" x14ac:dyDescent="0.2">
      <c r="A1337" s="66">
        <f t="shared" si="62"/>
      </c>
      <c r="B1337" s="4"/>
      <c r="C1337" s="4"/>
      <c r="D1337" s="4"/>
      <c r="E1337" s="4"/>
      <c r="F1337" s="24"/>
      <c r="G1337" s="8"/>
      <c r="H1337" s="9"/>
      <c r="I1337" s="8"/>
      <c r="J1337" s="10"/>
      <c r="K1337" s="8"/>
      <c r="L1337" s="8"/>
      <c r="M1337" s="8"/>
      <c r="N1337" s="11"/>
      <c r="O1337" s="9"/>
      <c r="P1337" s="12"/>
      <c r="Q1337" s="9"/>
      <c r="R1337" s="13"/>
      <c r="S1337" s="11"/>
      <c r="T1337" s="11"/>
      <c r="U1337" s="9"/>
      <c r="V1337" s="9"/>
      <c r="W1337" s="9"/>
      <c r="X1337" s="16"/>
      <c r="AF1337" s="42">
        <f>IF(BUSCAR!$C$8="FECHA NAC.",$G1337,IF(BUSCAR!$C$8="PASAPORTE EXPIRA",$J1337,IF(BUSCAR!$C$8="LICENCIA EMISION",$L1337,IF(BUSCAR!$C$8="LICENCIA EXPIRA",$M1337,""))))</f>
      </c>
      <c r="AG1337" s="42">
        <f>IF($B1337&amp;$C1337&amp;$D1337&amp;$E1337&amp;$H1337="",0,IF(AND(OR(BUSCAR!$J$5="",ISNUMBER(SEARCH(BUSCAR!$J$5,$AI1337))),OR(BUSCAR!$J$6="",ISNUMBER(SEARCH(BUSCAR!$J$6,$AI1337))),OR(BUSCAR!$J$8="",ISNUMBER(SEARCH(BUSCAR!$J$8,$AI1337))),OR(BUSCAR!$J$9="",ISNUMBER(SEARCH(BUSCAR!$J$9,$AI1337))),OR(NOT(BUSCAR!$J$2),AND(ISNUMBER($AF1337),$AF1337&gt;=BUSCAR!$J$3,$AF1337&lt;=BUSCAR!$J$4))),1,0))</f>
      </c>
      <c r="AH1337" s="42">
        <f t="shared" si="60"/>
      </c>
      <c r="AI1337" s="42">
        <f t="shared" si="61"/>
      </c>
    </row>
    <row r="1338" spans="1:35" x14ac:dyDescent="0.2">
      <c r="A1338" s="66">
        <f t="shared" si="62"/>
      </c>
      <c r="B1338" s="4"/>
      <c r="C1338" s="4"/>
      <c r="D1338" s="4"/>
      <c r="E1338" s="4"/>
      <c r="F1338" s="24"/>
      <c r="G1338" s="8"/>
      <c r="H1338" s="9"/>
      <c r="I1338" s="8"/>
      <c r="J1338" s="10"/>
      <c r="K1338" s="8"/>
      <c r="L1338" s="8"/>
      <c r="M1338" s="8"/>
      <c r="N1338" s="11"/>
      <c r="O1338" s="9"/>
      <c r="P1338" s="12"/>
      <c r="Q1338" s="9"/>
      <c r="R1338" s="13"/>
      <c r="S1338" s="11"/>
      <c r="T1338" s="11"/>
      <c r="U1338" s="9"/>
      <c r="V1338" s="9"/>
      <c r="W1338" s="9"/>
      <c r="X1338" s="16"/>
      <c r="AF1338" s="42">
        <f>IF(BUSCAR!$C$8="FECHA NAC.",$G1338,IF(BUSCAR!$C$8="PASAPORTE EXPIRA",$J1338,IF(BUSCAR!$C$8="LICENCIA EMISION",$L1338,IF(BUSCAR!$C$8="LICENCIA EXPIRA",$M1338,""))))</f>
      </c>
      <c r="AG1338" s="42">
        <f>IF($B1338&amp;$C1338&amp;$D1338&amp;$E1338&amp;$H1338="",0,IF(AND(OR(BUSCAR!$J$5="",ISNUMBER(SEARCH(BUSCAR!$J$5,$AI1338))),OR(BUSCAR!$J$6="",ISNUMBER(SEARCH(BUSCAR!$J$6,$AI1338))),OR(BUSCAR!$J$8="",ISNUMBER(SEARCH(BUSCAR!$J$8,$AI1338))),OR(BUSCAR!$J$9="",ISNUMBER(SEARCH(BUSCAR!$J$9,$AI1338))),OR(NOT(BUSCAR!$J$2),AND(ISNUMBER($AF1338),$AF1338&gt;=BUSCAR!$J$3,$AF1338&lt;=BUSCAR!$J$4))),1,0))</f>
      </c>
      <c r="AH1338" s="42">
        <f t="shared" si="60"/>
      </c>
      <c r="AI1338" s="42">
        <f t="shared" si="61"/>
      </c>
    </row>
    <row r="1339" spans="1:35" x14ac:dyDescent="0.2">
      <c r="A1339" s="66">
        <f t="shared" si="62"/>
      </c>
      <c r="B1339" s="4"/>
      <c r="C1339" s="4"/>
      <c r="D1339" s="4"/>
      <c r="E1339" s="4"/>
      <c r="F1339" s="24"/>
      <c r="G1339" s="8"/>
      <c r="H1339" s="9"/>
      <c r="I1339" s="8"/>
      <c r="J1339" s="10"/>
      <c r="K1339" s="8"/>
      <c r="L1339" s="8"/>
      <c r="M1339" s="8"/>
      <c r="N1339" s="11"/>
      <c r="O1339" s="9"/>
      <c r="P1339" s="12"/>
      <c r="Q1339" s="9"/>
      <c r="R1339" s="13"/>
      <c r="S1339" s="11"/>
      <c r="T1339" s="11"/>
      <c r="U1339" s="9"/>
      <c r="V1339" s="9"/>
      <c r="W1339" s="9"/>
      <c r="X1339" s="16"/>
      <c r="AF1339" s="42">
        <f>IF(BUSCAR!$C$8="FECHA NAC.",$G1339,IF(BUSCAR!$C$8="PASAPORTE EXPIRA",$J1339,IF(BUSCAR!$C$8="LICENCIA EMISION",$L1339,IF(BUSCAR!$C$8="LICENCIA EXPIRA",$M1339,""))))</f>
      </c>
      <c r="AG1339" s="42">
        <f>IF($B1339&amp;$C1339&amp;$D1339&amp;$E1339&amp;$H1339="",0,IF(AND(OR(BUSCAR!$J$5="",ISNUMBER(SEARCH(BUSCAR!$J$5,$AI1339))),OR(BUSCAR!$J$6="",ISNUMBER(SEARCH(BUSCAR!$J$6,$AI1339))),OR(BUSCAR!$J$8="",ISNUMBER(SEARCH(BUSCAR!$J$8,$AI1339))),OR(BUSCAR!$J$9="",ISNUMBER(SEARCH(BUSCAR!$J$9,$AI1339))),OR(NOT(BUSCAR!$J$2),AND(ISNUMBER($AF1339),$AF1339&gt;=BUSCAR!$J$3,$AF1339&lt;=BUSCAR!$J$4))),1,0))</f>
      </c>
      <c r="AH1339" s="42">
        <f t="shared" si="60"/>
      </c>
      <c r="AI1339" s="42">
        <f t="shared" si="61"/>
      </c>
    </row>
    <row r="1340" spans="1:35" x14ac:dyDescent="0.2">
      <c r="A1340" s="66">
        <f t="shared" si="62"/>
      </c>
      <c r="B1340" s="4"/>
      <c r="C1340" s="4"/>
      <c r="D1340" s="4"/>
      <c r="E1340" s="4"/>
      <c r="F1340" s="24"/>
      <c r="G1340" s="8"/>
      <c r="H1340" s="9"/>
      <c r="I1340" s="8"/>
      <c r="J1340" s="10"/>
      <c r="K1340" s="8"/>
      <c r="L1340" s="8"/>
      <c r="M1340" s="8"/>
      <c r="N1340" s="11"/>
      <c r="O1340" s="9"/>
      <c r="P1340" s="12"/>
      <c r="Q1340" s="9"/>
      <c r="R1340" s="13"/>
      <c r="S1340" s="11"/>
      <c r="T1340" s="11"/>
      <c r="U1340" s="9"/>
      <c r="V1340" s="9"/>
      <c r="W1340" s="9"/>
      <c r="X1340" s="16"/>
      <c r="AF1340" s="42">
        <f>IF(BUSCAR!$C$8="FECHA NAC.",$G1340,IF(BUSCAR!$C$8="PASAPORTE EXPIRA",$J1340,IF(BUSCAR!$C$8="LICENCIA EMISION",$L1340,IF(BUSCAR!$C$8="LICENCIA EXPIRA",$M1340,""))))</f>
      </c>
      <c r="AG1340" s="42">
        <f>IF($B1340&amp;$C1340&amp;$D1340&amp;$E1340&amp;$H1340="",0,IF(AND(OR(BUSCAR!$J$5="",ISNUMBER(SEARCH(BUSCAR!$J$5,$AI1340))),OR(BUSCAR!$J$6="",ISNUMBER(SEARCH(BUSCAR!$J$6,$AI1340))),OR(BUSCAR!$J$8="",ISNUMBER(SEARCH(BUSCAR!$J$8,$AI1340))),OR(BUSCAR!$J$9="",ISNUMBER(SEARCH(BUSCAR!$J$9,$AI1340))),OR(NOT(BUSCAR!$J$2),AND(ISNUMBER($AF1340),$AF1340&gt;=BUSCAR!$J$3,$AF1340&lt;=BUSCAR!$J$4))),1,0))</f>
      </c>
      <c r="AH1340" s="42">
        <f t="shared" si="60"/>
      </c>
      <c r="AI1340" s="42">
        <f t="shared" si="61"/>
      </c>
    </row>
    <row r="1341" spans="1:35" x14ac:dyDescent="0.2">
      <c r="A1341" s="66">
        <f t="shared" si="62"/>
      </c>
      <c r="B1341" s="4"/>
      <c r="C1341" s="4"/>
      <c r="D1341" s="4"/>
      <c r="E1341" s="4"/>
      <c r="F1341" s="24"/>
      <c r="G1341" s="8"/>
      <c r="H1341" s="9"/>
      <c r="I1341" s="8"/>
      <c r="J1341" s="10"/>
      <c r="K1341" s="8"/>
      <c r="L1341" s="8"/>
      <c r="M1341" s="8"/>
      <c r="N1341" s="11"/>
      <c r="O1341" s="9"/>
      <c r="P1341" s="12"/>
      <c r="Q1341" s="9"/>
      <c r="R1341" s="13"/>
      <c r="S1341" s="11"/>
      <c r="T1341" s="11"/>
      <c r="U1341" s="9"/>
      <c r="V1341" s="9"/>
      <c r="W1341" s="9"/>
      <c r="X1341" s="16"/>
      <c r="AF1341" s="42">
        <f>IF(BUSCAR!$C$8="FECHA NAC.",$G1341,IF(BUSCAR!$C$8="PASAPORTE EXPIRA",$J1341,IF(BUSCAR!$C$8="LICENCIA EMISION",$L1341,IF(BUSCAR!$C$8="LICENCIA EXPIRA",$M1341,""))))</f>
      </c>
      <c r="AG1341" s="42">
        <f>IF($B1341&amp;$C1341&amp;$D1341&amp;$E1341&amp;$H1341="",0,IF(AND(OR(BUSCAR!$J$5="",ISNUMBER(SEARCH(BUSCAR!$J$5,$AI1341))),OR(BUSCAR!$J$6="",ISNUMBER(SEARCH(BUSCAR!$J$6,$AI1341))),OR(BUSCAR!$J$8="",ISNUMBER(SEARCH(BUSCAR!$J$8,$AI1341))),OR(BUSCAR!$J$9="",ISNUMBER(SEARCH(BUSCAR!$J$9,$AI1341))),OR(NOT(BUSCAR!$J$2),AND(ISNUMBER($AF1341),$AF1341&gt;=BUSCAR!$J$3,$AF1341&lt;=BUSCAR!$J$4))),1,0))</f>
      </c>
      <c r="AH1341" s="42">
        <f t="shared" si="60"/>
      </c>
      <c r="AI1341" s="42">
        <f t="shared" si="61"/>
      </c>
    </row>
    <row r="1342" spans="1:35" x14ac:dyDescent="0.2">
      <c r="A1342" s="66">
        <f t="shared" si="62"/>
      </c>
      <c r="B1342" s="4"/>
      <c r="C1342" s="4"/>
      <c r="D1342" s="4"/>
      <c r="E1342" s="4"/>
      <c r="F1342" s="24"/>
      <c r="G1342" s="8"/>
      <c r="H1342" s="9"/>
      <c r="I1342" s="8"/>
      <c r="J1342" s="10"/>
      <c r="K1342" s="8"/>
      <c r="L1342" s="8"/>
      <c r="M1342" s="8"/>
      <c r="N1342" s="11"/>
      <c r="O1342" s="9"/>
      <c r="P1342" s="12"/>
      <c r="Q1342" s="9"/>
      <c r="R1342" s="13"/>
      <c r="S1342" s="11"/>
      <c r="T1342" s="11"/>
      <c r="U1342" s="9"/>
      <c r="V1342" s="9"/>
      <c r="W1342" s="9"/>
      <c r="X1342" s="16"/>
      <c r="AF1342" s="42">
        <f>IF(BUSCAR!$C$8="FECHA NAC.",$G1342,IF(BUSCAR!$C$8="PASAPORTE EXPIRA",$J1342,IF(BUSCAR!$C$8="LICENCIA EMISION",$L1342,IF(BUSCAR!$C$8="LICENCIA EXPIRA",$M1342,""))))</f>
      </c>
      <c r="AG1342" s="42">
        <f>IF($B1342&amp;$C1342&amp;$D1342&amp;$E1342&amp;$H1342="",0,IF(AND(OR(BUSCAR!$J$5="",ISNUMBER(SEARCH(BUSCAR!$J$5,$AI1342))),OR(BUSCAR!$J$6="",ISNUMBER(SEARCH(BUSCAR!$J$6,$AI1342))),OR(BUSCAR!$J$8="",ISNUMBER(SEARCH(BUSCAR!$J$8,$AI1342))),OR(BUSCAR!$J$9="",ISNUMBER(SEARCH(BUSCAR!$J$9,$AI1342))),OR(NOT(BUSCAR!$J$2),AND(ISNUMBER($AF1342),$AF1342&gt;=BUSCAR!$J$3,$AF1342&lt;=BUSCAR!$J$4))),1,0))</f>
      </c>
      <c r="AH1342" s="42">
        <f t="shared" si="60"/>
      </c>
      <c r="AI1342" s="42">
        <f t="shared" si="61"/>
      </c>
    </row>
    <row r="1343" spans="1:35" x14ac:dyDescent="0.2">
      <c r="A1343" s="66">
        <f t="shared" si="62"/>
      </c>
      <c r="B1343" s="4"/>
      <c r="C1343" s="4"/>
      <c r="D1343" s="4"/>
      <c r="E1343" s="4"/>
      <c r="F1343" s="24"/>
      <c r="G1343" s="8"/>
      <c r="H1343" s="9"/>
      <c r="I1343" s="8"/>
      <c r="J1343" s="10"/>
      <c r="K1343" s="8"/>
      <c r="L1343" s="8"/>
      <c r="M1343" s="8"/>
      <c r="N1343" s="11"/>
      <c r="O1343" s="9"/>
      <c r="P1343" s="12"/>
      <c r="Q1343" s="9"/>
      <c r="R1343" s="13"/>
      <c r="S1343" s="11"/>
      <c r="T1343" s="11"/>
      <c r="U1343" s="9"/>
      <c r="V1343" s="9"/>
      <c r="W1343" s="9"/>
      <c r="X1343" s="16"/>
      <c r="AF1343" s="42">
        <f>IF(BUSCAR!$C$8="FECHA NAC.",$G1343,IF(BUSCAR!$C$8="PASAPORTE EXPIRA",$J1343,IF(BUSCAR!$C$8="LICENCIA EMISION",$L1343,IF(BUSCAR!$C$8="LICENCIA EXPIRA",$M1343,""))))</f>
      </c>
      <c r="AG1343" s="42">
        <f>IF($B1343&amp;$C1343&amp;$D1343&amp;$E1343&amp;$H1343="",0,IF(AND(OR(BUSCAR!$J$5="",ISNUMBER(SEARCH(BUSCAR!$J$5,$AI1343))),OR(BUSCAR!$J$6="",ISNUMBER(SEARCH(BUSCAR!$J$6,$AI1343))),OR(BUSCAR!$J$8="",ISNUMBER(SEARCH(BUSCAR!$J$8,$AI1343))),OR(BUSCAR!$J$9="",ISNUMBER(SEARCH(BUSCAR!$J$9,$AI1343))),OR(NOT(BUSCAR!$J$2),AND(ISNUMBER($AF1343),$AF1343&gt;=BUSCAR!$J$3,$AF1343&lt;=BUSCAR!$J$4))),1,0))</f>
      </c>
      <c r="AH1343" s="42">
        <f t="shared" si="60"/>
      </c>
      <c r="AI1343" s="42">
        <f t="shared" si="61"/>
      </c>
    </row>
    <row r="1344" spans="1:35" x14ac:dyDescent="0.2">
      <c r="A1344" s="66">
        <f t="shared" si="62"/>
      </c>
      <c r="B1344" s="4"/>
      <c r="C1344" s="4"/>
      <c r="D1344" s="4"/>
      <c r="E1344" s="4"/>
      <c r="F1344" s="24"/>
      <c r="G1344" s="8"/>
      <c r="H1344" s="9"/>
      <c r="I1344" s="8"/>
      <c r="J1344" s="10"/>
      <c r="K1344" s="8"/>
      <c r="L1344" s="8"/>
      <c r="M1344" s="8"/>
      <c r="N1344" s="11"/>
      <c r="O1344" s="9"/>
      <c r="P1344" s="12"/>
      <c r="Q1344" s="9"/>
      <c r="R1344" s="13"/>
      <c r="S1344" s="11"/>
      <c r="T1344" s="11"/>
      <c r="U1344" s="9"/>
      <c r="V1344" s="9"/>
      <c r="W1344" s="9"/>
      <c r="X1344" s="16"/>
      <c r="AF1344" s="42">
        <f>IF(BUSCAR!$C$8="FECHA NAC.",$G1344,IF(BUSCAR!$C$8="PASAPORTE EXPIRA",$J1344,IF(BUSCAR!$C$8="LICENCIA EMISION",$L1344,IF(BUSCAR!$C$8="LICENCIA EXPIRA",$M1344,""))))</f>
      </c>
      <c r="AG1344" s="42">
        <f>IF($B1344&amp;$C1344&amp;$D1344&amp;$E1344&amp;$H1344="",0,IF(AND(OR(BUSCAR!$J$5="",ISNUMBER(SEARCH(BUSCAR!$J$5,$AI1344))),OR(BUSCAR!$J$6="",ISNUMBER(SEARCH(BUSCAR!$J$6,$AI1344))),OR(BUSCAR!$J$8="",ISNUMBER(SEARCH(BUSCAR!$J$8,$AI1344))),OR(BUSCAR!$J$9="",ISNUMBER(SEARCH(BUSCAR!$J$9,$AI1344))),OR(NOT(BUSCAR!$J$2),AND(ISNUMBER($AF1344),$AF1344&gt;=BUSCAR!$J$3,$AF1344&lt;=BUSCAR!$J$4))),1,0))</f>
      </c>
      <c r="AH1344" s="42">
        <f t="shared" si="60"/>
      </c>
      <c r="AI1344" s="42">
        <f t="shared" si="61"/>
      </c>
    </row>
    <row r="1345" spans="1:35" x14ac:dyDescent="0.2">
      <c r="A1345" s="66">
        <f t="shared" si="62"/>
      </c>
      <c r="B1345" s="4"/>
      <c r="C1345" s="4"/>
      <c r="D1345" s="4"/>
      <c r="E1345" s="4"/>
      <c r="F1345" s="24"/>
      <c r="G1345" s="8"/>
      <c r="H1345" s="9"/>
      <c r="I1345" s="8"/>
      <c r="J1345" s="10"/>
      <c r="K1345" s="8"/>
      <c r="L1345" s="8"/>
      <c r="M1345" s="8"/>
      <c r="N1345" s="11"/>
      <c r="O1345" s="9"/>
      <c r="P1345" s="12"/>
      <c r="Q1345" s="9"/>
      <c r="R1345" s="13"/>
      <c r="S1345" s="11"/>
      <c r="T1345" s="11"/>
      <c r="U1345" s="9"/>
      <c r="V1345" s="9"/>
      <c r="W1345" s="9"/>
      <c r="X1345" s="16"/>
      <c r="AF1345" s="42">
        <f>IF(BUSCAR!$C$8="FECHA NAC.",$G1345,IF(BUSCAR!$C$8="PASAPORTE EXPIRA",$J1345,IF(BUSCAR!$C$8="LICENCIA EMISION",$L1345,IF(BUSCAR!$C$8="LICENCIA EXPIRA",$M1345,""))))</f>
      </c>
      <c r="AG1345" s="42">
        <f>IF($B1345&amp;$C1345&amp;$D1345&amp;$E1345&amp;$H1345="",0,IF(AND(OR(BUSCAR!$J$5="",ISNUMBER(SEARCH(BUSCAR!$J$5,$AI1345))),OR(BUSCAR!$J$6="",ISNUMBER(SEARCH(BUSCAR!$J$6,$AI1345))),OR(BUSCAR!$J$8="",ISNUMBER(SEARCH(BUSCAR!$J$8,$AI1345))),OR(BUSCAR!$J$9="",ISNUMBER(SEARCH(BUSCAR!$J$9,$AI1345))),OR(NOT(BUSCAR!$J$2),AND(ISNUMBER($AF1345),$AF1345&gt;=BUSCAR!$J$3,$AF1345&lt;=BUSCAR!$J$4))),1,0))</f>
      </c>
      <c r="AH1345" s="42">
        <f t="shared" si="60"/>
      </c>
      <c r="AI1345" s="42">
        <f t="shared" si="61"/>
      </c>
    </row>
    <row r="1346" spans="1:35" x14ac:dyDescent="0.2">
      <c r="A1346" s="66">
        <f t="shared" si="62"/>
      </c>
      <c r="B1346" s="4"/>
      <c r="C1346" s="4"/>
      <c r="D1346" s="4"/>
      <c r="E1346" s="4"/>
      <c r="F1346" s="24"/>
      <c r="G1346" s="8"/>
      <c r="H1346" s="9"/>
      <c r="I1346" s="8"/>
      <c r="J1346" s="10"/>
      <c r="K1346" s="8"/>
      <c r="L1346" s="8"/>
      <c r="M1346" s="8"/>
      <c r="N1346" s="11"/>
      <c r="O1346" s="9"/>
      <c r="P1346" s="12"/>
      <c r="Q1346" s="9"/>
      <c r="R1346" s="13"/>
      <c r="S1346" s="11"/>
      <c r="T1346" s="11"/>
      <c r="U1346" s="9"/>
      <c r="V1346" s="9"/>
      <c r="W1346" s="9"/>
      <c r="X1346" s="16"/>
      <c r="AF1346" s="42">
        <f>IF(BUSCAR!$C$8="FECHA NAC.",$G1346,IF(BUSCAR!$C$8="PASAPORTE EXPIRA",$J1346,IF(BUSCAR!$C$8="LICENCIA EMISION",$L1346,IF(BUSCAR!$C$8="LICENCIA EXPIRA",$M1346,""))))</f>
      </c>
      <c r="AG1346" s="42">
        <f>IF($B1346&amp;$C1346&amp;$D1346&amp;$E1346&amp;$H1346="",0,IF(AND(OR(BUSCAR!$J$5="",ISNUMBER(SEARCH(BUSCAR!$J$5,$AI1346))),OR(BUSCAR!$J$6="",ISNUMBER(SEARCH(BUSCAR!$J$6,$AI1346))),OR(BUSCAR!$J$8="",ISNUMBER(SEARCH(BUSCAR!$J$8,$AI1346))),OR(BUSCAR!$J$9="",ISNUMBER(SEARCH(BUSCAR!$J$9,$AI1346))),OR(NOT(BUSCAR!$J$2),AND(ISNUMBER($AF1346),$AF1346&gt;=BUSCAR!$J$3,$AF1346&lt;=BUSCAR!$J$4))),1,0))</f>
      </c>
      <c r="AH1346" s="42">
        <f t="shared" si="60"/>
      </c>
      <c r="AI1346" s="42">
        <f t="shared" si="61"/>
      </c>
    </row>
    <row r="1347" spans="1:35" x14ac:dyDescent="0.2">
      <c r="A1347" s="66">
        <f t="shared" si="62"/>
      </c>
      <c r="B1347" s="4"/>
      <c r="C1347" s="4"/>
      <c r="D1347" s="4"/>
      <c r="E1347" s="4"/>
      <c r="F1347" s="24"/>
      <c r="G1347" s="8"/>
      <c r="H1347" s="9"/>
      <c r="I1347" s="8"/>
      <c r="J1347" s="10"/>
      <c r="K1347" s="8"/>
      <c r="L1347" s="8"/>
      <c r="M1347" s="8"/>
      <c r="N1347" s="11"/>
      <c r="O1347" s="9"/>
      <c r="P1347" s="12"/>
      <c r="Q1347" s="9"/>
      <c r="R1347" s="13"/>
      <c r="S1347" s="11"/>
      <c r="T1347" s="11"/>
      <c r="U1347" s="9"/>
      <c r="V1347" s="9"/>
      <c r="W1347" s="9"/>
      <c r="X1347" s="16"/>
      <c r="AF1347" s="42">
        <f>IF(BUSCAR!$C$8="FECHA NAC.",$G1347,IF(BUSCAR!$C$8="PASAPORTE EXPIRA",$J1347,IF(BUSCAR!$C$8="LICENCIA EMISION",$L1347,IF(BUSCAR!$C$8="LICENCIA EXPIRA",$M1347,""))))</f>
      </c>
      <c r="AG1347" s="42">
        <f>IF($B1347&amp;$C1347&amp;$D1347&amp;$E1347&amp;$H1347="",0,IF(AND(OR(BUSCAR!$J$5="",ISNUMBER(SEARCH(BUSCAR!$J$5,$AI1347))),OR(BUSCAR!$J$6="",ISNUMBER(SEARCH(BUSCAR!$J$6,$AI1347))),OR(BUSCAR!$J$8="",ISNUMBER(SEARCH(BUSCAR!$J$8,$AI1347))),OR(BUSCAR!$J$9="",ISNUMBER(SEARCH(BUSCAR!$J$9,$AI1347))),OR(NOT(BUSCAR!$J$2),AND(ISNUMBER($AF1347),$AF1347&gt;=BUSCAR!$J$3,$AF1347&lt;=BUSCAR!$J$4))),1,0))</f>
      </c>
      <c r="AH1347" s="42">
        <f t="shared" ref="AH1347:AH1410" si="63">AH1346+AG1347</f>
      </c>
      <c r="AI1347" s="42">
        <f t="shared" ref="AI1347:AI1410" si="64">IF($B1347&amp;" "&amp;$C1347&amp;" "&amp;$D1347&amp;" "&amp;$E1347&amp;" "&amp;$H1347&amp;" "&amp;$K1347&amp;" "&amp;$R1347&amp;" "&amp;$AC1347&amp;" "&amp;$AD1347="","",SUBSTITUTE(SUBSTITUTE(SUBSTITUTE(SUBSTITUTE(SUBSTITUTE(SUBSTITUTE(SUBSTITUTE(UPPER($B1347&amp;" "&amp;$C1347&amp;" "&amp;$D1347&amp;" "&amp;$E1347&amp;" "&amp;$H1347&amp;" "&amp;$K1347&amp;" "&amp;$R1347&amp;" "&amp;$AC1347&amp;" "&amp;$AD1347),"Á","A"),"É","E"),"Í","I"),"Ó","O"),"Ú","U"),"Ü","U"),"Ñ","N"))</f>
      </c>
    </row>
    <row r="1348" spans="1:35" x14ac:dyDescent="0.2">
      <c r="A1348" s="66">
        <f t="shared" ref="A1348:A1411" si="65">A1347+1</f>
      </c>
      <c r="B1348" s="4"/>
      <c r="C1348" s="4"/>
      <c r="D1348" s="4"/>
      <c r="E1348" s="4"/>
      <c r="F1348" s="24"/>
      <c r="G1348" s="8"/>
      <c r="H1348" s="9"/>
      <c r="I1348" s="8"/>
      <c r="J1348" s="10"/>
      <c r="K1348" s="8"/>
      <c r="L1348" s="8"/>
      <c r="M1348" s="8"/>
      <c r="N1348" s="11"/>
      <c r="O1348" s="9"/>
      <c r="P1348" s="12"/>
      <c r="Q1348" s="9"/>
      <c r="R1348" s="13"/>
      <c r="S1348" s="11"/>
      <c r="T1348" s="11"/>
      <c r="U1348" s="9"/>
      <c r="V1348" s="9"/>
      <c r="W1348" s="9"/>
      <c r="X1348" s="16"/>
      <c r="AF1348" s="42">
        <f>IF(BUSCAR!$C$8="FECHA NAC.",$G1348,IF(BUSCAR!$C$8="PASAPORTE EXPIRA",$J1348,IF(BUSCAR!$C$8="LICENCIA EMISION",$L1348,IF(BUSCAR!$C$8="LICENCIA EXPIRA",$M1348,""))))</f>
      </c>
      <c r="AG1348" s="42">
        <f>IF($B1348&amp;$C1348&amp;$D1348&amp;$E1348&amp;$H1348="",0,IF(AND(OR(BUSCAR!$J$5="",ISNUMBER(SEARCH(BUSCAR!$J$5,$AI1348))),OR(BUSCAR!$J$6="",ISNUMBER(SEARCH(BUSCAR!$J$6,$AI1348))),OR(BUSCAR!$J$8="",ISNUMBER(SEARCH(BUSCAR!$J$8,$AI1348))),OR(BUSCAR!$J$9="",ISNUMBER(SEARCH(BUSCAR!$J$9,$AI1348))),OR(NOT(BUSCAR!$J$2),AND(ISNUMBER($AF1348),$AF1348&gt;=BUSCAR!$J$3,$AF1348&lt;=BUSCAR!$J$4))),1,0))</f>
      </c>
      <c r="AH1348" s="42">
        <f t="shared" si="63"/>
      </c>
      <c r="AI1348" s="42">
        <f t="shared" si="64"/>
      </c>
    </row>
    <row r="1349" spans="1:35" x14ac:dyDescent="0.2">
      <c r="A1349" s="66">
        <f t="shared" si="65"/>
      </c>
      <c r="B1349" s="4"/>
      <c r="C1349" s="4"/>
      <c r="D1349" s="4"/>
      <c r="E1349" s="4"/>
      <c r="F1349" s="24"/>
      <c r="G1349" s="8"/>
      <c r="H1349" s="9"/>
      <c r="I1349" s="8"/>
      <c r="J1349" s="10"/>
      <c r="K1349" s="8"/>
      <c r="L1349" s="8"/>
      <c r="M1349" s="8"/>
      <c r="N1349" s="11"/>
      <c r="O1349" s="9"/>
      <c r="P1349" s="12"/>
      <c r="Q1349" s="9"/>
      <c r="R1349" s="13"/>
      <c r="S1349" s="11"/>
      <c r="T1349" s="11"/>
      <c r="U1349" s="9"/>
      <c r="V1349" s="9"/>
      <c r="W1349" s="9"/>
      <c r="X1349" s="16"/>
      <c r="AF1349" s="42">
        <f>IF(BUSCAR!$C$8="FECHA NAC.",$G1349,IF(BUSCAR!$C$8="PASAPORTE EXPIRA",$J1349,IF(BUSCAR!$C$8="LICENCIA EMISION",$L1349,IF(BUSCAR!$C$8="LICENCIA EXPIRA",$M1349,""))))</f>
      </c>
      <c r="AG1349" s="42">
        <f>IF($B1349&amp;$C1349&amp;$D1349&amp;$E1349&amp;$H1349="",0,IF(AND(OR(BUSCAR!$J$5="",ISNUMBER(SEARCH(BUSCAR!$J$5,$AI1349))),OR(BUSCAR!$J$6="",ISNUMBER(SEARCH(BUSCAR!$J$6,$AI1349))),OR(BUSCAR!$J$8="",ISNUMBER(SEARCH(BUSCAR!$J$8,$AI1349))),OR(BUSCAR!$J$9="",ISNUMBER(SEARCH(BUSCAR!$J$9,$AI1349))),OR(NOT(BUSCAR!$J$2),AND(ISNUMBER($AF1349),$AF1349&gt;=BUSCAR!$J$3,$AF1349&lt;=BUSCAR!$J$4))),1,0))</f>
      </c>
      <c r="AH1349" s="42">
        <f t="shared" si="63"/>
      </c>
      <c r="AI1349" s="42">
        <f t="shared" si="64"/>
      </c>
    </row>
    <row r="1350" spans="1:35" x14ac:dyDescent="0.2">
      <c r="A1350" s="66">
        <f t="shared" si="65"/>
      </c>
      <c r="B1350" s="4"/>
      <c r="C1350" s="4"/>
      <c r="D1350" s="4"/>
      <c r="E1350" s="4"/>
      <c r="F1350" s="24"/>
      <c r="G1350" s="8"/>
      <c r="H1350" s="9"/>
      <c r="I1350" s="8"/>
      <c r="J1350" s="10"/>
      <c r="K1350" s="8"/>
      <c r="L1350" s="8"/>
      <c r="M1350" s="8"/>
      <c r="N1350" s="11"/>
      <c r="O1350" s="9"/>
      <c r="P1350" s="12"/>
      <c r="Q1350" s="9"/>
      <c r="R1350" s="13"/>
      <c r="S1350" s="11"/>
      <c r="T1350" s="11"/>
      <c r="U1350" s="9"/>
      <c r="V1350" s="9"/>
      <c r="W1350" s="9"/>
      <c r="X1350" s="16"/>
      <c r="AF1350" s="42">
        <f>IF(BUSCAR!$C$8="FECHA NAC.",$G1350,IF(BUSCAR!$C$8="PASAPORTE EXPIRA",$J1350,IF(BUSCAR!$C$8="LICENCIA EMISION",$L1350,IF(BUSCAR!$C$8="LICENCIA EXPIRA",$M1350,""))))</f>
      </c>
      <c r="AG1350" s="42">
        <f>IF($B1350&amp;$C1350&amp;$D1350&amp;$E1350&amp;$H1350="",0,IF(AND(OR(BUSCAR!$J$5="",ISNUMBER(SEARCH(BUSCAR!$J$5,$AI1350))),OR(BUSCAR!$J$6="",ISNUMBER(SEARCH(BUSCAR!$J$6,$AI1350))),OR(BUSCAR!$J$8="",ISNUMBER(SEARCH(BUSCAR!$J$8,$AI1350))),OR(BUSCAR!$J$9="",ISNUMBER(SEARCH(BUSCAR!$J$9,$AI1350))),OR(NOT(BUSCAR!$J$2),AND(ISNUMBER($AF1350),$AF1350&gt;=BUSCAR!$J$3,$AF1350&lt;=BUSCAR!$J$4))),1,0))</f>
      </c>
      <c r="AH1350" s="42">
        <f t="shared" si="63"/>
      </c>
      <c r="AI1350" s="42">
        <f t="shared" si="64"/>
      </c>
    </row>
    <row r="1351" spans="1:35" x14ac:dyDescent="0.2">
      <c r="A1351" s="66">
        <f t="shared" si="65"/>
      </c>
      <c r="B1351" s="4"/>
      <c r="C1351" s="4"/>
      <c r="D1351" s="4"/>
      <c r="E1351" s="4"/>
      <c r="F1351" s="24"/>
      <c r="G1351" s="8"/>
      <c r="H1351" s="9"/>
      <c r="I1351" s="8"/>
      <c r="J1351" s="10"/>
      <c r="K1351" s="8"/>
      <c r="L1351" s="8"/>
      <c r="M1351" s="8"/>
      <c r="N1351" s="11"/>
      <c r="O1351" s="9"/>
      <c r="P1351" s="12"/>
      <c r="Q1351" s="9"/>
      <c r="R1351" s="13"/>
      <c r="S1351" s="11"/>
      <c r="T1351" s="11"/>
      <c r="U1351" s="9"/>
      <c r="V1351" s="9"/>
      <c r="W1351" s="9"/>
      <c r="X1351" s="16"/>
      <c r="AF1351" s="42">
        <f>IF(BUSCAR!$C$8="FECHA NAC.",$G1351,IF(BUSCAR!$C$8="PASAPORTE EXPIRA",$J1351,IF(BUSCAR!$C$8="LICENCIA EMISION",$L1351,IF(BUSCAR!$C$8="LICENCIA EXPIRA",$M1351,""))))</f>
      </c>
      <c r="AG1351" s="42">
        <f>IF($B1351&amp;$C1351&amp;$D1351&amp;$E1351&amp;$H1351="",0,IF(AND(OR(BUSCAR!$J$5="",ISNUMBER(SEARCH(BUSCAR!$J$5,$AI1351))),OR(BUSCAR!$J$6="",ISNUMBER(SEARCH(BUSCAR!$J$6,$AI1351))),OR(BUSCAR!$J$8="",ISNUMBER(SEARCH(BUSCAR!$J$8,$AI1351))),OR(BUSCAR!$J$9="",ISNUMBER(SEARCH(BUSCAR!$J$9,$AI1351))),OR(NOT(BUSCAR!$J$2),AND(ISNUMBER($AF1351),$AF1351&gt;=BUSCAR!$J$3,$AF1351&lt;=BUSCAR!$J$4))),1,0))</f>
      </c>
      <c r="AH1351" s="42">
        <f t="shared" si="63"/>
      </c>
      <c r="AI1351" s="42">
        <f t="shared" si="64"/>
      </c>
    </row>
    <row r="1352" spans="1:35" x14ac:dyDescent="0.2">
      <c r="A1352" s="66">
        <f t="shared" si="65"/>
      </c>
      <c r="B1352" s="4"/>
      <c r="C1352" s="4"/>
      <c r="D1352" s="4"/>
      <c r="E1352" s="4"/>
      <c r="F1352" s="24"/>
      <c r="G1352" s="8"/>
      <c r="H1352" s="9"/>
      <c r="I1352" s="8"/>
      <c r="J1352" s="10"/>
      <c r="K1352" s="8"/>
      <c r="L1352" s="8"/>
      <c r="M1352" s="8"/>
      <c r="N1352" s="11"/>
      <c r="O1352" s="9"/>
      <c r="P1352" s="12"/>
      <c r="Q1352" s="9"/>
      <c r="R1352" s="13"/>
      <c r="S1352" s="11"/>
      <c r="T1352" s="11"/>
      <c r="U1352" s="9"/>
      <c r="V1352" s="9"/>
      <c r="W1352" s="9"/>
      <c r="X1352" s="16"/>
      <c r="AF1352" s="42">
        <f>IF(BUSCAR!$C$8="FECHA NAC.",$G1352,IF(BUSCAR!$C$8="PASAPORTE EXPIRA",$J1352,IF(BUSCAR!$C$8="LICENCIA EMISION",$L1352,IF(BUSCAR!$C$8="LICENCIA EXPIRA",$M1352,""))))</f>
      </c>
      <c r="AG1352" s="42">
        <f>IF($B1352&amp;$C1352&amp;$D1352&amp;$E1352&amp;$H1352="",0,IF(AND(OR(BUSCAR!$J$5="",ISNUMBER(SEARCH(BUSCAR!$J$5,$AI1352))),OR(BUSCAR!$J$6="",ISNUMBER(SEARCH(BUSCAR!$J$6,$AI1352))),OR(BUSCAR!$J$8="",ISNUMBER(SEARCH(BUSCAR!$J$8,$AI1352))),OR(BUSCAR!$J$9="",ISNUMBER(SEARCH(BUSCAR!$J$9,$AI1352))),OR(NOT(BUSCAR!$J$2),AND(ISNUMBER($AF1352),$AF1352&gt;=BUSCAR!$J$3,$AF1352&lt;=BUSCAR!$J$4))),1,0))</f>
      </c>
      <c r="AH1352" s="42">
        <f t="shared" si="63"/>
      </c>
      <c r="AI1352" s="42">
        <f t="shared" si="64"/>
      </c>
    </row>
    <row r="1353" spans="1:35" x14ac:dyDescent="0.2">
      <c r="A1353" s="66">
        <f t="shared" si="65"/>
      </c>
      <c r="B1353" s="4"/>
      <c r="C1353" s="4"/>
      <c r="D1353" s="4"/>
      <c r="E1353" s="4"/>
      <c r="F1353" s="24"/>
      <c r="G1353" s="8"/>
      <c r="H1353" s="9"/>
      <c r="I1353" s="8"/>
      <c r="J1353" s="10"/>
      <c r="K1353" s="8"/>
      <c r="L1353" s="8"/>
      <c r="M1353" s="8"/>
      <c r="N1353" s="11"/>
      <c r="O1353" s="9"/>
      <c r="P1353" s="12"/>
      <c r="Q1353" s="9"/>
      <c r="R1353" s="13"/>
      <c r="S1353" s="11"/>
      <c r="T1353" s="11"/>
      <c r="U1353" s="9"/>
      <c r="V1353" s="9"/>
      <c r="W1353" s="9"/>
      <c r="X1353" s="16"/>
      <c r="AF1353" s="42">
        <f>IF(BUSCAR!$C$8="FECHA NAC.",$G1353,IF(BUSCAR!$C$8="PASAPORTE EXPIRA",$J1353,IF(BUSCAR!$C$8="LICENCIA EMISION",$L1353,IF(BUSCAR!$C$8="LICENCIA EXPIRA",$M1353,""))))</f>
      </c>
      <c r="AG1353" s="42">
        <f>IF($B1353&amp;$C1353&amp;$D1353&amp;$E1353&amp;$H1353="",0,IF(AND(OR(BUSCAR!$J$5="",ISNUMBER(SEARCH(BUSCAR!$J$5,$AI1353))),OR(BUSCAR!$J$6="",ISNUMBER(SEARCH(BUSCAR!$J$6,$AI1353))),OR(BUSCAR!$J$8="",ISNUMBER(SEARCH(BUSCAR!$J$8,$AI1353))),OR(BUSCAR!$J$9="",ISNUMBER(SEARCH(BUSCAR!$J$9,$AI1353))),OR(NOT(BUSCAR!$J$2),AND(ISNUMBER($AF1353),$AF1353&gt;=BUSCAR!$J$3,$AF1353&lt;=BUSCAR!$J$4))),1,0))</f>
      </c>
      <c r="AH1353" s="42">
        <f t="shared" si="63"/>
      </c>
      <c r="AI1353" s="42">
        <f t="shared" si="64"/>
      </c>
    </row>
    <row r="1354" spans="1:35" x14ac:dyDescent="0.2">
      <c r="A1354" s="66">
        <f t="shared" si="65"/>
      </c>
      <c r="B1354" s="4"/>
      <c r="C1354" s="4"/>
      <c r="D1354" s="4"/>
      <c r="E1354" s="4"/>
      <c r="F1354" s="24"/>
      <c r="G1354" s="8"/>
      <c r="H1354" s="9"/>
      <c r="I1354" s="8"/>
      <c r="J1354" s="10"/>
      <c r="K1354" s="8"/>
      <c r="L1354" s="8"/>
      <c r="M1354" s="8"/>
      <c r="N1354" s="11"/>
      <c r="O1354" s="9"/>
      <c r="P1354" s="12"/>
      <c r="Q1354" s="9"/>
      <c r="R1354" s="13"/>
      <c r="S1354" s="11"/>
      <c r="T1354" s="11"/>
      <c r="U1354" s="9"/>
      <c r="V1354" s="9"/>
      <c r="W1354" s="9"/>
      <c r="X1354" s="16"/>
      <c r="AF1354" s="42">
        <f>IF(BUSCAR!$C$8="FECHA NAC.",$G1354,IF(BUSCAR!$C$8="PASAPORTE EXPIRA",$J1354,IF(BUSCAR!$C$8="LICENCIA EMISION",$L1354,IF(BUSCAR!$C$8="LICENCIA EXPIRA",$M1354,""))))</f>
      </c>
      <c r="AG1354" s="42">
        <f>IF($B1354&amp;$C1354&amp;$D1354&amp;$E1354&amp;$H1354="",0,IF(AND(OR(BUSCAR!$J$5="",ISNUMBER(SEARCH(BUSCAR!$J$5,$AI1354))),OR(BUSCAR!$J$6="",ISNUMBER(SEARCH(BUSCAR!$J$6,$AI1354))),OR(BUSCAR!$J$8="",ISNUMBER(SEARCH(BUSCAR!$J$8,$AI1354))),OR(BUSCAR!$J$9="",ISNUMBER(SEARCH(BUSCAR!$J$9,$AI1354))),OR(NOT(BUSCAR!$J$2),AND(ISNUMBER($AF1354),$AF1354&gt;=BUSCAR!$J$3,$AF1354&lt;=BUSCAR!$J$4))),1,0))</f>
      </c>
      <c r="AH1354" s="42">
        <f t="shared" si="63"/>
      </c>
      <c r="AI1354" s="42">
        <f t="shared" si="64"/>
      </c>
    </row>
    <row r="1355" spans="1:35" x14ac:dyDescent="0.2">
      <c r="A1355" s="66">
        <f t="shared" si="65"/>
      </c>
      <c r="B1355" s="4"/>
      <c r="C1355" s="4"/>
      <c r="D1355" s="4"/>
      <c r="E1355" s="4"/>
      <c r="F1355" s="24"/>
      <c r="G1355" s="8"/>
      <c r="H1355" s="9"/>
      <c r="I1355" s="8"/>
      <c r="J1355" s="10"/>
      <c r="K1355" s="8"/>
      <c r="L1355" s="8"/>
      <c r="M1355" s="8"/>
      <c r="N1355" s="11"/>
      <c r="O1355" s="9"/>
      <c r="P1355" s="12"/>
      <c r="Q1355" s="9"/>
      <c r="R1355" s="13"/>
      <c r="S1355" s="11"/>
      <c r="T1355" s="11"/>
      <c r="U1355" s="9"/>
      <c r="V1355" s="9"/>
      <c r="W1355" s="9"/>
      <c r="X1355" s="16"/>
      <c r="AF1355" s="42">
        <f>IF(BUSCAR!$C$8="FECHA NAC.",$G1355,IF(BUSCAR!$C$8="PASAPORTE EXPIRA",$J1355,IF(BUSCAR!$C$8="LICENCIA EMISION",$L1355,IF(BUSCAR!$C$8="LICENCIA EXPIRA",$M1355,""))))</f>
      </c>
      <c r="AG1355" s="42">
        <f>IF($B1355&amp;$C1355&amp;$D1355&amp;$E1355&amp;$H1355="",0,IF(AND(OR(BUSCAR!$J$5="",ISNUMBER(SEARCH(BUSCAR!$J$5,$AI1355))),OR(BUSCAR!$J$6="",ISNUMBER(SEARCH(BUSCAR!$J$6,$AI1355))),OR(BUSCAR!$J$8="",ISNUMBER(SEARCH(BUSCAR!$J$8,$AI1355))),OR(BUSCAR!$J$9="",ISNUMBER(SEARCH(BUSCAR!$J$9,$AI1355))),OR(NOT(BUSCAR!$J$2),AND(ISNUMBER($AF1355),$AF1355&gt;=BUSCAR!$J$3,$AF1355&lt;=BUSCAR!$J$4))),1,0))</f>
      </c>
      <c r="AH1355" s="42">
        <f t="shared" si="63"/>
      </c>
      <c r="AI1355" s="42">
        <f t="shared" si="64"/>
      </c>
    </row>
    <row r="1356" spans="1:35" x14ac:dyDescent="0.2">
      <c r="A1356" s="66">
        <f t="shared" si="65"/>
      </c>
      <c r="B1356" s="4"/>
      <c r="C1356" s="4"/>
      <c r="D1356" s="4"/>
      <c r="E1356" s="4"/>
      <c r="F1356" s="24"/>
      <c r="G1356" s="8"/>
      <c r="H1356" s="9"/>
      <c r="I1356" s="8"/>
      <c r="J1356" s="10"/>
      <c r="K1356" s="8"/>
      <c r="L1356" s="8"/>
      <c r="M1356" s="8"/>
      <c r="N1356" s="11"/>
      <c r="O1356" s="9"/>
      <c r="P1356" s="12"/>
      <c r="Q1356" s="9"/>
      <c r="R1356" s="13"/>
      <c r="S1356" s="11"/>
      <c r="T1356" s="11"/>
      <c r="U1356" s="9"/>
      <c r="V1356" s="9"/>
      <c r="W1356" s="9"/>
      <c r="X1356" s="16"/>
      <c r="AF1356" s="42">
        <f>IF(BUSCAR!$C$8="FECHA NAC.",$G1356,IF(BUSCAR!$C$8="PASAPORTE EXPIRA",$J1356,IF(BUSCAR!$C$8="LICENCIA EMISION",$L1356,IF(BUSCAR!$C$8="LICENCIA EXPIRA",$M1356,""))))</f>
      </c>
      <c r="AG1356" s="42">
        <f>IF($B1356&amp;$C1356&amp;$D1356&amp;$E1356&amp;$H1356="",0,IF(AND(OR(BUSCAR!$J$5="",ISNUMBER(SEARCH(BUSCAR!$J$5,$AI1356))),OR(BUSCAR!$J$6="",ISNUMBER(SEARCH(BUSCAR!$J$6,$AI1356))),OR(BUSCAR!$J$8="",ISNUMBER(SEARCH(BUSCAR!$J$8,$AI1356))),OR(BUSCAR!$J$9="",ISNUMBER(SEARCH(BUSCAR!$J$9,$AI1356))),OR(NOT(BUSCAR!$J$2),AND(ISNUMBER($AF1356),$AF1356&gt;=BUSCAR!$J$3,$AF1356&lt;=BUSCAR!$J$4))),1,0))</f>
      </c>
      <c r="AH1356" s="42">
        <f t="shared" si="63"/>
      </c>
      <c r="AI1356" s="42">
        <f t="shared" si="64"/>
      </c>
    </row>
    <row r="1357" spans="1:35" x14ac:dyDescent="0.2">
      <c r="A1357" s="66">
        <f t="shared" si="65"/>
      </c>
      <c r="B1357" s="4"/>
      <c r="C1357" s="4"/>
      <c r="D1357" s="4"/>
      <c r="E1357" s="4"/>
      <c r="F1357" s="24"/>
      <c r="G1357" s="8"/>
      <c r="H1357" s="9"/>
      <c r="I1357" s="8"/>
      <c r="J1357" s="10"/>
      <c r="K1357" s="8"/>
      <c r="L1357" s="8"/>
      <c r="M1357" s="8"/>
      <c r="N1357" s="11"/>
      <c r="O1357" s="9"/>
      <c r="P1357" s="12"/>
      <c r="Q1357" s="9"/>
      <c r="R1357" s="13"/>
      <c r="S1357" s="11"/>
      <c r="T1357" s="11"/>
      <c r="U1357" s="9"/>
      <c r="V1357" s="9"/>
      <c r="W1357" s="9"/>
      <c r="X1357" s="16"/>
      <c r="AF1357" s="42">
        <f>IF(BUSCAR!$C$8="FECHA NAC.",$G1357,IF(BUSCAR!$C$8="PASAPORTE EXPIRA",$J1357,IF(BUSCAR!$C$8="LICENCIA EMISION",$L1357,IF(BUSCAR!$C$8="LICENCIA EXPIRA",$M1357,""))))</f>
      </c>
      <c r="AG1357" s="42">
        <f>IF($B1357&amp;$C1357&amp;$D1357&amp;$E1357&amp;$H1357="",0,IF(AND(OR(BUSCAR!$J$5="",ISNUMBER(SEARCH(BUSCAR!$J$5,$AI1357))),OR(BUSCAR!$J$6="",ISNUMBER(SEARCH(BUSCAR!$J$6,$AI1357))),OR(BUSCAR!$J$8="",ISNUMBER(SEARCH(BUSCAR!$J$8,$AI1357))),OR(BUSCAR!$J$9="",ISNUMBER(SEARCH(BUSCAR!$J$9,$AI1357))),OR(NOT(BUSCAR!$J$2),AND(ISNUMBER($AF1357),$AF1357&gt;=BUSCAR!$J$3,$AF1357&lt;=BUSCAR!$J$4))),1,0))</f>
      </c>
      <c r="AH1357" s="42">
        <f t="shared" si="63"/>
      </c>
      <c r="AI1357" s="42">
        <f t="shared" si="64"/>
      </c>
    </row>
    <row r="1358" spans="1:35" x14ac:dyDescent="0.2">
      <c r="A1358" s="66">
        <f t="shared" si="65"/>
      </c>
      <c r="B1358" s="4"/>
      <c r="C1358" s="4"/>
      <c r="D1358" s="4"/>
      <c r="E1358" s="4"/>
      <c r="F1358" s="24"/>
      <c r="G1358" s="8"/>
      <c r="H1358" s="9"/>
      <c r="I1358" s="8"/>
      <c r="J1358" s="10"/>
      <c r="K1358" s="8"/>
      <c r="L1358" s="8"/>
      <c r="M1358" s="8"/>
      <c r="N1358" s="11"/>
      <c r="O1358" s="9"/>
      <c r="P1358" s="12"/>
      <c r="Q1358" s="9"/>
      <c r="R1358" s="13"/>
      <c r="S1358" s="11"/>
      <c r="T1358" s="11"/>
      <c r="U1358" s="9"/>
      <c r="V1358" s="9"/>
      <c r="W1358" s="9"/>
      <c r="X1358" s="16"/>
      <c r="AF1358" s="42">
        <f>IF(BUSCAR!$C$8="FECHA NAC.",$G1358,IF(BUSCAR!$C$8="PASAPORTE EXPIRA",$J1358,IF(BUSCAR!$C$8="LICENCIA EMISION",$L1358,IF(BUSCAR!$C$8="LICENCIA EXPIRA",$M1358,""))))</f>
      </c>
      <c r="AG1358" s="42">
        <f>IF($B1358&amp;$C1358&amp;$D1358&amp;$E1358&amp;$H1358="",0,IF(AND(OR(BUSCAR!$J$5="",ISNUMBER(SEARCH(BUSCAR!$J$5,$AI1358))),OR(BUSCAR!$J$6="",ISNUMBER(SEARCH(BUSCAR!$J$6,$AI1358))),OR(BUSCAR!$J$8="",ISNUMBER(SEARCH(BUSCAR!$J$8,$AI1358))),OR(BUSCAR!$J$9="",ISNUMBER(SEARCH(BUSCAR!$J$9,$AI1358))),OR(NOT(BUSCAR!$J$2),AND(ISNUMBER($AF1358),$AF1358&gt;=BUSCAR!$J$3,$AF1358&lt;=BUSCAR!$J$4))),1,0))</f>
      </c>
      <c r="AH1358" s="42">
        <f t="shared" si="63"/>
      </c>
      <c r="AI1358" s="42">
        <f t="shared" si="64"/>
      </c>
    </row>
    <row r="1359" spans="1:35" x14ac:dyDescent="0.2">
      <c r="A1359" s="66">
        <f t="shared" si="65"/>
      </c>
      <c r="B1359" s="4"/>
      <c r="C1359" s="4"/>
      <c r="D1359" s="4"/>
      <c r="E1359" s="4"/>
      <c r="F1359" s="24"/>
      <c r="G1359" s="8"/>
      <c r="H1359" s="9"/>
      <c r="I1359" s="8"/>
      <c r="J1359" s="10"/>
      <c r="K1359" s="8"/>
      <c r="L1359" s="8"/>
      <c r="M1359" s="8"/>
      <c r="N1359" s="11"/>
      <c r="O1359" s="9"/>
      <c r="P1359" s="12"/>
      <c r="Q1359" s="9"/>
      <c r="R1359" s="13"/>
      <c r="S1359" s="11"/>
      <c r="T1359" s="11"/>
      <c r="U1359" s="9"/>
      <c r="V1359" s="9"/>
      <c r="W1359" s="9"/>
      <c r="X1359" s="16"/>
      <c r="AF1359" s="42">
        <f>IF(BUSCAR!$C$8="FECHA NAC.",$G1359,IF(BUSCAR!$C$8="PASAPORTE EXPIRA",$J1359,IF(BUSCAR!$C$8="LICENCIA EMISION",$L1359,IF(BUSCAR!$C$8="LICENCIA EXPIRA",$M1359,""))))</f>
      </c>
      <c r="AG1359" s="42">
        <f>IF($B1359&amp;$C1359&amp;$D1359&amp;$E1359&amp;$H1359="",0,IF(AND(OR(BUSCAR!$J$5="",ISNUMBER(SEARCH(BUSCAR!$J$5,$AI1359))),OR(BUSCAR!$J$6="",ISNUMBER(SEARCH(BUSCAR!$J$6,$AI1359))),OR(BUSCAR!$J$8="",ISNUMBER(SEARCH(BUSCAR!$J$8,$AI1359))),OR(BUSCAR!$J$9="",ISNUMBER(SEARCH(BUSCAR!$J$9,$AI1359))),OR(NOT(BUSCAR!$J$2),AND(ISNUMBER($AF1359),$AF1359&gt;=BUSCAR!$J$3,$AF1359&lt;=BUSCAR!$J$4))),1,0))</f>
      </c>
      <c r="AH1359" s="42">
        <f t="shared" si="63"/>
      </c>
      <c r="AI1359" s="42">
        <f t="shared" si="64"/>
      </c>
    </row>
    <row r="1360" spans="1:35" x14ac:dyDescent="0.2">
      <c r="A1360" s="66">
        <f t="shared" si="65"/>
      </c>
      <c r="B1360" s="4"/>
      <c r="C1360" s="4"/>
      <c r="D1360" s="4"/>
      <c r="E1360" s="4"/>
      <c r="F1360" s="24"/>
      <c r="G1360" s="8"/>
      <c r="H1360" s="9"/>
      <c r="I1360" s="8"/>
      <c r="J1360" s="10"/>
      <c r="K1360" s="8"/>
      <c r="L1360" s="8"/>
      <c r="M1360" s="8"/>
      <c r="N1360" s="11"/>
      <c r="O1360" s="9"/>
      <c r="P1360" s="12"/>
      <c r="Q1360" s="9"/>
      <c r="R1360" s="13"/>
      <c r="S1360" s="11"/>
      <c r="T1360" s="11"/>
      <c r="U1360" s="9"/>
      <c r="V1360" s="9"/>
      <c r="W1360" s="9"/>
      <c r="X1360" s="16"/>
      <c r="AF1360" s="42">
        <f>IF(BUSCAR!$C$8="FECHA NAC.",$G1360,IF(BUSCAR!$C$8="PASAPORTE EXPIRA",$J1360,IF(BUSCAR!$C$8="LICENCIA EMISION",$L1360,IF(BUSCAR!$C$8="LICENCIA EXPIRA",$M1360,""))))</f>
      </c>
      <c r="AG1360" s="42">
        <f>IF($B1360&amp;$C1360&amp;$D1360&amp;$E1360&amp;$H1360="",0,IF(AND(OR(BUSCAR!$J$5="",ISNUMBER(SEARCH(BUSCAR!$J$5,$AI1360))),OR(BUSCAR!$J$6="",ISNUMBER(SEARCH(BUSCAR!$J$6,$AI1360))),OR(BUSCAR!$J$8="",ISNUMBER(SEARCH(BUSCAR!$J$8,$AI1360))),OR(BUSCAR!$J$9="",ISNUMBER(SEARCH(BUSCAR!$J$9,$AI1360))),OR(NOT(BUSCAR!$J$2),AND(ISNUMBER($AF1360),$AF1360&gt;=BUSCAR!$J$3,$AF1360&lt;=BUSCAR!$J$4))),1,0))</f>
      </c>
      <c r="AH1360" s="42">
        <f t="shared" si="63"/>
      </c>
      <c r="AI1360" s="42">
        <f t="shared" si="64"/>
      </c>
    </row>
    <row r="1361" spans="1:35" x14ac:dyDescent="0.2">
      <c r="A1361" s="66">
        <f t="shared" si="65"/>
      </c>
      <c r="B1361" s="4"/>
      <c r="C1361" s="4"/>
      <c r="D1361" s="4"/>
      <c r="E1361" s="4"/>
      <c r="F1361" s="24"/>
      <c r="G1361" s="8"/>
      <c r="H1361" s="9"/>
      <c r="I1361" s="8"/>
      <c r="J1361" s="10"/>
      <c r="K1361" s="8"/>
      <c r="L1361" s="8"/>
      <c r="M1361" s="8"/>
      <c r="N1361" s="11"/>
      <c r="O1361" s="9"/>
      <c r="P1361" s="12"/>
      <c r="Q1361" s="9"/>
      <c r="R1361" s="13"/>
      <c r="S1361" s="11"/>
      <c r="T1361" s="11"/>
      <c r="U1361" s="9"/>
      <c r="V1361" s="9"/>
      <c r="W1361" s="9"/>
      <c r="X1361" s="16"/>
      <c r="AF1361" s="42">
        <f>IF(BUSCAR!$C$8="FECHA NAC.",$G1361,IF(BUSCAR!$C$8="PASAPORTE EXPIRA",$J1361,IF(BUSCAR!$C$8="LICENCIA EMISION",$L1361,IF(BUSCAR!$C$8="LICENCIA EXPIRA",$M1361,""))))</f>
      </c>
      <c r="AG1361" s="42">
        <f>IF($B1361&amp;$C1361&amp;$D1361&amp;$E1361&amp;$H1361="",0,IF(AND(OR(BUSCAR!$J$5="",ISNUMBER(SEARCH(BUSCAR!$J$5,$AI1361))),OR(BUSCAR!$J$6="",ISNUMBER(SEARCH(BUSCAR!$J$6,$AI1361))),OR(BUSCAR!$J$8="",ISNUMBER(SEARCH(BUSCAR!$J$8,$AI1361))),OR(BUSCAR!$J$9="",ISNUMBER(SEARCH(BUSCAR!$J$9,$AI1361))),OR(NOT(BUSCAR!$J$2),AND(ISNUMBER($AF1361),$AF1361&gt;=BUSCAR!$J$3,$AF1361&lt;=BUSCAR!$J$4))),1,0))</f>
      </c>
      <c r="AH1361" s="42">
        <f t="shared" si="63"/>
      </c>
      <c r="AI1361" s="42">
        <f t="shared" si="64"/>
      </c>
    </row>
    <row r="1362" spans="1:35" x14ac:dyDescent="0.2">
      <c r="A1362" s="66">
        <f t="shared" si="65"/>
      </c>
      <c r="B1362" s="4"/>
      <c r="C1362" s="4"/>
      <c r="D1362" s="4"/>
      <c r="E1362" s="4"/>
      <c r="F1362" s="24"/>
      <c r="G1362" s="8"/>
      <c r="H1362" s="9"/>
      <c r="I1362" s="8"/>
      <c r="J1362" s="10"/>
      <c r="K1362" s="8"/>
      <c r="L1362" s="8"/>
      <c r="M1362" s="8"/>
      <c r="N1362" s="11"/>
      <c r="O1362" s="9"/>
      <c r="P1362" s="12"/>
      <c r="Q1362" s="9"/>
      <c r="R1362" s="13"/>
      <c r="S1362" s="11"/>
      <c r="T1362" s="11"/>
      <c r="U1362" s="9"/>
      <c r="V1362" s="9"/>
      <c r="W1362" s="9"/>
      <c r="X1362" s="16"/>
      <c r="AF1362" s="42">
        <f>IF(BUSCAR!$C$8="FECHA NAC.",$G1362,IF(BUSCAR!$C$8="PASAPORTE EXPIRA",$J1362,IF(BUSCAR!$C$8="LICENCIA EMISION",$L1362,IF(BUSCAR!$C$8="LICENCIA EXPIRA",$M1362,""))))</f>
      </c>
      <c r="AG1362" s="42">
        <f>IF($B1362&amp;$C1362&amp;$D1362&amp;$E1362&amp;$H1362="",0,IF(AND(OR(BUSCAR!$J$5="",ISNUMBER(SEARCH(BUSCAR!$J$5,$AI1362))),OR(BUSCAR!$J$6="",ISNUMBER(SEARCH(BUSCAR!$J$6,$AI1362))),OR(BUSCAR!$J$8="",ISNUMBER(SEARCH(BUSCAR!$J$8,$AI1362))),OR(BUSCAR!$J$9="",ISNUMBER(SEARCH(BUSCAR!$J$9,$AI1362))),OR(NOT(BUSCAR!$J$2),AND(ISNUMBER($AF1362),$AF1362&gt;=BUSCAR!$J$3,$AF1362&lt;=BUSCAR!$J$4))),1,0))</f>
      </c>
      <c r="AH1362" s="42">
        <f t="shared" si="63"/>
      </c>
      <c r="AI1362" s="42">
        <f t="shared" si="64"/>
      </c>
    </row>
    <row r="1363" spans="1:35" x14ac:dyDescent="0.2">
      <c r="A1363" s="66">
        <f t="shared" si="65"/>
      </c>
      <c r="B1363" s="4"/>
      <c r="C1363" s="4"/>
      <c r="D1363" s="4"/>
      <c r="E1363" s="4"/>
      <c r="F1363" s="24"/>
      <c r="G1363" s="8"/>
      <c r="H1363" s="9"/>
      <c r="I1363" s="8"/>
      <c r="J1363" s="10"/>
      <c r="K1363" s="8"/>
      <c r="L1363" s="8"/>
      <c r="M1363" s="8"/>
      <c r="N1363" s="11"/>
      <c r="O1363" s="9"/>
      <c r="P1363" s="12"/>
      <c r="Q1363" s="9"/>
      <c r="R1363" s="13"/>
      <c r="S1363" s="11"/>
      <c r="T1363" s="11"/>
      <c r="U1363" s="9"/>
      <c r="V1363" s="9"/>
      <c r="W1363" s="9"/>
      <c r="X1363" s="16"/>
      <c r="AF1363" s="42">
        <f>IF(BUSCAR!$C$8="FECHA NAC.",$G1363,IF(BUSCAR!$C$8="PASAPORTE EXPIRA",$J1363,IF(BUSCAR!$C$8="LICENCIA EMISION",$L1363,IF(BUSCAR!$C$8="LICENCIA EXPIRA",$M1363,""))))</f>
      </c>
      <c r="AG1363" s="42">
        <f>IF($B1363&amp;$C1363&amp;$D1363&amp;$E1363&amp;$H1363="",0,IF(AND(OR(BUSCAR!$J$5="",ISNUMBER(SEARCH(BUSCAR!$J$5,$AI1363))),OR(BUSCAR!$J$6="",ISNUMBER(SEARCH(BUSCAR!$J$6,$AI1363))),OR(BUSCAR!$J$8="",ISNUMBER(SEARCH(BUSCAR!$J$8,$AI1363))),OR(BUSCAR!$J$9="",ISNUMBER(SEARCH(BUSCAR!$J$9,$AI1363))),OR(NOT(BUSCAR!$J$2),AND(ISNUMBER($AF1363),$AF1363&gt;=BUSCAR!$J$3,$AF1363&lt;=BUSCAR!$J$4))),1,0))</f>
      </c>
      <c r="AH1363" s="42">
        <f t="shared" si="63"/>
      </c>
      <c r="AI1363" s="42">
        <f t="shared" si="64"/>
      </c>
    </row>
    <row r="1364" spans="1:35" x14ac:dyDescent="0.2">
      <c r="A1364" s="66">
        <f t="shared" si="65"/>
      </c>
      <c r="B1364" s="4"/>
      <c r="C1364" s="4"/>
      <c r="D1364" s="4"/>
      <c r="E1364" s="4"/>
      <c r="F1364" s="24"/>
      <c r="G1364" s="8"/>
      <c r="H1364" s="9"/>
      <c r="I1364" s="8"/>
      <c r="J1364" s="10"/>
      <c r="K1364" s="8"/>
      <c r="L1364" s="8"/>
      <c r="M1364" s="8"/>
      <c r="N1364" s="11"/>
      <c r="O1364" s="9"/>
      <c r="P1364" s="12"/>
      <c r="Q1364" s="9"/>
      <c r="R1364" s="13"/>
      <c r="S1364" s="11"/>
      <c r="T1364" s="11"/>
      <c r="U1364" s="9"/>
      <c r="V1364" s="9"/>
      <c r="W1364" s="9"/>
      <c r="X1364" s="16"/>
      <c r="AF1364" s="42">
        <f>IF(BUSCAR!$C$8="FECHA NAC.",$G1364,IF(BUSCAR!$C$8="PASAPORTE EXPIRA",$J1364,IF(BUSCAR!$C$8="LICENCIA EMISION",$L1364,IF(BUSCAR!$C$8="LICENCIA EXPIRA",$M1364,""))))</f>
      </c>
      <c r="AG1364" s="42">
        <f>IF($B1364&amp;$C1364&amp;$D1364&amp;$E1364&amp;$H1364="",0,IF(AND(OR(BUSCAR!$J$5="",ISNUMBER(SEARCH(BUSCAR!$J$5,$AI1364))),OR(BUSCAR!$J$6="",ISNUMBER(SEARCH(BUSCAR!$J$6,$AI1364))),OR(BUSCAR!$J$8="",ISNUMBER(SEARCH(BUSCAR!$J$8,$AI1364))),OR(BUSCAR!$J$9="",ISNUMBER(SEARCH(BUSCAR!$J$9,$AI1364))),OR(NOT(BUSCAR!$J$2),AND(ISNUMBER($AF1364),$AF1364&gt;=BUSCAR!$J$3,$AF1364&lt;=BUSCAR!$J$4))),1,0))</f>
      </c>
      <c r="AH1364" s="42">
        <f t="shared" si="63"/>
      </c>
      <c r="AI1364" s="42">
        <f t="shared" si="64"/>
      </c>
    </row>
    <row r="1365" spans="1:35" x14ac:dyDescent="0.2">
      <c r="A1365" s="66">
        <f t="shared" si="65"/>
      </c>
      <c r="B1365" s="4"/>
      <c r="C1365" s="4"/>
      <c r="D1365" s="4"/>
      <c r="E1365" s="4"/>
      <c r="F1365" s="24"/>
      <c r="G1365" s="8"/>
      <c r="H1365" s="9"/>
      <c r="I1365" s="8"/>
      <c r="J1365" s="10"/>
      <c r="K1365" s="8"/>
      <c r="L1365" s="8"/>
      <c r="M1365" s="8"/>
      <c r="N1365" s="11"/>
      <c r="O1365" s="9"/>
      <c r="P1365" s="12"/>
      <c r="Q1365" s="9"/>
      <c r="R1365" s="13"/>
      <c r="S1365" s="11"/>
      <c r="T1365" s="11"/>
      <c r="U1365" s="9"/>
      <c r="V1365" s="9"/>
      <c r="W1365" s="9"/>
      <c r="X1365" s="16"/>
      <c r="AF1365" s="42">
        <f>IF(BUSCAR!$C$8="FECHA NAC.",$G1365,IF(BUSCAR!$C$8="PASAPORTE EXPIRA",$J1365,IF(BUSCAR!$C$8="LICENCIA EMISION",$L1365,IF(BUSCAR!$C$8="LICENCIA EXPIRA",$M1365,""))))</f>
      </c>
      <c r="AG1365" s="42">
        <f>IF($B1365&amp;$C1365&amp;$D1365&amp;$E1365&amp;$H1365="",0,IF(AND(OR(BUSCAR!$J$5="",ISNUMBER(SEARCH(BUSCAR!$J$5,$AI1365))),OR(BUSCAR!$J$6="",ISNUMBER(SEARCH(BUSCAR!$J$6,$AI1365))),OR(BUSCAR!$J$8="",ISNUMBER(SEARCH(BUSCAR!$J$8,$AI1365))),OR(BUSCAR!$J$9="",ISNUMBER(SEARCH(BUSCAR!$J$9,$AI1365))),OR(NOT(BUSCAR!$J$2),AND(ISNUMBER($AF1365),$AF1365&gt;=BUSCAR!$J$3,$AF1365&lt;=BUSCAR!$J$4))),1,0))</f>
      </c>
      <c r="AH1365" s="42">
        <f t="shared" si="63"/>
      </c>
      <c r="AI1365" s="42">
        <f t="shared" si="64"/>
      </c>
    </row>
    <row r="1366" spans="1:35" x14ac:dyDescent="0.2">
      <c r="A1366" s="66">
        <f t="shared" si="65"/>
      </c>
      <c r="B1366" s="4"/>
      <c r="C1366" s="4"/>
      <c r="D1366" s="4"/>
      <c r="E1366" s="4"/>
      <c r="F1366" s="24"/>
      <c r="G1366" s="8"/>
      <c r="H1366" s="9"/>
      <c r="I1366" s="8"/>
      <c r="J1366" s="10"/>
      <c r="K1366" s="8"/>
      <c r="L1366" s="8"/>
      <c r="M1366" s="8"/>
      <c r="N1366" s="11"/>
      <c r="O1366" s="9"/>
      <c r="P1366" s="12"/>
      <c r="Q1366" s="9"/>
      <c r="R1366" s="13"/>
      <c r="S1366" s="11"/>
      <c r="T1366" s="11"/>
      <c r="U1366" s="9"/>
      <c r="V1366" s="9"/>
      <c r="W1366" s="9"/>
      <c r="X1366" s="16"/>
      <c r="AF1366" s="42">
        <f>IF(BUSCAR!$C$8="FECHA NAC.",$G1366,IF(BUSCAR!$C$8="PASAPORTE EXPIRA",$J1366,IF(BUSCAR!$C$8="LICENCIA EMISION",$L1366,IF(BUSCAR!$C$8="LICENCIA EXPIRA",$M1366,""))))</f>
      </c>
      <c r="AG1366" s="42">
        <f>IF($B1366&amp;$C1366&amp;$D1366&amp;$E1366&amp;$H1366="",0,IF(AND(OR(BUSCAR!$J$5="",ISNUMBER(SEARCH(BUSCAR!$J$5,$AI1366))),OR(BUSCAR!$J$6="",ISNUMBER(SEARCH(BUSCAR!$J$6,$AI1366))),OR(BUSCAR!$J$8="",ISNUMBER(SEARCH(BUSCAR!$J$8,$AI1366))),OR(BUSCAR!$J$9="",ISNUMBER(SEARCH(BUSCAR!$J$9,$AI1366))),OR(NOT(BUSCAR!$J$2),AND(ISNUMBER($AF1366),$AF1366&gt;=BUSCAR!$J$3,$AF1366&lt;=BUSCAR!$J$4))),1,0))</f>
      </c>
      <c r="AH1366" s="42">
        <f t="shared" si="63"/>
      </c>
      <c r="AI1366" s="42">
        <f t="shared" si="64"/>
      </c>
    </row>
    <row r="1367" spans="1:35" x14ac:dyDescent="0.2">
      <c r="A1367" s="66">
        <f t="shared" si="65"/>
      </c>
      <c r="B1367" s="4"/>
      <c r="C1367" s="4"/>
      <c r="D1367" s="4"/>
      <c r="E1367" s="4"/>
      <c r="F1367" s="24"/>
      <c r="G1367" s="8"/>
      <c r="H1367" s="9"/>
      <c r="I1367" s="8"/>
      <c r="J1367" s="10"/>
      <c r="K1367" s="8"/>
      <c r="L1367" s="8"/>
      <c r="M1367" s="8"/>
      <c r="N1367" s="11"/>
      <c r="O1367" s="9"/>
      <c r="P1367" s="12"/>
      <c r="Q1367" s="9"/>
      <c r="R1367" s="13"/>
      <c r="S1367" s="11"/>
      <c r="T1367" s="11"/>
      <c r="U1367" s="9"/>
      <c r="V1367" s="9"/>
      <c r="W1367" s="9"/>
      <c r="X1367" s="16"/>
      <c r="AF1367" s="42">
        <f>IF(BUSCAR!$C$8="FECHA NAC.",$G1367,IF(BUSCAR!$C$8="PASAPORTE EXPIRA",$J1367,IF(BUSCAR!$C$8="LICENCIA EMISION",$L1367,IF(BUSCAR!$C$8="LICENCIA EXPIRA",$M1367,""))))</f>
      </c>
      <c r="AG1367" s="42">
        <f>IF($B1367&amp;$C1367&amp;$D1367&amp;$E1367&amp;$H1367="",0,IF(AND(OR(BUSCAR!$J$5="",ISNUMBER(SEARCH(BUSCAR!$J$5,$AI1367))),OR(BUSCAR!$J$6="",ISNUMBER(SEARCH(BUSCAR!$J$6,$AI1367))),OR(BUSCAR!$J$8="",ISNUMBER(SEARCH(BUSCAR!$J$8,$AI1367))),OR(BUSCAR!$J$9="",ISNUMBER(SEARCH(BUSCAR!$J$9,$AI1367))),OR(NOT(BUSCAR!$J$2),AND(ISNUMBER($AF1367),$AF1367&gt;=BUSCAR!$J$3,$AF1367&lt;=BUSCAR!$J$4))),1,0))</f>
      </c>
      <c r="AH1367" s="42">
        <f t="shared" si="63"/>
      </c>
      <c r="AI1367" s="42">
        <f t="shared" si="64"/>
      </c>
    </row>
    <row r="1368" spans="1:35" x14ac:dyDescent="0.2">
      <c r="A1368" s="66">
        <f t="shared" si="65"/>
      </c>
      <c r="B1368" s="4"/>
      <c r="C1368" s="4"/>
      <c r="D1368" s="4"/>
      <c r="E1368" s="4"/>
      <c r="F1368" s="24"/>
      <c r="G1368" s="8"/>
      <c r="H1368" s="27"/>
      <c r="I1368" s="8"/>
      <c r="J1368" s="10"/>
      <c r="K1368" s="8"/>
      <c r="L1368" s="8"/>
      <c r="M1368" s="8"/>
      <c r="N1368" s="11"/>
      <c r="O1368" s="9"/>
      <c r="P1368" s="12"/>
      <c r="Q1368" s="9"/>
      <c r="R1368" s="13"/>
      <c r="S1368" s="11"/>
      <c r="T1368" s="11"/>
      <c r="U1368" s="9"/>
      <c r="V1368" s="9"/>
      <c r="W1368" s="9"/>
      <c r="X1368" s="16"/>
      <c r="AF1368" s="42">
        <f>IF(BUSCAR!$C$8="FECHA NAC.",$G1368,IF(BUSCAR!$C$8="PASAPORTE EXPIRA",$J1368,IF(BUSCAR!$C$8="LICENCIA EMISION",$L1368,IF(BUSCAR!$C$8="LICENCIA EXPIRA",$M1368,""))))</f>
      </c>
      <c r="AG1368" s="42">
        <f>IF($B1368&amp;$C1368&amp;$D1368&amp;$E1368&amp;$H1368="",0,IF(AND(OR(BUSCAR!$J$5="",ISNUMBER(SEARCH(BUSCAR!$J$5,$AI1368))),OR(BUSCAR!$J$6="",ISNUMBER(SEARCH(BUSCAR!$J$6,$AI1368))),OR(BUSCAR!$J$8="",ISNUMBER(SEARCH(BUSCAR!$J$8,$AI1368))),OR(BUSCAR!$J$9="",ISNUMBER(SEARCH(BUSCAR!$J$9,$AI1368))),OR(NOT(BUSCAR!$J$2),AND(ISNUMBER($AF1368),$AF1368&gt;=BUSCAR!$J$3,$AF1368&lt;=BUSCAR!$J$4))),1,0))</f>
      </c>
      <c r="AH1368" s="42">
        <f t="shared" si="63"/>
      </c>
      <c r="AI1368" s="42">
        <f t="shared" si="64"/>
      </c>
    </row>
    <row r="1369" spans="1:35" x14ac:dyDescent="0.2">
      <c r="A1369" s="66">
        <f t="shared" si="65"/>
      </c>
      <c r="B1369" s="4"/>
      <c r="C1369" s="4"/>
      <c r="D1369" s="4"/>
      <c r="E1369" s="4"/>
      <c r="F1369" s="24"/>
      <c r="G1369" s="8"/>
      <c r="H1369" s="9"/>
      <c r="I1369" s="8"/>
      <c r="J1369" s="10"/>
      <c r="K1369" s="8"/>
      <c r="L1369" s="8"/>
      <c r="M1369" s="8"/>
      <c r="N1369" s="11"/>
      <c r="O1369" s="9"/>
      <c r="P1369" s="12"/>
      <c r="Q1369" s="9"/>
      <c r="R1369" s="13"/>
      <c r="S1369" s="11"/>
      <c r="T1369" s="11"/>
      <c r="U1369" s="9"/>
      <c r="V1369" s="9"/>
      <c r="W1369" s="9"/>
      <c r="X1369" s="16"/>
      <c r="AF1369" s="42">
        <f>IF(BUSCAR!$C$8="FECHA NAC.",$G1369,IF(BUSCAR!$C$8="PASAPORTE EXPIRA",$J1369,IF(BUSCAR!$C$8="LICENCIA EMISION",$L1369,IF(BUSCAR!$C$8="LICENCIA EXPIRA",$M1369,""))))</f>
      </c>
      <c r="AG1369" s="42">
        <f>IF($B1369&amp;$C1369&amp;$D1369&amp;$E1369&amp;$H1369="",0,IF(AND(OR(BUSCAR!$J$5="",ISNUMBER(SEARCH(BUSCAR!$J$5,$AI1369))),OR(BUSCAR!$J$6="",ISNUMBER(SEARCH(BUSCAR!$J$6,$AI1369))),OR(BUSCAR!$J$8="",ISNUMBER(SEARCH(BUSCAR!$J$8,$AI1369))),OR(BUSCAR!$J$9="",ISNUMBER(SEARCH(BUSCAR!$J$9,$AI1369))),OR(NOT(BUSCAR!$J$2),AND(ISNUMBER($AF1369),$AF1369&gt;=BUSCAR!$J$3,$AF1369&lt;=BUSCAR!$J$4))),1,0))</f>
      </c>
      <c r="AH1369" s="42">
        <f t="shared" si="63"/>
      </c>
      <c r="AI1369" s="42">
        <f t="shared" si="64"/>
      </c>
    </row>
    <row r="1370" spans="1:35" x14ac:dyDescent="0.2">
      <c r="A1370" s="66">
        <f t="shared" si="65"/>
      </c>
      <c r="B1370" s="4"/>
      <c r="C1370" s="4"/>
      <c r="D1370" s="4"/>
      <c r="E1370" s="4"/>
      <c r="F1370" s="24"/>
      <c r="G1370" s="8"/>
      <c r="H1370" s="9"/>
      <c r="I1370" s="8"/>
      <c r="J1370" s="10"/>
      <c r="K1370" s="8"/>
      <c r="L1370" s="8"/>
      <c r="M1370" s="8"/>
      <c r="N1370" s="11"/>
      <c r="O1370" s="9"/>
      <c r="P1370" s="12"/>
      <c r="Q1370" s="9"/>
      <c r="R1370" s="13"/>
      <c r="S1370" s="11"/>
      <c r="T1370" s="11"/>
      <c r="U1370" s="9"/>
      <c r="V1370" s="9"/>
      <c r="W1370" s="9"/>
      <c r="X1370" s="16"/>
      <c r="AF1370" s="42">
        <f>IF(BUSCAR!$C$8="FECHA NAC.",$G1370,IF(BUSCAR!$C$8="PASAPORTE EXPIRA",$J1370,IF(BUSCAR!$C$8="LICENCIA EMISION",$L1370,IF(BUSCAR!$C$8="LICENCIA EXPIRA",$M1370,""))))</f>
      </c>
      <c r="AG1370" s="42">
        <f>IF($B1370&amp;$C1370&amp;$D1370&amp;$E1370&amp;$H1370="",0,IF(AND(OR(BUSCAR!$J$5="",ISNUMBER(SEARCH(BUSCAR!$J$5,$AI1370))),OR(BUSCAR!$J$6="",ISNUMBER(SEARCH(BUSCAR!$J$6,$AI1370))),OR(BUSCAR!$J$8="",ISNUMBER(SEARCH(BUSCAR!$J$8,$AI1370))),OR(BUSCAR!$J$9="",ISNUMBER(SEARCH(BUSCAR!$J$9,$AI1370))),OR(NOT(BUSCAR!$J$2),AND(ISNUMBER($AF1370),$AF1370&gt;=BUSCAR!$J$3,$AF1370&lt;=BUSCAR!$J$4))),1,0))</f>
      </c>
      <c r="AH1370" s="42">
        <f t="shared" si="63"/>
      </c>
      <c r="AI1370" s="42">
        <f t="shared" si="64"/>
      </c>
    </row>
    <row r="1371" spans="1:35" x14ac:dyDescent="0.2">
      <c r="A1371" s="66">
        <f t="shared" si="65"/>
      </c>
      <c r="B1371" s="4"/>
      <c r="C1371" s="4"/>
      <c r="D1371" s="4"/>
      <c r="E1371" s="4"/>
      <c r="F1371" s="24"/>
      <c r="G1371" s="8"/>
      <c r="H1371" s="9"/>
      <c r="I1371" s="8"/>
      <c r="J1371" s="10"/>
      <c r="K1371" s="8"/>
      <c r="L1371" s="8"/>
      <c r="M1371" s="8"/>
      <c r="N1371" s="11"/>
      <c r="O1371" s="9"/>
      <c r="P1371" s="12"/>
      <c r="Q1371" s="9"/>
      <c r="R1371" s="13"/>
      <c r="S1371" s="11"/>
      <c r="T1371" s="11"/>
      <c r="U1371" s="9"/>
      <c r="V1371" s="9"/>
      <c r="W1371" s="9"/>
      <c r="X1371" s="16"/>
      <c r="AF1371" s="42">
        <f>IF(BUSCAR!$C$8="FECHA NAC.",$G1371,IF(BUSCAR!$C$8="PASAPORTE EXPIRA",$J1371,IF(BUSCAR!$C$8="LICENCIA EMISION",$L1371,IF(BUSCAR!$C$8="LICENCIA EXPIRA",$M1371,""))))</f>
      </c>
      <c r="AG1371" s="42">
        <f>IF($B1371&amp;$C1371&amp;$D1371&amp;$E1371&amp;$H1371="",0,IF(AND(OR(BUSCAR!$J$5="",ISNUMBER(SEARCH(BUSCAR!$J$5,$AI1371))),OR(BUSCAR!$J$6="",ISNUMBER(SEARCH(BUSCAR!$J$6,$AI1371))),OR(BUSCAR!$J$8="",ISNUMBER(SEARCH(BUSCAR!$J$8,$AI1371))),OR(BUSCAR!$J$9="",ISNUMBER(SEARCH(BUSCAR!$J$9,$AI1371))),OR(NOT(BUSCAR!$J$2),AND(ISNUMBER($AF1371),$AF1371&gt;=BUSCAR!$J$3,$AF1371&lt;=BUSCAR!$J$4))),1,0))</f>
      </c>
      <c r="AH1371" s="42">
        <f t="shared" si="63"/>
      </c>
      <c r="AI1371" s="42">
        <f t="shared" si="64"/>
      </c>
    </row>
    <row r="1372" spans="1:35" x14ac:dyDescent="0.2">
      <c r="A1372" s="66">
        <f t="shared" si="65"/>
      </c>
      <c r="B1372" s="4"/>
      <c r="C1372" s="4"/>
      <c r="D1372" s="4"/>
      <c r="E1372" s="4"/>
      <c r="F1372" s="24"/>
      <c r="G1372" s="8"/>
      <c r="H1372" s="9"/>
      <c r="I1372" s="8"/>
      <c r="J1372" s="10"/>
      <c r="K1372" s="8"/>
      <c r="L1372" s="8"/>
      <c r="M1372" s="8"/>
      <c r="N1372" s="11"/>
      <c r="O1372" s="9"/>
      <c r="P1372" s="12"/>
      <c r="Q1372" s="9"/>
      <c r="R1372" s="13"/>
      <c r="S1372" s="11"/>
      <c r="T1372" s="11"/>
      <c r="U1372" s="9"/>
      <c r="V1372" s="9"/>
      <c r="W1372" s="9"/>
      <c r="X1372" s="16"/>
      <c r="AF1372" s="42">
        <f>IF(BUSCAR!$C$8="FECHA NAC.",$G1372,IF(BUSCAR!$C$8="PASAPORTE EXPIRA",$J1372,IF(BUSCAR!$C$8="LICENCIA EMISION",$L1372,IF(BUSCAR!$C$8="LICENCIA EXPIRA",$M1372,""))))</f>
      </c>
      <c r="AG1372" s="42">
        <f>IF($B1372&amp;$C1372&amp;$D1372&amp;$E1372&amp;$H1372="",0,IF(AND(OR(BUSCAR!$J$5="",ISNUMBER(SEARCH(BUSCAR!$J$5,$AI1372))),OR(BUSCAR!$J$6="",ISNUMBER(SEARCH(BUSCAR!$J$6,$AI1372))),OR(BUSCAR!$J$8="",ISNUMBER(SEARCH(BUSCAR!$J$8,$AI1372))),OR(BUSCAR!$J$9="",ISNUMBER(SEARCH(BUSCAR!$J$9,$AI1372))),OR(NOT(BUSCAR!$J$2),AND(ISNUMBER($AF1372),$AF1372&gt;=BUSCAR!$J$3,$AF1372&lt;=BUSCAR!$J$4))),1,0))</f>
      </c>
      <c r="AH1372" s="42">
        <f t="shared" si="63"/>
      </c>
      <c r="AI1372" s="42">
        <f t="shared" si="64"/>
      </c>
    </row>
    <row r="1373" spans="1:35" x14ac:dyDescent="0.2">
      <c r="A1373" s="66">
        <f t="shared" si="65"/>
      </c>
      <c r="B1373" s="4"/>
      <c r="C1373" s="4"/>
      <c r="D1373" s="4"/>
      <c r="E1373" s="4"/>
      <c r="F1373" s="24"/>
      <c r="G1373" s="8"/>
      <c r="H1373" s="9"/>
      <c r="I1373" s="8"/>
      <c r="J1373" s="10"/>
      <c r="K1373" s="8"/>
      <c r="L1373" s="8"/>
      <c r="M1373" s="8"/>
      <c r="N1373" s="11"/>
      <c r="O1373" s="9"/>
      <c r="P1373" s="12"/>
      <c r="Q1373" s="9"/>
      <c r="R1373" s="13"/>
      <c r="S1373" s="11"/>
      <c r="T1373" s="11"/>
      <c r="U1373" s="9"/>
      <c r="V1373" s="9"/>
      <c r="W1373" s="9"/>
      <c r="X1373" s="16"/>
      <c r="AF1373" s="42">
        <f>IF(BUSCAR!$C$8="FECHA NAC.",$G1373,IF(BUSCAR!$C$8="PASAPORTE EXPIRA",$J1373,IF(BUSCAR!$C$8="LICENCIA EMISION",$L1373,IF(BUSCAR!$C$8="LICENCIA EXPIRA",$M1373,""))))</f>
      </c>
      <c r="AG1373" s="42">
        <f>IF($B1373&amp;$C1373&amp;$D1373&amp;$E1373&amp;$H1373="",0,IF(AND(OR(BUSCAR!$J$5="",ISNUMBER(SEARCH(BUSCAR!$J$5,$AI1373))),OR(BUSCAR!$J$6="",ISNUMBER(SEARCH(BUSCAR!$J$6,$AI1373))),OR(BUSCAR!$J$8="",ISNUMBER(SEARCH(BUSCAR!$J$8,$AI1373))),OR(BUSCAR!$J$9="",ISNUMBER(SEARCH(BUSCAR!$J$9,$AI1373))),OR(NOT(BUSCAR!$J$2),AND(ISNUMBER($AF1373),$AF1373&gt;=BUSCAR!$J$3,$AF1373&lt;=BUSCAR!$J$4))),1,0))</f>
      </c>
      <c r="AH1373" s="42">
        <f t="shared" si="63"/>
      </c>
      <c r="AI1373" s="42">
        <f t="shared" si="64"/>
      </c>
    </row>
    <row r="1374" spans="1:35" x14ac:dyDescent="0.2">
      <c r="A1374" s="66">
        <f t="shared" si="65"/>
      </c>
      <c r="B1374" s="4"/>
      <c r="C1374" s="4"/>
      <c r="D1374" s="4"/>
      <c r="E1374" s="4"/>
      <c r="F1374" s="24"/>
      <c r="G1374" s="8"/>
      <c r="H1374" s="9"/>
      <c r="I1374" s="8"/>
      <c r="J1374" s="10"/>
      <c r="K1374" s="8"/>
      <c r="L1374" s="8"/>
      <c r="M1374" s="8"/>
      <c r="N1374" s="11"/>
      <c r="O1374" s="9"/>
      <c r="P1374" s="12"/>
      <c r="Q1374" s="9"/>
      <c r="R1374" s="13"/>
      <c r="S1374" s="11"/>
      <c r="T1374" s="11"/>
      <c r="U1374" s="9"/>
      <c r="V1374" s="9"/>
      <c r="W1374" s="9"/>
      <c r="X1374" s="16"/>
      <c r="AF1374" s="42">
        <f>IF(BUSCAR!$C$8="FECHA NAC.",$G1374,IF(BUSCAR!$C$8="PASAPORTE EXPIRA",$J1374,IF(BUSCAR!$C$8="LICENCIA EMISION",$L1374,IF(BUSCAR!$C$8="LICENCIA EXPIRA",$M1374,""))))</f>
      </c>
      <c r="AG1374" s="42">
        <f>IF($B1374&amp;$C1374&amp;$D1374&amp;$E1374&amp;$H1374="",0,IF(AND(OR(BUSCAR!$J$5="",ISNUMBER(SEARCH(BUSCAR!$J$5,$AI1374))),OR(BUSCAR!$J$6="",ISNUMBER(SEARCH(BUSCAR!$J$6,$AI1374))),OR(BUSCAR!$J$8="",ISNUMBER(SEARCH(BUSCAR!$J$8,$AI1374))),OR(BUSCAR!$J$9="",ISNUMBER(SEARCH(BUSCAR!$J$9,$AI1374))),OR(NOT(BUSCAR!$J$2),AND(ISNUMBER($AF1374),$AF1374&gt;=BUSCAR!$J$3,$AF1374&lt;=BUSCAR!$J$4))),1,0))</f>
      </c>
      <c r="AH1374" s="42">
        <f t="shared" si="63"/>
      </c>
      <c r="AI1374" s="42">
        <f t="shared" si="64"/>
      </c>
    </row>
    <row r="1375" spans="1:35" x14ac:dyDescent="0.2">
      <c r="A1375" s="66">
        <f t="shared" si="65"/>
      </c>
      <c r="B1375" s="4"/>
      <c r="C1375" s="4"/>
      <c r="D1375" s="4"/>
      <c r="E1375" s="4"/>
      <c r="F1375" s="24"/>
      <c r="G1375" s="8"/>
      <c r="H1375" s="9"/>
      <c r="I1375" s="8"/>
      <c r="J1375" s="10"/>
      <c r="K1375" s="8"/>
      <c r="L1375" s="8"/>
      <c r="M1375" s="8"/>
      <c r="N1375" s="11"/>
      <c r="O1375" s="9"/>
      <c r="P1375" s="12"/>
      <c r="Q1375" s="9"/>
      <c r="R1375" s="13"/>
      <c r="S1375" s="11"/>
      <c r="T1375" s="11"/>
      <c r="U1375" s="9"/>
      <c r="V1375" s="9"/>
      <c r="W1375" s="9"/>
      <c r="X1375" s="16"/>
      <c r="AF1375" s="42">
        <f>IF(BUSCAR!$C$8="FECHA NAC.",$G1375,IF(BUSCAR!$C$8="PASAPORTE EXPIRA",$J1375,IF(BUSCAR!$C$8="LICENCIA EMISION",$L1375,IF(BUSCAR!$C$8="LICENCIA EXPIRA",$M1375,""))))</f>
      </c>
      <c r="AG1375" s="42">
        <f>IF($B1375&amp;$C1375&amp;$D1375&amp;$E1375&amp;$H1375="",0,IF(AND(OR(BUSCAR!$J$5="",ISNUMBER(SEARCH(BUSCAR!$J$5,$AI1375))),OR(BUSCAR!$J$6="",ISNUMBER(SEARCH(BUSCAR!$J$6,$AI1375))),OR(BUSCAR!$J$8="",ISNUMBER(SEARCH(BUSCAR!$J$8,$AI1375))),OR(BUSCAR!$J$9="",ISNUMBER(SEARCH(BUSCAR!$J$9,$AI1375))),OR(NOT(BUSCAR!$J$2),AND(ISNUMBER($AF1375),$AF1375&gt;=BUSCAR!$J$3,$AF1375&lt;=BUSCAR!$J$4))),1,0))</f>
      </c>
      <c r="AH1375" s="42">
        <f t="shared" si="63"/>
      </c>
      <c r="AI1375" s="42">
        <f t="shared" si="64"/>
      </c>
    </row>
    <row r="1376" spans="1:35" x14ac:dyDescent="0.2">
      <c r="A1376" s="66">
        <f t="shared" si="65"/>
      </c>
      <c r="B1376" s="4"/>
      <c r="C1376" s="4"/>
      <c r="D1376" s="4"/>
      <c r="E1376" s="4"/>
      <c r="F1376" s="24"/>
      <c r="G1376" s="8"/>
      <c r="H1376" s="9"/>
      <c r="I1376" s="8"/>
      <c r="J1376" s="10"/>
      <c r="K1376" s="8"/>
      <c r="L1376" s="8"/>
      <c r="M1376" s="8"/>
      <c r="N1376" s="11"/>
      <c r="O1376" s="9"/>
      <c r="P1376" s="12"/>
      <c r="Q1376" s="9"/>
      <c r="R1376" s="13"/>
      <c r="S1376" s="11"/>
      <c r="T1376" s="11"/>
      <c r="U1376" s="9"/>
      <c r="V1376" s="9"/>
      <c r="W1376" s="9"/>
      <c r="X1376" s="16"/>
      <c r="AF1376" s="42">
        <f>IF(BUSCAR!$C$8="FECHA NAC.",$G1376,IF(BUSCAR!$C$8="PASAPORTE EXPIRA",$J1376,IF(BUSCAR!$C$8="LICENCIA EMISION",$L1376,IF(BUSCAR!$C$8="LICENCIA EXPIRA",$M1376,""))))</f>
      </c>
      <c r="AG1376" s="42">
        <f>IF($B1376&amp;$C1376&amp;$D1376&amp;$E1376&amp;$H1376="",0,IF(AND(OR(BUSCAR!$J$5="",ISNUMBER(SEARCH(BUSCAR!$J$5,$AI1376))),OR(BUSCAR!$J$6="",ISNUMBER(SEARCH(BUSCAR!$J$6,$AI1376))),OR(BUSCAR!$J$8="",ISNUMBER(SEARCH(BUSCAR!$J$8,$AI1376))),OR(BUSCAR!$J$9="",ISNUMBER(SEARCH(BUSCAR!$J$9,$AI1376))),OR(NOT(BUSCAR!$J$2),AND(ISNUMBER($AF1376),$AF1376&gt;=BUSCAR!$J$3,$AF1376&lt;=BUSCAR!$J$4))),1,0))</f>
      </c>
      <c r="AH1376" s="42">
        <f t="shared" si="63"/>
      </c>
      <c r="AI1376" s="42">
        <f t="shared" si="64"/>
      </c>
    </row>
    <row r="1377" spans="1:35" x14ac:dyDescent="0.2">
      <c r="A1377" s="66">
        <f t="shared" si="65"/>
      </c>
      <c r="B1377" s="4"/>
      <c r="C1377" s="4"/>
      <c r="D1377" s="4"/>
      <c r="E1377" s="4"/>
      <c r="F1377" s="24"/>
      <c r="G1377" s="8"/>
      <c r="H1377" s="9"/>
      <c r="I1377" s="8"/>
      <c r="J1377" s="10"/>
      <c r="K1377" s="8"/>
      <c r="L1377" s="8"/>
      <c r="M1377" s="8"/>
      <c r="N1377" s="11"/>
      <c r="O1377" s="9"/>
      <c r="P1377" s="12"/>
      <c r="Q1377" s="9"/>
      <c r="R1377" s="13"/>
      <c r="S1377" s="11"/>
      <c r="T1377" s="11"/>
      <c r="U1377" s="9"/>
      <c r="V1377" s="9"/>
      <c r="W1377" s="9"/>
      <c r="X1377" s="16"/>
      <c r="AF1377" s="42">
        <f>IF(BUSCAR!$C$8="FECHA NAC.",$G1377,IF(BUSCAR!$C$8="PASAPORTE EXPIRA",$J1377,IF(BUSCAR!$C$8="LICENCIA EMISION",$L1377,IF(BUSCAR!$C$8="LICENCIA EXPIRA",$M1377,""))))</f>
      </c>
      <c r="AG1377" s="42">
        <f>IF($B1377&amp;$C1377&amp;$D1377&amp;$E1377&amp;$H1377="",0,IF(AND(OR(BUSCAR!$J$5="",ISNUMBER(SEARCH(BUSCAR!$J$5,$AI1377))),OR(BUSCAR!$J$6="",ISNUMBER(SEARCH(BUSCAR!$J$6,$AI1377))),OR(BUSCAR!$J$8="",ISNUMBER(SEARCH(BUSCAR!$J$8,$AI1377))),OR(BUSCAR!$J$9="",ISNUMBER(SEARCH(BUSCAR!$J$9,$AI1377))),OR(NOT(BUSCAR!$J$2),AND(ISNUMBER($AF1377),$AF1377&gt;=BUSCAR!$J$3,$AF1377&lt;=BUSCAR!$J$4))),1,0))</f>
      </c>
      <c r="AH1377" s="42">
        <f t="shared" si="63"/>
      </c>
      <c r="AI1377" s="42">
        <f t="shared" si="64"/>
      </c>
    </row>
    <row r="1378" spans="1:35" x14ac:dyDescent="0.2">
      <c r="A1378" s="66">
        <f t="shared" si="65"/>
      </c>
      <c r="B1378" s="4"/>
      <c r="C1378" s="4"/>
      <c r="D1378" s="4"/>
      <c r="E1378" s="4"/>
      <c r="F1378" s="24"/>
      <c r="G1378" s="8"/>
      <c r="H1378" s="9"/>
      <c r="I1378" s="8"/>
      <c r="J1378" s="10"/>
      <c r="K1378" s="8"/>
      <c r="L1378" s="8"/>
      <c r="M1378" s="8"/>
      <c r="N1378" s="11"/>
      <c r="O1378" s="9"/>
      <c r="P1378" s="12"/>
      <c r="Q1378" s="9"/>
      <c r="R1378" s="13"/>
      <c r="S1378" s="11"/>
      <c r="T1378" s="11"/>
      <c r="U1378" s="9"/>
      <c r="V1378" s="9"/>
      <c r="W1378" s="9"/>
      <c r="X1378" s="16"/>
      <c r="AF1378" s="42">
        <f>IF(BUSCAR!$C$8="FECHA NAC.",$G1378,IF(BUSCAR!$C$8="PASAPORTE EXPIRA",$J1378,IF(BUSCAR!$C$8="LICENCIA EMISION",$L1378,IF(BUSCAR!$C$8="LICENCIA EXPIRA",$M1378,""))))</f>
      </c>
      <c r="AG1378" s="42">
        <f>IF($B1378&amp;$C1378&amp;$D1378&amp;$E1378&amp;$H1378="",0,IF(AND(OR(BUSCAR!$J$5="",ISNUMBER(SEARCH(BUSCAR!$J$5,$AI1378))),OR(BUSCAR!$J$6="",ISNUMBER(SEARCH(BUSCAR!$J$6,$AI1378))),OR(BUSCAR!$J$8="",ISNUMBER(SEARCH(BUSCAR!$J$8,$AI1378))),OR(BUSCAR!$J$9="",ISNUMBER(SEARCH(BUSCAR!$J$9,$AI1378))),OR(NOT(BUSCAR!$J$2),AND(ISNUMBER($AF1378),$AF1378&gt;=BUSCAR!$J$3,$AF1378&lt;=BUSCAR!$J$4))),1,0))</f>
      </c>
      <c r="AH1378" s="42">
        <f t="shared" si="63"/>
      </c>
      <c r="AI1378" s="42">
        <f t="shared" si="64"/>
      </c>
    </row>
    <row r="1379" spans="1:35" x14ac:dyDescent="0.2">
      <c r="A1379" s="66">
        <f t="shared" si="65"/>
      </c>
      <c r="B1379" s="4"/>
      <c r="C1379" s="4"/>
      <c r="D1379" s="4"/>
      <c r="E1379" s="4"/>
      <c r="F1379" s="24"/>
      <c r="G1379" s="8"/>
      <c r="H1379" s="9"/>
      <c r="I1379" s="8"/>
      <c r="J1379" s="10"/>
      <c r="K1379" s="8"/>
      <c r="L1379" s="8"/>
      <c r="M1379" s="8"/>
      <c r="N1379" s="11"/>
      <c r="O1379" s="9"/>
      <c r="P1379" s="12"/>
      <c r="Q1379" s="9"/>
      <c r="R1379" s="13"/>
      <c r="S1379" s="11"/>
      <c r="T1379" s="11"/>
      <c r="U1379" s="9"/>
      <c r="V1379" s="9"/>
      <c r="W1379" s="9"/>
      <c r="X1379" s="16"/>
      <c r="AF1379" s="42">
        <f>IF(BUSCAR!$C$8="FECHA NAC.",$G1379,IF(BUSCAR!$C$8="PASAPORTE EXPIRA",$J1379,IF(BUSCAR!$C$8="LICENCIA EMISION",$L1379,IF(BUSCAR!$C$8="LICENCIA EXPIRA",$M1379,""))))</f>
      </c>
      <c r="AG1379" s="42">
        <f>IF($B1379&amp;$C1379&amp;$D1379&amp;$E1379&amp;$H1379="",0,IF(AND(OR(BUSCAR!$J$5="",ISNUMBER(SEARCH(BUSCAR!$J$5,$AI1379))),OR(BUSCAR!$J$6="",ISNUMBER(SEARCH(BUSCAR!$J$6,$AI1379))),OR(BUSCAR!$J$8="",ISNUMBER(SEARCH(BUSCAR!$J$8,$AI1379))),OR(BUSCAR!$J$9="",ISNUMBER(SEARCH(BUSCAR!$J$9,$AI1379))),OR(NOT(BUSCAR!$J$2),AND(ISNUMBER($AF1379),$AF1379&gt;=BUSCAR!$J$3,$AF1379&lt;=BUSCAR!$J$4))),1,0))</f>
      </c>
      <c r="AH1379" s="42">
        <f t="shared" si="63"/>
      </c>
      <c r="AI1379" s="42">
        <f t="shared" si="64"/>
      </c>
    </row>
    <row r="1380" spans="1:35" x14ac:dyDescent="0.2">
      <c r="A1380" s="66">
        <f t="shared" si="65"/>
      </c>
      <c r="B1380" s="4"/>
      <c r="C1380" s="4"/>
      <c r="D1380" s="4"/>
      <c r="E1380" s="4"/>
      <c r="F1380" s="24"/>
      <c r="G1380" s="8"/>
      <c r="H1380" s="9"/>
      <c r="I1380" s="8"/>
      <c r="J1380" s="10"/>
      <c r="K1380" s="8"/>
      <c r="L1380" s="8"/>
      <c r="M1380" s="8"/>
      <c r="N1380" s="11"/>
      <c r="O1380" s="9"/>
      <c r="P1380" s="12"/>
      <c r="Q1380" s="9"/>
      <c r="R1380" s="13"/>
      <c r="S1380" s="11"/>
      <c r="T1380" s="11"/>
      <c r="U1380" s="9"/>
      <c r="V1380" s="9"/>
      <c r="W1380" s="9"/>
      <c r="X1380" s="16"/>
      <c r="AF1380" s="42">
        <f>IF(BUSCAR!$C$8="FECHA NAC.",$G1380,IF(BUSCAR!$C$8="PASAPORTE EXPIRA",$J1380,IF(BUSCAR!$C$8="LICENCIA EMISION",$L1380,IF(BUSCAR!$C$8="LICENCIA EXPIRA",$M1380,""))))</f>
      </c>
      <c r="AG1380" s="42">
        <f>IF($B1380&amp;$C1380&amp;$D1380&amp;$E1380&amp;$H1380="",0,IF(AND(OR(BUSCAR!$J$5="",ISNUMBER(SEARCH(BUSCAR!$J$5,$AI1380))),OR(BUSCAR!$J$6="",ISNUMBER(SEARCH(BUSCAR!$J$6,$AI1380))),OR(BUSCAR!$J$8="",ISNUMBER(SEARCH(BUSCAR!$J$8,$AI1380))),OR(BUSCAR!$J$9="",ISNUMBER(SEARCH(BUSCAR!$J$9,$AI1380))),OR(NOT(BUSCAR!$J$2),AND(ISNUMBER($AF1380),$AF1380&gt;=BUSCAR!$J$3,$AF1380&lt;=BUSCAR!$J$4))),1,0))</f>
      </c>
      <c r="AH1380" s="42">
        <f t="shared" si="63"/>
      </c>
      <c r="AI1380" s="42">
        <f t="shared" si="64"/>
      </c>
    </row>
    <row r="1381" spans="1:35" x14ac:dyDescent="0.2">
      <c r="A1381" s="66">
        <f t="shared" si="65"/>
      </c>
      <c r="B1381" s="4"/>
      <c r="C1381" s="4"/>
      <c r="D1381" s="4"/>
      <c r="E1381" s="4"/>
      <c r="F1381" s="24"/>
      <c r="G1381" s="8"/>
      <c r="H1381" s="9"/>
      <c r="I1381" s="8"/>
      <c r="J1381" s="10"/>
      <c r="K1381" s="8"/>
      <c r="L1381" s="8"/>
      <c r="M1381" s="8"/>
      <c r="N1381" s="11"/>
      <c r="O1381" s="9"/>
      <c r="P1381" s="12"/>
      <c r="Q1381" s="9"/>
      <c r="R1381" s="13"/>
      <c r="S1381" s="11"/>
      <c r="T1381" s="11"/>
      <c r="U1381" s="9"/>
      <c r="V1381" s="9"/>
      <c r="W1381" s="9"/>
      <c r="X1381" s="16"/>
      <c r="AF1381" s="42">
        <f>IF(BUSCAR!$C$8="FECHA NAC.",$G1381,IF(BUSCAR!$C$8="PASAPORTE EXPIRA",$J1381,IF(BUSCAR!$C$8="LICENCIA EMISION",$L1381,IF(BUSCAR!$C$8="LICENCIA EXPIRA",$M1381,""))))</f>
      </c>
      <c r="AG1381" s="42">
        <f>IF($B1381&amp;$C1381&amp;$D1381&amp;$E1381&amp;$H1381="",0,IF(AND(OR(BUSCAR!$J$5="",ISNUMBER(SEARCH(BUSCAR!$J$5,$AI1381))),OR(BUSCAR!$J$6="",ISNUMBER(SEARCH(BUSCAR!$J$6,$AI1381))),OR(BUSCAR!$J$8="",ISNUMBER(SEARCH(BUSCAR!$J$8,$AI1381))),OR(BUSCAR!$J$9="",ISNUMBER(SEARCH(BUSCAR!$J$9,$AI1381))),OR(NOT(BUSCAR!$J$2),AND(ISNUMBER($AF1381),$AF1381&gt;=BUSCAR!$J$3,$AF1381&lt;=BUSCAR!$J$4))),1,0))</f>
      </c>
      <c r="AH1381" s="42">
        <f t="shared" si="63"/>
      </c>
      <c r="AI1381" s="42">
        <f t="shared" si="64"/>
      </c>
    </row>
    <row r="1382" spans="1:35" x14ac:dyDescent="0.2">
      <c r="A1382" s="66">
        <f t="shared" si="65"/>
      </c>
      <c r="B1382" s="4"/>
      <c r="C1382" s="4"/>
      <c r="D1382" s="4"/>
      <c r="E1382" s="4"/>
      <c r="F1382" s="24"/>
      <c r="G1382" s="8"/>
      <c r="H1382" s="9"/>
      <c r="I1382" s="8"/>
      <c r="J1382" s="10"/>
      <c r="K1382" s="8"/>
      <c r="L1382" s="8"/>
      <c r="M1382" s="8"/>
      <c r="N1382" s="11"/>
      <c r="O1382" s="9"/>
      <c r="P1382" s="12"/>
      <c r="Q1382" s="9"/>
      <c r="R1382" s="13"/>
      <c r="S1382" s="11"/>
      <c r="T1382" s="11"/>
      <c r="U1382" s="9"/>
      <c r="V1382" s="9"/>
      <c r="W1382" s="9"/>
      <c r="X1382" s="16"/>
      <c r="AF1382" s="42">
        <f>IF(BUSCAR!$C$8="FECHA NAC.",$G1382,IF(BUSCAR!$C$8="PASAPORTE EXPIRA",$J1382,IF(BUSCAR!$C$8="LICENCIA EMISION",$L1382,IF(BUSCAR!$C$8="LICENCIA EXPIRA",$M1382,""))))</f>
      </c>
      <c r="AG1382" s="42">
        <f>IF($B1382&amp;$C1382&amp;$D1382&amp;$E1382&amp;$H1382="",0,IF(AND(OR(BUSCAR!$J$5="",ISNUMBER(SEARCH(BUSCAR!$J$5,$AI1382))),OR(BUSCAR!$J$6="",ISNUMBER(SEARCH(BUSCAR!$J$6,$AI1382))),OR(BUSCAR!$J$8="",ISNUMBER(SEARCH(BUSCAR!$J$8,$AI1382))),OR(BUSCAR!$J$9="",ISNUMBER(SEARCH(BUSCAR!$J$9,$AI1382))),OR(NOT(BUSCAR!$J$2),AND(ISNUMBER($AF1382),$AF1382&gt;=BUSCAR!$J$3,$AF1382&lt;=BUSCAR!$J$4))),1,0))</f>
      </c>
      <c r="AH1382" s="42">
        <f t="shared" si="63"/>
      </c>
      <c r="AI1382" s="42">
        <f t="shared" si="64"/>
      </c>
    </row>
    <row r="1383" spans="1:35" x14ac:dyDescent="0.2">
      <c r="A1383" s="66">
        <f t="shared" si="65"/>
      </c>
      <c r="B1383" s="4"/>
      <c r="C1383" s="4"/>
      <c r="D1383" s="4"/>
      <c r="E1383" s="4"/>
      <c r="F1383" s="24"/>
      <c r="G1383" s="8"/>
      <c r="H1383" s="9"/>
      <c r="I1383" s="8"/>
      <c r="J1383" s="10"/>
      <c r="K1383" s="8"/>
      <c r="L1383" s="8"/>
      <c r="M1383" s="8"/>
      <c r="N1383" s="11"/>
      <c r="O1383" s="9"/>
      <c r="P1383" s="12"/>
      <c r="Q1383" s="9"/>
      <c r="R1383" s="9"/>
      <c r="S1383" s="11"/>
      <c r="T1383" s="11"/>
      <c r="U1383" s="9"/>
      <c r="V1383" s="9"/>
      <c r="W1383" s="9"/>
      <c r="X1383" s="16"/>
      <c r="AF1383" s="42">
        <f>IF(BUSCAR!$C$8="FECHA NAC.",$G1383,IF(BUSCAR!$C$8="PASAPORTE EXPIRA",$J1383,IF(BUSCAR!$C$8="LICENCIA EMISION",$L1383,IF(BUSCAR!$C$8="LICENCIA EXPIRA",$M1383,""))))</f>
      </c>
      <c r="AG1383" s="42">
        <f>IF($B1383&amp;$C1383&amp;$D1383&amp;$E1383&amp;$H1383="",0,IF(AND(OR(BUSCAR!$J$5="",ISNUMBER(SEARCH(BUSCAR!$J$5,$AI1383))),OR(BUSCAR!$J$6="",ISNUMBER(SEARCH(BUSCAR!$J$6,$AI1383))),OR(BUSCAR!$J$8="",ISNUMBER(SEARCH(BUSCAR!$J$8,$AI1383))),OR(BUSCAR!$J$9="",ISNUMBER(SEARCH(BUSCAR!$J$9,$AI1383))),OR(NOT(BUSCAR!$J$2),AND(ISNUMBER($AF1383),$AF1383&gt;=BUSCAR!$J$3,$AF1383&lt;=BUSCAR!$J$4))),1,0))</f>
      </c>
      <c r="AH1383" s="42">
        <f t="shared" si="63"/>
      </c>
      <c r="AI1383" s="42">
        <f t="shared" si="64"/>
      </c>
    </row>
    <row r="1384" spans="1:35" x14ac:dyDescent="0.2">
      <c r="A1384" s="66">
        <f t="shared" si="65"/>
      </c>
      <c r="B1384" s="4"/>
      <c r="C1384" s="4"/>
      <c r="D1384" s="4"/>
      <c r="E1384" s="4"/>
      <c r="F1384" s="24"/>
      <c r="G1384" s="8"/>
      <c r="H1384" s="9"/>
      <c r="I1384" s="8"/>
      <c r="J1384" s="10"/>
      <c r="K1384" s="8"/>
      <c r="L1384" s="8"/>
      <c r="M1384" s="8"/>
      <c r="N1384" s="11"/>
      <c r="O1384" s="9"/>
      <c r="P1384" s="12"/>
      <c r="Q1384" s="9"/>
      <c r="R1384" s="13"/>
      <c r="S1384" s="11"/>
      <c r="T1384" s="11"/>
      <c r="U1384" s="9"/>
      <c r="V1384" s="9"/>
      <c r="W1384" s="9"/>
      <c r="X1384" s="16"/>
      <c r="AF1384" s="42">
        <f>IF(BUSCAR!$C$8="FECHA NAC.",$G1384,IF(BUSCAR!$C$8="PASAPORTE EXPIRA",$J1384,IF(BUSCAR!$C$8="LICENCIA EMISION",$L1384,IF(BUSCAR!$C$8="LICENCIA EXPIRA",$M1384,""))))</f>
      </c>
      <c r="AG1384" s="42">
        <f>IF($B1384&amp;$C1384&amp;$D1384&amp;$E1384&amp;$H1384="",0,IF(AND(OR(BUSCAR!$J$5="",ISNUMBER(SEARCH(BUSCAR!$J$5,$AI1384))),OR(BUSCAR!$J$6="",ISNUMBER(SEARCH(BUSCAR!$J$6,$AI1384))),OR(BUSCAR!$J$8="",ISNUMBER(SEARCH(BUSCAR!$J$8,$AI1384))),OR(BUSCAR!$J$9="",ISNUMBER(SEARCH(BUSCAR!$J$9,$AI1384))),OR(NOT(BUSCAR!$J$2),AND(ISNUMBER($AF1384),$AF1384&gt;=BUSCAR!$J$3,$AF1384&lt;=BUSCAR!$J$4))),1,0))</f>
      </c>
      <c r="AH1384" s="42">
        <f t="shared" si="63"/>
      </c>
      <c r="AI1384" s="42">
        <f t="shared" si="64"/>
      </c>
    </row>
    <row r="1385" spans="1:35" x14ac:dyDescent="0.2">
      <c r="A1385" s="66">
        <f t="shared" si="65"/>
      </c>
      <c r="B1385" s="4"/>
      <c r="C1385" s="4"/>
      <c r="D1385" s="4"/>
      <c r="E1385" s="4"/>
      <c r="F1385" s="24"/>
      <c r="G1385" s="8"/>
      <c r="H1385" s="9"/>
      <c r="I1385" s="8"/>
      <c r="J1385" s="10"/>
      <c r="K1385" s="8"/>
      <c r="L1385" s="8"/>
      <c r="M1385" s="8"/>
      <c r="N1385" s="11"/>
      <c r="O1385" s="9"/>
      <c r="P1385" s="12"/>
      <c r="Q1385" s="9"/>
      <c r="R1385" s="13"/>
      <c r="S1385" s="11"/>
      <c r="T1385" s="11"/>
      <c r="U1385" s="9"/>
      <c r="V1385" s="9"/>
      <c r="W1385" s="9"/>
      <c r="X1385" s="16"/>
      <c r="AF1385" s="42">
        <f>IF(BUSCAR!$C$8="FECHA NAC.",$G1385,IF(BUSCAR!$C$8="PASAPORTE EXPIRA",$J1385,IF(BUSCAR!$C$8="LICENCIA EMISION",$L1385,IF(BUSCAR!$C$8="LICENCIA EXPIRA",$M1385,""))))</f>
      </c>
      <c r="AG1385" s="42">
        <f>IF($B1385&amp;$C1385&amp;$D1385&amp;$E1385&amp;$H1385="",0,IF(AND(OR(BUSCAR!$J$5="",ISNUMBER(SEARCH(BUSCAR!$J$5,$AI1385))),OR(BUSCAR!$J$6="",ISNUMBER(SEARCH(BUSCAR!$J$6,$AI1385))),OR(BUSCAR!$J$8="",ISNUMBER(SEARCH(BUSCAR!$J$8,$AI1385))),OR(BUSCAR!$J$9="",ISNUMBER(SEARCH(BUSCAR!$J$9,$AI1385))),OR(NOT(BUSCAR!$J$2),AND(ISNUMBER($AF1385),$AF1385&gt;=BUSCAR!$J$3,$AF1385&lt;=BUSCAR!$J$4))),1,0))</f>
      </c>
      <c r="AH1385" s="42">
        <f t="shared" si="63"/>
      </c>
      <c r="AI1385" s="42">
        <f t="shared" si="64"/>
      </c>
    </row>
    <row r="1386" spans="1:35" x14ac:dyDescent="0.2">
      <c r="A1386" s="66">
        <f t="shared" si="65"/>
      </c>
      <c r="B1386" s="4"/>
      <c r="C1386" s="4"/>
      <c r="D1386" s="4"/>
      <c r="E1386" s="4"/>
      <c r="F1386" s="24"/>
      <c r="G1386" s="8"/>
      <c r="H1386" s="9"/>
      <c r="I1386" s="8"/>
      <c r="J1386" s="10"/>
      <c r="K1386" s="8"/>
      <c r="L1386" s="8"/>
      <c r="M1386" s="8"/>
      <c r="N1386" s="11"/>
      <c r="O1386" s="9"/>
      <c r="P1386" s="12"/>
      <c r="Q1386" s="9"/>
      <c r="R1386" s="13"/>
      <c r="S1386" s="11"/>
      <c r="T1386" s="11"/>
      <c r="U1386" s="9"/>
      <c r="V1386" s="9"/>
      <c r="W1386" s="9"/>
      <c r="X1386" s="16"/>
      <c r="AF1386" s="42">
        <f>IF(BUSCAR!$C$8="FECHA NAC.",$G1386,IF(BUSCAR!$C$8="PASAPORTE EXPIRA",$J1386,IF(BUSCAR!$C$8="LICENCIA EMISION",$L1386,IF(BUSCAR!$C$8="LICENCIA EXPIRA",$M1386,""))))</f>
      </c>
      <c r="AG1386" s="42">
        <f>IF($B1386&amp;$C1386&amp;$D1386&amp;$E1386&amp;$H1386="",0,IF(AND(OR(BUSCAR!$J$5="",ISNUMBER(SEARCH(BUSCAR!$J$5,$AI1386))),OR(BUSCAR!$J$6="",ISNUMBER(SEARCH(BUSCAR!$J$6,$AI1386))),OR(BUSCAR!$J$8="",ISNUMBER(SEARCH(BUSCAR!$J$8,$AI1386))),OR(BUSCAR!$J$9="",ISNUMBER(SEARCH(BUSCAR!$J$9,$AI1386))),OR(NOT(BUSCAR!$J$2),AND(ISNUMBER($AF1386),$AF1386&gt;=BUSCAR!$J$3,$AF1386&lt;=BUSCAR!$J$4))),1,0))</f>
      </c>
      <c r="AH1386" s="42">
        <f t="shared" si="63"/>
      </c>
      <c r="AI1386" s="42">
        <f t="shared" si="64"/>
      </c>
    </row>
    <row r="1387" spans="1:35" x14ac:dyDescent="0.2">
      <c r="A1387" s="66">
        <f t="shared" si="65"/>
      </c>
      <c r="B1387" s="4"/>
      <c r="C1387" s="4"/>
      <c r="D1387" s="4"/>
      <c r="E1387" s="4"/>
      <c r="F1387" s="24"/>
      <c r="G1387" s="8"/>
      <c r="H1387" s="9"/>
      <c r="I1387" s="8"/>
      <c r="J1387" s="10"/>
      <c r="K1387" s="8"/>
      <c r="L1387" s="8"/>
      <c r="M1387" s="8"/>
      <c r="N1387" s="11"/>
      <c r="O1387" s="9"/>
      <c r="P1387" s="12"/>
      <c r="Q1387" s="9"/>
      <c r="R1387" s="13"/>
      <c r="S1387" s="11"/>
      <c r="T1387" s="11"/>
      <c r="U1387" s="9"/>
      <c r="V1387" s="9"/>
      <c r="W1387" s="9"/>
      <c r="X1387" s="16"/>
      <c r="AF1387" s="42">
        <f>IF(BUSCAR!$C$8="FECHA NAC.",$G1387,IF(BUSCAR!$C$8="PASAPORTE EXPIRA",$J1387,IF(BUSCAR!$C$8="LICENCIA EMISION",$L1387,IF(BUSCAR!$C$8="LICENCIA EXPIRA",$M1387,""))))</f>
      </c>
      <c r="AG1387" s="42">
        <f>IF($B1387&amp;$C1387&amp;$D1387&amp;$E1387&amp;$H1387="",0,IF(AND(OR(BUSCAR!$J$5="",ISNUMBER(SEARCH(BUSCAR!$J$5,$AI1387))),OR(BUSCAR!$J$6="",ISNUMBER(SEARCH(BUSCAR!$J$6,$AI1387))),OR(BUSCAR!$J$8="",ISNUMBER(SEARCH(BUSCAR!$J$8,$AI1387))),OR(BUSCAR!$J$9="",ISNUMBER(SEARCH(BUSCAR!$J$9,$AI1387))),OR(NOT(BUSCAR!$J$2),AND(ISNUMBER($AF1387),$AF1387&gt;=BUSCAR!$J$3,$AF1387&lt;=BUSCAR!$J$4))),1,0))</f>
      </c>
      <c r="AH1387" s="42">
        <f t="shared" si="63"/>
      </c>
      <c r="AI1387" s="42">
        <f t="shared" si="64"/>
      </c>
    </row>
    <row r="1388" spans="1:35" x14ac:dyDescent="0.2">
      <c r="A1388" s="66">
        <f t="shared" si="65"/>
      </c>
      <c r="B1388" s="4"/>
      <c r="C1388" s="4"/>
      <c r="D1388" s="4"/>
      <c r="E1388" s="4"/>
      <c r="F1388" s="24"/>
      <c r="G1388" s="8"/>
      <c r="H1388" s="9"/>
      <c r="I1388" s="8"/>
      <c r="J1388" s="10"/>
      <c r="K1388" s="8"/>
      <c r="L1388" s="8"/>
      <c r="M1388" s="8"/>
      <c r="N1388" s="11"/>
      <c r="O1388" s="9"/>
      <c r="P1388" s="12"/>
      <c r="Q1388" s="9"/>
      <c r="R1388" s="13"/>
      <c r="S1388" s="11"/>
      <c r="T1388" s="11"/>
      <c r="U1388" s="9"/>
      <c r="V1388" s="9"/>
      <c r="W1388" s="9"/>
      <c r="X1388" s="16"/>
      <c r="AF1388" s="42">
        <f>IF(BUSCAR!$C$8="FECHA NAC.",$G1388,IF(BUSCAR!$C$8="PASAPORTE EXPIRA",$J1388,IF(BUSCAR!$C$8="LICENCIA EMISION",$L1388,IF(BUSCAR!$C$8="LICENCIA EXPIRA",$M1388,""))))</f>
      </c>
      <c r="AG1388" s="42">
        <f>IF($B1388&amp;$C1388&amp;$D1388&amp;$E1388&amp;$H1388="",0,IF(AND(OR(BUSCAR!$J$5="",ISNUMBER(SEARCH(BUSCAR!$J$5,$AI1388))),OR(BUSCAR!$J$6="",ISNUMBER(SEARCH(BUSCAR!$J$6,$AI1388))),OR(BUSCAR!$J$8="",ISNUMBER(SEARCH(BUSCAR!$J$8,$AI1388))),OR(BUSCAR!$J$9="",ISNUMBER(SEARCH(BUSCAR!$J$9,$AI1388))),OR(NOT(BUSCAR!$J$2),AND(ISNUMBER($AF1388),$AF1388&gt;=BUSCAR!$J$3,$AF1388&lt;=BUSCAR!$J$4))),1,0))</f>
      </c>
      <c r="AH1388" s="42">
        <f t="shared" si="63"/>
      </c>
      <c r="AI1388" s="42">
        <f t="shared" si="64"/>
      </c>
    </row>
    <row r="1389" spans="1:35" x14ac:dyDescent="0.2">
      <c r="A1389" s="66">
        <f t="shared" si="65"/>
      </c>
      <c r="B1389" s="4"/>
      <c r="C1389" s="4"/>
      <c r="D1389" s="4"/>
      <c r="E1389" s="4"/>
      <c r="F1389" s="24"/>
      <c r="G1389" s="8"/>
      <c r="H1389" s="9"/>
      <c r="I1389" s="8"/>
      <c r="J1389" s="10"/>
      <c r="K1389" s="8"/>
      <c r="L1389" s="8"/>
      <c r="M1389" s="8"/>
      <c r="N1389" s="11"/>
      <c r="O1389" s="9"/>
      <c r="P1389" s="12"/>
      <c r="Q1389" s="9"/>
      <c r="R1389" s="13"/>
      <c r="S1389" s="11"/>
      <c r="T1389" s="11"/>
      <c r="U1389" s="9"/>
      <c r="V1389" s="9"/>
      <c r="W1389" s="9"/>
      <c r="X1389" s="16"/>
      <c r="AF1389" s="42">
        <f>IF(BUSCAR!$C$8="FECHA NAC.",$G1389,IF(BUSCAR!$C$8="PASAPORTE EXPIRA",$J1389,IF(BUSCAR!$C$8="LICENCIA EMISION",$L1389,IF(BUSCAR!$C$8="LICENCIA EXPIRA",$M1389,""))))</f>
      </c>
      <c r="AG1389" s="42">
        <f>IF($B1389&amp;$C1389&amp;$D1389&amp;$E1389&amp;$H1389="",0,IF(AND(OR(BUSCAR!$J$5="",ISNUMBER(SEARCH(BUSCAR!$J$5,$AI1389))),OR(BUSCAR!$J$6="",ISNUMBER(SEARCH(BUSCAR!$J$6,$AI1389))),OR(BUSCAR!$J$8="",ISNUMBER(SEARCH(BUSCAR!$J$8,$AI1389))),OR(BUSCAR!$J$9="",ISNUMBER(SEARCH(BUSCAR!$J$9,$AI1389))),OR(NOT(BUSCAR!$J$2),AND(ISNUMBER($AF1389),$AF1389&gt;=BUSCAR!$J$3,$AF1389&lt;=BUSCAR!$J$4))),1,0))</f>
      </c>
      <c r="AH1389" s="42">
        <f t="shared" si="63"/>
      </c>
      <c r="AI1389" s="42">
        <f t="shared" si="64"/>
      </c>
    </row>
    <row r="1390" spans="1:35" x14ac:dyDescent="0.2">
      <c r="A1390" s="66">
        <f t="shared" si="65"/>
      </c>
      <c r="B1390" s="4"/>
      <c r="C1390" s="4"/>
      <c r="D1390" s="4"/>
      <c r="E1390" s="4"/>
      <c r="F1390" s="24"/>
      <c r="G1390" s="8"/>
      <c r="H1390" s="9"/>
      <c r="I1390" s="8"/>
      <c r="J1390" s="10"/>
      <c r="K1390" s="8"/>
      <c r="L1390" s="8"/>
      <c r="M1390" s="8"/>
      <c r="N1390" s="11"/>
      <c r="O1390" s="9"/>
      <c r="P1390" s="12"/>
      <c r="Q1390" s="9"/>
      <c r="R1390" s="13"/>
      <c r="S1390" s="11"/>
      <c r="T1390" s="11"/>
      <c r="U1390" s="9"/>
      <c r="V1390" s="9"/>
      <c r="W1390" s="9"/>
      <c r="X1390" s="16"/>
      <c r="AF1390" s="42">
        <f>IF(BUSCAR!$C$8="FECHA NAC.",$G1390,IF(BUSCAR!$C$8="PASAPORTE EXPIRA",$J1390,IF(BUSCAR!$C$8="LICENCIA EMISION",$L1390,IF(BUSCAR!$C$8="LICENCIA EXPIRA",$M1390,""))))</f>
      </c>
      <c r="AG1390" s="42">
        <f>IF($B1390&amp;$C1390&amp;$D1390&amp;$E1390&amp;$H1390="",0,IF(AND(OR(BUSCAR!$J$5="",ISNUMBER(SEARCH(BUSCAR!$J$5,$AI1390))),OR(BUSCAR!$J$6="",ISNUMBER(SEARCH(BUSCAR!$J$6,$AI1390))),OR(BUSCAR!$J$8="",ISNUMBER(SEARCH(BUSCAR!$J$8,$AI1390))),OR(BUSCAR!$J$9="",ISNUMBER(SEARCH(BUSCAR!$J$9,$AI1390))),OR(NOT(BUSCAR!$J$2),AND(ISNUMBER($AF1390),$AF1390&gt;=BUSCAR!$J$3,$AF1390&lt;=BUSCAR!$J$4))),1,0))</f>
      </c>
      <c r="AH1390" s="42">
        <f t="shared" si="63"/>
      </c>
      <c r="AI1390" s="42">
        <f t="shared" si="64"/>
      </c>
    </row>
    <row r="1391" spans="1:35" x14ac:dyDescent="0.2">
      <c r="A1391" s="66">
        <f t="shared" si="65"/>
      </c>
      <c r="B1391" s="4"/>
      <c r="C1391" s="4"/>
      <c r="D1391" s="4"/>
      <c r="E1391" s="4"/>
      <c r="F1391" s="24"/>
      <c r="G1391" s="8"/>
      <c r="H1391" s="9"/>
      <c r="I1391" s="8"/>
      <c r="J1391" s="10"/>
      <c r="K1391" s="8"/>
      <c r="L1391" s="8"/>
      <c r="M1391" s="8"/>
      <c r="N1391" s="11"/>
      <c r="O1391" s="9"/>
      <c r="P1391" s="12"/>
      <c r="Q1391" s="9"/>
      <c r="R1391" s="13"/>
      <c r="S1391" s="11"/>
      <c r="T1391" s="11"/>
      <c r="U1391" s="9"/>
      <c r="V1391" s="9"/>
      <c r="W1391" s="9"/>
      <c r="X1391" s="16"/>
      <c r="AF1391" s="42">
        <f>IF(BUSCAR!$C$8="FECHA NAC.",$G1391,IF(BUSCAR!$C$8="PASAPORTE EXPIRA",$J1391,IF(BUSCAR!$C$8="LICENCIA EMISION",$L1391,IF(BUSCAR!$C$8="LICENCIA EXPIRA",$M1391,""))))</f>
      </c>
      <c r="AG1391" s="42">
        <f>IF($B1391&amp;$C1391&amp;$D1391&amp;$E1391&amp;$H1391="",0,IF(AND(OR(BUSCAR!$J$5="",ISNUMBER(SEARCH(BUSCAR!$J$5,$AI1391))),OR(BUSCAR!$J$6="",ISNUMBER(SEARCH(BUSCAR!$J$6,$AI1391))),OR(BUSCAR!$J$8="",ISNUMBER(SEARCH(BUSCAR!$J$8,$AI1391))),OR(BUSCAR!$J$9="",ISNUMBER(SEARCH(BUSCAR!$J$9,$AI1391))),OR(NOT(BUSCAR!$J$2),AND(ISNUMBER($AF1391),$AF1391&gt;=BUSCAR!$J$3,$AF1391&lt;=BUSCAR!$J$4))),1,0))</f>
      </c>
      <c r="AH1391" s="42">
        <f t="shared" si="63"/>
      </c>
      <c r="AI1391" s="42">
        <f t="shared" si="64"/>
      </c>
    </row>
    <row r="1392" spans="1:35" x14ac:dyDescent="0.2">
      <c r="A1392" s="66">
        <f t="shared" si="65"/>
      </c>
      <c r="B1392" s="4"/>
      <c r="C1392" s="4"/>
      <c r="D1392" s="4"/>
      <c r="E1392" s="4"/>
      <c r="F1392" s="24"/>
      <c r="G1392" s="8"/>
      <c r="H1392" s="9"/>
      <c r="I1392" s="8"/>
      <c r="J1392" s="10"/>
      <c r="K1392" s="8"/>
      <c r="L1392" s="8"/>
      <c r="M1392" s="8"/>
      <c r="N1392" s="11"/>
      <c r="O1392" s="9"/>
      <c r="P1392" s="12"/>
      <c r="Q1392" s="9"/>
      <c r="R1392" s="13"/>
      <c r="S1392" s="11"/>
      <c r="T1392" s="11"/>
      <c r="U1392" s="9"/>
      <c r="V1392" s="9"/>
      <c r="W1392" s="9"/>
      <c r="X1392" s="16"/>
      <c r="AF1392" s="42">
        <f>IF(BUSCAR!$C$8="FECHA NAC.",$G1392,IF(BUSCAR!$C$8="PASAPORTE EXPIRA",$J1392,IF(BUSCAR!$C$8="LICENCIA EMISION",$L1392,IF(BUSCAR!$C$8="LICENCIA EXPIRA",$M1392,""))))</f>
      </c>
      <c r="AG1392" s="42">
        <f>IF($B1392&amp;$C1392&amp;$D1392&amp;$E1392&amp;$H1392="",0,IF(AND(OR(BUSCAR!$J$5="",ISNUMBER(SEARCH(BUSCAR!$J$5,$AI1392))),OR(BUSCAR!$J$6="",ISNUMBER(SEARCH(BUSCAR!$J$6,$AI1392))),OR(BUSCAR!$J$8="",ISNUMBER(SEARCH(BUSCAR!$J$8,$AI1392))),OR(BUSCAR!$J$9="",ISNUMBER(SEARCH(BUSCAR!$J$9,$AI1392))),OR(NOT(BUSCAR!$J$2),AND(ISNUMBER($AF1392),$AF1392&gt;=BUSCAR!$J$3,$AF1392&lt;=BUSCAR!$J$4))),1,0))</f>
      </c>
      <c r="AH1392" s="42">
        <f t="shared" si="63"/>
      </c>
      <c r="AI1392" s="42">
        <f t="shared" si="64"/>
      </c>
    </row>
    <row r="1393" spans="1:35" x14ac:dyDescent="0.2">
      <c r="A1393" s="66">
        <f t="shared" si="65"/>
      </c>
      <c r="B1393" s="4"/>
      <c r="C1393" s="4"/>
      <c r="D1393" s="4"/>
      <c r="E1393" s="4"/>
      <c r="F1393" s="24"/>
      <c r="G1393" s="8"/>
      <c r="H1393" s="9"/>
      <c r="I1393" s="8"/>
      <c r="J1393" s="10"/>
      <c r="K1393" s="8"/>
      <c r="L1393" s="8"/>
      <c r="M1393" s="8"/>
      <c r="N1393" s="11"/>
      <c r="O1393" s="9"/>
      <c r="P1393" s="12"/>
      <c r="Q1393" s="9"/>
      <c r="R1393" s="13"/>
      <c r="S1393" s="11"/>
      <c r="T1393" s="11"/>
      <c r="U1393" s="9"/>
      <c r="V1393" s="9"/>
      <c r="W1393" s="9"/>
      <c r="X1393" s="16"/>
      <c r="AF1393" s="42">
        <f>IF(BUSCAR!$C$8="FECHA NAC.",$G1393,IF(BUSCAR!$C$8="PASAPORTE EXPIRA",$J1393,IF(BUSCAR!$C$8="LICENCIA EMISION",$L1393,IF(BUSCAR!$C$8="LICENCIA EXPIRA",$M1393,""))))</f>
      </c>
      <c r="AG1393" s="42">
        <f>IF($B1393&amp;$C1393&amp;$D1393&amp;$E1393&amp;$H1393="",0,IF(AND(OR(BUSCAR!$J$5="",ISNUMBER(SEARCH(BUSCAR!$J$5,$AI1393))),OR(BUSCAR!$J$6="",ISNUMBER(SEARCH(BUSCAR!$J$6,$AI1393))),OR(BUSCAR!$J$8="",ISNUMBER(SEARCH(BUSCAR!$J$8,$AI1393))),OR(BUSCAR!$J$9="",ISNUMBER(SEARCH(BUSCAR!$J$9,$AI1393))),OR(NOT(BUSCAR!$J$2),AND(ISNUMBER($AF1393),$AF1393&gt;=BUSCAR!$J$3,$AF1393&lt;=BUSCAR!$J$4))),1,0))</f>
      </c>
      <c r="AH1393" s="42">
        <f t="shared" si="63"/>
      </c>
      <c r="AI1393" s="42">
        <f t="shared" si="64"/>
      </c>
    </row>
    <row r="1394" spans="1:35" x14ac:dyDescent="0.2">
      <c r="A1394" s="66">
        <f t="shared" si="65"/>
      </c>
      <c r="B1394" s="4"/>
      <c r="C1394" s="4"/>
      <c r="D1394" s="4"/>
      <c r="E1394" s="4"/>
      <c r="F1394" s="24"/>
      <c r="G1394" s="8"/>
      <c r="H1394" s="9"/>
      <c r="I1394" s="8"/>
      <c r="J1394" s="10"/>
      <c r="K1394" s="8"/>
      <c r="L1394" s="8"/>
      <c r="M1394" s="8"/>
      <c r="N1394" s="11"/>
      <c r="O1394" s="9"/>
      <c r="P1394" s="12"/>
      <c r="Q1394" s="9"/>
      <c r="R1394" s="13"/>
      <c r="S1394" s="11"/>
      <c r="T1394" s="11"/>
      <c r="U1394" s="9"/>
      <c r="V1394" s="9"/>
      <c r="W1394" s="9"/>
      <c r="X1394" s="16"/>
      <c r="AF1394" s="42">
        <f>IF(BUSCAR!$C$8="FECHA NAC.",$G1394,IF(BUSCAR!$C$8="PASAPORTE EXPIRA",$J1394,IF(BUSCAR!$C$8="LICENCIA EMISION",$L1394,IF(BUSCAR!$C$8="LICENCIA EXPIRA",$M1394,""))))</f>
      </c>
      <c r="AG1394" s="42">
        <f>IF($B1394&amp;$C1394&amp;$D1394&amp;$E1394&amp;$H1394="",0,IF(AND(OR(BUSCAR!$J$5="",ISNUMBER(SEARCH(BUSCAR!$J$5,$AI1394))),OR(BUSCAR!$J$6="",ISNUMBER(SEARCH(BUSCAR!$J$6,$AI1394))),OR(BUSCAR!$J$8="",ISNUMBER(SEARCH(BUSCAR!$J$8,$AI1394))),OR(BUSCAR!$J$9="",ISNUMBER(SEARCH(BUSCAR!$J$9,$AI1394))),OR(NOT(BUSCAR!$J$2),AND(ISNUMBER($AF1394),$AF1394&gt;=BUSCAR!$J$3,$AF1394&lt;=BUSCAR!$J$4))),1,0))</f>
      </c>
      <c r="AH1394" s="42">
        <f t="shared" si="63"/>
      </c>
      <c r="AI1394" s="42">
        <f t="shared" si="64"/>
      </c>
    </row>
    <row r="1395" spans="1:35" x14ac:dyDescent="0.2">
      <c r="A1395" s="66">
        <f t="shared" si="65"/>
      </c>
      <c r="B1395" s="4"/>
      <c r="C1395" s="4"/>
      <c r="D1395" s="4"/>
      <c r="E1395" s="4"/>
      <c r="F1395" s="24"/>
      <c r="G1395" s="8"/>
      <c r="H1395" s="9"/>
      <c r="I1395" s="8"/>
      <c r="J1395" s="10"/>
      <c r="K1395" s="8"/>
      <c r="L1395" s="8"/>
      <c r="M1395" s="8"/>
      <c r="N1395" s="11"/>
      <c r="O1395" s="9"/>
      <c r="P1395" s="12"/>
      <c r="Q1395" s="9"/>
      <c r="R1395" s="13"/>
      <c r="S1395" s="11"/>
      <c r="T1395" s="11"/>
      <c r="U1395" s="9"/>
      <c r="V1395" s="9"/>
      <c r="W1395" s="9"/>
      <c r="X1395" s="16"/>
      <c r="AF1395" s="42">
        <f>IF(BUSCAR!$C$8="FECHA NAC.",$G1395,IF(BUSCAR!$C$8="PASAPORTE EXPIRA",$J1395,IF(BUSCAR!$C$8="LICENCIA EMISION",$L1395,IF(BUSCAR!$C$8="LICENCIA EXPIRA",$M1395,""))))</f>
      </c>
      <c r="AG1395" s="42">
        <f>IF($B1395&amp;$C1395&amp;$D1395&amp;$E1395&amp;$H1395="",0,IF(AND(OR(BUSCAR!$J$5="",ISNUMBER(SEARCH(BUSCAR!$J$5,$AI1395))),OR(BUSCAR!$J$6="",ISNUMBER(SEARCH(BUSCAR!$J$6,$AI1395))),OR(BUSCAR!$J$8="",ISNUMBER(SEARCH(BUSCAR!$J$8,$AI1395))),OR(BUSCAR!$J$9="",ISNUMBER(SEARCH(BUSCAR!$J$9,$AI1395))),OR(NOT(BUSCAR!$J$2),AND(ISNUMBER($AF1395),$AF1395&gt;=BUSCAR!$J$3,$AF1395&lt;=BUSCAR!$J$4))),1,0))</f>
      </c>
      <c r="AH1395" s="42">
        <f t="shared" si="63"/>
      </c>
      <c r="AI1395" s="42">
        <f t="shared" si="64"/>
      </c>
    </row>
    <row r="1396" spans="1:35" x14ac:dyDescent="0.2">
      <c r="A1396" s="66">
        <f t="shared" si="65"/>
      </c>
      <c r="B1396" s="4"/>
      <c r="C1396" s="4"/>
      <c r="D1396" s="4"/>
      <c r="E1396" s="4"/>
      <c r="F1396" s="24"/>
      <c r="G1396" s="8"/>
      <c r="H1396" s="9"/>
      <c r="I1396" s="8"/>
      <c r="J1396" s="10"/>
      <c r="K1396" s="8"/>
      <c r="L1396" s="8"/>
      <c r="M1396" s="8"/>
      <c r="N1396" s="11"/>
      <c r="O1396" s="9"/>
      <c r="P1396" s="12"/>
      <c r="Q1396" s="9"/>
      <c r="R1396" s="13"/>
      <c r="S1396" s="11"/>
      <c r="T1396" s="11"/>
      <c r="U1396" s="9"/>
      <c r="V1396" s="9"/>
      <c r="W1396" s="9"/>
      <c r="X1396" s="16"/>
      <c r="AF1396" s="42">
        <f>IF(BUSCAR!$C$8="FECHA NAC.",$G1396,IF(BUSCAR!$C$8="PASAPORTE EXPIRA",$J1396,IF(BUSCAR!$C$8="LICENCIA EMISION",$L1396,IF(BUSCAR!$C$8="LICENCIA EXPIRA",$M1396,""))))</f>
      </c>
      <c r="AG1396" s="42">
        <f>IF($B1396&amp;$C1396&amp;$D1396&amp;$E1396&amp;$H1396="",0,IF(AND(OR(BUSCAR!$J$5="",ISNUMBER(SEARCH(BUSCAR!$J$5,$AI1396))),OR(BUSCAR!$J$6="",ISNUMBER(SEARCH(BUSCAR!$J$6,$AI1396))),OR(BUSCAR!$J$8="",ISNUMBER(SEARCH(BUSCAR!$J$8,$AI1396))),OR(BUSCAR!$J$9="",ISNUMBER(SEARCH(BUSCAR!$J$9,$AI1396))),OR(NOT(BUSCAR!$J$2),AND(ISNUMBER($AF1396),$AF1396&gt;=BUSCAR!$J$3,$AF1396&lt;=BUSCAR!$J$4))),1,0))</f>
      </c>
      <c r="AH1396" s="42">
        <f t="shared" si="63"/>
      </c>
      <c r="AI1396" s="42">
        <f t="shared" si="64"/>
      </c>
    </row>
    <row r="1397" spans="1:35" x14ac:dyDescent="0.2">
      <c r="A1397" s="66">
        <f t="shared" si="65"/>
      </c>
      <c r="B1397" s="4"/>
      <c r="C1397" s="4"/>
      <c r="D1397" s="4"/>
      <c r="E1397" s="4"/>
      <c r="F1397" s="24"/>
      <c r="G1397" s="8"/>
      <c r="H1397" s="9"/>
      <c r="I1397" s="8"/>
      <c r="J1397" s="10"/>
      <c r="K1397" s="8"/>
      <c r="L1397" s="8"/>
      <c r="M1397" s="8"/>
      <c r="N1397" s="11"/>
      <c r="O1397" s="9"/>
      <c r="P1397" s="12"/>
      <c r="Q1397" s="9"/>
      <c r="R1397" s="13"/>
      <c r="S1397" s="11"/>
      <c r="T1397" s="11"/>
      <c r="U1397" s="9"/>
      <c r="V1397" s="9"/>
      <c r="W1397" s="9"/>
      <c r="X1397" s="16"/>
      <c r="AF1397" s="42">
        <f>IF(BUSCAR!$C$8="FECHA NAC.",$G1397,IF(BUSCAR!$C$8="PASAPORTE EXPIRA",$J1397,IF(BUSCAR!$C$8="LICENCIA EMISION",$L1397,IF(BUSCAR!$C$8="LICENCIA EXPIRA",$M1397,""))))</f>
      </c>
      <c r="AG1397" s="42">
        <f>IF($B1397&amp;$C1397&amp;$D1397&amp;$E1397&amp;$H1397="",0,IF(AND(OR(BUSCAR!$J$5="",ISNUMBER(SEARCH(BUSCAR!$J$5,$AI1397))),OR(BUSCAR!$J$6="",ISNUMBER(SEARCH(BUSCAR!$J$6,$AI1397))),OR(BUSCAR!$J$8="",ISNUMBER(SEARCH(BUSCAR!$J$8,$AI1397))),OR(BUSCAR!$J$9="",ISNUMBER(SEARCH(BUSCAR!$J$9,$AI1397))),OR(NOT(BUSCAR!$J$2),AND(ISNUMBER($AF1397),$AF1397&gt;=BUSCAR!$J$3,$AF1397&lt;=BUSCAR!$J$4))),1,0))</f>
      </c>
      <c r="AH1397" s="42">
        <f t="shared" si="63"/>
      </c>
      <c r="AI1397" s="42">
        <f t="shared" si="64"/>
      </c>
    </row>
    <row r="1398" spans="1:35" x14ac:dyDescent="0.2">
      <c r="A1398" s="66">
        <f t="shared" si="65"/>
      </c>
      <c r="B1398" s="4"/>
      <c r="C1398" s="4"/>
      <c r="D1398" s="4"/>
      <c r="E1398" s="4"/>
      <c r="F1398" s="24"/>
      <c r="G1398" s="8"/>
      <c r="H1398" s="9"/>
      <c r="I1398" s="8"/>
      <c r="J1398" s="10"/>
      <c r="K1398" s="8"/>
      <c r="L1398" s="8"/>
      <c r="M1398" s="8"/>
      <c r="N1398" s="11"/>
      <c r="O1398" s="9"/>
      <c r="P1398" s="12"/>
      <c r="Q1398" s="9"/>
      <c r="R1398" s="13"/>
      <c r="S1398" s="11"/>
      <c r="T1398" s="11"/>
      <c r="U1398" s="9"/>
      <c r="V1398" s="9"/>
      <c r="W1398" s="9"/>
      <c r="X1398" s="16"/>
      <c r="AF1398" s="42">
        <f>IF(BUSCAR!$C$8="FECHA NAC.",$G1398,IF(BUSCAR!$C$8="PASAPORTE EXPIRA",$J1398,IF(BUSCAR!$C$8="LICENCIA EMISION",$L1398,IF(BUSCAR!$C$8="LICENCIA EXPIRA",$M1398,""))))</f>
      </c>
      <c r="AG1398" s="42">
        <f>IF($B1398&amp;$C1398&amp;$D1398&amp;$E1398&amp;$H1398="",0,IF(AND(OR(BUSCAR!$J$5="",ISNUMBER(SEARCH(BUSCAR!$J$5,$AI1398))),OR(BUSCAR!$J$6="",ISNUMBER(SEARCH(BUSCAR!$J$6,$AI1398))),OR(BUSCAR!$J$8="",ISNUMBER(SEARCH(BUSCAR!$J$8,$AI1398))),OR(BUSCAR!$J$9="",ISNUMBER(SEARCH(BUSCAR!$J$9,$AI1398))),OR(NOT(BUSCAR!$J$2),AND(ISNUMBER($AF1398),$AF1398&gt;=BUSCAR!$J$3,$AF1398&lt;=BUSCAR!$J$4))),1,0))</f>
      </c>
      <c r="AH1398" s="42">
        <f t="shared" si="63"/>
      </c>
      <c r="AI1398" s="42">
        <f t="shared" si="64"/>
      </c>
    </row>
    <row r="1399" spans="1:35" x14ac:dyDescent="0.2">
      <c r="A1399" s="66">
        <f t="shared" si="65"/>
      </c>
      <c r="B1399" s="4"/>
      <c r="C1399" s="4"/>
      <c r="D1399" s="4"/>
      <c r="E1399" s="4"/>
      <c r="F1399" s="24"/>
      <c r="G1399" s="8"/>
      <c r="H1399" s="9"/>
      <c r="I1399" s="8"/>
      <c r="J1399" s="10"/>
      <c r="K1399" s="8"/>
      <c r="L1399" s="8"/>
      <c r="M1399" s="8"/>
      <c r="N1399" s="11"/>
      <c r="O1399" s="9"/>
      <c r="P1399" s="12"/>
      <c r="Q1399" s="9"/>
      <c r="R1399" s="13"/>
      <c r="S1399" s="11"/>
      <c r="T1399" s="11"/>
      <c r="U1399" s="9"/>
      <c r="V1399" s="9"/>
      <c r="W1399" s="9"/>
      <c r="X1399" s="16"/>
      <c r="AF1399" s="42">
        <f>IF(BUSCAR!$C$8="FECHA NAC.",$G1399,IF(BUSCAR!$C$8="PASAPORTE EXPIRA",$J1399,IF(BUSCAR!$C$8="LICENCIA EMISION",$L1399,IF(BUSCAR!$C$8="LICENCIA EXPIRA",$M1399,""))))</f>
      </c>
      <c r="AG1399" s="42">
        <f>IF($B1399&amp;$C1399&amp;$D1399&amp;$E1399&amp;$H1399="",0,IF(AND(OR(BUSCAR!$J$5="",ISNUMBER(SEARCH(BUSCAR!$J$5,$AI1399))),OR(BUSCAR!$J$6="",ISNUMBER(SEARCH(BUSCAR!$J$6,$AI1399))),OR(BUSCAR!$J$8="",ISNUMBER(SEARCH(BUSCAR!$J$8,$AI1399))),OR(BUSCAR!$J$9="",ISNUMBER(SEARCH(BUSCAR!$J$9,$AI1399))),OR(NOT(BUSCAR!$J$2),AND(ISNUMBER($AF1399),$AF1399&gt;=BUSCAR!$J$3,$AF1399&lt;=BUSCAR!$J$4))),1,0))</f>
      </c>
      <c r="AH1399" s="42">
        <f t="shared" si="63"/>
      </c>
      <c r="AI1399" s="42">
        <f t="shared" si="64"/>
      </c>
    </row>
    <row r="1400" spans="1:35" x14ac:dyDescent="0.2">
      <c r="A1400" s="66">
        <f t="shared" si="65"/>
      </c>
      <c r="B1400" s="4"/>
      <c r="C1400" s="4"/>
      <c r="D1400" s="4"/>
      <c r="E1400" s="4"/>
      <c r="F1400" s="24"/>
      <c r="G1400" s="8"/>
      <c r="H1400" s="9"/>
      <c r="I1400" s="8"/>
      <c r="J1400" s="10"/>
      <c r="K1400" s="8"/>
      <c r="L1400" s="8"/>
      <c r="M1400" s="8"/>
      <c r="N1400" s="11"/>
      <c r="O1400" s="9"/>
      <c r="P1400" s="12"/>
      <c r="Q1400" s="9"/>
      <c r="R1400" s="13"/>
      <c r="S1400" s="11"/>
      <c r="T1400" s="11"/>
      <c r="U1400" s="9"/>
      <c r="V1400" s="9"/>
      <c r="W1400" s="9"/>
      <c r="X1400" s="16"/>
      <c r="AF1400" s="42">
        <f>IF(BUSCAR!$C$8="FECHA NAC.",$G1400,IF(BUSCAR!$C$8="PASAPORTE EXPIRA",$J1400,IF(BUSCAR!$C$8="LICENCIA EMISION",$L1400,IF(BUSCAR!$C$8="LICENCIA EXPIRA",$M1400,""))))</f>
      </c>
      <c r="AG1400" s="42">
        <f>IF($B1400&amp;$C1400&amp;$D1400&amp;$E1400&amp;$H1400="",0,IF(AND(OR(BUSCAR!$J$5="",ISNUMBER(SEARCH(BUSCAR!$J$5,$AI1400))),OR(BUSCAR!$J$6="",ISNUMBER(SEARCH(BUSCAR!$J$6,$AI1400))),OR(BUSCAR!$J$8="",ISNUMBER(SEARCH(BUSCAR!$J$8,$AI1400))),OR(BUSCAR!$J$9="",ISNUMBER(SEARCH(BUSCAR!$J$9,$AI1400))),OR(NOT(BUSCAR!$J$2),AND(ISNUMBER($AF1400),$AF1400&gt;=BUSCAR!$J$3,$AF1400&lt;=BUSCAR!$J$4))),1,0))</f>
      </c>
      <c r="AH1400" s="42">
        <f t="shared" si="63"/>
      </c>
      <c r="AI1400" s="42">
        <f t="shared" si="64"/>
      </c>
    </row>
    <row r="1401" spans="1:35" x14ac:dyDescent="0.2">
      <c r="A1401" s="66">
        <f t="shared" si="65"/>
      </c>
      <c r="B1401" s="4"/>
      <c r="C1401" s="4"/>
      <c r="D1401" s="4"/>
      <c r="E1401" s="4"/>
      <c r="F1401" s="24"/>
      <c r="G1401" s="8"/>
      <c r="H1401" s="9"/>
      <c r="I1401" s="8"/>
      <c r="J1401" s="10"/>
      <c r="K1401" s="8"/>
      <c r="L1401" s="8"/>
      <c r="M1401" s="8"/>
      <c r="N1401" s="11"/>
      <c r="O1401" s="9"/>
      <c r="P1401" s="12"/>
      <c r="Q1401" s="9"/>
      <c r="R1401" s="13"/>
      <c r="S1401" s="11"/>
      <c r="T1401" s="11"/>
      <c r="U1401" s="9"/>
      <c r="V1401" s="9"/>
      <c r="W1401" s="9"/>
      <c r="X1401" s="16"/>
      <c r="AF1401" s="42">
        <f>IF(BUSCAR!$C$8="FECHA NAC.",$G1401,IF(BUSCAR!$C$8="PASAPORTE EXPIRA",$J1401,IF(BUSCAR!$C$8="LICENCIA EMISION",$L1401,IF(BUSCAR!$C$8="LICENCIA EXPIRA",$M1401,""))))</f>
      </c>
      <c r="AG1401" s="42">
        <f>IF($B1401&amp;$C1401&amp;$D1401&amp;$E1401&amp;$H1401="",0,IF(AND(OR(BUSCAR!$J$5="",ISNUMBER(SEARCH(BUSCAR!$J$5,$AI1401))),OR(BUSCAR!$J$6="",ISNUMBER(SEARCH(BUSCAR!$J$6,$AI1401))),OR(BUSCAR!$J$8="",ISNUMBER(SEARCH(BUSCAR!$J$8,$AI1401))),OR(BUSCAR!$J$9="",ISNUMBER(SEARCH(BUSCAR!$J$9,$AI1401))),OR(NOT(BUSCAR!$J$2),AND(ISNUMBER($AF1401),$AF1401&gt;=BUSCAR!$J$3,$AF1401&lt;=BUSCAR!$J$4))),1,0))</f>
      </c>
      <c r="AH1401" s="42">
        <f t="shared" si="63"/>
      </c>
      <c r="AI1401" s="42">
        <f t="shared" si="64"/>
      </c>
    </row>
    <row r="1402" spans="1:35" x14ac:dyDescent="0.2">
      <c r="A1402" s="66">
        <f t="shared" si="65"/>
      </c>
      <c r="B1402" s="4"/>
      <c r="C1402" s="4"/>
      <c r="D1402" s="4"/>
      <c r="E1402" s="4"/>
      <c r="F1402" s="24"/>
      <c r="G1402" s="8"/>
      <c r="H1402" s="9"/>
      <c r="I1402" s="8"/>
      <c r="J1402" s="10"/>
      <c r="K1402" s="8"/>
      <c r="L1402" s="8"/>
      <c r="M1402" s="8"/>
      <c r="N1402" s="11"/>
      <c r="O1402" s="9"/>
      <c r="P1402" s="12"/>
      <c r="Q1402" s="9"/>
      <c r="R1402" s="13"/>
      <c r="S1402" s="11"/>
      <c r="T1402" s="11"/>
      <c r="U1402" s="9"/>
      <c r="V1402" s="9"/>
      <c r="W1402" s="9"/>
      <c r="X1402" s="16"/>
      <c r="AF1402" s="42">
        <f>IF(BUSCAR!$C$8="FECHA NAC.",$G1402,IF(BUSCAR!$C$8="PASAPORTE EXPIRA",$J1402,IF(BUSCAR!$C$8="LICENCIA EMISION",$L1402,IF(BUSCAR!$C$8="LICENCIA EXPIRA",$M1402,""))))</f>
      </c>
      <c r="AG1402" s="42">
        <f>IF($B1402&amp;$C1402&amp;$D1402&amp;$E1402&amp;$H1402="",0,IF(AND(OR(BUSCAR!$J$5="",ISNUMBER(SEARCH(BUSCAR!$J$5,$AI1402))),OR(BUSCAR!$J$6="",ISNUMBER(SEARCH(BUSCAR!$J$6,$AI1402))),OR(BUSCAR!$J$8="",ISNUMBER(SEARCH(BUSCAR!$J$8,$AI1402))),OR(BUSCAR!$J$9="",ISNUMBER(SEARCH(BUSCAR!$J$9,$AI1402))),OR(NOT(BUSCAR!$J$2),AND(ISNUMBER($AF1402),$AF1402&gt;=BUSCAR!$J$3,$AF1402&lt;=BUSCAR!$J$4))),1,0))</f>
      </c>
      <c r="AH1402" s="42">
        <f t="shared" si="63"/>
      </c>
      <c r="AI1402" s="42">
        <f t="shared" si="64"/>
      </c>
    </row>
    <row r="1403" spans="1:35" x14ac:dyDescent="0.2">
      <c r="A1403" s="66">
        <f t="shared" si="65"/>
      </c>
      <c r="B1403" s="4"/>
      <c r="C1403" s="4"/>
      <c r="D1403" s="4"/>
      <c r="E1403" s="4"/>
      <c r="F1403" s="24"/>
      <c r="G1403" s="8"/>
      <c r="H1403" s="9"/>
      <c r="I1403" s="8"/>
      <c r="J1403" s="10"/>
      <c r="K1403" s="8"/>
      <c r="L1403" s="8"/>
      <c r="M1403" s="8"/>
      <c r="N1403" s="11"/>
      <c r="O1403" s="9"/>
      <c r="P1403" s="12"/>
      <c r="Q1403" s="9"/>
      <c r="R1403" s="13"/>
      <c r="S1403" s="11"/>
      <c r="T1403" s="11"/>
      <c r="U1403" s="9"/>
      <c r="V1403" s="9"/>
      <c r="W1403" s="9"/>
      <c r="X1403" s="16"/>
      <c r="AF1403" s="42">
        <f>IF(BUSCAR!$C$8="FECHA NAC.",$G1403,IF(BUSCAR!$C$8="PASAPORTE EXPIRA",$J1403,IF(BUSCAR!$C$8="LICENCIA EMISION",$L1403,IF(BUSCAR!$C$8="LICENCIA EXPIRA",$M1403,""))))</f>
      </c>
      <c r="AG1403" s="42">
        <f>IF($B1403&amp;$C1403&amp;$D1403&amp;$E1403&amp;$H1403="",0,IF(AND(OR(BUSCAR!$J$5="",ISNUMBER(SEARCH(BUSCAR!$J$5,$AI1403))),OR(BUSCAR!$J$6="",ISNUMBER(SEARCH(BUSCAR!$J$6,$AI1403))),OR(BUSCAR!$J$8="",ISNUMBER(SEARCH(BUSCAR!$J$8,$AI1403))),OR(BUSCAR!$J$9="",ISNUMBER(SEARCH(BUSCAR!$J$9,$AI1403))),OR(NOT(BUSCAR!$J$2),AND(ISNUMBER($AF1403),$AF1403&gt;=BUSCAR!$J$3,$AF1403&lt;=BUSCAR!$J$4))),1,0))</f>
      </c>
      <c r="AH1403" s="42">
        <f t="shared" si="63"/>
      </c>
      <c r="AI1403" s="42">
        <f t="shared" si="64"/>
      </c>
    </row>
    <row r="1404" spans="1:35" x14ac:dyDescent="0.2">
      <c r="A1404" s="66">
        <f t="shared" si="65"/>
      </c>
      <c r="B1404" s="4"/>
      <c r="C1404" s="4"/>
      <c r="D1404" s="4"/>
      <c r="E1404" s="4"/>
      <c r="F1404" s="24"/>
      <c r="G1404" s="8"/>
      <c r="H1404" s="9"/>
      <c r="I1404" s="8"/>
      <c r="J1404" s="10"/>
      <c r="K1404" s="8"/>
      <c r="L1404" s="8"/>
      <c r="M1404" s="8"/>
      <c r="N1404" s="11"/>
      <c r="O1404" s="9"/>
      <c r="P1404" s="12"/>
      <c r="Q1404" s="9"/>
      <c r="R1404" s="13"/>
      <c r="S1404" s="11"/>
      <c r="T1404" s="11"/>
      <c r="U1404" s="9"/>
      <c r="V1404" s="9"/>
      <c r="W1404" s="9"/>
      <c r="X1404" s="16"/>
      <c r="AF1404" s="42">
        <f>IF(BUSCAR!$C$8="FECHA NAC.",$G1404,IF(BUSCAR!$C$8="PASAPORTE EXPIRA",$J1404,IF(BUSCAR!$C$8="LICENCIA EMISION",$L1404,IF(BUSCAR!$C$8="LICENCIA EXPIRA",$M1404,""))))</f>
      </c>
      <c r="AG1404" s="42">
        <f>IF($B1404&amp;$C1404&amp;$D1404&amp;$E1404&amp;$H1404="",0,IF(AND(OR(BUSCAR!$J$5="",ISNUMBER(SEARCH(BUSCAR!$J$5,$AI1404))),OR(BUSCAR!$J$6="",ISNUMBER(SEARCH(BUSCAR!$J$6,$AI1404))),OR(BUSCAR!$J$8="",ISNUMBER(SEARCH(BUSCAR!$J$8,$AI1404))),OR(BUSCAR!$J$9="",ISNUMBER(SEARCH(BUSCAR!$J$9,$AI1404))),OR(NOT(BUSCAR!$J$2),AND(ISNUMBER($AF1404),$AF1404&gt;=BUSCAR!$J$3,$AF1404&lt;=BUSCAR!$J$4))),1,0))</f>
      </c>
      <c r="AH1404" s="42">
        <f t="shared" si="63"/>
      </c>
      <c r="AI1404" s="42">
        <f t="shared" si="64"/>
      </c>
    </row>
    <row r="1405" spans="1:35" x14ac:dyDescent="0.2">
      <c r="A1405" s="66">
        <f t="shared" si="65"/>
      </c>
      <c r="B1405" s="4"/>
      <c r="C1405" s="4"/>
      <c r="D1405" s="4"/>
      <c r="E1405" s="4"/>
      <c r="F1405" s="24"/>
      <c r="G1405" s="8"/>
      <c r="H1405" s="9"/>
      <c r="I1405" s="8"/>
      <c r="J1405" s="10"/>
      <c r="K1405" s="8"/>
      <c r="L1405" s="8"/>
      <c r="M1405" s="8"/>
      <c r="N1405" s="11"/>
      <c r="O1405" s="9"/>
      <c r="P1405" s="12"/>
      <c r="Q1405" s="9"/>
      <c r="R1405" s="13"/>
      <c r="S1405" s="11"/>
      <c r="T1405" s="11"/>
      <c r="U1405" s="9"/>
      <c r="V1405" s="9"/>
      <c r="W1405" s="9"/>
      <c r="X1405" s="16"/>
      <c r="AF1405" s="42">
        <f>IF(BUSCAR!$C$8="FECHA NAC.",$G1405,IF(BUSCAR!$C$8="PASAPORTE EXPIRA",$J1405,IF(BUSCAR!$C$8="LICENCIA EMISION",$L1405,IF(BUSCAR!$C$8="LICENCIA EXPIRA",$M1405,""))))</f>
      </c>
      <c r="AG1405" s="42">
        <f>IF($B1405&amp;$C1405&amp;$D1405&amp;$E1405&amp;$H1405="",0,IF(AND(OR(BUSCAR!$J$5="",ISNUMBER(SEARCH(BUSCAR!$J$5,$AI1405))),OR(BUSCAR!$J$6="",ISNUMBER(SEARCH(BUSCAR!$J$6,$AI1405))),OR(BUSCAR!$J$8="",ISNUMBER(SEARCH(BUSCAR!$J$8,$AI1405))),OR(BUSCAR!$J$9="",ISNUMBER(SEARCH(BUSCAR!$J$9,$AI1405))),OR(NOT(BUSCAR!$J$2),AND(ISNUMBER($AF1405),$AF1405&gt;=BUSCAR!$J$3,$AF1405&lt;=BUSCAR!$J$4))),1,0))</f>
      </c>
      <c r="AH1405" s="42">
        <f t="shared" si="63"/>
      </c>
      <c r="AI1405" s="42">
        <f t="shared" si="64"/>
      </c>
    </row>
    <row r="1406" spans="1:35" x14ac:dyDescent="0.2">
      <c r="A1406" s="66">
        <f t="shared" si="65"/>
      </c>
      <c r="B1406" s="4"/>
      <c r="C1406" s="4"/>
      <c r="D1406" s="4"/>
      <c r="E1406" s="4"/>
      <c r="F1406" s="24"/>
      <c r="G1406" s="8"/>
      <c r="H1406" s="9"/>
      <c r="I1406" s="8"/>
      <c r="J1406" s="10"/>
      <c r="K1406" s="8"/>
      <c r="L1406" s="8"/>
      <c r="M1406" s="8"/>
      <c r="N1406" s="11"/>
      <c r="O1406" s="9"/>
      <c r="P1406" s="12"/>
      <c r="Q1406" s="9"/>
      <c r="R1406" s="13"/>
      <c r="S1406" s="11"/>
      <c r="T1406" s="11"/>
      <c r="U1406" s="9"/>
      <c r="V1406" s="9"/>
      <c r="W1406" s="9"/>
      <c r="X1406" s="16"/>
      <c r="AF1406" s="42">
        <f>IF(BUSCAR!$C$8="FECHA NAC.",$G1406,IF(BUSCAR!$C$8="PASAPORTE EXPIRA",$J1406,IF(BUSCAR!$C$8="LICENCIA EMISION",$L1406,IF(BUSCAR!$C$8="LICENCIA EXPIRA",$M1406,""))))</f>
      </c>
      <c r="AG1406" s="42">
        <f>IF($B1406&amp;$C1406&amp;$D1406&amp;$E1406&amp;$H1406="",0,IF(AND(OR(BUSCAR!$J$5="",ISNUMBER(SEARCH(BUSCAR!$J$5,$AI1406))),OR(BUSCAR!$J$6="",ISNUMBER(SEARCH(BUSCAR!$J$6,$AI1406))),OR(BUSCAR!$J$8="",ISNUMBER(SEARCH(BUSCAR!$J$8,$AI1406))),OR(BUSCAR!$J$9="",ISNUMBER(SEARCH(BUSCAR!$J$9,$AI1406))),OR(NOT(BUSCAR!$J$2),AND(ISNUMBER($AF1406),$AF1406&gt;=BUSCAR!$J$3,$AF1406&lt;=BUSCAR!$J$4))),1,0))</f>
      </c>
      <c r="AH1406" s="42">
        <f t="shared" si="63"/>
      </c>
      <c r="AI1406" s="42">
        <f t="shared" si="64"/>
      </c>
    </row>
    <row r="1407" spans="1:35" x14ac:dyDescent="0.2">
      <c r="A1407" s="66">
        <f t="shared" si="65"/>
      </c>
      <c r="B1407" s="4"/>
      <c r="C1407" s="4"/>
      <c r="D1407" s="4"/>
      <c r="E1407" s="4"/>
      <c r="F1407" s="24"/>
      <c r="G1407" s="8"/>
      <c r="H1407" s="9"/>
      <c r="I1407" s="8"/>
      <c r="J1407" s="10"/>
      <c r="K1407" s="8"/>
      <c r="L1407" s="8"/>
      <c r="M1407" s="8"/>
      <c r="N1407" s="11"/>
      <c r="O1407" s="9"/>
      <c r="P1407" s="12"/>
      <c r="Q1407" s="9"/>
      <c r="R1407" s="13"/>
      <c r="S1407" s="11"/>
      <c r="T1407" s="11"/>
      <c r="U1407" s="9"/>
      <c r="V1407" s="9"/>
      <c r="W1407" s="9"/>
      <c r="X1407" s="16"/>
      <c r="AF1407" s="42">
        <f>IF(BUSCAR!$C$8="FECHA NAC.",$G1407,IF(BUSCAR!$C$8="PASAPORTE EXPIRA",$J1407,IF(BUSCAR!$C$8="LICENCIA EMISION",$L1407,IF(BUSCAR!$C$8="LICENCIA EXPIRA",$M1407,""))))</f>
      </c>
      <c r="AG1407" s="42">
        <f>IF($B1407&amp;$C1407&amp;$D1407&amp;$E1407&amp;$H1407="",0,IF(AND(OR(BUSCAR!$J$5="",ISNUMBER(SEARCH(BUSCAR!$J$5,$AI1407))),OR(BUSCAR!$J$6="",ISNUMBER(SEARCH(BUSCAR!$J$6,$AI1407))),OR(BUSCAR!$J$8="",ISNUMBER(SEARCH(BUSCAR!$J$8,$AI1407))),OR(BUSCAR!$J$9="",ISNUMBER(SEARCH(BUSCAR!$J$9,$AI1407))),OR(NOT(BUSCAR!$J$2),AND(ISNUMBER($AF1407),$AF1407&gt;=BUSCAR!$J$3,$AF1407&lt;=BUSCAR!$J$4))),1,0))</f>
      </c>
      <c r="AH1407" s="42">
        <f t="shared" si="63"/>
      </c>
      <c r="AI1407" s="42">
        <f t="shared" si="64"/>
      </c>
    </row>
    <row r="1408" spans="1:35" x14ac:dyDescent="0.2">
      <c r="A1408" s="66">
        <f t="shared" si="65"/>
      </c>
      <c r="B1408" s="4"/>
      <c r="C1408" s="4"/>
      <c r="D1408" s="4"/>
      <c r="E1408" s="4"/>
      <c r="F1408" s="24"/>
      <c r="G1408" s="8"/>
      <c r="H1408" s="9"/>
      <c r="I1408" s="8"/>
      <c r="J1408" s="10"/>
      <c r="K1408" s="8"/>
      <c r="L1408" s="8"/>
      <c r="M1408" s="8"/>
      <c r="N1408" s="11"/>
      <c r="O1408" s="9"/>
      <c r="P1408" s="12"/>
      <c r="Q1408" s="9"/>
      <c r="R1408" s="13"/>
      <c r="S1408" s="11"/>
      <c r="T1408" s="11"/>
      <c r="U1408" s="9"/>
      <c r="V1408" s="9"/>
      <c r="W1408" s="9"/>
      <c r="X1408" s="16"/>
      <c r="AF1408" s="42">
        <f>IF(BUSCAR!$C$8="FECHA NAC.",$G1408,IF(BUSCAR!$C$8="PASAPORTE EXPIRA",$J1408,IF(BUSCAR!$C$8="LICENCIA EMISION",$L1408,IF(BUSCAR!$C$8="LICENCIA EXPIRA",$M1408,""))))</f>
      </c>
      <c r="AG1408" s="42">
        <f>IF($B1408&amp;$C1408&amp;$D1408&amp;$E1408&amp;$H1408="",0,IF(AND(OR(BUSCAR!$J$5="",ISNUMBER(SEARCH(BUSCAR!$J$5,$AI1408))),OR(BUSCAR!$J$6="",ISNUMBER(SEARCH(BUSCAR!$J$6,$AI1408))),OR(BUSCAR!$J$8="",ISNUMBER(SEARCH(BUSCAR!$J$8,$AI1408))),OR(BUSCAR!$J$9="",ISNUMBER(SEARCH(BUSCAR!$J$9,$AI1408))),OR(NOT(BUSCAR!$J$2),AND(ISNUMBER($AF1408),$AF1408&gt;=BUSCAR!$J$3,$AF1408&lt;=BUSCAR!$J$4))),1,0))</f>
      </c>
      <c r="AH1408" s="42">
        <f t="shared" si="63"/>
      </c>
      <c r="AI1408" s="42">
        <f t="shared" si="64"/>
      </c>
    </row>
    <row r="1409" spans="1:35" x14ac:dyDescent="0.2">
      <c r="A1409" s="66">
        <f t="shared" si="65"/>
      </c>
      <c r="B1409" s="4"/>
      <c r="C1409" s="4"/>
      <c r="D1409" s="4"/>
      <c r="E1409" s="4"/>
      <c r="F1409" s="24"/>
      <c r="G1409" s="8"/>
      <c r="H1409" s="9"/>
      <c r="I1409" s="8"/>
      <c r="J1409" s="10"/>
      <c r="K1409" s="8"/>
      <c r="L1409" s="8"/>
      <c r="M1409" s="8"/>
      <c r="N1409" s="11"/>
      <c r="O1409" s="9"/>
      <c r="P1409" s="12"/>
      <c r="Q1409" s="9"/>
      <c r="R1409" s="13"/>
      <c r="S1409" s="11"/>
      <c r="T1409" s="11"/>
      <c r="U1409" s="9"/>
      <c r="V1409" s="9"/>
      <c r="W1409" s="9"/>
      <c r="X1409" s="16"/>
      <c r="AF1409" s="42">
        <f>IF(BUSCAR!$C$8="FECHA NAC.",$G1409,IF(BUSCAR!$C$8="PASAPORTE EXPIRA",$J1409,IF(BUSCAR!$C$8="LICENCIA EMISION",$L1409,IF(BUSCAR!$C$8="LICENCIA EXPIRA",$M1409,""))))</f>
      </c>
      <c r="AG1409" s="42">
        <f>IF($B1409&amp;$C1409&amp;$D1409&amp;$E1409&amp;$H1409="",0,IF(AND(OR(BUSCAR!$J$5="",ISNUMBER(SEARCH(BUSCAR!$J$5,$AI1409))),OR(BUSCAR!$J$6="",ISNUMBER(SEARCH(BUSCAR!$J$6,$AI1409))),OR(BUSCAR!$J$8="",ISNUMBER(SEARCH(BUSCAR!$J$8,$AI1409))),OR(BUSCAR!$J$9="",ISNUMBER(SEARCH(BUSCAR!$J$9,$AI1409))),OR(NOT(BUSCAR!$J$2),AND(ISNUMBER($AF1409),$AF1409&gt;=BUSCAR!$J$3,$AF1409&lt;=BUSCAR!$J$4))),1,0))</f>
      </c>
      <c r="AH1409" s="42">
        <f t="shared" si="63"/>
      </c>
      <c r="AI1409" s="42">
        <f t="shared" si="64"/>
      </c>
    </row>
    <row r="1410" spans="1:35" x14ac:dyDescent="0.2">
      <c r="A1410" s="66">
        <f t="shared" si="65"/>
      </c>
      <c r="B1410" s="4"/>
      <c r="C1410" s="4"/>
      <c r="D1410" s="4"/>
      <c r="E1410" s="4"/>
      <c r="F1410" s="24"/>
      <c r="G1410" s="8"/>
      <c r="H1410" s="9"/>
      <c r="I1410" s="8"/>
      <c r="J1410" s="10"/>
      <c r="K1410" s="8"/>
      <c r="L1410" s="8"/>
      <c r="M1410" s="8"/>
      <c r="N1410" s="11"/>
      <c r="O1410" s="9"/>
      <c r="P1410" s="12"/>
      <c r="Q1410" s="9"/>
      <c r="R1410" s="13"/>
      <c r="S1410" s="11"/>
      <c r="T1410" s="11"/>
      <c r="U1410" s="9"/>
      <c r="V1410" s="9"/>
      <c r="W1410" s="9"/>
      <c r="X1410" s="16"/>
      <c r="AF1410" s="42">
        <f>IF(BUSCAR!$C$8="FECHA NAC.",$G1410,IF(BUSCAR!$C$8="PASAPORTE EXPIRA",$J1410,IF(BUSCAR!$C$8="LICENCIA EMISION",$L1410,IF(BUSCAR!$C$8="LICENCIA EXPIRA",$M1410,""))))</f>
      </c>
      <c r="AG1410" s="42">
        <f>IF($B1410&amp;$C1410&amp;$D1410&amp;$E1410&amp;$H1410="",0,IF(AND(OR(BUSCAR!$J$5="",ISNUMBER(SEARCH(BUSCAR!$J$5,$AI1410))),OR(BUSCAR!$J$6="",ISNUMBER(SEARCH(BUSCAR!$J$6,$AI1410))),OR(BUSCAR!$J$8="",ISNUMBER(SEARCH(BUSCAR!$J$8,$AI1410))),OR(BUSCAR!$J$9="",ISNUMBER(SEARCH(BUSCAR!$J$9,$AI1410))),OR(NOT(BUSCAR!$J$2),AND(ISNUMBER($AF1410),$AF1410&gt;=BUSCAR!$J$3,$AF1410&lt;=BUSCAR!$J$4))),1,0))</f>
      </c>
      <c r="AH1410" s="42">
        <f t="shared" si="63"/>
      </c>
      <c r="AI1410" s="42">
        <f t="shared" si="64"/>
      </c>
    </row>
    <row r="1411" spans="1:35" x14ac:dyDescent="0.2">
      <c r="A1411" s="66">
        <f t="shared" si="65"/>
      </c>
      <c r="B1411" s="4"/>
      <c r="C1411" s="4"/>
      <c r="D1411" s="4"/>
      <c r="E1411" s="4"/>
      <c r="F1411" s="24"/>
      <c r="G1411" s="8"/>
      <c r="H1411" s="9"/>
      <c r="I1411" s="8"/>
      <c r="J1411" s="10"/>
      <c r="K1411" s="8"/>
      <c r="L1411" s="8"/>
      <c r="M1411" s="8"/>
      <c r="N1411" s="11"/>
      <c r="O1411" s="9"/>
      <c r="P1411" s="12"/>
      <c r="Q1411" s="9"/>
      <c r="R1411" s="13"/>
      <c r="S1411" s="11"/>
      <c r="T1411" s="11"/>
      <c r="U1411" s="9"/>
      <c r="V1411" s="9"/>
      <c r="W1411" s="9"/>
      <c r="X1411" s="16"/>
      <c r="AF1411" s="42">
        <f>IF(BUSCAR!$C$8="FECHA NAC.",$G1411,IF(BUSCAR!$C$8="PASAPORTE EXPIRA",$J1411,IF(BUSCAR!$C$8="LICENCIA EMISION",$L1411,IF(BUSCAR!$C$8="LICENCIA EXPIRA",$M1411,""))))</f>
      </c>
      <c r="AG1411" s="42">
        <f>IF($B1411&amp;$C1411&amp;$D1411&amp;$E1411&amp;$H1411="",0,IF(AND(OR(BUSCAR!$J$5="",ISNUMBER(SEARCH(BUSCAR!$J$5,$AI1411))),OR(BUSCAR!$J$6="",ISNUMBER(SEARCH(BUSCAR!$J$6,$AI1411))),OR(BUSCAR!$J$8="",ISNUMBER(SEARCH(BUSCAR!$J$8,$AI1411))),OR(BUSCAR!$J$9="",ISNUMBER(SEARCH(BUSCAR!$J$9,$AI1411))),OR(NOT(BUSCAR!$J$2),AND(ISNUMBER($AF1411),$AF1411&gt;=BUSCAR!$J$3,$AF1411&lt;=BUSCAR!$J$4))),1,0))</f>
      </c>
      <c r="AH1411" s="42">
        <f t="shared" ref="AH1411:AH1474" si="66">AH1410+AG1411</f>
      </c>
      <c r="AI1411" s="42">
        <f t="shared" ref="AI1411:AI1474" si="67">IF($B1411&amp;" "&amp;$C1411&amp;" "&amp;$D1411&amp;" "&amp;$E1411&amp;" "&amp;$H1411&amp;" "&amp;$K1411&amp;" "&amp;$R1411&amp;" "&amp;$AC1411&amp;" "&amp;$AD1411="","",SUBSTITUTE(SUBSTITUTE(SUBSTITUTE(SUBSTITUTE(SUBSTITUTE(SUBSTITUTE(SUBSTITUTE(UPPER($B1411&amp;" "&amp;$C1411&amp;" "&amp;$D1411&amp;" "&amp;$E1411&amp;" "&amp;$H1411&amp;" "&amp;$K1411&amp;" "&amp;$R1411&amp;" "&amp;$AC1411&amp;" "&amp;$AD1411),"Á","A"),"É","E"),"Í","I"),"Ó","O"),"Ú","U"),"Ü","U"),"Ñ","N"))</f>
      </c>
    </row>
    <row r="1412" spans="1:35" x14ac:dyDescent="0.2">
      <c r="A1412" s="66">
        <f t="shared" ref="A1412:A1475" si="68">A1411+1</f>
      </c>
      <c r="B1412" s="4"/>
      <c r="C1412" s="4"/>
      <c r="D1412" s="4"/>
      <c r="E1412" s="4"/>
      <c r="F1412" s="24"/>
      <c r="G1412" s="8"/>
      <c r="H1412" s="9"/>
      <c r="I1412" s="8"/>
      <c r="J1412" s="10"/>
      <c r="K1412" s="8"/>
      <c r="L1412" s="8"/>
      <c r="M1412" s="8"/>
      <c r="N1412" s="11"/>
      <c r="O1412" s="9"/>
      <c r="P1412" s="12"/>
      <c r="Q1412" s="9"/>
      <c r="R1412" s="13"/>
      <c r="S1412" s="11"/>
      <c r="T1412" s="11"/>
      <c r="U1412" s="9"/>
      <c r="V1412" s="9"/>
      <c r="W1412" s="9"/>
      <c r="X1412" s="16"/>
      <c r="AF1412" s="42">
        <f>IF(BUSCAR!$C$8="FECHA NAC.",$G1412,IF(BUSCAR!$C$8="PASAPORTE EXPIRA",$J1412,IF(BUSCAR!$C$8="LICENCIA EMISION",$L1412,IF(BUSCAR!$C$8="LICENCIA EXPIRA",$M1412,""))))</f>
      </c>
      <c r="AG1412" s="42">
        <f>IF($B1412&amp;$C1412&amp;$D1412&amp;$E1412&amp;$H1412="",0,IF(AND(OR(BUSCAR!$J$5="",ISNUMBER(SEARCH(BUSCAR!$J$5,$AI1412))),OR(BUSCAR!$J$6="",ISNUMBER(SEARCH(BUSCAR!$J$6,$AI1412))),OR(BUSCAR!$J$8="",ISNUMBER(SEARCH(BUSCAR!$J$8,$AI1412))),OR(BUSCAR!$J$9="",ISNUMBER(SEARCH(BUSCAR!$J$9,$AI1412))),OR(NOT(BUSCAR!$J$2),AND(ISNUMBER($AF1412),$AF1412&gt;=BUSCAR!$J$3,$AF1412&lt;=BUSCAR!$J$4))),1,0))</f>
      </c>
      <c r="AH1412" s="42">
        <f t="shared" si="66"/>
      </c>
      <c r="AI1412" s="42">
        <f t="shared" si="67"/>
      </c>
    </row>
    <row r="1413" spans="1:35" x14ac:dyDescent="0.2">
      <c r="A1413" s="66">
        <f t="shared" si="68"/>
      </c>
      <c r="B1413" s="4"/>
      <c r="C1413" s="4"/>
      <c r="D1413" s="4"/>
      <c r="E1413" s="4"/>
      <c r="F1413" s="24"/>
      <c r="G1413" s="8"/>
      <c r="H1413" s="9"/>
      <c r="I1413" s="8"/>
      <c r="J1413" s="10"/>
      <c r="K1413" s="8"/>
      <c r="L1413" s="8"/>
      <c r="M1413" s="8"/>
      <c r="N1413" s="11"/>
      <c r="O1413" s="9"/>
      <c r="P1413" s="12"/>
      <c r="Q1413" s="9"/>
      <c r="R1413" s="13"/>
      <c r="S1413" s="11"/>
      <c r="T1413" s="11"/>
      <c r="U1413" s="9"/>
      <c r="V1413" s="9"/>
      <c r="W1413" s="9"/>
      <c r="X1413" s="16"/>
      <c r="AF1413" s="42">
        <f>IF(BUSCAR!$C$8="FECHA NAC.",$G1413,IF(BUSCAR!$C$8="PASAPORTE EXPIRA",$J1413,IF(BUSCAR!$C$8="LICENCIA EMISION",$L1413,IF(BUSCAR!$C$8="LICENCIA EXPIRA",$M1413,""))))</f>
      </c>
      <c r="AG1413" s="42">
        <f>IF($B1413&amp;$C1413&amp;$D1413&amp;$E1413&amp;$H1413="",0,IF(AND(OR(BUSCAR!$J$5="",ISNUMBER(SEARCH(BUSCAR!$J$5,$AI1413))),OR(BUSCAR!$J$6="",ISNUMBER(SEARCH(BUSCAR!$J$6,$AI1413))),OR(BUSCAR!$J$8="",ISNUMBER(SEARCH(BUSCAR!$J$8,$AI1413))),OR(BUSCAR!$J$9="",ISNUMBER(SEARCH(BUSCAR!$J$9,$AI1413))),OR(NOT(BUSCAR!$J$2),AND(ISNUMBER($AF1413),$AF1413&gt;=BUSCAR!$J$3,$AF1413&lt;=BUSCAR!$J$4))),1,0))</f>
      </c>
      <c r="AH1413" s="42">
        <f t="shared" si="66"/>
      </c>
      <c r="AI1413" s="42">
        <f t="shared" si="67"/>
      </c>
    </row>
    <row r="1414" spans="1:35" x14ac:dyDescent="0.2">
      <c r="A1414" s="66">
        <f t="shared" si="68"/>
      </c>
      <c r="B1414" s="4"/>
      <c r="C1414" s="4"/>
      <c r="D1414" s="4"/>
      <c r="E1414" s="4"/>
      <c r="F1414" s="24"/>
      <c r="G1414" s="8"/>
      <c r="H1414" s="9"/>
      <c r="I1414" s="8"/>
      <c r="J1414" s="10"/>
      <c r="K1414" s="8"/>
      <c r="L1414" s="8"/>
      <c r="M1414" s="8"/>
      <c r="N1414" s="11"/>
      <c r="O1414" s="9"/>
      <c r="P1414" s="12"/>
      <c r="Q1414" s="9"/>
      <c r="R1414" s="13"/>
      <c r="S1414" s="11"/>
      <c r="T1414" s="11"/>
      <c r="U1414" s="9"/>
      <c r="V1414" s="9"/>
      <c r="W1414" s="9"/>
      <c r="X1414" s="16"/>
      <c r="AF1414" s="42">
        <f>IF(BUSCAR!$C$8="FECHA NAC.",$G1414,IF(BUSCAR!$C$8="PASAPORTE EXPIRA",$J1414,IF(BUSCAR!$C$8="LICENCIA EMISION",$L1414,IF(BUSCAR!$C$8="LICENCIA EXPIRA",$M1414,""))))</f>
      </c>
      <c r="AG1414" s="42">
        <f>IF($B1414&amp;$C1414&amp;$D1414&amp;$E1414&amp;$H1414="",0,IF(AND(OR(BUSCAR!$J$5="",ISNUMBER(SEARCH(BUSCAR!$J$5,$AI1414))),OR(BUSCAR!$J$6="",ISNUMBER(SEARCH(BUSCAR!$J$6,$AI1414))),OR(BUSCAR!$J$8="",ISNUMBER(SEARCH(BUSCAR!$J$8,$AI1414))),OR(BUSCAR!$J$9="",ISNUMBER(SEARCH(BUSCAR!$J$9,$AI1414))),OR(NOT(BUSCAR!$J$2),AND(ISNUMBER($AF1414),$AF1414&gt;=BUSCAR!$J$3,$AF1414&lt;=BUSCAR!$J$4))),1,0))</f>
      </c>
      <c r="AH1414" s="42">
        <f t="shared" si="66"/>
      </c>
      <c r="AI1414" s="42">
        <f t="shared" si="67"/>
      </c>
    </row>
    <row r="1415" spans="1:35" x14ac:dyDescent="0.2">
      <c r="A1415" s="66">
        <f t="shared" si="68"/>
      </c>
      <c r="B1415" s="4"/>
      <c r="C1415" s="4"/>
      <c r="D1415" s="4"/>
      <c r="E1415" s="4"/>
      <c r="F1415" s="24"/>
      <c r="G1415" s="8"/>
      <c r="H1415" s="9"/>
      <c r="I1415" s="8"/>
      <c r="J1415" s="10"/>
      <c r="K1415" s="8"/>
      <c r="L1415" s="8"/>
      <c r="M1415" s="8"/>
      <c r="N1415" s="11"/>
      <c r="O1415" s="9"/>
      <c r="P1415" s="12"/>
      <c r="Q1415" s="9"/>
      <c r="R1415" s="13"/>
      <c r="S1415" s="11"/>
      <c r="T1415" s="11"/>
      <c r="U1415" s="9"/>
      <c r="V1415" s="9"/>
      <c r="W1415" s="9"/>
      <c r="X1415" s="16"/>
      <c r="AF1415" s="42">
        <f>IF(BUSCAR!$C$8="FECHA NAC.",$G1415,IF(BUSCAR!$C$8="PASAPORTE EXPIRA",$J1415,IF(BUSCAR!$C$8="LICENCIA EMISION",$L1415,IF(BUSCAR!$C$8="LICENCIA EXPIRA",$M1415,""))))</f>
      </c>
      <c r="AG1415" s="42">
        <f>IF($B1415&amp;$C1415&amp;$D1415&amp;$E1415&amp;$H1415="",0,IF(AND(OR(BUSCAR!$J$5="",ISNUMBER(SEARCH(BUSCAR!$J$5,$AI1415))),OR(BUSCAR!$J$6="",ISNUMBER(SEARCH(BUSCAR!$J$6,$AI1415))),OR(BUSCAR!$J$8="",ISNUMBER(SEARCH(BUSCAR!$J$8,$AI1415))),OR(BUSCAR!$J$9="",ISNUMBER(SEARCH(BUSCAR!$J$9,$AI1415))),OR(NOT(BUSCAR!$J$2),AND(ISNUMBER($AF1415),$AF1415&gt;=BUSCAR!$J$3,$AF1415&lt;=BUSCAR!$J$4))),1,0))</f>
      </c>
      <c r="AH1415" s="42">
        <f t="shared" si="66"/>
      </c>
      <c r="AI1415" s="42">
        <f t="shared" si="67"/>
      </c>
    </row>
    <row r="1416" spans="1:35" x14ac:dyDescent="0.2">
      <c r="A1416" s="66">
        <f t="shared" si="68"/>
      </c>
      <c r="B1416" s="4"/>
      <c r="C1416" s="4"/>
      <c r="D1416" s="4"/>
      <c r="E1416" s="4"/>
      <c r="F1416" s="24"/>
      <c r="G1416" s="8"/>
      <c r="H1416" s="9"/>
      <c r="I1416" s="8"/>
      <c r="J1416" s="10"/>
      <c r="K1416" s="8"/>
      <c r="L1416" s="8"/>
      <c r="M1416" s="8"/>
      <c r="N1416" s="11"/>
      <c r="O1416" s="9"/>
      <c r="P1416" s="12"/>
      <c r="Q1416" s="9"/>
      <c r="R1416" s="13"/>
      <c r="S1416" s="11"/>
      <c r="T1416" s="11"/>
      <c r="U1416" s="9"/>
      <c r="V1416" s="9"/>
      <c r="W1416" s="9"/>
      <c r="X1416" s="16"/>
      <c r="AF1416" s="42">
        <f>IF(BUSCAR!$C$8="FECHA NAC.",$G1416,IF(BUSCAR!$C$8="PASAPORTE EXPIRA",$J1416,IF(BUSCAR!$C$8="LICENCIA EMISION",$L1416,IF(BUSCAR!$C$8="LICENCIA EXPIRA",$M1416,""))))</f>
      </c>
      <c r="AG1416" s="42">
        <f>IF($B1416&amp;$C1416&amp;$D1416&amp;$E1416&amp;$H1416="",0,IF(AND(OR(BUSCAR!$J$5="",ISNUMBER(SEARCH(BUSCAR!$J$5,$AI1416))),OR(BUSCAR!$J$6="",ISNUMBER(SEARCH(BUSCAR!$J$6,$AI1416))),OR(BUSCAR!$J$8="",ISNUMBER(SEARCH(BUSCAR!$J$8,$AI1416))),OR(BUSCAR!$J$9="",ISNUMBER(SEARCH(BUSCAR!$J$9,$AI1416))),OR(NOT(BUSCAR!$J$2),AND(ISNUMBER($AF1416),$AF1416&gt;=BUSCAR!$J$3,$AF1416&lt;=BUSCAR!$J$4))),1,0))</f>
      </c>
      <c r="AH1416" s="42">
        <f t="shared" si="66"/>
      </c>
      <c r="AI1416" s="42">
        <f t="shared" si="67"/>
      </c>
    </row>
    <row r="1417" spans="1:35" x14ac:dyDescent="0.2">
      <c r="A1417" s="66">
        <f t="shared" si="68"/>
      </c>
      <c r="B1417" s="4"/>
      <c r="C1417" s="4"/>
      <c r="D1417" s="4"/>
      <c r="E1417" s="4"/>
      <c r="F1417" s="24"/>
      <c r="G1417" s="8"/>
      <c r="H1417" s="9"/>
      <c r="I1417" s="8"/>
      <c r="J1417" s="10"/>
      <c r="K1417" s="8"/>
      <c r="L1417" s="8"/>
      <c r="M1417" s="8"/>
      <c r="N1417" s="11"/>
      <c r="O1417" s="9"/>
      <c r="P1417" s="12"/>
      <c r="Q1417" s="9"/>
      <c r="R1417" s="13"/>
      <c r="S1417" s="11"/>
      <c r="T1417" s="11"/>
      <c r="U1417" s="9"/>
      <c r="V1417" s="9"/>
      <c r="W1417" s="9"/>
      <c r="X1417" s="16"/>
      <c r="AF1417" s="42">
        <f>IF(BUSCAR!$C$8="FECHA NAC.",$G1417,IF(BUSCAR!$C$8="PASAPORTE EXPIRA",$J1417,IF(BUSCAR!$C$8="LICENCIA EMISION",$L1417,IF(BUSCAR!$C$8="LICENCIA EXPIRA",$M1417,""))))</f>
      </c>
      <c r="AG1417" s="42">
        <f>IF($B1417&amp;$C1417&amp;$D1417&amp;$E1417&amp;$H1417="",0,IF(AND(OR(BUSCAR!$J$5="",ISNUMBER(SEARCH(BUSCAR!$J$5,$AI1417))),OR(BUSCAR!$J$6="",ISNUMBER(SEARCH(BUSCAR!$J$6,$AI1417))),OR(BUSCAR!$J$8="",ISNUMBER(SEARCH(BUSCAR!$J$8,$AI1417))),OR(BUSCAR!$J$9="",ISNUMBER(SEARCH(BUSCAR!$J$9,$AI1417))),OR(NOT(BUSCAR!$J$2),AND(ISNUMBER($AF1417),$AF1417&gt;=BUSCAR!$J$3,$AF1417&lt;=BUSCAR!$J$4))),1,0))</f>
      </c>
      <c r="AH1417" s="42">
        <f t="shared" si="66"/>
      </c>
      <c r="AI1417" s="42">
        <f t="shared" si="67"/>
      </c>
    </row>
    <row r="1418" spans="1:35" x14ac:dyDescent="0.2">
      <c r="A1418" s="66">
        <f t="shared" si="68"/>
      </c>
      <c r="B1418" s="4"/>
      <c r="C1418" s="4"/>
      <c r="D1418" s="4"/>
      <c r="E1418" s="4"/>
      <c r="F1418" s="24"/>
      <c r="G1418" s="8"/>
      <c r="H1418" s="9"/>
      <c r="I1418" s="8"/>
      <c r="J1418" s="10"/>
      <c r="K1418" s="8"/>
      <c r="L1418" s="8"/>
      <c r="M1418" s="8"/>
      <c r="N1418" s="11"/>
      <c r="O1418" s="9"/>
      <c r="P1418" s="12"/>
      <c r="Q1418" s="9"/>
      <c r="R1418" s="13"/>
      <c r="S1418" s="11"/>
      <c r="T1418" s="11"/>
      <c r="U1418" s="9"/>
      <c r="V1418" s="9"/>
      <c r="W1418" s="9"/>
      <c r="X1418" s="16"/>
      <c r="AF1418" s="42">
        <f>IF(BUSCAR!$C$8="FECHA NAC.",$G1418,IF(BUSCAR!$C$8="PASAPORTE EXPIRA",$J1418,IF(BUSCAR!$C$8="LICENCIA EMISION",$L1418,IF(BUSCAR!$C$8="LICENCIA EXPIRA",$M1418,""))))</f>
      </c>
      <c r="AG1418" s="42">
        <f>IF($B1418&amp;$C1418&amp;$D1418&amp;$E1418&amp;$H1418="",0,IF(AND(OR(BUSCAR!$J$5="",ISNUMBER(SEARCH(BUSCAR!$J$5,$AI1418))),OR(BUSCAR!$J$6="",ISNUMBER(SEARCH(BUSCAR!$J$6,$AI1418))),OR(BUSCAR!$J$8="",ISNUMBER(SEARCH(BUSCAR!$J$8,$AI1418))),OR(BUSCAR!$J$9="",ISNUMBER(SEARCH(BUSCAR!$J$9,$AI1418))),OR(NOT(BUSCAR!$J$2),AND(ISNUMBER($AF1418),$AF1418&gt;=BUSCAR!$J$3,$AF1418&lt;=BUSCAR!$J$4))),1,0))</f>
      </c>
      <c r="AH1418" s="42">
        <f t="shared" si="66"/>
      </c>
      <c r="AI1418" s="42">
        <f t="shared" si="67"/>
      </c>
    </row>
    <row r="1419" spans="1:35" x14ac:dyDescent="0.2">
      <c r="A1419" s="66">
        <f t="shared" si="68"/>
      </c>
      <c r="B1419" s="4"/>
      <c r="C1419" s="4"/>
      <c r="D1419" s="4"/>
      <c r="E1419" s="4"/>
      <c r="F1419" s="24"/>
      <c r="G1419" s="8"/>
      <c r="H1419" s="9"/>
      <c r="I1419" s="8"/>
      <c r="J1419" s="10"/>
      <c r="K1419" s="8"/>
      <c r="L1419" s="8"/>
      <c r="M1419" s="8"/>
      <c r="N1419" s="11"/>
      <c r="O1419" s="9"/>
      <c r="P1419" s="12"/>
      <c r="Q1419" s="9"/>
      <c r="R1419" s="13"/>
      <c r="S1419" s="11"/>
      <c r="T1419" s="11"/>
      <c r="U1419" s="9"/>
      <c r="V1419" s="9"/>
      <c r="W1419" s="9"/>
      <c r="X1419" s="16"/>
      <c r="AF1419" s="42">
        <f>IF(BUSCAR!$C$8="FECHA NAC.",$G1419,IF(BUSCAR!$C$8="PASAPORTE EXPIRA",$J1419,IF(BUSCAR!$C$8="LICENCIA EMISION",$L1419,IF(BUSCAR!$C$8="LICENCIA EXPIRA",$M1419,""))))</f>
      </c>
      <c r="AG1419" s="42">
        <f>IF($B1419&amp;$C1419&amp;$D1419&amp;$E1419&amp;$H1419="",0,IF(AND(OR(BUSCAR!$J$5="",ISNUMBER(SEARCH(BUSCAR!$J$5,$AI1419))),OR(BUSCAR!$J$6="",ISNUMBER(SEARCH(BUSCAR!$J$6,$AI1419))),OR(BUSCAR!$J$8="",ISNUMBER(SEARCH(BUSCAR!$J$8,$AI1419))),OR(BUSCAR!$J$9="",ISNUMBER(SEARCH(BUSCAR!$J$9,$AI1419))),OR(NOT(BUSCAR!$J$2),AND(ISNUMBER($AF1419),$AF1419&gt;=BUSCAR!$J$3,$AF1419&lt;=BUSCAR!$J$4))),1,0))</f>
      </c>
      <c r="AH1419" s="42">
        <f t="shared" si="66"/>
      </c>
      <c r="AI1419" s="42">
        <f t="shared" si="67"/>
      </c>
    </row>
    <row r="1420" spans="1:35" x14ac:dyDescent="0.2">
      <c r="A1420" s="66">
        <f t="shared" si="68"/>
      </c>
      <c r="B1420" s="4"/>
      <c r="C1420" s="4"/>
      <c r="D1420" s="4"/>
      <c r="E1420" s="4"/>
      <c r="F1420" s="24"/>
      <c r="G1420" s="8"/>
      <c r="H1420" s="9"/>
      <c r="I1420" s="8"/>
      <c r="J1420" s="10"/>
      <c r="K1420" s="8"/>
      <c r="L1420" s="8"/>
      <c r="M1420" s="8"/>
      <c r="N1420" s="11"/>
      <c r="O1420" s="9"/>
      <c r="P1420" s="12"/>
      <c r="Q1420" s="9"/>
      <c r="R1420" s="13"/>
      <c r="S1420" s="11"/>
      <c r="T1420" s="11"/>
      <c r="U1420" s="9"/>
      <c r="V1420" s="9"/>
      <c r="W1420" s="9"/>
      <c r="X1420" s="16"/>
      <c r="AF1420" s="42">
        <f>IF(BUSCAR!$C$8="FECHA NAC.",$G1420,IF(BUSCAR!$C$8="PASAPORTE EXPIRA",$J1420,IF(BUSCAR!$C$8="LICENCIA EMISION",$L1420,IF(BUSCAR!$C$8="LICENCIA EXPIRA",$M1420,""))))</f>
      </c>
      <c r="AG1420" s="42">
        <f>IF($B1420&amp;$C1420&amp;$D1420&amp;$E1420&amp;$H1420="",0,IF(AND(OR(BUSCAR!$J$5="",ISNUMBER(SEARCH(BUSCAR!$J$5,$AI1420))),OR(BUSCAR!$J$6="",ISNUMBER(SEARCH(BUSCAR!$J$6,$AI1420))),OR(BUSCAR!$J$8="",ISNUMBER(SEARCH(BUSCAR!$J$8,$AI1420))),OR(BUSCAR!$J$9="",ISNUMBER(SEARCH(BUSCAR!$J$9,$AI1420))),OR(NOT(BUSCAR!$J$2),AND(ISNUMBER($AF1420),$AF1420&gt;=BUSCAR!$J$3,$AF1420&lt;=BUSCAR!$J$4))),1,0))</f>
      </c>
      <c r="AH1420" s="42">
        <f t="shared" si="66"/>
      </c>
      <c r="AI1420" s="42">
        <f t="shared" si="67"/>
      </c>
    </row>
    <row r="1421" spans="1:35" x14ac:dyDescent="0.2">
      <c r="A1421" s="66">
        <f t="shared" si="68"/>
      </c>
      <c r="B1421" s="4"/>
      <c r="C1421" s="4"/>
      <c r="D1421" s="4"/>
      <c r="E1421" s="4"/>
      <c r="F1421" s="24"/>
      <c r="G1421" s="8"/>
      <c r="H1421" s="9"/>
      <c r="I1421" s="8"/>
      <c r="J1421" s="10"/>
      <c r="K1421" s="8"/>
      <c r="L1421" s="8"/>
      <c r="M1421" s="8"/>
      <c r="N1421" s="11"/>
      <c r="O1421" s="9"/>
      <c r="P1421" s="12"/>
      <c r="Q1421" s="9"/>
      <c r="R1421" s="13"/>
      <c r="S1421" s="11"/>
      <c r="T1421" s="11"/>
      <c r="U1421" s="9"/>
      <c r="V1421" s="9"/>
      <c r="W1421" s="9"/>
      <c r="X1421" s="16"/>
      <c r="AF1421" s="42">
        <f>IF(BUSCAR!$C$8="FECHA NAC.",$G1421,IF(BUSCAR!$C$8="PASAPORTE EXPIRA",$J1421,IF(BUSCAR!$C$8="LICENCIA EMISION",$L1421,IF(BUSCAR!$C$8="LICENCIA EXPIRA",$M1421,""))))</f>
      </c>
      <c r="AG1421" s="42">
        <f>IF($B1421&amp;$C1421&amp;$D1421&amp;$E1421&amp;$H1421="",0,IF(AND(OR(BUSCAR!$J$5="",ISNUMBER(SEARCH(BUSCAR!$J$5,$AI1421))),OR(BUSCAR!$J$6="",ISNUMBER(SEARCH(BUSCAR!$J$6,$AI1421))),OR(BUSCAR!$J$8="",ISNUMBER(SEARCH(BUSCAR!$J$8,$AI1421))),OR(BUSCAR!$J$9="",ISNUMBER(SEARCH(BUSCAR!$J$9,$AI1421))),OR(NOT(BUSCAR!$J$2),AND(ISNUMBER($AF1421),$AF1421&gt;=BUSCAR!$J$3,$AF1421&lt;=BUSCAR!$J$4))),1,0))</f>
      </c>
      <c r="AH1421" s="42">
        <f t="shared" si="66"/>
      </c>
      <c r="AI1421" s="42">
        <f t="shared" si="67"/>
      </c>
    </row>
    <row r="1422" spans="1:35" x14ac:dyDescent="0.2">
      <c r="A1422" s="66">
        <f t="shared" si="68"/>
      </c>
      <c r="B1422" s="4"/>
      <c r="C1422" s="4"/>
      <c r="D1422" s="4"/>
      <c r="E1422" s="4"/>
      <c r="F1422" s="24"/>
      <c r="G1422" s="8"/>
      <c r="H1422" s="9"/>
      <c r="I1422" s="8"/>
      <c r="J1422" s="10"/>
      <c r="K1422" s="8"/>
      <c r="L1422" s="8"/>
      <c r="M1422" s="8"/>
      <c r="N1422" s="11"/>
      <c r="O1422" s="9"/>
      <c r="P1422" s="12"/>
      <c r="Q1422" s="9"/>
      <c r="R1422" s="13"/>
      <c r="S1422" s="11"/>
      <c r="T1422" s="11"/>
      <c r="U1422" s="9"/>
      <c r="V1422" s="9"/>
      <c r="W1422" s="9"/>
      <c r="X1422" s="16"/>
      <c r="AF1422" s="42">
        <f>IF(BUSCAR!$C$8="FECHA NAC.",$G1422,IF(BUSCAR!$C$8="PASAPORTE EXPIRA",$J1422,IF(BUSCAR!$C$8="LICENCIA EMISION",$L1422,IF(BUSCAR!$C$8="LICENCIA EXPIRA",$M1422,""))))</f>
      </c>
      <c r="AG1422" s="42">
        <f>IF($B1422&amp;$C1422&amp;$D1422&amp;$E1422&amp;$H1422="",0,IF(AND(OR(BUSCAR!$J$5="",ISNUMBER(SEARCH(BUSCAR!$J$5,$AI1422))),OR(BUSCAR!$J$6="",ISNUMBER(SEARCH(BUSCAR!$J$6,$AI1422))),OR(BUSCAR!$J$8="",ISNUMBER(SEARCH(BUSCAR!$J$8,$AI1422))),OR(BUSCAR!$J$9="",ISNUMBER(SEARCH(BUSCAR!$J$9,$AI1422))),OR(NOT(BUSCAR!$J$2),AND(ISNUMBER($AF1422),$AF1422&gt;=BUSCAR!$J$3,$AF1422&lt;=BUSCAR!$J$4))),1,0))</f>
      </c>
      <c r="AH1422" s="42">
        <f t="shared" si="66"/>
      </c>
      <c r="AI1422" s="42">
        <f t="shared" si="67"/>
      </c>
    </row>
    <row r="1423" spans="1:35" x14ac:dyDescent="0.2">
      <c r="A1423" s="66">
        <f t="shared" si="68"/>
      </c>
      <c r="B1423" s="4"/>
      <c r="C1423" s="4"/>
      <c r="D1423" s="4"/>
      <c r="E1423" s="4"/>
      <c r="F1423" s="24"/>
      <c r="G1423" s="8"/>
      <c r="H1423" s="9"/>
      <c r="I1423" s="8"/>
      <c r="J1423" s="10"/>
      <c r="K1423" s="8"/>
      <c r="L1423" s="8"/>
      <c r="M1423" s="8"/>
      <c r="N1423" s="11"/>
      <c r="O1423" s="9"/>
      <c r="P1423" s="12"/>
      <c r="Q1423" s="9"/>
      <c r="R1423" s="13"/>
      <c r="S1423" s="11"/>
      <c r="T1423" s="11"/>
      <c r="U1423" s="9"/>
      <c r="V1423" s="9"/>
      <c r="W1423" s="9"/>
      <c r="X1423" s="16"/>
      <c r="AF1423" s="42">
        <f>IF(BUSCAR!$C$8="FECHA NAC.",$G1423,IF(BUSCAR!$C$8="PASAPORTE EXPIRA",$J1423,IF(BUSCAR!$C$8="LICENCIA EMISION",$L1423,IF(BUSCAR!$C$8="LICENCIA EXPIRA",$M1423,""))))</f>
      </c>
      <c r="AG1423" s="42">
        <f>IF($B1423&amp;$C1423&amp;$D1423&amp;$E1423&amp;$H1423="",0,IF(AND(OR(BUSCAR!$J$5="",ISNUMBER(SEARCH(BUSCAR!$J$5,$AI1423))),OR(BUSCAR!$J$6="",ISNUMBER(SEARCH(BUSCAR!$J$6,$AI1423))),OR(BUSCAR!$J$8="",ISNUMBER(SEARCH(BUSCAR!$J$8,$AI1423))),OR(BUSCAR!$J$9="",ISNUMBER(SEARCH(BUSCAR!$J$9,$AI1423))),OR(NOT(BUSCAR!$J$2),AND(ISNUMBER($AF1423),$AF1423&gt;=BUSCAR!$J$3,$AF1423&lt;=BUSCAR!$J$4))),1,0))</f>
      </c>
      <c r="AH1423" s="42">
        <f t="shared" si="66"/>
      </c>
      <c r="AI1423" s="42">
        <f t="shared" si="67"/>
      </c>
    </row>
    <row r="1424" spans="1:35" x14ac:dyDescent="0.2">
      <c r="A1424" s="66">
        <f t="shared" si="68"/>
      </c>
      <c r="B1424" s="4"/>
      <c r="C1424" s="4"/>
      <c r="D1424" s="4"/>
      <c r="E1424" s="4"/>
      <c r="F1424" s="24"/>
      <c r="G1424" s="8"/>
      <c r="H1424" s="9"/>
      <c r="I1424" s="8"/>
      <c r="J1424" s="10"/>
      <c r="K1424" s="8"/>
      <c r="L1424" s="8"/>
      <c r="M1424" s="8"/>
      <c r="N1424" s="11"/>
      <c r="O1424" s="9"/>
      <c r="P1424" s="12"/>
      <c r="Q1424" s="9"/>
      <c r="R1424" s="13"/>
      <c r="S1424" s="11"/>
      <c r="T1424" s="11"/>
      <c r="U1424" s="9"/>
      <c r="V1424" s="9"/>
      <c r="W1424" s="9"/>
      <c r="X1424" s="16"/>
      <c r="AF1424" s="42">
        <f>IF(BUSCAR!$C$8="FECHA NAC.",$G1424,IF(BUSCAR!$C$8="PASAPORTE EXPIRA",$J1424,IF(BUSCAR!$C$8="LICENCIA EMISION",$L1424,IF(BUSCAR!$C$8="LICENCIA EXPIRA",$M1424,""))))</f>
      </c>
      <c r="AG1424" s="42">
        <f>IF($B1424&amp;$C1424&amp;$D1424&amp;$E1424&amp;$H1424="",0,IF(AND(OR(BUSCAR!$J$5="",ISNUMBER(SEARCH(BUSCAR!$J$5,$AI1424))),OR(BUSCAR!$J$6="",ISNUMBER(SEARCH(BUSCAR!$J$6,$AI1424))),OR(BUSCAR!$J$8="",ISNUMBER(SEARCH(BUSCAR!$J$8,$AI1424))),OR(BUSCAR!$J$9="",ISNUMBER(SEARCH(BUSCAR!$J$9,$AI1424))),OR(NOT(BUSCAR!$J$2),AND(ISNUMBER($AF1424),$AF1424&gt;=BUSCAR!$J$3,$AF1424&lt;=BUSCAR!$J$4))),1,0))</f>
      </c>
      <c r="AH1424" s="42">
        <f t="shared" si="66"/>
      </c>
      <c r="AI1424" s="42">
        <f t="shared" si="67"/>
      </c>
    </row>
    <row r="1425" spans="1:35" x14ac:dyDescent="0.2">
      <c r="A1425" s="66">
        <f t="shared" si="68"/>
      </c>
      <c r="B1425" s="4"/>
      <c r="C1425" s="4"/>
      <c r="D1425" s="4"/>
      <c r="E1425" s="4"/>
      <c r="F1425" s="24"/>
      <c r="G1425" s="8"/>
      <c r="H1425" s="9"/>
      <c r="I1425" s="8"/>
      <c r="J1425" s="10"/>
      <c r="K1425" s="8"/>
      <c r="L1425" s="8"/>
      <c r="M1425" s="8"/>
      <c r="N1425" s="11"/>
      <c r="O1425" s="9"/>
      <c r="P1425" s="12"/>
      <c r="Q1425" s="9"/>
      <c r="R1425" s="13"/>
      <c r="S1425" s="11"/>
      <c r="T1425" s="11"/>
      <c r="U1425" s="9"/>
      <c r="V1425" s="9"/>
      <c r="W1425" s="9"/>
      <c r="X1425" s="16"/>
      <c r="AF1425" s="42">
        <f>IF(BUSCAR!$C$8="FECHA NAC.",$G1425,IF(BUSCAR!$C$8="PASAPORTE EXPIRA",$J1425,IF(BUSCAR!$C$8="LICENCIA EMISION",$L1425,IF(BUSCAR!$C$8="LICENCIA EXPIRA",$M1425,""))))</f>
      </c>
      <c r="AG1425" s="42">
        <f>IF($B1425&amp;$C1425&amp;$D1425&amp;$E1425&amp;$H1425="",0,IF(AND(OR(BUSCAR!$J$5="",ISNUMBER(SEARCH(BUSCAR!$J$5,$AI1425))),OR(BUSCAR!$J$6="",ISNUMBER(SEARCH(BUSCAR!$J$6,$AI1425))),OR(BUSCAR!$J$8="",ISNUMBER(SEARCH(BUSCAR!$J$8,$AI1425))),OR(BUSCAR!$J$9="",ISNUMBER(SEARCH(BUSCAR!$J$9,$AI1425))),OR(NOT(BUSCAR!$J$2),AND(ISNUMBER($AF1425),$AF1425&gt;=BUSCAR!$J$3,$AF1425&lt;=BUSCAR!$J$4))),1,0))</f>
      </c>
      <c r="AH1425" s="42">
        <f t="shared" si="66"/>
      </c>
      <c r="AI1425" s="42">
        <f t="shared" si="67"/>
      </c>
    </row>
    <row r="1426" spans="1:35" x14ac:dyDescent="0.2">
      <c r="A1426" s="66">
        <f t="shared" si="68"/>
      </c>
      <c r="B1426" s="4"/>
      <c r="C1426" s="4"/>
      <c r="D1426" s="4"/>
      <c r="E1426" s="4"/>
      <c r="F1426" s="24"/>
      <c r="G1426" s="8"/>
      <c r="H1426" s="9"/>
      <c r="I1426" s="8"/>
      <c r="J1426" s="10"/>
      <c r="K1426" s="8"/>
      <c r="L1426" s="8"/>
      <c r="M1426" s="8"/>
      <c r="N1426" s="11"/>
      <c r="O1426" s="9"/>
      <c r="P1426" s="12"/>
      <c r="Q1426" s="9"/>
      <c r="R1426" s="13"/>
      <c r="S1426" s="11"/>
      <c r="T1426" s="11"/>
      <c r="U1426" s="9"/>
      <c r="V1426" s="9"/>
      <c r="W1426" s="9"/>
      <c r="X1426" s="16"/>
      <c r="AF1426" s="42">
        <f>IF(BUSCAR!$C$8="FECHA NAC.",$G1426,IF(BUSCAR!$C$8="PASAPORTE EXPIRA",$J1426,IF(BUSCAR!$C$8="LICENCIA EMISION",$L1426,IF(BUSCAR!$C$8="LICENCIA EXPIRA",$M1426,""))))</f>
      </c>
      <c r="AG1426" s="42">
        <f>IF($B1426&amp;$C1426&amp;$D1426&amp;$E1426&amp;$H1426="",0,IF(AND(OR(BUSCAR!$J$5="",ISNUMBER(SEARCH(BUSCAR!$J$5,$AI1426))),OR(BUSCAR!$J$6="",ISNUMBER(SEARCH(BUSCAR!$J$6,$AI1426))),OR(BUSCAR!$J$8="",ISNUMBER(SEARCH(BUSCAR!$J$8,$AI1426))),OR(BUSCAR!$J$9="",ISNUMBER(SEARCH(BUSCAR!$J$9,$AI1426))),OR(NOT(BUSCAR!$J$2),AND(ISNUMBER($AF1426),$AF1426&gt;=BUSCAR!$J$3,$AF1426&lt;=BUSCAR!$J$4))),1,0))</f>
      </c>
      <c r="AH1426" s="42">
        <f t="shared" si="66"/>
      </c>
      <c r="AI1426" s="42">
        <f t="shared" si="67"/>
      </c>
    </row>
    <row r="1427" spans="1:35" x14ac:dyDescent="0.2">
      <c r="A1427" s="66">
        <f t="shared" si="68"/>
      </c>
      <c r="B1427" s="4"/>
      <c r="C1427" s="4"/>
      <c r="D1427" s="4"/>
      <c r="E1427" s="4"/>
      <c r="F1427" s="24"/>
      <c r="G1427" s="8"/>
      <c r="H1427" s="9"/>
      <c r="I1427" s="8"/>
      <c r="J1427" s="10"/>
      <c r="K1427" s="8"/>
      <c r="L1427" s="8"/>
      <c r="M1427" s="8"/>
      <c r="N1427" s="11"/>
      <c r="O1427" s="9"/>
      <c r="P1427" s="12"/>
      <c r="Q1427" s="9"/>
      <c r="R1427" s="13"/>
      <c r="S1427" s="11"/>
      <c r="T1427" s="11"/>
      <c r="U1427" s="9"/>
      <c r="V1427" s="9"/>
      <c r="W1427" s="9"/>
      <c r="X1427" s="16"/>
      <c r="AF1427" s="42">
        <f>IF(BUSCAR!$C$8="FECHA NAC.",$G1427,IF(BUSCAR!$C$8="PASAPORTE EXPIRA",$J1427,IF(BUSCAR!$C$8="LICENCIA EMISION",$L1427,IF(BUSCAR!$C$8="LICENCIA EXPIRA",$M1427,""))))</f>
      </c>
      <c r="AG1427" s="42">
        <f>IF($B1427&amp;$C1427&amp;$D1427&amp;$E1427&amp;$H1427="",0,IF(AND(OR(BUSCAR!$J$5="",ISNUMBER(SEARCH(BUSCAR!$J$5,$AI1427))),OR(BUSCAR!$J$6="",ISNUMBER(SEARCH(BUSCAR!$J$6,$AI1427))),OR(BUSCAR!$J$8="",ISNUMBER(SEARCH(BUSCAR!$J$8,$AI1427))),OR(BUSCAR!$J$9="",ISNUMBER(SEARCH(BUSCAR!$J$9,$AI1427))),OR(NOT(BUSCAR!$J$2),AND(ISNUMBER($AF1427),$AF1427&gt;=BUSCAR!$J$3,$AF1427&lt;=BUSCAR!$J$4))),1,0))</f>
      </c>
      <c r="AH1427" s="42">
        <f t="shared" si="66"/>
      </c>
      <c r="AI1427" s="42">
        <f t="shared" si="67"/>
      </c>
    </row>
    <row r="1428" spans="1:35" x14ac:dyDescent="0.2">
      <c r="A1428" s="66">
        <f t="shared" si="68"/>
      </c>
      <c r="B1428" s="4"/>
      <c r="C1428" s="4"/>
      <c r="D1428" s="4"/>
      <c r="E1428" s="4"/>
      <c r="F1428" s="24"/>
      <c r="G1428" s="8"/>
      <c r="H1428" s="9"/>
      <c r="I1428" s="8"/>
      <c r="J1428" s="10"/>
      <c r="K1428" s="8"/>
      <c r="L1428" s="8"/>
      <c r="M1428" s="8"/>
      <c r="N1428" s="11"/>
      <c r="O1428" s="9"/>
      <c r="P1428" s="12"/>
      <c r="Q1428" s="9"/>
      <c r="R1428" s="13"/>
      <c r="S1428" s="11"/>
      <c r="T1428" s="11"/>
      <c r="U1428" s="9"/>
      <c r="V1428" s="9"/>
      <c r="W1428" s="9"/>
      <c r="X1428" s="16"/>
      <c r="AF1428" s="42">
        <f>IF(BUSCAR!$C$8="FECHA NAC.",$G1428,IF(BUSCAR!$C$8="PASAPORTE EXPIRA",$J1428,IF(BUSCAR!$C$8="LICENCIA EMISION",$L1428,IF(BUSCAR!$C$8="LICENCIA EXPIRA",$M1428,""))))</f>
      </c>
      <c r="AG1428" s="42">
        <f>IF($B1428&amp;$C1428&amp;$D1428&amp;$E1428&amp;$H1428="",0,IF(AND(OR(BUSCAR!$J$5="",ISNUMBER(SEARCH(BUSCAR!$J$5,$AI1428))),OR(BUSCAR!$J$6="",ISNUMBER(SEARCH(BUSCAR!$J$6,$AI1428))),OR(BUSCAR!$J$8="",ISNUMBER(SEARCH(BUSCAR!$J$8,$AI1428))),OR(BUSCAR!$J$9="",ISNUMBER(SEARCH(BUSCAR!$J$9,$AI1428))),OR(NOT(BUSCAR!$J$2),AND(ISNUMBER($AF1428),$AF1428&gt;=BUSCAR!$J$3,$AF1428&lt;=BUSCAR!$J$4))),1,0))</f>
      </c>
      <c r="AH1428" s="42">
        <f t="shared" si="66"/>
      </c>
      <c r="AI1428" s="42">
        <f t="shared" si="67"/>
      </c>
    </row>
    <row r="1429" spans="1:35" x14ac:dyDescent="0.2">
      <c r="A1429" s="66">
        <f t="shared" si="68"/>
      </c>
      <c r="B1429" s="4"/>
      <c r="C1429" s="4"/>
      <c r="D1429" s="4"/>
      <c r="E1429" s="4"/>
      <c r="F1429" s="24"/>
      <c r="G1429" s="8"/>
      <c r="H1429" s="9"/>
      <c r="I1429" s="8"/>
      <c r="J1429" s="10"/>
      <c r="K1429" s="8"/>
      <c r="L1429" s="8"/>
      <c r="M1429" s="8"/>
      <c r="N1429" s="11"/>
      <c r="O1429" s="9"/>
      <c r="P1429" s="12"/>
      <c r="Q1429" s="9"/>
      <c r="R1429" s="13"/>
      <c r="S1429" s="11"/>
      <c r="T1429" s="11"/>
      <c r="U1429" s="9"/>
      <c r="V1429" s="9"/>
      <c r="W1429" s="9"/>
      <c r="X1429" s="16"/>
      <c r="AF1429" s="42">
        <f>IF(BUSCAR!$C$8="FECHA NAC.",$G1429,IF(BUSCAR!$C$8="PASAPORTE EXPIRA",$J1429,IF(BUSCAR!$C$8="LICENCIA EMISION",$L1429,IF(BUSCAR!$C$8="LICENCIA EXPIRA",$M1429,""))))</f>
      </c>
      <c r="AG1429" s="42">
        <f>IF($B1429&amp;$C1429&amp;$D1429&amp;$E1429&amp;$H1429="",0,IF(AND(OR(BUSCAR!$J$5="",ISNUMBER(SEARCH(BUSCAR!$J$5,$AI1429))),OR(BUSCAR!$J$6="",ISNUMBER(SEARCH(BUSCAR!$J$6,$AI1429))),OR(BUSCAR!$J$8="",ISNUMBER(SEARCH(BUSCAR!$J$8,$AI1429))),OR(BUSCAR!$J$9="",ISNUMBER(SEARCH(BUSCAR!$J$9,$AI1429))),OR(NOT(BUSCAR!$J$2),AND(ISNUMBER($AF1429),$AF1429&gt;=BUSCAR!$J$3,$AF1429&lt;=BUSCAR!$J$4))),1,0))</f>
      </c>
      <c r="AH1429" s="42">
        <f t="shared" si="66"/>
      </c>
      <c r="AI1429" s="42">
        <f t="shared" si="67"/>
      </c>
    </row>
    <row r="1430" spans="1:35" x14ac:dyDescent="0.2">
      <c r="A1430" s="66">
        <f t="shared" si="68"/>
      </c>
      <c r="B1430" s="4"/>
      <c r="C1430" s="4"/>
      <c r="D1430" s="4"/>
      <c r="E1430" s="4"/>
      <c r="F1430" s="24"/>
      <c r="G1430" s="8"/>
      <c r="H1430" s="9"/>
      <c r="I1430" s="8"/>
      <c r="J1430" s="10"/>
      <c r="K1430" s="8"/>
      <c r="L1430" s="8"/>
      <c r="M1430" s="8"/>
      <c r="N1430" s="11"/>
      <c r="O1430" s="9"/>
      <c r="P1430" s="12"/>
      <c r="Q1430" s="9"/>
      <c r="R1430" s="13"/>
      <c r="S1430" s="11"/>
      <c r="T1430" s="11"/>
      <c r="U1430" s="9"/>
      <c r="V1430" s="9"/>
      <c r="W1430" s="9"/>
      <c r="X1430" s="16"/>
      <c r="AF1430" s="42">
        <f>IF(BUSCAR!$C$8="FECHA NAC.",$G1430,IF(BUSCAR!$C$8="PASAPORTE EXPIRA",$J1430,IF(BUSCAR!$C$8="LICENCIA EMISION",$L1430,IF(BUSCAR!$C$8="LICENCIA EXPIRA",$M1430,""))))</f>
      </c>
      <c r="AG1430" s="42">
        <f>IF($B1430&amp;$C1430&amp;$D1430&amp;$E1430&amp;$H1430="",0,IF(AND(OR(BUSCAR!$J$5="",ISNUMBER(SEARCH(BUSCAR!$J$5,$AI1430))),OR(BUSCAR!$J$6="",ISNUMBER(SEARCH(BUSCAR!$J$6,$AI1430))),OR(BUSCAR!$J$8="",ISNUMBER(SEARCH(BUSCAR!$J$8,$AI1430))),OR(BUSCAR!$J$9="",ISNUMBER(SEARCH(BUSCAR!$J$9,$AI1430))),OR(NOT(BUSCAR!$J$2),AND(ISNUMBER($AF1430),$AF1430&gt;=BUSCAR!$J$3,$AF1430&lt;=BUSCAR!$J$4))),1,0))</f>
      </c>
      <c r="AH1430" s="42">
        <f t="shared" si="66"/>
      </c>
      <c r="AI1430" s="42">
        <f t="shared" si="67"/>
      </c>
    </row>
    <row r="1431" spans="1:35" x14ac:dyDescent="0.2">
      <c r="A1431" s="66">
        <f t="shared" si="68"/>
      </c>
      <c r="B1431" s="4"/>
      <c r="C1431" s="4"/>
      <c r="D1431" s="4"/>
      <c r="E1431" s="4"/>
      <c r="F1431" s="24"/>
      <c r="G1431" s="8"/>
      <c r="H1431" s="9"/>
      <c r="I1431" s="8"/>
      <c r="J1431" s="10"/>
      <c r="K1431" s="8"/>
      <c r="L1431" s="8"/>
      <c r="M1431" s="8"/>
      <c r="N1431" s="11"/>
      <c r="O1431" s="9"/>
      <c r="P1431" s="12"/>
      <c r="Q1431" s="9"/>
      <c r="R1431" s="13"/>
      <c r="S1431" s="11"/>
      <c r="T1431" s="11"/>
      <c r="U1431" s="9"/>
      <c r="V1431" s="9"/>
      <c r="W1431" s="9"/>
      <c r="X1431" s="16"/>
      <c r="AF1431" s="42">
        <f>IF(BUSCAR!$C$8="FECHA NAC.",$G1431,IF(BUSCAR!$C$8="PASAPORTE EXPIRA",$J1431,IF(BUSCAR!$C$8="LICENCIA EMISION",$L1431,IF(BUSCAR!$C$8="LICENCIA EXPIRA",$M1431,""))))</f>
      </c>
      <c r="AG1431" s="42">
        <f>IF($B1431&amp;$C1431&amp;$D1431&amp;$E1431&amp;$H1431="",0,IF(AND(OR(BUSCAR!$J$5="",ISNUMBER(SEARCH(BUSCAR!$J$5,$AI1431))),OR(BUSCAR!$J$6="",ISNUMBER(SEARCH(BUSCAR!$J$6,$AI1431))),OR(BUSCAR!$J$8="",ISNUMBER(SEARCH(BUSCAR!$J$8,$AI1431))),OR(BUSCAR!$J$9="",ISNUMBER(SEARCH(BUSCAR!$J$9,$AI1431))),OR(NOT(BUSCAR!$J$2),AND(ISNUMBER($AF1431),$AF1431&gt;=BUSCAR!$J$3,$AF1431&lt;=BUSCAR!$J$4))),1,0))</f>
      </c>
      <c r="AH1431" s="42">
        <f t="shared" si="66"/>
      </c>
      <c r="AI1431" s="42">
        <f t="shared" si="67"/>
      </c>
    </row>
    <row r="1432" spans="1:35" x14ac:dyDescent="0.2">
      <c r="A1432" s="66">
        <f t="shared" si="68"/>
      </c>
      <c r="B1432" s="4"/>
      <c r="C1432" s="4"/>
      <c r="D1432" s="4"/>
      <c r="E1432" s="4"/>
      <c r="F1432" s="24"/>
      <c r="G1432" s="8"/>
      <c r="H1432" s="9"/>
      <c r="I1432" s="8"/>
      <c r="J1432" s="10"/>
      <c r="K1432" s="8"/>
      <c r="L1432" s="8"/>
      <c r="M1432" s="8"/>
      <c r="N1432" s="11"/>
      <c r="O1432" s="9"/>
      <c r="P1432" s="12"/>
      <c r="Q1432" s="9"/>
      <c r="R1432" s="13"/>
      <c r="S1432" s="11"/>
      <c r="T1432" s="11"/>
      <c r="U1432" s="9"/>
      <c r="V1432" s="9"/>
      <c r="W1432" s="9"/>
      <c r="X1432" s="16"/>
      <c r="AF1432" s="42">
        <f>IF(BUSCAR!$C$8="FECHA NAC.",$G1432,IF(BUSCAR!$C$8="PASAPORTE EXPIRA",$J1432,IF(BUSCAR!$C$8="LICENCIA EMISION",$L1432,IF(BUSCAR!$C$8="LICENCIA EXPIRA",$M1432,""))))</f>
      </c>
      <c r="AG1432" s="42">
        <f>IF($B1432&amp;$C1432&amp;$D1432&amp;$E1432&amp;$H1432="",0,IF(AND(OR(BUSCAR!$J$5="",ISNUMBER(SEARCH(BUSCAR!$J$5,$AI1432))),OR(BUSCAR!$J$6="",ISNUMBER(SEARCH(BUSCAR!$J$6,$AI1432))),OR(BUSCAR!$J$8="",ISNUMBER(SEARCH(BUSCAR!$J$8,$AI1432))),OR(BUSCAR!$J$9="",ISNUMBER(SEARCH(BUSCAR!$J$9,$AI1432))),OR(NOT(BUSCAR!$J$2),AND(ISNUMBER($AF1432),$AF1432&gt;=BUSCAR!$J$3,$AF1432&lt;=BUSCAR!$J$4))),1,0))</f>
      </c>
      <c r="AH1432" s="42">
        <f t="shared" si="66"/>
      </c>
      <c r="AI1432" s="42">
        <f t="shared" si="67"/>
      </c>
    </row>
    <row r="1433" spans="1:35" x14ac:dyDescent="0.2">
      <c r="A1433" s="66">
        <f t="shared" si="68"/>
      </c>
      <c r="B1433" s="4"/>
      <c r="C1433" s="4"/>
      <c r="D1433" s="4"/>
      <c r="E1433" s="4"/>
      <c r="F1433" s="24"/>
      <c r="G1433" s="8"/>
      <c r="H1433" s="9"/>
      <c r="I1433" s="8"/>
      <c r="J1433" s="10"/>
      <c r="K1433" s="8"/>
      <c r="L1433" s="8"/>
      <c r="M1433" s="8"/>
      <c r="N1433" s="11"/>
      <c r="O1433" s="9"/>
      <c r="P1433" s="12"/>
      <c r="Q1433" s="9"/>
      <c r="R1433" s="13"/>
      <c r="S1433" s="11"/>
      <c r="T1433" s="11"/>
      <c r="U1433" s="9"/>
      <c r="V1433" s="9"/>
      <c r="W1433" s="9"/>
      <c r="X1433" s="16"/>
      <c r="AF1433" s="42">
        <f>IF(BUSCAR!$C$8="FECHA NAC.",$G1433,IF(BUSCAR!$C$8="PASAPORTE EXPIRA",$J1433,IF(BUSCAR!$C$8="LICENCIA EMISION",$L1433,IF(BUSCAR!$C$8="LICENCIA EXPIRA",$M1433,""))))</f>
      </c>
      <c r="AG1433" s="42">
        <f>IF($B1433&amp;$C1433&amp;$D1433&amp;$E1433&amp;$H1433="",0,IF(AND(OR(BUSCAR!$J$5="",ISNUMBER(SEARCH(BUSCAR!$J$5,$AI1433))),OR(BUSCAR!$J$6="",ISNUMBER(SEARCH(BUSCAR!$J$6,$AI1433))),OR(BUSCAR!$J$8="",ISNUMBER(SEARCH(BUSCAR!$J$8,$AI1433))),OR(BUSCAR!$J$9="",ISNUMBER(SEARCH(BUSCAR!$J$9,$AI1433))),OR(NOT(BUSCAR!$J$2),AND(ISNUMBER($AF1433),$AF1433&gt;=BUSCAR!$J$3,$AF1433&lt;=BUSCAR!$J$4))),1,0))</f>
      </c>
      <c r="AH1433" s="42">
        <f t="shared" si="66"/>
      </c>
      <c r="AI1433" s="42">
        <f t="shared" si="67"/>
      </c>
    </row>
    <row r="1434" spans="1:35" x14ac:dyDescent="0.2">
      <c r="A1434" s="66">
        <f t="shared" si="68"/>
      </c>
      <c r="B1434" s="4"/>
      <c r="C1434" s="4"/>
      <c r="D1434" s="4"/>
      <c r="E1434" s="4"/>
      <c r="F1434" s="24"/>
      <c r="G1434" s="8"/>
      <c r="H1434" s="9"/>
      <c r="I1434" s="8"/>
      <c r="J1434" s="10"/>
      <c r="K1434" s="8"/>
      <c r="L1434" s="8"/>
      <c r="M1434" s="8"/>
      <c r="N1434" s="11"/>
      <c r="O1434" s="9"/>
      <c r="P1434" s="12"/>
      <c r="Q1434" s="9"/>
      <c r="R1434" s="13"/>
      <c r="S1434" s="11"/>
      <c r="T1434" s="11"/>
      <c r="U1434" s="9"/>
      <c r="V1434" s="9"/>
      <c r="W1434" s="9"/>
      <c r="X1434" s="16"/>
      <c r="AF1434" s="42">
        <f>IF(BUSCAR!$C$8="FECHA NAC.",$G1434,IF(BUSCAR!$C$8="PASAPORTE EXPIRA",$J1434,IF(BUSCAR!$C$8="LICENCIA EMISION",$L1434,IF(BUSCAR!$C$8="LICENCIA EXPIRA",$M1434,""))))</f>
      </c>
      <c r="AG1434" s="42">
        <f>IF($B1434&amp;$C1434&amp;$D1434&amp;$E1434&amp;$H1434="",0,IF(AND(OR(BUSCAR!$J$5="",ISNUMBER(SEARCH(BUSCAR!$J$5,$AI1434))),OR(BUSCAR!$J$6="",ISNUMBER(SEARCH(BUSCAR!$J$6,$AI1434))),OR(BUSCAR!$J$8="",ISNUMBER(SEARCH(BUSCAR!$J$8,$AI1434))),OR(BUSCAR!$J$9="",ISNUMBER(SEARCH(BUSCAR!$J$9,$AI1434))),OR(NOT(BUSCAR!$J$2),AND(ISNUMBER($AF1434),$AF1434&gt;=BUSCAR!$J$3,$AF1434&lt;=BUSCAR!$J$4))),1,0))</f>
      </c>
      <c r="AH1434" s="42">
        <f t="shared" si="66"/>
      </c>
      <c r="AI1434" s="42">
        <f t="shared" si="67"/>
      </c>
    </row>
    <row r="1435" spans="1:35" x14ac:dyDescent="0.2">
      <c r="A1435" s="66">
        <f t="shared" si="68"/>
      </c>
      <c r="B1435" s="4"/>
      <c r="C1435" s="4"/>
      <c r="D1435" s="4"/>
      <c r="E1435" s="4"/>
      <c r="F1435" s="24"/>
      <c r="G1435" s="8"/>
      <c r="H1435" s="9"/>
      <c r="I1435" s="8"/>
      <c r="J1435" s="10"/>
      <c r="K1435" s="8"/>
      <c r="L1435" s="8"/>
      <c r="M1435" s="8"/>
      <c r="N1435" s="11"/>
      <c r="O1435" s="9"/>
      <c r="P1435" s="12"/>
      <c r="Q1435" s="9"/>
      <c r="R1435" s="13"/>
      <c r="S1435" s="11"/>
      <c r="T1435" s="11"/>
      <c r="U1435" s="9"/>
      <c r="V1435" s="9"/>
      <c r="W1435" s="9"/>
      <c r="X1435" s="16"/>
      <c r="AF1435" s="42">
        <f>IF(BUSCAR!$C$8="FECHA NAC.",$G1435,IF(BUSCAR!$C$8="PASAPORTE EXPIRA",$J1435,IF(BUSCAR!$C$8="LICENCIA EMISION",$L1435,IF(BUSCAR!$C$8="LICENCIA EXPIRA",$M1435,""))))</f>
      </c>
      <c r="AG1435" s="42">
        <f>IF($B1435&amp;$C1435&amp;$D1435&amp;$E1435&amp;$H1435="",0,IF(AND(OR(BUSCAR!$J$5="",ISNUMBER(SEARCH(BUSCAR!$J$5,$AI1435))),OR(BUSCAR!$J$6="",ISNUMBER(SEARCH(BUSCAR!$J$6,$AI1435))),OR(BUSCAR!$J$8="",ISNUMBER(SEARCH(BUSCAR!$J$8,$AI1435))),OR(BUSCAR!$J$9="",ISNUMBER(SEARCH(BUSCAR!$J$9,$AI1435))),OR(NOT(BUSCAR!$J$2),AND(ISNUMBER($AF1435),$AF1435&gt;=BUSCAR!$J$3,$AF1435&lt;=BUSCAR!$J$4))),1,0))</f>
      </c>
      <c r="AH1435" s="42">
        <f t="shared" si="66"/>
      </c>
      <c r="AI1435" s="42">
        <f t="shared" si="67"/>
      </c>
    </row>
    <row r="1436" spans="1:35" x14ac:dyDescent="0.2">
      <c r="A1436" s="66">
        <f t="shared" si="68"/>
      </c>
      <c r="B1436" s="4"/>
      <c r="C1436" s="4"/>
      <c r="D1436" s="4"/>
      <c r="E1436" s="4"/>
      <c r="F1436" s="24"/>
      <c r="G1436" s="8"/>
      <c r="H1436" s="9"/>
      <c r="I1436" s="8"/>
      <c r="J1436" s="10"/>
      <c r="K1436" s="8"/>
      <c r="L1436" s="8"/>
      <c r="M1436" s="8"/>
      <c r="N1436" s="11"/>
      <c r="O1436" s="9"/>
      <c r="P1436" s="12"/>
      <c r="Q1436" s="9"/>
      <c r="R1436" s="13"/>
      <c r="S1436" s="11"/>
      <c r="T1436" s="11"/>
      <c r="U1436" s="9"/>
      <c r="V1436" s="9"/>
      <c r="W1436" s="9"/>
      <c r="X1436" s="16"/>
      <c r="AF1436" s="42">
        <f>IF(BUSCAR!$C$8="FECHA NAC.",$G1436,IF(BUSCAR!$C$8="PASAPORTE EXPIRA",$J1436,IF(BUSCAR!$C$8="LICENCIA EMISION",$L1436,IF(BUSCAR!$C$8="LICENCIA EXPIRA",$M1436,""))))</f>
      </c>
      <c r="AG1436" s="42">
        <f>IF($B1436&amp;$C1436&amp;$D1436&amp;$E1436&amp;$H1436="",0,IF(AND(OR(BUSCAR!$J$5="",ISNUMBER(SEARCH(BUSCAR!$J$5,$AI1436))),OR(BUSCAR!$J$6="",ISNUMBER(SEARCH(BUSCAR!$J$6,$AI1436))),OR(BUSCAR!$J$8="",ISNUMBER(SEARCH(BUSCAR!$J$8,$AI1436))),OR(BUSCAR!$J$9="",ISNUMBER(SEARCH(BUSCAR!$J$9,$AI1436))),OR(NOT(BUSCAR!$J$2),AND(ISNUMBER($AF1436),$AF1436&gt;=BUSCAR!$J$3,$AF1436&lt;=BUSCAR!$J$4))),1,0))</f>
      </c>
      <c r="AH1436" s="42">
        <f t="shared" si="66"/>
      </c>
      <c r="AI1436" s="42">
        <f t="shared" si="67"/>
      </c>
    </row>
    <row r="1437" spans="1:35" x14ac:dyDescent="0.2">
      <c r="A1437" s="66">
        <f t="shared" si="68"/>
      </c>
      <c r="B1437" s="4"/>
      <c r="C1437" s="4"/>
      <c r="D1437" s="4"/>
      <c r="E1437" s="4"/>
      <c r="F1437" s="24"/>
      <c r="G1437" s="8"/>
      <c r="H1437" s="9"/>
      <c r="I1437" s="8"/>
      <c r="J1437" s="10"/>
      <c r="K1437" s="8"/>
      <c r="L1437" s="8"/>
      <c r="M1437" s="8"/>
      <c r="N1437" s="11"/>
      <c r="O1437" s="9"/>
      <c r="P1437" s="12"/>
      <c r="Q1437" s="9"/>
      <c r="R1437" s="13"/>
      <c r="S1437" s="11"/>
      <c r="T1437" s="11"/>
      <c r="U1437" s="9"/>
      <c r="V1437" s="9"/>
      <c r="W1437" s="9"/>
      <c r="X1437" s="16"/>
      <c r="AF1437" s="42">
        <f>IF(BUSCAR!$C$8="FECHA NAC.",$G1437,IF(BUSCAR!$C$8="PASAPORTE EXPIRA",$J1437,IF(BUSCAR!$C$8="LICENCIA EMISION",$L1437,IF(BUSCAR!$C$8="LICENCIA EXPIRA",$M1437,""))))</f>
      </c>
      <c r="AG1437" s="42">
        <f>IF($B1437&amp;$C1437&amp;$D1437&amp;$E1437&amp;$H1437="",0,IF(AND(OR(BUSCAR!$J$5="",ISNUMBER(SEARCH(BUSCAR!$J$5,$AI1437))),OR(BUSCAR!$J$6="",ISNUMBER(SEARCH(BUSCAR!$J$6,$AI1437))),OR(BUSCAR!$J$8="",ISNUMBER(SEARCH(BUSCAR!$J$8,$AI1437))),OR(BUSCAR!$J$9="",ISNUMBER(SEARCH(BUSCAR!$J$9,$AI1437))),OR(NOT(BUSCAR!$J$2),AND(ISNUMBER($AF1437),$AF1437&gt;=BUSCAR!$J$3,$AF1437&lt;=BUSCAR!$J$4))),1,0))</f>
      </c>
      <c r="AH1437" s="42">
        <f t="shared" si="66"/>
      </c>
      <c r="AI1437" s="42">
        <f t="shared" si="67"/>
      </c>
    </row>
    <row r="1438" spans="1:35" x14ac:dyDescent="0.2">
      <c r="A1438" s="66">
        <f t="shared" si="68"/>
      </c>
      <c r="B1438" s="4"/>
      <c r="C1438" s="4"/>
      <c r="D1438" s="4"/>
      <c r="E1438" s="4"/>
      <c r="F1438" s="24"/>
      <c r="G1438" s="8"/>
      <c r="H1438" s="9"/>
      <c r="I1438" s="8"/>
      <c r="J1438" s="10"/>
      <c r="K1438" s="8"/>
      <c r="L1438" s="8"/>
      <c r="M1438" s="8"/>
      <c r="N1438" s="11"/>
      <c r="O1438" s="9"/>
      <c r="P1438" s="12"/>
      <c r="Q1438" s="9"/>
      <c r="R1438" s="13"/>
      <c r="S1438" s="11"/>
      <c r="T1438" s="11"/>
      <c r="U1438" s="9"/>
      <c r="V1438" s="9"/>
      <c r="W1438" s="9"/>
      <c r="X1438" s="16"/>
      <c r="AF1438" s="42">
        <f>IF(BUSCAR!$C$8="FECHA NAC.",$G1438,IF(BUSCAR!$C$8="PASAPORTE EXPIRA",$J1438,IF(BUSCAR!$C$8="LICENCIA EMISION",$L1438,IF(BUSCAR!$C$8="LICENCIA EXPIRA",$M1438,""))))</f>
      </c>
      <c r="AG1438" s="42">
        <f>IF($B1438&amp;$C1438&amp;$D1438&amp;$E1438&amp;$H1438="",0,IF(AND(OR(BUSCAR!$J$5="",ISNUMBER(SEARCH(BUSCAR!$J$5,$AI1438))),OR(BUSCAR!$J$6="",ISNUMBER(SEARCH(BUSCAR!$J$6,$AI1438))),OR(BUSCAR!$J$8="",ISNUMBER(SEARCH(BUSCAR!$J$8,$AI1438))),OR(BUSCAR!$J$9="",ISNUMBER(SEARCH(BUSCAR!$J$9,$AI1438))),OR(NOT(BUSCAR!$J$2),AND(ISNUMBER($AF1438),$AF1438&gt;=BUSCAR!$J$3,$AF1438&lt;=BUSCAR!$J$4))),1,0))</f>
      </c>
      <c r="AH1438" s="42">
        <f t="shared" si="66"/>
      </c>
      <c r="AI1438" s="42">
        <f t="shared" si="67"/>
      </c>
    </row>
    <row r="1439" spans="1:35" x14ac:dyDescent="0.2">
      <c r="A1439" s="66">
        <f t="shared" si="68"/>
      </c>
      <c r="B1439" s="4"/>
      <c r="C1439" s="4"/>
      <c r="D1439" s="4"/>
      <c r="E1439" s="4"/>
      <c r="F1439" s="24"/>
      <c r="G1439" s="8"/>
      <c r="H1439" s="9"/>
      <c r="I1439" s="8"/>
      <c r="J1439" s="10"/>
      <c r="K1439" s="8"/>
      <c r="L1439" s="8"/>
      <c r="M1439" s="8"/>
      <c r="N1439" s="11"/>
      <c r="O1439" s="9"/>
      <c r="P1439" s="12"/>
      <c r="Q1439" s="9"/>
      <c r="R1439" s="13"/>
      <c r="S1439" s="11"/>
      <c r="T1439" s="11"/>
      <c r="U1439" s="9"/>
      <c r="V1439" s="9"/>
      <c r="W1439" s="9"/>
      <c r="X1439" s="16"/>
      <c r="AF1439" s="42">
        <f>IF(BUSCAR!$C$8="FECHA NAC.",$G1439,IF(BUSCAR!$C$8="PASAPORTE EXPIRA",$J1439,IF(BUSCAR!$C$8="LICENCIA EMISION",$L1439,IF(BUSCAR!$C$8="LICENCIA EXPIRA",$M1439,""))))</f>
      </c>
      <c r="AG1439" s="42">
        <f>IF($B1439&amp;$C1439&amp;$D1439&amp;$E1439&amp;$H1439="",0,IF(AND(OR(BUSCAR!$J$5="",ISNUMBER(SEARCH(BUSCAR!$J$5,$AI1439))),OR(BUSCAR!$J$6="",ISNUMBER(SEARCH(BUSCAR!$J$6,$AI1439))),OR(BUSCAR!$J$8="",ISNUMBER(SEARCH(BUSCAR!$J$8,$AI1439))),OR(BUSCAR!$J$9="",ISNUMBER(SEARCH(BUSCAR!$J$9,$AI1439))),OR(NOT(BUSCAR!$J$2),AND(ISNUMBER($AF1439),$AF1439&gt;=BUSCAR!$J$3,$AF1439&lt;=BUSCAR!$J$4))),1,0))</f>
      </c>
      <c r="AH1439" s="42">
        <f t="shared" si="66"/>
      </c>
      <c r="AI1439" s="42">
        <f t="shared" si="67"/>
      </c>
    </row>
    <row r="1440" spans="1:35" x14ac:dyDescent="0.2">
      <c r="A1440" s="66">
        <f t="shared" si="68"/>
      </c>
      <c r="B1440" s="4"/>
      <c r="C1440" s="4"/>
      <c r="D1440" s="4"/>
      <c r="E1440" s="4"/>
      <c r="F1440" s="24"/>
      <c r="G1440" s="8"/>
      <c r="H1440" s="9"/>
      <c r="I1440" s="8"/>
      <c r="J1440" s="10"/>
      <c r="K1440" s="8"/>
      <c r="L1440" s="8"/>
      <c r="M1440" s="8"/>
      <c r="N1440" s="11"/>
      <c r="O1440" s="9"/>
      <c r="P1440" s="12"/>
      <c r="Q1440" s="9"/>
      <c r="R1440" s="13"/>
      <c r="S1440" s="11"/>
      <c r="T1440" s="11"/>
      <c r="U1440" s="9"/>
      <c r="V1440" s="9"/>
      <c r="W1440" s="9"/>
      <c r="X1440" s="16"/>
      <c r="AF1440" s="42">
        <f>IF(BUSCAR!$C$8="FECHA NAC.",$G1440,IF(BUSCAR!$C$8="PASAPORTE EXPIRA",$J1440,IF(BUSCAR!$C$8="LICENCIA EMISION",$L1440,IF(BUSCAR!$C$8="LICENCIA EXPIRA",$M1440,""))))</f>
      </c>
      <c r="AG1440" s="42">
        <f>IF($B1440&amp;$C1440&amp;$D1440&amp;$E1440&amp;$H1440="",0,IF(AND(OR(BUSCAR!$J$5="",ISNUMBER(SEARCH(BUSCAR!$J$5,$AI1440))),OR(BUSCAR!$J$6="",ISNUMBER(SEARCH(BUSCAR!$J$6,$AI1440))),OR(BUSCAR!$J$8="",ISNUMBER(SEARCH(BUSCAR!$J$8,$AI1440))),OR(BUSCAR!$J$9="",ISNUMBER(SEARCH(BUSCAR!$J$9,$AI1440))),OR(NOT(BUSCAR!$J$2),AND(ISNUMBER($AF1440),$AF1440&gt;=BUSCAR!$J$3,$AF1440&lt;=BUSCAR!$J$4))),1,0))</f>
      </c>
      <c r="AH1440" s="42">
        <f t="shared" si="66"/>
      </c>
      <c r="AI1440" s="42">
        <f t="shared" si="67"/>
      </c>
    </row>
    <row r="1441" spans="1:35" x14ac:dyDescent="0.2">
      <c r="A1441" s="66">
        <f t="shared" si="68"/>
      </c>
      <c r="B1441" s="4"/>
      <c r="C1441" s="4"/>
      <c r="D1441" s="4"/>
      <c r="E1441" s="4"/>
      <c r="F1441" s="24"/>
      <c r="G1441" s="8"/>
      <c r="H1441" s="9"/>
      <c r="I1441" s="8"/>
      <c r="J1441" s="10"/>
      <c r="K1441" s="8"/>
      <c r="L1441" s="8"/>
      <c r="M1441" s="8"/>
      <c r="N1441" s="11"/>
      <c r="O1441" s="9"/>
      <c r="P1441" s="12"/>
      <c r="Q1441" s="9"/>
      <c r="R1441" s="13"/>
      <c r="S1441" s="11"/>
      <c r="T1441" s="11"/>
      <c r="U1441" s="9"/>
      <c r="V1441" s="9"/>
      <c r="W1441" s="9"/>
      <c r="X1441" s="16"/>
      <c r="AF1441" s="42">
        <f>IF(BUSCAR!$C$8="FECHA NAC.",$G1441,IF(BUSCAR!$C$8="PASAPORTE EXPIRA",$J1441,IF(BUSCAR!$C$8="LICENCIA EMISION",$L1441,IF(BUSCAR!$C$8="LICENCIA EXPIRA",$M1441,""))))</f>
      </c>
      <c r="AG1441" s="42">
        <f>IF($B1441&amp;$C1441&amp;$D1441&amp;$E1441&amp;$H1441="",0,IF(AND(OR(BUSCAR!$J$5="",ISNUMBER(SEARCH(BUSCAR!$J$5,$AI1441))),OR(BUSCAR!$J$6="",ISNUMBER(SEARCH(BUSCAR!$J$6,$AI1441))),OR(BUSCAR!$J$8="",ISNUMBER(SEARCH(BUSCAR!$J$8,$AI1441))),OR(BUSCAR!$J$9="",ISNUMBER(SEARCH(BUSCAR!$J$9,$AI1441))),OR(NOT(BUSCAR!$J$2),AND(ISNUMBER($AF1441),$AF1441&gt;=BUSCAR!$J$3,$AF1441&lt;=BUSCAR!$J$4))),1,0))</f>
      </c>
      <c r="AH1441" s="42">
        <f t="shared" si="66"/>
      </c>
      <c r="AI1441" s="42">
        <f t="shared" si="67"/>
      </c>
    </row>
    <row r="1442" spans="1:35" x14ac:dyDescent="0.2">
      <c r="A1442" s="66">
        <f t="shared" si="68"/>
      </c>
      <c r="B1442" s="4"/>
      <c r="C1442" s="4"/>
      <c r="D1442" s="4"/>
      <c r="E1442" s="4"/>
      <c r="F1442" s="24"/>
      <c r="G1442" s="8"/>
      <c r="H1442" s="9"/>
      <c r="I1442" s="8"/>
      <c r="J1442" s="10"/>
      <c r="K1442" s="8"/>
      <c r="L1442" s="8"/>
      <c r="M1442" s="8"/>
      <c r="N1442" s="11"/>
      <c r="O1442" s="9"/>
      <c r="P1442" s="12"/>
      <c r="Q1442" s="9"/>
      <c r="R1442" s="13"/>
      <c r="S1442" s="11"/>
      <c r="T1442" s="11"/>
      <c r="U1442" s="9"/>
      <c r="V1442" s="9"/>
      <c r="W1442" s="9"/>
      <c r="X1442" s="16"/>
      <c r="AF1442" s="42">
        <f>IF(BUSCAR!$C$8="FECHA NAC.",$G1442,IF(BUSCAR!$C$8="PASAPORTE EXPIRA",$J1442,IF(BUSCAR!$C$8="LICENCIA EMISION",$L1442,IF(BUSCAR!$C$8="LICENCIA EXPIRA",$M1442,""))))</f>
      </c>
      <c r="AG1442" s="42">
        <f>IF($B1442&amp;$C1442&amp;$D1442&amp;$E1442&amp;$H1442="",0,IF(AND(OR(BUSCAR!$J$5="",ISNUMBER(SEARCH(BUSCAR!$J$5,$AI1442))),OR(BUSCAR!$J$6="",ISNUMBER(SEARCH(BUSCAR!$J$6,$AI1442))),OR(BUSCAR!$J$8="",ISNUMBER(SEARCH(BUSCAR!$J$8,$AI1442))),OR(BUSCAR!$J$9="",ISNUMBER(SEARCH(BUSCAR!$J$9,$AI1442))),OR(NOT(BUSCAR!$J$2),AND(ISNUMBER($AF1442),$AF1442&gt;=BUSCAR!$J$3,$AF1442&lt;=BUSCAR!$J$4))),1,0))</f>
      </c>
      <c r="AH1442" s="42">
        <f t="shared" si="66"/>
      </c>
      <c r="AI1442" s="42">
        <f t="shared" si="67"/>
      </c>
    </row>
    <row r="1443" spans="1:35" x14ac:dyDescent="0.2">
      <c r="A1443" s="66">
        <f t="shared" si="68"/>
      </c>
      <c r="B1443" s="4"/>
      <c r="C1443" s="4"/>
      <c r="D1443" s="4"/>
      <c r="E1443" s="4"/>
      <c r="F1443" s="24"/>
      <c r="G1443" s="8"/>
      <c r="H1443" s="9"/>
      <c r="I1443" s="8"/>
      <c r="J1443" s="10"/>
      <c r="K1443" s="8"/>
      <c r="L1443" s="8"/>
      <c r="M1443" s="8"/>
      <c r="N1443" s="11"/>
      <c r="O1443" s="9"/>
      <c r="P1443" s="12"/>
      <c r="Q1443" s="9"/>
      <c r="R1443" s="13"/>
      <c r="S1443" s="11"/>
      <c r="T1443" s="11"/>
      <c r="U1443" s="9"/>
      <c r="V1443" s="9"/>
      <c r="W1443" s="9"/>
      <c r="X1443" s="16"/>
      <c r="AF1443" s="42">
        <f>IF(BUSCAR!$C$8="FECHA NAC.",$G1443,IF(BUSCAR!$C$8="PASAPORTE EXPIRA",$J1443,IF(BUSCAR!$C$8="LICENCIA EMISION",$L1443,IF(BUSCAR!$C$8="LICENCIA EXPIRA",$M1443,""))))</f>
      </c>
      <c r="AG1443" s="42">
        <f>IF($B1443&amp;$C1443&amp;$D1443&amp;$E1443&amp;$H1443="",0,IF(AND(OR(BUSCAR!$J$5="",ISNUMBER(SEARCH(BUSCAR!$J$5,$AI1443))),OR(BUSCAR!$J$6="",ISNUMBER(SEARCH(BUSCAR!$J$6,$AI1443))),OR(BUSCAR!$J$8="",ISNUMBER(SEARCH(BUSCAR!$J$8,$AI1443))),OR(BUSCAR!$J$9="",ISNUMBER(SEARCH(BUSCAR!$J$9,$AI1443))),OR(NOT(BUSCAR!$J$2),AND(ISNUMBER($AF1443),$AF1443&gt;=BUSCAR!$J$3,$AF1443&lt;=BUSCAR!$J$4))),1,0))</f>
      </c>
      <c r="AH1443" s="42">
        <f t="shared" si="66"/>
      </c>
      <c r="AI1443" s="42">
        <f t="shared" si="67"/>
      </c>
    </row>
    <row r="1444" spans="1:35" x14ac:dyDescent="0.2">
      <c r="A1444" s="66">
        <f t="shared" si="68"/>
      </c>
      <c r="B1444" s="4"/>
      <c r="C1444" s="4"/>
      <c r="D1444" s="4"/>
      <c r="E1444" s="4"/>
      <c r="F1444" s="24"/>
      <c r="G1444" s="8"/>
      <c r="H1444" s="9"/>
      <c r="I1444" s="8"/>
      <c r="J1444" s="10"/>
      <c r="K1444" s="8"/>
      <c r="L1444" s="8"/>
      <c r="M1444" s="8"/>
      <c r="N1444" s="11"/>
      <c r="O1444" s="9"/>
      <c r="P1444" s="12"/>
      <c r="Q1444" s="9"/>
      <c r="R1444" s="13"/>
      <c r="S1444" s="11"/>
      <c r="T1444" s="11"/>
      <c r="U1444" s="9"/>
      <c r="V1444" s="9"/>
      <c r="W1444" s="9"/>
      <c r="X1444" s="16"/>
      <c r="AF1444" s="42">
        <f>IF(BUSCAR!$C$8="FECHA NAC.",$G1444,IF(BUSCAR!$C$8="PASAPORTE EXPIRA",$J1444,IF(BUSCAR!$C$8="LICENCIA EMISION",$L1444,IF(BUSCAR!$C$8="LICENCIA EXPIRA",$M1444,""))))</f>
      </c>
      <c r="AG1444" s="42">
        <f>IF($B1444&amp;$C1444&amp;$D1444&amp;$E1444&amp;$H1444="",0,IF(AND(OR(BUSCAR!$J$5="",ISNUMBER(SEARCH(BUSCAR!$J$5,$AI1444))),OR(BUSCAR!$J$6="",ISNUMBER(SEARCH(BUSCAR!$J$6,$AI1444))),OR(BUSCAR!$J$8="",ISNUMBER(SEARCH(BUSCAR!$J$8,$AI1444))),OR(BUSCAR!$J$9="",ISNUMBER(SEARCH(BUSCAR!$J$9,$AI1444))),OR(NOT(BUSCAR!$J$2),AND(ISNUMBER($AF1444),$AF1444&gt;=BUSCAR!$J$3,$AF1444&lt;=BUSCAR!$J$4))),1,0))</f>
      </c>
      <c r="AH1444" s="42">
        <f t="shared" si="66"/>
      </c>
      <c r="AI1444" s="42">
        <f t="shared" si="67"/>
      </c>
    </row>
    <row r="1445" spans="1:35" x14ac:dyDescent="0.2">
      <c r="A1445" s="66">
        <f t="shared" si="68"/>
      </c>
      <c r="B1445" s="4"/>
      <c r="C1445" s="4"/>
      <c r="D1445" s="4"/>
      <c r="E1445" s="4"/>
      <c r="F1445" s="24"/>
      <c r="G1445" s="8"/>
      <c r="H1445" s="9"/>
      <c r="I1445" s="8"/>
      <c r="J1445" s="10"/>
      <c r="K1445" s="8"/>
      <c r="L1445" s="8"/>
      <c r="M1445" s="8"/>
      <c r="N1445" s="11"/>
      <c r="O1445" s="9"/>
      <c r="P1445" s="12"/>
      <c r="Q1445" s="9"/>
      <c r="R1445" s="13"/>
      <c r="S1445" s="11"/>
      <c r="T1445" s="11"/>
      <c r="U1445" s="9"/>
      <c r="V1445" s="9"/>
      <c r="W1445" s="9"/>
      <c r="X1445" s="16"/>
      <c r="AF1445" s="42">
        <f>IF(BUSCAR!$C$8="FECHA NAC.",$G1445,IF(BUSCAR!$C$8="PASAPORTE EXPIRA",$J1445,IF(BUSCAR!$C$8="LICENCIA EMISION",$L1445,IF(BUSCAR!$C$8="LICENCIA EXPIRA",$M1445,""))))</f>
      </c>
      <c r="AG1445" s="42">
        <f>IF($B1445&amp;$C1445&amp;$D1445&amp;$E1445&amp;$H1445="",0,IF(AND(OR(BUSCAR!$J$5="",ISNUMBER(SEARCH(BUSCAR!$J$5,$AI1445))),OR(BUSCAR!$J$6="",ISNUMBER(SEARCH(BUSCAR!$J$6,$AI1445))),OR(BUSCAR!$J$8="",ISNUMBER(SEARCH(BUSCAR!$J$8,$AI1445))),OR(BUSCAR!$J$9="",ISNUMBER(SEARCH(BUSCAR!$J$9,$AI1445))),OR(NOT(BUSCAR!$J$2),AND(ISNUMBER($AF1445),$AF1445&gt;=BUSCAR!$J$3,$AF1445&lt;=BUSCAR!$J$4))),1,0))</f>
      </c>
      <c r="AH1445" s="42">
        <f t="shared" si="66"/>
      </c>
      <c r="AI1445" s="42">
        <f t="shared" si="67"/>
      </c>
    </row>
    <row r="1446" spans="1:35" x14ac:dyDescent="0.2">
      <c r="A1446" s="66">
        <f t="shared" si="68"/>
      </c>
      <c r="B1446" s="4"/>
      <c r="C1446" s="4"/>
      <c r="D1446" s="4"/>
      <c r="E1446" s="4"/>
      <c r="F1446" s="24"/>
      <c r="G1446" s="8"/>
      <c r="H1446" s="9"/>
      <c r="I1446" s="8"/>
      <c r="J1446" s="10"/>
      <c r="K1446" s="8"/>
      <c r="L1446" s="8"/>
      <c r="M1446" s="8"/>
      <c r="N1446" s="11"/>
      <c r="O1446" s="9"/>
      <c r="P1446" s="12"/>
      <c r="Q1446" s="9"/>
      <c r="R1446" s="13"/>
      <c r="S1446" s="11"/>
      <c r="T1446" s="11"/>
      <c r="U1446" s="9"/>
      <c r="V1446" s="9"/>
      <c r="W1446" s="9"/>
      <c r="X1446" s="16"/>
      <c r="AF1446" s="42">
        <f>IF(BUSCAR!$C$8="FECHA NAC.",$G1446,IF(BUSCAR!$C$8="PASAPORTE EXPIRA",$J1446,IF(BUSCAR!$C$8="LICENCIA EMISION",$L1446,IF(BUSCAR!$C$8="LICENCIA EXPIRA",$M1446,""))))</f>
      </c>
      <c r="AG1446" s="42">
        <f>IF($B1446&amp;$C1446&amp;$D1446&amp;$E1446&amp;$H1446="",0,IF(AND(OR(BUSCAR!$J$5="",ISNUMBER(SEARCH(BUSCAR!$J$5,$AI1446))),OR(BUSCAR!$J$6="",ISNUMBER(SEARCH(BUSCAR!$J$6,$AI1446))),OR(BUSCAR!$J$8="",ISNUMBER(SEARCH(BUSCAR!$J$8,$AI1446))),OR(BUSCAR!$J$9="",ISNUMBER(SEARCH(BUSCAR!$J$9,$AI1446))),OR(NOT(BUSCAR!$J$2),AND(ISNUMBER($AF1446),$AF1446&gt;=BUSCAR!$J$3,$AF1446&lt;=BUSCAR!$J$4))),1,0))</f>
      </c>
      <c r="AH1446" s="42">
        <f t="shared" si="66"/>
      </c>
      <c r="AI1446" s="42">
        <f t="shared" si="67"/>
      </c>
    </row>
    <row r="1447" spans="1:35" x14ac:dyDescent="0.2">
      <c r="A1447" s="66">
        <f t="shared" si="68"/>
      </c>
      <c r="B1447" s="4"/>
      <c r="C1447" s="4"/>
      <c r="D1447" s="4"/>
      <c r="E1447" s="4"/>
      <c r="F1447" s="24"/>
      <c r="G1447" s="8"/>
      <c r="H1447" s="9"/>
      <c r="I1447" s="8"/>
      <c r="J1447" s="10"/>
      <c r="K1447" s="8"/>
      <c r="L1447" s="8"/>
      <c r="M1447" s="8"/>
      <c r="N1447" s="11"/>
      <c r="O1447" s="9"/>
      <c r="P1447" s="12"/>
      <c r="Q1447" s="9"/>
      <c r="R1447" s="13"/>
      <c r="S1447" s="11"/>
      <c r="T1447" s="11"/>
      <c r="U1447" s="9"/>
      <c r="V1447" s="9"/>
      <c r="W1447" s="9"/>
      <c r="X1447" s="16"/>
      <c r="AF1447" s="42">
        <f>IF(BUSCAR!$C$8="FECHA NAC.",$G1447,IF(BUSCAR!$C$8="PASAPORTE EXPIRA",$J1447,IF(BUSCAR!$C$8="LICENCIA EMISION",$L1447,IF(BUSCAR!$C$8="LICENCIA EXPIRA",$M1447,""))))</f>
      </c>
      <c r="AG1447" s="42">
        <f>IF($B1447&amp;$C1447&amp;$D1447&amp;$E1447&amp;$H1447="",0,IF(AND(OR(BUSCAR!$J$5="",ISNUMBER(SEARCH(BUSCAR!$J$5,$AI1447))),OR(BUSCAR!$J$6="",ISNUMBER(SEARCH(BUSCAR!$J$6,$AI1447))),OR(BUSCAR!$J$8="",ISNUMBER(SEARCH(BUSCAR!$J$8,$AI1447))),OR(BUSCAR!$J$9="",ISNUMBER(SEARCH(BUSCAR!$J$9,$AI1447))),OR(NOT(BUSCAR!$J$2),AND(ISNUMBER($AF1447),$AF1447&gt;=BUSCAR!$J$3,$AF1447&lt;=BUSCAR!$J$4))),1,0))</f>
      </c>
      <c r="AH1447" s="42">
        <f t="shared" si="66"/>
      </c>
      <c r="AI1447" s="42">
        <f t="shared" si="67"/>
      </c>
    </row>
    <row r="1448" spans="1:35" x14ac:dyDescent="0.2">
      <c r="A1448" s="66">
        <f t="shared" si="68"/>
      </c>
      <c r="B1448" s="4"/>
      <c r="C1448" s="4"/>
      <c r="D1448" s="4"/>
      <c r="E1448" s="4"/>
      <c r="F1448" s="24"/>
      <c r="G1448" s="8"/>
      <c r="H1448" s="9"/>
      <c r="I1448" s="8"/>
      <c r="J1448" s="10"/>
      <c r="K1448" s="8"/>
      <c r="L1448" s="8"/>
      <c r="M1448" s="8"/>
      <c r="N1448" s="11"/>
      <c r="O1448" s="9"/>
      <c r="P1448" s="12"/>
      <c r="Q1448" s="9"/>
      <c r="R1448" s="13"/>
      <c r="S1448" s="11"/>
      <c r="T1448" s="11"/>
      <c r="U1448" s="9"/>
      <c r="V1448" s="9"/>
      <c r="W1448" s="9"/>
      <c r="X1448" s="16"/>
      <c r="AF1448" s="42">
        <f>IF(BUSCAR!$C$8="FECHA NAC.",$G1448,IF(BUSCAR!$C$8="PASAPORTE EXPIRA",$J1448,IF(BUSCAR!$C$8="LICENCIA EMISION",$L1448,IF(BUSCAR!$C$8="LICENCIA EXPIRA",$M1448,""))))</f>
      </c>
      <c r="AG1448" s="42">
        <f>IF($B1448&amp;$C1448&amp;$D1448&amp;$E1448&amp;$H1448="",0,IF(AND(OR(BUSCAR!$J$5="",ISNUMBER(SEARCH(BUSCAR!$J$5,$AI1448))),OR(BUSCAR!$J$6="",ISNUMBER(SEARCH(BUSCAR!$J$6,$AI1448))),OR(BUSCAR!$J$8="",ISNUMBER(SEARCH(BUSCAR!$J$8,$AI1448))),OR(BUSCAR!$J$9="",ISNUMBER(SEARCH(BUSCAR!$J$9,$AI1448))),OR(NOT(BUSCAR!$J$2),AND(ISNUMBER($AF1448),$AF1448&gt;=BUSCAR!$J$3,$AF1448&lt;=BUSCAR!$J$4))),1,0))</f>
      </c>
      <c r="AH1448" s="42">
        <f t="shared" si="66"/>
      </c>
      <c r="AI1448" s="42">
        <f t="shared" si="67"/>
      </c>
    </row>
    <row r="1449" spans="1:35" x14ac:dyDescent="0.2">
      <c r="A1449" s="66">
        <f t="shared" si="68"/>
      </c>
      <c r="B1449" s="4"/>
      <c r="C1449" s="4"/>
      <c r="D1449" s="4"/>
      <c r="E1449" s="4"/>
      <c r="F1449" s="24"/>
      <c r="G1449" s="8"/>
      <c r="H1449" s="9"/>
      <c r="I1449" s="8"/>
      <c r="J1449" s="10"/>
      <c r="K1449" s="8"/>
      <c r="L1449" s="8"/>
      <c r="M1449" s="8"/>
      <c r="N1449" s="11"/>
      <c r="O1449" s="9"/>
      <c r="P1449" s="12"/>
      <c r="Q1449" s="9"/>
      <c r="R1449" s="13"/>
      <c r="S1449" s="11"/>
      <c r="T1449" s="11"/>
      <c r="U1449" s="9"/>
      <c r="V1449" s="9"/>
      <c r="W1449" s="9"/>
      <c r="X1449" s="16"/>
      <c r="AF1449" s="42">
        <f>IF(BUSCAR!$C$8="FECHA NAC.",$G1449,IF(BUSCAR!$C$8="PASAPORTE EXPIRA",$J1449,IF(BUSCAR!$C$8="LICENCIA EMISION",$L1449,IF(BUSCAR!$C$8="LICENCIA EXPIRA",$M1449,""))))</f>
      </c>
      <c r="AG1449" s="42">
        <f>IF($B1449&amp;$C1449&amp;$D1449&amp;$E1449&amp;$H1449="",0,IF(AND(OR(BUSCAR!$J$5="",ISNUMBER(SEARCH(BUSCAR!$J$5,$AI1449))),OR(BUSCAR!$J$6="",ISNUMBER(SEARCH(BUSCAR!$J$6,$AI1449))),OR(BUSCAR!$J$8="",ISNUMBER(SEARCH(BUSCAR!$J$8,$AI1449))),OR(BUSCAR!$J$9="",ISNUMBER(SEARCH(BUSCAR!$J$9,$AI1449))),OR(NOT(BUSCAR!$J$2),AND(ISNUMBER($AF1449),$AF1449&gt;=BUSCAR!$J$3,$AF1449&lt;=BUSCAR!$J$4))),1,0))</f>
      </c>
      <c r="AH1449" s="42">
        <f t="shared" si="66"/>
      </c>
      <c r="AI1449" s="42">
        <f t="shared" si="67"/>
      </c>
    </row>
    <row r="1450" spans="1:35" x14ac:dyDescent="0.2">
      <c r="A1450" s="66">
        <f t="shared" si="68"/>
      </c>
      <c r="B1450" s="4"/>
      <c r="C1450" s="4"/>
      <c r="D1450" s="4"/>
      <c r="E1450" s="4"/>
      <c r="F1450" s="24"/>
      <c r="G1450" s="8"/>
      <c r="H1450" s="9"/>
      <c r="I1450" s="8"/>
      <c r="J1450" s="10"/>
      <c r="K1450" s="8"/>
      <c r="L1450" s="8"/>
      <c r="M1450" s="8"/>
      <c r="N1450" s="11"/>
      <c r="O1450" s="9"/>
      <c r="P1450" s="12"/>
      <c r="Q1450" s="9"/>
      <c r="R1450" s="13"/>
      <c r="S1450" s="11"/>
      <c r="T1450" s="11"/>
      <c r="U1450" s="9"/>
      <c r="V1450" s="9"/>
      <c r="W1450" s="9"/>
      <c r="X1450" s="16"/>
      <c r="AF1450" s="42">
        <f>IF(BUSCAR!$C$8="FECHA NAC.",$G1450,IF(BUSCAR!$C$8="PASAPORTE EXPIRA",$J1450,IF(BUSCAR!$C$8="LICENCIA EMISION",$L1450,IF(BUSCAR!$C$8="LICENCIA EXPIRA",$M1450,""))))</f>
      </c>
      <c r="AG1450" s="42">
        <f>IF($B1450&amp;$C1450&amp;$D1450&amp;$E1450&amp;$H1450="",0,IF(AND(OR(BUSCAR!$J$5="",ISNUMBER(SEARCH(BUSCAR!$J$5,$AI1450))),OR(BUSCAR!$J$6="",ISNUMBER(SEARCH(BUSCAR!$J$6,$AI1450))),OR(BUSCAR!$J$8="",ISNUMBER(SEARCH(BUSCAR!$J$8,$AI1450))),OR(BUSCAR!$J$9="",ISNUMBER(SEARCH(BUSCAR!$J$9,$AI1450))),OR(NOT(BUSCAR!$J$2),AND(ISNUMBER($AF1450),$AF1450&gt;=BUSCAR!$J$3,$AF1450&lt;=BUSCAR!$J$4))),1,0))</f>
      </c>
      <c r="AH1450" s="42">
        <f t="shared" si="66"/>
      </c>
      <c r="AI1450" s="42">
        <f t="shared" si="67"/>
      </c>
    </row>
    <row r="1451" spans="1:35" x14ac:dyDescent="0.2">
      <c r="A1451" s="66">
        <f t="shared" si="68"/>
      </c>
      <c r="B1451" s="4"/>
      <c r="C1451" s="4"/>
      <c r="D1451" s="4"/>
      <c r="E1451" s="4"/>
      <c r="F1451" s="24"/>
      <c r="G1451" s="8"/>
      <c r="H1451" s="9"/>
      <c r="I1451" s="8"/>
      <c r="J1451" s="10"/>
      <c r="K1451" s="8"/>
      <c r="L1451" s="8"/>
      <c r="M1451" s="8"/>
      <c r="N1451" s="11"/>
      <c r="O1451" s="9"/>
      <c r="P1451" s="12"/>
      <c r="Q1451" s="9"/>
      <c r="R1451" s="13"/>
      <c r="S1451" s="11"/>
      <c r="T1451" s="11"/>
      <c r="U1451" s="9"/>
      <c r="V1451" s="9"/>
      <c r="W1451" s="9"/>
      <c r="X1451" s="16"/>
      <c r="AF1451" s="42">
        <f>IF(BUSCAR!$C$8="FECHA NAC.",$G1451,IF(BUSCAR!$C$8="PASAPORTE EXPIRA",$J1451,IF(BUSCAR!$C$8="LICENCIA EMISION",$L1451,IF(BUSCAR!$C$8="LICENCIA EXPIRA",$M1451,""))))</f>
      </c>
      <c r="AG1451" s="42">
        <f>IF($B1451&amp;$C1451&amp;$D1451&amp;$E1451&amp;$H1451="",0,IF(AND(OR(BUSCAR!$J$5="",ISNUMBER(SEARCH(BUSCAR!$J$5,$AI1451))),OR(BUSCAR!$J$6="",ISNUMBER(SEARCH(BUSCAR!$J$6,$AI1451))),OR(BUSCAR!$J$8="",ISNUMBER(SEARCH(BUSCAR!$J$8,$AI1451))),OR(BUSCAR!$J$9="",ISNUMBER(SEARCH(BUSCAR!$J$9,$AI1451))),OR(NOT(BUSCAR!$J$2),AND(ISNUMBER($AF1451),$AF1451&gt;=BUSCAR!$J$3,$AF1451&lt;=BUSCAR!$J$4))),1,0))</f>
      </c>
      <c r="AH1451" s="42">
        <f t="shared" si="66"/>
      </c>
      <c r="AI1451" s="42">
        <f t="shared" si="67"/>
      </c>
    </row>
    <row r="1452" spans="1:35" x14ac:dyDescent="0.2">
      <c r="A1452" s="66">
        <f t="shared" si="68"/>
      </c>
      <c r="B1452" s="4"/>
      <c r="C1452" s="4"/>
      <c r="D1452" s="4"/>
      <c r="E1452" s="4"/>
      <c r="F1452" s="24"/>
      <c r="G1452" s="8"/>
      <c r="H1452" s="9"/>
      <c r="I1452" s="8"/>
      <c r="J1452" s="10"/>
      <c r="K1452" s="8"/>
      <c r="L1452" s="8"/>
      <c r="M1452" s="8"/>
      <c r="N1452" s="11"/>
      <c r="O1452" s="9"/>
      <c r="P1452" s="12"/>
      <c r="Q1452" s="9"/>
      <c r="R1452" s="13"/>
      <c r="S1452" s="11"/>
      <c r="T1452" s="11"/>
      <c r="U1452" s="9"/>
      <c r="V1452" s="9"/>
      <c r="W1452" s="9"/>
      <c r="X1452" s="16"/>
      <c r="AF1452" s="42">
        <f>IF(BUSCAR!$C$8="FECHA NAC.",$G1452,IF(BUSCAR!$C$8="PASAPORTE EXPIRA",$J1452,IF(BUSCAR!$C$8="LICENCIA EMISION",$L1452,IF(BUSCAR!$C$8="LICENCIA EXPIRA",$M1452,""))))</f>
      </c>
      <c r="AG1452" s="42">
        <f>IF($B1452&amp;$C1452&amp;$D1452&amp;$E1452&amp;$H1452="",0,IF(AND(OR(BUSCAR!$J$5="",ISNUMBER(SEARCH(BUSCAR!$J$5,$AI1452))),OR(BUSCAR!$J$6="",ISNUMBER(SEARCH(BUSCAR!$J$6,$AI1452))),OR(BUSCAR!$J$8="",ISNUMBER(SEARCH(BUSCAR!$J$8,$AI1452))),OR(BUSCAR!$J$9="",ISNUMBER(SEARCH(BUSCAR!$J$9,$AI1452))),OR(NOT(BUSCAR!$J$2),AND(ISNUMBER($AF1452),$AF1452&gt;=BUSCAR!$J$3,$AF1452&lt;=BUSCAR!$J$4))),1,0))</f>
      </c>
      <c r="AH1452" s="42">
        <f t="shared" si="66"/>
      </c>
      <c r="AI1452" s="42">
        <f t="shared" si="67"/>
      </c>
    </row>
    <row r="1453" spans="1:35" x14ac:dyDescent="0.2">
      <c r="A1453" s="66">
        <f t="shared" si="68"/>
      </c>
      <c r="B1453" s="4"/>
      <c r="C1453" s="4"/>
      <c r="D1453" s="4"/>
      <c r="E1453" s="4"/>
      <c r="F1453" s="24"/>
      <c r="G1453" s="8"/>
      <c r="H1453" s="9"/>
      <c r="I1453" s="8"/>
      <c r="J1453" s="10"/>
      <c r="K1453" s="8"/>
      <c r="L1453" s="8"/>
      <c r="M1453" s="8"/>
      <c r="N1453" s="11"/>
      <c r="O1453" s="9"/>
      <c r="P1453" s="12"/>
      <c r="Q1453" s="9"/>
      <c r="R1453" s="13"/>
      <c r="S1453" s="11"/>
      <c r="T1453" s="11"/>
      <c r="U1453" s="9"/>
      <c r="V1453" s="9"/>
      <c r="W1453" s="9"/>
      <c r="X1453" s="16"/>
      <c r="AF1453" s="42">
        <f>IF(BUSCAR!$C$8="FECHA NAC.",$G1453,IF(BUSCAR!$C$8="PASAPORTE EXPIRA",$J1453,IF(BUSCAR!$C$8="LICENCIA EMISION",$L1453,IF(BUSCAR!$C$8="LICENCIA EXPIRA",$M1453,""))))</f>
      </c>
      <c r="AG1453" s="42">
        <f>IF($B1453&amp;$C1453&amp;$D1453&amp;$E1453&amp;$H1453="",0,IF(AND(OR(BUSCAR!$J$5="",ISNUMBER(SEARCH(BUSCAR!$J$5,$AI1453))),OR(BUSCAR!$J$6="",ISNUMBER(SEARCH(BUSCAR!$J$6,$AI1453))),OR(BUSCAR!$J$8="",ISNUMBER(SEARCH(BUSCAR!$J$8,$AI1453))),OR(BUSCAR!$J$9="",ISNUMBER(SEARCH(BUSCAR!$J$9,$AI1453))),OR(NOT(BUSCAR!$J$2),AND(ISNUMBER($AF1453),$AF1453&gt;=BUSCAR!$J$3,$AF1453&lt;=BUSCAR!$J$4))),1,0))</f>
      </c>
      <c r="AH1453" s="42">
        <f t="shared" si="66"/>
      </c>
      <c r="AI1453" s="42">
        <f t="shared" si="67"/>
      </c>
    </row>
    <row r="1454" spans="1:35" x14ac:dyDescent="0.2">
      <c r="A1454" s="66">
        <f t="shared" si="68"/>
      </c>
      <c r="B1454" s="4"/>
      <c r="C1454" s="4"/>
      <c r="D1454" s="4"/>
      <c r="E1454" s="4"/>
      <c r="F1454" s="24"/>
      <c r="G1454" s="8"/>
      <c r="H1454" s="9"/>
      <c r="I1454" s="8"/>
      <c r="J1454" s="10"/>
      <c r="K1454" s="8"/>
      <c r="L1454" s="8"/>
      <c r="M1454" s="8"/>
      <c r="N1454" s="11"/>
      <c r="O1454" s="9"/>
      <c r="P1454" s="12"/>
      <c r="Q1454" s="9"/>
      <c r="R1454" s="13"/>
      <c r="S1454" s="11"/>
      <c r="T1454" s="11"/>
      <c r="U1454" s="9"/>
      <c r="V1454" s="9"/>
      <c r="W1454" s="9"/>
      <c r="X1454" s="16"/>
      <c r="AF1454" s="42">
        <f>IF(BUSCAR!$C$8="FECHA NAC.",$G1454,IF(BUSCAR!$C$8="PASAPORTE EXPIRA",$J1454,IF(BUSCAR!$C$8="LICENCIA EMISION",$L1454,IF(BUSCAR!$C$8="LICENCIA EXPIRA",$M1454,""))))</f>
      </c>
      <c r="AG1454" s="42">
        <f>IF($B1454&amp;$C1454&amp;$D1454&amp;$E1454&amp;$H1454="",0,IF(AND(OR(BUSCAR!$J$5="",ISNUMBER(SEARCH(BUSCAR!$J$5,$AI1454))),OR(BUSCAR!$J$6="",ISNUMBER(SEARCH(BUSCAR!$J$6,$AI1454))),OR(BUSCAR!$J$8="",ISNUMBER(SEARCH(BUSCAR!$J$8,$AI1454))),OR(BUSCAR!$J$9="",ISNUMBER(SEARCH(BUSCAR!$J$9,$AI1454))),OR(NOT(BUSCAR!$J$2),AND(ISNUMBER($AF1454),$AF1454&gt;=BUSCAR!$J$3,$AF1454&lt;=BUSCAR!$J$4))),1,0))</f>
      </c>
      <c r="AH1454" s="42">
        <f t="shared" si="66"/>
      </c>
      <c r="AI1454" s="42">
        <f t="shared" si="67"/>
      </c>
    </row>
    <row r="1455" spans="1:35" x14ac:dyDescent="0.2">
      <c r="A1455" s="66">
        <f t="shared" si="68"/>
      </c>
      <c r="B1455" s="4"/>
      <c r="C1455" s="4"/>
      <c r="D1455" s="4"/>
      <c r="E1455" s="4"/>
      <c r="F1455" s="24"/>
      <c r="G1455" s="8"/>
      <c r="H1455" s="9"/>
      <c r="I1455" s="8"/>
      <c r="J1455" s="10"/>
      <c r="K1455" s="8"/>
      <c r="L1455" s="8"/>
      <c r="M1455" s="8"/>
      <c r="N1455" s="11"/>
      <c r="O1455" s="9"/>
      <c r="P1455" s="12"/>
      <c r="Q1455" s="9"/>
      <c r="R1455" s="13"/>
      <c r="S1455" s="11"/>
      <c r="T1455" s="11"/>
      <c r="U1455" s="9"/>
      <c r="V1455" s="9"/>
      <c r="W1455" s="9"/>
      <c r="X1455" s="16"/>
      <c r="AF1455" s="42">
        <f>IF(BUSCAR!$C$8="FECHA NAC.",$G1455,IF(BUSCAR!$C$8="PASAPORTE EXPIRA",$J1455,IF(BUSCAR!$C$8="LICENCIA EMISION",$L1455,IF(BUSCAR!$C$8="LICENCIA EXPIRA",$M1455,""))))</f>
      </c>
      <c r="AG1455" s="42">
        <f>IF($B1455&amp;$C1455&amp;$D1455&amp;$E1455&amp;$H1455="",0,IF(AND(OR(BUSCAR!$J$5="",ISNUMBER(SEARCH(BUSCAR!$J$5,$AI1455))),OR(BUSCAR!$J$6="",ISNUMBER(SEARCH(BUSCAR!$J$6,$AI1455))),OR(BUSCAR!$J$8="",ISNUMBER(SEARCH(BUSCAR!$J$8,$AI1455))),OR(BUSCAR!$J$9="",ISNUMBER(SEARCH(BUSCAR!$J$9,$AI1455))),OR(NOT(BUSCAR!$J$2),AND(ISNUMBER($AF1455),$AF1455&gt;=BUSCAR!$J$3,$AF1455&lt;=BUSCAR!$J$4))),1,0))</f>
      </c>
      <c r="AH1455" s="42">
        <f t="shared" si="66"/>
      </c>
      <c r="AI1455" s="42">
        <f t="shared" si="67"/>
      </c>
    </row>
    <row r="1456" spans="1:35" x14ac:dyDescent="0.2">
      <c r="A1456" s="66">
        <f t="shared" si="68"/>
      </c>
      <c r="B1456" s="4"/>
      <c r="C1456" s="4"/>
      <c r="D1456" s="4"/>
      <c r="E1456" s="4"/>
      <c r="F1456" s="24"/>
      <c r="G1456" s="8"/>
      <c r="H1456" s="9"/>
      <c r="I1456" s="8"/>
      <c r="J1456" s="10"/>
      <c r="K1456" s="8"/>
      <c r="L1456" s="8"/>
      <c r="M1456" s="8"/>
      <c r="N1456" s="11"/>
      <c r="O1456" s="9"/>
      <c r="P1456" s="12"/>
      <c r="Q1456" s="9"/>
      <c r="R1456" s="13"/>
      <c r="S1456" s="11"/>
      <c r="T1456" s="11"/>
      <c r="U1456" s="9"/>
      <c r="V1456" s="9"/>
      <c r="W1456" s="9"/>
      <c r="X1456" s="16"/>
      <c r="AF1456" s="42">
        <f>IF(BUSCAR!$C$8="FECHA NAC.",$G1456,IF(BUSCAR!$C$8="PASAPORTE EXPIRA",$J1456,IF(BUSCAR!$C$8="LICENCIA EMISION",$L1456,IF(BUSCAR!$C$8="LICENCIA EXPIRA",$M1456,""))))</f>
      </c>
      <c r="AG1456" s="42">
        <f>IF($B1456&amp;$C1456&amp;$D1456&amp;$E1456&amp;$H1456="",0,IF(AND(OR(BUSCAR!$J$5="",ISNUMBER(SEARCH(BUSCAR!$J$5,$AI1456))),OR(BUSCAR!$J$6="",ISNUMBER(SEARCH(BUSCAR!$J$6,$AI1456))),OR(BUSCAR!$J$8="",ISNUMBER(SEARCH(BUSCAR!$J$8,$AI1456))),OR(BUSCAR!$J$9="",ISNUMBER(SEARCH(BUSCAR!$J$9,$AI1456))),OR(NOT(BUSCAR!$J$2),AND(ISNUMBER($AF1456),$AF1456&gt;=BUSCAR!$J$3,$AF1456&lt;=BUSCAR!$J$4))),1,0))</f>
      </c>
      <c r="AH1456" s="42">
        <f t="shared" si="66"/>
      </c>
      <c r="AI1456" s="42">
        <f t="shared" si="67"/>
      </c>
    </row>
    <row r="1457" spans="1:35" x14ac:dyDescent="0.2">
      <c r="A1457" s="66">
        <f t="shared" si="68"/>
      </c>
      <c r="B1457" s="4"/>
      <c r="C1457" s="4"/>
      <c r="D1457" s="4"/>
      <c r="E1457" s="4"/>
      <c r="F1457" s="24"/>
      <c r="G1457" s="8"/>
      <c r="H1457" s="9"/>
      <c r="I1457" s="8"/>
      <c r="J1457" s="10"/>
      <c r="K1457" s="8"/>
      <c r="L1457" s="8"/>
      <c r="M1457" s="8"/>
      <c r="N1457" s="11"/>
      <c r="O1457" s="9"/>
      <c r="P1457" s="12"/>
      <c r="Q1457" s="9"/>
      <c r="R1457" s="13"/>
      <c r="S1457" s="11"/>
      <c r="T1457" s="11"/>
      <c r="U1457" s="9"/>
      <c r="V1457" s="9"/>
      <c r="W1457" s="9"/>
      <c r="X1457" s="16"/>
      <c r="AF1457" s="42">
        <f>IF(BUSCAR!$C$8="FECHA NAC.",$G1457,IF(BUSCAR!$C$8="PASAPORTE EXPIRA",$J1457,IF(BUSCAR!$C$8="LICENCIA EMISION",$L1457,IF(BUSCAR!$C$8="LICENCIA EXPIRA",$M1457,""))))</f>
      </c>
      <c r="AG1457" s="42">
        <f>IF($B1457&amp;$C1457&amp;$D1457&amp;$E1457&amp;$H1457="",0,IF(AND(OR(BUSCAR!$J$5="",ISNUMBER(SEARCH(BUSCAR!$J$5,$AI1457))),OR(BUSCAR!$J$6="",ISNUMBER(SEARCH(BUSCAR!$J$6,$AI1457))),OR(BUSCAR!$J$8="",ISNUMBER(SEARCH(BUSCAR!$J$8,$AI1457))),OR(BUSCAR!$J$9="",ISNUMBER(SEARCH(BUSCAR!$J$9,$AI1457))),OR(NOT(BUSCAR!$J$2),AND(ISNUMBER($AF1457),$AF1457&gt;=BUSCAR!$J$3,$AF1457&lt;=BUSCAR!$J$4))),1,0))</f>
      </c>
      <c r="AH1457" s="42">
        <f t="shared" si="66"/>
      </c>
      <c r="AI1457" s="42">
        <f t="shared" si="67"/>
      </c>
    </row>
    <row r="1458" spans="1:35" x14ac:dyDescent="0.2">
      <c r="A1458" s="66">
        <f t="shared" si="68"/>
      </c>
      <c r="B1458" s="4"/>
      <c r="C1458" s="4"/>
      <c r="D1458" s="4"/>
      <c r="E1458" s="4"/>
      <c r="F1458" s="24"/>
      <c r="G1458" s="8"/>
      <c r="H1458" s="9"/>
      <c r="I1458" s="8"/>
      <c r="J1458" s="10"/>
      <c r="K1458" s="8"/>
      <c r="L1458" s="8"/>
      <c r="M1458" s="8"/>
      <c r="N1458" s="11"/>
      <c r="O1458" s="9"/>
      <c r="P1458" s="12"/>
      <c r="Q1458" s="9"/>
      <c r="R1458" s="13"/>
      <c r="S1458" s="11"/>
      <c r="T1458" s="11"/>
      <c r="U1458" s="9"/>
      <c r="V1458" s="9"/>
      <c r="W1458" s="9"/>
      <c r="X1458" s="16"/>
      <c r="AF1458" s="42">
        <f>IF(BUSCAR!$C$8="FECHA NAC.",$G1458,IF(BUSCAR!$C$8="PASAPORTE EXPIRA",$J1458,IF(BUSCAR!$C$8="LICENCIA EMISION",$L1458,IF(BUSCAR!$C$8="LICENCIA EXPIRA",$M1458,""))))</f>
      </c>
      <c r="AG1458" s="42">
        <f>IF($B1458&amp;$C1458&amp;$D1458&amp;$E1458&amp;$H1458="",0,IF(AND(OR(BUSCAR!$J$5="",ISNUMBER(SEARCH(BUSCAR!$J$5,$AI1458))),OR(BUSCAR!$J$6="",ISNUMBER(SEARCH(BUSCAR!$J$6,$AI1458))),OR(BUSCAR!$J$8="",ISNUMBER(SEARCH(BUSCAR!$J$8,$AI1458))),OR(BUSCAR!$J$9="",ISNUMBER(SEARCH(BUSCAR!$J$9,$AI1458))),OR(NOT(BUSCAR!$J$2),AND(ISNUMBER($AF1458),$AF1458&gt;=BUSCAR!$J$3,$AF1458&lt;=BUSCAR!$J$4))),1,0))</f>
      </c>
      <c r="AH1458" s="42">
        <f t="shared" si="66"/>
      </c>
      <c r="AI1458" s="42">
        <f t="shared" si="67"/>
      </c>
    </row>
    <row r="1459" spans="1:35" x14ac:dyDescent="0.2">
      <c r="A1459" s="66">
        <f t="shared" si="68"/>
      </c>
      <c r="B1459" s="4"/>
      <c r="C1459" s="4"/>
      <c r="D1459" s="4"/>
      <c r="E1459" s="4"/>
      <c r="F1459" s="24"/>
      <c r="G1459" s="8"/>
      <c r="H1459" s="9"/>
      <c r="I1459" s="8"/>
      <c r="J1459" s="10"/>
      <c r="K1459" s="8"/>
      <c r="L1459" s="8"/>
      <c r="M1459" s="8"/>
      <c r="N1459" s="11"/>
      <c r="O1459" s="9"/>
      <c r="P1459" s="12"/>
      <c r="Q1459" s="9"/>
      <c r="R1459" s="13"/>
      <c r="S1459" s="11"/>
      <c r="T1459" s="11"/>
      <c r="U1459" s="9"/>
      <c r="V1459" s="9"/>
      <c r="W1459" s="9"/>
      <c r="X1459" s="16"/>
      <c r="AF1459" s="42">
        <f>IF(BUSCAR!$C$8="FECHA NAC.",$G1459,IF(BUSCAR!$C$8="PASAPORTE EXPIRA",$J1459,IF(BUSCAR!$C$8="LICENCIA EMISION",$L1459,IF(BUSCAR!$C$8="LICENCIA EXPIRA",$M1459,""))))</f>
      </c>
      <c r="AG1459" s="42">
        <f>IF($B1459&amp;$C1459&amp;$D1459&amp;$E1459&amp;$H1459="",0,IF(AND(OR(BUSCAR!$J$5="",ISNUMBER(SEARCH(BUSCAR!$J$5,$AI1459))),OR(BUSCAR!$J$6="",ISNUMBER(SEARCH(BUSCAR!$J$6,$AI1459))),OR(BUSCAR!$J$8="",ISNUMBER(SEARCH(BUSCAR!$J$8,$AI1459))),OR(BUSCAR!$J$9="",ISNUMBER(SEARCH(BUSCAR!$J$9,$AI1459))),OR(NOT(BUSCAR!$J$2),AND(ISNUMBER($AF1459),$AF1459&gt;=BUSCAR!$J$3,$AF1459&lt;=BUSCAR!$J$4))),1,0))</f>
      </c>
      <c r="AH1459" s="42">
        <f t="shared" si="66"/>
      </c>
      <c r="AI1459" s="42">
        <f t="shared" si="67"/>
      </c>
    </row>
    <row r="1460" spans="1:35" x14ac:dyDescent="0.2">
      <c r="A1460" s="66">
        <f t="shared" si="68"/>
      </c>
      <c r="B1460" s="4"/>
      <c r="C1460" s="4"/>
      <c r="D1460" s="4"/>
      <c r="E1460" s="4"/>
      <c r="F1460" s="24"/>
      <c r="G1460" s="8"/>
      <c r="H1460" s="9"/>
      <c r="I1460" s="8"/>
      <c r="J1460" s="10"/>
      <c r="K1460" s="8"/>
      <c r="L1460" s="8"/>
      <c r="M1460" s="8"/>
      <c r="N1460" s="11"/>
      <c r="O1460" s="9"/>
      <c r="P1460" s="12"/>
      <c r="Q1460" s="9"/>
      <c r="R1460" s="13"/>
      <c r="S1460" s="11"/>
      <c r="T1460" s="11"/>
      <c r="U1460" s="9"/>
      <c r="V1460" s="9"/>
      <c r="W1460" s="9"/>
      <c r="X1460" s="16"/>
      <c r="AF1460" s="42">
        <f>IF(BUSCAR!$C$8="FECHA NAC.",$G1460,IF(BUSCAR!$C$8="PASAPORTE EXPIRA",$J1460,IF(BUSCAR!$C$8="LICENCIA EMISION",$L1460,IF(BUSCAR!$C$8="LICENCIA EXPIRA",$M1460,""))))</f>
      </c>
      <c r="AG1460" s="42">
        <f>IF($B1460&amp;$C1460&amp;$D1460&amp;$E1460&amp;$H1460="",0,IF(AND(OR(BUSCAR!$J$5="",ISNUMBER(SEARCH(BUSCAR!$J$5,$AI1460))),OR(BUSCAR!$J$6="",ISNUMBER(SEARCH(BUSCAR!$J$6,$AI1460))),OR(BUSCAR!$J$8="",ISNUMBER(SEARCH(BUSCAR!$J$8,$AI1460))),OR(BUSCAR!$J$9="",ISNUMBER(SEARCH(BUSCAR!$J$9,$AI1460))),OR(NOT(BUSCAR!$J$2),AND(ISNUMBER($AF1460),$AF1460&gt;=BUSCAR!$J$3,$AF1460&lt;=BUSCAR!$J$4))),1,0))</f>
      </c>
      <c r="AH1460" s="42">
        <f t="shared" si="66"/>
      </c>
      <c r="AI1460" s="42">
        <f t="shared" si="67"/>
      </c>
    </row>
    <row r="1461" spans="1:35" x14ac:dyDescent="0.2">
      <c r="A1461" s="66">
        <f t="shared" si="68"/>
      </c>
      <c r="B1461" s="4"/>
      <c r="C1461" s="4"/>
      <c r="D1461" s="4"/>
      <c r="E1461" s="4"/>
      <c r="F1461" s="24"/>
      <c r="G1461" s="8"/>
      <c r="H1461" s="9"/>
      <c r="I1461" s="8"/>
      <c r="J1461" s="10"/>
      <c r="K1461" s="8"/>
      <c r="L1461" s="8"/>
      <c r="M1461" s="8"/>
      <c r="N1461" s="11"/>
      <c r="O1461" s="9"/>
      <c r="P1461" s="12"/>
      <c r="Q1461" s="9"/>
      <c r="R1461" s="13"/>
      <c r="S1461" s="11"/>
      <c r="T1461" s="11"/>
      <c r="U1461" s="9"/>
      <c r="V1461" s="9"/>
      <c r="W1461" s="9"/>
      <c r="X1461" s="16"/>
      <c r="AF1461" s="42">
        <f>IF(BUSCAR!$C$8="FECHA NAC.",$G1461,IF(BUSCAR!$C$8="PASAPORTE EXPIRA",$J1461,IF(BUSCAR!$C$8="LICENCIA EMISION",$L1461,IF(BUSCAR!$C$8="LICENCIA EXPIRA",$M1461,""))))</f>
      </c>
      <c r="AG1461" s="42">
        <f>IF($B1461&amp;$C1461&amp;$D1461&amp;$E1461&amp;$H1461="",0,IF(AND(OR(BUSCAR!$J$5="",ISNUMBER(SEARCH(BUSCAR!$J$5,$AI1461))),OR(BUSCAR!$J$6="",ISNUMBER(SEARCH(BUSCAR!$J$6,$AI1461))),OR(BUSCAR!$J$8="",ISNUMBER(SEARCH(BUSCAR!$J$8,$AI1461))),OR(BUSCAR!$J$9="",ISNUMBER(SEARCH(BUSCAR!$J$9,$AI1461))),OR(NOT(BUSCAR!$J$2),AND(ISNUMBER($AF1461),$AF1461&gt;=BUSCAR!$J$3,$AF1461&lt;=BUSCAR!$J$4))),1,0))</f>
      </c>
      <c r="AH1461" s="42">
        <f t="shared" si="66"/>
      </c>
      <c r="AI1461" s="42">
        <f t="shared" si="67"/>
      </c>
    </row>
    <row r="1462" spans="1:35" x14ac:dyDescent="0.2">
      <c r="A1462" s="66">
        <f t="shared" si="68"/>
      </c>
      <c r="B1462" s="4"/>
      <c r="C1462" s="4"/>
      <c r="D1462" s="4"/>
      <c r="E1462" s="4"/>
      <c r="F1462" s="24"/>
      <c r="G1462" s="8"/>
      <c r="H1462" s="9"/>
      <c r="I1462" s="8"/>
      <c r="J1462" s="10"/>
      <c r="K1462" s="8"/>
      <c r="L1462" s="8"/>
      <c r="M1462" s="8"/>
      <c r="N1462" s="11"/>
      <c r="O1462" s="9"/>
      <c r="P1462" s="12"/>
      <c r="Q1462" s="9"/>
      <c r="R1462" s="13"/>
      <c r="S1462" s="11"/>
      <c r="T1462" s="11"/>
      <c r="U1462" s="9"/>
      <c r="V1462" s="9"/>
      <c r="W1462" s="9"/>
      <c r="X1462" s="16"/>
      <c r="AF1462" s="42">
        <f>IF(BUSCAR!$C$8="FECHA NAC.",$G1462,IF(BUSCAR!$C$8="PASAPORTE EXPIRA",$J1462,IF(BUSCAR!$C$8="LICENCIA EMISION",$L1462,IF(BUSCAR!$C$8="LICENCIA EXPIRA",$M1462,""))))</f>
      </c>
      <c r="AG1462" s="42">
        <f>IF($B1462&amp;$C1462&amp;$D1462&amp;$E1462&amp;$H1462="",0,IF(AND(OR(BUSCAR!$J$5="",ISNUMBER(SEARCH(BUSCAR!$J$5,$AI1462))),OR(BUSCAR!$J$6="",ISNUMBER(SEARCH(BUSCAR!$J$6,$AI1462))),OR(BUSCAR!$J$8="",ISNUMBER(SEARCH(BUSCAR!$J$8,$AI1462))),OR(BUSCAR!$J$9="",ISNUMBER(SEARCH(BUSCAR!$J$9,$AI1462))),OR(NOT(BUSCAR!$J$2),AND(ISNUMBER($AF1462),$AF1462&gt;=BUSCAR!$J$3,$AF1462&lt;=BUSCAR!$J$4))),1,0))</f>
      </c>
      <c r="AH1462" s="42">
        <f t="shared" si="66"/>
      </c>
      <c r="AI1462" s="42">
        <f t="shared" si="67"/>
      </c>
    </row>
    <row r="1463" spans="1:35" x14ac:dyDescent="0.2">
      <c r="A1463" s="66">
        <f t="shared" si="68"/>
      </c>
      <c r="B1463" s="4"/>
      <c r="C1463" s="4"/>
      <c r="D1463" s="4"/>
      <c r="E1463" s="4"/>
      <c r="F1463" s="24"/>
      <c r="G1463" s="8"/>
      <c r="H1463" s="9"/>
      <c r="I1463" s="8"/>
      <c r="J1463" s="10"/>
      <c r="K1463" s="8"/>
      <c r="L1463" s="8"/>
      <c r="M1463" s="8"/>
      <c r="N1463" s="11"/>
      <c r="O1463" s="9"/>
      <c r="P1463" s="12"/>
      <c r="Q1463" s="9"/>
      <c r="R1463" s="13"/>
      <c r="S1463" s="11"/>
      <c r="T1463" s="11"/>
      <c r="U1463" s="9"/>
      <c r="V1463" s="9"/>
      <c r="W1463" s="9"/>
      <c r="X1463" s="16"/>
      <c r="AF1463" s="42">
        <f>IF(BUSCAR!$C$8="FECHA NAC.",$G1463,IF(BUSCAR!$C$8="PASAPORTE EXPIRA",$J1463,IF(BUSCAR!$C$8="LICENCIA EMISION",$L1463,IF(BUSCAR!$C$8="LICENCIA EXPIRA",$M1463,""))))</f>
      </c>
      <c r="AG1463" s="42">
        <f>IF($B1463&amp;$C1463&amp;$D1463&amp;$E1463&amp;$H1463="",0,IF(AND(OR(BUSCAR!$J$5="",ISNUMBER(SEARCH(BUSCAR!$J$5,$AI1463))),OR(BUSCAR!$J$6="",ISNUMBER(SEARCH(BUSCAR!$J$6,$AI1463))),OR(BUSCAR!$J$8="",ISNUMBER(SEARCH(BUSCAR!$J$8,$AI1463))),OR(BUSCAR!$J$9="",ISNUMBER(SEARCH(BUSCAR!$J$9,$AI1463))),OR(NOT(BUSCAR!$J$2),AND(ISNUMBER($AF1463),$AF1463&gt;=BUSCAR!$J$3,$AF1463&lt;=BUSCAR!$J$4))),1,0))</f>
      </c>
      <c r="AH1463" s="42">
        <f t="shared" si="66"/>
      </c>
      <c r="AI1463" s="42">
        <f t="shared" si="67"/>
      </c>
    </row>
    <row r="1464" spans="1:35" x14ac:dyDescent="0.2">
      <c r="A1464" s="66">
        <f t="shared" si="68"/>
      </c>
      <c r="B1464" s="4"/>
      <c r="C1464" s="4"/>
      <c r="D1464" s="4"/>
      <c r="E1464" s="4"/>
      <c r="F1464" s="24"/>
      <c r="G1464" s="8"/>
      <c r="H1464" s="9"/>
      <c r="I1464" s="8"/>
      <c r="J1464" s="10"/>
      <c r="K1464" s="8"/>
      <c r="L1464" s="8"/>
      <c r="M1464" s="8"/>
      <c r="N1464" s="11"/>
      <c r="O1464" s="9"/>
      <c r="P1464" s="12"/>
      <c r="Q1464" s="9"/>
      <c r="R1464" s="13"/>
      <c r="S1464" s="11"/>
      <c r="T1464" s="11"/>
      <c r="U1464" s="9"/>
      <c r="V1464" s="9"/>
      <c r="W1464" s="9"/>
      <c r="X1464" s="16"/>
      <c r="AF1464" s="42">
        <f>IF(BUSCAR!$C$8="FECHA NAC.",$G1464,IF(BUSCAR!$C$8="PASAPORTE EXPIRA",$J1464,IF(BUSCAR!$C$8="LICENCIA EMISION",$L1464,IF(BUSCAR!$C$8="LICENCIA EXPIRA",$M1464,""))))</f>
      </c>
      <c r="AG1464" s="42">
        <f>IF($B1464&amp;$C1464&amp;$D1464&amp;$E1464&amp;$H1464="",0,IF(AND(OR(BUSCAR!$J$5="",ISNUMBER(SEARCH(BUSCAR!$J$5,$AI1464))),OR(BUSCAR!$J$6="",ISNUMBER(SEARCH(BUSCAR!$J$6,$AI1464))),OR(BUSCAR!$J$8="",ISNUMBER(SEARCH(BUSCAR!$J$8,$AI1464))),OR(BUSCAR!$J$9="",ISNUMBER(SEARCH(BUSCAR!$J$9,$AI1464))),OR(NOT(BUSCAR!$J$2),AND(ISNUMBER($AF1464),$AF1464&gt;=BUSCAR!$J$3,$AF1464&lt;=BUSCAR!$J$4))),1,0))</f>
      </c>
      <c r="AH1464" s="42">
        <f t="shared" si="66"/>
      </c>
      <c r="AI1464" s="42">
        <f t="shared" si="67"/>
      </c>
    </row>
    <row r="1465" spans="1:35" x14ac:dyDescent="0.2">
      <c r="A1465" s="66">
        <f t="shared" si="68"/>
      </c>
      <c r="B1465" s="4"/>
      <c r="C1465" s="4"/>
      <c r="D1465" s="4"/>
      <c r="E1465" s="4"/>
      <c r="F1465" s="24"/>
      <c r="G1465" s="8"/>
      <c r="H1465" s="9"/>
      <c r="I1465" s="8"/>
      <c r="J1465" s="10"/>
      <c r="K1465" s="8"/>
      <c r="L1465" s="8"/>
      <c r="M1465" s="8"/>
      <c r="N1465" s="11"/>
      <c r="O1465" s="9"/>
      <c r="P1465" s="12"/>
      <c r="Q1465" s="9"/>
      <c r="R1465" s="13"/>
      <c r="S1465" s="11"/>
      <c r="T1465" s="11"/>
      <c r="U1465" s="9"/>
      <c r="V1465" s="9"/>
      <c r="W1465" s="9"/>
      <c r="X1465" s="16"/>
      <c r="AF1465" s="42">
        <f>IF(BUSCAR!$C$8="FECHA NAC.",$G1465,IF(BUSCAR!$C$8="PASAPORTE EXPIRA",$J1465,IF(BUSCAR!$C$8="LICENCIA EMISION",$L1465,IF(BUSCAR!$C$8="LICENCIA EXPIRA",$M1465,""))))</f>
      </c>
      <c r="AG1465" s="42">
        <f>IF($B1465&amp;$C1465&amp;$D1465&amp;$E1465&amp;$H1465="",0,IF(AND(OR(BUSCAR!$J$5="",ISNUMBER(SEARCH(BUSCAR!$J$5,$AI1465))),OR(BUSCAR!$J$6="",ISNUMBER(SEARCH(BUSCAR!$J$6,$AI1465))),OR(BUSCAR!$J$8="",ISNUMBER(SEARCH(BUSCAR!$J$8,$AI1465))),OR(BUSCAR!$J$9="",ISNUMBER(SEARCH(BUSCAR!$J$9,$AI1465))),OR(NOT(BUSCAR!$J$2),AND(ISNUMBER($AF1465),$AF1465&gt;=BUSCAR!$J$3,$AF1465&lt;=BUSCAR!$J$4))),1,0))</f>
      </c>
      <c r="AH1465" s="42">
        <f t="shared" si="66"/>
      </c>
      <c r="AI1465" s="42">
        <f t="shared" si="67"/>
      </c>
    </row>
    <row r="1466" spans="1:35" x14ac:dyDescent="0.2">
      <c r="A1466" s="66">
        <f t="shared" si="68"/>
      </c>
      <c r="B1466" s="4"/>
      <c r="C1466" s="4"/>
      <c r="D1466" s="4"/>
      <c r="E1466" s="4"/>
      <c r="F1466" s="24"/>
      <c r="G1466" s="8"/>
      <c r="H1466" s="9"/>
      <c r="I1466" s="8"/>
      <c r="J1466" s="10"/>
      <c r="K1466" s="8"/>
      <c r="L1466" s="8"/>
      <c r="M1466" s="8"/>
      <c r="N1466" s="11"/>
      <c r="O1466" s="9"/>
      <c r="P1466" s="12"/>
      <c r="Q1466" s="9"/>
      <c r="R1466" s="13"/>
      <c r="S1466" s="11"/>
      <c r="T1466" s="11"/>
      <c r="U1466" s="9"/>
      <c r="V1466" s="9"/>
      <c r="W1466" s="9"/>
      <c r="X1466" s="16"/>
      <c r="AF1466" s="42">
        <f>IF(BUSCAR!$C$8="FECHA NAC.",$G1466,IF(BUSCAR!$C$8="PASAPORTE EXPIRA",$J1466,IF(BUSCAR!$C$8="LICENCIA EMISION",$L1466,IF(BUSCAR!$C$8="LICENCIA EXPIRA",$M1466,""))))</f>
      </c>
      <c r="AG1466" s="42">
        <f>IF($B1466&amp;$C1466&amp;$D1466&amp;$E1466&amp;$H1466="",0,IF(AND(OR(BUSCAR!$J$5="",ISNUMBER(SEARCH(BUSCAR!$J$5,$AI1466))),OR(BUSCAR!$J$6="",ISNUMBER(SEARCH(BUSCAR!$J$6,$AI1466))),OR(BUSCAR!$J$8="",ISNUMBER(SEARCH(BUSCAR!$J$8,$AI1466))),OR(BUSCAR!$J$9="",ISNUMBER(SEARCH(BUSCAR!$J$9,$AI1466))),OR(NOT(BUSCAR!$J$2),AND(ISNUMBER($AF1466),$AF1466&gt;=BUSCAR!$J$3,$AF1466&lt;=BUSCAR!$J$4))),1,0))</f>
      </c>
      <c r="AH1466" s="42">
        <f t="shared" si="66"/>
      </c>
      <c r="AI1466" s="42">
        <f t="shared" si="67"/>
      </c>
    </row>
    <row r="1467" spans="1:35" x14ac:dyDescent="0.2">
      <c r="A1467" s="66">
        <f t="shared" si="68"/>
      </c>
      <c r="B1467" s="4"/>
      <c r="C1467" s="4"/>
      <c r="D1467" s="4"/>
      <c r="E1467" s="4"/>
      <c r="F1467" s="24"/>
      <c r="G1467" s="8"/>
      <c r="H1467" s="9"/>
      <c r="I1467" s="8"/>
      <c r="J1467" s="10"/>
      <c r="K1467" s="8"/>
      <c r="L1467" s="8"/>
      <c r="M1467" s="8"/>
      <c r="N1467" s="11"/>
      <c r="O1467" s="9"/>
      <c r="P1467" s="12"/>
      <c r="Q1467" s="9"/>
      <c r="R1467" s="13"/>
      <c r="S1467" s="11"/>
      <c r="T1467" s="11"/>
      <c r="U1467" s="9"/>
      <c r="V1467" s="9"/>
      <c r="W1467" s="9"/>
      <c r="X1467" s="16"/>
      <c r="AF1467" s="42">
        <f>IF(BUSCAR!$C$8="FECHA NAC.",$G1467,IF(BUSCAR!$C$8="PASAPORTE EXPIRA",$J1467,IF(BUSCAR!$C$8="LICENCIA EMISION",$L1467,IF(BUSCAR!$C$8="LICENCIA EXPIRA",$M1467,""))))</f>
      </c>
      <c r="AG1467" s="42">
        <f>IF($B1467&amp;$C1467&amp;$D1467&amp;$E1467&amp;$H1467="",0,IF(AND(OR(BUSCAR!$J$5="",ISNUMBER(SEARCH(BUSCAR!$J$5,$AI1467))),OR(BUSCAR!$J$6="",ISNUMBER(SEARCH(BUSCAR!$J$6,$AI1467))),OR(BUSCAR!$J$8="",ISNUMBER(SEARCH(BUSCAR!$J$8,$AI1467))),OR(BUSCAR!$J$9="",ISNUMBER(SEARCH(BUSCAR!$J$9,$AI1467))),OR(NOT(BUSCAR!$J$2),AND(ISNUMBER($AF1467),$AF1467&gt;=BUSCAR!$J$3,$AF1467&lt;=BUSCAR!$J$4))),1,0))</f>
      </c>
      <c r="AH1467" s="42">
        <f t="shared" si="66"/>
      </c>
      <c r="AI1467" s="42">
        <f t="shared" si="67"/>
      </c>
    </row>
    <row r="1468" spans="1:35" x14ac:dyDescent="0.2">
      <c r="A1468" s="66">
        <f t="shared" si="68"/>
      </c>
      <c r="B1468" s="4"/>
      <c r="C1468" s="4"/>
      <c r="D1468" s="4"/>
      <c r="E1468" s="4"/>
      <c r="F1468" s="24"/>
      <c r="G1468" s="8"/>
      <c r="H1468" s="9"/>
      <c r="I1468" s="8"/>
      <c r="J1468" s="10"/>
      <c r="K1468" s="8"/>
      <c r="L1468" s="8"/>
      <c r="M1468" s="8"/>
      <c r="N1468" s="11"/>
      <c r="O1468" s="9"/>
      <c r="P1468" s="12"/>
      <c r="Q1468" s="9"/>
      <c r="R1468" s="13"/>
      <c r="S1468" s="11"/>
      <c r="T1468" s="11"/>
      <c r="U1468" s="9"/>
      <c r="V1468" s="9"/>
      <c r="W1468" s="9"/>
      <c r="X1468" s="16"/>
      <c r="AF1468" s="42">
        <f>IF(BUSCAR!$C$8="FECHA NAC.",$G1468,IF(BUSCAR!$C$8="PASAPORTE EXPIRA",$J1468,IF(BUSCAR!$C$8="LICENCIA EMISION",$L1468,IF(BUSCAR!$C$8="LICENCIA EXPIRA",$M1468,""))))</f>
      </c>
      <c r="AG1468" s="42">
        <f>IF($B1468&amp;$C1468&amp;$D1468&amp;$E1468&amp;$H1468="",0,IF(AND(OR(BUSCAR!$J$5="",ISNUMBER(SEARCH(BUSCAR!$J$5,$AI1468))),OR(BUSCAR!$J$6="",ISNUMBER(SEARCH(BUSCAR!$J$6,$AI1468))),OR(BUSCAR!$J$8="",ISNUMBER(SEARCH(BUSCAR!$J$8,$AI1468))),OR(BUSCAR!$J$9="",ISNUMBER(SEARCH(BUSCAR!$J$9,$AI1468))),OR(NOT(BUSCAR!$J$2),AND(ISNUMBER($AF1468),$AF1468&gt;=BUSCAR!$J$3,$AF1468&lt;=BUSCAR!$J$4))),1,0))</f>
      </c>
      <c r="AH1468" s="42">
        <f t="shared" si="66"/>
      </c>
      <c r="AI1468" s="42">
        <f t="shared" si="67"/>
      </c>
    </row>
    <row r="1469" spans="1:35" x14ac:dyDescent="0.2">
      <c r="A1469" s="66">
        <f t="shared" si="68"/>
      </c>
      <c r="B1469" s="4"/>
      <c r="C1469" s="4"/>
      <c r="D1469" s="4"/>
      <c r="E1469" s="4"/>
      <c r="F1469" s="24"/>
      <c r="G1469" s="8"/>
      <c r="H1469" s="9"/>
      <c r="I1469" s="8"/>
      <c r="J1469" s="10"/>
      <c r="K1469" s="8"/>
      <c r="L1469" s="8"/>
      <c r="M1469" s="8"/>
      <c r="N1469" s="11"/>
      <c r="O1469" s="9"/>
      <c r="P1469" s="12"/>
      <c r="Q1469" s="9"/>
      <c r="R1469" s="13"/>
      <c r="S1469" s="11"/>
      <c r="T1469" s="11"/>
      <c r="U1469" s="9"/>
      <c r="V1469" s="9"/>
      <c r="W1469" s="9"/>
      <c r="X1469" s="16"/>
      <c r="AF1469" s="42">
        <f>IF(BUSCAR!$C$8="FECHA NAC.",$G1469,IF(BUSCAR!$C$8="PASAPORTE EXPIRA",$J1469,IF(BUSCAR!$C$8="LICENCIA EMISION",$L1469,IF(BUSCAR!$C$8="LICENCIA EXPIRA",$M1469,""))))</f>
      </c>
      <c r="AG1469" s="42">
        <f>IF($B1469&amp;$C1469&amp;$D1469&amp;$E1469&amp;$H1469="",0,IF(AND(OR(BUSCAR!$J$5="",ISNUMBER(SEARCH(BUSCAR!$J$5,$AI1469))),OR(BUSCAR!$J$6="",ISNUMBER(SEARCH(BUSCAR!$J$6,$AI1469))),OR(BUSCAR!$J$8="",ISNUMBER(SEARCH(BUSCAR!$J$8,$AI1469))),OR(BUSCAR!$J$9="",ISNUMBER(SEARCH(BUSCAR!$J$9,$AI1469))),OR(NOT(BUSCAR!$J$2),AND(ISNUMBER($AF1469),$AF1469&gt;=BUSCAR!$J$3,$AF1469&lt;=BUSCAR!$J$4))),1,0))</f>
      </c>
      <c r="AH1469" s="42">
        <f t="shared" si="66"/>
      </c>
      <c r="AI1469" s="42">
        <f t="shared" si="67"/>
      </c>
    </row>
    <row r="1470" spans="1:35" x14ac:dyDescent="0.2">
      <c r="A1470" s="66">
        <f t="shared" si="68"/>
      </c>
      <c r="B1470" s="4"/>
      <c r="C1470" s="4"/>
      <c r="D1470" s="4"/>
      <c r="E1470" s="4"/>
      <c r="F1470" s="24"/>
      <c r="G1470" s="8"/>
      <c r="H1470" s="9"/>
      <c r="I1470" s="8"/>
      <c r="J1470" s="10"/>
      <c r="K1470" s="8"/>
      <c r="L1470" s="8"/>
      <c r="M1470" s="8"/>
      <c r="N1470" s="11"/>
      <c r="O1470" s="9"/>
      <c r="P1470" s="12"/>
      <c r="Q1470" s="9"/>
      <c r="R1470" s="13"/>
      <c r="S1470" s="11"/>
      <c r="T1470" s="11"/>
      <c r="U1470" s="9"/>
      <c r="V1470" s="9"/>
      <c r="W1470" s="9"/>
      <c r="X1470" s="16"/>
      <c r="AF1470" s="42">
        <f>IF(BUSCAR!$C$8="FECHA NAC.",$G1470,IF(BUSCAR!$C$8="PASAPORTE EXPIRA",$J1470,IF(BUSCAR!$C$8="LICENCIA EMISION",$L1470,IF(BUSCAR!$C$8="LICENCIA EXPIRA",$M1470,""))))</f>
      </c>
      <c r="AG1470" s="42">
        <f>IF($B1470&amp;$C1470&amp;$D1470&amp;$E1470&amp;$H1470="",0,IF(AND(OR(BUSCAR!$J$5="",ISNUMBER(SEARCH(BUSCAR!$J$5,$AI1470))),OR(BUSCAR!$J$6="",ISNUMBER(SEARCH(BUSCAR!$J$6,$AI1470))),OR(BUSCAR!$J$8="",ISNUMBER(SEARCH(BUSCAR!$J$8,$AI1470))),OR(BUSCAR!$J$9="",ISNUMBER(SEARCH(BUSCAR!$J$9,$AI1470))),OR(NOT(BUSCAR!$J$2),AND(ISNUMBER($AF1470),$AF1470&gt;=BUSCAR!$J$3,$AF1470&lt;=BUSCAR!$J$4))),1,0))</f>
      </c>
      <c r="AH1470" s="42">
        <f t="shared" si="66"/>
      </c>
      <c r="AI1470" s="42">
        <f t="shared" si="67"/>
      </c>
    </row>
    <row r="1471" spans="1:35" x14ac:dyDescent="0.2">
      <c r="A1471" s="66">
        <f t="shared" si="68"/>
      </c>
      <c r="B1471" s="4"/>
      <c r="C1471" s="4"/>
      <c r="D1471" s="4"/>
      <c r="E1471" s="4"/>
      <c r="F1471" s="24"/>
      <c r="G1471" s="8"/>
      <c r="H1471" s="9"/>
      <c r="I1471" s="8"/>
      <c r="J1471" s="10"/>
      <c r="K1471" s="8"/>
      <c r="L1471" s="8"/>
      <c r="M1471" s="8"/>
      <c r="N1471" s="11"/>
      <c r="O1471" s="9"/>
      <c r="P1471" s="12"/>
      <c r="Q1471" s="9"/>
      <c r="R1471" s="13"/>
      <c r="S1471" s="11"/>
      <c r="T1471" s="11"/>
      <c r="U1471" s="9"/>
      <c r="V1471" s="9"/>
      <c r="W1471" s="9"/>
      <c r="X1471" s="16"/>
      <c r="AF1471" s="42">
        <f>IF(BUSCAR!$C$8="FECHA NAC.",$G1471,IF(BUSCAR!$C$8="PASAPORTE EXPIRA",$J1471,IF(BUSCAR!$C$8="LICENCIA EMISION",$L1471,IF(BUSCAR!$C$8="LICENCIA EXPIRA",$M1471,""))))</f>
      </c>
      <c r="AG1471" s="42">
        <f>IF($B1471&amp;$C1471&amp;$D1471&amp;$E1471&amp;$H1471="",0,IF(AND(OR(BUSCAR!$J$5="",ISNUMBER(SEARCH(BUSCAR!$J$5,$AI1471))),OR(BUSCAR!$J$6="",ISNUMBER(SEARCH(BUSCAR!$J$6,$AI1471))),OR(BUSCAR!$J$8="",ISNUMBER(SEARCH(BUSCAR!$J$8,$AI1471))),OR(BUSCAR!$J$9="",ISNUMBER(SEARCH(BUSCAR!$J$9,$AI1471))),OR(NOT(BUSCAR!$J$2),AND(ISNUMBER($AF1471),$AF1471&gt;=BUSCAR!$J$3,$AF1471&lt;=BUSCAR!$J$4))),1,0))</f>
      </c>
      <c r="AH1471" s="42">
        <f t="shared" si="66"/>
      </c>
      <c r="AI1471" s="42">
        <f t="shared" si="67"/>
      </c>
    </row>
    <row r="1472" spans="1:35" x14ac:dyDescent="0.2">
      <c r="A1472" s="66">
        <f t="shared" si="68"/>
      </c>
      <c r="B1472" s="4"/>
      <c r="C1472" s="4"/>
      <c r="D1472" s="4"/>
      <c r="E1472" s="4"/>
      <c r="F1472" s="24"/>
      <c r="G1472" s="8"/>
      <c r="H1472" s="9"/>
      <c r="I1472" s="8"/>
      <c r="J1472" s="10"/>
      <c r="K1472" s="8"/>
      <c r="L1472" s="8"/>
      <c r="M1472" s="8"/>
      <c r="N1472" s="11"/>
      <c r="O1472" s="9"/>
      <c r="P1472" s="12"/>
      <c r="Q1472" s="9"/>
      <c r="R1472" s="8"/>
      <c r="S1472" s="11"/>
      <c r="T1472" s="11"/>
      <c r="U1472" s="9"/>
      <c r="V1472" s="9"/>
      <c r="W1472" s="9"/>
      <c r="X1472" s="16"/>
      <c r="AF1472" s="42">
        <f>IF(BUSCAR!$C$8="FECHA NAC.",$G1472,IF(BUSCAR!$C$8="PASAPORTE EXPIRA",$J1472,IF(BUSCAR!$C$8="LICENCIA EMISION",$L1472,IF(BUSCAR!$C$8="LICENCIA EXPIRA",$M1472,""))))</f>
      </c>
      <c r="AG1472" s="42">
        <f>IF($B1472&amp;$C1472&amp;$D1472&amp;$E1472&amp;$H1472="",0,IF(AND(OR(BUSCAR!$J$5="",ISNUMBER(SEARCH(BUSCAR!$J$5,$AI1472))),OR(BUSCAR!$J$6="",ISNUMBER(SEARCH(BUSCAR!$J$6,$AI1472))),OR(BUSCAR!$J$8="",ISNUMBER(SEARCH(BUSCAR!$J$8,$AI1472))),OR(BUSCAR!$J$9="",ISNUMBER(SEARCH(BUSCAR!$J$9,$AI1472))),OR(NOT(BUSCAR!$J$2),AND(ISNUMBER($AF1472),$AF1472&gt;=BUSCAR!$J$3,$AF1472&lt;=BUSCAR!$J$4))),1,0))</f>
      </c>
      <c r="AH1472" s="42">
        <f t="shared" si="66"/>
      </c>
      <c r="AI1472" s="42">
        <f t="shared" si="67"/>
      </c>
    </row>
    <row r="1473" spans="1:35" x14ac:dyDescent="0.2">
      <c r="A1473" s="66">
        <f t="shared" si="68"/>
      </c>
      <c r="B1473" s="4"/>
      <c r="C1473" s="4"/>
      <c r="D1473" s="4"/>
      <c r="E1473" s="4"/>
      <c r="F1473" s="24"/>
      <c r="G1473" s="8"/>
      <c r="H1473" s="9"/>
      <c r="I1473" s="8"/>
      <c r="J1473" s="10"/>
      <c r="K1473" s="8"/>
      <c r="L1473" s="8"/>
      <c r="M1473" s="8"/>
      <c r="N1473" s="11"/>
      <c r="O1473" s="9"/>
      <c r="P1473" s="12"/>
      <c r="Q1473" s="9"/>
      <c r="R1473" s="13"/>
      <c r="S1473" s="11"/>
      <c r="T1473" s="11"/>
      <c r="U1473" s="9"/>
      <c r="V1473" s="9"/>
      <c r="W1473" s="9"/>
      <c r="X1473" s="16"/>
      <c r="AF1473" s="42">
        <f>IF(BUSCAR!$C$8="FECHA NAC.",$G1473,IF(BUSCAR!$C$8="PASAPORTE EXPIRA",$J1473,IF(BUSCAR!$C$8="LICENCIA EMISION",$L1473,IF(BUSCAR!$C$8="LICENCIA EXPIRA",$M1473,""))))</f>
      </c>
      <c r="AG1473" s="42">
        <f>IF($B1473&amp;$C1473&amp;$D1473&amp;$E1473&amp;$H1473="",0,IF(AND(OR(BUSCAR!$J$5="",ISNUMBER(SEARCH(BUSCAR!$J$5,$AI1473))),OR(BUSCAR!$J$6="",ISNUMBER(SEARCH(BUSCAR!$J$6,$AI1473))),OR(BUSCAR!$J$8="",ISNUMBER(SEARCH(BUSCAR!$J$8,$AI1473))),OR(BUSCAR!$J$9="",ISNUMBER(SEARCH(BUSCAR!$J$9,$AI1473))),OR(NOT(BUSCAR!$J$2),AND(ISNUMBER($AF1473),$AF1473&gt;=BUSCAR!$J$3,$AF1473&lt;=BUSCAR!$J$4))),1,0))</f>
      </c>
      <c r="AH1473" s="42">
        <f t="shared" si="66"/>
      </c>
      <c r="AI1473" s="42">
        <f t="shared" si="67"/>
      </c>
    </row>
    <row r="1474" spans="1:35" x14ac:dyDescent="0.2">
      <c r="A1474" s="66">
        <f t="shared" si="68"/>
      </c>
      <c r="B1474" s="4"/>
      <c r="C1474" s="4"/>
      <c r="D1474" s="4"/>
      <c r="E1474" s="4"/>
      <c r="F1474" s="24"/>
      <c r="G1474" s="8"/>
      <c r="H1474" s="9"/>
      <c r="I1474" s="8"/>
      <c r="J1474" s="10"/>
      <c r="K1474" s="8"/>
      <c r="L1474" s="8"/>
      <c r="M1474" s="8"/>
      <c r="N1474" s="11"/>
      <c r="O1474" s="9"/>
      <c r="P1474" s="12"/>
      <c r="Q1474" s="9"/>
      <c r="R1474" s="13"/>
      <c r="S1474" s="11"/>
      <c r="T1474" s="11"/>
      <c r="U1474" s="9"/>
      <c r="V1474" s="9"/>
      <c r="W1474" s="9"/>
      <c r="X1474" s="16"/>
      <c r="AF1474" s="42">
        <f>IF(BUSCAR!$C$8="FECHA NAC.",$G1474,IF(BUSCAR!$C$8="PASAPORTE EXPIRA",$J1474,IF(BUSCAR!$C$8="LICENCIA EMISION",$L1474,IF(BUSCAR!$C$8="LICENCIA EXPIRA",$M1474,""))))</f>
      </c>
      <c r="AG1474" s="42">
        <f>IF($B1474&amp;$C1474&amp;$D1474&amp;$E1474&amp;$H1474="",0,IF(AND(OR(BUSCAR!$J$5="",ISNUMBER(SEARCH(BUSCAR!$J$5,$AI1474))),OR(BUSCAR!$J$6="",ISNUMBER(SEARCH(BUSCAR!$J$6,$AI1474))),OR(BUSCAR!$J$8="",ISNUMBER(SEARCH(BUSCAR!$J$8,$AI1474))),OR(BUSCAR!$J$9="",ISNUMBER(SEARCH(BUSCAR!$J$9,$AI1474))),OR(NOT(BUSCAR!$J$2),AND(ISNUMBER($AF1474),$AF1474&gt;=BUSCAR!$J$3,$AF1474&lt;=BUSCAR!$J$4))),1,0))</f>
      </c>
      <c r="AH1474" s="42">
        <f t="shared" si="66"/>
      </c>
      <c r="AI1474" s="42">
        <f t="shared" si="67"/>
      </c>
    </row>
    <row r="1475" spans="1:35" x14ac:dyDescent="0.2">
      <c r="A1475" s="66">
        <f t="shared" si="68"/>
      </c>
      <c r="B1475" s="4"/>
      <c r="C1475" s="4"/>
      <c r="D1475" s="4"/>
      <c r="E1475" s="4"/>
      <c r="F1475" s="24"/>
      <c r="G1475" s="8"/>
      <c r="H1475" s="9"/>
      <c r="I1475" s="8"/>
      <c r="J1475" s="10"/>
      <c r="K1475" s="8"/>
      <c r="L1475" s="8"/>
      <c r="M1475" s="8"/>
      <c r="N1475" s="11"/>
      <c r="O1475" s="9"/>
      <c r="P1475" s="12"/>
      <c r="Q1475" s="9"/>
      <c r="R1475" s="13"/>
      <c r="S1475" s="11"/>
      <c r="T1475" s="11"/>
      <c r="U1475" s="9"/>
      <c r="V1475" s="9"/>
      <c r="W1475" s="9"/>
      <c r="X1475" s="16"/>
      <c r="AF1475" s="42">
        <f>IF(BUSCAR!$C$8="FECHA NAC.",$G1475,IF(BUSCAR!$C$8="PASAPORTE EXPIRA",$J1475,IF(BUSCAR!$C$8="LICENCIA EMISION",$L1475,IF(BUSCAR!$C$8="LICENCIA EXPIRA",$M1475,""))))</f>
      </c>
      <c r="AG1475" s="42">
        <f>IF($B1475&amp;$C1475&amp;$D1475&amp;$E1475&amp;$H1475="",0,IF(AND(OR(BUSCAR!$J$5="",ISNUMBER(SEARCH(BUSCAR!$J$5,$AI1475))),OR(BUSCAR!$J$6="",ISNUMBER(SEARCH(BUSCAR!$J$6,$AI1475))),OR(BUSCAR!$J$8="",ISNUMBER(SEARCH(BUSCAR!$J$8,$AI1475))),OR(BUSCAR!$J$9="",ISNUMBER(SEARCH(BUSCAR!$J$9,$AI1475))),OR(NOT(BUSCAR!$J$2),AND(ISNUMBER($AF1475),$AF1475&gt;=BUSCAR!$J$3,$AF1475&lt;=BUSCAR!$J$4))),1,0))</f>
      </c>
      <c r="AH1475" s="42">
        <f t="shared" ref="AH1475:AH1538" si="69">AH1474+AG1475</f>
      </c>
      <c r="AI1475" s="42">
        <f t="shared" ref="AI1475:AI1538" si="70">IF($B1475&amp;" "&amp;$C1475&amp;" "&amp;$D1475&amp;" "&amp;$E1475&amp;" "&amp;$H1475&amp;" "&amp;$K1475&amp;" "&amp;$R1475&amp;" "&amp;$AC1475&amp;" "&amp;$AD1475="","",SUBSTITUTE(SUBSTITUTE(SUBSTITUTE(SUBSTITUTE(SUBSTITUTE(SUBSTITUTE(SUBSTITUTE(UPPER($B1475&amp;" "&amp;$C1475&amp;" "&amp;$D1475&amp;" "&amp;$E1475&amp;" "&amp;$H1475&amp;" "&amp;$K1475&amp;" "&amp;$R1475&amp;" "&amp;$AC1475&amp;" "&amp;$AD1475),"Á","A"),"É","E"),"Í","I"),"Ó","O"),"Ú","U"),"Ü","U"),"Ñ","N"))</f>
      </c>
    </row>
    <row r="1476" spans="1:35" x14ac:dyDescent="0.2">
      <c r="A1476" s="66">
        <f t="shared" ref="A1476:A1539" si="71">A1475+1</f>
      </c>
      <c r="B1476" s="4"/>
      <c r="C1476" s="4"/>
      <c r="D1476" s="4"/>
      <c r="E1476" s="4"/>
      <c r="F1476" s="24"/>
      <c r="G1476" s="8"/>
      <c r="H1476" s="9"/>
      <c r="I1476" s="8"/>
      <c r="J1476" s="10"/>
      <c r="K1476" s="8"/>
      <c r="L1476" s="8"/>
      <c r="M1476" s="8"/>
      <c r="N1476" s="11"/>
      <c r="O1476" s="9"/>
      <c r="P1476" s="12"/>
      <c r="Q1476" s="9"/>
      <c r="R1476" s="13"/>
      <c r="S1476" s="11"/>
      <c r="T1476" s="11"/>
      <c r="U1476" s="9"/>
      <c r="V1476" s="9"/>
      <c r="W1476" s="9"/>
      <c r="X1476" s="16"/>
      <c r="AF1476" s="42">
        <f>IF(BUSCAR!$C$8="FECHA NAC.",$G1476,IF(BUSCAR!$C$8="PASAPORTE EXPIRA",$J1476,IF(BUSCAR!$C$8="LICENCIA EMISION",$L1476,IF(BUSCAR!$C$8="LICENCIA EXPIRA",$M1476,""))))</f>
      </c>
      <c r="AG1476" s="42">
        <f>IF($B1476&amp;$C1476&amp;$D1476&amp;$E1476&amp;$H1476="",0,IF(AND(OR(BUSCAR!$J$5="",ISNUMBER(SEARCH(BUSCAR!$J$5,$AI1476))),OR(BUSCAR!$J$6="",ISNUMBER(SEARCH(BUSCAR!$J$6,$AI1476))),OR(BUSCAR!$J$8="",ISNUMBER(SEARCH(BUSCAR!$J$8,$AI1476))),OR(BUSCAR!$J$9="",ISNUMBER(SEARCH(BUSCAR!$J$9,$AI1476))),OR(NOT(BUSCAR!$J$2),AND(ISNUMBER($AF1476),$AF1476&gt;=BUSCAR!$J$3,$AF1476&lt;=BUSCAR!$J$4))),1,0))</f>
      </c>
      <c r="AH1476" s="42">
        <f t="shared" si="69"/>
      </c>
      <c r="AI1476" s="42">
        <f t="shared" si="70"/>
      </c>
    </row>
    <row r="1477" spans="1:35" x14ac:dyDescent="0.2">
      <c r="A1477" s="66">
        <f t="shared" si="71"/>
      </c>
      <c r="B1477" s="4"/>
      <c r="C1477" s="4"/>
      <c r="D1477" s="4"/>
      <c r="E1477" s="4"/>
      <c r="F1477" s="24"/>
      <c r="G1477" s="8"/>
      <c r="H1477" s="9"/>
      <c r="I1477" s="8"/>
      <c r="J1477" s="10"/>
      <c r="K1477" s="9"/>
      <c r="L1477" s="8"/>
      <c r="M1477" s="8"/>
      <c r="N1477" s="11"/>
      <c r="O1477" s="9"/>
      <c r="P1477" s="12"/>
      <c r="Q1477" s="9"/>
      <c r="R1477" s="13"/>
      <c r="S1477" s="11"/>
      <c r="T1477" s="11"/>
      <c r="U1477" s="9"/>
      <c r="V1477" s="9"/>
      <c r="W1477" s="9"/>
      <c r="X1477" s="16"/>
      <c r="AF1477" s="42">
        <f>IF(BUSCAR!$C$8="FECHA NAC.",$G1477,IF(BUSCAR!$C$8="PASAPORTE EXPIRA",$J1477,IF(BUSCAR!$C$8="LICENCIA EMISION",$L1477,IF(BUSCAR!$C$8="LICENCIA EXPIRA",$M1477,""))))</f>
      </c>
      <c r="AG1477" s="42">
        <f>IF($B1477&amp;$C1477&amp;$D1477&amp;$E1477&amp;$H1477="",0,IF(AND(OR(BUSCAR!$J$5="",ISNUMBER(SEARCH(BUSCAR!$J$5,$AI1477))),OR(BUSCAR!$J$6="",ISNUMBER(SEARCH(BUSCAR!$J$6,$AI1477))),OR(BUSCAR!$J$8="",ISNUMBER(SEARCH(BUSCAR!$J$8,$AI1477))),OR(BUSCAR!$J$9="",ISNUMBER(SEARCH(BUSCAR!$J$9,$AI1477))),OR(NOT(BUSCAR!$J$2),AND(ISNUMBER($AF1477),$AF1477&gt;=BUSCAR!$J$3,$AF1477&lt;=BUSCAR!$J$4))),1,0))</f>
      </c>
      <c r="AH1477" s="42">
        <f t="shared" si="69"/>
      </c>
      <c r="AI1477" s="42">
        <f t="shared" si="70"/>
      </c>
    </row>
    <row r="1478" spans="1:35" x14ac:dyDescent="0.2">
      <c r="A1478" s="66">
        <f t="shared" si="71"/>
      </c>
      <c r="B1478" s="4"/>
      <c r="C1478" s="4"/>
      <c r="D1478" s="4"/>
      <c r="E1478" s="4"/>
      <c r="F1478" s="24"/>
      <c r="G1478" s="8"/>
      <c r="H1478" s="9"/>
      <c r="I1478" s="8"/>
      <c r="J1478" s="10"/>
      <c r="K1478" s="8"/>
      <c r="L1478" s="8"/>
      <c r="M1478" s="8"/>
      <c r="N1478" s="11"/>
      <c r="O1478" s="9"/>
      <c r="P1478" s="12"/>
      <c r="Q1478" s="9"/>
      <c r="R1478" s="13"/>
      <c r="S1478" s="11"/>
      <c r="T1478" s="11"/>
      <c r="U1478" s="9"/>
      <c r="V1478" s="9"/>
      <c r="W1478" s="9"/>
      <c r="X1478" s="16"/>
      <c r="AF1478" s="42">
        <f>IF(BUSCAR!$C$8="FECHA NAC.",$G1478,IF(BUSCAR!$C$8="PASAPORTE EXPIRA",$J1478,IF(BUSCAR!$C$8="LICENCIA EMISION",$L1478,IF(BUSCAR!$C$8="LICENCIA EXPIRA",$M1478,""))))</f>
      </c>
      <c r="AG1478" s="42">
        <f>IF($B1478&amp;$C1478&amp;$D1478&amp;$E1478&amp;$H1478="",0,IF(AND(OR(BUSCAR!$J$5="",ISNUMBER(SEARCH(BUSCAR!$J$5,$AI1478))),OR(BUSCAR!$J$6="",ISNUMBER(SEARCH(BUSCAR!$J$6,$AI1478))),OR(BUSCAR!$J$8="",ISNUMBER(SEARCH(BUSCAR!$J$8,$AI1478))),OR(BUSCAR!$J$9="",ISNUMBER(SEARCH(BUSCAR!$J$9,$AI1478))),OR(NOT(BUSCAR!$J$2),AND(ISNUMBER($AF1478),$AF1478&gt;=BUSCAR!$J$3,$AF1478&lt;=BUSCAR!$J$4))),1,0))</f>
      </c>
      <c r="AH1478" s="42">
        <f t="shared" si="69"/>
      </c>
      <c r="AI1478" s="42">
        <f t="shared" si="70"/>
      </c>
    </row>
    <row r="1479" spans="1:35" x14ac:dyDescent="0.2">
      <c r="A1479" s="66">
        <f t="shared" si="71"/>
      </c>
      <c r="B1479" s="4"/>
      <c r="C1479" s="4"/>
      <c r="D1479" s="4"/>
      <c r="E1479" s="4"/>
      <c r="F1479" s="24"/>
      <c r="G1479" s="8"/>
      <c r="H1479" s="9"/>
      <c r="I1479" s="8"/>
      <c r="J1479" s="10"/>
      <c r="K1479" s="8"/>
      <c r="L1479" s="8"/>
      <c r="M1479" s="8"/>
      <c r="N1479" s="11"/>
      <c r="O1479" s="9"/>
      <c r="P1479" s="12"/>
      <c r="Q1479" s="9"/>
      <c r="R1479" s="13"/>
      <c r="S1479" s="11"/>
      <c r="T1479" s="11"/>
      <c r="U1479" s="9"/>
      <c r="V1479" s="9"/>
      <c r="W1479" s="9"/>
      <c r="X1479" s="16"/>
      <c r="AF1479" s="42">
        <f>IF(BUSCAR!$C$8="FECHA NAC.",$G1479,IF(BUSCAR!$C$8="PASAPORTE EXPIRA",$J1479,IF(BUSCAR!$C$8="LICENCIA EMISION",$L1479,IF(BUSCAR!$C$8="LICENCIA EXPIRA",$M1479,""))))</f>
      </c>
      <c r="AG1479" s="42">
        <f>IF($B1479&amp;$C1479&amp;$D1479&amp;$E1479&amp;$H1479="",0,IF(AND(OR(BUSCAR!$J$5="",ISNUMBER(SEARCH(BUSCAR!$J$5,$AI1479))),OR(BUSCAR!$J$6="",ISNUMBER(SEARCH(BUSCAR!$J$6,$AI1479))),OR(BUSCAR!$J$8="",ISNUMBER(SEARCH(BUSCAR!$J$8,$AI1479))),OR(BUSCAR!$J$9="",ISNUMBER(SEARCH(BUSCAR!$J$9,$AI1479))),OR(NOT(BUSCAR!$J$2),AND(ISNUMBER($AF1479),$AF1479&gt;=BUSCAR!$J$3,$AF1479&lt;=BUSCAR!$J$4))),1,0))</f>
      </c>
      <c r="AH1479" s="42">
        <f t="shared" si="69"/>
      </c>
      <c r="AI1479" s="42">
        <f t="shared" si="70"/>
      </c>
    </row>
    <row r="1480" spans="1:35" x14ac:dyDescent="0.2">
      <c r="A1480" s="66">
        <f t="shared" si="71"/>
      </c>
      <c r="B1480" s="4"/>
      <c r="C1480" s="4"/>
      <c r="D1480" s="4"/>
      <c r="E1480" s="4"/>
      <c r="F1480" s="24"/>
      <c r="G1480" s="8"/>
      <c r="H1480" s="9"/>
      <c r="I1480" s="8"/>
      <c r="J1480" s="10"/>
      <c r="K1480" s="8"/>
      <c r="L1480" s="8"/>
      <c r="M1480" s="8"/>
      <c r="N1480" s="11"/>
      <c r="O1480" s="9"/>
      <c r="P1480" s="12"/>
      <c r="Q1480" s="9"/>
      <c r="R1480" s="13"/>
      <c r="S1480" s="11"/>
      <c r="T1480" s="11"/>
      <c r="U1480" s="9"/>
      <c r="V1480" s="9"/>
      <c r="W1480" s="9"/>
      <c r="X1480" s="16"/>
      <c r="AF1480" s="42">
        <f>IF(BUSCAR!$C$8="FECHA NAC.",$G1480,IF(BUSCAR!$C$8="PASAPORTE EXPIRA",$J1480,IF(BUSCAR!$C$8="LICENCIA EMISION",$L1480,IF(BUSCAR!$C$8="LICENCIA EXPIRA",$M1480,""))))</f>
      </c>
      <c r="AG1480" s="42">
        <f>IF($B1480&amp;$C1480&amp;$D1480&amp;$E1480&amp;$H1480="",0,IF(AND(OR(BUSCAR!$J$5="",ISNUMBER(SEARCH(BUSCAR!$J$5,$AI1480))),OR(BUSCAR!$J$6="",ISNUMBER(SEARCH(BUSCAR!$J$6,$AI1480))),OR(BUSCAR!$J$8="",ISNUMBER(SEARCH(BUSCAR!$J$8,$AI1480))),OR(BUSCAR!$J$9="",ISNUMBER(SEARCH(BUSCAR!$J$9,$AI1480))),OR(NOT(BUSCAR!$J$2),AND(ISNUMBER($AF1480),$AF1480&gt;=BUSCAR!$J$3,$AF1480&lt;=BUSCAR!$J$4))),1,0))</f>
      </c>
      <c r="AH1480" s="42">
        <f t="shared" si="69"/>
      </c>
      <c r="AI1480" s="42">
        <f t="shared" si="70"/>
      </c>
    </row>
    <row r="1481" spans="1:35" x14ac:dyDescent="0.2">
      <c r="A1481" s="66">
        <f t="shared" si="71"/>
      </c>
      <c r="B1481" s="4"/>
      <c r="C1481" s="4"/>
      <c r="D1481" s="4"/>
      <c r="E1481" s="4"/>
      <c r="F1481" s="24"/>
      <c r="G1481" s="8"/>
      <c r="H1481" s="9"/>
      <c r="I1481" s="8"/>
      <c r="J1481" s="10"/>
      <c r="K1481" s="8"/>
      <c r="L1481" s="8"/>
      <c r="M1481" s="8"/>
      <c r="N1481" s="11"/>
      <c r="O1481" s="9"/>
      <c r="P1481" s="12"/>
      <c r="Q1481" s="9"/>
      <c r="R1481" s="13"/>
      <c r="S1481" s="11"/>
      <c r="T1481" s="11"/>
      <c r="U1481" s="9"/>
      <c r="V1481" s="9"/>
      <c r="W1481" s="9"/>
      <c r="X1481" s="16"/>
      <c r="AF1481" s="42">
        <f>IF(BUSCAR!$C$8="FECHA NAC.",$G1481,IF(BUSCAR!$C$8="PASAPORTE EXPIRA",$J1481,IF(BUSCAR!$C$8="LICENCIA EMISION",$L1481,IF(BUSCAR!$C$8="LICENCIA EXPIRA",$M1481,""))))</f>
      </c>
      <c r="AG1481" s="42">
        <f>IF($B1481&amp;$C1481&amp;$D1481&amp;$E1481&amp;$H1481="",0,IF(AND(OR(BUSCAR!$J$5="",ISNUMBER(SEARCH(BUSCAR!$J$5,$AI1481))),OR(BUSCAR!$J$6="",ISNUMBER(SEARCH(BUSCAR!$J$6,$AI1481))),OR(BUSCAR!$J$8="",ISNUMBER(SEARCH(BUSCAR!$J$8,$AI1481))),OR(BUSCAR!$J$9="",ISNUMBER(SEARCH(BUSCAR!$J$9,$AI1481))),OR(NOT(BUSCAR!$J$2),AND(ISNUMBER($AF1481),$AF1481&gt;=BUSCAR!$J$3,$AF1481&lt;=BUSCAR!$J$4))),1,0))</f>
      </c>
      <c r="AH1481" s="42">
        <f t="shared" si="69"/>
      </c>
      <c r="AI1481" s="42">
        <f t="shared" si="70"/>
      </c>
    </row>
    <row r="1482" spans="1:35" x14ac:dyDescent="0.2">
      <c r="A1482" s="66">
        <f t="shared" si="71"/>
      </c>
      <c r="B1482" s="4"/>
      <c r="C1482" s="4"/>
      <c r="D1482" s="4"/>
      <c r="E1482" s="4"/>
      <c r="F1482" s="24"/>
      <c r="G1482" s="8"/>
      <c r="H1482" s="9"/>
      <c r="I1482" s="8"/>
      <c r="J1482" s="10"/>
      <c r="K1482" s="8"/>
      <c r="L1482" s="8"/>
      <c r="M1482" s="8"/>
      <c r="N1482" s="11"/>
      <c r="O1482" s="9"/>
      <c r="P1482" s="12"/>
      <c r="Q1482" s="9"/>
      <c r="R1482" s="13"/>
      <c r="S1482" s="11"/>
      <c r="T1482" s="11"/>
      <c r="U1482" s="9"/>
      <c r="V1482" s="9"/>
      <c r="W1482" s="9"/>
      <c r="X1482" s="16"/>
      <c r="AF1482" s="42">
        <f>IF(BUSCAR!$C$8="FECHA NAC.",$G1482,IF(BUSCAR!$C$8="PASAPORTE EXPIRA",$J1482,IF(BUSCAR!$C$8="LICENCIA EMISION",$L1482,IF(BUSCAR!$C$8="LICENCIA EXPIRA",$M1482,""))))</f>
      </c>
      <c r="AG1482" s="42">
        <f>IF($B1482&amp;$C1482&amp;$D1482&amp;$E1482&amp;$H1482="",0,IF(AND(OR(BUSCAR!$J$5="",ISNUMBER(SEARCH(BUSCAR!$J$5,$AI1482))),OR(BUSCAR!$J$6="",ISNUMBER(SEARCH(BUSCAR!$J$6,$AI1482))),OR(BUSCAR!$J$8="",ISNUMBER(SEARCH(BUSCAR!$J$8,$AI1482))),OR(BUSCAR!$J$9="",ISNUMBER(SEARCH(BUSCAR!$J$9,$AI1482))),OR(NOT(BUSCAR!$J$2),AND(ISNUMBER($AF1482),$AF1482&gt;=BUSCAR!$J$3,$AF1482&lt;=BUSCAR!$J$4))),1,0))</f>
      </c>
      <c r="AH1482" s="42">
        <f t="shared" si="69"/>
      </c>
      <c r="AI1482" s="42">
        <f t="shared" si="70"/>
      </c>
    </row>
    <row r="1483" spans="1:35" x14ac:dyDescent="0.2">
      <c r="A1483" s="66">
        <f t="shared" si="71"/>
      </c>
      <c r="B1483" s="4"/>
      <c r="C1483" s="4"/>
      <c r="D1483" s="4"/>
      <c r="E1483" s="4"/>
      <c r="F1483" s="24"/>
      <c r="G1483" s="8"/>
      <c r="H1483" s="9"/>
      <c r="I1483" s="8"/>
      <c r="J1483" s="10"/>
      <c r="K1483" s="8"/>
      <c r="L1483" s="8"/>
      <c r="M1483" s="8"/>
      <c r="N1483" s="11"/>
      <c r="O1483" s="9"/>
      <c r="P1483" s="12"/>
      <c r="Q1483" s="9"/>
      <c r="R1483" s="13"/>
      <c r="S1483" s="11"/>
      <c r="T1483" s="11"/>
      <c r="U1483" s="9"/>
      <c r="V1483" s="9"/>
      <c r="W1483" s="9"/>
      <c r="X1483" s="16"/>
      <c r="AF1483" s="42">
        <f>IF(BUSCAR!$C$8="FECHA NAC.",$G1483,IF(BUSCAR!$C$8="PASAPORTE EXPIRA",$J1483,IF(BUSCAR!$C$8="LICENCIA EMISION",$L1483,IF(BUSCAR!$C$8="LICENCIA EXPIRA",$M1483,""))))</f>
      </c>
      <c r="AG1483" s="42">
        <f>IF($B1483&amp;$C1483&amp;$D1483&amp;$E1483&amp;$H1483="",0,IF(AND(OR(BUSCAR!$J$5="",ISNUMBER(SEARCH(BUSCAR!$J$5,$AI1483))),OR(BUSCAR!$J$6="",ISNUMBER(SEARCH(BUSCAR!$J$6,$AI1483))),OR(BUSCAR!$J$8="",ISNUMBER(SEARCH(BUSCAR!$J$8,$AI1483))),OR(BUSCAR!$J$9="",ISNUMBER(SEARCH(BUSCAR!$J$9,$AI1483))),OR(NOT(BUSCAR!$J$2),AND(ISNUMBER($AF1483),$AF1483&gt;=BUSCAR!$J$3,$AF1483&lt;=BUSCAR!$J$4))),1,0))</f>
      </c>
      <c r="AH1483" s="42">
        <f t="shared" si="69"/>
      </c>
      <c r="AI1483" s="42">
        <f t="shared" si="70"/>
      </c>
    </row>
    <row r="1484" spans="1:35" x14ac:dyDescent="0.2">
      <c r="A1484" s="66">
        <f t="shared" si="71"/>
      </c>
      <c r="B1484" s="47"/>
      <c r="C1484" s="4"/>
      <c r="D1484" s="4"/>
      <c r="E1484" s="4"/>
      <c r="F1484" s="4"/>
      <c r="G1484" s="24"/>
      <c r="H1484" s="8"/>
      <c r="I1484" s="9"/>
      <c r="J1484" s="8"/>
      <c r="K1484" s="10"/>
      <c r="L1484" s="8"/>
      <c r="M1484" s="8"/>
      <c r="N1484" s="11"/>
      <c r="O1484" s="9"/>
      <c r="P1484" s="12"/>
      <c r="Q1484" s="9"/>
      <c r="R1484" s="13"/>
      <c r="S1484" s="11"/>
      <c r="T1484" s="11"/>
      <c r="U1484" s="9"/>
      <c r="V1484" s="9"/>
      <c r="W1484" s="9"/>
      <c r="X1484" s="16"/>
      <c r="AF1484" s="42">
        <f>IF(BUSCAR!$C$8="FECHA NAC.",$G1484,IF(BUSCAR!$C$8="PASAPORTE EXPIRA",$J1484,IF(BUSCAR!$C$8="LICENCIA EMISION",$L1484,IF(BUSCAR!$C$8="LICENCIA EXPIRA",$M1484,""))))</f>
      </c>
      <c r="AG1484" s="42">
        <f>IF($B1484&amp;$C1484&amp;$D1484&amp;$E1484&amp;$H1484="",0,IF(AND(OR(BUSCAR!$J$5="",ISNUMBER(SEARCH(BUSCAR!$J$5,$AI1484))),OR(BUSCAR!$J$6="",ISNUMBER(SEARCH(BUSCAR!$J$6,$AI1484))),OR(BUSCAR!$J$8="",ISNUMBER(SEARCH(BUSCAR!$J$8,$AI1484))),OR(BUSCAR!$J$9="",ISNUMBER(SEARCH(BUSCAR!$J$9,$AI1484))),OR(NOT(BUSCAR!$J$2),AND(ISNUMBER($AF1484),$AF1484&gt;=BUSCAR!$J$3,$AF1484&lt;=BUSCAR!$J$4))),1,0))</f>
      </c>
      <c r="AH1484" s="42">
        <f t="shared" si="69"/>
      </c>
      <c r="AI1484" s="42">
        <f t="shared" si="70"/>
      </c>
    </row>
    <row r="1485" spans="1:35" x14ac:dyDescent="0.2">
      <c r="A1485" s="66">
        <f t="shared" si="71"/>
      </c>
      <c r="B1485" s="4"/>
      <c r="C1485" s="4"/>
      <c r="D1485" s="4"/>
      <c r="E1485" s="4"/>
      <c r="F1485" s="24"/>
      <c r="G1485" s="8"/>
      <c r="H1485" s="9"/>
      <c r="I1485" s="8"/>
      <c r="J1485" s="10"/>
      <c r="K1485" s="8"/>
      <c r="L1485" s="8"/>
      <c r="M1485" s="8"/>
      <c r="N1485" s="11"/>
      <c r="O1485" s="9"/>
      <c r="P1485" s="12"/>
      <c r="Q1485" s="9"/>
      <c r="R1485" s="13"/>
      <c r="S1485" s="11"/>
      <c r="T1485" s="11"/>
      <c r="U1485" s="9"/>
      <c r="V1485" s="9"/>
      <c r="W1485" s="9"/>
      <c r="X1485" s="16"/>
      <c r="AF1485" s="42">
        <f>IF(BUSCAR!$C$8="FECHA NAC.",$G1485,IF(BUSCAR!$C$8="PASAPORTE EXPIRA",$J1485,IF(BUSCAR!$C$8="LICENCIA EMISION",$L1485,IF(BUSCAR!$C$8="LICENCIA EXPIRA",$M1485,""))))</f>
      </c>
      <c r="AG1485" s="42">
        <f>IF($B1485&amp;$C1485&amp;$D1485&amp;$E1485&amp;$H1485="",0,IF(AND(OR(BUSCAR!$J$5="",ISNUMBER(SEARCH(BUSCAR!$J$5,$AI1485))),OR(BUSCAR!$J$6="",ISNUMBER(SEARCH(BUSCAR!$J$6,$AI1485))),OR(BUSCAR!$J$8="",ISNUMBER(SEARCH(BUSCAR!$J$8,$AI1485))),OR(BUSCAR!$J$9="",ISNUMBER(SEARCH(BUSCAR!$J$9,$AI1485))),OR(NOT(BUSCAR!$J$2),AND(ISNUMBER($AF1485),$AF1485&gt;=BUSCAR!$J$3,$AF1485&lt;=BUSCAR!$J$4))),1,0))</f>
      </c>
      <c r="AH1485" s="42">
        <f t="shared" si="69"/>
      </c>
      <c r="AI1485" s="42">
        <f t="shared" si="70"/>
      </c>
    </row>
    <row r="1486" spans="1:35" x14ac:dyDescent="0.2">
      <c r="A1486" s="66">
        <f t="shared" si="71"/>
      </c>
      <c r="B1486" s="4"/>
      <c r="C1486" s="4"/>
      <c r="D1486" s="4"/>
      <c r="E1486" s="4"/>
      <c r="F1486" s="24"/>
      <c r="G1486" s="8"/>
      <c r="H1486" s="9"/>
      <c r="I1486" s="8"/>
      <c r="J1486" s="10"/>
      <c r="K1486" s="8"/>
      <c r="L1486" s="8"/>
      <c r="M1486" s="8"/>
      <c r="N1486" s="11"/>
      <c r="O1486" s="9"/>
      <c r="P1486" s="12"/>
      <c r="Q1486" s="9"/>
      <c r="R1486" s="13"/>
      <c r="S1486" s="11"/>
      <c r="T1486" s="11"/>
      <c r="U1486" s="9"/>
      <c r="V1486" s="9"/>
      <c r="W1486" s="9"/>
      <c r="X1486" s="16"/>
      <c r="AF1486" s="42">
        <f>IF(BUSCAR!$C$8="FECHA NAC.",$G1486,IF(BUSCAR!$C$8="PASAPORTE EXPIRA",$J1486,IF(BUSCAR!$C$8="LICENCIA EMISION",$L1486,IF(BUSCAR!$C$8="LICENCIA EXPIRA",$M1486,""))))</f>
      </c>
      <c r="AG1486" s="42">
        <f>IF($B1486&amp;$C1486&amp;$D1486&amp;$E1486&amp;$H1486="",0,IF(AND(OR(BUSCAR!$J$5="",ISNUMBER(SEARCH(BUSCAR!$J$5,$AI1486))),OR(BUSCAR!$J$6="",ISNUMBER(SEARCH(BUSCAR!$J$6,$AI1486))),OR(BUSCAR!$J$8="",ISNUMBER(SEARCH(BUSCAR!$J$8,$AI1486))),OR(BUSCAR!$J$9="",ISNUMBER(SEARCH(BUSCAR!$J$9,$AI1486))),OR(NOT(BUSCAR!$J$2),AND(ISNUMBER($AF1486),$AF1486&gt;=BUSCAR!$J$3,$AF1486&lt;=BUSCAR!$J$4))),1,0))</f>
      </c>
      <c r="AH1486" s="42">
        <f t="shared" si="69"/>
      </c>
      <c r="AI1486" s="42">
        <f t="shared" si="70"/>
      </c>
    </row>
    <row r="1487" spans="1:35" x14ac:dyDescent="0.2">
      <c r="A1487" s="66">
        <f t="shared" si="71"/>
      </c>
      <c r="B1487" s="4"/>
      <c r="C1487" s="4"/>
      <c r="D1487" s="4"/>
      <c r="E1487" s="4"/>
      <c r="F1487" s="24"/>
      <c r="G1487" s="8"/>
      <c r="H1487" s="9"/>
      <c r="I1487" s="8"/>
      <c r="J1487" s="10"/>
      <c r="K1487" s="8"/>
      <c r="L1487" s="8"/>
      <c r="M1487" s="8"/>
      <c r="N1487" s="11"/>
      <c r="O1487" s="9"/>
      <c r="P1487" s="12"/>
      <c r="Q1487" s="9"/>
      <c r="R1487" s="13"/>
      <c r="S1487" s="11"/>
      <c r="T1487" s="11"/>
      <c r="U1487" s="9"/>
      <c r="V1487" s="9"/>
      <c r="W1487" s="9"/>
      <c r="X1487" s="16"/>
      <c r="AF1487" s="42">
        <f>IF(BUSCAR!$C$8="FECHA NAC.",$G1487,IF(BUSCAR!$C$8="PASAPORTE EXPIRA",$J1487,IF(BUSCAR!$C$8="LICENCIA EMISION",$L1487,IF(BUSCAR!$C$8="LICENCIA EXPIRA",$M1487,""))))</f>
      </c>
      <c r="AG1487" s="42">
        <f>IF($B1487&amp;$C1487&amp;$D1487&amp;$E1487&amp;$H1487="",0,IF(AND(OR(BUSCAR!$J$5="",ISNUMBER(SEARCH(BUSCAR!$J$5,$AI1487))),OR(BUSCAR!$J$6="",ISNUMBER(SEARCH(BUSCAR!$J$6,$AI1487))),OR(BUSCAR!$J$8="",ISNUMBER(SEARCH(BUSCAR!$J$8,$AI1487))),OR(BUSCAR!$J$9="",ISNUMBER(SEARCH(BUSCAR!$J$9,$AI1487))),OR(NOT(BUSCAR!$J$2),AND(ISNUMBER($AF1487),$AF1487&gt;=BUSCAR!$J$3,$AF1487&lt;=BUSCAR!$J$4))),1,0))</f>
      </c>
      <c r="AH1487" s="42">
        <f t="shared" si="69"/>
      </c>
      <c r="AI1487" s="42">
        <f t="shared" si="70"/>
      </c>
    </row>
    <row r="1488" spans="1:35" x14ac:dyDescent="0.2">
      <c r="A1488" s="66">
        <f t="shared" si="71"/>
      </c>
      <c r="B1488" s="4"/>
      <c r="C1488" s="4"/>
      <c r="D1488" s="4"/>
      <c r="E1488" s="4"/>
      <c r="F1488" s="24"/>
      <c r="G1488" s="8"/>
      <c r="H1488" s="9"/>
      <c r="I1488" s="8"/>
      <c r="J1488" s="10"/>
      <c r="K1488" s="8"/>
      <c r="L1488" s="8"/>
      <c r="M1488" s="8"/>
      <c r="N1488" s="11"/>
      <c r="O1488" s="9"/>
      <c r="P1488" s="12"/>
      <c r="Q1488" s="9"/>
      <c r="R1488" s="9"/>
      <c r="S1488" s="11"/>
      <c r="T1488" s="11"/>
      <c r="U1488" s="9"/>
      <c r="V1488" s="9"/>
      <c r="W1488" s="9"/>
      <c r="X1488" s="16"/>
      <c r="AF1488" s="42">
        <f>IF(BUSCAR!$C$8="FECHA NAC.",$G1488,IF(BUSCAR!$C$8="PASAPORTE EXPIRA",$J1488,IF(BUSCAR!$C$8="LICENCIA EMISION",$L1488,IF(BUSCAR!$C$8="LICENCIA EXPIRA",$M1488,""))))</f>
      </c>
      <c r="AG1488" s="42">
        <f>IF($B1488&amp;$C1488&amp;$D1488&amp;$E1488&amp;$H1488="",0,IF(AND(OR(BUSCAR!$J$5="",ISNUMBER(SEARCH(BUSCAR!$J$5,$AI1488))),OR(BUSCAR!$J$6="",ISNUMBER(SEARCH(BUSCAR!$J$6,$AI1488))),OR(BUSCAR!$J$8="",ISNUMBER(SEARCH(BUSCAR!$J$8,$AI1488))),OR(BUSCAR!$J$9="",ISNUMBER(SEARCH(BUSCAR!$J$9,$AI1488))),OR(NOT(BUSCAR!$J$2),AND(ISNUMBER($AF1488),$AF1488&gt;=BUSCAR!$J$3,$AF1488&lt;=BUSCAR!$J$4))),1,0))</f>
      </c>
      <c r="AH1488" s="42">
        <f t="shared" si="69"/>
      </c>
      <c r="AI1488" s="42">
        <f t="shared" si="70"/>
      </c>
    </row>
    <row r="1489" spans="1:35" x14ac:dyDescent="0.2">
      <c r="A1489" s="66">
        <f t="shared" si="71"/>
      </c>
      <c r="B1489" s="4"/>
      <c r="C1489" s="4"/>
      <c r="D1489" s="4"/>
      <c r="E1489" s="4"/>
      <c r="F1489" s="24"/>
      <c r="G1489" s="8"/>
      <c r="H1489" s="9"/>
      <c r="I1489" s="8"/>
      <c r="J1489" s="10"/>
      <c r="K1489" s="8"/>
      <c r="L1489" s="8"/>
      <c r="M1489" s="8"/>
      <c r="N1489" s="11"/>
      <c r="O1489" s="9"/>
      <c r="P1489" s="12"/>
      <c r="Q1489" s="9"/>
      <c r="R1489" s="13"/>
      <c r="S1489" s="11"/>
      <c r="T1489" s="11"/>
      <c r="U1489" s="9"/>
      <c r="V1489" s="9"/>
      <c r="W1489" s="9"/>
      <c r="X1489" s="16"/>
      <c r="AF1489" s="42">
        <f>IF(BUSCAR!$C$8="FECHA NAC.",$G1489,IF(BUSCAR!$C$8="PASAPORTE EXPIRA",$J1489,IF(BUSCAR!$C$8="LICENCIA EMISION",$L1489,IF(BUSCAR!$C$8="LICENCIA EXPIRA",$M1489,""))))</f>
      </c>
      <c r="AG1489" s="42">
        <f>IF($B1489&amp;$C1489&amp;$D1489&amp;$E1489&amp;$H1489="",0,IF(AND(OR(BUSCAR!$J$5="",ISNUMBER(SEARCH(BUSCAR!$J$5,$AI1489))),OR(BUSCAR!$J$6="",ISNUMBER(SEARCH(BUSCAR!$J$6,$AI1489))),OR(BUSCAR!$J$8="",ISNUMBER(SEARCH(BUSCAR!$J$8,$AI1489))),OR(BUSCAR!$J$9="",ISNUMBER(SEARCH(BUSCAR!$J$9,$AI1489))),OR(NOT(BUSCAR!$J$2),AND(ISNUMBER($AF1489),$AF1489&gt;=BUSCAR!$J$3,$AF1489&lt;=BUSCAR!$J$4))),1,0))</f>
      </c>
      <c r="AH1489" s="42">
        <f t="shared" si="69"/>
      </c>
      <c r="AI1489" s="42">
        <f t="shared" si="70"/>
      </c>
    </row>
    <row r="1490" spans="1:35" x14ac:dyDescent="0.2">
      <c r="A1490" s="66">
        <f t="shared" si="71"/>
      </c>
      <c r="B1490" s="4"/>
      <c r="C1490" s="4"/>
      <c r="D1490" s="4"/>
      <c r="E1490" s="4"/>
      <c r="F1490" s="24"/>
      <c r="G1490" s="8"/>
      <c r="H1490" s="9"/>
      <c r="I1490" s="8"/>
      <c r="J1490" s="10"/>
      <c r="K1490" s="8"/>
      <c r="L1490" s="8"/>
      <c r="M1490" s="8"/>
      <c r="N1490" s="11"/>
      <c r="O1490" s="9"/>
      <c r="P1490" s="12"/>
      <c r="Q1490" s="9"/>
      <c r="R1490" s="13"/>
      <c r="S1490" s="11"/>
      <c r="T1490" s="11"/>
      <c r="U1490" s="9"/>
      <c r="V1490" s="9"/>
      <c r="W1490" s="9"/>
      <c r="X1490" s="16"/>
      <c r="AF1490" s="42">
        <f>IF(BUSCAR!$C$8="FECHA NAC.",$G1490,IF(BUSCAR!$C$8="PASAPORTE EXPIRA",$J1490,IF(BUSCAR!$C$8="LICENCIA EMISION",$L1490,IF(BUSCAR!$C$8="LICENCIA EXPIRA",$M1490,""))))</f>
      </c>
      <c r="AG1490" s="42">
        <f>IF($B1490&amp;$C1490&amp;$D1490&amp;$E1490&amp;$H1490="",0,IF(AND(OR(BUSCAR!$J$5="",ISNUMBER(SEARCH(BUSCAR!$J$5,$AI1490))),OR(BUSCAR!$J$6="",ISNUMBER(SEARCH(BUSCAR!$J$6,$AI1490))),OR(BUSCAR!$J$8="",ISNUMBER(SEARCH(BUSCAR!$J$8,$AI1490))),OR(BUSCAR!$J$9="",ISNUMBER(SEARCH(BUSCAR!$J$9,$AI1490))),OR(NOT(BUSCAR!$J$2),AND(ISNUMBER($AF1490),$AF1490&gt;=BUSCAR!$J$3,$AF1490&lt;=BUSCAR!$J$4))),1,0))</f>
      </c>
      <c r="AH1490" s="42">
        <f t="shared" si="69"/>
      </c>
      <c r="AI1490" s="42">
        <f t="shared" si="70"/>
      </c>
    </row>
    <row r="1491" spans="1:35" x14ac:dyDescent="0.2">
      <c r="A1491" s="66">
        <f t="shared" si="71"/>
      </c>
      <c r="B1491" s="4"/>
      <c r="C1491" s="4"/>
      <c r="D1491" s="4"/>
      <c r="E1491" s="4"/>
      <c r="F1491" s="24"/>
      <c r="G1491" s="8"/>
      <c r="H1491" s="9"/>
      <c r="I1491" s="8"/>
      <c r="J1491" s="10"/>
      <c r="K1491" s="8"/>
      <c r="L1491" s="8"/>
      <c r="M1491" s="8"/>
      <c r="N1491" s="11"/>
      <c r="O1491" s="9"/>
      <c r="P1491" s="12"/>
      <c r="Q1491" s="9"/>
      <c r="R1491" s="13"/>
      <c r="S1491" s="11"/>
      <c r="T1491" s="11"/>
      <c r="U1491" s="9"/>
      <c r="V1491" s="9"/>
      <c r="W1491" s="9"/>
      <c r="X1491" s="16"/>
      <c r="AF1491" s="42">
        <f>IF(BUSCAR!$C$8="FECHA NAC.",$G1491,IF(BUSCAR!$C$8="PASAPORTE EXPIRA",$J1491,IF(BUSCAR!$C$8="LICENCIA EMISION",$L1491,IF(BUSCAR!$C$8="LICENCIA EXPIRA",$M1491,""))))</f>
      </c>
      <c r="AG1491" s="42">
        <f>IF($B1491&amp;$C1491&amp;$D1491&amp;$E1491&amp;$H1491="",0,IF(AND(OR(BUSCAR!$J$5="",ISNUMBER(SEARCH(BUSCAR!$J$5,$AI1491))),OR(BUSCAR!$J$6="",ISNUMBER(SEARCH(BUSCAR!$J$6,$AI1491))),OR(BUSCAR!$J$8="",ISNUMBER(SEARCH(BUSCAR!$J$8,$AI1491))),OR(BUSCAR!$J$9="",ISNUMBER(SEARCH(BUSCAR!$J$9,$AI1491))),OR(NOT(BUSCAR!$J$2),AND(ISNUMBER($AF1491),$AF1491&gt;=BUSCAR!$J$3,$AF1491&lt;=BUSCAR!$J$4))),1,0))</f>
      </c>
      <c r="AH1491" s="42">
        <f t="shared" si="69"/>
      </c>
      <c r="AI1491" s="42">
        <f t="shared" si="70"/>
      </c>
    </row>
    <row r="1492" spans="1:35" x14ac:dyDescent="0.2">
      <c r="A1492" s="66">
        <f t="shared" si="71"/>
      </c>
      <c r="B1492" s="4"/>
      <c r="C1492" s="4"/>
      <c r="D1492" s="4"/>
      <c r="E1492" s="4"/>
      <c r="F1492" s="24"/>
      <c r="G1492" s="8"/>
      <c r="H1492" s="9"/>
      <c r="I1492" s="8"/>
      <c r="J1492" s="10"/>
      <c r="K1492" s="8"/>
      <c r="L1492" s="8"/>
      <c r="M1492" s="8"/>
      <c r="N1492" s="11"/>
      <c r="O1492" s="9"/>
      <c r="P1492" s="12"/>
      <c r="Q1492" s="9"/>
      <c r="R1492" s="13"/>
      <c r="S1492" s="11"/>
      <c r="T1492" s="11"/>
      <c r="U1492" s="9"/>
      <c r="V1492" s="9"/>
      <c r="W1492" s="9"/>
      <c r="X1492" s="16"/>
      <c r="AF1492" s="42">
        <f>IF(BUSCAR!$C$8="FECHA NAC.",$G1492,IF(BUSCAR!$C$8="PASAPORTE EXPIRA",$J1492,IF(BUSCAR!$C$8="LICENCIA EMISION",$L1492,IF(BUSCAR!$C$8="LICENCIA EXPIRA",$M1492,""))))</f>
      </c>
      <c r="AG1492" s="42">
        <f>IF($B1492&amp;$C1492&amp;$D1492&amp;$E1492&amp;$H1492="",0,IF(AND(OR(BUSCAR!$J$5="",ISNUMBER(SEARCH(BUSCAR!$J$5,$AI1492))),OR(BUSCAR!$J$6="",ISNUMBER(SEARCH(BUSCAR!$J$6,$AI1492))),OR(BUSCAR!$J$8="",ISNUMBER(SEARCH(BUSCAR!$J$8,$AI1492))),OR(BUSCAR!$J$9="",ISNUMBER(SEARCH(BUSCAR!$J$9,$AI1492))),OR(NOT(BUSCAR!$J$2),AND(ISNUMBER($AF1492),$AF1492&gt;=BUSCAR!$J$3,$AF1492&lt;=BUSCAR!$J$4))),1,0))</f>
      </c>
      <c r="AH1492" s="42">
        <f t="shared" si="69"/>
      </c>
      <c r="AI1492" s="42">
        <f t="shared" si="70"/>
      </c>
    </row>
    <row r="1493" spans="1:35" x14ac:dyDescent="0.2">
      <c r="A1493" s="66">
        <f t="shared" si="71"/>
      </c>
      <c r="B1493" s="4"/>
      <c r="C1493" s="4"/>
      <c r="D1493" s="4"/>
      <c r="E1493" s="4"/>
      <c r="F1493" s="24"/>
      <c r="G1493" s="8"/>
      <c r="H1493" s="9"/>
      <c r="I1493" s="8"/>
      <c r="J1493" s="10"/>
      <c r="K1493" s="8"/>
      <c r="L1493" s="8"/>
      <c r="M1493" s="8"/>
      <c r="N1493" s="11"/>
      <c r="O1493" s="9"/>
      <c r="P1493" s="12"/>
      <c r="Q1493" s="9"/>
      <c r="R1493" s="13"/>
      <c r="S1493" s="11"/>
      <c r="T1493" s="11"/>
      <c r="U1493" s="9"/>
      <c r="V1493" s="9"/>
      <c r="W1493" s="9"/>
      <c r="X1493" s="16"/>
      <c r="AF1493" s="42">
        <f>IF(BUSCAR!$C$8="FECHA NAC.",$G1493,IF(BUSCAR!$C$8="PASAPORTE EXPIRA",$J1493,IF(BUSCAR!$C$8="LICENCIA EMISION",$L1493,IF(BUSCAR!$C$8="LICENCIA EXPIRA",$M1493,""))))</f>
      </c>
      <c r="AG1493" s="42">
        <f>IF($B1493&amp;$C1493&amp;$D1493&amp;$E1493&amp;$H1493="",0,IF(AND(OR(BUSCAR!$J$5="",ISNUMBER(SEARCH(BUSCAR!$J$5,$AI1493))),OR(BUSCAR!$J$6="",ISNUMBER(SEARCH(BUSCAR!$J$6,$AI1493))),OR(BUSCAR!$J$8="",ISNUMBER(SEARCH(BUSCAR!$J$8,$AI1493))),OR(BUSCAR!$J$9="",ISNUMBER(SEARCH(BUSCAR!$J$9,$AI1493))),OR(NOT(BUSCAR!$J$2),AND(ISNUMBER($AF1493),$AF1493&gt;=BUSCAR!$J$3,$AF1493&lt;=BUSCAR!$J$4))),1,0))</f>
      </c>
      <c r="AH1493" s="42">
        <f t="shared" si="69"/>
      </c>
      <c r="AI1493" s="42">
        <f t="shared" si="70"/>
      </c>
    </row>
    <row r="1494" spans="1:35" x14ac:dyDescent="0.2">
      <c r="A1494" s="66">
        <f t="shared" si="71"/>
      </c>
      <c r="B1494" s="4"/>
      <c r="C1494" s="4"/>
      <c r="D1494" s="4"/>
      <c r="E1494" s="4"/>
      <c r="F1494" s="24"/>
      <c r="G1494" s="8"/>
      <c r="H1494" s="9"/>
      <c r="I1494" s="8"/>
      <c r="J1494" s="10"/>
      <c r="K1494" s="8"/>
      <c r="L1494" s="8"/>
      <c r="M1494" s="8"/>
      <c r="N1494" s="11"/>
      <c r="O1494" s="9"/>
      <c r="P1494" s="12"/>
      <c r="Q1494" s="9"/>
      <c r="R1494" s="13"/>
      <c r="S1494" s="11"/>
      <c r="T1494" s="11"/>
      <c r="U1494" s="9"/>
      <c r="V1494" s="9"/>
      <c r="W1494" s="9"/>
      <c r="X1494" s="16"/>
      <c r="AF1494" s="42">
        <f>IF(BUSCAR!$C$8="FECHA NAC.",$G1494,IF(BUSCAR!$C$8="PASAPORTE EXPIRA",$J1494,IF(BUSCAR!$C$8="LICENCIA EMISION",$L1494,IF(BUSCAR!$C$8="LICENCIA EXPIRA",$M1494,""))))</f>
      </c>
      <c r="AG1494" s="42">
        <f>IF($B1494&amp;$C1494&amp;$D1494&amp;$E1494&amp;$H1494="",0,IF(AND(OR(BUSCAR!$J$5="",ISNUMBER(SEARCH(BUSCAR!$J$5,$AI1494))),OR(BUSCAR!$J$6="",ISNUMBER(SEARCH(BUSCAR!$J$6,$AI1494))),OR(BUSCAR!$J$8="",ISNUMBER(SEARCH(BUSCAR!$J$8,$AI1494))),OR(BUSCAR!$J$9="",ISNUMBER(SEARCH(BUSCAR!$J$9,$AI1494))),OR(NOT(BUSCAR!$J$2),AND(ISNUMBER($AF1494),$AF1494&gt;=BUSCAR!$J$3,$AF1494&lt;=BUSCAR!$J$4))),1,0))</f>
      </c>
      <c r="AH1494" s="42">
        <f t="shared" si="69"/>
      </c>
      <c r="AI1494" s="42">
        <f t="shared" si="70"/>
      </c>
    </row>
    <row r="1495" spans="1:35" x14ac:dyDescent="0.2">
      <c r="A1495" s="66">
        <f t="shared" si="71"/>
      </c>
      <c r="B1495" s="4"/>
      <c r="C1495" s="4"/>
      <c r="D1495" s="4"/>
      <c r="E1495" s="4"/>
      <c r="F1495" s="24"/>
      <c r="G1495" s="8"/>
      <c r="H1495" s="9"/>
      <c r="I1495" s="8"/>
      <c r="J1495" s="10"/>
      <c r="K1495" s="8"/>
      <c r="L1495" s="8"/>
      <c r="M1495" s="8"/>
      <c r="N1495" s="11"/>
      <c r="O1495" s="9"/>
      <c r="P1495" s="12"/>
      <c r="Q1495" s="9"/>
      <c r="R1495" s="13"/>
      <c r="S1495" s="11"/>
      <c r="T1495" s="11"/>
      <c r="U1495" s="9"/>
      <c r="V1495" s="9"/>
      <c r="W1495" s="9"/>
      <c r="X1495" s="16"/>
      <c r="AF1495" s="42">
        <f>IF(BUSCAR!$C$8="FECHA NAC.",$G1495,IF(BUSCAR!$C$8="PASAPORTE EXPIRA",$J1495,IF(BUSCAR!$C$8="LICENCIA EMISION",$L1495,IF(BUSCAR!$C$8="LICENCIA EXPIRA",$M1495,""))))</f>
      </c>
      <c r="AG1495" s="42">
        <f>IF($B1495&amp;$C1495&amp;$D1495&amp;$E1495&amp;$H1495="",0,IF(AND(OR(BUSCAR!$J$5="",ISNUMBER(SEARCH(BUSCAR!$J$5,$AI1495))),OR(BUSCAR!$J$6="",ISNUMBER(SEARCH(BUSCAR!$J$6,$AI1495))),OR(BUSCAR!$J$8="",ISNUMBER(SEARCH(BUSCAR!$J$8,$AI1495))),OR(BUSCAR!$J$9="",ISNUMBER(SEARCH(BUSCAR!$J$9,$AI1495))),OR(NOT(BUSCAR!$J$2),AND(ISNUMBER($AF1495),$AF1495&gt;=BUSCAR!$J$3,$AF1495&lt;=BUSCAR!$J$4))),1,0))</f>
      </c>
      <c r="AH1495" s="42">
        <f t="shared" si="69"/>
      </c>
      <c r="AI1495" s="42">
        <f t="shared" si="70"/>
      </c>
    </row>
    <row r="1496" spans="1:35" x14ac:dyDescent="0.2">
      <c r="A1496" s="66">
        <f t="shared" si="71"/>
      </c>
      <c r="B1496" s="4"/>
      <c r="C1496" s="4"/>
      <c r="D1496" s="4"/>
      <c r="E1496" s="4"/>
      <c r="F1496" s="24"/>
      <c r="G1496" s="8"/>
      <c r="H1496" s="9"/>
      <c r="I1496" s="8"/>
      <c r="J1496" s="10"/>
      <c r="K1496" s="8"/>
      <c r="L1496" s="8"/>
      <c r="M1496" s="8"/>
      <c r="N1496" s="11"/>
      <c r="O1496" s="9"/>
      <c r="P1496" s="12"/>
      <c r="Q1496" s="9"/>
      <c r="R1496" s="13"/>
      <c r="S1496" s="11"/>
      <c r="T1496" s="11"/>
      <c r="U1496" s="9"/>
      <c r="V1496" s="9"/>
      <c r="W1496" s="9"/>
      <c r="X1496" s="16"/>
      <c r="AF1496" s="42">
        <f>IF(BUSCAR!$C$8="FECHA NAC.",$G1496,IF(BUSCAR!$C$8="PASAPORTE EXPIRA",$J1496,IF(BUSCAR!$C$8="LICENCIA EMISION",$L1496,IF(BUSCAR!$C$8="LICENCIA EXPIRA",$M1496,""))))</f>
      </c>
      <c r="AG1496" s="42">
        <f>IF($B1496&amp;$C1496&amp;$D1496&amp;$E1496&amp;$H1496="",0,IF(AND(OR(BUSCAR!$J$5="",ISNUMBER(SEARCH(BUSCAR!$J$5,$AI1496))),OR(BUSCAR!$J$6="",ISNUMBER(SEARCH(BUSCAR!$J$6,$AI1496))),OR(BUSCAR!$J$8="",ISNUMBER(SEARCH(BUSCAR!$J$8,$AI1496))),OR(BUSCAR!$J$9="",ISNUMBER(SEARCH(BUSCAR!$J$9,$AI1496))),OR(NOT(BUSCAR!$J$2),AND(ISNUMBER($AF1496),$AF1496&gt;=BUSCAR!$J$3,$AF1496&lt;=BUSCAR!$J$4))),1,0))</f>
      </c>
      <c r="AH1496" s="42">
        <f t="shared" si="69"/>
      </c>
      <c r="AI1496" s="42">
        <f t="shared" si="70"/>
      </c>
    </row>
    <row r="1497" spans="1:35" x14ac:dyDescent="0.2">
      <c r="A1497" s="66">
        <f t="shared" si="71"/>
      </c>
      <c r="B1497" s="4"/>
      <c r="C1497" s="4"/>
      <c r="D1497" s="4"/>
      <c r="E1497" s="4"/>
      <c r="F1497" s="24"/>
      <c r="G1497" s="8"/>
      <c r="H1497" s="9"/>
      <c r="I1497" s="8"/>
      <c r="J1497" s="10"/>
      <c r="K1497" s="8"/>
      <c r="L1497" s="8"/>
      <c r="M1497" s="8"/>
      <c r="N1497" s="11"/>
      <c r="O1497" s="9"/>
      <c r="P1497" s="12"/>
      <c r="Q1497" s="9"/>
      <c r="R1497" s="13"/>
      <c r="S1497" s="11"/>
      <c r="T1497" s="11"/>
      <c r="U1497" s="9"/>
      <c r="V1497" s="9"/>
      <c r="W1497" s="9"/>
      <c r="X1497" s="16"/>
      <c r="AF1497" s="42">
        <f>IF(BUSCAR!$C$8="FECHA NAC.",$G1497,IF(BUSCAR!$C$8="PASAPORTE EXPIRA",$J1497,IF(BUSCAR!$C$8="LICENCIA EMISION",$L1497,IF(BUSCAR!$C$8="LICENCIA EXPIRA",$M1497,""))))</f>
      </c>
      <c r="AG1497" s="42">
        <f>IF($B1497&amp;$C1497&amp;$D1497&amp;$E1497&amp;$H1497="",0,IF(AND(OR(BUSCAR!$J$5="",ISNUMBER(SEARCH(BUSCAR!$J$5,$AI1497))),OR(BUSCAR!$J$6="",ISNUMBER(SEARCH(BUSCAR!$J$6,$AI1497))),OR(BUSCAR!$J$8="",ISNUMBER(SEARCH(BUSCAR!$J$8,$AI1497))),OR(BUSCAR!$J$9="",ISNUMBER(SEARCH(BUSCAR!$J$9,$AI1497))),OR(NOT(BUSCAR!$J$2),AND(ISNUMBER($AF1497),$AF1497&gt;=BUSCAR!$J$3,$AF1497&lt;=BUSCAR!$J$4))),1,0))</f>
      </c>
      <c r="AH1497" s="42">
        <f t="shared" si="69"/>
      </c>
      <c r="AI1497" s="42">
        <f t="shared" si="70"/>
      </c>
    </row>
    <row r="1498" spans="1:35" x14ac:dyDescent="0.2">
      <c r="A1498" s="66">
        <f t="shared" si="71"/>
      </c>
      <c r="B1498" s="4"/>
      <c r="C1498" s="4"/>
      <c r="D1498" s="4"/>
      <c r="E1498" s="4"/>
      <c r="F1498" s="24"/>
      <c r="G1498" s="8"/>
      <c r="H1498" s="9"/>
      <c r="I1498" s="8"/>
      <c r="J1498" s="10"/>
      <c r="K1498" s="8"/>
      <c r="L1498" s="8"/>
      <c r="M1498" s="8"/>
      <c r="N1498" s="11"/>
      <c r="O1498" s="9"/>
      <c r="P1498" s="12"/>
      <c r="Q1498" s="9"/>
      <c r="R1498" s="13"/>
      <c r="S1498" s="11"/>
      <c r="T1498" s="11"/>
      <c r="U1498" s="9"/>
      <c r="V1498" s="9"/>
      <c r="W1498" s="9"/>
      <c r="X1498" s="16"/>
      <c r="AF1498" s="42">
        <f>IF(BUSCAR!$C$8="FECHA NAC.",$G1498,IF(BUSCAR!$C$8="PASAPORTE EXPIRA",$J1498,IF(BUSCAR!$C$8="LICENCIA EMISION",$L1498,IF(BUSCAR!$C$8="LICENCIA EXPIRA",$M1498,""))))</f>
      </c>
      <c r="AG1498" s="42">
        <f>IF($B1498&amp;$C1498&amp;$D1498&amp;$E1498&amp;$H1498="",0,IF(AND(OR(BUSCAR!$J$5="",ISNUMBER(SEARCH(BUSCAR!$J$5,$AI1498))),OR(BUSCAR!$J$6="",ISNUMBER(SEARCH(BUSCAR!$J$6,$AI1498))),OR(BUSCAR!$J$8="",ISNUMBER(SEARCH(BUSCAR!$J$8,$AI1498))),OR(BUSCAR!$J$9="",ISNUMBER(SEARCH(BUSCAR!$J$9,$AI1498))),OR(NOT(BUSCAR!$J$2),AND(ISNUMBER($AF1498),$AF1498&gt;=BUSCAR!$J$3,$AF1498&lt;=BUSCAR!$J$4))),1,0))</f>
      </c>
      <c r="AH1498" s="42">
        <f t="shared" si="69"/>
      </c>
      <c r="AI1498" s="42">
        <f t="shared" si="70"/>
      </c>
    </row>
    <row r="1499" spans="1:35" x14ac:dyDescent="0.2">
      <c r="A1499" s="66">
        <f t="shared" si="71"/>
      </c>
      <c r="B1499" s="4"/>
      <c r="C1499" s="4"/>
      <c r="D1499" s="4"/>
      <c r="E1499" s="4"/>
      <c r="F1499" s="24"/>
      <c r="G1499" s="8"/>
      <c r="H1499" s="9"/>
      <c r="I1499" s="8"/>
      <c r="J1499" s="10"/>
      <c r="K1499" s="8"/>
      <c r="L1499" s="8"/>
      <c r="M1499" s="8"/>
      <c r="N1499" s="11"/>
      <c r="O1499" s="9"/>
      <c r="P1499" s="12"/>
      <c r="Q1499" s="9"/>
      <c r="R1499" s="13"/>
      <c r="S1499" s="11"/>
      <c r="T1499" s="11"/>
      <c r="U1499" s="9"/>
      <c r="V1499" s="9"/>
      <c r="W1499" s="9"/>
      <c r="X1499" s="16"/>
      <c r="AF1499" s="42">
        <f>IF(BUSCAR!$C$8="FECHA NAC.",$G1499,IF(BUSCAR!$C$8="PASAPORTE EXPIRA",$J1499,IF(BUSCAR!$C$8="LICENCIA EMISION",$L1499,IF(BUSCAR!$C$8="LICENCIA EXPIRA",$M1499,""))))</f>
      </c>
      <c r="AG1499" s="42">
        <f>IF($B1499&amp;$C1499&amp;$D1499&amp;$E1499&amp;$H1499="",0,IF(AND(OR(BUSCAR!$J$5="",ISNUMBER(SEARCH(BUSCAR!$J$5,$AI1499))),OR(BUSCAR!$J$6="",ISNUMBER(SEARCH(BUSCAR!$J$6,$AI1499))),OR(BUSCAR!$J$8="",ISNUMBER(SEARCH(BUSCAR!$J$8,$AI1499))),OR(BUSCAR!$J$9="",ISNUMBER(SEARCH(BUSCAR!$J$9,$AI1499))),OR(NOT(BUSCAR!$J$2),AND(ISNUMBER($AF1499),$AF1499&gt;=BUSCAR!$J$3,$AF1499&lt;=BUSCAR!$J$4))),1,0))</f>
      </c>
      <c r="AH1499" s="42">
        <f t="shared" si="69"/>
      </c>
      <c r="AI1499" s="42">
        <f t="shared" si="70"/>
      </c>
    </row>
    <row r="1500" spans="1:35" x14ac:dyDescent="0.2">
      <c r="A1500" s="66">
        <f t="shared" si="71"/>
      </c>
      <c r="B1500" s="4"/>
      <c r="C1500" s="4"/>
      <c r="D1500" s="4"/>
      <c r="E1500" s="4"/>
      <c r="F1500" s="24"/>
      <c r="G1500" s="8"/>
      <c r="H1500" s="9"/>
      <c r="I1500" s="8"/>
      <c r="J1500" s="10"/>
      <c r="K1500" s="8"/>
      <c r="L1500" s="8"/>
      <c r="M1500" s="8"/>
      <c r="N1500" s="11"/>
      <c r="O1500" s="9"/>
      <c r="P1500" s="12"/>
      <c r="Q1500" s="9"/>
      <c r="R1500" s="13"/>
      <c r="S1500" s="11"/>
      <c r="T1500" s="11"/>
      <c r="U1500" s="9"/>
      <c r="V1500" s="9"/>
      <c r="W1500" s="9"/>
      <c r="X1500" s="16"/>
      <c r="AF1500" s="42">
        <f>IF(BUSCAR!$C$8="FECHA NAC.",$G1500,IF(BUSCAR!$C$8="PASAPORTE EXPIRA",$J1500,IF(BUSCAR!$C$8="LICENCIA EMISION",$L1500,IF(BUSCAR!$C$8="LICENCIA EXPIRA",$M1500,""))))</f>
      </c>
      <c r="AG1500" s="42">
        <f>IF($B1500&amp;$C1500&amp;$D1500&amp;$E1500&amp;$H1500="",0,IF(AND(OR(BUSCAR!$J$5="",ISNUMBER(SEARCH(BUSCAR!$J$5,$AI1500))),OR(BUSCAR!$J$6="",ISNUMBER(SEARCH(BUSCAR!$J$6,$AI1500))),OR(BUSCAR!$J$8="",ISNUMBER(SEARCH(BUSCAR!$J$8,$AI1500))),OR(BUSCAR!$J$9="",ISNUMBER(SEARCH(BUSCAR!$J$9,$AI1500))),OR(NOT(BUSCAR!$J$2),AND(ISNUMBER($AF1500),$AF1500&gt;=BUSCAR!$J$3,$AF1500&lt;=BUSCAR!$J$4))),1,0))</f>
      </c>
      <c r="AH1500" s="42">
        <f t="shared" si="69"/>
      </c>
      <c r="AI1500" s="42">
        <f t="shared" si="70"/>
      </c>
    </row>
    <row r="1501" spans="1:35" x14ac:dyDescent="0.2">
      <c r="A1501" s="66">
        <f t="shared" si="71"/>
      </c>
      <c r="B1501" s="4"/>
      <c r="C1501" s="4"/>
      <c r="D1501" s="4"/>
      <c r="E1501" s="4"/>
      <c r="F1501" s="24"/>
      <c r="G1501" s="8"/>
      <c r="H1501" s="9"/>
      <c r="I1501" s="8"/>
      <c r="J1501" s="10"/>
      <c r="K1501" s="8"/>
      <c r="L1501" s="8"/>
      <c r="M1501" s="8"/>
      <c r="N1501" s="11"/>
      <c r="O1501" s="9"/>
      <c r="P1501" s="12"/>
      <c r="Q1501" s="9"/>
      <c r="R1501" s="13"/>
      <c r="S1501" s="11"/>
      <c r="T1501" s="11"/>
      <c r="U1501" s="9"/>
      <c r="V1501" s="9"/>
      <c r="W1501" s="9"/>
      <c r="X1501" s="16"/>
      <c r="AF1501" s="42">
        <f>IF(BUSCAR!$C$8="FECHA NAC.",$G1501,IF(BUSCAR!$C$8="PASAPORTE EXPIRA",$J1501,IF(BUSCAR!$C$8="LICENCIA EMISION",$L1501,IF(BUSCAR!$C$8="LICENCIA EXPIRA",$M1501,""))))</f>
      </c>
      <c r="AG1501" s="42">
        <f>IF($B1501&amp;$C1501&amp;$D1501&amp;$E1501&amp;$H1501="",0,IF(AND(OR(BUSCAR!$J$5="",ISNUMBER(SEARCH(BUSCAR!$J$5,$AI1501))),OR(BUSCAR!$J$6="",ISNUMBER(SEARCH(BUSCAR!$J$6,$AI1501))),OR(BUSCAR!$J$8="",ISNUMBER(SEARCH(BUSCAR!$J$8,$AI1501))),OR(BUSCAR!$J$9="",ISNUMBER(SEARCH(BUSCAR!$J$9,$AI1501))),OR(NOT(BUSCAR!$J$2),AND(ISNUMBER($AF1501),$AF1501&gt;=BUSCAR!$J$3,$AF1501&lt;=BUSCAR!$J$4))),1,0))</f>
      </c>
      <c r="AH1501" s="42">
        <f t="shared" si="69"/>
      </c>
      <c r="AI1501" s="42">
        <f t="shared" si="70"/>
      </c>
    </row>
    <row r="1502" spans="1:35" x14ac:dyDescent="0.2">
      <c r="A1502" s="66">
        <f t="shared" si="71"/>
      </c>
      <c r="B1502" s="4"/>
      <c r="C1502" s="4"/>
      <c r="D1502" s="4"/>
      <c r="E1502" s="4"/>
      <c r="F1502" s="24"/>
      <c r="G1502" s="8"/>
      <c r="H1502" s="9"/>
      <c r="I1502" s="8"/>
      <c r="J1502" s="10"/>
      <c r="K1502" s="8"/>
      <c r="L1502" s="8"/>
      <c r="M1502" s="8"/>
      <c r="N1502" s="11"/>
      <c r="O1502" s="9"/>
      <c r="P1502" s="12"/>
      <c r="Q1502" s="9"/>
      <c r="R1502" s="13"/>
      <c r="S1502" s="11"/>
      <c r="T1502" s="11"/>
      <c r="U1502" s="9"/>
      <c r="V1502" s="9"/>
      <c r="W1502" s="9"/>
      <c r="X1502" s="16"/>
      <c r="AF1502" s="42">
        <f>IF(BUSCAR!$C$8="FECHA NAC.",$G1502,IF(BUSCAR!$C$8="PASAPORTE EXPIRA",$J1502,IF(BUSCAR!$C$8="LICENCIA EMISION",$L1502,IF(BUSCAR!$C$8="LICENCIA EXPIRA",$M1502,""))))</f>
      </c>
      <c r="AG1502" s="42">
        <f>IF($B1502&amp;$C1502&amp;$D1502&amp;$E1502&amp;$H1502="",0,IF(AND(OR(BUSCAR!$J$5="",ISNUMBER(SEARCH(BUSCAR!$J$5,$AI1502))),OR(BUSCAR!$J$6="",ISNUMBER(SEARCH(BUSCAR!$J$6,$AI1502))),OR(BUSCAR!$J$8="",ISNUMBER(SEARCH(BUSCAR!$J$8,$AI1502))),OR(BUSCAR!$J$9="",ISNUMBER(SEARCH(BUSCAR!$J$9,$AI1502))),OR(NOT(BUSCAR!$J$2),AND(ISNUMBER($AF1502),$AF1502&gt;=BUSCAR!$J$3,$AF1502&lt;=BUSCAR!$J$4))),1,0))</f>
      </c>
      <c r="AH1502" s="42">
        <f t="shared" si="69"/>
      </c>
      <c r="AI1502" s="42">
        <f t="shared" si="70"/>
      </c>
    </row>
    <row r="1503" spans="1:35" x14ac:dyDescent="0.2">
      <c r="A1503" s="66">
        <f t="shared" si="71"/>
      </c>
      <c r="B1503" s="4"/>
      <c r="C1503" s="4"/>
      <c r="D1503" s="4"/>
      <c r="E1503" s="4"/>
      <c r="F1503" s="24"/>
      <c r="G1503" s="8"/>
      <c r="H1503" s="9"/>
      <c r="I1503" s="8"/>
      <c r="J1503" s="10"/>
      <c r="K1503" s="8"/>
      <c r="L1503" s="8"/>
      <c r="M1503" s="8"/>
      <c r="N1503" s="11"/>
      <c r="O1503" s="9"/>
      <c r="P1503" s="12"/>
      <c r="Q1503" s="9"/>
      <c r="R1503" s="13"/>
      <c r="S1503" s="11"/>
      <c r="T1503" s="11"/>
      <c r="U1503" s="9"/>
      <c r="V1503" s="9"/>
      <c r="W1503" s="9"/>
      <c r="X1503" s="16"/>
      <c r="AF1503" s="42">
        <f>IF(BUSCAR!$C$8="FECHA NAC.",$G1503,IF(BUSCAR!$C$8="PASAPORTE EXPIRA",$J1503,IF(BUSCAR!$C$8="LICENCIA EMISION",$L1503,IF(BUSCAR!$C$8="LICENCIA EXPIRA",$M1503,""))))</f>
      </c>
      <c r="AG1503" s="42">
        <f>IF($B1503&amp;$C1503&amp;$D1503&amp;$E1503&amp;$H1503="",0,IF(AND(OR(BUSCAR!$J$5="",ISNUMBER(SEARCH(BUSCAR!$J$5,$AI1503))),OR(BUSCAR!$J$6="",ISNUMBER(SEARCH(BUSCAR!$J$6,$AI1503))),OR(BUSCAR!$J$8="",ISNUMBER(SEARCH(BUSCAR!$J$8,$AI1503))),OR(BUSCAR!$J$9="",ISNUMBER(SEARCH(BUSCAR!$J$9,$AI1503))),OR(NOT(BUSCAR!$J$2),AND(ISNUMBER($AF1503),$AF1503&gt;=BUSCAR!$J$3,$AF1503&lt;=BUSCAR!$J$4))),1,0))</f>
      </c>
      <c r="AH1503" s="42">
        <f t="shared" si="69"/>
      </c>
      <c r="AI1503" s="42">
        <f t="shared" si="70"/>
      </c>
    </row>
    <row r="1504" spans="1:35" x14ac:dyDescent="0.2">
      <c r="A1504" s="66">
        <f t="shared" si="71"/>
      </c>
      <c r="B1504" s="4"/>
      <c r="C1504" s="4"/>
      <c r="D1504" s="4"/>
      <c r="E1504" s="4"/>
      <c r="F1504" s="24"/>
      <c r="G1504" s="8"/>
      <c r="H1504" s="9"/>
      <c r="I1504" s="8"/>
      <c r="J1504" s="10"/>
      <c r="K1504" s="8"/>
      <c r="L1504" s="8"/>
      <c r="M1504" s="8"/>
      <c r="N1504" s="11"/>
      <c r="O1504" s="9"/>
      <c r="P1504" s="12"/>
      <c r="Q1504" s="9"/>
      <c r="R1504" s="13"/>
      <c r="S1504" s="11"/>
      <c r="T1504" s="11"/>
      <c r="U1504" s="9"/>
      <c r="V1504" s="9"/>
      <c r="W1504" s="9"/>
      <c r="X1504" s="16"/>
      <c r="AF1504" s="42">
        <f>IF(BUSCAR!$C$8="FECHA NAC.",$G1504,IF(BUSCAR!$C$8="PASAPORTE EXPIRA",$J1504,IF(BUSCAR!$C$8="LICENCIA EMISION",$L1504,IF(BUSCAR!$C$8="LICENCIA EXPIRA",$M1504,""))))</f>
      </c>
      <c r="AG1504" s="42">
        <f>IF($B1504&amp;$C1504&amp;$D1504&amp;$E1504&amp;$H1504="",0,IF(AND(OR(BUSCAR!$J$5="",ISNUMBER(SEARCH(BUSCAR!$J$5,$AI1504))),OR(BUSCAR!$J$6="",ISNUMBER(SEARCH(BUSCAR!$J$6,$AI1504))),OR(BUSCAR!$J$8="",ISNUMBER(SEARCH(BUSCAR!$J$8,$AI1504))),OR(BUSCAR!$J$9="",ISNUMBER(SEARCH(BUSCAR!$J$9,$AI1504))),OR(NOT(BUSCAR!$J$2),AND(ISNUMBER($AF1504),$AF1504&gt;=BUSCAR!$J$3,$AF1504&lt;=BUSCAR!$J$4))),1,0))</f>
      </c>
      <c r="AH1504" s="42">
        <f t="shared" si="69"/>
      </c>
      <c r="AI1504" s="42">
        <f t="shared" si="70"/>
      </c>
    </row>
    <row r="1505" spans="1:35" x14ac:dyDescent="0.2">
      <c r="A1505" s="66">
        <f t="shared" si="71"/>
      </c>
      <c r="B1505" s="4"/>
      <c r="C1505" s="4"/>
      <c r="D1505" s="4"/>
      <c r="E1505" s="4"/>
      <c r="F1505" s="24"/>
      <c r="G1505" s="8"/>
      <c r="H1505" s="9"/>
      <c r="I1505" s="8"/>
      <c r="J1505" s="10"/>
      <c r="K1505" s="8"/>
      <c r="L1505" s="8"/>
      <c r="M1505" s="8"/>
      <c r="N1505" s="11"/>
      <c r="O1505" s="9"/>
      <c r="P1505" s="12"/>
      <c r="Q1505" s="9"/>
      <c r="R1505" s="13"/>
      <c r="S1505" s="11"/>
      <c r="T1505" s="11"/>
      <c r="U1505" s="9"/>
      <c r="V1505" s="9"/>
      <c r="W1505" s="9"/>
      <c r="X1505" s="16"/>
      <c r="AF1505" s="42">
        <f>IF(BUSCAR!$C$8="FECHA NAC.",$G1505,IF(BUSCAR!$C$8="PASAPORTE EXPIRA",$J1505,IF(BUSCAR!$C$8="LICENCIA EMISION",$L1505,IF(BUSCAR!$C$8="LICENCIA EXPIRA",$M1505,""))))</f>
      </c>
      <c r="AG1505" s="42">
        <f>IF($B1505&amp;$C1505&amp;$D1505&amp;$E1505&amp;$H1505="",0,IF(AND(OR(BUSCAR!$J$5="",ISNUMBER(SEARCH(BUSCAR!$J$5,$AI1505))),OR(BUSCAR!$J$6="",ISNUMBER(SEARCH(BUSCAR!$J$6,$AI1505))),OR(BUSCAR!$J$8="",ISNUMBER(SEARCH(BUSCAR!$J$8,$AI1505))),OR(BUSCAR!$J$9="",ISNUMBER(SEARCH(BUSCAR!$J$9,$AI1505))),OR(NOT(BUSCAR!$J$2),AND(ISNUMBER($AF1505),$AF1505&gt;=BUSCAR!$J$3,$AF1505&lt;=BUSCAR!$J$4))),1,0))</f>
      </c>
      <c r="AH1505" s="42">
        <f t="shared" si="69"/>
      </c>
      <c r="AI1505" s="42">
        <f t="shared" si="70"/>
      </c>
    </row>
    <row r="1506" spans="1:35" x14ac:dyDescent="0.2">
      <c r="A1506" s="66">
        <f t="shared" si="71"/>
      </c>
      <c r="B1506" s="4"/>
      <c r="C1506" s="4"/>
      <c r="D1506" s="4"/>
      <c r="E1506" s="4"/>
      <c r="F1506" s="24"/>
      <c r="G1506" s="8"/>
      <c r="H1506" s="9"/>
      <c r="I1506" s="8"/>
      <c r="J1506" s="10"/>
      <c r="K1506" s="8"/>
      <c r="L1506" s="8"/>
      <c r="M1506" s="8"/>
      <c r="N1506" s="11"/>
      <c r="O1506" s="9"/>
      <c r="P1506" s="12"/>
      <c r="Q1506" s="9"/>
      <c r="R1506" s="13"/>
      <c r="S1506" s="11"/>
      <c r="T1506" s="11"/>
      <c r="U1506" s="9"/>
      <c r="V1506" s="9"/>
      <c r="W1506" s="9"/>
      <c r="X1506" s="16"/>
      <c r="AF1506" s="42">
        <f>IF(BUSCAR!$C$8="FECHA NAC.",$G1506,IF(BUSCAR!$C$8="PASAPORTE EXPIRA",$J1506,IF(BUSCAR!$C$8="LICENCIA EMISION",$L1506,IF(BUSCAR!$C$8="LICENCIA EXPIRA",$M1506,""))))</f>
      </c>
      <c r="AG1506" s="42">
        <f>IF($B1506&amp;$C1506&amp;$D1506&amp;$E1506&amp;$H1506="",0,IF(AND(OR(BUSCAR!$J$5="",ISNUMBER(SEARCH(BUSCAR!$J$5,$AI1506))),OR(BUSCAR!$J$6="",ISNUMBER(SEARCH(BUSCAR!$J$6,$AI1506))),OR(BUSCAR!$J$8="",ISNUMBER(SEARCH(BUSCAR!$J$8,$AI1506))),OR(BUSCAR!$J$9="",ISNUMBER(SEARCH(BUSCAR!$J$9,$AI1506))),OR(NOT(BUSCAR!$J$2),AND(ISNUMBER($AF1506),$AF1506&gt;=BUSCAR!$J$3,$AF1506&lt;=BUSCAR!$J$4))),1,0))</f>
      </c>
      <c r="AH1506" s="42">
        <f t="shared" si="69"/>
      </c>
      <c r="AI1506" s="42">
        <f t="shared" si="70"/>
      </c>
    </row>
    <row r="1507" spans="1:35" x14ac:dyDescent="0.2">
      <c r="A1507" s="66">
        <f t="shared" si="71"/>
      </c>
      <c r="B1507" s="4"/>
      <c r="C1507" s="4"/>
      <c r="D1507" s="4"/>
      <c r="E1507" s="4"/>
      <c r="F1507" s="24"/>
      <c r="G1507" s="8"/>
      <c r="H1507" s="9"/>
      <c r="I1507" s="8"/>
      <c r="J1507" s="10"/>
      <c r="K1507" s="8"/>
      <c r="L1507" s="8"/>
      <c r="M1507" s="8"/>
      <c r="N1507" s="11"/>
      <c r="O1507" s="9"/>
      <c r="P1507" s="12"/>
      <c r="Q1507" s="9"/>
      <c r="R1507" s="13"/>
      <c r="S1507" s="11"/>
      <c r="T1507" s="11"/>
      <c r="U1507" s="9"/>
      <c r="V1507" s="9"/>
      <c r="W1507" s="9"/>
      <c r="X1507" s="16"/>
      <c r="AF1507" s="42">
        <f>IF(BUSCAR!$C$8="FECHA NAC.",$G1507,IF(BUSCAR!$C$8="PASAPORTE EXPIRA",$J1507,IF(BUSCAR!$C$8="LICENCIA EMISION",$L1507,IF(BUSCAR!$C$8="LICENCIA EXPIRA",$M1507,""))))</f>
      </c>
      <c r="AG1507" s="42">
        <f>IF($B1507&amp;$C1507&amp;$D1507&amp;$E1507&amp;$H1507="",0,IF(AND(OR(BUSCAR!$J$5="",ISNUMBER(SEARCH(BUSCAR!$J$5,$AI1507))),OR(BUSCAR!$J$6="",ISNUMBER(SEARCH(BUSCAR!$J$6,$AI1507))),OR(BUSCAR!$J$8="",ISNUMBER(SEARCH(BUSCAR!$J$8,$AI1507))),OR(BUSCAR!$J$9="",ISNUMBER(SEARCH(BUSCAR!$J$9,$AI1507))),OR(NOT(BUSCAR!$J$2),AND(ISNUMBER($AF1507),$AF1507&gt;=BUSCAR!$J$3,$AF1507&lt;=BUSCAR!$J$4))),1,0))</f>
      </c>
      <c r="AH1507" s="42">
        <f t="shared" si="69"/>
      </c>
      <c r="AI1507" s="42">
        <f t="shared" si="70"/>
      </c>
    </row>
    <row r="1508" spans="1:35" x14ac:dyDescent="0.2">
      <c r="A1508" s="66">
        <f t="shared" si="71"/>
      </c>
      <c r="B1508" s="4"/>
      <c r="C1508" s="4"/>
      <c r="D1508" s="4"/>
      <c r="E1508" s="4"/>
      <c r="F1508" s="24"/>
      <c r="G1508" s="8"/>
      <c r="H1508" s="9"/>
      <c r="I1508" s="8"/>
      <c r="J1508" s="10"/>
      <c r="K1508" s="8"/>
      <c r="L1508" s="8"/>
      <c r="M1508" s="8"/>
      <c r="N1508" s="11"/>
      <c r="O1508" s="9"/>
      <c r="P1508" s="12"/>
      <c r="Q1508" s="9"/>
      <c r="R1508" s="13"/>
      <c r="S1508" s="11"/>
      <c r="T1508" s="11"/>
      <c r="U1508" s="9"/>
      <c r="V1508" s="9"/>
      <c r="W1508" s="9"/>
      <c r="X1508" s="16"/>
      <c r="AF1508" s="42">
        <f>IF(BUSCAR!$C$8="FECHA NAC.",$G1508,IF(BUSCAR!$C$8="PASAPORTE EXPIRA",$J1508,IF(BUSCAR!$C$8="LICENCIA EMISION",$L1508,IF(BUSCAR!$C$8="LICENCIA EXPIRA",$M1508,""))))</f>
      </c>
      <c r="AG1508" s="42">
        <f>IF($B1508&amp;$C1508&amp;$D1508&amp;$E1508&amp;$H1508="",0,IF(AND(OR(BUSCAR!$J$5="",ISNUMBER(SEARCH(BUSCAR!$J$5,$AI1508))),OR(BUSCAR!$J$6="",ISNUMBER(SEARCH(BUSCAR!$J$6,$AI1508))),OR(BUSCAR!$J$8="",ISNUMBER(SEARCH(BUSCAR!$J$8,$AI1508))),OR(BUSCAR!$J$9="",ISNUMBER(SEARCH(BUSCAR!$J$9,$AI1508))),OR(NOT(BUSCAR!$J$2),AND(ISNUMBER($AF1508),$AF1508&gt;=BUSCAR!$J$3,$AF1508&lt;=BUSCAR!$J$4))),1,0))</f>
      </c>
      <c r="AH1508" s="42">
        <f t="shared" si="69"/>
      </c>
      <c r="AI1508" s="42">
        <f t="shared" si="70"/>
      </c>
    </row>
    <row r="1509" spans="1:35" x14ac:dyDescent="0.2">
      <c r="A1509" s="66">
        <f t="shared" si="71"/>
      </c>
      <c r="B1509" s="4"/>
      <c r="C1509" s="4"/>
      <c r="D1509" s="4"/>
      <c r="E1509" s="4"/>
      <c r="F1509" s="24"/>
      <c r="G1509" s="8"/>
      <c r="H1509" s="9"/>
      <c r="I1509" s="8"/>
      <c r="J1509" s="10"/>
      <c r="K1509" s="8"/>
      <c r="L1509" s="8"/>
      <c r="M1509" s="8"/>
      <c r="N1509" s="11"/>
      <c r="O1509" s="9"/>
      <c r="P1509" s="12"/>
      <c r="Q1509" s="9"/>
      <c r="R1509" s="13"/>
      <c r="S1509" s="11"/>
      <c r="T1509" s="11"/>
      <c r="U1509" s="9"/>
      <c r="V1509" s="9"/>
      <c r="W1509" s="9"/>
      <c r="X1509" s="16"/>
      <c r="AF1509" s="42">
        <f>IF(BUSCAR!$C$8="FECHA NAC.",$G1509,IF(BUSCAR!$C$8="PASAPORTE EXPIRA",$J1509,IF(BUSCAR!$C$8="LICENCIA EMISION",$L1509,IF(BUSCAR!$C$8="LICENCIA EXPIRA",$M1509,""))))</f>
      </c>
      <c r="AG1509" s="42">
        <f>IF($B1509&amp;$C1509&amp;$D1509&amp;$E1509&amp;$H1509="",0,IF(AND(OR(BUSCAR!$J$5="",ISNUMBER(SEARCH(BUSCAR!$J$5,$AI1509))),OR(BUSCAR!$J$6="",ISNUMBER(SEARCH(BUSCAR!$J$6,$AI1509))),OR(BUSCAR!$J$8="",ISNUMBER(SEARCH(BUSCAR!$J$8,$AI1509))),OR(BUSCAR!$J$9="",ISNUMBER(SEARCH(BUSCAR!$J$9,$AI1509))),OR(NOT(BUSCAR!$J$2),AND(ISNUMBER($AF1509),$AF1509&gt;=BUSCAR!$J$3,$AF1509&lt;=BUSCAR!$J$4))),1,0))</f>
      </c>
      <c r="AH1509" s="42">
        <f t="shared" si="69"/>
      </c>
      <c r="AI1509" s="42">
        <f t="shared" si="70"/>
      </c>
    </row>
    <row r="1510" spans="1:35" x14ac:dyDescent="0.2">
      <c r="A1510" s="66">
        <f t="shared" si="71"/>
      </c>
      <c r="B1510" s="4"/>
      <c r="C1510" s="4"/>
      <c r="D1510" s="4"/>
      <c r="E1510" s="4"/>
      <c r="F1510" s="24"/>
      <c r="G1510" s="8"/>
      <c r="H1510" s="9"/>
      <c r="I1510" s="8"/>
      <c r="J1510" s="10"/>
      <c r="K1510" s="8"/>
      <c r="L1510" s="8"/>
      <c r="M1510" s="8"/>
      <c r="N1510" s="11"/>
      <c r="O1510" s="9"/>
      <c r="P1510" s="12"/>
      <c r="Q1510" s="9"/>
      <c r="R1510" s="13"/>
      <c r="S1510" s="11"/>
      <c r="T1510" s="11"/>
      <c r="U1510" s="9"/>
      <c r="V1510" s="9"/>
      <c r="W1510" s="9"/>
      <c r="X1510" s="16"/>
      <c r="AF1510" s="42">
        <f>IF(BUSCAR!$C$8="FECHA NAC.",$G1510,IF(BUSCAR!$C$8="PASAPORTE EXPIRA",$J1510,IF(BUSCAR!$C$8="LICENCIA EMISION",$L1510,IF(BUSCAR!$C$8="LICENCIA EXPIRA",$M1510,""))))</f>
      </c>
      <c r="AG1510" s="42">
        <f>IF($B1510&amp;$C1510&amp;$D1510&amp;$E1510&amp;$H1510="",0,IF(AND(OR(BUSCAR!$J$5="",ISNUMBER(SEARCH(BUSCAR!$J$5,$AI1510))),OR(BUSCAR!$J$6="",ISNUMBER(SEARCH(BUSCAR!$J$6,$AI1510))),OR(BUSCAR!$J$8="",ISNUMBER(SEARCH(BUSCAR!$J$8,$AI1510))),OR(BUSCAR!$J$9="",ISNUMBER(SEARCH(BUSCAR!$J$9,$AI1510))),OR(NOT(BUSCAR!$J$2),AND(ISNUMBER($AF1510),$AF1510&gt;=BUSCAR!$J$3,$AF1510&lt;=BUSCAR!$J$4))),1,0))</f>
      </c>
      <c r="AH1510" s="42">
        <f t="shared" si="69"/>
      </c>
      <c r="AI1510" s="42">
        <f t="shared" si="70"/>
      </c>
    </row>
    <row r="1511" spans="1:35" x14ac:dyDescent="0.2">
      <c r="A1511" s="66">
        <f t="shared" si="71"/>
      </c>
      <c r="B1511" s="4"/>
      <c r="C1511" s="4"/>
      <c r="D1511" s="4"/>
      <c r="E1511" s="4"/>
      <c r="F1511" s="24"/>
      <c r="G1511" s="8"/>
      <c r="H1511" s="9"/>
      <c r="I1511" s="8"/>
      <c r="J1511" s="10"/>
      <c r="K1511" s="8"/>
      <c r="L1511" s="8"/>
      <c r="M1511" s="8"/>
      <c r="N1511" s="11"/>
      <c r="O1511" s="9"/>
      <c r="P1511" s="12"/>
      <c r="Q1511" s="9"/>
      <c r="R1511" s="13"/>
      <c r="S1511" s="11"/>
      <c r="T1511" s="11"/>
      <c r="U1511" s="9"/>
      <c r="V1511" s="9"/>
      <c r="W1511" s="9"/>
      <c r="X1511" s="16"/>
      <c r="AF1511" s="42">
        <f>IF(BUSCAR!$C$8="FECHA NAC.",$G1511,IF(BUSCAR!$C$8="PASAPORTE EXPIRA",$J1511,IF(BUSCAR!$C$8="LICENCIA EMISION",$L1511,IF(BUSCAR!$C$8="LICENCIA EXPIRA",$M1511,""))))</f>
      </c>
      <c r="AG1511" s="42">
        <f>IF($B1511&amp;$C1511&amp;$D1511&amp;$E1511&amp;$H1511="",0,IF(AND(OR(BUSCAR!$J$5="",ISNUMBER(SEARCH(BUSCAR!$J$5,$AI1511))),OR(BUSCAR!$J$6="",ISNUMBER(SEARCH(BUSCAR!$J$6,$AI1511))),OR(BUSCAR!$J$8="",ISNUMBER(SEARCH(BUSCAR!$J$8,$AI1511))),OR(BUSCAR!$J$9="",ISNUMBER(SEARCH(BUSCAR!$J$9,$AI1511))),OR(NOT(BUSCAR!$J$2),AND(ISNUMBER($AF1511),$AF1511&gt;=BUSCAR!$J$3,$AF1511&lt;=BUSCAR!$J$4))),1,0))</f>
      </c>
      <c r="AH1511" s="42">
        <f t="shared" si="69"/>
      </c>
      <c r="AI1511" s="42">
        <f t="shared" si="70"/>
      </c>
    </row>
    <row r="1512" spans="1:35" x14ac:dyDescent="0.2">
      <c r="A1512" s="66">
        <f t="shared" si="71"/>
      </c>
      <c r="B1512" s="4"/>
      <c r="C1512" s="4"/>
      <c r="D1512" s="4"/>
      <c r="E1512" s="4"/>
      <c r="F1512" s="24"/>
      <c r="G1512" s="8"/>
      <c r="H1512" s="9"/>
      <c r="I1512" s="8"/>
      <c r="J1512" s="10"/>
      <c r="K1512" s="8"/>
      <c r="L1512" s="8"/>
      <c r="M1512" s="8"/>
      <c r="N1512" s="11"/>
      <c r="O1512" s="9"/>
      <c r="P1512" s="12"/>
      <c r="Q1512" s="9"/>
      <c r="R1512" s="13"/>
      <c r="S1512" s="11"/>
      <c r="T1512" s="11"/>
      <c r="U1512" s="9"/>
      <c r="V1512" s="9"/>
      <c r="W1512" s="9"/>
      <c r="X1512" s="16"/>
      <c r="AF1512" s="42">
        <f>IF(BUSCAR!$C$8="FECHA NAC.",$G1512,IF(BUSCAR!$C$8="PASAPORTE EXPIRA",$J1512,IF(BUSCAR!$C$8="LICENCIA EMISION",$L1512,IF(BUSCAR!$C$8="LICENCIA EXPIRA",$M1512,""))))</f>
      </c>
      <c r="AG1512" s="42">
        <f>IF($B1512&amp;$C1512&amp;$D1512&amp;$E1512&amp;$H1512="",0,IF(AND(OR(BUSCAR!$J$5="",ISNUMBER(SEARCH(BUSCAR!$J$5,$AI1512))),OR(BUSCAR!$J$6="",ISNUMBER(SEARCH(BUSCAR!$J$6,$AI1512))),OR(BUSCAR!$J$8="",ISNUMBER(SEARCH(BUSCAR!$J$8,$AI1512))),OR(BUSCAR!$J$9="",ISNUMBER(SEARCH(BUSCAR!$J$9,$AI1512))),OR(NOT(BUSCAR!$J$2),AND(ISNUMBER($AF1512),$AF1512&gt;=BUSCAR!$J$3,$AF1512&lt;=BUSCAR!$J$4))),1,0))</f>
      </c>
      <c r="AH1512" s="42">
        <f t="shared" si="69"/>
      </c>
      <c r="AI1512" s="42">
        <f t="shared" si="70"/>
      </c>
    </row>
    <row r="1513" spans="1:35" x14ac:dyDescent="0.2">
      <c r="A1513" s="66">
        <f t="shared" si="71"/>
      </c>
      <c r="B1513" s="4"/>
      <c r="C1513" s="4"/>
      <c r="D1513" s="4"/>
      <c r="E1513" s="4"/>
      <c r="F1513" s="24"/>
      <c r="G1513" s="8"/>
      <c r="H1513" s="9"/>
      <c r="I1513" s="8"/>
      <c r="J1513" s="10"/>
      <c r="K1513" s="8"/>
      <c r="L1513" s="8"/>
      <c r="M1513" s="8"/>
      <c r="N1513" s="11"/>
      <c r="O1513" s="9"/>
      <c r="P1513" s="12"/>
      <c r="Q1513" s="9"/>
      <c r="R1513" s="13"/>
      <c r="S1513" s="11"/>
      <c r="T1513" s="11"/>
      <c r="U1513" s="9"/>
      <c r="V1513" s="9"/>
      <c r="W1513" s="9"/>
      <c r="X1513" s="16"/>
      <c r="AF1513" s="42">
        <f>IF(BUSCAR!$C$8="FECHA NAC.",$G1513,IF(BUSCAR!$C$8="PASAPORTE EXPIRA",$J1513,IF(BUSCAR!$C$8="LICENCIA EMISION",$L1513,IF(BUSCAR!$C$8="LICENCIA EXPIRA",$M1513,""))))</f>
      </c>
      <c r="AG1513" s="42">
        <f>IF($B1513&amp;$C1513&amp;$D1513&amp;$E1513&amp;$H1513="",0,IF(AND(OR(BUSCAR!$J$5="",ISNUMBER(SEARCH(BUSCAR!$J$5,$AI1513))),OR(BUSCAR!$J$6="",ISNUMBER(SEARCH(BUSCAR!$J$6,$AI1513))),OR(BUSCAR!$J$8="",ISNUMBER(SEARCH(BUSCAR!$J$8,$AI1513))),OR(BUSCAR!$J$9="",ISNUMBER(SEARCH(BUSCAR!$J$9,$AI1513))),OR(NOT(BUSCAR!$J$2),AND(ISNUMBER($AF1513),$AF1513&gt;=BUSCAR!$J$3,$AF1513&lt;=BUSCAR!$J$4))),1,0))</f>
      </c>
      <c r="AH1513" s="42">
        <f t="shared" si="69"/>
      </c>
      <c r="AI1513" s="42">
        <f t="shared" si="70"/>
      </c>
    </row>
    <row r="1514" spans="1:35" x14ac:dyDescent="0.2">
      <c r="A1514" s="66">
        <f t="shared" si="71"/>
      </c>
      <c r="B1514" s="4"/>
      <c r="C1514" s="4"/>
      <c r="D1514" s="4"/>
      <c r="E1514" s="4"/>
      <c r="F1514" s="24"/>
      <c r="G1514" s="8"/>
      <c r="H1514" s="9"/>
      <c r="I1514" s="8"/>
      <c r="J1514" s="10"/>
      <c r="K1514" s="8"/>
      <c r="L1514" s="8"/>
      <c r="M1514" s="8"/>
      <c r="N1514" s="11"/>
      <c r="O1514" s="9"/>
      <c r="P1514" s="12"/>
      <c r="Q1514" s="9"/>
      <c r="R1514" s="13"/>
      <c r="S1514" s="11"/>
      <c r="T1514" s="11"/>
      <c r="U1514" s="9"/>
      <c r="V1514" s="9"/>
      <c r="W1514" s="9"/>
      <c r="X1514" s="16"/>
      <c r="AF1514" s="42">
        <f>IF(BUSCAR!$C$8="FECHA NAC.",$G1514,IF(BUSCAR!$C$8="PASAPORTE EXPIRA",$J1514,IF(BUSCAR!$C$8="LICENCIA EMISION",$L1514,IF(BUSCAR!$C$8="LICENCIA EXPIRA",$M1514,""))))</f>
      </c>
      <c r="AG1514" s="42">
        <f>IF($B1514&amp;$C1514&amp;$D1514&amp;$E1514&amp;$H1514="",0,IF(AND(OR(BUSCAR!$J$5="",ISNUMBER(SEARCH(BUSCAR!$J$5,$AI1514))),OR(BUSCAR!$J$6="",ISNUMBER(SEARCH(BUSCAR!$J$6,$AI1514))),OR(BUSCAR!$J$8="",ISNUMBER(SEARCH(BUSCAR!$J$8,$AI1514))),OR(BUSCAR!$J$9="",ISNUMBER(SEARCH(BUSCAR!$J$9,$AI1514))),OR(NOT(BUSCAR!$J$2),AND(ISNUMBER($AF1514),$AF1514&gt;=BUSCAR!$J$3,$AF1514&lt;=BUSCAR!$J$4))),1,0))</f>
      </c>
      <c r="AH1514" s="42">
        <f t="shared" si="69"/>
      </c>
      <c r="AI1514" s="42">
        <f t="shared" si="70"/>
      </c>
    </row>
    <row r="1515" spans="1:35" x14ac:dyDescent="0.2">
      <c r="A1515" s="66">
        <f t="shared" si="71"/>
      </c>
      <c r="B1515" s="4"/>
      <c r="C1515" s="4"/>
      <c r="D1515" s="4"/>
      <c r="E1515" s="4"/>
      <c r="F1515" s="24"/>
      <c r="G1515" s="8"/>
      <c r="H1515" s="9"/>
      <c r="I1515" s="8"/>
      <c r="J1515" s="10"/>
      <c r="K1515" s="8"/>
      <c r="L1515" s="8"/>
      <c r="M1515" s="8"/>
      <c r="N1515" s="11"/>
      <c r="O1515" s="9"/>
      <c r="P1515" s="12"/>
      <c r="Q1515" s="9"/>
      <c r="R1515" s="13"/>
      <c r="S1515" s="11"/>
      <c r="T1515" s="11"/>
      <c r="U1515" s="9"/>
      <c r="V1515" s="9"/>
      <c r="W1515" s="9"/>
      <c r="X1515" s="16"/>
      <c r="AF1515" s="42">
        <f>IF(BUSCAR!$C$8="FECHA NAC.",$G1515,IF(BUSCAR!$C$8="PASAPORTE EXPIRA",$J1515,IF(BUSCAR!$C$8="LICENCIA EMISION",$L1515,IF(BUSCAR!$C$8="LICENCIA EXPIRA",$M1515,""))))</f>
      </c>
      <c r="AG1515" s="42">
        <f>IF($B1515&amp;$C1515&amp;$D1515&amp;$E1515&amp;$H1515="",0,IF(AND(OR(BUSCAR!$J$5="",ISNUMBER(SEARCH(BUSCAR!$J$5,$AI1515))),OR(BUSCAR!$J$6="",ISNUMBER(SEARCH(BUSCAR!$J$6,$AI1515))),OR(BUSCAR!$J$8="",ISNUMBER(SEARCH(BUSCAR!$J$8,$AI1515))),OR(BUSCAR!$J$9="",ISNUMBER(SEARCH(BUSCAR!$J$9,$AI1515))),OR(NOT(BUSCAR!$J$2),AND(ISNUMBER($AF1515),$AF1515&gt;=BUSCAR!$J$3,$AF1515&lt;=BUSCAR!$J$4))),1,0))</f>
      </c>
      <c r="AH1515" s="42">
        <f t="shared" si="69"/>
      </c>
      <c r="AI1515" s="42">
        <f t="shared" si="70"/>
      </c>
    </row>
    <row r="1516" spans="1:35" x14ac:dyDescent="0.2">
      <c r="A1516" s="66">
        <f t="shared" si="71"/>
      </c>
      <c r="B1516" s="4"/>
      <c r="C1516" s="4"/>
      <c r="D1516" s="4"/>
      <c r="E1516" s="4"/>
      <c r="F1516" s="24"/>
      <c r="G1516" s="8"/>
      <c r="H1516" s="9"/>
      <c r="I1516" s="8"/>
      <c r="J1516" s="10"/>
      <c r="K1516" s="8"/>
      <c r="L1516" s="8"/>
      <c r="M1516" s="8"/>
      <c r="N1516" s="11"/>
      <c r="O1516" s="9"/>
      <c r="P1516" s="12"/>
      <c r="Q1516" s="9"/>
      <c r="R1516" s="13"/>
      <c r="S1516" s="11"/>
      <c r="T1516" s="11"/>
      <c r="U1516" s="9"/>
      <c r="V1516" s="9"/>
      <c r="W1516" s="9"/>
      <c r="X1516" s="16"/>
      <c r="AF1516" s="42">
        <f>IF(BUSCAR!$C$8="FECHA NAC.",$G1516,IF(BUSCAR!$C$8="PASAPORTE EXPIRA",$J1516,IF(BUSCAR!$C$8="LICENCIA EMISION",$L1516,IF(BUSCAR!$C$8="LICENCIA EXPIRA",$M1516,""))))</f>
      </c>
      <c r="AG1516" s="42">
        <f>IF($B1516&amp;$C1516&amp;$D1516&amp;$E1516&amp;$H1516="",0,IF(AND(OR(BUSCAR!$J$5="",ISNUMBER(SEARCH(BUSCAR!$J$5,$AI1516))),OR(BUSCAR!$J$6="",ISNUMBER(SEARCH(BUSCAR!$J$6,$AI1516))),OR(BUSCAR!$J$8="",ISNUMBER(SEARCH(BUSCAR!$J$8,$AI1516))),OR(BUSCAR!$J$9="",ISNUMBER(SEARCH(BUSCAR!$J$9,$AI1516))),OR(NOT(BUSCAR!$J$2),AND(ISNUMBER($AF1516),$AF1516&gt;=BUSCAR!$J$3,$AF1516&lt;=BUSCAR!$J$4))),1,0))</f>
      </c>
      <c r="AH1516" s="42">
        <f t="shared" si="69"/>
      </c>
      <c r="AI1516" s="42">
        <f t="shared" si="70"/>
      </c>
    </row>
    <row r="1517" spans="1:35" x14ac:dyDescent="0.2">
      <c r="A1517" s="66">
        <f t="shared" si="71"/>
      </c>
      <c r="B1517" s="4"/>
      <c r="C1517" s="4"/>
      <c r="D1517" s="4"/>
      <c r="E1517" s="4"/>
      <c r="F1517" s="24"/>
      <c r="G1517" s="8"/>
      <c r="H1517" s="9"/>
      <c r="I1517" s="8"/>
      <c r="J1517" s="10"/>
      <c r="K1517" s="8"/>
      <c r="L1517" s="8"/>
      <c r="M1517" s="8"/>
      <c r="N1517" s="11"/>
      <c r="O1517" s="9"/>
      <c r="P1517" s="12"/>
      <c r="Q1517" s="9"/>
      <c r="R1517" s="13"/>
      <c r="S1517" s="11"/>
      <c r="T1517" s="11"/>
      <c r="U1517" s="9"/>
      <c r="V1517" s="9"/>
      <c r="W1517" s="9"/>
      <c r="X1517" s="16"/>
      <c r="AF1517" s="42">
        <f>IF(BUSCAR!$C$8="FECHA NAC.",$G1517,IF(BUSCAR!$C$8="PASAPORTE EXPIRA",$J1517,IF(BUSCAR!$C$8="LICENCIA EMISION",$L1517,IF(BUSCAR!$C$8="LICENCIA EXPIRA",$M1517,""))))</f>
      </c>
      <c r="AG1517" s="42">
        <f>IF($B1517&amp;$C1517&amp;$D1517&amp;$E1517&amp;$H1517="",0,IF(AND(OR(BUSCAR!$J$5="",ISNUMBER(SEARCH(BUSCAR!$J$5,$AI1517))),OR(BUSCAR!$J$6="",ISNUMBER(SEARCH(BUSCAR!$J$6,$AI1517))),OR(BUSCAR!$J$8="",ISNUMBER(SEARCH(BUSCAR!$J$8,$AI1517))),OR(BUSCAR!$J$9="",ISNUMBER(SEARCH(BUSCAR!$J$9,$AI1517))),OR(NOT(BUSCAR!$J$2),AND(ISNUMBER($AF1517),$AF1517&gt;=BUSCAR!$J$3,$AF1517&lt;=BUSCAR!$J$4))),1,0))</f>
      </c>
      <c r="AH1517" s="42">
        <f t="shared" si="69"/>
      </c>
      <c r="AI1517" s="42">
        <f t="shared" si="70"/>
      </c>
    </row>
    <row r="1518" spans="1:35" x14ac:dyDescent="0.2">
      <c r="A1518" s="66">
        <f t="shared" si="71"/>
      </c>
      <c r="B1518" s="4"/>
      <c r="C1518" s="4"/>
      <c r="D1518" s="4"/>
      <c r="E1518" s="4"/>
      <c r="F1518" s="24"/>
      <c r="G1518" s="8"/>
      <c r="H1518" s="9"/>
      <c r="I1518" s="8"/>
      <c r="J1518" s="10"/>
      <c r="K1518" s="8"/>
      <c r="L1518" s="8"/>
      <c r="M1518" s="8"/>
      <c r="N1518" s="11"/>
      <c r="O1518" s="9"/>
      <c r="P1518" s="12"/>
      <c r="Q1518" s="9"/>
      <c r="R1518" s="13"/>
      <c r="S1518" s="11"/>
      <c r="T1518" s="11"/>
      <c r="U1518" s="9"/>
      <c r="V1518" s="9"/>
      <c r="W1518" s="9"/>
      <c r="X1518" s="16"/>
      <c r="AF1518" s="42">
        <f>IF(BUSCAR!$C$8="FECHA NAC.",$G1518,IF(BUSCAR!$C$8="PASAPORTE EXPIRA",$J1518,IF(BUSCAR!$C$8="LICENCIA EMISION",$L1518,IF(BUSCAR!$C$8="LICENCIA EXPIRA",$M1518,""))))</f>
      </c>
      <c r="AG1518" s="42">
        <f>IF($B1518&amp;$C1518&amp;$D1518&amp;$E1518&amp;$H1518="",0,IF(AND(OR(BUSCAR!$J$5="",ISNUMBER(SEARCH(BUSCAR!$J$5,$AI1518))),OR(BUSCAR!$J$6="",ISNUMBER(SEARCH(BUSCAR!$J$6,$AI1518))),OR(BUSCAR!$J$8="",ISNUMBER(SEARCH(BUSCAR!$J$8,$AI1518))),OR(BUSCAR!$J$9="",ISNUMBER(SEARCH(BUSCAR!$J$9,$AI1518))),OR(NOT(BUSCAR!$J$2),AND(ISNUMBER($AF1518),$AF1518&gt;=BUSCAR!$J$3,$AF1518&lt;=BUSCAR!$J$4))),1,0))</f>
      </c>
      <c r="AH1518" s="42">
        <f t="shared" si="69"/>
      </c>
      <c r="AI1518" s="42">
        <f t="shared" si="70"/>
      </c>
    </row>
    <row r="1519" spans="1:35" x14ac:dyDescent="0.2">
      <c r="A1519" s="66">
        <f t="shared" si="71"/>
      </c>
      <c r="B1519" s="4"/>
      <c r="C1519" s="4"/>
      <c r="D1519" s="4"/>
      <c r="E1519" s="4"/>
      <c r="F1519" s="24"/>
      <c r="G1519" s="8"/>
      <c r="H1519" s="9"/>
      <c r="I1519" s="8"/>
      <c r="J1519" s="10"/>
      <c r="K1519" s="8"/>
      <c r="L1519" s="8"/>
      <c r="M1519" s="8"/>
      <c r="N1519" s="11"/>
      <c r="O1519" s="9"/>
      <c r="P1519" s="12"/>
      <c r="Q1519" s="9"/>
      <c r="R1519" s="13"/>
      <c r="S1519" s="11"/>
      <c r="T1519" s="11"/>
      <c r="U1519" s="9"/>
      <c r="V1519" s="9"/>
      <c r="W1519" s="9"/>
      <c r="X1519" s="16"/>
      <c r="AF1519" s="42">
        <f>IF(BUSCAR!$C$8="FECHA NAC.",$G1519,IF(BUSCAR!$C$8="PASAPORTE EXPIRA",$J1519,IF(BUSCAR!$C$8="LICENCIA EMISION",$L1519,IF(BUSCAR!$C$8="LICENCIA EXPIRA",$M1519,""))))</f>
      </c>
      <c r="AG1519" s="42">
        <f>IF($B1519&amp;$C1519&amp;$D1519&amp;$E1519&amp;$H1519="",0,IF(AND(OR(BUSCAR!$J$5="",ISNUMBER(SEARCH(BUSCAR!$J$5,$AI1519))),OR(BUSCAR!$J$6="",ISNUMBER(SEARCH(BUSCAR!$J$6,$AI1519))),OR(BUSCAR!$J$8="",ISNUMBER(SEARCH(BUSCAR!$J$8,$AI1519))),OR(BUSCAR!$J$9="",ISNUMBER(SEARCH(BUSCAR!$J$9,$AI1519))),OR(NOT(BUSCAR!$J$2),AND(ISNUMBER($AF1519),$AF1519&gt;=BUSCAR!$J$3,$AF1519&lt;=BUSCAR!$J$4))),1,0))</f>
      </c>
      <c r="AH1519" s="42">
        <f t="shared" si="69"/>
      </c>
      <c r="AI1519" s="42">
        <f t="shared" si="70"/>
      </c>
    </row>
    <row r="1520" spans="1:35" x14ac:dyDescent="0.2">
      <c r="A1520" s="66">
        <f t="shared" si="71"/>
      </c>
      <c r="B1520" s="4"/>
      <c r="C1520" s="4"/>
      <c r="D1520" s="4"/>
      <c r="E1520" s="4"/>
      <c r="F1520" s="24"/>
      <c r="G1520" s="8"/>
      <c r="H1520" s="9"/>
      <c r="I1520" s="8"/>
      <c r="J1520" s="10"/>
      <c r="K1520" s="8"/>
      <c r="L1520" s="8"/>
      <c r="M1520" s="8"/>
      <c r="N1520" s="11"/>
      <c r="O1520" s="9"/>
      <c r="P1520" s="12"/>
      <c r="Q1520" s="9"/>
      <c r="R1520" s="13"/>
      <c r="S1520" s="11"/>
      <c r="T1520" s="11"/>
      <c r="U1520" s="9"/>
      <c r="V1520" s="9"/>
      <c r="W1520" s="9"/>
      <c r="X1520" s="16"/>
      <c r="AF1520" s="42">
        <f>IF(BUSCAR!$C$8="FECHA NAC.",$G1520,IF(BUSCAR!$C$8="PASAPORTE EXPIRA",$J1520,IF(BUSCAR!$C$8="LICENCIA EMISION",$L1520,IF(BUSCAR!$C$8="LICENCIA EXPIRA",$M1520,""))))</f>
      </c>
      <c r="AG1520" s="42">
        <f>IF($B1520&amp;$C1520&amp;$D1520&amp;$E1520&amp;$H1520="",0,IF(AND(OR(BUSCAR!$J$5="",ISNUMBER(SEARCH(BUSCAR!$J$5,$AI1520))),OR(BUSCAR!$J$6="",ISNUMBER(SEARCH(BUSCAR!$J$6,$AI1520))),OR(BUSCAR!$J$8="",ISNUMBER(SEARCH(BUSCAR!$J$8,$AI1520))),OR(BUSCAR!$J$9="",ISNUMBER(SEARCH(BUSCAR!$J$9,$AI1520))),OR(NOT(BUSCAR!$J$2),AND(ISNUMBER($AF1520),$AF1520&gt;=BUSCAR!$J$3,$AF1520&lt;=BUSCAR!$J$4))),1,0))</f>
      </c>
      <c r="AH1520" s="42">
        <f t="shared" si="69"/>
      </c>
      <c r="AI1520" s="42">
        <f t="shared" si="70"/>
      </c>
    </row>
    <row r="1521" spans="1:35" x14ac:dyDescent="0.2">
      <c r="A1521" s="66">
        <f t="shared" si="71"/>
      </c>
      <c r="B1521" s="4"/>
      <c r="C1521" s="4"/>
      <c r="D1521" s="4"/>
      <c r="E1521" s="4"/>
      <c r="F1521" s="24"/>
      <c r="G1521" s="8"/>
      <c r="H1521" s="9"/>
      <c r="I1521" s="8"/>
      <c r="J1521" s="10"/>
      <c r="K1521" s="8"/>
      <c r="L1521" s="8"/>
      <c r="M1521" s="8"/>
      <c r="N1521" s="11"/>
      <c r="O1521" s="9"/>
      <c r="P1521" s="12"/>
      <c r="Q1521" s="9"/>
      <c r="R1521" s="13"/>
      <c r="S1521" s="11"/>
      <c r="T1521" s="11"/>
      <c r="U1521" s="9"/>
      <c r="V1521" s="9"/>
      <c r="W1521" s="9"/>
      <c r="X1521" s="16"/>
      <c r="AF1521" s="42">
        <f>IF(BUSCAR!$C$8="FECHA NAC.",$G1521,IF(BUSCAR!$C$8="PASAPORTE EXPIRA",$J1521,IF(BUSCAR!$C$8="LICENCIA EMISION",$L1521,IF(BUSCAR!$C$8="LICENCIA EXPIRA",$M1521,""))))</f>
      </c>
      <c r="AG1521" s="42">
        <f>IF($B1521&amp;$C1521&amp;$D1521&amp;$E1521&amp;$H1521="",0,IF(AND(OR(BUSCAR!$J$5="",ISNUMBER(SEARCH(BUSCAR!$J$5,$AI1521))),OR(BUSCAR!$J$6="",ISNUMBER(SEARCH(BUSCAR!$J$6,$AI1521))),OR(BUSCAR!$J$8="",ISNUMBER(SEARCH(BUSCAR!$J$8,$AI1521))),OR(BUSCAR!$J$9="",ISNUMBER(SEARCH(BUSCAR!$J$9,$AI1521))),OR(NOT(BUSCAR!$J$2),AND(ISNUMBER($AF1521),$AF1521&gt;=BUSCAR!$J$3,$AF1521&lt;=BUSCAR!$J$4))),1,0))</f>
      </c>
      <c r="AH1521" s="42">
        <f t="shared" si="69"/>
      </c>
      <c r="AI1521" s="42">
        <f t="shared" si="70"/>
      </c>
    </row>
    <row r="1522" spans="1:35" x14ac:dyDescent="0.2">
      <c r="A1522" s="66">
        <f t="shared" si="71"/>
      </c>
      <c r="B1522" s="4"/>
      <c r="C1522" s="4"/>
      <c r="D1522" s="4"/>
      <c r="E1522" s="4"/>
      <c r="F1522" s="24"/>
      <c r="G1522" s="8"/>
      <c r="H1522" s="9"/>
      <c r="I1522" s="8"/>
      <c r="J1522" s="10"/>
      <c r="K1522" s="8"/>
      <c r="L1522" s="8"/>
      <c r="M1522" s="8"/>
      <c r="N1522" s="11"/>
      <c r="O1522" s="9"/>
      <c r="P1522" s="12"/>
      <c r="Q1522" s="9"/>
      <c r="R1522" s="13"/>
      <c r="S1522" s="11"/>
      <c r="T1522" s="11"/>
      <c r="U1522" s="9"/>
      <c r="V1522" s="9"/>
      <c r="W1522" s="9"/>
      <c r="X1522" s="16"/>
      <c r="AF1522" s="42">
        <f>IF(BUSCAR!$C$8="FECHA NAC.",$G1522,IF(BUSCAR!$C$8="PASAPORTE EXPIRA",$J1522,IF(BUSCAR!$C$8="LICENCIA EMISION",$L1522,IF(BUSCAR!$C$8="LICENCIA EXPIRA",$M1522,""))))</f>
      </c>
      <c r="AG1522" s="42">
        <f>IF($B1522&amp;$C1522&amp;$D1522&amp;$E1522&amp;$H1522="",0,IF(AND(OR(BUSCAR!$J$5="",ISNUMBER(SEARCH(BUSCAR!$J$5,$AI1522))),OR(BUSCAR!$J$6="",ISNUMBER(SEARCH(BUSCAR!$J$6,$AI1522))),OR(BUSCAR!$J$8="",ISNUMBER(SEARCH(BUSCAR!$J$8,$AI1522))),OR(BUSCAR!$J$9="",ISNUMBER(SEARCH(BUSCAR!$J$9,$AI1522))),OR(NOT(BUSCAR!$J$2),AND(ISNUMBER($AF1522),$AF1522&gt;=BUSCAR!$J$3,$AF1522&lt;=BUSCAR!$J$4))),1,0))</f>
      </c>
      <c r="AH1522" s="42">
        <f t="shared" si="69"/>
      </c>
      <c r="AI1522" s="42">
        <f t="shared" si="70"/>
      </c>
    </row>
    <row r="1523" spans="1:35" x14ac:dyDescent="0.2">
      <c r="A1523" s="66">
        <f t="shared" si="71"/>
      </c>
      <c r="B1523" s="4"/>
      <c r="C1523" s="4"/>
      <c r="D1523" s="4"/>
      <c r="E1523" s="4"/>
      <c r="F1523" s="24"/>
      <c r="G1523" s="8"/>
      <c r="H1523" s="9"/>
      <c r="I1523" s="8"/>
      <c r="J1523" s="10"/>
      <c r="K1523" s="8"/>
      <c r="L1523" s="8"/>
      <c r="M1523" s="8"/>
      <c r="N1523" s="11"/>
      <c r="O1523" s="9"/>
      <c r="P1523" s="12"/>
      <c r="Q1523" s="9"/>
      <c r="R1523" s="13"/>
      <c r="S1523" s="11"/>
      <c r="T1523" s="11"/>
      <c r="U1523" s="9"/>
      <c r="V1523" s="9"/>
      <c r="W1523" s="9"/>
      <c r="X1523" s="16"/>
      <c r="AF1523" s="42">
        <f>IF(BUSCAR!$C$8="FECHA NAC.",$G1523,IF(BUSCAR!$C$8="PASAPORTE EXPIRA",$J1523,IF(BUSCAR!$C$8="LICENCIA EMISION",$L1523,IF(BUSCAR!$C$8="LICENCIA EXPIRA",$M1523,""))))</f>
      </c>
      <c r="AG1523" s="42">
        <f>IF($B1523&amp;$C1523&amp;$D1523&amp;$E1523&amp;$H1523="",0,IF(AND(OR(BUSCAR!$J$5="",ISNUMBER(SEARCH(BUSCAR!$J$5,$AI1523))),OR(BUSCAR!$J$6="",ISNUMBER(SEARCH(BUSCAR!$J$6,$AI1523))),OR(BUSCAR!$J$8="",ISNUMBER(SEARCH(BUSCAR!$J$8,$AI1523))),OR(BUSCAR!$J$9="",ISNUMBER(SEARCH(BUSCAR!$J$9,$AI1523))),OR(NOT(BUSCAR!$J$2),AND(ISNUMBER($AF1523),$AF1523&gt;=BUSCAR!$J$3,$AF1523&lt;=BUSCAR!$J$4))),1,0))</f>
      </c>
      <c r="AH1523" s="42">
        <f t="shared" si="69"/>
      </c>
      <c r="AI1523" s="42">
        <f t="shared" si="70"/>
      </c>
    </row>
    <row r="1524" spans="1:35" x14ac:dyDescent="0.2">
      <c r="A1524" s="66">
        <f t="shared" si="71"/>
      </c>
      <c r="B1524" s="4"/>
      <c r="C1524" s="4"/>
      <c r="D1524" s="4"/>
      <c r="E1524" s="4"/>
      <c r="F1524" s="24"/>
      <c r="G1524" s="8"/>
      <c r="H1524" s="9"/>
      <c r="I1524" s="8"/>
      <c r="J1524" s="10"/>
      <c r="K1524" s="8"/>
      <c r="L1524" s="8"/>
      <c r="M1524" s="8"/>
      <c r="N1524" s="11"/>
      <c r="O1524" s="9"/>
      <c r="P1524" s="12"/>
      <c r="Q1524" s="9"/>
      <c r="R1524" s="13"/>
      <c r="S1524" s="11"/>
      <c r="T1524" s="11"/>
      <c r="U1524" s="9"/>
      <c r="V1524" s="9"/>
      <c r="W1524" s="9"/>
      <c r="X1524" s="16"/>
      <c r="AF1524" s="42">
        <f>IF(BUSCAR!$C$8="FECHA NAC.",$G1524,IF(BUSCAR!$C$8="PASAPORTE EXPIRA",$J1524,IF(BUSCAR!$C$8="LICENCIA EMISION",$L1524,IF(BUSCAR!$C$8="LICENCIA EXPIRA",$M1524,""))))</f>
      </c>
      <c r="AG1524" s="42">
        <f>IF($B1524&amp;$C1524&amp;$D1524&amp;$E1524&amp;$H1524="",0,IF(AND(OR(BUSCAR!$J$5="",ISNUMBER(SEARCH(BUSCAR!$J$5,$AI1524))),OR(BUSCAR!$J$6="",ISNUMBER(SEARCH(BUSCAR!$J$6,$AI1524))),OR(BUSCAR!$J$8="",ISNUMBER(SEARCH(BUSCAR!$J$8,$AI1524))),OR(BUSCAR!$J$9="",ISNUMBER(SEARCH(BUSCAR!$J$9,$AI1524))),OR(NOT(BUSCAR!$J$2),AND(ISNUMBER($AF1524),$AF1524&gt;=BUSCAR!$J$3,$AF1524&lt;=BUSCAR!$J$4))),1,0))</f>
      </c>
      <c r="AH1524" s="42">
        <f t="shared" si="69"/>
      </c>
      <c r="AI1524" s="42">
        <f t="shared" si="70"/>
      </c>
    </row>
    <row r="1525" spans="1:35" x14ac:dyDescent="0.2">
      <c r="A1525" s="66">
        <f t="shared" si="71"/>
      </c>
      <c r="B1525" s="4"/>
      <c r="C1525" s="4"/>
      <c r="D1525" s="4"/>
      <c r="E1525" s="4"/>
      <c r="F1525" s="24"/>
      <c r="G1525" s="8"/>
      <c r="H1525" s="9"/>
      <c r="I1525" s="8"/>
      <c r="J1525" s="10"/>
      <c r="K1525" s="8"/>
      <c r="L1525" s="8"/>
      <c r="M1525" s="8"/>
      <c r="N1525" s="11"/>
      <c r="O1525" s="9"/>
      <c r="P1525" s="12"/>
      <c r="Q1525" s="9"/>
      <c r="R1525" s="13"/>
      <c r="S1525" s="11"/>
      <c r="T1525" s="11"/>
      <c r="U1525" s="9"/>
      <c r="V1525" s="9"/>
      <c r="W1525" s="9"/>
      <c r="X1525" s="16"/>
      <c r="AF1525" s="42">
        <f>IF(BUSCAR!$C$8="FECHA NAC.",$G1525,IF(BUSCAR!$C$8="PASAPORTE EXPIRA",$J1525,IF(BUSCAR!$C$8="LICENCIA EMISION",$L1525,IF(BUSCAR!$C$8="LICENCIA EXPIRA",$M1525,""))))</f>
      </c>
      <c r="AG1525" s="42">
        <f>IF($B1525&amp;$C1525&amp;$D1525&amp;$E1525&amp;$H1525="",0,IF(AND(OR(BUSCAR!$J$5="",ISNUMBER(SEARCH(BUSCAR!$J$5,$AI1525))),OR(BUSCAR!$J$6="",ISNUMBER(SEARCH(BUSCAR!$J$6,$AI1525))),OR(BUSCAR!$J$8="",ISNUMBER(SEARCH(BUSCAR!$J$8,$AI1525))),OR(BUSCAR!$J$9="",ISNUMBER(SEARCH(BUSCAR!$J$9,$AI1525))),OR(NOT(BUSCAR!$J$2),AND(ISNUMBER($AF1525),$AF1525&gt;=BUSCAR!$J$3,$AF1525&lt;=BUSCAR!$J$4))),1,0))</f>
      </c>
      <c r="AH1525" s="42">
        <f t="shared" si="69"/>
      </c>
      <c r="AI1525" s="42">
        <f t="shared" si="70"/>
      </c>
    </row>
    <row r="1526" spans="1:35" x14ac:dyDescent="0.2">
      <c r="A1526" s="66">
        <f t="shared" si="71"/>
      </c>
      <c r="B1526" s="4"/>
      <c r="C1526" s="4"/>
      <c r="D1526" s="4"/>
      <c r="E1526" s="4"/>
      <c r="F1526" s="24"/>
      <c r="G1526" s="8"/>
      <c r="H1526" s="9"/>
      <c r="I1526" s="8"/>
      <c r="J1526" s="10"/>
      <c r="K1526" s="8"/>
      <c r="L1526" s="8"/>
      <c r="M1526" s="8"/>
      <c r="N1526" s="11"/>
      <c r="O1526" s="9"/>
      <c r="P1526" s="12"/>
      <c r="Q1526" s="9"/>
      <c r="R1526" s="13"/>
      <c r="S1526" s="11"/>
      <c r="T1526" s="11"/>
      <c r="U1526" s="9"/>
      <c r="V1526" s="9"/>
      <c r="W1526" s="9"/>
      <c r="X1526" s="16"/>
      <c r="AF1526" s="42">
        <f>IF(BUSCAR!$C$8="FECHA NAC.",$G1526,IF(BUSCAR!$C$8="PASAPORTE EXPIRA",$J1526,IF(BUSCAR!$C$8="LICENCIA EMISION",$L1526,IF(BUSCAR!$C$8="LICENCIA EXPIRA",$M1526,""))))</f>
      </c>
      <c r="AG1526" s="42">
        <f>IF($B1526&amp;$C1526&amp;$D1526&amp;$E1526&amp;$H1526="",0,IF(AND(OR(BUSCAR!$J$5="",ISNUMBER(SEARCH(BUSCAR!$J$5,$AI1526))),OR(BUSCAR!$J$6="",ISNUMBER(SEARCH(BUSCAR!$J$6,$AI1526))),OR(BUSCAR!$J$8="",ISNUMBER(SEARCH(BUSCAR!$J$8,$AI1526))),OR(BUSCAR!$J$9="",ISNUMBER(SEARCH(BUSCAR!$J$9,$AI1526))),OR(NOT(BUSCAR!$J$2),AND(ISNUMBER($AF1526),$AF1526&gt;=BUSCAR!$J$3,$AF1526&lt;=BUSCAR!$J$4))),1,0))</f>
      </c>
      <c r="AH1526" s="42">
        <f t="shared" si="69"/>
      </c>
      <c r="AI1526" s="42">
        <f t="shared" si="70"/>
      </c>
    </row>
    <row r="1527" spans="1:35" x14ac:dyDescent="0.2">
      <c r="A1527" s="66">
        <f t="shared" si="71"/>
      </c>
      <c r="B1527" s="4"/>
      <c r="C1527" s="4"/>
      <c r="D1527" s="4"/>
      <c r="E1527" s="4"/>
      <c r="F1527" s="24"/>
      <c r="G1527" s="8"/>
      <c r="H1527" s="9"/>
      <c r="I1527" s="8"/>
      <c r="J1527" s="10"/>
      <c r="K1527" s="8"/>
      <c r="L1527" s="8"/>
      <c r="M1527" s="8"/>
      <c r="N1527" s="11"/>
      <c r="O1527" s="9"/>
      <c r="P1527" s="12"/>
      <c r="Q1527" s="9"/>
      <c r="R1527" s="13"/>
      <c r="S1527" s="11"/>
      <c r="T1527" s="11"/>
      <c r="U1527" s="9"/>
      <c r="V1527" s="9"/>
      <c r="W1527" s="9"/>
      <c r="X1527" s="16"/>
      <c r="AF1527" s="42">
        <f>IF(BUSCAR!$C$8="FECHA NAC.",$G1527,IF(BUSCAR!$C$8="PASAPORTE EXPIRA",$J1527,IF(BUSCAR!$C$8="LICENCIA EMISION",$L1527,IF(BUSCAR!$C$8="LICENCIA EXPIRA",$M1527,""))))</f>
      </c>
      <c r="AG1527" s="42">
        <f>IF($B1527&amp;$C1527&amp;$D1527&amp;$E1527&amp;$H1527="",0,IF(AND(OR(BUSCAR!$J$5="",ISNUMBER(SEARCH(BUSCAR!$J$5,$AI1527))),OR(BUSCAR!$J$6="",ISNUMBER(SEARCH(BUSCAR!$J$6,$AI1527))),OR(BUSCAR!$J$8="",ISNUMBER(SEARCH(BUSCAR!$J$8,$AI1527))),OR(BUSCAR!$J$9="",ISNUMBER(SEARCH(BUSCAR!$J$9,$AI1527))),OR(NOT(BUSCAR!$J$2),AND(ISNUMBER($AF1527),$AF1527&gt;=BUSCAR!$J$3,$AF1527&lt;=BUSCAR!$J$4))),1,0))</f>
      </c>
      <c r="AH1527" s="42">
        <f t="shared" si="69"/>
      </c>
      <c r="AI1527" s="42">
        <f t="shared" si="70"/>
      </c>
    </row>
    <row r="1528" spans="1:35" x14ac:dyDescent="0.2">
      <c r="A1528" s="66">
        <f t="shared" si="71"/>
      </c>
      <c r="B1528" s="4"/>
      <c r="C1528" s="4"/>
      <c r="D1528" s="4"/>
      <c r="E1528" s="4"/>
      <c r="F1528" s="24"/>
      <c r="G1528" s="8"/>
      <c r="H1528" s="9"/>
      <c r="I1528" s="8"/>
      <c r="J1528" s="10"/>
      <c r="K1528" s="8"/>
      <c r="L1528" s="8"/>
      <c r="M1528" s="8"/>
      <c r="N1528" s="11"/>
      <c r="O1528" s="9"/>
      <c r="P1528" s="12"/>
      <c r="Q1528" s="9"/>
      <c r="R1528" s="9"/>
      <c r="S1528" s="11"/>
      <c r="T1528" s="11"/>
      <c r="U1528" s="9"/>
      <c r="V1528" s="9"/>
      <c r="W1528" s="9"/>
      <c r="X1528" s="16"/>
      <c r="AF1528" s="42">
        <f>IF(BUSCAR!$C$8="FECHA NAC.",$G1528,IF(BUSCAR!$C$8="PASAPORTE EXPIRA",$J1528,IF(BUSCAR!$C$8="LICENCIA EMISION",$L1528,IF(BUSCAR!$C$8="LICENCIA EXPIRA",$M1528,""))))</f>
      </c>
      <c r="AG1528" s="42">
        <f>IF($B1528&amp;$C1528&amp;$D1528&amp;$E1528&amp;$H1528="",0,IF(AND(OR(BUSCAR!$J$5="",ISNUMBER(SEARCH(BUSCAR!$J$5,$AI1528))),OR(BUSCAR!$J$6="",ISNUMBER(SEARCH(BUSCAR!$J$6,$AI1528))),OR(BUSCAR!$J$8="",ISNUMBER(SEARCH(BUSCAR!$J$8,$AI1528))),OR(BUSCAR!$J$9="",ISNUMBER(SEARCH(BUSCAR!$J$9,$AI1528))),OR(NOT(BUSCAR!$J$2),AND(ISNUMBER($AF1528),$AF1528&gt;=BUSCAR!$J$3,$AF1528&lt;=BUSCAR!$J$4))),1,0))</f>
      </c>
      <c r="AH1528" s="42">
        <f t="shared" si="69"/>
      </c>
      <c r="AI1528" s="42">
        <f t="shared" si="70"/>
      </c>
    </row>
    <row r="1529" spans="1:35" x14ac:dyDescent="0.2">
      <c r="A1529" s="66">
        <f t="shared" si="71"/>
      </c>
      <c r="B1529" s="4"/>
      <c r="C1529" s="4"/>
      <c r="D1529" s="4"/>
      <c r="E1529" s="4"/>
      <c r="F1529" s="24"/>
      <c r="G1529" s="8"/>
      <c r="H1529" s="9"/>
      <c r="I1529" s="8"/>
      <c r="J1529" s="10"/>
      <c r="K1529" s="8"/>
      <c r="L1529" s="8"/>
      <c r="M1529" s="8"/>
      <c r="N1529" s="11"/>
      <c r="O1529" s="9"/>
      <c r="P1529" s="12"/>
      <c r="Q1529" s="9"/>
      <c r="R1529" s="13"/>
      <c r="S1529" s="11"/>
      <c r="T1529" s="11"/>
      <c r="U1529" s="9"/>
      <c r="V1529" s="9"/>
      <c r="W1529" s="9"/>
      <c r="X1529" s="16"/>
      <c r="AF1529" s="42">
        <f>IF(BUSCAR!$C$8="FECHA NAC.",$G1529,IF(BUSCAR!$C$8="PASAPORTE EXPIRA",$J1529,IF(BUSCAR!$C$8="LICENCIA EMISION",$L1529,IF(BUSCAR!$C$8="LICENCIA EXPIRA",$M1529,""))))</f>
      </c>
      <c r="AG1529" s="42">
        <f>IF($B1529&amp;$C1529&amp;$D1529&amp;$E1529&amp;$H1529="",0,IF(AND(OR(BUSCAR!$J$5="",ISNUMBER(SEARCH(BUSCAR!$J$5,$AI1529))),OR(BUSCAR!$J$6="",ISNUMBER(SEARCH(BUSCAR!$J$6,$AI1529))),OR(BUSCAR!$J$8="",ISNUMBER(SEARCH(BUSCAR!$J$8,$AI1529))),OR(BUSCAR!$J$9="",ISNUMBER(SEARCH(BUSCAR!$J$9,$AI1529))),OR(NOT(BUSCAR!$J$2),AND(ISNUMBER($AF1529),$AF1529&gt;=BUSCAR!$J$3,$AF1529&lt;=BUSCAR!$J$4))),1,0))</f>
      </c>
      <c r="AH1529" s="42">
        <f t="shared" si="69"/>
      </c>
      <c r="AI1529" s="42">
        <f t="shared" si="70"/>
      </c>
    </row>
    <row r="1530" spans="1:35" x14ac:dyDescent="0.2">
      <c r="A1530" s="66">
        <f t="shared" si="71"/>
      </c>
      <c r="B1530" s="4"/>
      <c r="C1530" s="4"/>
      <c r="D1530" s="4"/>
      <c r="E1530" s="4"/>
      <c r="F1530" s="24"/>
      <c r="G1530" s="8"/>
      <c r="H1530" s="9"/>
      <c r="I1530" s="8"/>
      <c r="J1530" s="10"/>
      <c r="K1530" s="8"/>
      <c r="L1530" s="8"/>
      <c r="M1530" s="8"/>
      <c r="N1530" s="11"/>
      <c r="O1530" s="9"/>
      <c r="P1530" s="12"/>
      <c r="Q1530" s="9"/>
      <c r="R1530" s="13"/>
      <c r="S1530" s="11"/>
      <c r="T1530" s="11"/>
      <c r="U1530" s="9"/>
      <c r="V1530" s="9"/>
      <c r="W1530" s="9"/>
      <c r="X1530" s="16"/>
      <c r="AF1530" s="42">
        <f>IF(BUSCAR!$C$8="FECHA NAC.",$G1530,IF(BUSCAR!$C$8="PASAPORTE EXPIRA",$J1530,IF(BUSCAR!$C$8="LICENCIA EMISION",$L1530,IF(BUSCAR!$C$8="LICENCIA EXPIRA",$M1530,""))))</f>
      </c>
      <c r="AG1530" s="42">
        <f>IF($B1530&amp;$C1530&amp;$D1530&amp;$E1530&amp;$H1530="",0,IF(AND(OR(BUSCAR!$J$5="",ISNUMBER(SEARCH(BUSCAR!$J$5,$AI1530))),OR(BUSCAR!$J$6="",ISNUMBER(SEARCH(BUSCAR!$J$6,$AI1530))),OR(BUSCAR!$J$8="",ISNUMBER(SEARCH(BUSCAR!$J$8,$AI1530))),OR(BUSCAR!$J$9="",ISNUMBER(SEARCH(BUSCAR!$J$9,$AI1530))),OR(NOT(BUSCAR!$J$2),AND(ISNUMBER($AF1530),$AF1530&gt;=BUSCAR!$J$3,$AF1530&lt;=BUSCAR!$J$4))),1,0))</f>
      </c>
      <c r="AH1530" s="42">
        <f t="shared" si="69"/>
      </c>
      <c r="AI1530" s="42">
        <f t="shared" si="70"/>
      </c>
    </row>
    <row r="1531" spans="1:35" x14ac:dyDescent="0.2">
      <c r="A1531" s="66">
        <f t="shared" si="71"/>
      </c>
      <c r="B1531" s="4"/>
      <c r="C1531" s="4"/>
      <c r="D1531" s="4"/>
      <c r="E1531" s="4"/>
      <c r="F1531" s="24"/>
      <c r="G1531" s="8"/>
      <c r="H1531" s="9"/>
      <c r="I1531" s="8"/>
      <c r="J1531" s="10"/>
      <c r="K1531" s="9"/>
      <c r="L1531" s="8"/>
      <c r="M1531" s="8"/>
      <c r="N1531" s="11"/>
      <c r="O1531" s="9"/>
      <c r="P1531" s="12"/>
      <c r="Q1531" s="9"/>
      <c r="R1531" s="13"/>
      <c r="S1531" s="11"/>
      <c r="T1531" s="11"/>
      <c r="U1531" s="9"/>
      <c r="V1531" s="9"/>
      <c r="W1531" s="9"/>
      <c r="X1531" s="16"/>
      <c r="AF1531" s="42">
        <f>IF(BUSCAR!$C$8="FECHA NAC.",$G1531,IF(BUSCAR!$C$8="PASAPORTE EXPIRA",$J1531,IF(BUSCAR!$C$8="LICENCIA EMISION",$L1531,IF(BUSCAR!$C$8="LICENCIA EXPIRA",$M1531,""))))</f>
      </c>
      <c r="AG1531" s="42">
        <f>IF($B1531&amp;$C1531&amp;$D1531&amp;$E1531&amp;$H1531="",0,IF(AND(OR(BUSCAR!$J$5="",ISNUMBER(SEARCH(BUSCAR!$J$5,$AI1531))),OR(BUSCAR!$J$6="",ISNUMBER(SEARCH(BUSCAR!$J$6,$AI1531))),OR(BUSCAR!$J$8="",ISNUMBER(SEARCH(BUSCAR!$J$8,$AI1531))),OR(BUSCAR!$J$9="",ISNUMBER(SEARCH(BUSCAR!$J$9,$AI1531))),OR(NOT(BUSCAR!$J$2),AND(ISNUMBER($AF1531),$AF1531&gt;=BUSCAR!$J$3,$AF1531&lt;=BUSCAR!$J$4))),1,0))</f>
      </c>
      <c r="AH1531" s="42">
        <f t="shared" si="69"/>
      </c>
      <c r="AI1531" s="42">
        <f t="shared" si="70"/>
      </c>
    </row>
    <row r="1532" spans="1:35" x14ac:dyDescent="0.2">
      <c r="A1532" s="66">
        <f t="shared" si="71"/>
      </c>
      <c r="B1532" s="4"/>
      <c r="C1532" s="4"/>
      <c r="D1532" s="4"/>
      <c r="E1532" s="4"/>
      <c r="F1532" s="24"/>
      <c r="G1532" s="8"/>
      <c r="H1532" s="9"/>
      <c r="I1532" s="8"/>
      <c r="J1532" s="10"/>
      <c r="K1532" s="8"/>
      <c r="L1532" s="8"/>
      <c r="M1532" s="8"/>
      <c r="N1532" s="11"/>
      <c r="O1532" s="9"/>
      <c r="P1532" s="12"/>
      <c r="Q1532" s="9"/>
      <c r="R1532" s="13"/>
      <c r="S1532" s="11"/>
      <c r="T1532" s="11"/>
      <c r="U1532" s="9"/>
      <c r="V1532" s="9"/>
      <c r="W1532" s="9"/>
      <c r="X1532" s="16"/>
      <c r="AF1532" s="42">
        <f>IF(BUSCAR!$C$8="FECHA NAC.",$G1532,IF(BUSCAR!$C$8="PASAPORTE EXPIRA",$J1532,IF(BUSCAR!$C$8="LICENCIA EMISION",$L1532,IF(BUSCAR!$C$8="LICENCIA EXPIRA",$M1532,""))))</f>
      </c>
      <c r="AG1532" s="42">
        <f>IF($B1532&amp;$C1532&amp;$D1532&amp;$E1532&amp;$H1532="",0,IF(AND(OR(BUSCAR!$J$5="",ISNUMBER(SEARCH(BUSCAR!$J$5,$AI1532))),OR(BUSCAR!$J$6="",ISNUMBER(SEARCH(BUSCAR!$J$6,$AI1532))),OR(BUSCAR!$J$8="",ISNUMBER(SEARCH(BUSCAR!$J$8,$AI1532))),OR(BUSCAR!$J$9="",ISNUMBER(SEARCH(BUSCAR!$J$9,$AI1532))),OR(NOT(BUSCAR!$J$2),AND(ISNUMBER($AF1532),$AF1532&gt;=BUSCAR!$J$3,$AF1532&lt;=BUSCAR!$J$4))),1,0))</f>
      </c>
      <c r="AH1532" s="42">
        <f t="shared" si="69"/>
      </c>
      <c r="AI1532" s="42">
        <f t="shared" si="70"/>
      </c>
    </row>
    <row r="1533" spans="1:35" x14ac:dyDescent="0.2">
      <c r="A1533" s="66">
        <f t="shared" si="71"/>
      </c>
      <c r="B1533" s="4"/>
      <c r="C1533" s="4"/>
      <c r="D1533" s="4"/>
      <c r="E1533" s="4"/>
      <c r="F1533" s="24"/>
      <c r="G1533" s="8"/>
      <c r="H1533" s="9"/>
      <c r="I1533" s="8"/>
      <c r="J1533" s="10"/>
      <c r="K1533" s="8"/>
      <c r="L1533" s="8"/>
      <c r="M1533" s="8"/>
      <c r="N1533" s="11"/>
      <c r="O1533" s="9"/>
      <c r="P1533" s="12"/>
      <c r="Q1533" s="9"/>
      <c r="R1533" s="13"/>
      <c r="S1533" s="11"/>
      <c r="T1533" s="11"/>
      <c r="U1533" s="9"/>
      <c r="V1533" s="9"/>
      <c r="W1533" s="9"/>
      <c r="X1533" s="16"/>
      <c r="AF1533" s="42">
        <f>IF(BUSCAR!$C$8="FECHA NAC.",$G1533,IF(BUSCAR!$C$8="PASAPORTE EXPIRA",$J1533,IF(BUSCAR!$C$8="LICENCIA EMISION",$L1533,IF(BUSCAR!$C$8="LICENCIA EXPIRA",$M1533,""))))</f>
      </c>
      <c r="AG1533" s="42">
        <f>IF($B1533&amp;$C1533&amp;$D1533&amp;$E1533&amp;$H1533="",0,IF(AND(OR(BUSCAR!$J$5="",ISNUMBER(SEARCH(BUSCAR!$J$5,$AI1533))),OR(BUSCAR!$J$6="",ISNUMBER(SEARCH(BUSCAR!$J$6,$AI1533))),OR(BUSCAR!$J$8="",ISNUMBER(SEARCH(BUSCAR!$J$8,$AI1533))),OR(BUSCAR!$J$9="",ISNUMBER(SEARCH(BUSCAR!$J$9,$AI1533))),OR(NOT(BUSCAR!$J$2),AND(ISNUMBER($AF1533),$AF1533&gt;=BUSCAR!$J$3,$AF1533&lt;=BUSCAR!$J$4))),1,0))</f>
      </c>
      <c r="AH1533" s="42">
        <f t="shared" si="69"/>
      </c>
      <c r="AI1533" s="42">
        <f t="shared" si="70"/>
      </c>
    </row>
    <row r="1534" spans="1:35" x14ac:dyDescent="0.2">
      <c r="A1534" s="66">
        <f t="shared" si="71"/>
      </c>
      <c r="B1534" s="4"/>
      <c r="C1534" s="4"/>
      <c r="D1534" s="4"/>
      <c r="E1534" s="4"/>
      <c r="F1534" s="24"/>
      <c r="G1534" s="8"/>
      <c r="H1534" s="9"/>
      <c r="I1534" s="8"/>
      <c r="J1534" s="10"/>
      <c r="K1534" s="8"/>
      <c r="L1534" s="8"/>
      <c r="M1534" s="8"/>
      <c r="N1534" s="11"/>
      <c r="O1534" s="9"/>
      <c r="P1534" s="12"/>
      <c r="Q1534" s="9"/>
      <c r="R1534" s="13"/>
      <c r="S1534" s="11"/>
      <c r="T1534" s="11"/>
      <c r="U1534" s="9"/>
      <c r="V1534" s="9"/>
      <c r="W1534" s="9"/>
      <c r="X1534" s="16"/>
      <c r="AF1534" s="42">
        <f>IF(BUSCAR!$C$8="FECHA NAC.",$G1534,IF(BUSCAR!$C$8="PASAPORTE EXPIRA",$J1534,IF(BUSCAR!$C$8="LICENCIA EMISION",$L1534,IF(BUSCAR!$C$8="LICENCIA EXPIRA",$M1534,""))))</f>
      </c>
      <c r="AG1534" s="42">
        <f>IF($B1534&amp;$C1534&amp;$D1534&amp;$E1534&amp;$H1534="",0,IF(AND(OR(BUSCAR!$J$5="",ISNUMBER(SEARCH(BUSCAR!$J$5,$AI1534))),OR(BUSCAR!$J$6="",ISNUMBER(SEARCH(BUSCAR!$J$6,$AI1534))),OR(BUSCAR!$J$8="",ISNUMBER(SEARCH(BUSCAR!$J$8,$AI1534))),OR(BUSCAR!$J$9="",ISNUMBER(SEARCH(BUSCAR!$J$9,$AI1534))),OR(NOT(BUSCAR!$J$2),AND(ISNUMBER($AF1534),$AF1534&gt;=BUSCAR!$J$3,$AF1534&lt;=BUSCAR!$J$4))),1,0))</f>
      </c>
      <c r="AH1534" s="42">
        <f t="shared" si="69"/>
      </c>
      <c r="AI1534" s="42">
        <f t="shared" si="70"/>
      </c>
    </row>
    <row r="1535" spans="1:35" x14ac:dyDescent="0.2">
      <c r="A1535" s="66">
        <f t="shared" si="71"/>
      </c>
      <c r="B1535" s="4"/>
      <c r="C1535" s="4"/>
      <c r="D1535" s="4"/>
      <c r="E1535" s="4"/>
      <c r="F1535" s="24"/>
      <c r="G1535" s="8"/>
      <c r="H1535" s="9"/>
      <c r="I1535" s="8"/>
      <c r="J1535" s="10"/>
      <c r="K1535" s="8"/>
      <c r="L1535" s="8"/>
      <c r="M1535" s="8"/>
      <c r="N1535" s="11"/>
      <c r="O1535" s="9"/>
      <c r="P1535" s="12"/>
      <c r="Q1535" s="9"/>
      <c r="R1535" s="13"/>
      <c r="S1535" s="11"/>
      <c r="T1535" s="11"/>
      <c r="U1535" s="9"/>
      <c r="V1535" s="9"/>
      <c r="W1535" s="9"/>
      <c r="X1535" s="16"/>
      <c r="AF1535" s="42">
        <f>IF(BUSCAR!$C$8="FECHA NAC.",$G1535,IF(BUSCAR!$C$8="PASAPORTE EXPIRA",$J1535,IF(BUSCAR!$C$8="LICENCIA EMISION",$L1535,IF(BUSCAR!$C$8="LICENCIA EXPIRA",$M1535,""))))</f>
      </c>
      <c r="AG1535" s="42">
        <f>IF($B1535&amp;$C1535&amp;$D1535&amp;$E1535&amp;$H1535="",0,IF(AND(OR(BUSCAR!$J$5="",ISNUMBER(SEARCH(BUSCAR!$J$5,$AI1535))),OR(BUSCAR!$J$6="",ISNUMBER(SEARCH(BUSCAR!$J$6,$AI1535))),OR(BUSCAR!$J$8="",ISNUMBER(SEARCH(BUSCAR!$J$8,$AI1535))),OR(BUSCAR!$J$9="",ISNUMBER(SEARCH(BUSCAR!$J$9,$AI1535))),OR(NOT(BUSCAR!$J$2),AND(ISNUMBER($AF1535),$AF1535&gt;=BUSCAR!$J$3,$AF1535&lt;=BUSCAR!$J$4))),1,0))</f>
      </c>
      <c r="AH1535" s="42">
        <f t="shared" si="69"/>
      </c>
      <c r="AI1535" s="42">
        <f t="shared" si="70"/>
      </c>
    </row>
    <row r="1536" spans="1:35" x14ac:dyDescent="0.2">
      <c r="A1536" s="66">
        <f t="shared" si="71"/>
      </c>
      <c r="B1536" s="4"/>
      <c r="C1536" s="4"/>
      <c r="D1536" s="4"/>
      <c r="E1536" s="4"/>
      <c r="F1536" s="24"/>
      <c r="G1536" s="8"/>
      <c r="H1536" s="9"/>
      <c r="I1536" s="8"/>
      <c r="J1536" s="10"/>
      <c r="K1536" s="8"/>
      <c r="L1536" s="8"/>
      <c r="M1536" s="8"/>
      <c r="N1536" s="11"/>
      <c r="O1536" s="9"/>
      <c r="P1536" s="12"/>
      <c r="Q1536" s="9"/>
      <c r="R1536" s="13"/>
      <c r="S1536" s="11"/>
      <c r="T1536" s="11"/>
      <c r="U1536" s="9"/>
      <c r="V1536" s="9"/>
      <c r="W1536" s="9"/>
      <c r="X1536" s="16"/>
      <c r="AF1536" s="42">
        <f>IF(BUSCAR!$C$8="FECHA NAC.",$G1536,IF(BUSCAR!$C$8="PASAPORTE EXPIRA",$J1536,IF(BUSCAR!$C$8="LICENCIA EMISION",$L1536,IF(BUSCAR!$C$8="LICENCIA EXPIRA",$M1536,""))))</f>
      </c>
      <c r="AG1536" s="42">
        <f>IF($B1536&amp;$C1536&amp;$D1536&amp;$E1536&amp;$H1536="",0,IF(AND(OR(BUSCAR!$J$5="",ISNUMBER(SEARCH(BUSCAR!$J$5,$AI1536))),OR(BUSCAR!$J$6="",ISNUMBER(SEARCH(BUSCAR!$J$6,$AI1536))),OR(BUSCAR!$J$8="",ISNUMBER(SEARCH(BUSCAR!$J$8,$AI1536))),OR(BUSCAR!$J$9="",ISNUMBER(SEARCH(BUSCAR!$J$9,$AI1536))),OR(NOT(BUSCAR!$J$2),AND(ISNUMBER($AF1536),$AF1536&gt;=BUSCAR!$J$3,$AF1536&lt;=BUSCAR!$J$4))),1,0))</f>
      </c>
      <c r="AH1536" s="42">
        <f t="shared" si="69"/>
      </c>
      <c r="AI1536" s="42">
        <f t="shared" si="70"/>
      </c>
    </row>
    <row r="1537" spans="1:35" x14ac:dyDescent="0.2">
      <c r="A1537" s="66">
        <f t="shared" si="71"/>
      </c>
      <c r="B1537" s="4"/>
      <c r="C1537" s="4"/>
      <c r="D1537" s="4"/>
      <c r="E1537" s="4"/>
      <c r="F1537" s="24"/>
      <c r="G1537" s="8"/>
      <c r="H1537" s="9"/>
      <c r="I1537" s="8"/>
      <c r="J1537" s="10"/>
      <c r="K1537" s="8"/>
      <c r="L1537" s="8"/>
      <c r="M1537" s="8"/>
      <c r="N1537" s="11"/>
      <c r="O1537" s="9"/>
      <c r="P1537" s="12"/>
      <c r="Q1537" s="9"/>
      <c r="R1537" s="13"/>
      <c r="S1537" s="11"/>
      <c r="T1537" s="11"/>
      <c r="U1537" s="9"/>
      <c r="V1537" s="9"/>
      <c r="W1537" s="9"/>
      <c r="X1537" s="16"/>
      <c r="AF1537" s="42">
        <f>IF(BUSCAR!$C$8="FECHA NAC.",$G1537,IF(BUSCAR!$C$8="PASAPORTE EXPIRA",$J1537,IF(BUSCAR!$C$8="LICENCIA EMISION",$L1537,IF(BUSCAR!$C$8="LICENCIA EXPIRA",$M1537,""))))</f>
      </c>
      <c r="AG1537" s="42">
        <f>IF($B1537&amp;$C1537&amp;$D1537&amp;$E1537&amp;$H1537="",0,IF(AND(OR(BUSCAR!$J$5="",ISNUMBER(SEARCH(BUSCAR!$J$5,$AI1537))),OR(BUSCAR!$J$6="",ISNUMBER(SEARCH(BUSCAR!$J$6,$AI1537))),OR(BUSCAR!$J$8="",ISNUMBER(SEARCH(BUSCAR!$J$8,$AI1537))),OR(BUSCAR!$J$9="",ISNUMBER(SEARCH(BUSCAR!$J$9,$AI1537))),OR(NOT(BUSCAR!$J$2),AND(ISNUMBER($AF1537),$AF1537&gt;=BUSCAR!$J$3,$AF1537&lt;=BUSCAR!$J$4))),1,0))</f>
      </c>
      <c r="AH1537" s="42">
        <f t="shared" si="69"/>
      </c>
      <c r="AI1537" s="42">
        <f t="shared" si="70"/>
      </c>
    </row>
    <row r="1538" spans="1:35" x14ac:dyDescent="0.2">
      <c r="A1538" s="66">
        <f t="shared" si="71"/>
      </c>
      <c r="B1538" s="4"/>
      <c r="C1538" s="4"/>
      <c r="D1538" s="4"/>
      <c r="E1538" s="4"/>
      <c r="F1538" s="24"/>
      <c r="G1538" s="8"/>
      <c r="H1538" s="9"/>
      <c r="I1538" s="8"/>
      <c r="J1538" s="10"/>
      <c r="K1538" s="8"/>
      <c r="L1538" s="8"/>
      <c r="M1538" s="8"/>
      <c r="N1538" s="11"/>
      <c r="O1538" s="9"/>
      <c r="P1538" s="12"/>
      <c r="Q1538" s="9"/>
      <c r="R1538" s="13"/>
      <c r="S1538" s="11"/>
      <c r="T1538" s="11"/>
      <c r="U1538" s="9"/>
      <c r="V1538" s="9"/>
      <c r="W1538" s="9"/>
      <c r="X1538" s="16"/>
      <c r="AF1538" s="42">
        <f>IF(BUSCAR!$C$8="FECHA NAC.",$G1538,IF(BUSCAR!$C$8="PASAPORTE EXPIRA",$J1538,IF(BUSCAR!$C$8="LICENCIA EMISION",$L1538,IF(BUSCAR!$C$8="LICENCIA EXPIRA",$M1538,""))))</f>
      </c>
      <c r="AG1538" s="42">
        <f>IF($B1538&amp;$C1538&amp;$D1538&amp;$E1538&amp;$H1538="",0,IF(AND(OR(BUSCAR!$J$5="",ISNUMBER(SEARCH(BUSCAR!$J$5,$AI1538))),OR(BUSCAR!$J$6="",ISNUMBER(SEARCH(BUSCAR!$J$6,$AI1538))),OR(BUSCAR!$J$8="",ISNUMBER(SEARCH(BUSCAR!$J$8,$AI1538))),OR(BUSCAR!$J$9="",ISNUMBER(SEARCH(BUSCAR!$J$9,$AI1538))),OR(NOT(BUSCAR!$J$2),AND(ISNUMBER($AF1538),$AF1538&gt;=BUSCAR!$J$3,$AF1538&lt;=BUSCAR!$J$4))),1,0))</f>
      </c>
      <c r="AH1538" s="42">
        <f t="shared" si="69"/>
      </c>
      <c r="AI1538" s="42">
        <f t="shared" si="70"/>
      </c>
    </row>
    <row r="1539" spans="1:35" x14ac:dyDescent="0.2">
      <c r="A1539" s="66">
        <f t="shared" si="71"/>
      </c>
      <c r="B1539" s="4"/>
      <c r="C1539" s="4"/>
      <c r="D1539" s="4"/>
      <c r="E1539" s="4"/>
      <c r="F1539" s="24"/>
      <c r="G1539" s="8"/>
      <c r="H1539" s="9"/>
      <c r="I1539" s="8"/>
      <c r="J1539" s="10"/>
      <c r="K1539" s="8"/>
      <c r="L1539" s="8"/>
      <c r="M1539" s="8"/>
      <c r="N1539" s="11"/>
      <c r="O1539" s="9"/>
      <c r="P1539" s="12"/>
      <c r="Q1539" s="9"/>
      <c r="R1539" s="13"/>
      <c r="S1539" s="11"/>
      <c r="T1539" s="11"/>
      <c r="U1539" s="9"/>
      <c r="V1539" s="9"/>
      <c r="W1539" s="9"/>
      <c r="X1539" s="16"/>
      <c r="AF1539" s="42">
        <f>IF(BUSCAR!$C$8="FECHA NAC.",$G1539,IF(BUSCAR!$C$8="PASAPORTE EXPIRA",$J1539,IF(BUSCAR!$C$8="LICENCIA EMISION",$L1539,IF(BUSCAR!$C$8="LICENCIA EXPIRA",$M1539,""))))</f>
      </c>
      <c r="AG1539" s="42">
        <f>IF($B1539&amp;$C1539&amp;$D1539&amp;$E1539&amp;$H1539="",0,IF(AND(OR(BUSCAR!$J$5="",ISNUMBER(SEARCH(BUSCAR!$J$5,$AI1539))),OR(BUSCAR!$J$6="",ISNUMBER(SEARCH(BUSCAR!$J$6,$AI1539))),OR(BUSCAR!$J$8="",ISNUMBER(SEARCH(BUSCAR!$J$8,$AI1539))),OR(BUSCAR!$J$9="",ISNUMBER(SEARCH(BUSCAR!$J$9,$AI1539))),OR(NOT(BUSCAR!$J$2),AND(ISNUMBER($AF1539),$AF1539&gt;=BUSCAR!$J$3,$AF1539&lt;=BUSCAR!$J$4))),1,0))</f>
      </c>
      <c r="AH1539" s="42">
        <f t="shared" ref="AH1539:AH1602" si="72">AH1538+AG1539</f>
      </c>
      <c r="AI1539" s="42">
        <f t="shared" ref="AI1539:AI1602" si="73">IF($B1539&amp;" "&amp;$C1539&amp;" "&amp;$D1539&amp;" "&amp;$E1539&amp;" "&amp;$H1539&amp;" "&amp;$K1539&amp;" "&amp;$R1539&amp;" "&amp;$AC1539&amp;" "&amp;$AD1539="","",SUBSTITUTE(SUBSTITUTE(SUBSTITUTE(SUBSTITUTE(SUBSTITUTE(SUBSTITUTE(SUBSTITUTE(UPPER($B1539&amp;" "&amp;$C1539&amp;" "&amp;$D1539&amp;" "&amp;$E1539&amp;" "&amp;$H1539&amp;" "&amp;$K1539&amp;" "&amp;$R1539&amp;" "&amp;$AC1539&amp;" "&amp;$AD1539),"Á","A"),"É","E"),"Í","I"),"Ó","O"),"Ú","U"),"Ü","U"),"Ñ","N"))</f>
      </c>
    </row>
    <row r="1540" spans="1:35" x14ac:dyDescent="0.2">
      <c r="A1540" s="66">
        <f t="shared" ref="A1540:A1603" si="74">A1539+1</f>
      </c>
      <c r="B1540" s="4"/>
      <c r="C1540" s="4"/>
      <c r="D1540" s="4"/>
      <c r="E1540" s="4"/>
      <c r="F1540" s="24"/>
      <c r="G1540" s="8"/>
      <c r="H1540" s="9"/>
      <c r="I1540" s="8"/>
      <c r="J1540" s="10"/>
      <c r="K1540" s="8"/>
      <c r="L1540" s="8"/>
      <c r="M1540" s="8"/>
      <c r="N1540" s="11"/>
      <c r="O1540" s="9"/>
      <c r="P1540" s="12"/>
      <c r="Q1540" s="9"/>
      <c r="R1540" s="13"/>
      <c r="S1540" s="11"/>
      <c r="T1540" s="11"/>
      <c r="U1540" s="9"/>
      <c r="V1540" s="9"/>
      <c r="W1540" s="9"/>
      <c r="X1540" s="16"/>
      <c r="AF1540" s="42">
        <f>IF(BUSCAR!$C$8="FECHA NAC.",$G1540,IF(BUSCAR!$C$8="PASAPORTE EXPIRA",$J1540,IF(BUSCAR!$C$8="LICENCIA EMISION",$L1540,IF(BUSCAR!$C$8="LICENCIA EXPIRA",$M1540,""))))</f>
      </c>
      <c r="AG1540" s="42">
        <f>IF($B1540&amp;$C1540&amp;$D1540&amp;$E1540&amp;$H1540="",0,IF(AND(OR(BUSCAR!$J$5="",ISNUMBER(SEARCH(BUSCAR!$J$5,$AI1540))),OR(BUSCAR!$J$6="",ISNUMBER(SEARCH(BUSCAR!$J$6,$AI1540))),OR(BUSCAR!$J$8="",ISNUMBER(SEARCH(BUSCAR!$J$8,$AI1540))),OR(BUSCAR!$J$9="",ISNUMBER(SEARCH(BUSCAR!$J$9,$AI1540))),OR(NOT(BUSCAR!$J$2),AND(ISNUMBER($AF1540),$AF1540&gt;=BUSCAR!$J$3,$AF1540&lt;=BUSCAR!$J$4))),1,0))</f>
      </c>
      <c r="AH1540" s="42">
        <f t="shared" si="72"/>
      </c>
      <c r="AI1540" s="42">
        <f t="shared" si="73"/>
      </c>
    </row>
    <row r="1541" spans="1:35" x14ac:dyDescent="0.2">
      <c r="A1541" s="66">
        <f t="shared" si="74"/>
      </c>
      <c r="B1541" s="4"/>
      <c r="C1541" s="4"/>
      <c r="D1541" s="4"/>
      <c r="E1541" s="4"/>
      <c r="F1541" s="24"/>
      <c r="G1541" s="8"/>
      <c r="H1541" s="9"/>
      <c r="I1541" s="8"/>
      <c r="J1541" s="10"/>
      <c r="K1541" s="8"/>
      <c r="L1541" s="8"/>
      <c r="M1541" s="8"/>
      <c r="N1541" s="11"/>
      <c r="O1541" s="9"/>
      <c r="P1541" s="12"/>
      <c r="Q1541" s="9"/>
      <c r="R1541" s="13"/>
      <c r="S1541" s="11"/>
      <c r="T1541" s="11"/>
      <c r="U1541" s="9"/>
      <c r="V1541" s="9"/>
      <c r="W1541" s="9"/>
      <c r="X1541" s="16"/>
      <c r="AF1541" s="42">
        <f>IF(BUSCAR!$C$8="FECHA NAC.",$G1541,IF(BUSCAR!$C$8="PASAPORTE EXPIRA",$J1541,IF(BUSCAR!$C$8="LICENCIA EMISION",$L1541,IF(BUSCAR!$C$8="LICENCIA EXPIRA",$M1541,""))))</f>
      </c>
      <c r="AG1541" s="42">
        <f>IF($B1541&amp;$C1541&amp;$D1541&amp;$E1541&amp;$H1541="",0,IF(AND(OR(BUSCAR!$J$5="",ISNUMBER(SEARCH(BUSCAR!$J$5,$AI1541))),OR(BUSCAR!$J$6="",ISNUMBER(SEARCH(BUSCAR!$J$6,$AI1541))),OR(BUSCAR!$J$8="",ISNUMBER(SEARCH(BUSCAR!$J$8,$AI1541))),OR(BUSCAR!$J$9="",ISNUMBER(SEARCH(BUSCAR!$J$9,$AI1541))),OR(NOT(BUSCAR!$J$2),AND(ISNUMBER($AF1541),$AF1541&gt;=BUSCAR!$J$3,$AF1541&lt;=BUSCAR!$J$4))),1,0))</f>
      </c>
      <c r="AH1541" s="42">
        <f t="shared" si="72"/>
      </c>
      <c r="AI1541" s="42">
        <f t="shared" si="73"/>
      </c>
    </row>
    <row r="1542" spans="1:35" x14ac:dyDescent="0.2">
      <c r="A1542" s="66">
        <f t="shared" si="74"/>
      </c>
      <c r="B1542" s="4"/>
      <c r="C1542" s="4"/>
      <c r="D1542" s="4"/>
      <c r="E1542" s="4"/>
      <c r="F1542" s="24"/>
      <c r="G1542" s="8"/>
      <c r="H1542" s="9"/>
      <c r="I1542" s="8"/>
      <c r="J1542" s="10"/>
      <c r="K1542" s="8"/>
      <c r="L1542" s="8"/>
      <c r="M1542" s="8"/>
      <c r="N1542" s="11"/>
      <c r="O1542" s="9"/>
      <c r="P1542" s="12"/>
      <c r="Q1542" s="9"/>
      <c r="R1542" s="13"/>
      <c r="S1542" s="11"/>
      <c r="T1542" s="11"/>
      <c r="U1542" s="9"/>
      <c r="V1542" s="9"/>
      <c r="W1542" s="9"/>
      <c r="X1542" s="16"/>
      <c r="AF1542" s="42">
        <f>IF(BUSCAR!$C$8="FECHA NAC.",$G1542,IF(BUSCAR!$C$8="PASAPORTE EXPIRA",$J1542,IF(BUSCAR!$C$8="LICENCIA EMISION",$L1542,IF(BUSCAR!$C$8="LICENCIA EXPIRA",$M1542,""))))</f>
      </c>
      <c r="AG1542" s="42">
        <f>IF($B1542&amp;$C1542&amp;$D1542&amp;$E1542&amp;$H1542="",0,IF(AND(OR(BUSCAR!$J$5="",ISNUMBER(SEARCH(BUSCAR!$J$5,$AI1542))),OR(BUSCAR!$J$6="",ISNUMBER(SEARCH(BUSCAR!$J$6,$AI1542))),OR(BUSCAR!$J$8="",ISNUMBER(SEARCH(BUSCAR!$J$8,$AI1542))),OR(BUSCAR!$J$9="",ISNUMBER(SEARCH(BUSCAR!$J$9,$AI1542))),OR(NOT(BUSCAR!$J$2),AND(ISNUMBER($AF1542),$AF1542&gt;=BUSCAR!$J$3,$AF1542&lt;=BUSCAR!$J$4))),1,0))</f>
      </c>
      <c r="AH1542" s="42">
        <f t="shared" si="72"/>
      </c>
      <c r="AI1542" s="42">
        <f t="shared" si="73"/>
      </c>
    </row>
    <row r="1543" spans="1:35" x14ac:dyDescent="0.2">
      <c r="A1543" s="66">
        <f t="shared" si="74"/>
      </c>
      <c r="B1543" s="4"/>
      <c r="C1543" s="4"/>
      <c r="D1543" s="4"/>
      <c r="E1543" s="4"/>
      <c r="F1543" s="24"/>
      <c r="G1543" s="8"/>
      <c r="H1543" s="9"/>
      <c r="I1543" s="8"/>
      <c r="J1543" s="10"/>
      <c r="K1543" s="8"/>
      <c r="L1543" s="8"/>
      <c r="M1543" s="8"/>
      <c r="N1543" s="11"/>
      <c r="O1543" s="9"/>
      <c r="P1543" s="12"/>
      <c r="Q1543" s="9"/>
      <c r="R1543" s="13"/>
      <c r="S1543" s="11"/>
      <c r="T1543" s="11"/>
      <c r="U1543" s="9"/>
      <c r="V1543" s="9"/>
      <c r="W1543" s="9"/>
      <c r="X1543" s="16"/>
      <c r="AF1543" s="42">
        <f>IF(BUSCAR!$C$8="FECHA NAC.",$G1543,IF(BUSCAR!$C$8="PASAPORTE EXPIRA",$J1543,IF(BUSCAR!$C$8="LICENCIA EMISION",$L1543,IF(BUSCAR!$C$8="LICENCIA EXPIRA",$M1543,""))))</f>
      </c>
      <c r="AG1543" s="42">
        <f>IF($B1543&amp;$C1543&amp;$D1543&amp;$E1543&amp;$H1543="",0,IF(AND(OR(BUSCAR!$J$5="",ISNUMBER(SEARCH(BUSCAR!$J$5,$AI1543))),OR(BUSCAR!$J$6="",ISNUMBER(SEARCH(BUSCAR!$J$6,$AI1543))),OR(BUSCAR!$J$8="",ISNUMBER(SEARCH(BUSCAR!$J$8,$AI1543))),OR(BUSCAR!$J$9="",ISNUMBER(SEARCH(BUSCAR!$J$9,$AI1543))),OR(NOT(BUSCAR!$J$2),AND(ISNUMBER($AF1543),$AF1543&gt;=BUSCAR!$J$3,$AF1543&lt;=BUSCAR!$J$4))),1,0))</f>
      </c>
      <c r="AH1543" s="42">
        <f t="shared" si="72"/>
      </c>
      <c r="AI1543" s="42">
        <f t="shared" si="73"/>
      </c>
    </row>
    <row r="1544" spans="1:35" x14ac:dyDescent="0.2">
      <c r="A1544" s="66">
        <f t="shared" si="74"/>
      </c>
      <c r="B1544" s="4"/>
      <c r="C1544" s="4"/>
      <c r="D1544" s="4"/>
      <c r="E1544" s="4"/>
      <c r="F1544" s="24"/>
      <c r="G1544" s="8"/>
      <c r="H1544" s="9"/>
      <c r="I1544" s="8"/>
      <c r="J1544" s="10"/>
      <c r="K1544" s="8"/>
      <c r="L1544" s="8"/>
      <c r="M1544" s="8"/>
      <c r="N1544" s="11"/>
      <c r="O1544" s="9"/>
      <c r="P1544" s="12"/>
      <c r="Q1544" s="9"/>
      <c r="R1544" s="13"/>
      <c r="S1544" s="11"/>
      <c r="T1544" s="11"/>
      <c r="U1544" s="9"/>
      <c r="V1544" s="9"/>
      <c r="W1544" s="9"/>
      <c r="X1544" s="16"/>
      <c r="AF1544" s="42">
        <f>IF(BUSCAR!$C$8="FECHA NAC.",$G1544,IF(BUSCAR!$C$8="PASAPORTE EXPIRA",$J1544,IF(BUSCAR!$C$8="LICENCIA EMISION",$L1544,IF(BUSCAR!$C$8="LICENCIA EXPIRA",$M1544,""))))</f>
      </c>
      <c r="AG1544" s="42">
        <f>IF($B1544&amp;$C1544&amp;$D1544&amp;$E1544&amp;$H1544="",0,IF(AND(OR(BUSCAR!$J$5="",ISNUMBER(SEARCH(BUSCAR!$J$5,$AI1544))),OR(BUSCAR!$J$6="",ISNUMBER(SEARCH(BUSCAR!$J$6,$AI1544))),OR(BUSCAR!$J$8="",ISNUMBER(SEARCH(BUSCAR!$J$8,$AI1544))),OR(BUSCAR!$J$9="",ISNUMBER(SEARCH(BUSCAR!$J$9,$AI1544))),OR(NOT(BUSCAR!$J$2),AND(ISNUMBER($AF1544),$AF1544&gt;=BUSCAR!$J$3,$AF1544&lt;=BUSCAR!$J$4))),1,0))</f>
      </c>
      <c r="AH1544" s="42">
        <f t="shared" si="72"/>
      </c>
      <c r="AI1544" s="42">
        <f t="shared" si="73"/>
      </c>
    </row>
    <row r="1545" spans="1:35" x14ac:dyDescent="0.2">
      <c r="A1545" s="66">
        <f t="shared" si="74"/>
      </c>
      <c r="B1545" s="4"/>
      <c r="C1545" s="4"/>
      <c r="D1545" s="4"/>
      <c r="E1545" s="4"/>
      <c r="F1545" s="24"/>
      <c r="G1545" s="8"/>
      <c r="H1545" s="9"/>
      <c r="I1545" s="8"/>
      <c r="J1545" s="10"/>
      <c r="K1545" s="8"/>
      <c r="L1545" s="8"/>
      <c r="M1545" s="8"/>
      <c r="N1545" s="11"/>
      <c r="O1545" s="9"/>
      <c r="P1545" s="12"/>
      <c r="Q1545" s="9"/>
      <c r="R1545" s="13"/>
      <c r="S1545" s="11"/>
      <c r="T1545" s="11"/>
      <c r="U1545" s="9"/>
      <c r="V1545" s="9"/>
      <c r="W1545" s="9"/>
      <c r="X1545" s="16"/>
      <c r="AF1545" s="42">
        <f>IF(BUSCAR!$C$8="FECHA NAC.",$G1545,IF(BUSCAR!$C$8="PASAPORTE EXPIRA",$J1545,IF(BUSCAR!$C$8="LICENCIA EMISION",$L1545,IF(BUSCAR!$C$8="LICENCIA EXPIRA",$M1545,""))))</f>
      </c>
      <c r="AG1545" s="42">
        <f>IF($B1545&amp;$C1545&amp;$D1545&amp;$E1545&amp;$H1545="",0,IF(AND(OR(BUSCAR!$J$5="",ISNUMBER(SEARCH(BUSCAR!$J$5,$AI1545))),OR(BUSCAR!$J$6="",ISNUMBER(SEARCH(BUSCAR!$J$6,$AI1545))),OR(BUSCAR!$J$8="",ISNUMBER(SEARCH(BUSCAR!$J$8,$AI1545))),OR(BUSCAR!$J$9="",ISNUMBER(SEARCH(BUSCAR!$J$9,$AI1545))),OR(NOT(BUSCAR!$J$2),AND(ISNUMBER($AF1545),$AF1545&gt;=BUSCAR!$J$3,$AF1545&lt;=BUSCAR!$J$4))),1,0))</f>
      </c>
      <c r="AH1545" s="42">
        <f t="shared" si="72"/>
      </c>
      <c r="AI1545" s="42">
        <f t="shared" si="73"/>
      </c>
    </row>
    <row r="1546" spans="1:35" x14ac:dyDescent="0.2">
      <c r="A1546" s="66">
        <f t="shared" si="74"/>
      </c>
      <c r="B1546" s="4"/>
      <c r="C1546" s="4"/>
      <c r="D1546" s="4"/>
      <c r="E1546" s="4"/>
      <c r="F1546" s="24"/>
      <c r="G1546" s="8"/>
      <c r="H1546" s="9"/>
      <c r="I1546" s="8"/>
      <c r="J1546" s="10"/>
      <c r="K1546" s="8"/>
      <c r="L1546" s="8"/>
      <c r="M1546" s="8"/>
      <c r="N1546" s="11"/>
      <c r="O1546" s="9"/>
      <c r="P1546" s="12"/>
      <c r="Q1546" s="9"/>
      <c r="R1546" s="13"/>
      <c r="S1546" s="11"/>
      <c r="T1546" s="11"/>
      <c r="U1546" s="9"/>
      <c r="V1546" s="9"/>
      <c r="W1546" s="9"/>
      <c r="X1546" s="16"/>
      <c r="AF1546" s="42">
        <f>IF(BUSCAR!$C$8="FECHA NAC.",$G1546,IF(BUSCAR!$C$8="PASAPORTE EXPIRA",$J1546,IF(BUSCAR!$C$8="LICENCIA EMISION",$L1546,IF(BUSCAR!$C$8="LICENCIA EXPIRA",$M1546,""))))</f>
      </c>
      <c r="AG1546" s="42">
        <f>IF($B1546&amp;$C1546&amp;$D1546&amp;$E1546&amp;$H1546="",0,IF(AND(OR(BUSCAR!$J$5="",ISNUMBER(SEARCH(BUSCAR!$J$5,$AI1546))),OR(BUSCAR!$J$6="",ISNUMBER(SEARCH(BUSCAR!$J$6,$AI1546))),OR(BUSCAR!$J$8="",ISNUMBER(SEARCH(BUSCAR!$J$8,$AI1546))),OR(BUSCAR!$J$9="",ISNUMBER(SEARCH(BUSCAR!$J$9,$AI1546))),OR(NOT(BUSCAR!$J$2),AND(ISNUMBER($AF1546),$AF1546&gt;=BUSCAR!$J$3,$AF1546&lt;=BUSCAR!$J$4))),1,0))</f>
      </c>
      <c r="AH1546" s="42">
        <f t="shared" si="72"/>
      </c>
      <c r="AI1546" s="42">
        <f t="shared" si="73"/>
      </c>
    </row>
    <row r="1547" spans="1:35" x14ac:dyDescent="0.2">
      <c r="A1547" s="66">
        <f t="shared" si="74"/>
      </c>
      <c r="B1547" s="4"/>
      <c r="C1547" s="4"/>
      <c r="D1547" s="4"/>
      <c r="E1547" s="4"/>
      <c r="F1547" s="24"/>
      <c r="G1547" s="8"/>
      <c r="H1547" s="9"/>
      <c r="I1547" s="8"/>
      <c r="J1547" s="10"/>
      <c r="K1547" s="8"/>
      <c r="L1547" s="8"/>
      <c r="M1547" s="8"/>
      <c r="N1547" s="11"/>
      <c r="O1547" s="9"/>
      <c r="P1547" s="12"/>
      <c r="Q1547" s="9"/>
      <c r="R1547" s="13"/>
      <c r="S1547" s="11"/>
      <c r="T1547" s="11"/>
      <c r="U1547" s="9"/>
      <c r="V1547" s="9"/>
      <c r="W1547" s="9"/>
      <c r="X1547" s="16"/>
      <c r="AF1547" s="42">
        <f>IF(BUSCAR!$C$8="FECHA NAC.",$G1547,IF(BUSCAR!$C$8="PASAPORTE EXPIRA",$J1547,IF(BUSCAR!$C$8="LICENCIA EMISION",$L1547,IF(BUSCAR!$C$8="LICENCIA EXPIRA",$M1547,""))))</f>
      </c>
      <c r="AG1547" s="42">
        <f>IF($B1547&amp;$C1547&amp;$D1547&amp;$E1547&amp;$H1547="",0,IF(AND(OR(BUSCAR!$J$5="",ISNUMBER(SEARCH(BUSCAR!$J$5,$AI1547))),OR(BUSCAR!$J$6="",ISNUMBER(SEARCH(BUSCAR!$J$6,$AI1547))),OR(BUSCAR!$J$8="",ISNUMBER(SEARCH(BUSCAR!$J$8,$AI1547))),OR(BUSCAR!$J$9="",ISNUMBER(SEARCH(BUSCAR!$J$9,$AI1547))),OR(NOT(BUSCAR!$J$2),AND(ISNUMBER($AF1547),$AF1547&gt;=BUSCAR!$J$3,$AF1547&lt;=BUSCAR!$J$4))),1,0))</f>
      </c>
      <c r="AH1547" s="42">
        <f t="shared" si="72"/>
      </c>
      <c r="AI1547" s="42">
        <f t="shared" si="73"/>
      </c>
    </row>
    <row r="1548" spans="1:35" x14ac:dyDescent="0.2">
      <c r="A1548" s="66">
        <f t="shared" si="74"/>
      </c>
      <c r="B1548" s="4"/>
      <c r="C1548" s="4"/>
      <c r="D1548" s="4"/>
      <c r="E1548" s="4"/>
      <c r="F1548" s="24"/>
      <c r="G1548" s="8"/>
      <c r="H1548" s="9"/>
      <c r="I1548" s="8"/>
      <c r="J1548" s="10"/>
      <c r="K1548" s="8"/>
      <c r="L1548" s="8"/>
      <c r="M1548" s="8"/>
      <c r="N1548" s="11"/>
      <c r="O1548" s="9"/>
      <c r="P1548" s="12"/>
      <c r="Q1548" s="9"/>
      <c r="R1548" s="13"/>
      <c r="S1548" s="11"/>
      <c r="T1548" s="11"/>
      <c r="U1548" s="9"/>
      <c r="V1548" s="9"/>
      <c r="W1548" s="9"/>
      <c r="X1548" s="16"/>
      <c r="AF1548" s="42">
        <f>IF(BUSCAR!$C$8="FECHA NAC.",$G1548,IF(BUSCAR!$C$8="PASAPORTE EXPIRA",$J1548,IF(BUSCAR!$C$8="LICENCIA EMISION",$L1548,IF(BUSCAR!$C$8="LICENCIA EXPIRA",$M1548,""))))</f>
      </c>
      <c r="AG1548" s="42">
        <f>IF($B1548&amp;$C1548&amp;$D1548&amp;$E1548&amp;$H1548="",0,IF(AND(OR(BUSCAR!$J$5="",ISNUMBER(SEARCH(BUSCAR!$J$5,$AI1548))),OR(BUSCAR!$J$6="",ISNUMBER(SEARCH(BUSCAR!$J$6,$AI1548))),OR(BUSCAR!$J$8="",ISNUMBER(SEARCH(BUSCAR!$J$8,$AI1548))),OR(BUSCAR!$J$9="",ISNUMBER(SEARCH(BUSCAR!$J$9,$AI1548))),OR(NOT(BUSCAR!$J$2),AND(ISNUMBER($AF1548),$AF1548&gt;=BUSCAR!$J$3,$AF1548&lt;=BUSCAR!$J$4))),1,0))</f>
      </c>
      <c r="AH1548" s="42">
        <f t="shared" si="72"/>
      </c>
      <c r="AI1548" s="42">
        <f t="shared" si="73"/>
      </c>
    </row>
    <row r="1549" spans="1:35" x14ac:dyDescent="0.2">
      <c r="A1549" s="66">
        <f t="shared" si="74"/>
      </c>
      <c r="B1549" s="4"/>
      <c r="C1549" s="4"/>
      <c r="D1549" s="4"/>
      <c r="E1549" s="4"/>
      <c r="F1549" s="24"/>
      <c r="G1549" s="8"/>
      <c r="H1549" s="9"/>
      <c r="I1549" s="8"/>
      <c r="J1549" s="10"/>
      <c r="K1549" s="8"/>
      <c r="L1549" s="8"/>
      <c r="M1549" s="8"/>
      <c r="N1549" s="11"/>
      <c r="O1549" s="9"/>
      <c r="P1549" s="12"/>
      <c r="Q1549" s="9"/>
      <c r="R1549" s="13"/>
      <c r="S1549" s="11"/>
      <c r="T1549" s="11"/>
      <c r="U1549" s="9"/>
      <c r="V1549" s="9"/>
      <c r="W1549" s="9"/>
      <c r="X1549" s="16"/>
      <c r="AF1549" s="42">
        <f>IF(BUSCAR!$C$8="FECHA NAC.",$G1549,IF(BUSCAR!$C$8="PASAPORTE EXPIRA",$J1549,IF(BUSCAR!$C$8="LICENCIA EMISION",$L1549,IF(BUSCAR!$C$8="LICENCIA EXPIRA",$M1549,""))))</f>
      </c>
      <c r="AG1549" s="42">
        <f>IF($B1549&amp;$C1549&amp;$D1549&amp;$E1549&amp;$H1549="",0,IF(AND(OR(BUSCAR!$J$5="",ISNUMBER(SEARCH(BUSCAR!$J$5,$AI1549))),OR(BUSCAR!$J$6="",ISNUMBER(SEARCH(BUSCAR!$J$6,$AI1549))),OR(BUSCAR!$J$8="",ISNUMBER(SEARCH(BUSCAR!$J$8,$AI1549))),OR(BUSCAR!$J$9="",ISNUMBER(SEARCH(BUSCAR!$J$9,$AI1549))),OR(NOT(BUSCAR!$J$2),AND(ISNUMBER($AF1549),$AF1549&gt;=BUSCAR!$J$3,$AF1549&lt;=BUSCAR!$J$4))),1,0))</f>
      </c>
      <c r="AH1549" s="42">
        <f t="shared" si="72"/>
      </c>
      <c r="AI1549" s="42">
        <f t="shared" si="73"/>
      </c>
    </row>
    <row r="1550" spans="1:35" x14ac:dyDescent="0.2">
      <c r="A1550" s="66">
        <f t="shared" si="74"/>
      </c>
      <c r="B1550" s="4"/>
      <c r="C1550" s="4"/>
      <c r="D1550" s="4"/>
      <c r="E1550" s="4"/>
      <c r="F1550" s="24"/>
      <c r="G1550" s="8"/>
      <c r="H1550" s="9"/>
      <c r="I1550" s="8"/>
      <c r="J1550" s="10"/>
      <c r="K1550" s="8"/>
      <c r="L1550" s="8"/>
      <c r="M1550" s="8"/>
      <c r="N1550" s="11"/>
      <c r="O1550" s="9"/>
      <c r="P1550" s="12"/>
      <c r="Q1550" s="9"/>
      <c r="R1550" s="13"/>
      <c r="S1550" s="11"/>
      <c r="T1550" s="11"/>
      <c r="U1550" s="9"/>
      <c r="V1550" s="9"/>
      <c r="W1550" s="9"/>
      <c r="X1550" s="16"/>
      <c r="AF1550" s="42">
        <f>IF(BUSCAR!$C$8="FECHA NAC.",$G1550,IF(BUSCAR!$C$8="PASAPORTE EXPIRA",$J1550,IF(BUSCAR!$C$8="LICENCIA EMISION",$L1550,IF(BUSCAR!$C$8="LICENCIA EXPIRA",$M1550,""))))</f>
      </c>
      <c r="AG1550" s="42">
        <f>IF($B1550&amp;$C1550&amp;$D1550&amp;$E1550&amp;$H1550="",0,IF(AND(OR(BUSCAR!$J$5="",ISNUMBER(SEARCH(BUSCAR!$J$5,$AI1550))),OR(BUSCAR!$J$6="",ISNUMBER(SEARCH(BUSCAR!$J$6,$AI1550))),OR(BUSCAR!$J$8="",ISNUMBER(SEARCH(BUSCAR!$J$8,$AI1550))),OR(BUSCAR!$J$9="",ISNUMBER(SEARCH(BUSCAR!$J$9,$AI1550))),OR(NOT(BUSCAR!$J$2),AND(ISNUMBER($AF1550),$AF1550&gt;=BUSCAR!$J$3,$AF1550&lt;=BUSCAR!$J$4))),1,0))</f>
      </c>
      <c r="AH1550" s="42">
        <f t="shared" si="72"/>
      </c>
      <c r="AI1550" s="42">
        <f t="shared" si="73"/>
      </c>
    </row>
    <row r="1551" spans="1:35" x14ac:dyDescent="0.2">
      <c r="A1551" s="66">
        <f t="shared" si="74"/>
      </c>
      <c r="B1551" s="4"/>
      <c r="C1551" s="4"/>
      <c r="D1551" s="4"/>
      <c r="E1551" s="4"/>
      <c r="F1551" s="24"/>
      <c r="G1551" s="8"/>
      <c r="H1551" s="9"/>
      <c r="I1551" s="8"/>
      <c r="J1551" s="10"/>
      <c r="K1551" s="8"/>
      <c r="L1551" s="8"/>
      <c r="M1551" s="8"/>
      <c r="N1551" s="11"/>
      <c r="O1551" s="9"/>
      <c r="P1551" s="12"/>
      <c r="Q1551" s="9"/>
      <c r="R1551" s="13"/>
      <c r="S1551" s="11"/>
      <c r="T1551" s="11"/>
      <c r="U1551" s="9"/>
      <c r="V1551" s="9"/>
      <c r="W1551" s="9"/>
      <c r="X1551" s="16"/>
      <c r="AF1551" s="42">
        <f>IF(BUSCAR!$C$8="FECHA NAC.",$G1551,IF(BUSCAR!$C$8="PASAPORTE EXPIRA",$J1551,IF(BUSCAR!$C$8="LICENCIA EMISION",$L1551,IF(BUSCAR!$C$8="LICENCIA EXPIRA",$M1551,""))))</f>
      </c>
      <c r="AG1551" s="42">
        <f>IF($B1551&amp;$C1551&amp;$D1551&amp;$E1551&amp;$H1551="",0,IF(AND(OR(BUSCAR!$J$5="",ISNUMBER(SEARCH(BUSCAR!$J$5,$AI1551))),OR(BUSCAR!$J$6="",ISNUMBER(SEARCH(BUSCAR!$J$6,$AI1551))),OR(BUSCAR!$J$8="",ISNUMBER(SEARCH(BUSCAR!$J$8,$AI1551))),OR(BUSCAR!$J$9="",ISNUMBER(SEARCH(BUSCAR!$J$9,$AI1551))),OR(NOT(BUSCAR!$J$2),AND(ISNUMBER($AF1551),$AF1551&gt;=BUSCAR!$J$3,$AF1551&lt;=BUSCAR!$J$4))),1,0))</f>
      </c>
      <c r="AH1551" s="42">
        <f t="shared" si="72"/>
      </c>
      <c r="AI1551" s="42">
        <f t="shared" si="73"/>
      </c>
    </row>
    <row r="1552" spans="1:35" x14ac:dyDescent="0.2">
      <c r="A1552" s="66">
        <f t="shared" si="74"/>
      </c>
      <c r="B1552" s="4"/>
      <c r="C1552" s="4"/>
      <c r="D1552" s="4"/>
      <c r="E1552" s="4"/>
      <c r="F1552" s="24"/>
      <c r="G1552" s="8"/>
      <c r="H1552" s="9"/>
      <c r="I1552" s="8"/>
      <c r="J1552" s="10"/>
      <c r="K1552" s="8"/>
      <c r="L1552" s="8"/>
      <c r="M1552" s="8"/>
      <c r="N1552" s="11"/>
      <c r="O1552" s="9"/>
      <c r="P1552" s="12"/>
      <c r="Q1552" s="9"/>
      <c r="R1552" s="13"/>
      <c r="S1552" s="11"/>
      <c r="T1552" s="11"/>
      <c r="U1552" s="9"/>
      <c r="V1552" s="9"/>
      <c r="W1552" s="9"/>
      <c r="X1552" s="16"/>
      <c r="AF1552" s="42">
        <f>IF(BUSCAR!$C$8="FECHA NAC.",$G1552,IF(BUSCAR!$C$8="PASAPORTE EXPIRA",$J1552,IF(BUSCAR!$C$8="LICENCIA EMISION",$L1552,IF(BUSCAR!$C$8="LICENCIA EXPIRA",$M1552,""))))</f>
      </c>
      <c r="AG1552" s="42">
        <f>IF($B1552&amp;$C1552&amp;$D1552&amp;$E1552&amp;$H1552="",0,IF(AND(OR(BUSCAR!$J$5="",ISNUMBER(SEARCH(BUSCAR!$J$5,$AI1552))),OR(BUSCAR!$J$6="",ISNUMBER(SEARCH(BUSCAR!$J$6,$AI1552))),OR(BUSCAR!$J$8="",ISNUMBER(SEARCH(BUSCAR!$J$8,$AI1552))),OR(BUSCAR!$J$9="",ISNUMBER(SEARCH(BUSCAR!$J$9,$AI1552))),OR(NOT(BUSCAR!$J$2),AND(ISNUMBER($AF1552),$AF1552&gt;=BUSCAR!$J$3,$AF1552&lt;=BUSCAR!$J$4))),1,0))</f>
      </c>
      <c r="AH1552" s="42">
        <f t="shared" si="72"/>
      </c>
      <c r="AI1552" s="42">
        <f t="shared" si="73"/>
      </c>
    </row>
    <row r="1553" spans="1:35" x14ac:dyDescent="0.2">
      <c r="A1553" s="66">
        <f t="shared" si="74"/>
      </c>
      <c r="B1553" s="4"/>
      <c r="C1553" s="4"/>
      <c r="D1553" s="4"/>
      <c r="E1553" s="4"/>
      <c r="F1553" s="24"/>
      <c r="G1553" s="8"/>
      <c r="H1553" s="9"/>
      <c r="I1553" s="8"/>
      <c r="J1553" s="10"/>
      <c r="K1553" s="8"/>
      <c r="L1553" s="8"/>
      <c r="M1553" s="8"/>
      <c r="N1553" s="11"/>
      <c r="O1553" s="9"/>
      <c r="P1553" s="12"/>
      <c r="Q1553" s="9"/>
      <c r="R1553" s="13"/>
      <c r="S1553" s="11"/>
      <c r="T1553" s="11"/>
      <c r="U1553" s="9"/>
      <c r="V1553" s="9"/>
      <c r="W1553" s="9"/>
      <c r="X1553" s="16"/>
      <c r="AF1553" s="42">
        <f>IF(BUSCAR!$C$8="FECHA NAC.",$G1553,IF(BUSCAR!$C$8="PASAPORTE EXPIRA",$J1553,IF(BUSCAR!$C$8="LICENCIA EMISION",$L1553,IF(BUSCAR!$C$8="LICENCIA EXPIRA",$M1553,""))))</f>
      </c>
      <c r="AG1553" s="42">
        <f>IF($B1553&amp;$C1553&amp;$D1553&amp;$E1553&amp;$H1553="",0,IF(AND(OR(BUSCAR!$J$5="",ISNUMBER(SEARCH(BUSCAR!$J$5,$AI1553))),OR(BUSCAR!$J$6="",ISNUMBER(SEARCH(BUSCAR!$J$6,$AI1553))),OR(BUSCAR!$J$8="",ISNUMBER(SEARCH(BUSCAR!$J$8,$AI1553))),OR(BUSCAR!$J$9="",ISNUMBER(SEARCH(BUSCAR!$J$9,$AI1553))),OR(NOT(BUSCAR!$J$2),AND(ISNUMBER($AF1553),$AF1553&gt;=BUSCAR!$J$3,$AF1553&lt;=BUSCAR!$J$4))),1,0))</f>
      </c>
      <c r="AH1553" s="42">
        <f t="shared" si="72"/>
      </c>
      <c r="AI1553" s="42">
        <f t="shared" si="73"/>
      </c>
    </row>
    <row r="1554" spans="1:35" x14ac:dyDescent="0.2">
      <c r="A1554" s="66">
        <f t="shared" si="74"/>
      </c>
      <c r="B1554" s="4"/>
      <c r="C1554" s="4"/>
      <c r="D1554" s="4"/>
      <c r="E1554" s="4"/>
      <c r="F1554" s="24"/>
      <c r="G1554" s="8"/>
      <c r="H1554" s="9"/>
      <c r="I1554" s="8"/>
      <c r="J1554" s="10"/>
      <c r="K1554" s="8"/>
      <c r="L1554" s="8"/>
      <c r="M1554" s="8"/>
      <c r="N1554" s="11"/>
      <c r="O1554" s="9"/>
      <c r="P1554" s="12"/>
      <c r="Q1554" s="9"/>
      <c r="R1554" s="13"/>
      <c r="S1554" s="11"/>
      <c r="T1554" s="11"/>
      <c r="U1554" s="9"/>
      <c r="V1554" s="9"/>
      <c r="W1554" s="9"/>
      <c r="X1554" s="16"/>
      <c r="AF1554" s="42">
        <f>IF(BUSCAR!$C$8="FECHA NAC.",$G1554,IF(BUSCAR!$C$8="PASAPORTE EXPIRA",$J1554,IF(BUSCAR!$C$8="LICENCIA EMISION",$L1554,IF(BUSCAR!$C$8="LICENCIA EXPIRA",$M1554,""))))</f>
      </c>
      <c r="AG1554" s="42">
        <f>IF($B1554&amp;$C1554&amp;$D1554&amp;$E1554&amp;$H1554="",0,IF(AND(OR(BUSCAR!$J$5="",ISNUMBER(SEARCH(BUSCAR!$J$5,$AI1554))),OR(BUSCAR!$J$6="",ISNUMBER(SEARCH(BUSCAR!$J$6,$AI1554))),OR(BUSCAR!$J$8="",ISNUMBER(SEARCH(BUSCAR!$J$8,$AI1554))),OR(BUSCAR!$J$9="",ISNUMBER(SEARCH(BUSCAR!$J$9,$AI1554))),OR(NOT(BUSCAR!$J$2),AND(ISNUMBER($AF1554),$AF1554&gt;=BUSCAR!$J$3,$AF1554&lt;=BUSCAR!$J$4))),1,0))</f>
      </c>
      <c r="AH1554" s="42">
        <f t="shared" si="72"/>
      </c>
      <c r="AI1554" s="42">
        <f t="shared" si="73"/>
      </c>
    </row>
    <row r="1555" spans="1:35" x14ac:dyDescent="0.2">
      <c r="A1555" s="66">
        <f t="shared" si="74"/>
      </c>
      <c r="B1555" s="4"/>
      <c r="C1555" s="4"/>
      <c r="D1555" s="4"/>
      <c r="E1555" s="4"/>
      <c r="F1555" s="24"/>
      <c r="G1555" s="8"/>
      <c r="H1555" s="9"/>
      <c r="I1555" s="8"/>
      <c r="J1555" s="10"/>
      <c r="K1555" s="8"/>
      <c r="L1555" s="8"/>
      <c r="M1555" s="8"/>
      <c r="N1555" s="11"/>
      <c r="O1555" s="9"/>
      <c r="P1555" s="12"/>
      <c r="Q1555" s="9"/>
      <c r="R1555" s="13"/>
      <c r="S1555" s="11"/>
      <c r="T1555" s="11"/>
      <c r="U1555" s="9"/>
      <c r="V1555" s="9"/>
      <c r="W1555" s="9"/>
      <c r="X1555" s="16"/>
      <c r="AF1555" s="42">
        <f>IF(BUSCAR!$C$8="FECHA NAC.",$G1555,IF(BUSCAR!$C$8="PASAPORTE EXPIRA",$J1555,IF(BUSCAR!$C$8="LICENCIA EMISION",$L1555,IF(BUSCAR!$C$8="LICENCIA EXPIRA",$M1555,""))))</f>
      </c>
      <c r="AG1555" s="42">
        <f>IF($B1555&amp;$C1555&amp;$D1555&amp;$E1555&amp;$H1555="",0,IF(AND(OR(BUSCAR!$J$5="",ISNUMBER(SEARCH(BUSCAR!$J$5,$AI1555))),OR(BUSCAR!$J$6="",ISNUMBER(SEARCH(BUSCAR!$J$6,$AI1555))),OR(BUSCAR!$J$8="",ISNUMBER(SEARCH(BUSCAR!$J$8,$AI1555))),OR(BUSCAR!$J$9="",ISNUMBER(SEARCH(BUSCAR!$J$9,$AI1555))),OR(NOT(BUSCAR!$J$2),AND(ISNUMBER($AF1555),$AF1555&gt;=BUSCAR!$J$3,$AF1555&lt;=BUSCAR!$J$4))),1,0))</f>
      </c>
      <c r="AH1555" s="42">
        <f t="shared" si="72"/>
      </c>
      <c r="AI1555" s="42">
        <f t="shared" si="73"/>
      </c>
    </row>
    <row r="1556" spans="1:35" x14ac:dyDescent="0.2">
      <c r="A1556" s="66">
        <f t="shared" si="74"/>
      </c>
      <c r="B1556" s="4"/>
      <c r="C1556" s="4"/>
      <c r="D1556" s="4"/>
      <c r="E1556" s="4"/>
      <c r="F1556" s="24"/>
      <c r="G1556" s="8"/>
      <c r="H1556" s="9"/>
      <c r="I1556" s="8"/>
      <c r="J1556" s="10"/>
      <c r="K1556" s="8"/>
      <c r="L1556" s="8"/>
      <c r="M1556" s="8"/>
      <c r="N1556" s="11"/>
      <c r="O1556" s="9"/>
      <c r="P1556" s="12"/>
      <c r="Q1556" s="9"/>
      <c r="R1556" s="13"/>
      <c r="S1556" s="11"/>
      <c r="T1556" s="11"/>
      <c r="U1556" s="9"/>
      <c r="V1556" s="9"/>
      <c r="W1556" s="9"/>
      <c r="X1556" s="16"/>
      <c r="AF1556" s="42">
        <f>IF(BUSCAR!$C$8="FECHA NAC.",$G1556,IF(BUSCAR!$C$8="PASAPORTE EXPIRA",$J1556,IF(BUSCAR!$C$8="LICENCIA EMISION",$L1556,IF(BUSCAR!$C$8="LICENCIA EXPIRA",$M1556,""))))</f>
      </c>
      <c r="AG1556" s="42">
        <f>IF($B1556&amp;$C1556&amp;$D1556&amp;$E1556&amp;$H1556="",0,IF(AND(OR(BUSCAR!$J$5="",ISNUMBER(SEARCH(BUSCAR!$J$5,$AI1556))),OR(BUSCAR!$J$6="",ISNUMBER(SEARCH(BUSCAR!$J$6,$AI1556))),OR(BUSCAR!$J$8="",ISNUMBER(SEARCH(BUSCAR!$J$8,$AI1556))),OR(BUSCAR!$J$9="",ISNUMBER(SEARCH(BUSCAR!$J$9,$AI1556))),OR(NOT(BUSCAR!$J$2),AND(ISNUMBER($AF1556),$AF1556&gt;=BUSCAR!$J$3,$AF1556&lt;=BUSCAR!$J$4))),1,0))</f>
      </c>
      <c r="AH1556" s="42">
        <f t="shared" si="72"/>
      </c>
      <c r="AI1556" s="42">
        <f t="shared" si="73"/>
      </c>
    </row>
    <row r="1557" spans="1:35" x14ac:dyDescent="0.2">
      <c r="A1557" s="66">
        <f t="shared" si="74"/>
      </c>
      <c r="B1557" s="4"/>
      <c r="C1557" s="4"/>
      <c r="D1557" s="4"/>
      <c r="E1557" s="4"/>
      <c r="F1557" s="24"/>
      <c r="G1557" s="8"/>
      <c r="H1557" s="9"/>
      <c r="I1557" s="8"/>
      <c r="J1557" s="10"/>
      <c r="K1557" s="8"/>
      <c r="L1557" s="8"/>
      <c r="M1557" s="8"/>
      <c r="N1557" s="11"/>
      <c r="O1557" s="9"/>
      <c r="P1557" s="12"/>
      <c r="Q1557" s="9"/>
      <c r="R1557" s="13"/>
      <c r="S1557" s="11"/>
      <c r="T1557" s="11"/>
      <c r="U1557" s="9"/>
      <c r="V1557" s="9"/>
      <c r="W1557" s="9"/>
      <c r="X1557" s="16"/>
      <c r="AF1557" s="42">
        <f>IF(BUSCAR!$C$8="FECHA NAC.",$G1557,IF(BUSCAR!$C$8="PASAPORTE EXPIRA",$J1557,IF(BUSCAR!$C$8="LICENCIA EMISION",$L1557,IF(BUSCAR!$C$8="LICENCIA EXPIRA",$M1557,""))))</f>
      </c>
      <c r="AG1557" s="42">
        <f>IF($B1557&amp;$C1557&amp;$D1557&amp;$E1557&amp;$H1557="",0,IF(AND(OR(BUSCAR!$J$5="",ISNUMBER(SEARCH(BUSCAR!$J$5,$AI1557))),OR(BUSCAR!$J$6="",ISNUMBER(SEARCH(BUSCAR!$J$6,$AI1557))),OR(BUSCAR!$J$8="",ISNUMBER(SEARCH(BUSCAR!$J$8,$AI1557))),OR(BUSCAR!$J$9="",ISNUMBER(SEARCH(BUSCAR!$J$9,$AI1557))),OR(NOT(BUSCAR!$J$2),AND(ISNUMBER($AF1557),$AF1557&gt;=BUSCAR!$J$3,$AF1557&lt;=BUSCAR!$J$4))),1,0))</f>
      </c>
      <c r="AH1557" s="42">
        <f t="shared" si="72"/>
      </c>
      <c r="AI1557" s="42">
        <f t="shared" si="73"/>
      </c>
    </row>
    <row r="1558" spans="1:35" x14ac:dyDescent="0.2">
      <c r="A1558" s="66">
        <f t="shared" si="74"/>
      </c>
      <c r="B1558" s="4"/>
      <c r="C1558" s="4"/>
      <c r="D1558" s="4"/>
      <c r="E1558" s="4"/>
      <c r="F1558" s="24"/>
      <c r="G1558" s="8"/>
      <c r="H1558" s="9"/>
      <c r="I1558" s="8"/>
      <c r="J1558" s="10"/>
      <c r="K1558" s="8"/>
      <c r="L1558" s="8"/>
      <c r="M1558" s="8"/>
      <c r="N1558" s="11"/>
      <c r="O1558" s="9"/>
      <c r="P1558" s="12"/>
      <c r="Q1558" s="9"/>
      <c r="R1558" s="13"/>
      <c r="S1558" s="11"/>
      <c r="T1558" s="11"/>
      <c r="U1558" s="9"/>
      <c r="V1558" s="9"/>
      <c r="W1558" s="9"/>
      <c r="X1558" s="16"/>
      <c r="AF1558" s="42">
        <f>IF(BUSCAR!$C$8="FECHA NAC.",$G1558,IF(BUSCAR!$C$8="PASAPORTE EXPIRA",$J1558,IF(BUSCAR!$C$8="LICENCIA EMISION",$L1558,IF(BUSCAR!$C$8="LICENCIA EXPIRA",$M1558,""))))</f>
      </c>
      <c r="AG1558" s="42">
        <f>IF($B1558&amp;$C1558&amp;$D1558&amp;$E1558&amp;$H1558="",0,IF(AND(OR(BUSCAR!$J$5="",ISNUMBER(SEARCH(BUSCAR!$J$5,$AI1558))),OR(BUSCAR!$J$6="",ISNUMBER(SEARCH(BUSCAR!$J$6,$AI1558))),OR(BUSCAR!$J$8="",ISNUMBER(SEARCH(BUSCAR!$J$8,$AI1558))),OR(BUSCAR!$J$9="",ISNUMBER(SEARCH(BUSCAR!$J$9,$AI1558))),OR(NOT(BUSCAR!$J$2),AND(ISNUMBER($AF1558),$AF1558&gt;=BUSCAR!$J$3,$AF1558&lt;=BUSCAR!$J$4))),1,0))</f>
      </c>
      <c r="AH1558" s="42">
        <f t="shared" si="72"/>
      </c>
      <c r="AI1558" s="42">
        <f t="shared" si="73"/>
      </c>
    </row>
    <row r="1559" spans="1:35" x14ac:dyDescent="0.2">
      <c r="A1559" s="66">
        <f t="shared" si="74"/>
      </c>
      <c r="B1559" s="4"/>
      <c r="C1559" s="4"/>
      <c r="D1559" s="4"/>
      <c r="E1559" s="4"/>
      <c r="F1559" s="24"/>
      <c r="G1559" s="8"/>
      <c r="H1559" s="9"/>
      <c r="I1559" s="8"/>
      <c r="J1559" s="10"/>
      <c r="K1559" s="8"/>
      <c r="L1559" s="8"/>
      <c r="M1559" s="8"/>
      <c r="N1559" s="11"/>
      <c r="O1559" s="9"/>
      <c r="P1559" s="12"/>
      <c r="Q1559" s="9"/>
      <c r="R1559" s="13"/>
      <c r="S1559" s="11"/>
      <c r="T1559" s="11"/>
      <c r="U1559" s="9"/>
      <c r="V1559" s="9"/>
      <c r="W1559" s="9"/>
      <c r="X1559" s="16"/>
      <c r="AF1559" s="42">
        <f>IF(BUSCAR!$C$8="FECHA NAC.",$G1559,IF(BUSCAR!$C$8="PASAPORTE EXPIRA",$J1559,IF(BUSCAR!$C$8="LICENCIA EMISION",$L1559,IF(BUSCAR!$C$8="LICENCIA EXPIRA",$M1559,""))))</f>
      </c>
      <c r="AG1559" s="42">
        <f>IF($B1559&amp;$C1559&amp;$D1559&amp;$E1559&amp;$H1559="",0,IF(AND(OR(BUSCAR!$J$5="",ISNUMBER(SEARCH(BUSCAR!$J$5,$AI1559))),OR(BUSCAR!$J$6="",ISNUMBER(SEARCH(BUSCAR!$J$6,$AI1559))),OR(BUSCAR!$J$8="",ISNUMBER(SEARCH(BUSCAR!$J$8,$AI1559))),OR(BUSCAR!$J$9="",ISNUMBER(SEARCH(BUSCAR!$J$9,$AI1559))),OR(NOT(BUSCAR!$J$2),AND(ISNUMBER($AF1559),$AF1559&gt;=BUSCAR!$J$3,$AF1559&lt;=BUSCAR!$J$4))),1,0))</f>
      </c>
      <c r="AH1559" s="42">
        <f t="shared" si="72"/>
      </c>
      <c r="AI1559" s="42">
        <f t="shared" si="73"/>
      </c>
    </row>
    <row r="1560" spans="1:35" x14ac:dyDescent="0.2">
      <c r="A1560" s="66">
        <f t="shared" si="74"/>
      </c>
      <c r="B1560" s="4"/>
      <c r="C1560" s="4"/>
      <c r="D1560" s="4"/>
      <c r="E1560" s="4"/>
      <c r="F1560" s="24"/>
      <c r="G1560" s="8"/>
      <c r="H1560" s="9"/>
      <c r="I1560" s="8"/>
      <c r="J1560" s="10"/>
      <c r="K1560" s="8"/>
      <c r="L1560" s="8"/>
      <c r="M1560" s="8"/>
      <c r="N1560" s="11"/>
      <c r="O1560" s="9"/>
      <c r="P1560" s="12"/>
      <c r="Q1560" s="9"/>
      <c r="R1560" s="13"/>
      <c r="S1560" s="11"/>
      <c r="T1560" s="11"/>
      <c r="U1560" s="9"/>
      <c r="V1560" s="9"/>
      <c r="W1560" s="9"/>
      <c r="X1560" s="16"/>
      <c r="AF1560" s="42">
        <f>IF(BUSCAR!$C$8="FECHA NAC.",$G1560,IF(BUSCAR!$C$8="PASAPORTE EXPIRA",$J1560,IF(BUSCAR!$C$8="LICENCIA EMISION",$L1560,IF(BUSCAR!$C$8="LICENCIA EXPIRA",$M1560,""))))</f>
      </c>
      <c r="AG1560" s="42">
        <f>IF($B1560&amp;$C1560&amp;$D1560&amp;$E1560&amp;$H1560="",0,IF(AND(OR(BUSCAR!$J$5="",ISNUMBER(SEARCH(BUSCAR!$J$5,$AI1560))),OR(BUSCAR!$J$6="",ISNUMBER(SEARCH(BUSCAR!$J$6,$AI1560))),OR(BUSCAR!$J$8="",ISNUMBER(SEARCH(BUSCAR!$J$8,$AI1560))),OR(BUSCAR!$J$9="",ISNUMBER(SEARCH(BUSCAR!$J$9,$AI1560))),OR(NOT(BUSCAR!$J$2),AND(ISNUMBER($AF1560),$AF1560&gt;=BUSCAR!$J$3,$AF1560&lt;=BUSCAR!$J$4))),1,0))</f>
      </c>
      <c r="AH1560" s="42">
        <f t="shared" si="72"/>
      </c>
      <c r="AI1560" s="42">
        <f t="shared" si="73"/>
      </c>
    </row>
    <row r="1561" spans="1:35" x14ac:dyDescent="0.2">
      <c r="A1561" s="66">
        <f t="shared" si="74"/>
      </c>
      <c r="B1561" s="4"/>
      <c r="C1561" s="4"/>
      <c r="D1561" s="4"/>
      <c r="E1561" s="4"/>
      <c r="F1561" s="24"/>
      <c r="G1561" s="8"/>
      <c r="H1561" s="9"/>
      <c r="I1561" s="8"/>
      <c r="J1561" s="10"/>
      <c r="K1561" s="8"/>
      <c r="L1561" s="8"/>
      <c r="M1561" s="8"/>
      <c r="N1561" s="11"/>
      <c r="O1561" s="9"/>
      <c r="P1561" s="12"/>
      <c r="Q1561" s="9"/>
      <c r="R1561" s="13"/>
      <c r="S1561" s="11"/>
      <c r="T1561" s="11"/>
      <c r="U1561" s="9"/>
      <c r="V1561" s="9"/>
      <c r="W1561" s="9"/>
      <c r="X1561" s="16"/>
      <c r="AF1561" s="42">
        <f>IF(BUSCAR!$C$8="FECHA NAC.",$G1561,IF(BUSCAR!$C$8="PASAPORTE EXPIRA",$J1561,IF(BUSCAR!$C$8="LICENCIA EMISION",$L1561,IF(BUSCAR!$C$8="LICENCIA EXPIRA",$M1561,""))))</f>
      </c>
      <c r="AG1561" s="42">
        <f>IF($B1561&amp;$C1561&amp;$D1561&amp;$E1561&amp;$H1561="",0,IF(AND(OR(BUSCAR!$J$5="",ISNUMBER(SEARCH(BUSCAR!$J$5,$AI1561))),OR(BUSCAR!$J$6="",ISNUMBER(SEARCH(BUSCAR!$J$6,$AI1561))),OR(BUSCAR!$J$8="",ISNUMBER(SEARCH(BUSCAR!$J$8,$AI1561))),OR(BUSCAR!$J$9="",ISNUMBER(SEARCH(BUSCAR!$J$9,$AI1561))),OR(NOT(BUSCAR!$J$2),AND(ISNUMBER($AF1561),$AF1561&gt;=BUSCAR!$J$3,$AF1561&lt;=BUSCAR!$J$4))),1,0))</f>
      </c>
      <c r="AH1561" s="42">
        <f t="shared" si="72"/>
      </c>
      <c r="AI1561" s="42">
        <f t="shared" si="73"/>
      </c>
    </row>
    <row r="1562" spans="1:35" x14ac:dyDescent="0.2">
      <c r="A1562" s="66">
        <f t="shared" si="74"/>
      </c>
      <c r="B1562" s="4"/>
      <c r="C1562" s="4"/>
      <c r="D1562" s="4"/>
      <c r="E1562" s="4"/>
      <c r="F1562" s="24"/>
      <c r="G1562" s="8"/>
      <c r="H1562" s="9"/>
      <c r="I1562" s="8"/>
      <c r="J1562" s="10"/>
      <c r="K1562" s="8"/>
      <c r="L1562" s="8"/>
      <c r="M1562" s="8"/>
      <c r="N1562" s="11"/>
      <c r="O1562" s="9"/>
      <c r="P1562" s="12"/>
      <c r="Q1562" s="9"/>
      <c r="R1562" s="13"/>
      <c r="S1562" s="11"/>
      <c r="T1562" s="11"/>
      <c r="U1562" s="9"/>
      <c r="V1562" s="9"/>
      <c r="W1562" s="9"/>
      <c r="X1562" s="16"/>
      <c r="AF1562" s="42">
        <f>IF(BUSCAR!$C$8="FECHA NAC.",$G1562,IF(BUSCAR!$C$8="PASAPORTE EXPIRA",$J1562,IF(BUSCAR!$C$8="LICENCIA EMISION",$L1562,IF(BUSCAR!$C$8="LICENCIA EXPIRA",$M1562,""))))</f>
      </c>
      <c r="AG1562" s="42">
        <f>IF($B1562&amp;$C1562&amp;$D1562&amp;$E1562&amp;$H1562="",0,IF(AND(OR(BUSCAR!$J$5="",ISNUMBER(SEARCH(BUSCAR!$J$5,$AI1562))),OR(BUSCAR!$J$6="",ISNUMBER(SEARCH(BUSCAR!$J$6,$AI1562))),OR(BUSCAR!$J$8="",ISNUMBER(SEARCH(BUSCAR!$J$8,$AI1562))),OR(BUSCAR!$J$9="",ISNUMBER(SEARCH(BUSCAR!$J$9,$AI1562))),OR(NOT(BUSCAR!$J$2),AND(ISNUMBER($AF1562),$AF1562&gt;=BUSCAR!$J$3,$AF1562&lt;=BUSCAR!$J$4))),1,0))</f>
      </c>
      <c r="AH1562" s="42">
        <f t="shared" si="72"/>
      </c>
      <c r="AI1562" s="42">
        <f t="shared" si="73"/>
      </c>
    </row>
    <row r="1563" spans="1:35" x14ac:dyDescent="0.2">
      <c r="A1563" s="66">
        <f t="shared" si="74"/>
      </c>
      <c r="B1563" s="4"/>
      <c r="C1563" s="4"/>
      <c r="D1563" s="4"/>
      <c r="E1563" s="4"/>
      <c r="F1563" s="24"/>
      <c r="G1563" s="8"/>
      <c r="H1563" s="9"/>
      <c r="I1563" s="8"/>
      <c r="J1563" s="10"/>
      <c r="K1563" s="8"/>
      <c r="L1563" s="8"/>
      <c r="M1563" s="8"/>
      <c r="N1563" s="11"/>
      <c r="O1563" s="9"/>
      <c r="P1563" s="12"/>
      <c r="Q1563" s="9"/>
      <c r="R1563" s="13"/>
      <c r="S1563" s="11"/>
      <c r="T1563" s="11"/>
      <c r="U1563" s="9"/>
      <c r="V1563" s="9"/>
      <c r="W1563" s="9"/>
      <c r="X1563" s="16"/>
      <c r="AF1563" s="42">
        <f>IF(BUSCAR!$C$8="FECHA NAC.",$G1563,IF(BUSCAR!$C$8="PASAPORTE EXPIRA",$J1563,IF(BUSCAR!$C$8="LICENCIA EMISION",$L1563,IF(BUSCAR!$C$8="LICENCIA EXPIRA",$M1563,""))))</f>
      </c>
      <c r="AG1563" s="42">
        <f>IF($B1563&amp;$C1563&amp;$D1563&amp;$E1563&amp;$H1563="",0,IF(AND(OR(BUSCAR!$J$5="",ISNUMBER(SEARCH(BUSCAR!$J$5,$AI1563))),OR(BUSCAR!$J$6="",ISNUMBER(SEARCH(BUSCAR!$J$6,$AI1563))),OR(BUSCAR!$J$8="",ISNUMBER(SEARCH(BUSCAR!$J$8,$AI1563))),OR(BUSCAR!$J$9="",ISNUMBER(SEARCH(BUSCAR!$J$9,$AI1563))),OR(NOT(BUSCAR!$J$2),AND(ISNUMBER($AF1563),$AF1563&gt;=BUSCAR!$J$3,$AF1563&lt;=BUSCAR!$J$4))),1,0))</f>
      </c>
      <c r="AH1563" s="42">
        <f t="shared" si="72"/>
      </c>
      <c r="AI1563" s="42">
        <f t="shared" si="73"/>
      </c>
    </row>
    <row r="1564" spans="1:35" x14ac:dyDescent="0.2">
      <c r="A1564" s="66">
        <f t="shared" si="74"/>
      </c>
      <c r="B1564" s="4"/>
      <c r="C1564" s="4"/>
      <c r="D1564" s="4"/>
      <c r="E1564" s="4"/>
      <c r="F1564" s="24"/>
      <c r="G1564" s="8"/>
      <c r="H1564" s="9"/>
      <c r="I1564" s="8"/>
      <c r="J1564" s="10"/>
      <c r="K1564" s="8"/>
      <c r="L1564" s="8"/>
      <c r="M1564" s="8"/>
      <c r="N1564" s="11"/>
      <c r="O1564" s="9"/>
      <c r="P1564" s="12"/>
      <c r="Q1564" s="9"/>
      <c r="R1564" s="13"/>
      <c r="S1564" s="11"/>
      <c r="T1564" s="11"/>
      <c r="U1564" s="9"/>
      <c r="V1564" s="9"/>
      <c r="W1564" s="9"/>
      <c r="X1564" s="16"/>
      <c r="AF1564" s="42">
        <f>IF(BUSCAR!$C$8="FECHA NAC.",$G1564,IF(BUSCAR!$C$8="PASAPORTE EXPIRA",$J1564,IF(BUSCAR!$C$8="LICENCIA EMISION",$L1564,IF(BUSCAR!$C$8="LICENCIA EXPIRA",$M1564,""))))</f>
      </c>
      <c r="AG1564" s="42">
        <f>IF($B1564&amp;$C1564&amp;$D1564&amp;$E1564&amp;$H1564="",0,IF(AND(OR(BUSCAR!$J$5="",ISNUMBER(SEARCH(BUSCAR!$J$5,$AI1564))),OR(BUSCAR!$J$6="",ISNUMBER(SEARCH(BUSCAR!$J$6,$AI1564))),OR(BUSCAR!$J$8="",ISNUMBER(SEARCH(BUSCAR!$J$8,$AI1564))),OR(BUSCAR!$J$9="",ISNUMBER(SEARCH(BUSCAR!$J$9,$AI1564))),OR(NOT(BUSCAR!$J$2),AND(ISNUMBER($AF1564),$AF1564&gt;=BUSCAR!$J$3,$AF1564&lt;=BUSCAR!$J$4))),1,0))</f>
      </c>
      <c r="AH1564" s="42">
        <f t="shared" si="72"/>
      </c>
      <c r="AI1564" s="42">
        <f t="shared" si="73"/>
      </c>
    </row>
    <row r="1565" spans="1:35" x14ac:dyDescent="0.2">
      <c r="A1565" s="66">
        <f t="shared" si="74"/>
      </c>
      <c r="B1565" s="4"/>
      <c r="C1565" s="4"/>
      <c r="D1565" s="4"/>
      <c r="E1565" s="4"/>
      <c r="F1565" s="24"/>
      <c r="G1565" s="8"/>
      <c r="H1565" s="9"/>
      <c r="I1565" s="8"/>
      <c r="J1565" s="10"/>
      <c r="K1565" s="8"/>
      <c r="L1565" s="8"/>
      <c r="M1565" s="8"/>
      <c r="N1565" s="11"/>
      <c r="O1565" s="9"/>
      <c r="P1565" s="12"/>
      <c r="Q1565" s="9"/>
      <c r="R1565" s="13"/>
      <c r="S1565" s="11"/>
      <c r="T1565" s="11"/>
      <c r="U1565" s="9"/>
      <c r="V1565" s="9"/>
      <c r="W1565" s="9"/>
      <c r="X1565" s="16"/>
      <c r="AF1565" s="42">
        <f>IF(BUSCAR!$C$8="FECHA NAC.",$G1565,IF(BUSCAR!$C$8="PASAPORTE EXPIRA",$J1565,IF(BUSCAR!$C$8="LICENCIA EMISION",$L1565,IF(BUSCAR!$C$8="LICENCIA EXPIRA",$M1565,""))))</f>
      </c>
      <c r="AG1565" s="42">
        <f>IF($B1565&amp;$C1565&amp;$D1565&amp;$E1565&amp;$H1565="",0,IF(AND(OR(BUSCAR!$J$5="",ISNUMBER(SEARCH(BUSCAR!$J$5,$AI1565))),OR(BUSCAR!$J$6="",ISNUMBER(SEARCH(BUSCAR!$J$6,$AI1565))),OR(BUSCAR!$J$8="",ISNUMBER(SEARCH(BUSCAR!$J$8,$AI1565))),OR(BUSCAR!$J$9="",ISNUMBER(SEARCH(BUSCAR!$J$9,$AI1565))),OR(NOT(BUSCAR!$J$2),AND(ISNUMBER($AF1565),$AF1565&gt;=BUSCAR!$J$3,$AF1565&lt;=BUSCAR!$J$4))),1,0))</f>
      </c>
      <c r="AH1565" s="42">
        <f t="shared" si="72"/>
      </c>
      <c r="AI1565" s="42">
        <f t="shared" si="73"/>
      </c>
    </row>
    <row r="1566" spans="1:35" x14ac:dyDescent="0.2">
      <c r="A1566" s="66">
        <f t="shared" si="74"/>
      </c>
      <c r="B1566" s="4"/>
      <c r="C1566" s="4"/>
      <c r="D1566" s="4"/>
      <c r="E1566" s="4"/>
      <c r="F1566" s="24"/>
      <c r="G1566" s="8"/>
      <c r="H1566" s="9"/>
      <c r="I1566" s="8"/>
      <c r="J1566" s="10"/>
      <c r="K1566" s="8"/>
      <c r="L1566" s="8"/>
      <c r="M1566" s="8"/>
      <c r="N1566" s="11"/>
      <c r="O1566" s="9"/>
      <c r="P1566" s="12"/>
      <c r="Q1566" s="9"/>
      <c r="R1566" s="13"/>
      <c r="S1566" s="11"/>
      <c r="T1566" s="11"/>
      <c r="U1566" s="9"/>
      <c r="V1566" s="9"/>
      <c r="W1566" s="9"/>
      <c r="X1566" s="16"/>
      <c r="AF1566" s="42">
        <f>IF(BUSCAR!$C$8="FECHA NAC.",$G1566,IF(BUSCAR!$C$8="PASAPORTE EXPIRA",$J1566,IF(BUSCAR!$C$8="LICENCIA EMISION",$L1566,IF(BUSCAR!$C$8="LICENCIA EXPIRA",$M1566,""))))</f>
      </c>
      <c r="AG1566" s="42">
        <f>IF($B1566&amp;$C1566&amp;$D1566&amp;$E1566&amp;$H1566="",0,IF(AND(OR(BUSCAR!$J$5="",ISNUMBER(SEARCH(BUSCAR!$J$5,$AI1566))),OR(BUSCAR!$J$6="",ISNUMBER(SEARCH(BUSCAR!$J$6,$AI1566))),OR(BUSCAR!$J$8="",ISNUMBER(SEARCH(BUSCAR!$J$8,$AI1566))),OR(BUSCAR!$J$9="",ISNUMBER(SEARCH(BUSCAR!$J$9,$AI1566))),OR(NOT(BUSCAR!$J$2),AND(ISNUMBER($AF1566),$AF1566&gt;=BUSCAR!$J$3,$AF1566&lt;=BUSCAR!$J$4))),1,0))</f>
      </c>
      <c r="AH1566" s="42">
        <f t="shared" si="72"/>
      </c>
      <c r="AI1566" s="42">
        <f t="shared" si="73"/>
      </c>
    </row>
    <row r="1567" spans="1:35" x14ac:dyDescent="0.2">
      <c r="A1567" s="66">
        <f t="shared" si="74"/>
      </c>
      <c r="B1567" s="4"/>
      <c r="C1567" s="4"/>
      <c r="D1567" s="4"/>
      <c r="E1567" s="4"/>
      <c r="F1567" s="24"/>
      <c r="G1567" s="8"/>
      <c r="H1567" s="9"/>
      <c r="I1567" s="8"/>
      <c r="J1567" s="10"/>
      <c r="K1567" s="8"/>
      <c r="L1567" s="8"/>
      <c r="M1567" s="8"/>
      <c r="N1567" s="11"/>
      <c r="O1567" s="9"/>
      <c r="P1567" s="12"/>
      <c r="Q1567" s="9"/>
      <c r="R1567" s="13"/>
      <c r="S1567" s="11"/>
      <c r="T1567" s="11"/>
      <c r="U1567" s="9"/>
      <c r="V1567" s="9"/>
      <c r="W1567" s="9"/>
      <c r="X1567" s="16"/>
      <c r="AF1567" s="42">
        <f>IF(BUSCAR!$C$8="FECHA NAC.",$G1567,IF(BUSCAR!$C$8="PASAPORTE EXPIRA",$J1567,IF(BUSCAR!$C$8="LICENCIA EMISION",$L1567,IF(BUSCAR!$C$8="LICENCIA EXPIRA",$M1567,""))))</f>
      </c>
      <c r="AG1567" s="42">
        <f>IF($B1567&amp;$C1567&amp;$D1567&amp;$E1567&amp;$H1567="",0,IF(AND(OR(BUSCAR!$J$5="",ISNUMBER(SEARCH(BUSCAR!$J$5,$AI1567))),OR(BUSCAR!$J$6="",ISNUMBER(SEARCH(BUSCAR!$J$6,$AI1567))),OR(BUSCAR!$J$8="",ISNUMBER(SEARCH(BUSCAR!$J$8,$AI1567))),OR(BUSCAR!$J$9="",ISNUMBER(SEARCH(BUSCAR!$J$9,$AI1567))),OR(NOT(BUSCAR!$J$2),AND(ISNUMBER($AF1567),$AF1567&gt;=BUSCAR!$J$3,$AF1567&lt;=BUSCAR!$J$4))),1,0))</f>
      </c>
      <c r="AH1567" s="42">
        <f t="shared" si="72"/>
      </c>
      <c r="AI1567" s="42">
        <f t="shared" si="73"/>
      </c>
    </row>
    <row r="1568" spans="1:35" x14ac:dyDescent="0.2">
      <c r="A1568" s="66">
        <f t="shared" si="74"/>
      </c>
      <c r="B1568" s="4"/>
      <c r="C1568" s="4"/>
      <c r="D1568" s="4"/>
      <c r="E1568" s="4"/>
      <c r="F1568" s="24"/>
      <c r="G1568" s="8"/>
      <c r="H1568" s="9"/>
      <c r="I1568" s="8"/>
      <c r="J1568" s="10"/>
      <c r="K1568" s="8"/>
      <c r="L1568" s="8"/>
      <c r="M1568" s="8"/>
      <c r="N1568" s="11"/>
      <c r="O1568" s="9"/>
      <c r="P1568" s="12"/>
      <c r="Q1568" s="9"/>
      <c r="R1568" s="13"/>
      <c r="S1568" s="11"/>
      <c r="T1568" s="11"/>
      <c r="U1568" s="9"/>
      <c r="V1568" s="9"/>
      <c r="W1568" s="9"/>
      <c r="X1568" s="16"/>
      <c r="AF1568" s="42">
        <f>IF(BUSCAR!$C$8="FECHA NAC.",$G1568,IF(BUSCAR!$C$8="PASAPORTE EXPIRA",$J1568,IF(BUSCAR!$C$8="LICENCIA EMISION",$L1568,IF(BUSCAR!$C$8="LICENCIA EXPIRA",$M1568,""))))</f>
      </c>
      <c r="AG1568" s="42">
        <f>IF($B1568&amp;$C1568&amp;$D1568&amp;$E1568&amp;$H1568="",0,IF(AND(OR(BUSCAR!$J$5="",ISNUMBER(SEARCH(BUSCAR!$J$5,$AI1568))),OR(BUSCAR!$J$6="",ISNUMBER(SEARCH(BUSCAR!$J$6,$AI1568))),OR(BUSCAR!$J$8="",ISNUMBER(SEARCH(BUSCAR!$J$8,$AI1568))),OR(BUSCAR!$J$9="",ISNUMBER(SEARCH(BUSCAR!$J$9,$AI1568))),OR(NOT(BUSCAR!$J$2),AND(ISNUMBER($AF1568),$AF1568&gt;=BUSCAR!$J$3,$AF1568&lt;=BUSCAR!$J$4))),1,0))</f>
      </c>
      <c r="AH1568" s="42">
        <f t="shared" si="72"/>
      </c>
      <c r="AI1568" s="42">
        <f t="shared" si="73"/>
      </c>
    </row>
    <row r="1569" spans="1:35" x14ac:dyDescent="0.2">
      <c r="A1569" s="66">
        <f t="shared" si="74"/>
      </c>
      <c r="B1569" s="4"/>
      <c r="C1569" s="4"/>
      <c r="D1569" s="4"/>
      <c r="E1569" s="4"/>
      <c r="F1569" s="24"/>
      <c r="G1569" s="8"/>
      <c r="H1569" s="9"/>
      <c r="I1569" s="8"/>
      <c r="J1569" s="10"/>
      <c r="K1569" s="8"/>
      <c r="L1569" s="8"/>
      <c r="M1569" s="8"/>
      <c r="N1569" s="11"/>
      <c r="O1569" s="9"/>
      <c r="P1569" s="12"/>
      <c r="Q1569" s="9"/>
      <c r="R1569" s="13"/>
      <c r="S1569" s="11"/>
      <c r="T1569" s="11"/>
      <c r="U1569" s="9"/>
      <c r="V1569" s="9"/>
      <c r="W1569" s="9"/>
      <c r="X1569" s="16"/>
      <c r="AF1569" s="42">
        <f>IF(BUSCAR!$C$8="FECHA NAC.",$G1569,IF(BUSCAR!$C$8="PASAPORTE EXPIRA",$J1569,IF(BUSCAR!$C$8="LICENCIA EMISION",$L1569,IF(BUSCAR!$C$8="LICENCIA EXPIRA",$M1569,""))))</f>
      </c>
      <c r="AG1569" s="42">
        <f>IF($B1569&amp;$C1569&amp;$D1569&amp;$E1569&amp;$H1569="",0,IF(AND(OR(BUSCAR!$J$5="",ISNUMBER(SEARCH(BUSCAR!$J$5,$AI1569))),OR(BUSCAR!$J$6="",ISNUMBER(SEARCH(BUSCAR!$J$6,$AI1569))),OR(BUSCAR!$J$8="",ISNUMBER(SEARCH(BUSCAR!$J$8,$AI1569))),OR(BUSCAR!$J$9="",ISNUMBER(SEARCH(BUSCAR!$J$9,$AI1569))),OR(NOT(BUSCAR!$J$2),AND(ISNUMBER($AF1569),$AF1569&gt;=BUSCAR!$J$3,$AF1569&lt;=BUSCAR!$J$4))),1,0))</f>
      </c>
      <c r="AH1569" s="42">
        <f t="shared" si="72"/>
      </c>
      <c r="AI1569" s="42">
        <f t="shared" si="73"/>
      </c>
    </row>
    <row r="1570" spans="1:35" x14ac:dyDescent="0.2">
      <c r="A1570" s="66">
        <f t="shared" si="74"/>
      </c>
      <c r="B1570" s="4"/>
      <c r="C1570" s="4"/>
      <c r="D1570" s="4"/>
      <c r="E1570" s="4"/>
      <c r="F1570" s="24"/>
      <c r="G1570" s="8"/>
      <c r="H1570" s="9"/>
      <c r="I1570" s="8"/>
      <c r="J1570" s="10"/>
      <c r="K1570" s="8"/>
      <c r="L1570" s="8"/>
      <c r="M1570" s="8"/>
      <c r="N1570" s="11"/>
      <c r="O1570" s="9"/>
      <c r="P1570" s="12"/>
      <c r="Q1570" s="9"/>
      <c r="R1570" s="13"/>
      <c r="S1570" s="11"/>
      <c r="T1570" s="11"/>
      <c r="U1570" s="9"/>
      <c r="V1570" s="9"/>
      <c r="W1570" s="9"/>
      <c r="X1570" s="16"/>
      <c r="AF1570" s="42">
        <f>IF(BUSCAR!$C$8="FECHA NAC.",$G1570,IF(BUSCAR!$C$8="PASAPORTE EXPIRA",$J1570,IF(BUSCAR!$C$8="LICENCIA EMISION",$L1570,IF(BUSCAR!$C$8="LICENCIA EXPIRA",$M1570,""))))</f>
      </c>
      <c r="AG1570" s="42">
        <f>IF($B1570&amp;$C1570&amp;$D1570&amp;$E1570&amp;$H1570="",0,IF(AND(OR(BUSCAR!$J$5="",ISNUMBER(SEARCH(BUSCAR!$J$5,$AI1570))),OR(BUSCAR!$J$6="",ISNUMBER(SEARCH(BUSCAR!$J$6,$AI1570))),OR(BUSCAR!$J$8="",ISNUMBER(SEARCH(BUSCAR!$J$8,$AI1570))),OR(BUSCAR!$J$9="",ISNUMBER(SEARCH(BUSCAR!$J$9,$AI1570))),OR(NOT(BUSCAR!$J$2),AND(ISNUMBER($AF1570),$AF1570&gt;=BUSCAR!$J$3,$AF1570&lt;=BUSCAR!$J$4))),1,0))</f>
      </c>
      <c r="AH1570" s="42">
        <f t="shared" si="72"/>
      </c>
      <c r="AI1570" s="42">
        <f t="shared" si="73"/>
      </c>
    </row>
    <row r="1571" spans="1:35" x14ac:dyDescent="0.2">
      <c r="A1571" s="66">
        <f t="shared" si="74"/>
      </c>
      <c r="B1571" s="4"/>
      <c r="C1571" s="4"/>
      <c r="D1571" s="4"/>
      <c r="E1571" s="4"/>
      <c r="F1571" s="24"/>
      <c r="G1571" s="8"/>
      <c r="H1571" s="9"/>
      <c r="I1571" s="8"/>
      <c r="J1571" s="10"/>
      <c r="K1571" s="8"/>
      <c r="L1571" s="8"/>
      <c r="M1571" s="8"/>
      <c r="N1571" s="11"/>
      <c r="O1571" s="9"/>
      <c r="P1571" s="12"/>
      <c r="Q1571" s="9"/>
      <c r="R1571" s="13"/>
      <c r="S1571" s="11"/>
      <c r="T1571" s="11"/>
      <c r="U1571" s="9"/>
      <c r="V1571" s="9"/>
      <c r="W1571" s="9"/>
      <c r="X1571" s="16"/>
      <c r="AF1571" s="42">
        <f>IF(BUSCAR!$C$8="FECHA NAC.",$G1571,IF(BUSCAR!$C$8="PASAPORTE EXPIRA",$J1571,IF(BUSCAR!$C$8="LICENCIA EMISION",$L1571,IF(BUSCAR!$C$8="LICENCIA EXPIRA",$M1571,""))))</f>
      </c>
      <c r="AG1571" s="42">
        <f>IF($B1571&amp;$C1571&amp;$D1571&amp;$E1571&amp;$H1571="",0,IF(AND(OR(BUSCAR!$J$5="",ISNUMBER(SEARCH(BUSCAR!$J$5,$AI1571))),OR(BUSCAR!$J$6="",ISNUMBER(SEARCH(BUSCAR!$J$6,$AI1571))),OR(BUSCAR!$J$8="",ISNUMBER(SEARCH(BUSCAR!$J$8,$AI1571))),OR(BUSCAR!$J$9="",ISNUMBER(SEARCH(BUSCAR!$J$9,$AI1571))),OR(NOT(BUSCAR!$J$2),AND(ISNUMBER($AF1571),$AF1571&gt;=BUSCAR!$J$3,$AF1571&lt;=BUSCAR!$J$4))),1,0))</f>
      </c>
      <c r="AH1571" s="42">
        <f t="shared" si="72"/>
      </c>
      <c r="AI1571" s="42">
        <f t="shared" si="73"/>
      </c>
    </row>
    <row r="1572" spans="1:35" x14ac:dyDescent="0.2">
      <c r="A1572" s="66">
        <f t="shared" si="74"/>
      </c>
      <c r="B1572" s="4"/>
      <c r="C1572" s="4"/>
      <c r="D1572" s="4"/>
      <c r="E1572" s="4"/>
      <c r="F1572" s="24"/>
      <c r="G1572" s="8"/>
      <c r="H1572" s="9"/>
      <c r="I1572" s="8"/>
      <c r="J1572" s="10"/>
      <c r="K1572" s="29"/>
      <c r="L1572" s="8"/>
      <c r="M1572" s="8"/>
      <c r="N1572" s="11"/>
      <c r="O1572" s="9"/>
      <c r="P1572" s="12"/>
      <c r="Q1572" s="9"/>
      <c r="R1572" s="13"/>
      <c r="S1572" s="11"/>
      <c r="T1572" s="11"/>
      <c r="U1572" s="9"/>
      <c r="V1572" s="9"/>
      <c r="W1572" s="9"/>
      <c r="X1572" s="16"/>
      <c r="AF1572" s="42">
        <f>IF(BUSCAR!$C$8="FECHA NAC.",$G1572,IF(BUSCAR!$C$8="PASAPORTE EXPIRA",$J1572,IF(BUSCAR!$C$8="LICENCIA EMISION",$L1572,IF(BUSCAR!$C$8="LICENCIA EXPIRA",$M1572,""))))</f>
      </c>
      <c r="AG1572" s="42">
        <f>IF($B1572&amp;$C1572&amp;$D1572&amp;$E1572&amp;$H1572="",0,IF(AND(OR(BUSCAR!$J$5="",ISNUMBER(SEARCH(BUSCAR!$J$5,$AI1572))),OR(BUSCAR!$J$6="",ISNUMBER(SEARCH(BUSCAR!$J$6,$AI1572))),OR(BUSCAR!$J$8="",ISNUMBER(SEARCH(BUSCAR!$J$8,$AI1572))),OR(BUSCAR!$J$9="",ISNUMBER(SEARCH(BUSCAR!$J$9,$AI1572))),OR(NOT(BUSCAR!$J$2),AND(ISNUMBER($AF1572),$AF1572&gt;=BUSCAR!$J$3,$AF1572&lt;=BUSCAR!$J$4))),1,0))</f>
      </c>
      <c r="AH1572" s="42">
        <f t="shared" si="72"/>
      </c>
      <c r="AI1572" s="42">
        <f t="shared" si="73"/>
      </c>
    </row>
    <row r="1573" spans="1:35" x14ac:dyDescent="0.2">
      <c r="A1573" s="66">
        <f t="shared" si="74"/>
      </c>
      <c r="B1573" s="4"/>
      <c r="C1573" s="4"/>
      <c r="D1573" s="4"/>
      <c r="E1573" s="4"/>
      <c r="F1573" s="24"/>
      <c r="G1573" s="8"/>
      <c r="H1573" s="9"/>
      <c r="I1573" s="8"/>
      <c r="J1573" s="10"/>
      <c r="K1573" s="8"/>
      <c r="L1573" s="8"/>
      <c r="M1573" s="8"/>
      <c r="N1573" s="11"/>
      <c r="O1573" s="9"/>
      <c r="P1573" s="12"/>
      <c r="Q1573" s="9"/>
      <c r="R1573" s="13"/>
      <c r="S1573" s="11"/>
      <c r="T1573" s="11"/>
      <c r="U1573" s="9"/>
      <c r="V1573" s="9"/>
      <c r="W1573" s="9"/>
      <c r="X1573" s="16"/>
      <c r="AF1573" s="42">
        <f>IF(BUSCAR!$C$8="FECHA NAC.",$G1573,IF(BUSCAR!$C$8="PASAPORTE EXPIRA",$J1573,IF(BUSCAR!$C$8="LICENCIA EMISION",$L1573,IF(BUSCAR!$C$8="LICENCIA EXPIRA",$M1573,""))))</f>
      </c>
      <c r="AG1573" s="42">
        <f>IF($B1573&amp;$C1573&amp;$D1573&amp;$E1573&amp;$H1573="",0,IF(AND(OR(BUSCAR!$J$5="",ISNUMBER(SEARCH(BUSCAR!$J$5,$AI1573))),OR(BUSCAR!$J$6="",ISNUMBER(SEARCH(BUSCAR!$J$6,$AI1573))),OR(BUSCAR!$J$8="",ISNUMBER(SEARCH(BUSCAR!$J$8,$AI1573))),OR(BUSCAR!$J$9="",ISNUMBER(SEARCH(BUSCAR!$J$9,$AI1573))),OR(NOT(BUSCAR!$J$2),AND(ISNUMBER($AF1573),$AF1573&gt;=BUSCAR!$J$3,$AF1573&lt;=BUSCAR!$J$4))),1,0))</f>
      </c>
      <c r="AH1573" s="42">
        <f t="shared" si="72"/>
      </c>
      <c r="AI1573" s="42">
        <f t="shared" si="73"/>
      </c>
    </row>
    <row r="1574" spans="1:35" x14ac:dyDescent="0.2">
      <c r="A1574" s="66">
        <f t="shared" si="74"/>
      </c>
      <c r="B1574" s="4"/>
      <c r="C1574" s="4"/>
      <c r="D1574" s="4"/>
      <c r="E1574" s="4"/>
      <c r="F1574" s="24"/>
      <c r="G1574" s="8"/>
      <c r="H1574" s="9"/>
      <c r="I1574" s="8"/>
      <c r="J1574" s="10"/>
      <c r="K1574" s="8"/>
      <c r="L1574" s="8"/>
      <c r="M1574" s="8"/>
      <c r="N1574" s="11"/>
      <c r="O1574" s="9"/>
      <c r="P1574" s="12"/>
      <c r="Q1574" s="9"/>
      <c r="R1574" s="13"/>
      <c r="S1574" s="11"/>
      <c r="T1574" s="11"/>
      <c r="U1574" s="9"/>
      <c r="V1574" s="9"/>
      <c r="W1574" s="9"/>
      <c r="X1574" s="16"/>
      <c r="AF1574" s="42">
        <f>IF(BUSCAR!$C$8="FECHA NAC.",$G1574,IF(BUSCAR!$C$8="PASAPORTE EXPIRA",$J1574,IF(BUSCAR!$C$8="LICENCIA EMISION",$L1574,IF(BUSCAR!$C$8="LICENCIA EXPIRA",$M1574,""))))</f>
      </c>
      <c r="AG1574" s="42">
        <f>IF($B1574&amp;$C1574&amp;$D1574&amp;$E1574&amp;$H1574="",0,IF(AND(OR(BUSCAR!$J$5="",ISNUMBER(SEARCH(BUSCAR!$J$5,$AI1574))),OR(BUSCAR!$J$6="",ISNUMBER(SEARCH(BUSCAR!$J$6,$AI1574))),OR(BUSCAR!$J$8="",ISNUMBER(SEARCH(BUSCAR!$J$8,$AI1574))),OR(BUSCAR!$J$9="",ISNUMBER(SEARCH(BUSCAR!$J$9,$AI1574))),OR(NOT(BUSCAR!$J$2),AND(ISNUMBER($AF1574),$AF1574&gt;=BUSCAR!$J$3,$AF1574&lt;=BUSCAR!$J$4))),1,0))</f>
      </c>
      <c r="AH1574" s="42">
        <f t="shared" si="72"/>
      </c>
      <c r="AI1574" s="42">
        <f t="shared" si="73"/>
      </c>
    </row>
    <row r="1575" spans="1:35" x14ac:dyDescent="0.2">
      <c r="A1575" s="66">
        <f t="shared" si="74"/>
      </c>
      <c r="B1575" s="4"/>
      <c r="C1575" s="4"/>
      <c r="D1575" s="4"/>
      <c r="E1575" s="4"/>
      <c r="F1575" s="24"/>
      <c r="G1575" s="8"/>
      <c r="H1575" s="9"/>
      <c r="I1575" s="8"/>
      <c r="J1575" s="10"/>
      <c r="K1575" s="8"/>
      <c r="L1575" s="8"/>
      <c r="M1575" s="8"/>
      <c r="N1575" s="11"/>
      <c r="O1575" s="9"/>
      <c r="P1575" s="12"/>
      <c r="Q1575" s="9"/>
      <c r="R1575" s="13"/>
      <c r="S1575" s="11"/>
      <c r="T1575" s="11"/>
      <c r="U1575" s="9"/>
      <c r="V1575" s="9"/>
      <c r="W1575" s="9"/>
      <c r="X1575" s="16"/>
      <c r="AF1575" s="42">
        <f>IF(BUSCAR!$C$8="FECHA NAC.",$G1575,IF(BUSCAR!$C$8="PASAPORTE EXPIRA",$J1575,IF(BUSCAR!$C$8="LICENCIA EMISION",$L1575,IF(BUSCAR!$C$8="LICENCIA EXPIRA",$M1575,""))))</f>
      </c>
      <c r="AG1575" s="42">
        <f>IF($B1575&amp;$C1575&amp;$D1575&amp;$E1575&amp;$H1575="",0,IF(AND(OR(BUSCAR!$J$5="",ISNUMBER(SEARCH(BUSCAR!$J$5,$AI1575))),OR(BUSCAR!$J$6="",ISNUMBER(SEARCH(BUSCAR!$J$6,$AI1575))),OR(BUSCAR!$J$8="",ISNUMBER(SEARCH(BUSCAR!$J$8,$AI1575))),OR(BUSCAR!$J$9="",ISNUMBER(SEARCH(BUSCAR!$J$9,$AI1575))),OR(NOT(BUSCAR!$J$2),AND(ISNUMBER($AF1575),$AF1575&gt;=BUSCAR!$J$3,$AF1575&lt;=BUSCAR!$J$4))),1,0))</f>
      </c>
      <c r="AH1575" s="42">
        <f t="shared" si="72"/>
      </c>
      <c r="AI1575" s="42">
        <f t="shared" si="73"/>
      </c>
    </row>
    <row r="1576" spans="1:35" x14ac:dyDescent="0.2">
      <c r="A1576" s="66">
        <f t="shared" si="74"/>
      </c>
      <c r="B1576" s="4"/>
      <c r="C1576" s="4"/>
      <c r="D1576" s="4"/>
      <c r="E1576" s="4"/>
      <c r="F1576" s="24"/>
      <c r="G1576" s="8"/>
      <c r="H1576" s="9"/>
      <c r="I1576" s="8"/>
      <c r="J1576" s="10"/>
      <c r="K1576" s="8"/>
      <c r="L1576" s="8"/>
      <c r="M1576" s="8"/>
      <c r="N1576" s="11"/>
      <c r="O1576" s="9"/>
      <c r="P1576" s="12"/>
      <c r="Q1576" s="9"/>
      <c r="R1576" s="13"/>
      <c r="S1576" s="11"/>
      <c r="T1576" s="11"/>
      <c r="U1576" s="9"/>
      <c r="V1576" s="9"/>
      <c r="W1576" s="9"/>
      <c r="X1576" s="16"/>
      <c r="AF1576" s="42">
        <f>IF(BUSCAR!$C$8="FECHA NAC.",$G1576,IF(BUSCAR!$C$8="PASAPORTE EXPIRA",$J1576,IF(BUSCAR!$C$8="LICENCIA EMISION",$L1576,IF(BUSCAR!$C$8="LICENCIA EXPIRA",$M1576,""))))</f>
      </c>
      <c r="AG1576" s="42">
        <f>IF($B1576&amp;$C1576&amp;$D1576&amp;$E1576&amp;$H1576="",0,IF(AND(OR(BUSCAR!$J$5="",ISNUMBER(SEARCH(BUSCAR!$J$5,$AI1576))),OR(BUSCAR!$J$6="",ISNUMBER(SEARCH(BUSCAR!$J$6,$AI1576))),OR(BUSCAR!$J$8="",ISNUMBER(SEARCH(BUSCAR!$J$8,$AI1576))),OR(BUSCAR!$J$9="",ISNUMBER(SEARCH(BUSCAR!$J$9,$AI1576))),OR(NOT(BUSCAR!$J$2),AND(ISNUMBER($AF1576),$AF1576&gt;=BUSCAR!$J$3,$AF1576&lt;=BUSCAR!$J$4))),1,0))</f>
      </c>
      <c r="AH1576" s="42">
        <f t="shared" si="72"/>
      </c>
      <c r="AI1576" s="42">
        <f t="shared" si="73"/>
      </c>
    </row>
    <row r="1577" spans="1:35" x14ac:dyDescent="0.2">
      <c r="A1577" s="66">
        <f t="shared" si="74"/>
      </c>
      <c r="B1577" s="4"/>
      <c r="C1577" s="4"/>
      <c r="D1577" s="4"/>
      <c r="E1577" s="4"/>
      <c r="F1577" s="24"/>
      <c r="G1577" s="8"/>
      <c r="H1577" s="9"/>
      <c r="I1577" s="8"/>
      <c r="J1577" s="10"/>
      <c r="K1577" s="8"/>
      <c r="L1577" s="8"/>
      <c r="M1577" s="8"/>
      <c r="N1577" s="11"/>
      <c r="O1577" s="9"/>
      <c r="P1577" s="12"/>
      <c r="Q1577" s="9"/>
      <c r="R1577" s="13"/>
      <c r="S1577" s="11"/>
      <c r="T1577" s="11"/>
      <c r="U1577" s="9"/>
      <c r="V1577" s="9"/>
      <c r="W1577" s="9"/>
      <c r="X1577" s="16"/>
      <c r="AF1577" s="42">
        <f>IF(BUSCAR!$C$8="FECHA NAC.",$G1577,IF(BUSCAR!$C$8="PASAPORTE EXPIRA",$J1577,IF(BUSCAR!$C$8="LICENCIA EMISION",$L1577,IF(BUSCAR!$C$8="LICENCIA EXPIRA",$M1577,""))))</f>
      </c>
      <c r="AG1577" s="42">
        <f>IF($B1577&amp;$C1577&amp;$D1577&amp;$E1577&amp;$H1577="",0,IF(AND(OR(BUSCAR!$J$5="",ISNUMBER(SEARCH(BUSCAR!$J$5,$AI1577))),OR(BUSCAR!$J$6="",ISNUMBER(SEARCH(BUSCAR!$J$6,$AI1577))),OR(BUSCAR!$J$8="",ISNUMBER(SEARCH(BUSCAR!$J$8,$AI1577))),OR(BUSCAR!$J$9="",ISNUMBER(SEARCH(BUSCAR!$J$9,$AI1577))),OR(NOT(BUSCAR!$J$2),AND(ISNUMBER($AF1577),$AF1577&gt;=BUSCAR!$J$3,$AF1577&lt;=BUSCAR!$J$4))),1,0))</f>
      </c>
      <c r="AH1577" s="42">
        <f t="shared" si="72"/>
      </c>
      <c r="AI1577" s="42">
        <f t="shared" si="73"/>
      </c>
    </row>
    <row r="1578" spans="1:35" x14ac:dyDescent="0.2">
      <c r="A1578" s="66">
        <f t="shared" si="74"/>
      </c>
      <c r="B1578" s="4"/>
      <c r="C1578" s="4"/>
      <c r="D1578" s="4"/>
      <c r="E1578" s="4"/>
      <c r="F1578" s="24"/>
      <c r="G1578" s="8"/>
      <c r="H1578" s="9"/>
      <c r="I1578" s="8"/>
      <c r="J1578" s="10"/>
      <c r="K1578" s="8"/>
      <c r="L1578" s="8"/>
      <c r="M1578" s="8"/>
      <c r="N1578" s="11"/>
      <c r="O1578" s="9"/>
      <c r="P1578" s="12"/>
      <c r="Q1578" s="9"/>
      <c r="R1578" s="13"/>
      <c r="S1578" s="11"/>
      <c r="T1578" s="11"/>
      <c r="U1578" s="9"/>
      <c r="V1578" s="9"/>
      <c r="W1578" s="9"/>
      <c r="X1578" s="16"/>
      <c r="AF1578" s="42">
        <f>IF(BUSCAR!$C$8="FECHA NAC.",$G1578,IF(BUSCAR!$C$8="PASAPORTE EXPIRA",$J1578,IF(BUSCAR!$C$8="LICENCIA EMISION",$L1578,IF(BUSCAR!$C$8="LICENCIA EXPIRA",$M1578,""))))</f>
      </c>
      <c r="AG1578" s="42">
        <f>IF($B1578&amp;$C1578&amp;$D1578&amp;$E1578&amp;$H1578="",0,IF(AND(OR(BUSCAR!$J$5="",ISNUMBER(SEARCH(BUSCAR!$J$5,$AI1578))),OR(BUSCAR!$J$6="",ISNUMBER(SEARCH(BUSCAR!$J$6,$AI1578))),OR(BUSCAR!$J$8="",ISNUMBER(SEARCH(BUSCAR!$J$8,$AI1578))),OR(BUSCAR!$J$9="",ISNUMBER(SEARCH(BUSCAR!$J$9,$AI1578))),OR(NOT(BUSCAR!$J$2),AND(ISNUMBER($AF1578),$AF1578&gt;=BUSCAR!$J$3,$AF1578&lt;=BUSCAR!$J$4))),1,0))</f>
      </c>
      <c r="AH1578" s="42">
        <f t="shared" si="72"/>
      </c>
      <c r="AI1578" s="42">
        <f t="shared" si="73"/>
      </c>
    </row>
    <row r="1579" spans="1:35" x14ac:dyDescent="0.2">
      <c r="A1579" s="66">
        <f t="shared" si="74"/>
      </c>
      <c r="B1579" s="4"/>
      <c r="C1579" s="4"/>
      <c r="D1579" s="4"/>
      <c r="E1579" s="4"/>
      <c r="F1579" s="24"/>
      <c r="G1579" s="8"/>
      <c r="H1579" s="9"/>
      <c r="I1579" s="8"/>
      <c r="J1579" s="10"/>
      <c r="K1579" s="8"/>
      <c r="L1579" s="8"/>
      <c r="M1579" s="8"/>
      <c r="N1579" s="11"/>
      <c r="O1579" s="9"/>
      <c r="P1579" s="12"/>
      <c r="Q1579" s="9"/>
      <c r="R1579" s="13"/>
      <c r="S1579" s="11"/>
      <c r="T1579" s="11"/>
      <c r="U1579" s="9"/>
      <c r="V1579" s="9"/>
      <c r="W1579" s="9"/>
      <c r="X1579" s="16"/>
      <c r="AF1579" s="42">
        <f>IF(BUSCAR!$C$8="FECHA NAC.",$G1579,IF(BUSCAR!$C$8="PASAPORTE EXPIRA",$J1579,IF(BUSCAR!$C$8="LICENCIA EMISION",$L1579,IF(BUSCAR!$C$8="LICENCIA EXPIRA",$M1579,""))))</f>
      </c>
      <c r="AG1579" s="42">
        <f>IF($B1579&amp;$C1579&amp;$D1579&amp;$E1579&amp;$H1579="",0,IF(AND(OR(BUSCAR!$J$5="",ISNUMBER(SEARCH(BUSCAR!$J$5,$AI1579))),OR(BUSCAR!$J$6="",ISNUMBER(SEARCH(BUSCAR!$J$6,$AI1579))),OR(BUSCAR!$J$8="",ISNUMBER(SEARCH(BUSCAR!$J$8,$AI1579))),OR(BUSCAR!$J$9="",ISNUMBER(SEARCH(BUSCAR!$J$9,$AI1579))),OR(NOT(BUSCAR!$J$2),AND(ISNUMBER($AF1579),$AF1579&gt;=BUSCAR!$J$3,$AF1579&lt;=BUSCAR!$J$4))),1,0))</f>
      </c>
      <c r="AH1579" s="42">
        <f t="shared" si="72"/>
      </c>
      <c r="AI1579" s="42">
        <f t="shared" si="73"/>
      </c>
    </row>
    <row r="1580" spans="1:35" x14ac:dyDescent="0.2">
      <c r="A1580" s="66">
        <f t="shared" si="74"/>
      </c>
      <c r="B1580" s="4"/>
      <c r="C1580" s="4"/>
      <c r="D1580" s="4"/>
      <c r="E1580" s="4"/>
      <c r="F1580" s="24"/>
      <c r="G1580" s="8"/>
      <c r="H1580" s="9"/>
      <c r="I1580" s="8"/>
      <c r="J1580" s="10"/>
      <c r="K1580" s="8"/>
      <c r="L1580" s="8"/>
      <c r="M1580" s="8"/>
      <c r="N1580" s="11"/>
      <c r="O1580" s="9"/>
      <c r="P1580" s="12"/>
      <c r="Q1580" s="9"/>
      <c r="R1580" s="13"/>
      <c r="S1580" s="11"/>
      <c r="T1580" s="11"/>
      <c r="U1580" s="9"/>
      <c r="V1580" s="9"/>
      <c r="W1580" s="9"/>
      <c r="X1580" s="16"/>
      <c r="AF1580" s="42">
        <f>IF(BUSCAR!$C$8="FECHA NAC.",$G1580,IF(BUSCAR!$C$8="PASAPORTE EXPIRA",$J1580,IF(BUSCAR!$C$8="LICENCIA EMISION",$L1580,IF(BUSCAR!$C$8="LICENCIA EXPIRA",$M1580,""))))</f>
      </c>
      <c r="AG1580" s="42">
        <f>IF($B1580&amp;$C1580&amp;$D1580&amp;$E1580&amp;$H1580="",0,IF(AND(OR(BUSCAR!$J$5="",ISNUMBER(SEARCH(BUSCAR!$J$5,$AI1580))),OR(BUSCAR!$J$6="",ISNUMBER(SEARCH(BUSCAR!$J$6,$AI1580))),OR(BUSCAR!$J$8="",ISNUMBER(SEARCH(BUSCAR!$J$8,$AI1580))),OR(BUSCAR!$J$9="",ISNUMBER(SEARCH(BUSCAR!$J$9,$AI1580))),OR(NOT(BUSCAR!$J$2),AND(ISNUMBER($AF1580),$AF1580&gt;=BUSCAR!$J$3,$AF1580&lt;=BUSCAR!$J$4))),1,0))</f>
      </c>
      <c r="AH1580" s="42">
        <f t="shared" si="72"/>
      </c>
      <c r="AI1580" s="42">
        <f t="shared" si="73"/>
      </c>
    </row>
    <row r="1581" spans="1:35" x14ac:dyDescent="0.2">
      <c r="A1581" s="66">
        <f t="shared" si="74"/>
      </c>
      <c r="B1581" s="4"/>
      <c r="C1581" s="4"/>
      <c r="D1581" s="4"/>
      <c r="E1581" s="4"/>
      <c r="F1581" s="24"/>
      <c r="G1581" s="8"/>
      <c r="H1581" s="9"/>
      <c r="I1581" s="8"/>
      <c r="J1581" s="10"/>
      <c r="K1581" s="8"/>
      <c r="L1581" s="8"/>
      <c r="M1581" s="8"/>
      <c r="N1581" s="11"/>
      <c r="O1581" s="9"/>
      <c r="P1581" s="12"/>
      <c r="Q1581" s="9"/>
      <c r="R1581" s="13"/>
      <c r="S1581" s="11"/>
      <c r="T1581" s="11"/>
      <c r="U1581" s="9"/>
      <c r="V1581" s="9"/>
      <c r="W1581" s="9"/>
      <c r="X1581" s="16"/>
      <c r="AF1581" s="42">
        <f>IF(BUSCAR!$C$8="FECHA NAC.",$G1581,IF(BUSCAR!$C$8="PASAPORTE EXPIRA",$J1581,IF(BUSCAR!$C$8="LICENCIA EMISION",$L1581,IF(BUSCAR!$C$8="LICENCIA EXPIRA",$M1581,""))))</f>
      </c>
      <c r="AG1581" s="42">
        <f>IF($B1581&amp;$C1581&amp;$D1581&amp;$E1581&amp;$H1581="",0,IF(AND(OR(BUSCAR!$J$5="",ISNUMBER(SEARCH(BUSCAR!$J$5,$AI1581))),OR(BUSCAR!$J$6="",ISNUMBER(SEARCH(BUSCAR!$J$6,$AI1581))),OR(BUSCAR!$J$8="",ISNUMBER(SEARCH(BUSCAR!$J$8,$AI1581))),OR(BUSCAR!$J$9="",ISNUMBER(SEARCH(BUSCAR!$J$9,$AI1581))),OR(NOT(BUSCAR!$J$2),AND(ISNUMBER($AF1581),$AF1581&gt;=BUSCAR!$J$3,$AF1581&lt;=BUSCAR!$J$4))),1,0))</f>
      </c>
      <c r="AH1581" s="42">
        <f t="shared" si="72"/>
      </c>
      <c r="AI1581" s="42">
        <f t="shared" si="73"/>
      </c>
    </row>
    <row r="1582" spans="1:35" x14ac:dyDescent="0.2">
      <c r="A1582" s="66">
        <f t="shared" si="74"/>
      </c>
      <c r="B1582" s="4"/>
      <c r="C1582" s="4"/>
      <c r="D1582" s="4"/>
      <c r="E1582" s="4"/>
      <c r="F1582" s="24"/>
      <c r="G1582" s="8"/>
      <c r="H1582" s="9"/>
      <c r="I1582" s="8"/>
      <c r="J1582" s="10"/>
      <c r="K1582" s="8"/>
      <c r="L1582" s="8"/>
      <c r="M1582" s="8"/>
      <c r="N1582" s="11"/>
      <c r="O1582" s="9"/>
      <c r="P1582" s="12"/>
      <c r="Q1582" s="9"/>
      <c r="R1582" s="13"/>
      <c r="S1582" s="11"/>
      <c r="T1582" s="11"/>
      <c r="U1582" s="9"/>
      <c r="V1582" s="9"/>
      <c r="W1582" s="9"/>
      <c r="X1582" s="16"/>
      <c r="AF1582" s="42">
        <f>IF(BUSCAR!$C$8="FECHA NAC.",$G1582,IF(BUSCAR!$C$8="PASAPORTE EXPIRA",$J1582,IF(BUSCAR!$C$8="LICENCIA EMISION",$L1582,IF(BUSCAR!$C$8="LICENCIA EXPIRA",$M1582,""))))</f>
      </c>
      <c r="AG1582" s="42">
        <f>IF($B1582&amp;$C1582&amp;$D1582&amp;$E1582&amp;$H1582="",0,IF(AND(OR(BUSCAR!$J$5="",ISNUMBER(SEARCH(BUSCAR!$J$5,$AI1582))),OR(BUSCAR!$J$6="",ISNUMBER(SEARCH(BUSCAR!$J$6,$AI1582))),OR(BUSCAR!$J$8="",ISNUMBER(SEARCH(BUSCAR!$J$8,$AI1582))),OR(BUSCAR!$J$9="",ISNUMBER(SEARCH(BUSCAR!$J$9,$AI1582))),OR(NOT(BUSCAR!$J$2),AND(ISNUMBER($AF1582),$AF1582&gt;=BUSCAR!$J$3,$AF1582&lt;=BUSCAR!$J$4))),1,0))</f>
      </c>
      <c r="AH1582" s="42">
        <f t="shared" si="72"/>
      </c>
      <c r="AI1582" s="42">
        <f t="shared" si="73"/>
      </c>
    </row>
    <row r="1583" spans="1:35" x14ac:dyDescent="0.2">
      <c r="A1583" s="66">
        <f t="shared" si="74"/>
      </c>
      <c r="B1583" s="4"/>
      <c r="C1583" s="4"/>
      <c r="D1583" s="4"/>
      <c r="E1583" s="4"/>
      <c r="F1583" s="24"/>
      <c r="G1583" s="8"/>
      <c r="H1583" s="9"/>
      <c r="I1583" s="8"/>
      <c r="J1583" s="10"/>
      <c r="K1583" s="8"/>
      <c r="L1583" s="8"/>
      <c r="M1583" s="8"/>
      <c r="N1583" s="11"/>
      <c r="O1583" s="9"/>
      <c r="P1583" s="12"/>
      <c r="Q1583" s="9"/>
      <c r="R1583" s="13"/>
      <c r="S1583" s="11"/>
      <c r="T1583" s="11"/>
      <c r="U1583" s="9"/>
      <c r="V1583" s="9"/>
      <c r="W1583" s="9"/>
      <c r="X1583" s="16"/>
      <c r="AF1583" s="42">
        <f>IF(BUSCAR!$C$8="FECHA NAC.",$G1583,IF(BUSCAR!$C$8="PASAPORTE EXPIRA",$J1583,IF(BUSCAR!$C$8="LICENCIA EMISION",$L1583,IF(BUSCAR!$C$8="LICENCIA EXPIRA",$M1583,""))))</f>
      </c>
      <c r="AG1583" s="42">
        <f>IF($B1583&amp;$C1583&amp;$D1583&amp;$E1583&amp;$H1583="",0,IF(AND(OR(BUSCAR!$J$5="",ISNUMBER(SEARCH(BUSCAR!$J$5,$AI1583))),OR(BUSCAR!$J$6="",ISNUMBER(SEARCH(BUSCAR!$J$6,$AI1583))),OR(BUSCAR!$J$8="",ISNUMBER(SEARCH(BUSCAR!$J$8,$AI1583))),OR(BUSCAR!$J$9="",ISNUMBER(SEARCH(BUSCAR!$J$9,$AI1583))),OR(NOT(BUSCAR!$J$2),AND(ISNUMBER($AF1583),$AF1583&gt;=BUSCAR!$J$3,$AF1583&lt;=BUSCAR!$J$4))),1,0))</f>
      </c>
      <c r="AH1583" s="42">
        <f t="shared" si="72"/>
      </c>
      <c r="AI1583" s="42">
        <f t="shared" si="73"/>
      </c>
    </row>
    <row r="1584" spans="1:35" x14ac:dyDescent="0.2">
      <c r="A1584" s="66">
        <f t="shared" si="74"/>
      </c>
      <c r="B1584" s="4"/>
      <c r="C1584" s="4"/>
      <c r="D1584" s="4"/>
      <c r="E1584" s="4"/>
      <c r="F1584" s="24"/>
      <c r="G1584" s="8"/>
      <c r="H1584" s="9"/>
      <c r="I1584" s="8"/>
      <c r="J1584" s="10"/>
      <c r="K1584" s="8"/>
      <c r="L1584" s="8"/>
      <c r="M1584" s="8"/>
      <c r="N1584" s="11"/>
      <c r="O1584" s="9"/>
      <c r="P1584" s="12"/>
      <c r="Q1584" s="9"/>
      <c r="R1584" s="13"/>
      <c r="S1584" s="11"/>
      <c r="T1584" s="11"/>
      <c r="U1584" s="9"/>
      <c r="V1584" s="9"/>
      <c r="W1584" s="9"/>
      <c r="X1584" s="16"/>
      <c r="AF1584" s="42">
        <f>IF(BUSCAR!$C$8="FECHA NAC.",$G1584,IF(BUSCAR!$C$8="PASAPORTE EXPIRA",$J1584,IF(BUSCAR!$C$8="LICENCIA EMISION",$L1584,IF(BUSCAR!$C$8="LICENCIA EXPIRA",$M1584,""))))</f>
      </c>
      <c r="AG1584" s="42">
        <f>IF($B1584&amp;$C1584&amp;$D1584&amp;$E1584&amp;$H1584="",0,IF(AND(OR(BUSCAR!$J$5="",ISNUMBER(SEARCH(BUSCAR!$J$5,$AI1584))),OR(BUSCAR!$J$6="",ISNUMBER(SEARCH(BUSCAR!$J$6,$AI1584))),OR(BUSCAR!$J$8="",ISNUMBER(SEARCH(BUSCAR!$J$8,$AI1584))),OR(BUSCAR!$J$9="",ISNUMBER(SEARCH(BUSCAR!$J$9,$AI1584))),OR(NOT(BUSCAR!$J$2),AND(ISNUMBER($AF1584),$AF1584&gt;=BUSCAR!$J$3,$AF1584&lt;=BUSCAR!$J$4))),1,0))</f>
      </c>
      <c r="AH1584" s="42">
        <f t="shared" si="72"/>
      </c>
      <c r="AI1584" s="42">
        <f t="shared" si="73"/>
      </c>
    </row>
    <row r="1585" spans="1:35" x14ac:dyDescent="0.2">
      <c r="A1585" s="66">
        <f t="shared" si="74"/>
      </c>
      <c r="B1585" s="4"/>
      <c r="C1585" s="4"/>
      <c r="D1585" s="4"/>
      <c r="E1585" s="4"/>
      <c r="F1585" s="24"/>
      <c r="G1585" s="8"/>
      <c r="H1585" s="9"/>
      <c r="I1585" s="8"/>
      <c r="J1585" s="10"/>
      <c r="K1585" s="8"/>
      <c r="L1585" s="8"/>
      <c r="M1585" s="8"/>
      <c r="N1585" s="11"/>
      <c r="O1585" s="9"/>
      <c r="P1585" s="12"/>
      <c r="Q1585" s="9"/>
      <c r="R1585" s="13"/>
      <c r="S1585" s="11"/>
      <c r="T1585" s="11"/>
      <c r="U1585" s="9"/>
      <c r="V1585" s="9"/>
      <c r="W1585" s="9"/>
      <c r="X1585" s="16"/>
      <c r="AF1585" s="42">
        <f>IF(BUSCAR!$C$8="FECHA NAC.",$G1585,IF(BUSCAR!$C$8="PASAPORTE EXPIRA",$J1585,IF(BUSCAR!$C$8="LICENCIA EMISION",$L1585,IF(BUSCAR!$C$8="LICENCIA EXPIRA",$M1585,""))))</f>
      </c>
      <c r="AG1585" s="42">
        <f>IF($B1585&amp;$C1585&amp;$D1585&amp;$E1585&amp;$H1585="",0,IF(AND(OR(BUSCAR!$J$5="",ISNUMBER(SEARCH(BUSCAR!$J$5,$AI1585))),OR(BUSCAR!$J$6="",ISNUMBER(SEARCH(BUSCAR!$J$6,$AI1585))),OR(BUSCAR!$J$8="",ISNUMBER(SEARCH(BUSCAR!$J$8,$AI1585))),OR(BUSCAR!$J$9="",ISNUMBER(SEARCH(BUSCAR!$J$9,$AI1585))),OR(NOT(BUSCAR!$J$2),AND(ISNUMBER($AF1585),$AF1585&gt;=BUSCAR!$J$3,$AF1585&lt;=BUSCAR!$J$4))),1,0))</f>
      </c>
      <c r="AH1585" s="42">
        <f t="shared" si="72"/>
      </c>
      <c r="AI1585" s="42">
        <f t="shared" si="73"/>
      </c>
    </row>
    <row r="1586" spans="1:35" x14ac:dyDescent="0.2">
      <c r="A1586" s="66">
        <f t="shared" si="74"/>
      </c>
      <c r="B1586" s="4"/>
      <c r="C1586" s="4"/>
      <c r="D1586" s="4"/>
      <c r="E1586" s="4"/>
      <c r="F1586" s="24"/>
      <c r="G1586" s="8"/>
      <c r="H1586" s="9"/>
      <c r="I1586" s="8"/>
      <c r="J1586" s="10"/>
      <c r="K1586" s="8"/>
      <c r="L1586" s="8"/>
      <c r="M1586" s="8"/>
      <c r="N1586" s="11"/>
      <c r="O1586" s="9"/>
      <c r="P1586" s="12"/>
      <c r="Q1586" s="9"/>
      <c r="R1586" s="13"/>
      <c r="S1586" s="11"/>
      <c r="T1586" s="11"/>
      <c r="U1586" s="9"/>
      <c r="V1586" s="9"/>
      <c r="W1586" s="9"/>
      <c r="X1586" s="16"/>
      <c r="AF1586" s="42">
        <f>IF(BUSCAR!$C$8="FECHA NAC.",$G1586,IF(BUSCAR!$C$8="PASAPORTE EXPIRA",$J1586,IF(BUSCAR!$C$8="LICENCIA EMISION",$L1586,IF(BUSCAR!$C$8="LICENCIA EXPIRA",$M1586,""))))</f>
      </c>
      <c r="AG1586" s="42">
        <f>IF($B1586&amp;$C1586&amp;$D1586&amp;$E1586&amp;$H1586="",0,IF(AND(OR(BUSCAR!$J$5="",ISNUMBER(SEARCH(BUSCAR!$J$5,$AI1586))),OR(BUSCAR!$J$6="",ISNUMBER(SEARCH(BUSCAR!$J$6,$AI1586))),OR(BUSCAR!$J$8="",ISNUMBER(SEARCH(BUSCAR!$J$8,$AI1586))),OR(BUSCAR!$J$9="",ISNUMBER(SEARCH(BUSCAR!$J$9,$AI1586))),OR(NOT(BUSCAR!$J$2),AND(ISNUMBER($AF1586),$AF1586&gt;=BUSCAR!$J$3,$AF1586&lt;=BUSCAR!$J$4))),1,0))</f>
      </c>
      <c r="AH1586" s="42">
        <f t="shared" si="72"/>
      </c>
      <c r="AI1586" s="42">
        <f t="shared" si="73"/>
      </c>
    </row>
    <row r="1587" spans="1:35" x14ac:dyDescent="0.2">
      <c r="A1587" s="66">
        <f t="shared" si="74"/>
      </c>
      <c r="B1587" s="4"/>
      <c r="C1587" s="4"/>
      <c r="D1587" s="4"/>
      <c r="E1587" s="4"/>
      <c r="F1587" s="24"/>
      <c r="G1587" s="8"/>
      <c r="H1587" s="9"/>
      <c r="I1587" s="8"/>
      <c r="J1587" s="10"/>
      <c r="K1587" s="8"/>
      <c r="L1587" s="8"/>
      <c r="M1587" s="8"/>
      <c r="N1587" s="11"/>
      <c r="O1587" s="9"/>
      <c r="P1587" s="12"/>
      <c r="Q1587" s="9"/>
      <c r="R1587" s="13"/>
      <c r="S1587" s="11"/>
      <c r="T1587" s="11"/>
      <c r="U1587" s="9"/>
      <c r="V1587" s="9"/>
      <c r="W1587" s="9"/>
      <c r="X1587" s="16"/>
      <c r="AF1587" s="42">
        <f>IF(BUSCAR!$C$8="FECHA NAC.",$G1587,IF(BUSCAR!$C$8="PASAPORTE EXPIRA",$J1587,IF(BUSCAR!$C$8="LICENCIA EMISION",$L1587,IF(BUSCAR!$C$8="LICENCIA EXPIRA",$M1587,""))))</f>
      </c>
      <c r="AG1587" s="42">
        <f>IF($B1587&amp;$C1587&amp;$D1587&amp;$E1587&amp;$H1587="",0,IF(AND(OR(BUSCAR!$J$5="",ISNUMBER(SEARCH(BUSCAR!$J$5,$AI1587))),OR(BUSCAR!$J$6="",ISNUMBER(SEARCH(BUSCAR!$J$6,$AI1587))),OR(BUSCAR!$J$8="",ISNUMBER(SEARCH(BUSCAR!$J$8,$AI1587))),OR(BUSCAR!$J$9="",ISNUMBER(SEARCH(BUSCAR!$J$9,$AI1587))),OR(NOT(BUSCAR!$J$2),AND(ISNUMBER($AF1587),$AF1587&gt;=BUSCAR!$J$3,$AF1587&lt;=BUSCAR!$J$4))),1,0))</f>
      </c>
      <c r="AH1587" s="42">
        <f t="shared" si="72"/>
      </c>
      <c r="AI1587" s="42">
        <f t="shared" si="73"/>
      </c>
    </row>
    <row r="1588" spans="1:35" x14ac:dyDescent="0.2">
      <c r="A1588" s="66">
        <f t="shared" si="74"/>
      </c>
      <c r="B1588" s="4"/>
      <c r="C1588" s="4"/>
      <c r="D1588" s="4"/>
      <c r="E1588" s="4"/>
      <c r="F1588" s="24"/>
      <c r="G1588" s="8"/>
      <c r="H1588" s="9"/>
      <c r="I1588" s="8"/>
      <c r="J1588" s="10"/>
      <c r="K1588" s="8"/>
      <c r="L1588" s="8"/>
      <c r="M1588" s="8"/>
      <c r="N1588" s="11"/>
      <c r="O1588" s="9"/>
      <c r="P1588" s="12"/>
      <c r="Q1588" s="9"/>
      <c r="R1588" s="13"/>
      <c r="S1588" s="11"/>
      <c r="T1588" s="11"/>
      <c r="U1588" s="9"/>
      <c r="V1588" s="9"/>
      <c r="W1588" s="9"/>
      <c r="X1588" s="16"/>
      <c r="AF1588" s="42">
        <f>IF(BUSCAR!$C$8="FECHA NAC.",$G1588,IF(BUSCAR!$C$8="PASAPORTE EXPIRA",$J1588,IF(BUSCAR!$C$8="LICENCIA EMISION",$L1588,IF(BUSCAR!$C$8="LICENCIA EXPIRA",$M1588,""))))</f>
      </c>
      <c r="AG1588" s="42">
        <f>IF($B1588&amp;$C1588&amp;$D1588&amp;$E1588&amp;$H1588="",0,IF(AND(OR(BUSCAR!$J$5="",ISNUMBER(SEARCH(BUSCAR!$J$5,$AI1588))),OR(BUSCAR!$J$6="",ISNUMBER(SEARCH(BUSCAR!$J$6,$AI1588))),OR(BUSCAR!$J$8="",ISNUMBER(SEARCH(BUSCAR!$J$8,$AI1588))),OR(BUSCAR!$J$9="",ISNUMBER(SEARCH(BUSCAR!$J$9,$AI1588))),OR(NOT(BUSCAR!$J$2),AND(ISNUMBER($AF1588),$AF1588&gt;=BUSCAR!$J$3,$AF1588&lt;=BUSCAR!$J$4))),1,0))</f>
      </c>
      <c r="AH1588" s="42">
        <f t="shared" si="72"/>
      </c>
      <c r="AI1588" s="42">
        <f t="shared" si="73"/>
      </c>
    </row>
    <row r="1589" spans="1:35" x14ac:dyDescent="0.2">
      <c r="A1589" s="66">
        <f t="shared" si="74"/>
      </c>
      <c r="B1589" s="4"/>
      <c r="C1589" s="4"/>
      <c r="D1589" s="4"/>
      <c r="E1589" s="4"/>
      <c r="F1589" s="24"/>
      <c r="G1589" s="8"/>
      <c r="H1589" s="9"/>
      <c r="I1589" s="8"/>
      <c r="J1589" s="10"/>
      <c r="K1589" s="8"/>
      <c r="L1589" s="8"/>
      <c r="M1589" s="8"/>
      <c r="N1589" s="11"/>
      <c r="O1589" s="9"/>
      <c r="P1589" s="12"/>
      <c r="Q1589" s="9"/>
      <c r="R1589" s="13"/>
      <c r="S1589" s="11"/>
      <c r="T1589" s="11"/>
      <c r="U1589" s="9"/>
      <c r="V1589" s="9"/>
      <c r="W1589" s="9"/>
      <c r="X1589" s="16"/>
      <c r="AF1589" s="42">
        <f>IF(BUSCAR!$C$8="FECHA NAC.",$G1589,IF(BUSCAR!$C$8="PASAPORTE EXPIRA",$J1589,IF(BUSCAR!$C$8="LICENCIA EMISION",$L1589,IF(BUSCAR!$C$8="LICENCIA EXPIRA",$M1589,""))))</f>
      </c>
      <c r="AG1589" s="42">
        <f>IF($B1589&amp;$C1589&amp;$D1589&amp;$E1589&amp;$H1589="",0,IF(AND(OR(BUSCAR!$J$5="",ISNUMBER(SEARCH(BUSCAR!$J$5,$AI1589))),OR(BUSCAR!$J$6="",ISNUMBER(SEARCH(BUSCAR!$J$6,$AI1589))),OR(BUSCAR!$J$8="",ISNUMBER(SEARCH(BUSCAR!$J$8,$AI1589))),OR(BUSCAR!$J$9="",ISNUMBER(SEARCH(BUSCAR!$J$9,$AI1589))),OR(NOT(BUSCAR!$J$2),AND(ISNUMBER($AF1589),$AF1589&gt;=BUSCAR!$J$3,$AF1589&lt;=BUSCAR!$J$4))),1,0))</f>
      </c>
      <c r="AH1589" s="42">
        <f t="shared" si="72"/>
      </c>
      <c r="AI1589" s="42">
        <f t="shared" si="73"/>
      </c>
    </row>
    <row r="1590" spans="1:35" x14ac:dyDescent="0.2">
      <c r="A1590" s="66">
        <f t="shared" si="74"/>
      </c>
      <c r="B1590" s="4"/>
      <c r="C1590" s="4"/>
      <c r="D1590" s="4"/>
      <c r="E1590" s="4"/>
      <c r="F1590" s="24"/>
      <c r="G1590" s="8"/>
      <c r="H1590" s="9"/>
      <c r="I1590" s="8"/>
      <c r="J1590" s="10"/>
      <c r="K1590" s="8"/>
      <c r="L1590" s="8"/>
      <c r="M1590" s="8"/>
      <c r="N1590" s="11"/>
      <c r="O1590" s="9"/>
      <c r="P1590" s="12"/>
      <c r="Q1590" s="9"/>
      <c r="R1590" s="13"/>
      <c r="S1590" s="11"/>
      <c r="T1590" s="11"/>
      <c r="U1590" s="9"/>
      <c r="V1590" s="9"/>
      <c r="W1590" s="9"/>
      <c r="X1590" s="16"/>
      <c r="AF1590" s="42">
        <f>IF(BUSCAR!$C$8="FECHA NAC.",$G1590,IF(BUSCAR!$C$8="PASAPORTE EXPIRA",$J1590,IF(BUSCAR!$C$8="LICENCIA EMISION",$L1590,IF(BUSCAR!$C$8="LICENCIA EXPIRA",$M1590,""))))</f>
      </c>
      <c r="AG1590" s="42">
        <f>IF($B1590&amp;$C1590&amp;$D1590&amp;$E1590&amp;$H1590="",0,IF(AND(OR(BUSCAR!$J$5="",ISNUMBER(SEARCH(BUSCAR!$J$5,$AI1590))),OR(BUSCAR!$J$6="",ISNUMBER(SEARCH(BUSCAR!$J$6,$AI1590))),OR(BUSCAR!$J$8="",ISNUMBER(SEARCH(BUSCAR!$J$8,$AI1590))),OR(BUSCAR!$J$9="",ISNUMBER(SEARCH(BUSCAR!$J$9,$AI1590))),OR(NOT(BUSCAR!$J$2),AND(ISNUMBER($AF1590),$AF1590&gt;=BUSCAR!$J$3,$AF1590&lt;=BUSCAR!$J$4))),1,0))</f>
      </c>
      <c r="AH1590" s="42">
        <f t="shared" si="72"/>
      </c>
      <c r="AI1590" s="42">
        <f t="shared" si="73"/>
      </c>
    </row>
    <row r="1591" spans="1:35" x14ac:dyDescent="0.2">
      <c r="A1591" s="66">
        <f t="shared" si="74"/>
      </c>
      <c r="B1591" s="4"/>
      <c r="C1591" s="4"/>
      <c r="D1591" s="4"/>
      <c r="E1591" s="4"/>
      <c r="F1591" s="24"/>
      <c r="G1591" s="8"/>
      <c r="H1591" s="9"/>
      <c r="I1591" s="8"/>
      <c r="J1591" s="10"/>
      <c r="K1591" s="8"/>
      <c r="L1591" s="8"/>
      <c r="M1591" s="8"/>
      <c r="N1591" s="11"/>
      <c r="O1591" s="9"/>
      <c r="P1591" s="12"/>
      <c r="Q1591" s="9"/>
      <c r="R1591" s="13"/>
      <c r="S1591" s="11"/>
      <c r="T1591" s="11"/>
      <c r="U1591" s="9"/>
      <c r="V1591" s="9"/>
      <c r="W1591" s="9"/>
      <c r="X1591" s="16"/>
      <c r="AF1591" s="42">
        <f>IF(BUSCAR!$C$8="FECHA NAC.",$G1591,IF(BUSCAR!$C$8="PASAPORTE EXPIRA",$J1591,IF(BUSCAR!$C$8="LICENCIA EMISION",$L1591,IF(BUSCAR!$C$8="LICENCIA EXPIRA",$M1591,""))))</f>
      </c>
      <c r="AG1591" s="42">
        <f>IF($B1591&amp;$C1591&amp;$D1591&amp;$E1591&amp;$H1591="",0,IF(AND(OR(BUSCAR!$J$5="",ISNUMBER(SEARCH(BUSCAR!$J$5,$AI1591))),OR(BUSCAR!$J$6="",ISNUMBER(SEARCH(BUSCAR!$J$6,$AI1591))),OR(BUSCAR!$J$8="",ISNUMBER(SEARCH(BUSCAR!$J$8,$AI1591))),OR(BUSCAR!$J$9="",ISNUMBER(SEARCH(BUSCAR!$J$9,$AI1591))),OR(NOT(BUSCAR!$J$2),AND(ISNUMBER($AF1591),$AF1591&gt;=BUSCAR!$J$3,$AF1591&lt;=BUSCAR!$J$4))),1,0))</f>
      </c>
      <c r="AH1591" s="42">
        <f t="shared" si="72"/>
      </c>
      <c r="AI1591" s="42">
        <f t="shared" si="73"/>
      </c>
    </row>
    <row r="1592" spans="1:35" x14ac:dyDescent="0.2">
      <c r="A1592" s="66">
        <f t="shared" si="74"/>
      </c>
      <c r="B1592" s="4"/>
      <c r="C1592" s="4"/>
      <c r="D1592" s="4"/>
      <c r="E1592" s="4"/>
      <c r="F1592" s="24"/>
      <c r="G1592" s="8"/>
      <c r="H1592" s="9"/>
      <c r="I1592" s="8"/>
      <c r="J1592" s="10"/>
      <c r="K1592" s="8"/>
      <c r="L1592" s="8"/>
      <c r="M1592" s="8"/>
      <c r="N1592" s="11"/>
      <c r="O1592" s="9"/>
      <c r="P1592" s="12"/>
      <c r="Q1592" s="9"/>
      <c r="R1592" s="13"/>
      <c r="S1592" s="11"/>
      <c r="T1592" s="11"/>
      <c r="U1592" s="9"/>
      <c r="V1592" s="9"/>
      <c r="W1592" s="9"/>
      <c r="X1592" s="16"/>
      <c r="AF1592" s="42">
        <f>IF(BUSCAR!$C$8="FECHA NAC.",$G1592,IF(BUSCAR!$C$8="PASAPORTE EXPIRA",$J1592,IF(BUSCAR!$C$8="LICENCIA EMISION",$L1592,IF(BUSCAR!$C$8="LICENCIA EXPIRA",$M1592,""))))</f>
      </c>
      <c r="AG1592" s="42">
        <f>IF($B1592&amp;$C1592&amp;$D1592&amp;$E1592&amp;$H1592="",0,IF(AND(OR(BUSCAR!$J$5="",ISNUMBER(SEARCH(BUSCAR!$J$5,$AI1592))),OR(BUSCAR!$J$6="",ISNUMBER(SEARCH(BUSCAR!$J$6,$AI1592))),OR(BUSCAR!$J$8="",ISNUMBER(SEARCH(BUSCAR!$J$8,$AI1592))),OR(BUSCAR!$J$9="",ISNUMBER(SEARCH(BUSCAR!$J$9,$AI1592))),OR(NOT(BUSCAR!$J$2),AND(ISNUMBER($AF1592),$AF1592&gt;=BUSCAR!$J$3,$AF1592&lt;=BUSCAR!$J$4))),1,0))</f>
      </c>
      <c r="AH1592" s="42">
        <f t="shared" si="72"/>
      </c>
      <c r="AI1592" s="42">
        <f t="shared" si="73"/>
      </c>
    </row>
    <row r="1593" spans="1:35" x14ac:dyDescent="0.2">
      <c r="A1593" s="66">
        <f t="shared" si="74"/>
      </c>
      <c r="B1593" s="4"/>
      <c r="C1593" s="4"/>
      <c r="D1593" s="4"/>
      <c r="E1593" s="4"/>
      <c r="F1593" s="24"/>
      <c r="G1593" s="8"/>
      <c r="H1593" s="9"/>
      <c r="I1593" s="8"/>
      <c r="J1593" s="10"/>
      <c r="K1593" s="8"/>
      <c r="L1593" s="8"/>
      <c r="M1593" s="8"/>
      <c r="N1593" s="11"/>
      <c r="O1593" s="9"/>
      <c r="P1593" s="12"/>
      <c r="Q1593" s="9"/>
      <c r="R1593" s="13"/>
      <c r="S1593" s="11"/>
      <c r="T1593" s="11"/>
      <c r="U1593" s="9"/>
      <c r="V1593" s="9"/>
      <c r="W1593" s="9"/>
      <c r="X1593" s="16"/>
      <c r="AF1593" s="42">
        <f>IF(BUSCAR!$C$8="FECHA NAC.",$G1593,IF(BUSCAR!$C$8="PASAPORTE EXPIRA",$J1593,IF(BUSCAR!$C$8="LICENCIA EMISION",$L1593,IF(BUSCAR!$C$8="LICENCIA EXPIRA",$M1593,""))))</f>
      </c>
      <c r="AG1593" s="42">
        <f>IF($B1593&amp;$C1593&amp;$D1593&amp;$E1593&amp;$H1593="",0,IF(AND(OR(BUSCAR!$J$5="",ISNUMBER(SEARCH(BUSCAR!$J$5,$AI1593))),OR(BUSCAR!$J$6="",ISNUMBER(SEARCH(BUSCAR!$J$6,$AI1593))),OR(BUSCAR!$J$8="",ISNUMBER(SEARCH(BUSCAR!$J$8,$AI1593))),OR(BUSCAR!$J$9="",ISNUMBER(SEARCH(BUSCAR!$J$9,$AI1593))),OR(NOT(BUSCAR!$J$2),AND(ISNUMBER($AF1593),$AF1593&gt;=BUSCAR!$J$3,$AF1593&lt;=BUSCAR!$J$4))),1,0))</f>
      </c>
      <c r="AH1593" s="42">
        <f t="shared" si="72"/>
      </c>
      <c r="AI1593" s="42">
        <f t="shared" si="73"/>
      </c>
    </row>
    <row r="1594" spans="1:35" x14ac:dyDescent="0.2">
      <c r="A1594" s="66">
        <f t="shared" si="74"/>
      </c>
      <c r="B1594" s="4"/>
      <c r="C1594" s="4"/>
      <c r="D1594" s="4"/>
      <c r="E1594" s="4"/>
      <c r="F1594" s="24"/>
      <c r="G1594" s="8"/>
      <c r="H1594" s="9"/>
      <c r="I1594" s="8"/>
      <c r="J1594" s="10"/>
      <c r="K1594" s="8"/>
      <c r="L1594" s="8"/>
      <c r="M1594" s="8"/>
      <c r="N1594" s="11"/>
      <c r="O1594" s="9"/>
      <c r="P1594" s="12"/>
      <c r="Q1594" s="9"/>
      <c r="R1594" s="13"/>
      <c r="S1594" s="11"/>
      <c r="T1594" s="11"/>
      <c r="U1594" s="9"/>
      <c r="V1594" s="9"/>
      <c r="W1594" s="9"/>
      <c r="X1594" s="16"/>
      <c r="AF1594" s="42">
        <f>IF(BUSCAR!$C$8="FECHA NAC.",$G1594,IF(BUSCAR!$C$8="PASAPORTE EXPIRA",$J1594,IF(BUSCAR!$C$8="LICENCIA EMISION",$L1594,IF(BUSCAR!$C$8="LICENCIA EXPIRA",$M1594,""))))</f>
      </c>
      <c r="AG1594" s="42">
        <f>IF($B1594&amp;$C1594&amp;$D1594&amp;$E1594&amp;$H1594="",0,IF(AND(OR(BUSCAR!$J$5="",ISNUMBER(SEARCH(BUSCAR!$J$5,$AI1594))),OR(BUSCAR!$J$6="",ISNUMBER(SEARCH(BUSCAR!$J$6,$AI1594))),OR(BUSCAR!$J$8="",ISNUMBER(SEARCH(BUSCAR!$J$8,$AI1594))),OR(BUSCAR!$J$9="",ISNUMBER(SEARCH(BUSCAR!$J$9,$AI1594))),OR(NOT(BUSCAR!$J$2),AND(ISNUMBER($AF1594),$AF1594&gt;=BUSCAR!$J$3,$AF1594&lt;=BUSCAR!$J$4))),1,0))</f>
      </c>
      <c r="AH1594" s="42">
        <f t="shared" si="72"/>
      </c>
      <c r="AI1594" s="42">
        <f t="shared" si="73"/>
      </c>
    </row>
    <row r="1595" spans="1:35" x14ac:dyDescent="0.2">
      <c r="A1595" s="66">
        <f t="shared" si="74"/>
      </c>
      <c r="B1595" s="4"/>
      <c r="C1595" s="4"/>
      <c r="D1595" s="4"/>
      <c r="E1595" s="4"/>
      <c r="F1595" s="24"/>
      <c r="G1595" s="8"/>
      <c r="H1595" s="9"/>
      <c r="I1595" s="8"/>
      <c r="J1595" s="10"/>
      <c r="K1595" s="8"/>
      <c r="L1595" s="8"/>
      <c r="M1595" s="8"/>
      <c r="N1595" s="11"/>
      <c r="O1595" s="9"/>
      <c r="P1595" s="12"/>
      <c r="Q1595" s="9"/>
      <c r="R1595" s="13"/>
      <c r="S1595" s="11"/>
      <c r="T1595" s="11"/>
      <c r="U1595" s="9"/>
      <c r="V1595" s="9"/>
      <c r="W1595" s="9"/>
      <c r="X1595" s="16"/>
      <c r="AF1595" s="42">
        <f>IF(BUSCAR!$C$8="FECHA NAC.",$G1595,IF(BUSCAR!$C$8="PASAPORTE EXPIRA",$J1595,IF(BUSCAR!$C$8="LICENCIA EMISION",$L1595,IF(BUSCAR!$C$8="LICENCIA EXPIRA",$M1595,""))))</f>
      </c>
      <c r="AG1595" s="42">
        <f>IF($B1595&amp;$C1595&amp;$D1595&amp;$E1595&amp;$H1595="",0,IF(AND(OR(BUSCAR!$J$5="",ISNUMBER(SEARCH(BUSCAR!$J$5,$AI1595))),OR(BUSCAR!$J$6="",ISNUMBER(SEARCH(BUSCAR!$J$6,$AI1595))),OR(BUSCAR!$J$8="",ISNUMBER(SEARCH(BUSCAR!$J$8,$AI1595))),OR(BUSCAR!$J$9="",ISNUMBER(SEARCH(BUSCAR!$J$9,$AI1595))),OR(NOT(BUSCAR!$J$2),AND(ISNUMBER($AF1595),$AF1595&gt;=BUSCAR!$J$3,$AF1595&lt;=BUSCAR!$J$4))),1,0))</f>
      </c>
      <c r="AH1595" s="42">
        <f t="shared" si="72"/>
      </c>
      <c r="AI1595" s="42">
        <f t="shared" si="73"/>
      </c>
    </row>
    <row r="1596" spans="1:35" x14ac:dyDescent="0.2">
      <c r="A1596" s="66">
        <f t="shared" si="74"/>
      </c>
      <c r="B1596" s="4"/>
      <c r="C1596" s="4"/>
      <c r="D1596" s="4"/>
      <c r="E1596" s="4"/>
      <c r="F1596" s="24"/>
      <c r="G1596" s="8"/>
      <c r="H1596" s="9"/>
      <c r="I1596" s="8"/>
      <c r="J1596" s="10"/>
      <c r="K1596" s="8"/>
      <c r="L1596" s="8"/>
      <c r="M1596" s="8"/>
      <c r="N1596" s="11"/>
      <c r="O1596" s="9"/>
      <c r="P1596" s="12"/>
      <c r="Q1596" s="9"/>
      <c r="R1596" s="13"/>
      <c r="S1596" s="11"/>
      <c r="T1596" s="11"/>
      <c r="U1596" s="9"/>
      <c r="V1596" s="9"/>
      <c r="W1596" s="9"/>
      <c r="X1596" s="16"/>
      <c r="AF1596" s="42">
        <f>IF(BUSCAR!$C$8="FECHA NAC.",$G1596,IF(BUSCAR!$C$8="PASAPORTE EXPIRA",$J1596,IF(BUSCAR!$C$8="LICENCIA EMISION",$L1596,IF(BUSCAR!$C$8="LICENCIA EXPIRA",$M1596,""))))</f>
      </c>
      <c r="AG1596" s="42">
        <f>IF($B1596&amp;$C1596&amp;$D1596&amp;$E1596&amp;$H1596="",0,IF(AND(OR(BUSCAR!$J$5="",ISNUMBER(SEARCH(BUSCAR!$J$5,$AI1596))),OR(BUSCAR!$J$6="",ISNUMBER(SEARCH(BUSCAR!$J$6,$AI1596))),OR(BUSCAR!$J$8="",ISNUMBER(SEARCH(BUSCAR!$J$8,$AI1596))),OR(BUSCAR!$J$9="",ISNUMBER(SEARCH(BUSCAR!$J$9,$AI1596))),OR(NOT(BUSCAR!$J$2),AND(ISNUMBER($AF1596),$AF1596&gt;=BUSCAR!$J$3,$AF1596&lt;=BUSCAR!$J$4))),1,0))</f>
      </c>
      <c r="AH1596" s="42">
        <f t="shared" si="72"/>
      </c>
      <c r="AI1596" s="42">
        <f t="shared" si="73"/>
      </c>
    </row>
    <row r="1597" spans="1:35" x14ac:dyDescent="0.2">
      <c r="A1597" s="66">
        <f t="shared" si="74"/>
      </c>
      <c r="B1597" s="4"/>
      <c r="C1597" s="4"/>
      <c r="D1597" s="4"/>
      <c r="E1597" s="4"/>
      <c r="F1597" s="24"/>
      <c r="G1597" s="8"/>
      <c r="H1597" s="9"/>
      <c r="I1597" s="8"/>
      <c r="J1597" s="10"/>
      <c r="K1597" s="8"/>
      <c r="L1597" s="8"/>
      <c r="M1597" s="8"/>
      <c r="N1597" s="11"/>
      <c r="O1597" s="9"/>
      <c r="P1597" s="12"/>
      <c r="Q1597" s="9"/>
      <c r="R1597" s="13"/>
      <c r="S1597" s="11"/>
      <c r="T1597" s="11"/>
      <c r="U1597" s="9"/>
      <c r="V1597" s="9"/>
      <c r="W1597" s="9"/>
      <c r="X1597" s="16"/>
      <c r="AF1597" s="42">
        <f>IF(BUSCAR!$C$8="FECHA NAC.",$G1597,IF(BUSCAR!$C$8="PASAPORTE EXPIRA",$J1597,IF(BUSCAR!$C$8="LICENCIA EMISION",$L1597,IF(BUSCAR!$C$8="LICENCIA EXPIRA",$M1597,""))))</f>
      </c>
      <c r="AG1597" s="42">
        <f>IF($B1597&amp;$C1597&amp;$D1597&amp;$E1597&amp;$H1597="",0,IF(AND(OR(BUSCAR!$J$5="",ISNUMBER(SEARCH(BUSCAR!$J$5,$AI1597))),OR(BUSCAR!$J$6="",ISNUMBER(SEARCH(BUSCAR!$J$6,$AI1597))),OR(BUSCAR!$J$8="",ISNUMBER(SEARCH(BUSCAR!$J$8,$AI1597))),OR(BUSCAR!$J$9="",ISNUMBER(SEARCH(BUSCAR!$J$9,$AI1597))),OR(NOT(BUSCAR!$J$2),AND(ISNUMBER($AF1597),$AF1597&gt;=BUSCAR!$J$3,$AF1597&lt;=BUSCAR!$J$4))),1,0))</f>
      </c>
      <c r="AH1597" s="42">
        <f t="shared" si="72"/>
      </c>
      <c r="AI1597" s="42">
        <f t="shared" si="73"/>
      </c>
    </row>
    <row r="1598" spans="1:35" x14ac:dyDescent="0.2">
      <c r="A1598" s="66">
        <f t="shared" si="74"/>
      </c>
      <c r="B1598" s="4"/>
      <c r="C1598" s="4"/>
      <c r="D1598" s="4"/>
      <c r="E1598" s="4"/>
      <c r="F1598" s="24"/>
      <c r="G1598" s="8"/>
      <c r="H1598" s="9"/>
      <c r="I1598" s="8"/>
      <c r="J1598" s="10"/>
      <c r="K1598" s="8"/>
      <c r="L1598" s="8"/>
      <c r="M1598" s="8"/>
      <c r="N1598" s="11"/>
      <c r="O1598" s="9"/>
      <c r="P1598" s="12"/>
      <c r="Q1598" s="9"/>
      <c r="R1598" s="13"/>
      <c r="S1598" s="11"/>
      <c r="T1598" s="11"/>
      <c r="U1598" s="9"/>
      <c r="V1598" s="9"/>
      <c r="W1598" s="9"/>
      <c r="X1598" s="16"/>
      <c r="AF1598" s="42">
        <f>IF(BUSCAR!$C$8="FECHA NAC.",$G1598,IF(BUSCAR!$C$8="PASAPORTE EXPIRA",$J1598,IF(BUSCAR!$C$8="LICENCIA EMISION",$L1598,IF(BUSCAR!$C$8="LICENCIA EXPIRA",$M1598,""))))</f>
      </c>
      <c r="AG1598" s="42">
        <f>IF($B1598&amp;$C1598&amp;$D1598&amp;$E1598&amp;$H1598="",0,IF(AND(OR(BUSCAR!$J$5="",ISNUMBER(SEARCH(BUSCAR!$J$5,$AI1598))),OR(BUSCAR!$J$6="",ISNUMBER(SEARCH(BUSCAR!$J$6,$AI1598))),OR(BUSCAR!$J$8="",ISNUMBER(SEARCH(BUSCAR!$J$8,$AI1598))),OR(BUSCAR!$J$9="",ISNUMBER(SEARCH(BUSCAR!$J$9,$AI1598))),OR(NOT(BUSCAR!$J$2),AND(ISNUMBER($AF1598),$AF1598&gt;=BUSCAR!$J$3,$AF1598&lt;=BUSCAR!$J$4))),1,0))</f>
      </c>
      <c r="AH1598" s="42">
        <f t="shared" si="72"/>
      </c>
      <c r="AI1598" s="42">
        <f t="shared" si="73"/>
      </c>
    </row>
    <row r="1599" spans="1:35" x14ac:dyDescent="0.2">
      <c r="A1599" s="66">
        <f t="shared" si="74"/>
      </c>
      <c r="B1599" s="4"/>
      <c r="C1599" s="4"/>
      <c r="D1599" s="4"/>
      <c r="E1599" s="4"/>
      <c r="F1599" s="24"/>
      <c r="G1599" s="8"/>
      <c r="H1599" s="9"/>
      <c r="I1599" s="8"/>
      <c r="J1599" s="10"/>
      <c r="K1599" s="8"/>
      <c r="L1599" s="8"/>
      <c r="M1599" s="8"/>
      <c r="N1599" s="11"/>
      <c r="O1599" s="9"/>
      <c r="P1599" s="12"/>
      <c r="Q1599" s="9"/>
      <c r="R1599" s="13"/>
      <c r="S1599" s="11"/>
      <c r="T1599" s="11"/>
      <c r="U1599" s="9"/>
      <c r="V1599" s="9"/>
      <c r="W1599" s="9"/>
      <c r="X1599" s="16"/>
      <c r="AF1599" s="42">
        <f>IF(BUSCAR!$C$8="FECHA NAC.",$G1599,IF(BUSCAR!$C$8="PASAPORTE EXPIRA",$J1599,IF(BUSCAR!$C$8="LICENCIA EMISION",$L1599,IF(BUSCAR!$C$8="LICENCIA EXPIRA",$M1599,""))))</f>
      </c>
      <c r="AG1599" s="42">
        <f>IF($B1599&amp;$C1599&amp;$D1599&amp;$E1599&amp;$H1599="",0,IF(AND(OR(BUSCAR!$J$5="",ISNUMBER(SEARCH(BUSCAR!$J$5,$AI1599))),OR(BUSCAR!$J$6="",ISNUMBER(SEARCH(BUSCAR!$J$6,$AI1599))),OR(BUSCAR!$J$8="",ISNUMBER(SEARCH(BUSCAR!$J$8,$AI1599))),OR(BUSCAR!$J$9="",ISNUMBER(SEARCH(BUSCAR!$J$9,$AI1599))),OR(NOT(BUSCAR!$J$2),AND(ISNUMBER($AF1599),$AF1599&gt;=BUSCAR!$J$3,$AF1599&lt;=BUSCAR!$J$4))),1,0))</f>
      </c>
      <c r="AH1599" s="42">
        <f t="shared" si="72"/>
      </c>
      <c r="AI1599" s="42">
        <f t="shared" si="73"/>
      </c>
    </row>
    <row r="1600" spans="1:35" x14ac:dyDescent="0.2">
      <c r="A1600" s="66">
        <f t="shared" si="74"/>
      </c>
      <c r="B1600" s="4"/>
      <c r="C1600" s="4"/>
      <c r="D1600" s="4"/>
      <c r="E1600" s="4"/>
      <c r="F1600" s="24"/>
      <c r="G1600" s="8"/>
      <c r="H1600" s="9"/>
      <c r="I1600" s="8"/>
      <c r="J1600" s="10"/>
      <c r="K1600" s="8"/>
      <c r="L1600" s="8"/>
      <c r="M1600" s="8"/>
      <c r="N1600" s="11"/>
      <c r="O1600" s="9"/>
      <c r="P1600" s="12"/>
      <c r="Q1600" s="9"/>
      <c r="R1600" s="13"/>
      <c r="S1600" s="11"/>
      <c r="T1600" s="11"/>
      <c r="U1600" s="9"/>
      <c r="V1600" s="9"/>
      <c r="W1600" s="9"/>
      <c r="X1600" s="16"/>
      <c r="AF1600" s="42">
        <f>IF(BUSCAR!$C$8="FECHA NAC.",$G1600,IF(BUSCAR!$C$8="PASAPORTE EXPIRA",$J1600,IF(BUSCAR!$C$8="LICENCIA EMISION",$L1600,IF(BUSCAR!$C$8="LICENCIA EXPIRA",$M1600,""))))</f>
      </c>
      <c r="AG1600" s="42">
        <f>IF($B1600&amp;$C1600&amp;$D1600&amp;$E1600&amp;$H1600="",0,IF(AND(OR(BUSCAR!$J$5="",ISNUMBER(SEARCH(BUSCAR!$J$5,$AI1600))),OR(BUSCAR!$J$6="",ISNUMBER(SEARCH(BUSCAR!$J$6,$AI1600))),OR(BUSCAR!$J$8="",ISNUMBER(SEARCH(BUSCAR!$J$8,$AI1600))),OR(BUSCAR!$J$9="",ISNUMBER(SEARCH(BUSCAR!$J$9,$AI1600))),OR(NOT(BUSCAR!$J$2),AND(ISNUMBER($AF1600),$AF1600&gt;=BUSCAR!$J$3,$AF1600&lt;=BUSCAR!$J$4))),1,0))</f>
      </c>
      <c r="AH1600" s="42">
        <f t="shared" si="72"/>
      </c>
      <c r="AI1600" s="42">
        <f t="shared" si="73"/>
      </c>
    </row>
    <row r="1601" spans="1:35" x14ac:dyDescent="0.2">
      <c r="A1601" s="66">
        <f t="shared" si="74"/>
      </c>
      <c r="B1601" s="4"/>
      <c r="C1601" s="4"/>
      <c r="D1601" s="4"/>
      <c r="E1601" s="4"/>
      <c r="F1601" s="24"/>
      <c r="G1601" s="8"/>
      <c r="H1601" s="9"/>
      <c r="I1601" s="8"/>
      <c r="J1601" s="10"/>
      <c r="K1601" s="8"/>
      <c r="L1601" s="8"/>
      <c r="M1601" s="8"/>
      <c r="N1601" s="11"/>
      <c r="O1601" s="9"/>
      <c r="P1601" s="12"/>
      <c r="Q1601" s="9"/>
      <c r="R1601" s="13"/>
      <c r="S1601" s="11"/>
      <c r="T1601" s="11"/>
      <c r="U1601" s="9"/>
      <c r="V1601" s="9"/>
      <c r="W1601" s="9"/>
      <c r="X1601" s="16"/>
      <c r="AF1601" s="42">
        <f>IF(BUSCAR!$C$8="FECHA NAC.",$G1601,IF(BUSCAR!$C$8="PASAPORTE EXPIRA",$J1601,IF(BUSCAR!$C$8="LICENCIA EMISION",$L1601,IF(BUSCAR!$C$8="LICENCIA EXPIRA",$M1601,""))))</f>
      </c>
      <c r="AG1601" s="42">
        <f>IF($B1601&amp;$C1601&amp;$D1601&amp;$E1601&amp;$H1601="",0,IF(AND(OR(BUSCAR!$J$5="",ISNUMBER(SEARCH(BUSCAR!$J$5,$AI1601))),OR(BUSCAR!$J$6="",ISNUMBER(SEARCH(BUSCAR!$J$6,$AI1601))),OR(BUSCAR!$J$8="",ISNUMBER(SEARCH(BUSCAR!$J$8,$AI1601))),OR(BUSCAR!$J$9="",ISNUMBER(SEARCH(BUSCAR!$J$9,$AI1601))),OR(NOT(BUSCAR!$J$2),AND(ISNUMBER($AF1601),$AF1601&gt;=BUSCAR!$J$3,$AF1601&lt;=BUSCAR!$J$4))),1,0))</f>
      </c>
      <c r="AH1601" s="42">
        <f t="shared" si="72"/>
      </c>
      <c r="AI1601" s="42">
        <f t="shared" si="73"/>
      </c>
    </row>
    <row r="1602" spans="1:35" x14ac:dyDescent="0.2">
      <c r="A1602" s="66">
        <f t="shared" si="74"/>
      </c>
      <c r="B1602" s="4"/>
      <c r="C1602" s="4"/>
      <c r="D1602" s="4"/>
      <c r="E1602" s="4"/>
      <c r="F1602" s="24"/>
      <c r="G1602" s="8"/>
      <c r="H1602" s="9"/>
      <c r="I1602" s="8"/>
      <c r="J1602" s="10"/>
      <c r="K1602" s="8"/>
      <c r="L1602" s="8"/>
      <c r="M1602" s="8"/>
      <c r="N1602" s="11"/>
      <c r="O1602" s="9"/>
      <c r="P1602" s="12"/>
      <c r="Q1602" s="9"/>
      <c r="R1602" s="13"/>
      <c r="S1602" s="11"/>
      <c r="T1602" s="11"/>
      <c r="U1602" s="9"/>
      <c r="V1602" s="9"/>
      <c r="W1602" s="9"/>
      <c r="X1602" s="16"/>
      <c r="AF1602" s="42">
        <f>IF(BUSCAR!$C$8="FECHA NAC.",$G1602,IF(BUSCAR!$C$8="PASAPORTE EXPIRA",$J1602,IF(BUSCAR!$C$8="LICENCIA EMISION",$L1602,IF(BUSCAR!$C$8="LICENCIA EXPIRA",$M1602,""))))</f>
      </c>
      <c r="AG1602" s="42">
        <f>IF($B1602&amp;$C1602&amp;$D1602&amp;$E1602&amp;$H1602="",0,IF(AND(OR(BUSCAR!$J$5="",ISNUMBER(SEARCH(BUSCAR!$J$5,$AI1602))),OR(BUSCAR!$J$6="",ISNUMBER(SEARCH(BUSCAR!$J$6,$AI1602))),OR(BUSCAR!$J$8="",ISNUMBER(SEARCH(BUSCAR!$J$8,$AI1602))),OR(BUSCAR!$J$9="",ISNUMBER(SEARCH(BUSCAR!$J$9,$AI1602))),OR(NOT(BUSCAR!$J$2),AND(ISNUMBER($AF1602),$AF1602&gt;=BUSCAR!$J$3,$AF1602&lt;=BUSCAR!$J$4))),1,0))</f>
      </c>
      <c r="AH1602" s="42">
        <f t="shared" si="72"/>
      </c>
      <c r="AI1602" s="42">
        <f t="shared" si="73"/>
      </c>
    </row>
    <row r="1603" spans="1:35" x14ac:dyDescent="0.2">
      <c r="A1603" s="66">
        <f t="shared" si="74"/>
      </c>
      <c r="B1603" s="4"/>
      <c r="C1603" s="4"/>
      <c r="D1603" s="4"/>
      <c r="E1603" s="4"/>
      <c r="F1603" s="24"/>
      <c r="G1603" s="8"/>
      <c r="H1603" s="9"/>
      <c r="I1603" s="8"/>
      <c r="J1603" s="10"/>
      <c r="K1603" s="8"/>
      <c r="L1603" s="8"/>
      <c r="M1603" s="8"/>
      <c r="N1603" s="11"/>
      <c r="O1603" s="9"/>
      <c r="P1603" s="12"/>
      <c r="Q1603" s="9"/>
      <c r="R1603" s="13"/>
      <c r="S1603" s="11"/>
      <c r="T1603" s="11"/>
      <c r="U1603" s="9"/>
      <c r="V1603" s="9"/>
      <c r="W1603" s="9"/>
      <c r="X1603" s="16"/>
      <c r="AF1603" s="42">
        <f>IF(BUSCAR!$C$8="FECHA NAC.",$G1603,IF(BUSCAR!$C$8="PASAPORTE EXPIRA",$J1603,IF(BUSCAR!$C$8="LICENCIA EMISION",$L1603,IF(BUSCAR!$C$8="LICENCIA EXPIRA",$M1603,""))))</f>
      </c>
      <c r="AG1603" s="42">
        <f>IF($B1603&amp;$C1603&amp;$D1603&amp;$E1603&amp;$H1603="",0,IF(AND(OR(BUSCAR!$J$5="",ISNUMBER(SEARCH(BUSCAR!$J$5,$AI1603))),OR(BUSCAR!$J$6="",ISNUMBER(SEARCH(BUSCAR!$J$6,$AI1603))),OR(BUSCAR!$J$8="",ISNUMBER(SEARCH(BUSCAR!$J$8,$AI1603))),OR(BUSCAR!$J$9="",ISNUMBER(SEARCH(BUSCAR!$J$9,$AI1603))),OR(NOT(BUSCAR!$J$2),AND(ISNUMBER($AF1603),$AF1603&gt;=BUSCAR!$J$3,$AF1603&lt;=BUSCAR!$J$4))),1,0))</f>
      </c>
      <c r="AH1603" s="42">
        <f t="shared" ref="AH1603:AH1666" si="75">AH1602+AG1603</f>
      </c>
      <c r="AI1603" s="42">
        <f t="shared" ref="AI1603:AI1666" si="76">IF($B1603&amp;" "&amp;$C1603&amp;" "&amp;$D1603&amp;" "&amp;$E1603&amp;" "&amp;$H1603&amp;" "&amp;$K1603&amp;" "&amp;$R1603&amp;" "&amp;$AC1603&amp;" "&amp;$AD1603="","",SUBSTITUTE(SUBSTITUTE(SUBSTITUTE(SUBSTITUTE(SUBSTITUTE(SUBSTITUTE(SUBSTITUTE(UPPER($B1603&amp;" "&amp;$C1603&amp;" "&amp;$D1603&amp;" "&amp;$E1603&amp;" "&amp;$H1603&amp;" "&amp;$K1603&amp;" "&amp;$R1603&amp;" "&amp;$AC1603&amp;" "&amp;$AD1603),"Á","A"),"É","E"),"Í","I"),"Ó","O"),"Ú","U"),"Ü","U"),"Ñ","N"))</f>
      </c>
    </row>
    <row r="1604" spans="1:35" x14ac:dyDescent="0.2">
      <c r="A1604" s="66">
        <f t="shared" ref="A1604:A1667" si="77">A1603+1</f>
      </c>
      <c r="B1604" s="4"/>
      <c r="C1604" s="4"/>
      <c r="D1604" s="4"/>
      <c r="E1604" s="4"/>
      <c r="F1604" s="24"/>
      <c r="G1604" s="8"/>
      <c r="H1604" s="9"/>
      <c r="I1604" s="8"/>
      <c r="J1604" s="10"/>
      <c r="K1604" s="8"/>
      <c r="L1604" s="8"/>
      <c r="M1604" s="8"/>
      <c r="N1604" s="11"/>
      <c r="O1604" s="9"/>
      <c r="P1604" s="12"/>
      <c r="Q1604" s="9"/>
      <c r="R1604" s="13"/>
      <c r="S1604" s="11"/>
      <c r="T1604" s="11"/>
      <c r="U1604" s="9"/>
      <c r="V1604" s="9"/>
      <c r="W1604" s="9"/>
      <c r="X1604" s="16"/>
      <c r="AF1604" s="42">
        <f>IF(BUSCAR!$C$8="FECHA NAC.",$G1604,IF(BUSCAR!$C$8="PASAPORTE EXPIRA",$J1604,IF(BUSCAR!$C$8="LICENCIA EMISION",$L1604,IF(BUSCAR!$C$8="LICENCIA EXPIRA",$M1604,""))))</f>
      </c>
      <c r="AG1604" s="42">
        <f>IF($B1604&amp;$C1604&amp;$D1604&amp;$E1604&amp;$H1604="",0,IF(AND(OR(BUSCAR!$J$5="",ISNUMBER(SEARCH(BUSCAR!$J$5,$AI1604))),OR(BUSCAR!$J$6="",ISNUMBER(SEARCH(BUSCAR!$J$6,$AI1604))),OR(BUSCAR!$J$8="",ISNUMBER(SEARCH(BUSCAR!$J$8,$AI1604))),OR(BUSCAR!$J$9="",ISNUMBER(SEARCH(BUSCAR!$J$9,$AI1604))),OR(NOT(BUSCAR!$J$2),AND(ISNUMBER($AF1604),$AF1604&gt;=BUSCAR!$J$3,$AF1604&lt;=BUSCAR!$J$4))),1,0))</f>
      </c>
      <c r="AH1604" s="42">
        <f t="shared" si="75"/>
      </c>
      <c r="AI1604" s="42">
        <f t="shared" si="76"/>
      </c>
    </row>
    <row r="1605" spans="1:35" x14ac:dyDescent="0.2">
      <c r="A1605" s="66">
        <f t="shared" si="77"/>
      </c>
      <c r="B1605" s="4"/>
      <c r="C1605" s="4"/>
      <c r="D1605" s="4"/>
      <c r="E1605" s="4"/>
      <c r="F1605" s="24"/>
      <c r="G1605" s="8"/>
      <c r="H1605" s="9"/>
      <c r="I1605" s="8"/>
      <c r="J1605" s="10"/>
      <c r="K1605" s="8"/>
      <c r="L1605" s="8"/>
      <c r="M1605" s="8"/>
      <c r="N1605" s="11"/>
      <c r="O1605" s="9"/>
      <c r="P1605" s="12"/>
      <c r="Q1605" s="9"/>
      <c r="R1605" s="13"/>
      <c r="S1605" s="11"/>
      <c r="T1605" s="11"/>
      <c r="U1605" s="9"/>
      <c r="V1605" s="9"/>
      <c r="W1605" s="9"/>
      <c r="X1605" s="16"/>
      <c r="AF1605" s="42">
        <f>IF(BUSCAR!$C$8="FECHA NAC.",$G1605,IF(BUSCAR!$C$8="PASAPORTE EXPIRA",$J1605,IF(BUSCAR!$C$8="LICENCIA EMISION",$L1605,IF(BUSCAR!$C$8="LICENCIA EXPIRA",$M1605,""))))</f>
      </c>
      <c r="AG1605" s="42">
        <f>IF($B1605&amp;$C1605&amp;$D1605&amp;$E1605&amp;$H1605="",0,IF(AND(OR(BUSCAR!$J$5="",ISNUMBER(SEARCH(BUSCAR!$J$5,$AI1605))),OR(BUSCAR!$J$6="",ISNUMBER(SEARCH(BUSCAR!$J$6,$AI1605))),OR(BUSCAR!$J$8="",ISNUMBER(SEARCH(BUSCAR!$J$8,$AI1605))),OR(BUSCAR!$J$9="",ISNUMBER(SEARCH(BUSCAR!$J$9,$AI1605))),OR(NOT(BUSCAR!$J$2),AND(ISNUMBER($AF1605),$AF1605&gt;=BUSCAR!$J$3,$AF1605&lt;=BUSCAR!$J$4))),1,0))</f>
      </c>
      <c r="AH1605" s="42">
        <f t="shared" si="75"/>
      </c>
      <c r="AI1605" s="42">
        <f t="shared" si="76"/>
      </c>
    </row>
    <row r="1606" spans="1:35" x14ac:dyDescent="0.2">
      <c r="A1606" s="66">
        <f t="shared" si="77"/>
      </c>
      <c r="B1606" s="4"/>
      <c r="C1606" s="4"/>
      <c r="D1606" s="4"/>
      <c r="E1606" s="4"/>
      <c r="F1606" s="24"/>
      <c r="G1606" s="8"/>
      <c r="H1606" s="9"/>
      <c r="I1606" s="8"/>
      <c r="J1606" s="10"/>
      <c r="K1606" s="8"/>
      <c r="L1606" s="8"/>
      <c r="M1606" s="8"/>
      <c r="N1606" s="11"/>
      <c r="O1606" s="9"/>
      <c r="P1606" s="12"/>
      <c r="Q1606" s="9"/>
      <c r="R1606" s="13"/>
      <c r="S1606" s="11"/>
      <c r="T1606" s="11"/>
      <c r="U1606" s="9"/>
      <c r="V1606" s="9"/>
      <c r="W1606" s="9"/>
      <c r="X1606" s="16"/>
      <c r="AF1606" s="42">
        <f>IF(BUSCAR!$C$8="FECHA NAC.",$G1606,IF(BUSCAR!$C$8="PASAPORTE EXPIRA",$J1606,IF(BUSCAR!$C$8="LICENCIA EMISION",$L1606,IF(BUSCAR!$C$8="LICENCIA EXPIRA",$M1606,""))))</f>
      </c>
      <c r="AG1606" s="42">
        <f>IF($B1606&amp;$C1606&amp;$D1606&amp;$E1606&amp;$H1606="",0,IF(AND(OR(BUSCAR!$J$5="",ISNUMBER(SEARCH(BUSCAR!$J$5,$AI1606))),OR(BUSCAR!$J$6="",ISNUMBER(SEARCH(BUSCAR!$J$6,$AI1606))),OR(BUSCAR!$J$8="",ISNUMBER(SEARCH(BUSCAR!$J$8,$AI1606))),OR(BUSCAR!$J$9="",ISNUMBER(SEARCH(BUSCAR!$J$9,$AI1606))),OR(NOT(BUSCAR!$J$2),AND(ISNUMBER($AF1606),$AF1606&gt;=BUSCAR!$J$3,$AF1606&lt;=BUSCAR!$J$4))),1,0))</f>
      </c>
      <c r="AH1606" s="42">
        <f t="shared" si="75"/>
      </c>
      <c r="AI1606" s="42">
        <f t="shared" si="76"/>
      </c>
    </row>
    <row r="1607" spans="1:35" x14ac:dyDescent="0.2">
      <c r="A1607" s="66">
        <f t="shared" si="77"/>
      </c>
      <c r="B1607" s="4"/>
      <c r="C1607" s="4"/>
      <c r="D1607" s="4"/>
      <c r="E1607" s="4"/>
      <c r="F1607" s="24"/>
      <c r="G1607" s="8"/>
      <c r="H1607" s="9"/>
      <c r="I1607" s="8"/>
      <c r="J1607" s="10"/>
      <c r="K1607" s="8"/>
      <c r="L1607" s="8"/>
      <c r="M1607" s="8"/>
      <c r="N1607" s="11"/>
      <c r="O1607" s="9"/>
      <c r="P1607" s="12"/>
      <c r="Q1607" s="9"/>
      <c r="R1607" s="13"/>
      <c r="S1607" s="11"/>
      <c r="T1607" s="11"/>
      <c r="U1607" s="9"/>
      <c r="V1607" s="9"/>
      <c r="W1607" s="9"/>
      <c r="X1607" s="16"/>
      <c r="AF1607" s="42">
        <f>IF(BUSCAR!$C$8="FECHA NAC.",$G1607,IF(BUSCAR!$C$8="PASAPORTE EXPIRA",$J1607,IF(BUSCAR!$C$8="LICENCIA EMISION",$L1607,IF(BUSCAR!$C$8="LICENCIA EXPIRA",$M1607,""))))</f>
      </c>
      <c r="AG1607" s="42">
        <f>IF($B1607&amp;$C1607&amp;$D1607&amp;$E1607&amp;$H1607="",0,IF(AND(OR(BUSCAR!$J$5="",ISNUMBER(SEARCH(BUSCAR!$J$5,$AI1607))),OR(BUSCAR!$J$6="",ISNUMBER(SEARCH(BUSCAR!$J$6,$AI1607))),OR(BUSCAR!$J$8="",ISNUMBER(SEARCH(BUSCAR!$J$8,$AI1607))),OR(BUSCAR!$J$9="",ISNUMBER(SEARCH(BUSCAR!$J$9,$AI1607))),OR(NOT(BUSCAR!$J$2),AND(ISNUMBER($AF1607),$AF1607&gt;=BUSCAR!$J$3,$AF1607&lt;=BUSCAR!$J$4))),1,0))</f>
      </c>
      <c r="AH1607" s="42">
        <f t="shared" si="75"/>
      </c>
      <c r="AI1607" s="42">
        <f t="shared" si="76"/>
      </c>
    </row>
    <row r="1608" spans="1:35" x14ac:dyDescent="0.2">
      <c r="A1608" s="66">
        <f t="shared" si="77"/>
      </c>
      <c r="B1608" s="4"/>
      <c r="C1608" s="4"/>
      <c r="D1608" s="4"/>
      <c r="E1608" s="4"/>
      <c r="F1608" s="24"/>
      <c r="G1608" s="8"/>
      <c r="H1608" s="9"/>
      <c r="I1608" s="8"/>
      <c r="J1608" s="10"/>
      <c r="K1608" s="8"/>
      <c r="L1608" s="8"/>
      <c r="M1608" s="8"/>
      <c r="N1608" s="11"/>
      <c r="O1608" s="9"/>
      <c r="P1608" s="12"/>
      <c r="Q1608" s="9"/>
      <c r="R1608" s="13"/>
      <c r="S1608" s="11"/>
      <c r="T1608" s="11"/>
      <c r="U1608" s="9"/>
      <c r="V1608" s="9"/>
      <c r="W1608" s="9"/>
      <c r="X1608" s="16"/>
      <c r="AF1608" s="42">
        <f>IF(BUSCAR!$C$8="FECHA NAC.",$G1608,IF(BUSCAR!$C$8="PASAPORTE EXPIRA",$J1608,IF(BUSCAR!$C$8="LICENCIA EMISION",$L1608,IF(BUSCAR!$C$8="LICENCIA EXPIRA",$M1608,""))))</f>
      </c>
      <c r="AG1608" s="42">
        <f>IF($B1608&amp;$C1608&amp;$D1608&amp;$E1608&amp;$H1608="",0,IF(AND(OR(BUSCAR!$J$5="",ISNUMBER(SEARCH(BUSCAR!$J$5,$AI1608))),OR(BUSCAR!$J$6="",ISNUMBER(SEARCH(BUSCAR!$J$6,$AI1608))),OR(BUSCAR!$J$8="",ISNUMBER(SEARCH(BUSCAR!$J$8,$AI1608))),OR(BUSCAR!$J$9="",ISNUMBER(SEARCH(BUSCAR!$J$9,$AI1608))),OR(NOT(BUSCAR!$J$2),AND(ISNUMBER($AF1608),$AF1608&gt;=BUSCAR!$J$3,$AF1608&lt;=BUSCAR!$J$4))),1,0))</f>
      </c>
      <c r="AH1608" s="42">
        <f t="shared" si="75"/>
      </c>
      <c r="AI1608" s="42">
        <f t="shared" si="76"/>
      </c>
    </row>
    <row r="1609" spans="1:35" x14ac:dyDescent="0.2">
      <c r="A1609" s="66">
        <f t="shared" si="77"/>
      </c>
      <c r="B1609" s="4"/>
      <c r="C1609" s="4"/>
      <c r="D1609" s="4"/>
      <c r="E1609" s="4"/>
      <c r="F1609" s="24"/>
      <c r="G1609" s="8"/>
      <c r="H1609" s="9"/>
      <c r="I1609" s="8"/>
      <c r="J1609" s="10"/>
      <c r="K1609" s="8"/>
      <c r="L1609" s="8"/>
      <c r="M1609" s="8"/>
      <c r="N1609" s="11"/>
      <c r="O1609" s="9"/>
      <c r="P1609" s="12"/>
      <c r="Q1609" s="9"/>
      <c r="R1609" s="13"/>
      <c r="S1609" s="11"/>
      <c r="T1609" s="11"/>
      <c r="U1609" s="9"/>
      <c r="V1609" s="9"/>
      <c r="W1609" s="9"/>
      <c r="X1609" s="16"/>
      <c r="AF1609" s="42">
        <f>IF(BUSCAR!$C$8="FECHA NAC.",$G1609,IF(BUSCAR!$C$8="PASAPORTE EXPIRA",$J1609,IF(BUSCAR!$C$8="LICENCIA EMISION",$L1609,IF(BUSCAR!$C$8="LICENCIA EXPIRA",$M1609,""))))</f>
      </c>
      <c r="AG1609" s="42">
        <f>IF($B1609&amp;$C1609&amp;$D1609&amp;$E1609&amp;$H1609="",0,IF(AND(OR(BUSCAR!$J$5="",ISNUMBER(SEARCH(BUSCAR!$J$5,$AI1609))),OR(BUSCAR!$J$6="",ISNUMBER(SEARCH(BUSCAR!$J$6,$AI1609))),OR(BUSCAR!$J$8="",ISNUMBER(SEARCH(BUSCAR!$J$8,$AI1609))),OR(BUSCAR!$J$9="",ISNUMBER(SEARCH(BUSCAR!$J$9,$AI1609))),OR(NOT(BUSCAR!$J$2),AND(ISNUMBER($AF1609),$AF1609&gt;=BUSCAR!$J$3,$AF1609&lt;=BUSCAR!$J$4))),1,0))</f>
      </c>
      <c r="AH1609" s="42">
        <f t="shared" si="75"/>
      </c>
      <c r="AI1609" s="42">
        <f t="shared" si="76"/>
      </c>
    </row>
    <row r="1610" spans="1:35" x14ac:dyDescent="0.2">
      <c r="A1610" s="66">
        <f t="shared" si="77"/>
      </c>
      <c r="B1610" s="4"/>
      <c r="C1610" s="4"/>
      <c r="D1610" s="4"/>
      <c r="E1610" s="4"/>
      <c r="F1610" s="24"/>
      <c r="G1610" s="8"/>
      <c r="H1610" s="9"/>
      <c r="I1610" s="8"/>
      <c r="J1610" s="10"/>
      <c r="K1610" s="8"/>
      <c r="L1610" s="8"/>
      <c r="M1610" s="8"/>
      <c r="N1610" s="11"/>
      <c r="O1610" s="9"/>
      <c r="P1610" s="12"/>
      <c r="Q1610" s="9"/>
      <c r="R1610" s="13"/>
      <c r="S1610" s="11"/>
      <c r="T1610" s="11"/>
      <c r="U1610" s="9"/>
      <c r="V1610" s="9"/>
      <c r="W1610" s="9"/>
      <c r="X1610" s="16"/>
      <c r="AF1610" s="42">
        <f>IF(BUSCAR!$C$8="FECHA NAC.",$G1610,IF(BUSCAR!$C$8="PASAPORTE EXPIRA",$J1610,IF(BUSCAR!$C$8="LICENCIA EMISION",$L1610,IF(BUSCAR!$C$8="LICENCIA EXPIRA",$M1610,""))))</f>
      </c>
      <c r="AG1610" s="42">
        <f>IF($B1610&amp;$C1610&amp;$D1610&amp;$E1610&amp;$H1610="",0,IF(AND(OR(BUSCAR!$J$5="",ISNUMBER(SEARCH(BUSCAR!$J$5,$AI1610))),OR(BUSCAR!$J$6="",ISNUMBER(SEARCH(BUSCAR!$J$6,$AI1610))),OR(BUSCAR!$J$8="",ISNUMBER(SEARCH(BUSCAR!$J$8,$AI1610))),OR(BUSCAR!$J$9="",ISNUMBER(SEARCH(BUSCAR!$J$9,$AI1610))),OR(NOT(BUSCAR!$J$2),AND(ISNUMBER($AF1610),$AF1610&gt;=BUSCAR!$J$3,$AF1610&lt;=BUSCAR!$J$4))),1,0))</f>
      </c>
      <c r="AH1610" s="42">
        <f t="shared" si="75"/>
      </c>
      <c r="AI1610" s="42">
        <f t="shared" si="76"/>
      </c>
    </row>
    <row r="1611" spans="1:35" x14ac:dyDescent="0.2">
      <c r="A1611" s="66">
        <f t="shared" si="77"/>
      </c>
      <c r="B1611" s="4"/>
      <c r="C1611" s="4"/>
      <c r="D1611" s="4"/>
      <c r="E1611" s="4"/>
      <c r="F1611" s="24"/>
      <c r="G1611" s="8"/>
      <c r="H1611" s="9"/>
      <c r="I1611" s="8"/>
      <c r="J1611" s="10"/>
      <c r="K1611" s="8"/>
      <c r="L1611" s="8"/>
      <c r="M1611" s="8"/>
      <c r="N1611" s="11"/>
      <c r="O1611" s="9"/>
      <c r="P1611" s="12"/>
      <c r="Q1611" s="9"/>
      <c r="R1611" s="13"/>
      <c r="S1611" s="11"/>
      <c r="T1611" s="11"/>
      <c r="U1611" s="9"/>
      <c r="V1611" s="9"/>
      <c r="W1611" s="9"/>
      <c r="X1611" s="16"/>
      <c r="AF1611" s="42">
        <f>IF(BUSCAR!$C$8="FECHA NAC.",$G1611,IF(BUSCAR!$C$8="PASAPORTE EXPIRA",$J1611,IF(BUSCAR!$C$8="LICENCIA EMISION",$L1611,IF(BUSCAR!$C$8="LICENCIA EXPIRA",$M1611,""))))</f>
      </c>
      <c r="AG1611" s="42">
        <f>IF($B1611&amp;$C1611&amp;$D1611&amp;$E1611&amp;$H1611="",0,IF(AND(OR(BUSCAR!$J$5="",ISNUMBER(SEARCH(BUSCAR!$J$5,$AI1611))),OR(BUSCAR!$J$6="",ISNUMBER(SEARCH(BUSCAR!$J$6,$AI1611))),OR(BUSCAR!$J$8="",ISNUMBER(SEARCH(BUSCAR!$J$8,$AI1611))),OR(BUSCAR!$J$9="",ISNUMBER(SEARCH(BUSCAR!$J$9,$AI1611))),OR(NOT(BUSCAR!$J$2),AND(ISNUMBER($AF1611),$AF1611&gt;=BUSCAR!$J$3,$AF1611&lt;=BUSCAR!$J$4))),1,0))</f>
      </c>
      <c r="AH1611" s="42">
        <f t="shared" si="75"/>
      </c>
      <c r="AI1611" s="42">
        <f t="shared" si="76"/>
      </c>
    </row>
    <row r="1612" spans="1:35" x14ac:dyDescent="0.2">
      <c r="A1612" s="66">
        <f t="shared" si="77"/>
      </c>
      <c r="B1612" s="4"/>
      <c r="C1612" s="4"/>
      <c r="D1612" s="4"/>
      <c r="E1612" s="4"/>
      <c r="F1612" s="24"/>
      <c r="G1612" s="8"/>
      <c r="H1612" s="9"/>
      <c r="I1612" s="8"/>
      <c r="J1612" s="10"/>
      <c r="K1612" s="8"/>
      <c r="L1612" s="8"/>
      <c r="M1612" s="8"/>
      <c r="N1612" s="11"/>
      <c r="O1612" s="9"/>
      <c r="P1612" s="12"/>
      <c r="Q1612" s="9"/>
      <c r="R1612" s="13"/>
      <c r="S1612" s="11"/>
      <c r="T1612" s="11"/>
      <c r="U1612" s="9"/>
      <c r="V1612" s="9"/>
      <c r="W1612" s="9"/>
      <c r="X1612" s="16"/>
      <c r="AF1612" s="42">
        <f>IF(BUSCAR!$C$8="FECHA NAC.",$G1612,IF(BUSCAR!$C$8="PASAPORTE EXPIRA",$J1612,IF(BUSCAR!$C$8="LICENCIA EMISION",$L1612,IF(BUSCAR!$C$8="LICENCIA EXPIRA",$M1612,""))))</f>
      </c>
      <c r="AG1612" s="42">
        <f>IF($B1612&amp;$C1612&amp;$D1612&amp;$E1612&amp;$H1612="",0,IF(AND(OR(BUSCAR!$J$5="",ISNUMBER(SEARCH(BUSCAR!$J$5,$AI1612))),OR(BUSCAR!$J$6="",ISNUMBER(SEARCH(BUSCAR!$J$6,$AI1612))),OR(BUSCAR!$J$8="",ISNUMBER(SEARCH(BUSCAR!$J$8,$AI1612))),OR(BUSCAR!$J$9="",ISNUMBER(SEARCH(BUSCAR!$J$9,$AI1612))),OR(NOT(BUSCAR!$J$2),AND(ISNUMBER($AF1612),$AF1612&gt;=BUSCAR!$J$3,$AF1612&lt;=BUSCAR!$J$4))),1,0))</f>
      </c>
      <c r="AH1612" s="42">
        <f t="shared" si="75"/>
      </c>
      <c r="AI1612" s="42">
        <f t="shared" si="76"/>
      </c>
    </row>
    <row r="1613" spans="1:35" x14ac:dyDescent="0.2">
      <c r="A1613" s="66">
        <f t="shared" si="77"/>
      </c>
      <c r="B1613" s="4"/>
      <c r="C1613" s="4"/>
      <c r="D1613" s="4"/>
      <c r="E1613" s="4"/>
      <c r="F1613" s="24"/>
      <c r="G1613" s="8"/>
      <c r="H1613" s="9"/>
      <c r="I1613" s="8"/>
      <c r="J1613" s="10"/>
      <c r="K1613" s="8"/>
      <c r="L1613" s="8"/>
      <c r="M1613" s="8"/>
      <c r="N1613" s="11"/>
      <c r="O1613" s="9"/>
      <c r="P1613" s="12"/>
      <c r="Q1613" s="9"/>
      <c r="R1613" s="13"/>
      <c r="S1613" s="11"/>
      <c r="T1613" s="11"/>
      <c r="U1613" s="9"/>
      <c r="V1613" s="9"/>
      <c r="W1613" s="9"/>
      <c r="X1613" s="16"/>
      <c r="AF1613" s="42">
        <f>IF(BUSCAR!$C$8="FECHA NAC.",$G1613,IF(BUSCAR!$C$8="PASAPORTE EXPIRA",$J1613,IF(BUSCAR!$C$8="LICENCIA EMISION",$L1613,IF(BUSCAR!$C$8="LICENCIA EXPIRA",$M1613,""))))</f>
      </c>
      <c r="AG1613" s="42">
        <f>IF($B1613&amp;$C1613&amp;$D1613&amp;$E1613&amp;$H1613="",0,IF(AND(OR(BUSCAR!$J$5="",ISNUMBER(SEARCH(BUSCAR!$J$5,$AI1613))),OR(BUSCAR!$J$6="",ISNUMBER(SEARCH(BUSCAR!$J$6,$AI1613))),OR(BUSCAR!$J$8="",ISNUMBER(SEARCH(BUSCAR!$J$8,$AI1613))),OR(BUSCAR!$J$9="",ISNUMBER(SEARCH(BUSCAR!$J$9,$AI1613))),OR(NOT(BUSCAR!$J$2),AND(ISNUMBER($AF1613),$AF1613&gt;=BUSCAR!$J$3,$AF1613&lt;=BUSCAR!$J$4))),1,0))</f>
      </c>
      <c r="AH1613" s="42">
        <f t="shared" si="75"/>
      </c>
      <c r="AI1613" s="42">
        <f t="shared" si="76"/>
      </c>
    </row>
    <row r="1614" spans="1:35" x14ac:dyDescent="0.2">
      <c r="A1614" s="66">
        <f t="shared" si="77"/>
      </c>
      <c r="B1614" s="4"/>
      <c r="C1614" s="4"/>
      <c r="D1614" s="4"/>
      <c r="E1614" s="4"/>
      <c r="F1614" s="24"/>
      <c r="G1614" s="8"/>
      <c r="H1614" s="9"/>
      <c r="I1614" s="8"/>
      <c r="J1614" s="10"/>
      <c r="K1614" s="8"/>
      <c r="L1614" s="8"/>
      <c r="M1614" s="8"/>
      <c r="N1614" s="11"/>
      <c r="O1614" s="9"/>
      <c r="P1614" s="12"/>
      <c r="Q1614" s="9"/>
      <c r="R1614" s="13"/>
      <c r="S1614" s="11"/>
      <c r="T1614" s="11"/>
      <c r="U1614" s="9"/>
      <c r="V1614" s="9"/>
      <c r="W1614" s="9"/>
      <c r="X1614" s="16"/>
      <c r="AF1614" s="42">
        <f>IF(BUSCAR!$C$8="FECHA NAC.",$G1614,IF(BUSCAR!$C$8="PASAPORTE EXPIRA",$J1614,IF(BUSCAR!$C$8="LICENCIA EMISION",$L1614,IF(BUSCAR!$C$8="LICENCIA EXPIRA",$M1614,""))))</f>
      </c>
      <c r="AG1614" s="42">
        <f>IF($B1614&amp;$C1614&amp;$D1614&amp;$E1614&amp;$H1614="",0,IF(AND(OR(BUSCAR!$J$5="",ISNUMBER(SEARCH(BUSCAR!$J$5,$AI1614))),OR(BUSCAR!$J$6="",ISNUMBER(SEARCH(BUSCAR!$J$6,$AI1614))),OR(BUSCAR!$J$8="",ISNUMBER(SEARCH(BUSCAR!$J$8,$AI1614))),OR(BUSCAR!$J$9="",ISNUMBER(SEARCH(BUSCAR!$J$9,$AI1614))),OR(NOT(BUSCAR!$J$2),AND(ISNUMBER($AF1614),$AF1614&gt;=BUSCAR!$J$3,$AF1614&lt;=BUSCAR!$J$4))),1,0))</f>
      </c>
      <c r="AH1614" s="42">
        <f t="shared" si="75"/>
      </c>
      <c r="AI1614" s="42">
        <f t="shared" si="76"/>
      </c>
    </row>
    <row r="1615" spans="1:35" x14ac:dyDescent="0.2">
      <c r="A1615" s="66">
        <f t="shared" si="77"/>
      </c>
      <c r="B1615" s="4"/>
      <c r="C1615" s="4"/>
      <c r="D1615" s="4"/>
      <c r="E1615" s="4"/>
      <c r="F1615" s="24"/>
      <c r="G1615" s="8"/>
      <c r="H1615" s="9"/>
      <c r="I1615" s="8"/>
      <c r="J1615" s="10"/>
      <c r="K1615" s="8"/>
      <c r="L1615" s="8"/>
      <c r="M1615" s="8"/>
      <c r="N1615" s="11"/>
      <c r="O1615" s="9"/>
      <c r="P1615" s="12"/>
      <c r="Q1615" s="9"/>
      <c r="R1615" s="13"/>
      <c r="S1615" s="11"/>
      <c r="T1615" s="11"/>
      <c r="U1615" s="9"/>
      <c r="V1615" s="9"/>
      <c r="W1615" s="9"/>
      <c r="X1615" s="16"/>
      <c r="AF1615" s="42">
        <f>IF(BUSCAR!$C$8="FECHA NAC.",$G1615,IF(BUSCAR!$C$8="PASAPORTE EXPIRA",$J1615,IF(BUSCAR!$C$8="LICENCIA EMISION",$L1615,IF(BUSCAR!$C$8="LICENCIA EXPIRA",$M1615,""))))</f>
      </c>
      <c r="AG1615" s="42">
        <f>IF($B1615&amp;$C1615&amp;$D1615&amp;$E1615&amp;$H1615="",0,IF(AND(OR(BUSCAR!$J$5="",ISNUMBER(SEARCH(BUSCAR!$J$5,$AI1615))),OR(BUSCAR!$J$6="",ISNUMBER(SEARCH(BUSCAR!$J$6,$AI1615))),OR(BUSCAR!$J$8="",ISNUMBER(SEARCH(BUSCAR!$J$8,$AI1615))),OR(BUSCAR!$J$9="",ISNUMBER(SEARCH(BUSCAR!$J$9,$AI1615))),OR(NOT(BUSCAR!$J$2),AND(ISNUMBER($AF1615),$AF1615&gt;=BUSCAR!$J$3,$AF1615&lt;=BUSCAR!$J$4))),1,0))</f>
      </c>
      <c r="AH1615" s="42">
        <f t="shared" si="75"/>
      </c>
      <c r="AI1615" s="42">
        <f t="shared" si="76"/>
      </c>
    </row>
    <row r="1616" spans="1:35" x14ac:dyDescent="0.2">
      <c r="A1616" s="66">
        <f t="shared" si="77"/>
      </c>
      <c r="B1616" s="4"/>
      <c r="C1616" s="4"/>
      <c r="D1616" s="4"/>
      <c r="E1616" s="4"/>
      <c r="F1616" s="24"/>
      <c r="G1616" s="8"/>
      <c r="H1616" s="9"/>
      <c r="I1616" s="8"/>
      <c r="J1616" s="10"/>
      <c r="K1616" s="8"/>
      <c r="L1616" s="8"/>
      <c r="M1616" s="8"/>
      <c r="N1616" s="11"/>
      <c r="O1616" s="9"/>
      <c r="P1616" s="12"/>
      <c r="Q1616" s="9"/>
      <c r="R1616" s="13"/>
      <c r="S1616" s="11"/>
      <c r="T1616" s="11"/>
      <c r="U1616" s="9"/>
      <c r="V1616" s="9"/>
      <c r="W1616" s="9"/>
      <c r="X1616" s="16"/>
      <c r="AF1616" s="42">
        <f>IF(BUSCAR!$C$8="FECHA NAC.",$G1616,IF(BUSCAR!$C$8="PASAPORTE EXPIRA",$J1616,IF(BUSCAR!$C$8="LICENCIA EMISION",$L1616,IF(BUSCAR!$C$8="LICENCIA EXPIRA",$M1616,""))))</f>
      </c>
      <c r="AG1616" s="42">
        <f>IF($B1616&amp;$C1616&amp;$D1616&amp;$E1616&amp;$H1616="",0,IF(AND(OR(BUSCAR!$J$5="",ISNUMBER(SEARCH(BUSCAR!$J$5,$AI1616))),OR(BUSCAR!$J$6="",ISNUMBER(SEARCH(BUSCAR!$J$6,$AI1616))),OR(BUSCAR!$J$8="",ISNUMBER(SEARCH(BUSCAR!$J$8,$AI1616))),OR(BUSCAR!$J$9="",ISNUMBER(SEARCH(BUSCAR!$J$9,$AI1616))),OR(NOT(BUSCAR!$J$2),AND(ISNUMBER($AF1616),$AF1616&gt;=BUSCAR!$J$3,$AF1616&lt;=BUSCAR!$J$4))),1,0))</f>
      </c>
      <c r="AH1616" s="42">
        <f t="shared" si="75"/>
      </c>
      <c r="AI1616" s="42">
        <f t="shared" si="76"/>
      </c>
    </row>
    <row r="1617" spans="1:35" x14ac:dyDescent="0.2">
      <c r="A1617" s="66">
        <f t="shared" si="77"/>
      </c>
      <c r="B1617" s="4"/>
      <c r="C1617" s="4"/>
      <c r="D1617" s="4"/>
      <c r="E1617" s="4"/>
      <c r="F1617" s="24"/>
      <c r="G1617" s="8"/>
      <c r="H1617" s="9"/>
      <c r="I1617" s="8"/>
      <c r="J1617" s="10"/>
      <c r="K1617" s="8"/>
      <c r="L1617" s="8"/>
      <c r="M1617" s="8"/>
      <c r="N1617" s="11"/>
      <c r="O1617" s="9"/>
      <c r="P1617" s="12"/>
      <c r="Q1617" s="9"/>
      <c r="R1617" s="13"/>
      <c r="S1617" s="11"/>
      <c r="T1617" s="11"/>
      <c r="U1617" s="9"/>
      <c r="V1617" s="9"/>
      <c r="W1617" s="9"/>
      <c r="X1617" s="16"/>
      <c r="AF1617" s="42">
        <f>IF(BUSCAR!$C$8="FECHA NAC.",$G1617,IF(BUSCAR!$C$8="PASAPORTE EXPIRA",$J1617,IF(BUSCAR!$C$8="LICENCIA EMISION",$L1617,IF(BUSCAR!$C$8="LICENCIA EXPIRA",$M1617,""))))</f>
      </c>
      <c r="AG1617" s="42">
        <f>IF($B1617&amp;$C1617&amp;$D1617&amp;$E1617&amp;$H1617="",0,IF(AND(OR(BUSCAR!$J$5="",ISNUMBER(SEARCH(BUSCAR!$J$5,$AI1617))),OR(BUSCAR!$J$6="",ISNUMBER(SEARCH(BUSCAR!$J$6,$AI1617))),OR(BUSCAR!$J$8="",ISNUMBER(SEARCH(BUSCAR!$J$8,$AI1617))),OR(BUSCAR!$J$9="",ISNUMBER(SEARCH(BUSCAR!$J$9,$AI1617))),OR(NOT(BUSCAR!$J$2),AND(ISNUMBER($AF1617),$AF1617&gt;=BUSCAR!$J$3,$AF1617&lt;=BUSCAR!$J$4))),1,0))</f>
      </c>
      <c r="AH1617" s="42">
        <f t="shared" si="75"/>
      </c>
      <c r="AI1617" s="42">
        <f t="shared" si="76"/>
      </c>
    </row>
    <row r="1618" spans="1:35" x14ac:dyDescent="0.2">
      <c r="A1618" s="66">
        <f t="shared" si="77"/>
      </c>
      <c r="B1618" s="4"/>
      <c r="C1618" s="4"/>
      <c r="D1618" s="4"/>
      <c r="E1618" s="4"/>
      <c r="F1618" s="24"/>
      <c r="G1618" s="8"/>
      <c r="H1618" s="9"/>
      <c r="I1618" s="8"/>
      <c r="J1618" s="10"/>
      <c r="K1618" s="8"/>
      <c r="L1618" s="8"/>
      <c r="M1618" s="8"/>
      <c r="N1618" s="11"/>
      <c r="O1618" s="9"/>
      <c r="P1618" s="12"/>
      <c r="Q1618" s="9"/>
      <c r="R1618" s="13"/>
      <c r="S1618" s="11"/>
      <c r="T1618" s="11"/>
      <c r="U1618" s="9"/>
      <c r="V1618" s="9"/>
      <c r="W1618" s="9"/>
      <c r="X1618" s="16"/>
      <c r="AF1618" s="42">
        <f>IF(BUSCAR!$C$8="FECHA NAC.",$G1618,IF(BUSCAR!$C$8="PASAPORTE EXPIRA",$J1618,IF(BUSCAR!$C$8="LICENCIA EMISION",$L1618,IF(BUSCAR!$C$8="LICENCIA EXPIRA",$M1618,""))))</f>
      </c>
      <c r="AG1618" s="42">
        <f>IF($B1618&amp;$C1618&amp;$D1618&amp;$E1618&amp;$H1618="",0,IF(AND(OR(BUSCAR!$J$5="",ISNUMBER(SEARCH(BUSCAR!$J$5,$AI1618))),OR(BUSCAR!$J$6="",ISNUMBER(SEARCH(BUSCAR!$J$6,$AI1618))),OR(BUSCAR!$J$8="",ISNUMBER(SEARCH(BUSCAR!$J$8,$AI1618))),OR(BUSCAR!$J$9="",ISNUMBER(SEARCH(BUSCAR!$J$9,$AI1618))),OR(NOT(BUSCAR!$J$2),AND(ISNUMBER($AF1618),$AF1618&gt;=BUSCAR!$J$3,$AF1618&lt;=BUSCAR!$J$4))),1,0))</f>
      </c>
      <c r="AH1618" s="42">
        <f t="shared" si="75"/>
      </c>
      <c r="AI1618" s="42">
        <f t="shared" si="76"/>
      </c>
    </row>
    <row r="1619" spans="1:35" x14ac:dyDescent="0.2">
      <c r="A1619" s="66">
        <f t="shared" si="77"/>
      </c>
      <c r="B1619" s="4"/>
      <c r="C1619" s="4"/>
      <c r="D1619" s="4"/>
      <c r="E1619" s="4"/>
      <c r="F1619" s="24"/>
      <c r="G1619" s="8"/>
      <c r="H1619" s="9"/>
      <c r="I1619" s="8"/>
      <c r="J1619" s="10"/>
      <c r="K1619" s="8"/>
      <c r="L1619" s="8"/>
      <c r="M1619" s="8"/>
      <c r="N1619" s="11"/>
      <c r="O1619" s="9"/>
      <c r="P1619" s="12"/>
      <c r="Q1619" s="9"/>
      <c r="R1619" s="13"/>
      <c r="S1619" s="11"/>
      <c r="T1619" s="11"/>
      <c r="U1619" s="9"/>
      <c r="V1619" s="9"/>
      <c r="W1619" s="9"/>
      <c r="X1619" s="16"/>
      <c r="AF1619" s="42">
        <f>IF(BUSCAR!$C$8="FECHA NAC.",$G1619,IF(BUSCAR!$C$8="PASAPORTE EXPIRA",$J1619,IF(BUSCAR!$C$8="LICENCIA EMISION",$L1619,IF(BUSCAR!$C$8="LICENCIA EXPIRA",$M1619,""))))</f>
      </c>
      <c r="AG1619" s="42">
        <f>IF($B1619&amp;$C1619&amp;$D1619&amp;$E1619&amp;$H1619="",0,IF(AND(OR(BUSCAR!$J$5="",ISNUMBER(SEARCH(BUSCAR!$J$5,$AI1619))),OR(BUSCAR!$J$6="",ISNUMBER(SEARCH(BUSCAR!$J$6,$AI1619))),OR(BUSCAR!$J$8="",ISNUMBER(SEARCH(BUSCAR!$J$8,$AI1619))),OR(BUSCAR!$J$9="",ISNUMBER(SEARCH(BUSCAR!$J$9,$AI1619))),OR(NOT(BUSCAR!$J$2),AND(ISNUMBER($AF1619),$AF1619&gt;=BUSCAR!$J$3,$AF1619&lt;=BUSCAR!$J$4))),1,0))</f>
      </c>
      <c r="AH1619" s="42">
        <f t="shared" si="75"/>
      </c>
      <c r="AI1619" s="42">
        <f t="shared" si="76"/>
      </c>
    </row>
    <row r="1620" spans="1:35" x14ac:dyDescent="0.2">
      <c r="A1620" s="66">
        <f t="shared" si="77"/>
      </c>
      <c r="B1620" s="4"/>
      <c r="C1620" s="4"/>
      <c r="D1620" s="4"/>
      <c r="E1620" s="4"/>
      <c r="F1620" s="24"/>
      <c r="G1620" s="8"/>
      <c r="H1620" s="9"/>
      <c r="I1620" s="8"/>
      <c r="J1620" s="10"/>
      <c r="K1620" s="8"/>
      <c r="L1620" s="8"/>
      <c r="M1620" s="8"/>
      <c r="N1620" s="11"/>
      <c r="O1620" s="9"/>
      <c r="P1620" s="12"/>
      <c r="Q1620" s="9"/>
      <c r="R1620" s="13"/>
      <c r="S1620" s="11"/>
      <c r="T1620" s="11"/>
      <c r="U1620" s="9"/>
      <c r="V1620" s="9"/>
      <c r="W1620" s="9"/>
      <c r="X1620" s="16"/>
      <c r="AF1620" s="42">
        <f>IF(BUSCAR!$C$8="FECHA NAC.",$G1620,IF(BUSCAR!$C$8="PASAPORTE EXPIRA",$J1620,IF(BUSCAR!$C$8="LICENCIA EMISION",$L1620,IF(BUSCAR!$C$8="LICENCIA EXPIRA",$M1620,""))))</f>
      </c>
      <c r="AG1620" s="42">
        <f>IF($B1620&amp;$C1620&amp;$D1620&amp;$E1620&amp;$H1620="",0,IF(AND(OR(BUSCAR!$J$5="",ISNUMBER(SEARCH(BUSCAR!$J$5,$AI1620))),OR(BUSCAR!$J$6="",ISNUMBER(SEARCH(BUSCAR!$J$6,$AI1620))),OR(BUSCAR!$J$8="",ISNUMBER(SEARCH(BUSCAR!$J$8,$AI1620))),OR(BUSCAR!$J$9="",ISNUMBER(SEARCH(BUSCAR!$J$9,$AI1620))),OR(NOT(BUSCAR!$J$2),AND(ISNUMBER($AF1620),$AF1620&gt;=BUSCAR!$J$3,$AF1620&lt;=BUSCAR!$J$4))),1,0))</f>
      </c>
      <c r="AH1620" s="42">
        <f t="shared" si="75"/>
      </c>
      <c r="AI1620" s="42">
        <f t="shared" si="76"/>
      </c>
    </row>
    <row r="1621" spans="1:35" x14ac:dyDescent="0.2">
      <c r="A1621" s="66">
        <f t="shared" si="77"/>
      </c>
      <c r="B1621" s="4"/>
      <c r="C1621" s="4"/>
      <c r="D1621" s="4"/>
      <c r="E1621" s="4"/>
      <c r="F1621" s="24"/>
      <c r="G1621" s="8"/>
      <c r="H1621" s="9"/>
      <c r="I1621" s="8"/>
      <c r="J1621" s="10"/>
      <c r="K1621" s="8"/>
      <c r="L1621" s="8"/>
      <c r="M1621" s="8"/>
      <c r="N1621" s="11"/>
      <c r="O1621" s="9"/>
      <c r="P1621" s="12"/>
      <c r="Q1621" s="9"/>
      <c r="R1621" s="13"/>
      <c r="S1621" s="11"/>
      <c r="T1621" s="11"/>
      <c r="U1621" s="9"/>
      <c r="V1621" s="9"/>
      <c r="W1621" s="9"/>
      <c r="X1621" s="16"/>
      <c r="AF1621" s="42">
        <f>IF(BUSCAR!$C$8="FECHA NAC.",$G1621,IF(BUSCAR!$C$8="PASAPORTE EXPIRA",$J1621,IF(BUSCAR!$C$8="LICENCIA EMISION",$L1621,IF(BUSCAR!$C$8="LICENCIA EXPIRA",$M1621,""))))</f>
      </c>
      <c r="AG1621" s="42">
        <f>IF($B1621&amp;$C1621&amp;$D1621&amp;$E1621&amp;$H1621="",0,IF(AND(OR(BUSCAR!$J$5="",ISNUMBER(SEARCH(BUSCAR!$J$5,$AI1621))),OR(BUSCAR!$J$6="",ISNUMBER(SEARCH(BUSCAR!$J$6,$AI1621))),OR(BUSCAR!$J$8="",ISNUMBER(SEARCH(BUSCAR!$J$8,$AI1621))),OR(BUSCAR!$J$9="",ISNUMBER(SEARCH(BUSCAR!$J$9,$AI1621))),OR(NOT(BUSCAR!$J$2),AND(ISNUMBER($AF1621),$AF1621&gt;=BUSCAR!$J$3,$AF1621&lt;=BUSCAR!$J$4))),1,0))</f>
      </c>
      <c r="AH1621" s="42">
        <f t="shared" si="75"/>
      </c>
      <c r="AI1621" s="42">
        <f t="shared" si="76"/>
      </c>
    </row>
    <row r="1622" spans="1:35" x14ac:dyDescent="0.2">
      <c r="A1622" s="66">
        <f t="shared" si="77"/>
      </c>
      <c r="B1622" s="4"/>
      <c r="C1622" s="4"/>
      <c r="D1622" s="4"/>
      <c r="E1622" s="4"/>
      <c r="F1622" s="24"/>
      <c r="G1622" s="8"/>
      <c r="H1622" s="9"/>
      <c r="I1622" s="8"/>
      <c r="J1622" s="10"/>
      <c r="K1622" s="8"/>
      <c r="L1622" s="8"/>
      <c r="M1622" s="8"/>
      <c r="N1622" s="11"/>
      <c r="O1622" s="9"/>
      <c r="P1622" s="12"/>
      <c r="Q1622" s="9"/>
      <c r="R1622" s="13"/>
      <c r="S1622" s="11"/>
      <c r="T1622" s="11"/>
      <c r="U1622" s="9"/>
      <c r="V1622" s="9"/>
      <c r="W1622" s="9"/>
      <c r="X1622" s="16"/>
      <c r="AF1622" s="42">
        <f>IF(BUSCAR!$C$8="FECHA NAC.",$G1622,IF(BUSCAR!$C$8="PASAPORTE EXPIRA",$J1622,IF(BUSCAR!$C$8="LICENCIA EMISION",$L1622,IF(BUSCAR!$C$8="LICENCIA EXPIRA",$M1622,""))))</f>
      </c>
      <c r="AG1622" s="42">
        <f>IF($B1622&amp;$C1622&amp;$D1622&amp;$E1622&amp;$H1622="",0,IF(AND(OR(BUSCAR!$J$5="",ISNUMBER(SEARCH(BUSCAR!$J$5,$AI1622))),OR(BUSCAR!$J$6="",ISNUMBER(SEARCH(BUSCAR!$J$6,$AI1622))),OR(BUSCAR!$J$8="",ISNUMBER(SEARCH(BUSCAR!$J$8,$AI1622))),OR(BUSCAR!$J$9="",ISNUMBER(SEARCH(BUSCAR!$J$9,$AI1622))),OR(NOT(BUSCAR!$J$2),AND(ISNUMBER($AF1622),$AF1622&gt;=BUSCAR!$J$3,$AF1622&lt;=BUSCAR!$J$4))),1,0))</f>
      </c>
      <c r="AH1622" s="42">
        <f t="shared" si="75"/>
      </c>
      <c r="AI1622" s="42">
        <f t="shared" si="76"/>
      </c>
    </row>
    <row r="1623" spans="1:35" x14ac:dyDescent="0.2">
      <c r="A1623" s="66">
        <f t="shared" si="77"/>
      </c>
      <c r="B1623" s="4"/>
      <c r="C1623" s="4"/>
      <c r="D1623" s="4"/>
      <c r="E1623" s="4"/>
      <c r="F1623" s="24"/>
      <c r="G1623" s="8"/>
      <c r="H1623" s="9"/>
      <c r="I1623" s="8"/>
      <c r="J1623" s="10"/>
      <c r="K1623" s="8"/>
      <c r="L1623" s="8"/>
      <c r="M1623" s="8"/>
      <c r="N1623" s="11"/>
      <c r="O1623" s="9"/>
      <c r="P1623" s="12"/>
      <c r="Q1623" s="9"/>
      <c r="R1623" s="13"/>
      <c r="S1623" s="11"/>
      <c r="T1623" s="11"/>
      <c r="U1623" s="9"/>
      <c r="V1623" s="9"/>
      <c r="W1623" s="9"/>
      <c r="X1623" s="16"/>
      <c r="AF1623" s="42">
        <f>IF(BUSCAR!$C$8="FECHA NAC.",$G1623,IF(BUSCAR!$C$8="PASAPORTE EXPIRA",$J1623,IF(BUSCAR!$C$8="LICENCIA EMISION",$L1623,IF(BUSCAR!$C$8="LICENCIA EXPIRA",$M1623,""))))</f>
      </c>
      <c r="AG1623" s="42">
        <f>IF($B1623&amp;$C1623&amp;$D1623&amp;$E1623&amp;$H1623="",0,IF(AND(OR(BUSCAR!$J$5="",ISNUMBER(SEARCH(BUSCAR!$J$5,$AI1623))),OR(BUSCAR!$J$6="",ISNUMBER(SEARCH(BUSCAR!$J$6,$AI1623))),OR(BUSCAR!$J$8="",ISNUMBER(SEARCH(BUSCAR!$J$8,$AI1623))),OR(BUSCAR!$J$9="",ISNUMBER(SEARCH(BUSCAR!$J$9,$AI1623))),OR(NOT(BUSCAR!$J$2),AND(ISNUMBER($AF1623),$AF1623&gt;=BUSCAR!$J$3,$AF1623&lt;=BUSCAR!$J$4))),1,0))</f>
      </c>
      <c r="AH1623" s="42">
        <f t="shared" si="75"/>
      </c>
      <c r="AI1623" s="42">
        <f t="shared" si="76"/>
      </c>
    </row>
    <row r="1624" spans="1:35" x14ac:dyDescent="0.2">
      <c r="A1624" s="66">
        <f t="shared" si="77"/>
      </c>
      <c r="B1624" s="4"/>
      <c r="C1624" s="4"/>
      <c r="D1624" s="4"/>
      <c r="E1624" s="4"/>
      <c r="F1624" s="24"/>
      <c r="G1624" s="8"/>
      <c r="H1624" s="9"/>
      <c r="I1624" s="8"/>
      <c r="J1624" s="10"/>
      <c r="K1624" s="8"/>
      <c r="L1624" s="8"/>
      <c r="M1624" s="8"/>
      <c r="N1624" s="11"/>
      <c r="O1624" s="9"/>
      <c r="P1624" s="12"/>
      <c r="Q1624" s="9"/>
      <c r="R1624" s="13"/>
      <c r="S1624" s="11"/>
      <c r="T1624" s="11"/>
      <c r="U1624" s="9"/>
      <c r="V1624" s="9"/>
      <c r="W1624" s="9"/>
      <c r="X1624" s="16"/>
      <c r="AF1624" s="42">
        <f>IF(BUSCAR!$C$8="FECHA NAC.",$G1624,IF(BUSCAR!$C$8="PASAPORTE EXPIRA",$J1624,IF(BUSCAR!$C$8="LICENCIA EMISION",$L1624,IF(BUSCAR!$C$8="LICENCIA EXPIRA",$M1624,""))))</f>
      </c>
      <c r="AG1624" s="42">
        <f>IF($B1624&amp;$C1624&amp;$D1624&amp;$E1624&amp;$H1624="",0,IF(AND(OR(BUSCAR!$J$5="",ISNUMBER(SEARCH(BUSCAR!$J$5,$AI1624))),OR(BUSCAR!$J$6="",ISNUMBER(SEARCH(BUSCAR!$J$6,$AI1624))),OR(BUSCAR!$J$8="",ISNUMBER(SEARCH(BUSCAR!$J$8,$AI1624))),OR(BUSCAR!$J$9="",ISNUMBER(SEARCH(BUSCAR!$J$9,$AI1624))),OR(NOT(BUSCAR!$J$2),AND(ISNUMBER($AF1624),$AF1624&gt;=BUSCAR!$J$3,$AF1624&lt;=BUSCAR!$J$4))),1,0))</f>
      </c>
      <c r="AH1624" s="42">
        <f t="shared" si="75"/>
      </c>
      <c r="AI1624" s="42">
        <f t="shared" si="76"/>
      </c>
    </row>
    <row r="1625" spans="1:35" x14ac:dyDescent="0.2">
      <c r="A1625" s="66">
        <f t="shared" si="77"/>
      </c>
      <c r="B1625" s="4"/>
      <c r="C1625" s="4"/>
      <c r="D1625" s="4"/>
      <c r="E1625" s="4"/>
      <c r="F1625" s="24"/>
      <c r="G1625" s="8"/>
      <c r="H1625" s="9"/>
      <c r="I1625" s="8"/>
      <c r="J1625" s="10"/>
      <c r="K1625" s="8"/>
      <c r="L1625" s="8"/>
      <c r="M1625" s="8"/>
      <c r="N1625" s="11"/>
      <c r="O1625" s="9"/>
      <c r="P1625" s="12"/>
      <c r="Q1625" s="9"/>
      <c r="R1625" s="13"/>
      <c r="S1625" s="11"/>
      <c r="T1625" s="11"/>
      <c r="U1625" s="9"/>
      <c r="V1625" s="9"/>
      <c r="W1625" s="9"/>
      <c r="X1625" s="16"/>
      <c r="AF1625" s="42">
        <f>IF(BUSCAR!$C$8="FECHA NAC.",$G1625,IF(BUSCAR!$C$8="PASAPORTE EXPIRA",$J1625,IF(BUSCAR!$C$8="LICENCIA EMISION",$L1625,IF(BUSCAR!$C$8="LICENCIA EXPIRA",$M1625,""))))</f>
      </c>
      <c r="AG1625" s="42">
        <f>IF($B1625&amp;$C1625&amp;$D1625&amp;$E1625&amp;$H1625="",0,IF(AND(OR(BUSCAR!$J$5="",ISNUMBER(SEARCH(BUSCAR!$J$5,$AI1625))),OR(BUSCAR!$J$6="",ISNUMBER(SEARCH(BUSCAR!$J$6,$AI1625))),OR(BUSCAR!$J$8="",ISNUMBER(SEARCH(BUSCAR!$J$8,$AI1625))),OR(BUSCAR!$J$9="",ISNUMBER(SEARCH(BUSCAR!$J$9,$AI1625))),OR(NOT(BUSCAR!$J$2),AND(ISNUMBER($AF1625),$AF1625&gt;=BUSCAR!$J$3,$AF1625&lt;=BUSCAR!$J$4))),1,0))</f>
      </c>
      <c r="AH1625" s="42">
        <f t="shared" si="75"/>
      </c>
      <c r="AI1625" s="42">
        <f t="shared" si="76"/>
      </c>
    </row>
    <row r="1626" spans="1:35" x14ac:dyDescent="0.2">
      <c r="A1626" s="66">
        <f t="shared" si="77"/>
      </c>
      <c r="B1626" s="4"/>
      <c r="C1626" s="4"/>
      <c r="D1626" s="4"/>
      <c r="E1626" s="4"/>
      <c r="F1626" s="24"/>
      <c r="G1626" s="8"/>
      <c r="H1626" s="9"/>
      <c r="I1626" s="8"/>
      <c r="J1626" s="10"/>
      <c r="K1626" s="8"/>
      <c r="L1626" s="8"/>
      <c r="M1626" s="8"/>
      <c r="N1626" s="11"/>
      <c r="O1626" s="9"/>
      <c r="P1626" s="12"/>
      <c r="Q1626" s="9"/>
      <c r="R1626" s="13"/>
      <c r="S1626" s="11"/>
      <c r="T1626" s="11"/>
      <c r="U1626" s="9"/>
      <c r="V1626" s="9"/>
      <c r="W1626" s="9"/>
      <c r="X1626" s="16"/>
      <c r="AF1626" s="42">
        <f>IF(BUSCAR!$C$8="FECHA NAC.",$G1626,IF(BUSCAR!$C$8="PASAPORTE EXPIRA",$J1626,IF(BUSCAR!$C$8="LICENCIA EMISION",$L1626,IF(BUSCAR!$C$8="LICENCIA EXPIRA",$M1626,""))))</f>
      </c>
      <c r="AG1626" s="42">
        <f>IF($B1626&amp;$C1626&amp;$D1626&amp;$E1626&amp;$H1626="",0,IF(AND(OR(BUSCAR!$J$5="",ISNUMBER(SEARCH(BUSCAR!$J$5,$AI1626))),OR(BUSCAR!$J$6="",ISNUMBER(SEARCH(BUSCAR!$J$6,$AI1626))),OR(BUSCAR!$J$8="",ISNUMBER(SEARCH(BUSCAR!$J$8,$AI1626))),OR(BUSCAR!$J$9="",ISNUMBER(SEARCH(BUSCAR!$J$9,$AI1626))),OR(NOT(BUSCAR!$J$2),AND(ISNUMBER($AF1626),$AF1626&gt;=BUSCAR!$J$3,$AF1626&lt;=BUSCAR!$J$4))),1,0))</f>
      </c>
      <c r="AH1626" s="42">
        <f t="shared" si="75"/>
      </c>
      <c r="AI1626" s="42">
        <f t="shared" si="76"/>
      </c>
    </row>
    <row r="1627" spans="1:35" x14ac:dyDescent="0.2">
      <c r="A1627" s="66">
        <f t="shared" si="77"/>
      </c>
      <c r="B1627" s="4"/>
      <c r="C1627" s="4"/>
      <c r="D1627" s="4"/>
      <c r="E1627" s="4"/>
      <c r="F1627" s="24"/>
      <c r="G1627" s="8"/>
      <c r="H1627" s="9"/>
      <c r="I1627" s="8"/>
      <c r="J1627" s="10"/>
      <c r="K1627" s="8"/>
      <c r="L1627" s="8"/>
      <c r="M1627" s="8"/>
      <c r="N1627" s="11"/>
      <c r="O1627" s="9"/>
      <c r="P1627" s="12"/>
      <c r="Q1627" s="9"/>
      <c r="R1627" s="13"/>
      <c r="S1627" s="11"/>
      <c r="T1627" s="11"/>
      <c r="U1627" s="9"/>
      <c r="V1627" s="9"/>
      <c r="W1627" s="9"/>
      <c r="X1627" s="16"/>
      <c r="AF1627" s="42">
        <f>IF(BUSCAR!$C$8="FECHA NAC.",$G1627,IF(BUSCAR!$C$8="PASAPORTE EXPIRA",$J1627,IF(BUSCAR!$C$8="LICENCIA EMISION",$L1627,IF(BUSCAR!$C$8="LICENCIA EXPIRA",$M1627,""))))</f>
      </c>
      <c r="AG1627" s="42">
        <f>IF($B1627&amp;$C1627&amp;$D1627&amp;$E1627&amp;$H1627="",0,IF(AND(OR(BUSCAR!$J$5="",ISNUMBER(SEARCH(BUSCAR!$J$5,$AI1627))),OR(BUSCAR!$J$6="",ISNUMBER(SEARCH(BUSCAR!$J$6,$AI1627))),OR(BUSCAR!$J$8="",ISNUMBER(SEARCH(BUSCAR!$J$8,$AI1627))),OR(BUSCAR!$J$9="",ISNUMBER(SEARCH(BUSCAR!$J$9,$AI1627))),OR(NOT(BUSCAR!$J$2),AND(ISNUMBER($AF1627),$AF1627&gt;=BUSCAR!$J$3,$AF1627&lt;=BUSCAR!$J$4))),1,0))</f>
      </c>
      <c r="AH1627" s="42">
        <f t="shared" si="75"/>
      </c>
      <c r="AI1627" s="42">
        <f t="shared" si="76"/>
      </c>
    </row>
    <row r="1628" spans="1:35" x14ac:dyDescent="0.2">
      <c r="A1628" s="66">
        <f t="shared" si="77"/>
      </c>
      <c r="B1628" s="4"/>
      <c r="C1628" s="4"/>
      <c r="D1628" s="4"/>
      <c r="E1628" s="4"/>
      <c r="F1628" s="24"/>
      <c r="G1628" s="8"/>
      <c r="H1628" s="9"/>
      <c r="I1628" s="8"/>
      <c r="J1628" s="10"/>
      <c r="K1628" s="8"/>
      <c r="L1628" s="8"/>
      <c r="M1628" s="8"/>
      <c r="N1628" s="11"/>
      <c r="O1628" s="9"/>
      <c r="P1628" s="12"/>
      <c r="Q1628" s="9"/>
      <c r="R1628" s="13"/>
      <c r="S1628" s="11"/>
      <c r="T1628" s="11"/>
      <c r="U1628" s="9"/>
      <c r="V1628" s="9"/>
      <c r="W1628" s="9"/>
      <c r="X1628" s="16"/>
      <c r="AF1628" s="42">
        <f>IF(BUSCAR!$C$8="FECHA NAC.",$G1628,IF(BUSCAR!$C$8="PASAPORTE EXPIRA",$J1628,IF(BUSCAR!$C$8="LICENCIA EMISION",$L1628,IF(BUSCAR!$C$8="LICENCIA EXPIRA",$M1628,""))))</f>
      </c>
      <c r="AG1628" s="42">
        <f>IF($B1628&amp;$C1628&amp;$D1628&amp;$E1628&amp;$H1628="",0,IF(AND(OR(BUSCAR!$J$5="",ISNUMBER(SEARCH(BUSCAR!$J$5,$AI1628))),OR(BUSCAR!$J$6="",ISNUMBER(SEARCH(BUSCAR!$J$6,$AI1628))),OR(BUSCAR!$J$8="",ISNUMBER(SEARCH(BUSCAR!$J$8,$AI1628))),OR(BUSCAR!$J$9="",ISNUMBER(SEARCH(BUSCAR!$J$9,$AI1628))),OR(NOT(BUSCAR!$J$2),AND(ISNUMBER($AF1628),$AF1628&gt;=BUSCAR!$J$3,$AF1628&lt;=BUSCAR!$J$4))),1,0))</f>
      </c>
      <c r="AH1628" s="42">
        <f t="shared" si="75"/>
      </c>
      <c r="AI1628" s="42">
        <f t="shared" si="76"/>
      </c>
    </row>
    <row r="1629" spans="1:35" x14ac:dyDescent="0.2">
      <c r="A1629" s="66">
        <f t="shared" si="77"/>
      </c>
      <c r="B1629" s="4"/>
      <c r="C1629" s="4"/>
      <c r="D1629" s="4"/>
      <c r="E1629" s="4"/>
      <c r="F1629" s="24"/>
      <c r="G1629" s="8"/>
      <c r="H1629" s="9"/>
      <c r="I1629" s="8"/>
      <c r="J1629" s="10"/>
      <c r="K1629" s="8"/>
      <c r="L1629" s="8"/>
      <c r="M1629" s="8"/>
      <c r="N1629" s="11"/>
      <c r="O1629" s="9"/>
      <c r="P1629" s="12"/>
      <c r="Q1629" s="9"/>
      <c r="R1629" s="13"/>
      <c r="S1629" s="11"/>
      <c r="T1629" s="11"/>
      <c r="U1629" s="9"/>
      <c r="V1629" s="9"/>
      <c r="W1629" s="9"/>
      <c r="X1629" s="16"/>
      <c r="AF1629" s="42">
        <f>IF(BUSCAR!$C$8="FECHA NAC.",$G1629,IF(BUSCAR!$C$8="PASAPORTE EXPIRA",$J1629,IF(BUSCAR!$C$8="LICENCIA EMISION",$L1629,IF(BUSCAR!$C$8="LICENCIA EXPIRA",$M1629,""))))</f>
      </c>
      <c r="AG1629" s="42">
        <f>IF($B1629&amp;$C1629&amp;$D1629&amp;$E1629&amp;$H1629="",0,IF(AND(OR(BUSCAR!$J$5="",ISNUMBER(SEARCH(BUSCAR!$J$5,$AI1629))),OR(BUSCAR!$J$6="",ISNUMBER(SEARCH(BUSCAR!$J$6,$AI1629))),OR(BUSCAR!$J$8="",ISNUMBER(SEARCH(BUSCAR!$J$8,$AI1629))),OR(BUSCAR!$J$9="",ISNUMBER(SEARCH(BUSCAR!$J$9,$AI1629))),OR(NOT(BUSCAR!$J$2),AND(ISNUMBER($AF1629),$AF1629&gt;=BUSCAR!$J$3,$AF1629&lt;=BUSCAR!$J$4))),1,0))</f>
      </c>
      <c r="AH1629" s="42">
        <f t="shared" si="75"/>
      </c>
      <c r="AI1629" s="42">
        <f t="shared" si="76"/>
      </c>
    </row>
    <row r="1630" spans="1:35" x14ac:dyDescent="0.2">
      <c r="A1630" s="66">
        <f t="shared" si="77"/>
      </c>
      <c r="B1630" s="4"/>
      <c r="C1630" s="4"/>
      <c r="D1630" s="4"/>
      <c r="E1630" s="4"/>
      <c r="F1630" s="24"/>
      <c r="G1630" s="8"/>
      <c r="H1630" s="9"/>
      <c r="I1630" s="8"/>
      <c r="J1630" s="10"/>
      <c r="K1630" s="8"/>
      <c r="L1630" s="8"/>
      <c r="M1630" s="8"/>
      <c r="N1630" s="11"/>
      <c r="O1630" s="9"/>
      <c r="P1630" s="12"/>
      <c r="Q1630" s="9"/>
      <c r="R1630" s="13"/>
      <c r="S1630" s="11"/>
      <c r="T1630" s="11"/>
      <c r="U1630" s="9"/>
      <c r="V1630" s="9"/>
      <c r="W1630" s="9"/>
      <c r="X1630" s="16"/>
      <c r="AF1630" s="42">
        <f>IF(BUSCAR!$C$8="FECHA NAC.",$G1630,IF(BUSCAR!$C$8="PASAPORTE EXPIRA",$J1630,IF(BUSCAR!$C$8="LICENCIA EMISION",$L1630,IF(BUSCAR!$C$8="LICENCIA EXPIRA",$M1630,""))))</f>
      </c>
      <c r="AG1630" s="42">
        <f>IF($B1630&amp;$C1630&amp;$D1630&amp;$E1630&amp;$H1630="",0,IF(AND(OR(BUSCAR!$J$5="",ISNUMBER(SEARCH(BUSCAR!$J$5,$AI1630))),OR(BUSCAR!$J$6="",ISNUMBER(SEARCH(BUSCAR!$J$6,$AI1630))),OR(BUSCAR!$J$8="",ISNUMBER(SEARCH(BUSCAR!$J$8,$AI1630))),OR(BUSCAR!$J$9="",ISNUMBER(SEARCH(BUSCAR!$J$9,$AI1630))),OR(NOT(BUSCAR!$J$2),AND(ISNUMBER($AF1630),$AF1630&gt;=BUSCAR!$J$3,$AF1630&lt;=BUSCAR!$J$4))),1,0))</f>
      </c>
      <c r="AH1630" s="42">
        <f t="shared" si="75"/>
      </c>
      <c r="AI1630" s="42">
        <f t="shared" si="76"/>
      </c>
    </row>
    <row r="1631" spans="1:35" x14ac:dyDescent="0.2">
      <c r="A1631" s="66">
        <f t="shared" si="77"/>
      </c>
      <c r="B1631" s="4"/>
      <c r="C1631" s="4"/>
      <c r="D1631" s="4"/>
      <c r="E1631" s="4"/>
      <c r="F1631" s="24"/>
      <c r="G1631" s="8"/>
      <c r="H1631" s="9"/>
      <c r="I1631" s="8"/>
      <c r="J1631" s="10"/>
      <c r="K1631" s="8"/>
      <c r="L1631" s="8"/>
      <c r="M1631" s="8"/>
      <c r="N1631" s="11"/>
      <c r="O1631" s="9"/>
      <c r="P1631" s="12"/>
      <c r="Q1631" s="9"/>
      <c r="R1631" s="13"/>
      <c r="S1631" s="11"/>
      <c r="T1631" s="11"/>
      <c r="U1631" s="9"/>
      <c r="V1631" s="9"/>
      <c r="W1631" s="9"/>
      <c r="X1631" s="16"/>
      <c r="AF1631" s="42">
        <f>IF(BUSCAR!$C$8="FECHA NAC.",$G1631,IF(BUSCAR!$C$8="PASAPORTE EXPIRA",$J1631,IF(BUSCAR!$C$8="LICENCIA EMISION",$L1631,IF(BUSCAR!$C$8="LICENCIA EXPIRA",$M1631,""))))</f>
      </c>
      <c r="AG1631" s="42">
        <f>IF($B1631&amp;$C1631&amp;$D1631&amp;$E1631&amp;$H1631="",0,IF(AND(OR(BUSCAR!$J$5="",ISNUMBER(SEARCH(BUSCAR!$J$5,$AI1631))),OR(BUSCAR!$J$6="",ISNUMBER(SEARCH(BUSCAR!$J$6,$AI1631))),OR(BUSCAR!$J$8="",ISNUMBER(SEARCH(BUSCAR!$J$8,$AI1631))),OR(BUSCAR!$J$9="",ISNUMBER(SEARCH(BUSCAR!$J$9,$AI1631))),OR(NOT(BUSCAR!$J$2),AND(ISNUMBER($AF1631),$AF1631&gt;=BUSCAR!$J$3,$AF1631&lt;=BUSCAR!$J$4))),1,0))</f>
      </c>
      <c r="AH1631" s="42">
        <f t="shared" si="75"/>
      </c>
      <c r="AI1631" s="42">
        <f t="shared" si="76"/>
      </c>
    </row>
    <row r="1632" spans="1:35" x14ac:dyDescent="0.2">
      <c r="A1632" s="66">
        <f t="shared" si="77"/>
      </c>
      <c r="B1632" s="4"/>
      <c r="C1632" s="4"/>
      <c r="D1632" s="4"/>
      <c r="E1632" s="4"/>
      <c r="F1632" s="24"/>
      <c r="G1632" s="8"/>
      <c r="H1632" s="9"/>
      <c r="I1632" s="8"/>
      <c r="J1632" s="10"/>
      <c r="K1632" s="8"/>
      <c r="L1632" s="8"/>
      <c r="M1632" s="8"/>
      <c r="N1632" s="11"/>
      <c r="O1632" s="9"/>
      <c r="P1632" s="12"/>
      <c r="Q1632" s="9"/>
      <c r="R1632" s="13"/>
      <c r="S1632" s="11"/>
      <c r="T1632" s="11"/>
      <c r="U1632" s="9"/>
      <c r="V1632" s="9"/>
      <c r="W1632" s="9"/>
      <c r="X1632" s="16"/>
      <c r="AF1632" s="42">
        <f>IF(BUSCAR!$C$8="FECHA NAC.",$G1632,IF(BUSCAR!$C$8="PASAPORTE EXPIRA",$J1632,IF(BUSCAR!$C$8="LICENCIA EMISION",$L1632,IF(BUSCAR!$C$8="LICENCIA EXPIRA",$M1632,""))))</f>
      </c>
      <c r="AG1632" s="42">
        <f>IF($B1632&amp;$C1632&amp;$D1632&amp;$E1632&amp;$H1632="",0,IF(AND(OR(BUSCAR!$J$5="",ISNUMBER(SEARCH(BUSCAR!$J$5,$AI1632))),OR(BUSCAR!$J$6="",ISNUMBER(SEARCH(BUSCAR!$J$6,$AI1632))),OR(BUSCAR!$J$8="",ISNUMBER(SEARCH(BUSCAR!$J$8,$AI1632))),OR(BUSCAR!$J$9="",ISNUMBER(SEARCH(BUSCAR!$J$9,$AI1632))),OR(NOT(BUSCAR!$J$2),AND(ISNUMBER($AF1632),$AF1632&gt;=BUSCAR!$J$3,$AF1632&lt;=BUSCAR!$J$4))),1,0))</f>
      </c>
      <c r="AH1632" s="42">
        <f t="shared" si="75"/>
      </c>
      <c r="AI1632" s="42">
        <f t="shared" si="76"/>
      </c>
    </row>
    <row r="1633" spans="1:35" x14ac:dyDescent="0.2">
      <c r="A1633" s="66">
        <f t="shared" si="77"/>
      </c>
      <c r="B1633" s="4"/>
      <c r="C1633" s="4"/>
      <c r="D1633" s="4"/>
      <c r="E1633" s="4"/>
      <c r="F1633" s="24"/>
      <c r="G1633" s="8"/>
      <c r="H1633" s="9"/>
      <c r="I1633" s="8"/>
      <c r="J1633" s="10"/>
      <c r="K1633" s="8"/>
      <c r="L1633" s="8"/>
      <c r="M1633" s="8"/>
      <c r="N1633" s="11"/>
      <c r="O1633" s="9"/>
      <c r="P1633" s="12"/>
      <c r="Q1633" s="9"/>
      <c r="R1633" s="13"/>
      <c r="S1633" s="11"/>
      <c r="T1633" s="11"/>
      <c r="U1633" s="9"/>
      <c r="V1633" s="9"/>
      <c r="W1633" s="9"/>
      <c r="X1633" s="16"/>
      <c r="AF1633" s="42">
        <f>IF(BUSCAR!$C$8="FECHA NAC.",$G1633,IF(BUSCAR!$C$8="PASAPORTE EXPIRA",$J1633,IF(BUSCAR!$C$8="LICENCIA EMISION",$L1633,IF(BUSCAR!$C$8="LICENCIA EXPIRA",$M1633,""))))</f>
      </c>
      <c r="AG1633" s="42">
        <f>IF($B1633&amp;$C1633&amp;$D1633&amp;$E1633&amp;$H1633="",0,IF(AND(OR(BUSCAR!$J$5="",ISNUMBER(SEARCH(BUSCAR!$J$5,$AI1633))),OR(BUSCAR!$J$6="",ISNUMBER(SEARCH(BUSCAR!$J$6,$AI1633))),OR(BUSCAR!$J$8="",ISNUMBER(SEARCH(BUSCAR!$J$8,$AI1633))),OR(BUSCAR!$J$9="",ISNUMBER(SEARCH(BUSCAR!$J$9,$AI1633))),OR(NOT(BUSCAR!$J$2),AND(ISNUMBER($AF1633),$AF1633&gt;=BUSCAR!$J$3,$AF1633&lt;=BUSCAR!$J$4))),1,0))</f>
      </c>
      <c r="AH1633" s="42">
        <f t="shared" si="75"/>
      </c>
      <c r="AI1633" s="42">
        <f t="shared" si="76"/>
      </c>
    </row>
    <row r="1634" spans="1:35" x14ac:dyDescent="0.2">
      <c r="A1634" s="66">
        <f t="shared" si="77"/>
      </c>
      <c r="B1634" s="4"/>
      <c r="C1634" s="4"/>
      <c r="D1634" s="4"/>
      <c r="E1634" s="4"/>
      <c r="F1634" s="24"/>
      <c r="G1634" s="8"/>
      <c r="H1634" s="9"/>
      <c r="I1634" s="8"/>
      <c r="J1634" s="10"/>
      <c r="K1634" s="8"/>
      <c r="L1634" s="8"/>
      <c r="M1634" s="8"/>
      <c r="N1634" s="11"/>
      <c r="O1634" s="9"/>
      <c r="P1634" s="12"/>
      <c r="Q1634" s="9"/>
      <c r="R1634" s="13"/>
      <c r="S1634" s="11"/>
      <c r="T1634" s="11"/>
      <c r="U1634" s="9"/>
      <c r="V1634" s="9"/>
      <c r="W1634" s="9"/>
      <c r="X1634" s="16"/>
      <c r="AF1634" s="42">
        <f>IF(BUSCAR!$C$8="FECHA NAC.",$G1634,IF(BUSCAR!$C$8="PASAPORTE EXPIRA",$J1634,IF(BUSCAR!$C$8="LICENCIA EMISION",$L1634,IF(BUSCAR!$C$8="LICENCIA EXPIRA",$M1634,""))))</f>
      </c>
      <c r="AG1634" s="42">
        <f>IF($B1634&amp;$C1634&amp;$D1634&amp;$E1634&amp;$H1634="",0,IF(AND(OR(BUSCAR!$J$5="",ISNUMBER(SEARCH(BUSCAR!$J$5,$AI1634))),OR(BUSCAR!$J$6="",ISNUMBER(SEARCH(BUSCAR!$J$6,$AI1634))),OR(BUSCAR!$J$8="",ISNUMBER(SEARCH(BUSCAR!$J$8,$AI1634))),OR(BUSCAR!$J$9="",ISNUMBER(SEARCH(BUSCAR!$J$9,$AI1634))),OR(NOT(BUSCAR!$J$2),AND(ISNUMBER($AF1634),$AF1634&gt;=BUSCAR!$J$3,$AF1634&lt;=BUSCAR!$J$4))),1,0))</f>
      </c>
      <c r="AH1634" s="42">
        <f t="shared" si="75"/>
      </c>
      <c r="AI1634" s="42">
        <f t="shared" si="76"/>
      </c>
    </row>
    <row r="1635" spans="1:35" x14ac:dyDescent="0.2">
      <c r="A1635" s="66">
        <f t="shared" si="77"/>
      </c>
      <c r="B1635" s="4"/>
      <c r="C1635" s="4"/>
      <c r="D1635" s="4"/>
      <c r="E1635" s="4"/>
      <c r="F1635" s="24"/>
      <c r="G1635" s="8"/>
      <c r="H1635" s="9"/>
      <c r="I1635" s="8"/>
      <c r="J1635" s="10"/>
      <c r="K1635" s="8"/>
      <c r="L1635" s="8"/>
      <c r="M1635" s="8"/>
      <c r="N1635" s="11"/>
      <c r="O1635" s="9"/>
      <c r="P1635" s="12"/>
      <c r="Q1635" s="9"/>
      <c r="R1635" s="13"/>
      <c r="S1635" s="11"/>
      <c r="T1635" s="11"/>
      <c r="U1635" s="9"/>
      <c r="V1635" s="9"/>
      <c r="W1635" s="9"/>
      <c r="X1635" s="16"/>
      <c r="AF1635" s="42">
        <f>IF(BUSCAR!$C$8="FECHA NAC.",$G1635,IF(BUSCAR!$C$8="PASAPORTE EXPIRA",$J1635,IF(BUSCAR!$C$8="LICENCIA EMISION",$L1635,IF(BUSCAR!$C$8="LICENCIA EXPIRA",$M1635,""))))</f>
      </c>
      <c r="AG1635" s="42">
        <f>IF($B1635&amp;$C1635&amp;$D1635&amp;$E1635&amp;$H1635="",0,IF(AND(OR(BUSCAR!$J$5="",ISNUMBER(SEARCH(BUSCAR!$J$5,$AI1635))),OR(BUSCAR!$J$6="",ISNUMBER(SEARCH(BUSCAR!$J$6,$AI1635))),OR(BUSCAR!$J$8="",ISNUMBER(SEARCH(BUSCAR!$J$8,$AI1635))),OR(BUSCAR!$J$9="",ISNUMBER(SEARCH(BUSCAR!$J$9,$AI1635))),OR(NOT(BUSCAR!$J$2),AND(ISNUMBER($AF1635),$AF1635&gt;=BUSCAR!$J$3,$AF1635&lt;=BUSCAR!$J$4))),1,0))</f>
      </c>
      <c r="AH1635" s="42">
        <f t="shared" si="75"/>
      </c>
      <c r="AI1635" s="42">
        <f t="shared" si="76"/>
      </c>
    </row>
    <row r="1636" spans="1:35" x14ac:dyDescent="0.2">
      <c r="A1636" s="66">
        <f t="shared" si="77"/>
      </c>
      <c r="B1636" s="4"/>
      <c r="C1636" s="4"/>
      <c r="D1636" s="4"/>
      <c r="E1636" s="4"/>
      <c r="F1636" s="24"/>
      <c r="G1636" s="8"/>
      <c r="H1636" s="9"/>
      <c r="I1636" s="8"/>
      <c r="J1636" s="10"/>
      <c r="K1636" s="8"/>
      <c r="L1636" s="8"/>
      <c r="M1636" s="8"/>
      <c r="N1636" s="11"/>
      <c r="O1636" s="9"/>
      <c r="P1636" s="12"/>
      <c r="Q1636" s="9"/>
      <c r="R1636" s="13"/>
      <c r="S1636" s="11"/>
      <c r="T1636" s="11"/>
      <c r="U1636" s="9"/>
      <c r="V1636" s="9"/>
      <c r="W1636" s="9"/>
      <c r="X1636" s="16"/>
      <c r="AF1636" s="42">
        <f>IF(BUSCAR!$C$8="FECHA NAC.",$G1636,IF(BUSCAR!$C$8="PASAPORTE EXPIRA",$J1636,IF(BUSCAR!$C$8="LICENCIA EMISION",$L1636,IF(BUSCAR!$C$8="LICENCIA EXPIRA",$M1636,""))))</f>
      </c>
      <c r="AG1636" s="42">
        <f>IF($B1636&amp;$C1636&amp;$D1636&amp;$E1636&amp;$H1636="",0,IF(AND(OR(BUSCAR!$J$5="",ISNUMBER(SEARCH(BUSCAR!$J$5,$AI1636))),OR(BUSCAR!$J$6="",ISNUMBER(SEARCH(BUSCAR!$J$6,$AI1636))),OR(BUSCAR!$J$8="",ISNUMBER(SEARCH(BUSCAR!$J$8,$AI1636))),OR(BUSCAR!$J$9="",ISNUMBER(SEARCH(BUSCAR!$J$9,$AI1636))),OR(NOT(BUSCAR!$J$2),AND(ISNUMBER($AF1636),$AF1636&gt;=BUSCAR!$J$3,$AF1636&lt;=BUSCAR!$J$4))),1,0))</f>
      </c>
      <c r="AH1636" s="42">
        <f t="shared" si="75"/>
      </c>
      <c r="AI1636" s="42">
        <f t="shared" si="76"/>
      </c>
    </row>
    <row r="1637" spans="1:35" x14ac:dyDescent="0.2">
      <c r="A1637" s="66">
        <f t="shared" si="77"/>
      </c>
      <c r="B1637" s="4"/>
      <c r="C1637" s="4"/>
      <c r="D1637" s="4"/>
      <c r="E1637" s="4"/>
      <c r="F1637" s="24"/>
      <c r="G1637" s="8"/>
      <c r="H1637" s="8"/>
      <c r="I1637" s="8"/>
      <c r="J1637" s="10"/>
      <c r="K1637" s="8"/>
      <c r="L1637" s="8"/>
      <c r="M1637" s="8"/>
      <c r="N1637" s="11"/>
      <c r="O1637" s="9"/>
      <c r="P1637" s="12"/>
      <c r="Q1637" s="9"/>
      <c r="R1637" s="13"/>
      <c r="S1637" s="11"/>
      <c r="T1637" s="11"/>
      <c r="U1637" s="9"/>
      <c r="V1637" s="9"/>
      <c r="W1637" s="9"/>
      <c r="X1637" s="16"/>
      <c r="AF1637" s="42">
        <f>IF(BUSCAR!$C$8="FECHA NAC.",$G1637,IF(BUSCAR!$C$8="PASAPORTE EXPIRA",$J1637,IF(BUSCAR!$C$8="LICENCIA EMISION",$L1637,IF(BUSCAR!$C$8="LICENCIA EXPIRA",$M1637,""))))</f>
      </c>
      <c r="AG1637" s="42">
        <f>IF($B1637&amp;$C1637&amp;$D1637&amp;$E1637&amp;$H1637="",0,IF(AND(OR(BUSCAR!$J$5="",ISNUMBER(SEARCH(BUSCAR!$J$5,$AI1637))),OR(BUSCAR!$J$6="",ISNUMBER(SEARCH(BUSCAR!$J$6,$AI1637))),OR(BUSCAR!$J$8="",ISNUMBER(SEARCH(BUSCAR!$J$8,$AI1637))),OR(BUSCAR!$J$9="",ISNUMBER(SEARCH(BUSCAR!$J$9,$AI1637))),OR(NOT(BUSCAR!$J$2),AND(ISNUMBER($AF1637),$AF1637&gt;=BUSCAR!$J$3,$AF1637&lt;=BUSCAR!$J$4))),1,0))</f>
      </c>
      <c r="AH1637" s="42">
        <f t="shared" si="75"/>
      </c>
      <c r="AI1637" s="42">
        <f t="shared" si="76"/>
      </c>
    </row>
    <row r="1638" spans="1:35" x14ac:dyDescent="0.2">
      <c r="A1638" s="66">
        <f t="shared" si="77"/>
      </c>
      <c r="B1638" s="4"/>
      <c r="C1638" s="4"/>
      <c r="D1638" s="4"/>
      <c r="E1638" s="4"/>
      <c r="F1638" s="24"/>
      <c r="G1638" s="8"/>
      <c r="H1638" s="9"/>
      <c r="I1638" s="8"/>
      <c r="J1638" s="10"/>
      <c r="K1638" s="8"/>
      <c r="L1638" s="8"/>
      <c r="M1638" s="8"/>
      <c r="N1638" s="11"/>
      <c r="O1638" s="9"/>
      <c r="P1638" s="12"/>
      <c r="Q1638" s="9"/>
      <c r="R1638" s="13"/>
      <c r="S1638" s="11"/>
      <c r="T1638" s="11"/>
      <c r="U1638" s="9"/>
      <c r="V1638" s="9"/>
      <c r="W1638" s="9"/>
      <c r="X1638" s="16"/>
      <c r="AF1638" s="42">
        <f>IF(BUSCAR!$C$8="FECHA NAC.",$G1638,IF(BUSCAR!$C$8="PASAPORTE EXPIRA",$J1638,IF(BUSCAR!$C$8="LICENCIA EMISION",$L1638,IF(BUSCAR!$C$8="LICENCIA EXPIRA",$M1638,""))))</f>
      </c>
      <c r="AG1638" s="42">
        <f>IF($B1638&amp;$C1638&amp;$D1638&amp;$E1638&amp;$H1638="",0,IF(AND(OR(BUSCAR!$J$5="",ISNUMBER(SEARCH(BUSCAR!$J$5,$AI1638))),OR(BUSCAR!$J$6="",ISNUMBER(SEARCH(BUSCAR!$J$6,$AI1638))),OR(BUSCAR!$J$8="",ISNUMBER(SEARCH(BUSCAR!$J$8,$AI1638))),OR(BUSCAR!$J$9="",ISNUMBER(SEARCH(BUSCAR!$J$9,$AI1638))),OR(NOT(BUSCAR!$J$2),AND(ISNUMBER($AF1638),$AF1638&gt;=BUSCAR!$J$3,$AF1638&lt;=BUSCAR!$J$4))),1,0))</f>
      </c>
      <c r="AH1638" s="42">
        <f t="shared" si="75"/>
      </c>
      <c r="AI1638" s="42">
        <f t="shared" si="76"/>
      </c>
    </row>
    <row r="1639" spans="1:35" x14ac:dyDescent="0.2">
      <c r="A1639" s="66">
        <f t="shared" si="77"/>
      </c>
      <c r="B1639" s="4"/>
      <c r="C1639" s="4"/>
      <c r="D1639" s="4"/>
      <c r="E1639" s="4"/>
      <c r="F1639" s="24"/>
      <c r="G1639" s="8"/>
      <c r="H1639" s="9"/>
      <c r="I1639" s="8"/>
      <c r="J1639" s="10"/>
      <c r="K1639" s="8"/>
      <c r="L1639" s="8"/>
      <c r="M1639" s="8"/>
      <c r="N1639" s="11"/>
      <c r="O1639" s="9"/>
      <c r="P1639" s="12"/>
      <c r="Q1639" s="9"/>
      <c r="R1639" s="13"/>
      <c r="S1639" s="11"/>
      <c r="T1639" s="11"/>
      <c r="U1639" s="9"/>
      <c r="V1639" s="9"/>
      <c r="W1639" s="9"/>
      <c r="X1639" s="16"/>
      <c r="AF1639" s="42">
        <f>IF(BUSCAR!$C$8="FECHA NAC.",$G1639,IF(BUSCAR!$C$8="PASAPORTE EXPIRA",$J1639,IF(BUSCAR!$C$8="LICENCIA EMISION",$L1639,IF(BUSCAR!$C$8="LICENCIA EXPIRA",$M1639,""))))</f>
      </c>
      <c r="AG1639" s="42">
        <f>IF($B1639&amp;$C1639&amp;$D1639&amp;$E1639&amp;$H1639="",0,IF(AND(OR(BUSCAR!$J$5="",ISNUMBER(SEARCH(BUSCAR!$J$5,$AI1639))),OR(BUSCAR!$J$6="",ISNUMBER(SEARCH(BUSCAR!$J$6,$AI1639))),OR(BUSCAR!$J$8="",ISNUMBER(SEARCH(BUSCAR!$J$8,$AI1639))),OR(BUSCAR!$J$9="",ISNUMBER(SEARCH(BUSCAR!$J$9,$AI1639))),OR(NOT(BUSCAR!$J$2),AND(ISNUMBER($AF1639),$AF1639&gt;=BUSCAR!$J$3,$AF1639&lt;=BUSCAR!$J$4))),1,0))</f>
      </c>
      <c r="AH1639" s="42">
        <f t="shared" si="75"/>
      </c>
      <c r="AI1639" s="42">
        <f t="shared" si="76"/>
      </c>
    </row>
    <row r="1640" spans="1:35" x14ac:dyDescent="0.2">
      <c r="A1640" s="66">
        <f t="shared" si="77"/>
      </c>
      <c r="B1640" s="4"/>
      <c r="C1640" s="4"/>
      <c r="D1640" s="4"/>
      <c r="E1640" s="4"/>
      <c r="F1640" s="24"/>
      <c r="G1640" s="8"/>
      <c r="H1640" s="9"/>
      <c r="I1640" s="8"/>
      <c r="J1640" s="10"/>
      <c r="K1640" s="8"/>
      <c r="L1640" s="8"/>
      <c r="M1640" s="8"/>
      <c r="N1640" s="11"/>
      <c r="O1640" s="9"/>
      <c r="P1640" s="12"/>
      <c r="Q1640" s="9"/>
      <c r="R1640" s="13"/>
      <c r="S1640" s="11"/>
      <c r="T1640" s="11"/>
      <c r="U1640" s="9"/>
      <c r="V1640" s="9"/>
      <c r="W1640" s="9"/>
      <c r="X1640" s="16"/>
      <c r="AF1640" s="42">
        <f>IF(BUSCAR!$C$8="FECHA NAC.",$G1640,IF(BUSCAR!$C$8="PASAPORTE EXPIRA",$J1640,IF(BUSCAR!$C$8="LICENCIA EMISION",$L1640,IF(BUSCAR!$C$8="LICENCIA EXPIRA",$M1640,""))))</f>
      </c>
      <c r="AG1640" s="42">
        <f>IF($B1640&amp;$C1640&amp;$D1640&amp;$E1640&amp;$H1640="",0,IF(AND(OR(BUSCAR!$J$5="",ISNUMBER(SEARCH(BUSCAR!$J$5,$AI1640))),OR(BUSCAR!$J$6="",ISNUMBER(SEARCH(BUSCAR!$J$6,$AI1640))),OR(BUSCAR!$J$8="",ISNUMBER(SEARCH(BUSCAR!$J$8,$AI1640))),OR(BUSCAR!$J$9="",ISNUMBER(SEARCH(BUSCAR!$J$9,$AI1640))),OR(NOT(BUSCAR!$J$2),AND(ISNUMBER($AF1640),$AF1640&gt;=BUSCAR!$J$3,$AF1640&lt;=BUSCAR!$J$4))),1,0))</f>
      </c>
      <c r="AH1640" s="42">
        <f t="shared" si="75"/>
      </c>
      <c r="AI1640" s="42">
        <f t="shared" si="76"/>
      </c>
    </row>
    <row r="1641" spans="1:35" x14ac:dyDescent="0.2">
      <c r="A1641" s="66">
        <f t="shared" si="77"/>
      </c>
      <c r="B1641" s="4"/>
      <c r="C1641" s="4"/>
      <c r="D1641" s="4"/>
      <c r="E1641" s="4"/>
      <c r="F1641" s="24"/>
      <c r="G1641" s="8"/>
      <c r="H1641" s="9"/>
      <c r="I1641" s="8"/>
      <c r="J1641" s="10"/>
      <c r="K1641" s="8"/>
      <c r="L1641" s="8"/>
      <c r="M1641" s="8"/>
      <c r="N1641" s="11"/>
      <c r="O1641" s="9"/>
      <c r="P1641" s="12"/>
      <c r="Q1641" s="9"/>
      <c r="R1641" s="13"/>
      <c r="S1641" s="11"/>
      <c r="T1641" s="11"/>
      <c r="U1641" s="9"/>
      <c r="V1641" s="9"/>
      <c r="W1641" s="9"/>
      <c r="X1641" s="16"/>
      <c r="AF1641" s="42">
        <f>IF(BUSCAR!$C$8="FECHA NAC.",$G1641,IF(BUSCAR!$C$8="PASAPORTE EXPIRA",$J1641,IF(BUSCAR!$C$8="LICENCIA EMISION",$L1641,IF(BUSCAR!$C$8="LICENCIA EXPIRA",$M1641,""))))</f>
      </c>
      <c r="AG1641" s="42">
        <f>IF($B1641&amp;$C1641&amp;$D1641&amp;$E1641&amp;$H1641="",0,IF(AND(OR(BUSCAR!$J$5="",ISNUMBER(SEARCH(BUSCAR!$J$5,$AI1641))),OR(BUSCAR!$J$6="",ISNUMBER(SEARCH(BUSCAR!$J$6,$AI1641))),OR(BUSCAR!$J$8="",ISNUMBER(SEARCH(BUSCAR!$J$8,$AI1641))),OR(BUSCAR!$J$9="",ISNUMBER(SEARCH(BUSCAR!$J$9,$AI1641))),OR(NOT(BUSCAR!$J$2),AND(ISNUMBER($AF1641),$AF1641&gt;=BUSCAR!$J$3,$AF1641&lt;=BUSCAR!$J$4))),1,0))</f>
      </c>
      <c r="AH1641" s="42">
        <f t="shared" si="75"/>
      </c>
      <c r="AI1641" s="42">
        <f t="shared" si="76"/>
      </c>
    </row>
    <row r="1642" spans="1:35" x14ac:dyDescent="0.2">
      <c r="A1642" s="66">
        <f t="shared" si="77"/>
      </c>
      <c r="B1642" s="4"/>
      <c r="C1642" s="4"/>
      <c r="D1642" s="4"/>
      <c r="E1642" s="4"/>
      <c r="F1642" s="24"/>
      <c r="G1642" s="8"/>
      <c r="H1642" s="9"/>
      <c r="I1642" s="8"/>
      <c r="J1642" s="10"/>
      <c r="K1642" s="8"/>
      <c r="L1642" s="8"/>
      <c r="M1642" s="8"/>
      <c r="N1642" s="11"/>
      <c r="O1642" s="9"/>
      <c r="P1642" s="12"/>
      <c r="Q1642" s="9"/>
      <c r="R1642" s="13"/>
      <c r="S1642" s="11"/>
      <c r="T1642" s="11"/>
      <c r="U1642" s="9"/>
      <c r="V1642" s="9"/>
      <c r="W1642" s="9"/>
      <c r="X1642" s="16"/>
      <c r="AF1642" s="42">
        <f>IF(BUSCAR!$C$8="FECHA NAC.",$G1642,IF(BUSCAR!$C$8="PASAPORTE EXPIRA",$J1642,IF(BUSCAR!$C$8="LICENCIA EMISION",$L1642,IF(BUSCAR!$C$8="LICENCIA EXPIRA",$M1642,""))))</f>
      </c>
      <c r="AG1642" s="42">
        <f>IF($B1642&amp;$C1642&amp;$D1642&amp;$E1642&amp;$H1642="",0,IF(AND(OR(BUSCAR!$J$5="",ISNUMBER(SEARCH(BUSCAR!$J$5,$AI1642))),OR(BUSCAR!$J$6="",ISNUMBER(SEARCH(BUSCAR!$J$6,$AI1642))),OR(BUSCAR!$J$8="",ISNUMBER(SEARCH(BUSCAR!$J$8,$AI1642))),OR(BUSCAR!$J$9="",ISNUMBER(SEARCH(BUSCAR!$J$9,$AI1642))),OR(NOT(BUSCAR!$J$2),AND(ISNUMBER($AF1642),$AF1642&gt;=BUSCAR!$J$3,$AF1642&lt;=BUSCAR!$J$4))),1,0))</f>
      </c>
      <c r="AH1642" s="42">
        <f t="shared" si="75"/>
      </c>
      <c r="AI1642" s="42">
        <f t="shared" si="76"/>
      </c>
    </row>
    <row r="1643" spans="1:35" x14ac:dyDescent="0.2">
      <c r="A1643" s="66">
        <f t="shared" si="77"/>
      </c>
      <c r="B1643" s="4"/>
      <c r="C1643" s="4"/>
      <c r="D1643" s="4"/>
      <c r="E1643" s="4"/>
      <c r="F1643" s="24"/>
      <c r="G1643" s="8"/>
      <c r="H1643" s="9"/>
      <c r="I1643" s="8"/>
      <c r="J1643" s="10"/>
      <c r="K1643" s="8"/>
      <c r="L1643" s="8"/>
      <c r="M1643" s="8"/>
      <c r="N1643" s="11"/>
      <c r="O1643" s="9"/>
      <c r="P1643" s="12"/>
      <c r="Q1643" s="9"/>
      <c r="R1643" s="13"/>
      <c r="S1643" s="11"/>
      <c r="T1643" s="11"/>
      <c r="U1643" s="9"/>
      <c r="V1643" s="9"/>
      <c r="W1643" s="9"/>
      <c r="X1643" s="16"/>
      <c r="AF1643" s="42">
        <f>IF(BUSCAR!$C$8="FECHA NAC.",$G1643,IF(BUSCAR!$C$8="PASAPORTE EXPIRA",$J1643,IF(BUSCAR!$C$8="LICENCIA EMISION",$L1643,IF(BUSCAR!$C$8="LICENCIA EXPIRA",$M1643,""))))</f>
      </c>
      <c r="AG1643" s="42">
        <f>IF($B1643&amp;$C1643&amp;$D1643&amp;$E1643&amp;$H1643="",0,IF(AND(OR(BUSCAR!$J$5="",ISNUMBER(SEARCH(BUSCAR!$J$5,$AI1643))),OR(BUSCAR!$J$6="",ISNUMBER(SEARCH(BUSCAR!$J$6,$AI1643))),OR(BUSCAR!$J$8="",ISNUMBER(SEARCH(BUSCAR!$J$8,$AI1643))),OR(BUSCAR!$J$9="",ISNUMBER(SEARCH(BUSCAR!$J$9,$AI1643))),OR(NOT(BUSCAR!$J$2),AND(ISNUMBER($AF1643),$AF1643&gt;=BUSCAR!$J$3,$AF1643&lt;=BUSCAR!$J$4))),1,0))</f>
      </c>
      <c r="AH1643" s="42">
        <f t="shared" si="75"/>
      </c>
      <c r="AI1643" s="42">
        <f t="shared" si="76"/>
      </c>
    </row>
    <row r="1644" spans="1:35" x14ac:dyDescent="0.2">
      <c r="A1644" s="66">
        <f t="shared" si="77"/>
      </c>
      <c r="B1644" s="4"/>
      <c r="C1644" s="4"/>
      <c r="D1644" s="4"/>
      <c r="E1644" s="4"/>
      <c r="F1644" s="24"/>
      <c r="G1644" s="8"/>
      <c r="H1644" s="9"/>
      <c r="I1644" s="8"/>
      <c r="J1644" s="10"/>
      <c r="K1644" s="8"/>
      <c r="L1644" s="8"/>
      <c r="M1644" s="8"/>
      <c r="N1644" s="11"/>
      <c r="O1644" s="9"/>
      <c r="P1644" s="12"/>
      <c r="Q1644" s="9"/>
      <c r="R1644" s="13"/>
      <c r="S1644" s="11"/>
      <c r="T1644" s="11"/>
      <c r="U1644" s="9"/>
      <c r="V1644" s="9"/>
      <c r="W1644" s="9"/>
      <c r="X1644" s="16"/>
      <c r="AF1644" s="42">
        <f>IF(BUSCAR!$C$8="FECHA NAC.",$G1644,IF(BUSCAR!$C$8="PASAPORTE EXPIRA",$J1644,IF(BUSCAR!$C$8="LICENCIA EMISION",$L1644,IF(BUSCAR!$C$8="LICENCIA EXPIRA",$M1644,""))))</f>
      </c>
      <c r="AG1644" s="42">
        <f>IF($B1644&amp;$C1644&amp;$D1644&amp;$E1644&amp;$H1644="",0,IF(AND(OR(BUSCAR!$J$5="",ISNUMBER(SEARCH(BUSCAR!$J$5,$AI1644))),OR(BUSCAR!$J$6="",ISNUMBER(SEARCH(BUSCAR!$J$6,$AI1644))),OR(BUSCAR!$J$8="",ISNUMBER(SEARCH(BUSCAR!$J$8,$AI1644))),OR(BUSCAR!$J$9="",ISNUMBER(SEARCH(BUSCAR!$J$9,$AI1644))),OR(NOT(BUSCAR!$J$2),AND(ISNUMBER($AF1644),$AF1644&gt;=BUSCAR!$J$3,$AF1644&lt;=BUSCAR!$J$4))),1,0))</f>
      </c>
      <c r="AH1644" s="42">
        <f t="shared" si="75"/>
      </c>
      <c r="AI1644" s="42">
        <f t="shared" si="76"/>
      </c>
    </row>
    <row r="1645" spans="1:35" x14ac:dyDescent="0.2">
      <c r="A1645" s="66">
        <f t="shared" si="77"/>
      </c>
      <c r="B1645" s="4"/>
      <c r="C1645" s="4"/>
      <c r="D1645" s="4"/>
      <c r="E1645" s="4"/>
      <c r="F1645" s="24"/>
      <c r="G1645" s="8"/>
      <c r="H1645" s="9"/>
      <c r="I1645" s="8"/>
      <c r="J1645" s="10"/>
      <c r="K1645" s="8"/>
      <c r="L1645" s="8"/>
      <c r="M1645" s="8"/>
      <c r="N1645" s="11"/>
      <c r="O1645" s="9"/>
      <c r="P1645" s="12"/>
      <c r="Q1645" s="9"/>
      <c r="R1645" s="13"/>
      <c r="S1645" s="11"/>
      <c r="T1645" s="11"/>
      <c r="U1645" s="9"/>
      <c r="V1645" s="9"/>
      <c r="W1645" s="9"/>
      <c r="X1645" s="16"/>
      <c r="AF1645" s="42">
        <f>IF(BUSCAR!$C$8="FECHA NAC.",$G1645,IF(BUSCAR!$C$8="PASAPORTE EXPIRA",$J1645,IF(BUSCAR!$C$8="LICENCIA EMISION",$L1645,IF(BUSCAR!$C$8="LICENCIA EXPIRA",$M1645,""))))</f>
      </c>
      <c r="AG1645" s="42">
        <f>IF($B1645&amp;$C1645&amp;$D1645&amp;$E1645&amp;$H1645="",0,IF(AND(OR(BUSCAR!$J$5="",ISNUMBER(SEARCH(BUSCAR!$J$5,$AI1645))),OR(BUSCAR!$J$6="",ISNUMBER(SEARCH(BUSCAR!$J$6,$AI1645))),OR(BUSCAR!$J$8="",ISNUMBER(SEARCH(BUSCAR!$J$8,$AI1645))),OR(BUSCAR!$J$9="",ISNUMBER(SEARCH(BUSCAR!$J$9,$AI1645))),OR(NOT(BUSCAR!$J$2),AND(ISNUMBER($AF1645),$AF1645&gt;=BUSCAR!$J$3,$AF1645&lt;=BUSCAR!$J$4))),1,0))</f>
      </c>
      <c r="AH1645" s="42">
        <f t="shared" si="75"/>
      </c>
      <c r="AI1645" s="42">
        <f t="shared" si="76"/>
      </c>
    </row>
    <row r="1646" spans="1:35" x14ac:dyDescent="0.2">
      <c r="A1646" s="66">
        <f t="shared" si="77"/>
      </c>
      <c r="B1646" s="4"/>
      <c r="C1646" s="4"/>
      <c r="D1646" s="4"/>
      <c r="E1646" s="4"/>
      <c r="F1646" s="24"/>
      <c r="G1646" s="8"/>
      <c r="H1646" s="9"/>
      <c r="I1646" s="8"/>
      <c r="J1646" s="10"/>
      <c r="K1646" s="8"/>
      <c r="L1646" s="8"/>
      <c r="M1646" s="8"/>
      <c r="N1646" s="11"/>
      <c r="O1646" s="9"/>
      <c r="P1646" s="12"/>
      <c r="Q1646" s="9"/>
      <c r="R1646" s="13"/>
      <c r="S1646" s="11"/>
      <c r="T1646" s="11"/>
      <c r="U1646" s="9"/>
      <c r="V1646" s="9"/>
      <c r="W1646" s="9"/>
      <c r="X1646" s="16"/>
      <c r="AF1646" s="42">
        <f>IF(BUSCAR!$C$8="FECHA NAC.",$G1646,IF(BUSCAR!$C$8="PASAPORTE EXPIRA",$J1646,IF(BUSCAR!$C$8="LICENCIA EMISION",$L1646,IF(BUSCAR!$C$8="LICENCIA EXPIRA",$M1646,""))))</f>
      </c>
      <c r="AG1646" s="42">
        <f>IF($B1646&amp;$C1646&amp;$D1646&amp;$E1646&amp;$H1646="",0,IF(AND(OR(BUSCAR!$J$5="",ISNUMBER(SEARCH(BUSCAR!$J$5,$AI1646))),OR(BUSCAR!$J$6="",ISNUMBER(SEARCH(BUSCAR!$J$6,$AI1646))),OR(BUSCAR!$J$8="",ISNUMBER(SEARCH(BUSCAR!$J$8,$AI1646))),OR(BUSCAR!$J$9="",ISNUMBER(SEARCH(BUSCAR!$J$9,$AI1646))),OR(NOT(BUSCAR!$J$2),AND(ISNUMBER($AF1646),$AF1646&gt;=BUSCAR!$J$3,$AF1646&lt;=BUSCAR!$J$4))),1,0))</f>
      </c>
      <c r="AH1646" s="42">
        <f t="shared" si="75"/>
      </c>
      <c r="AI1646" s="42">
        <f t="shared" si="76"/>
      </c>
    </row>
    <row r="1647" spans="1:35" x14ac:dyDescent="0.2">
      <c r="A1647" s="66">
        <f t="shared" si="77"/>
      </c>
      <c r="B1647" s="4"/>
      <c r="C1647" s="4"/>
      <c r="D1647" s="4"/>
      <c r="E1647" s="4"/>
      <c r="F1647" s="24"/>
      <c r="G1647" s="8"/>
      <c r="H1647" s="9"/>
      <c r="I1647" s="8"/>
      <c r="J1647" s="10"/>
      <c r="K1647" s="8"/>
      <c r="L1647" s="8"/>
      <c r="M1647" s="8"/>
      <c r="N1647" s="11"/>
      <c r="O1647" s="9"/>
      <c r="P1647" s="12"/>
      <c r="Q1647" s="9"/>
      <c r="R1647" s="13"/>
      <c r="S1647" s="11"/>
      <c r="T1647" s="11"/>
      <c r="U1647" s="9"/>
      <c r="V1647" s="9"/>
      <c r="W1647" s="9"/>
      <c r="X1647" s="16"/>
      <c r="AF1647" s="42">
        <f>IF(BUSCAR!$C$8="FECHA NAC.",$G1647,IF(BUSCAR!$C$8="PASAPORTE EXPIRA",$J1647,IF(BUSCAR!$C$8="LICENCIA EMISION",$L1647,IF(BUSCAR!$C$8="LICENCIA EXPIRA",$M1647,""))))</f>
      </c>
      <c r="AG1647" s="42">
        <f>IF($B1647&amp;$C1647&amp;$D1647&amp;$E1647&amp;$H1647="",0,IF(AND(OR(BUSCAR!$J$5="",ISNUMBER(SEARCH(BUSCAR!$J$5,$AI1647))),OR(BUSCAR!$J$6="",ISNUMBER(SEARCH(BUSCAR!$J$6,$AI1647))),OR(BUSCAR!$J$8="",ISNUMBER(SEARCH(BUSCAR!$J$8,$AI1647))),OR(BUSCAR!$J$9="",ISNUMBER(SEARCH(BUSCAR!$J$9,$AI1647))),OR(NOT(BUSCAR!$J$2),AND(ISNUMBER($AF1647),$AF1647&gt;=BUSCAR!$J$3,$AF1647&lt;=BUSCAR!$J$4))),1,0))</f>
      </c>
      <c r="AH1647" s="42">
        <f t="shared" si="75"/>
      </c>
      <c r="AI1647" s="42">
        <f t="shared" si="76"/>
      </c>
    </row>
    <row r="1648" spans="1:35" x14ac:dyDescent="0.2">
      <c r="A1648" s="66">
        <f t="shared" si="77"/>
      </c>
      <c r="B1648" s="4"/>
      <c r="C1648" s="4"/>
      <c r="D1648" s="4"/>
      <c r="E1648" s="4"/>
      <c r="F1648" s="24"/>
      <c r="G1648" s="8"/>
      <c r="H1648" s="9"/>
      <c r="I1648" s="8"/>
      <c r="J1648" s="10"/>
      <c r="K1648" s="8"/>
      <c r="L1648" s="8"/>
      <c r="M1648" s="8"/>
      <c r="N1648" s="11"/>
      <c r="O1648" s="9"/>
      <c r="P1648" s="12"/>
      <c r="Q1648" s="9"/>
      <c r="R1648" s="13"/>
      <c r="S1648" s="11"/>
      <c r="T1648" s="11"/>
      <c r="U1648" s="9"/>
      <c r="V1648" s="9"/>
      <c r="W1648" s="9"/>
      <c r="X1648" s="16"/>
      <c r="AF1648" s="42">
        <f>IF(BUSCAR!$C$8="FECHA NAC.",$G1648,IF(BUSCAR!$C$8="PASAPORTE EXPIRA",$J1648,IF(BUSCAR!$C$8="LICENCIA EMISION",$L1648,IF(BUSCAR!$C$8="LICENCIA EXPIRA",$M1648,""))))</f>
      </c>
      <c r="AG1648" s="42">
        <f>IF($B1648&amp;$C1648&amp;$D1648&amp;$E1648&amp;$H1648="",0,IF(AND(OR(BUSCAR!$J$5="",ISNUMBER(SEARCH(BUSCAR!$J$5,$AI1648))),OR(BUSCAR!$J$6="",ISNUMBER(SEARCH(BUSCAR!$J$6,$AI1648))),OR(BUSCAR!$J$8="",ISNUMBER(SEARCH(BUSCAR!$J$8,$AI1648))),OR(BUSCAR!$J$9="",ISNUMBER(SEARCH(BUSCAR!$J$9,$AI1648))),OR(NOT(BUSCAR!$J$2),AND(ISNUMBER($AF1648),$AF1648&gt;=BUSCAR!$J$3,$AF1648&lt;=BUSCAR!$J$4))),1,0))</f>
      </c>
      <c r="AH1648" s="42">
        <f t="shared" si="75"/>
      </c>
      <c r="AI1648" s="42">
        <f t="shared" si="76"/>
      </c>
    </row>
    <row r="1649" spans="1:35" x14ac:dyDescent="0.2">
      <c r="A1649" s="66">
        <f t="shared" si="77"/>
      </c>
      <c r="B1649" s="4"/>
      <c r="C1649" s="4"/>
      <c r="D1649" s="4"/>
      <c r="E1649" s="4"/>
      <c r="F1649" s="24"/>
      <c r="G1649" s="8"/>
      <c r="H1649" s="9"/>
      <c r="I1649" s="8"/>
      <c r="J1649" s="10"/>
      <c r="K1649" s="8"/>
      <c r="L1649" s="8"/>
      <c r="M1649" s="8"/>
      <c r="N1649" s="11"/>
      <c r="O1649" s="9"/>
      <c r="P1649" s="12"/>
      <c r="Q1649" s="9"/>
      <c r="R1649" s="13"/>
      <c r="S1649" s="11"/>
      <c r="T1649" s="11"/>
      <c r="U1649" s="9"/>
      <c r="V1649" s="9"/>
      <c r="W1649" s="9"/>
      <c r="X1649" s="16"/>
      <c r="AF1649" s="42">
        <f>IF(BUSCAR!$C$8="FECHA NAC.",$G1649,IF(BUSCAR!$C$8="PASAPORTE EXPIRA",$J1649,IF(BUSCAR!$C$8="LICENCIA EMISION",$L1649,IF(BUSCAR!$C$8="LICENCIA EXPIRA",$M1649,""))))</f>
      </c>
      <c r="AG1649" s="42">
        <f>IF($B1649&amp;$C1649&amp;$D1649&amp;$E1649&amp;$H1649="",0,IF(AND(OR(BUSCAR!$J$5="",ISNUMBER(SEARCH(BUSCAR!$J$5,$AI1649))),OR(BUSCAR!$J$6="",ISNUMBER(SEARCH(BUSCAR!$J$6,$AI1649))),OR(BUSCAR!$J$8="",ISNUMBER(SEARCH(BUSCAR!$J$8,$AI1649))),OR(BUSCAR!$J$9="",ISNUMBER(SEARCH(BUSCAR!$J$9,$AI1649))),OR(NOT(BUSCAR!$J$2),AND(ISNUMBER($AF1649),$AF1649&gt;=BUSCAR!$J$3,$AF1649&lt;=BUSCAR!$J$4))),1,0))</f>
      </c>
      <c r="AH1649" s="42">
        <f t="shared" si="75"/>
      </c>
      <c r="AI1649" s="42">
        <f t="shared" si="76"/>
      </c>
    </row>
    <row r="1650" spans="1:35" x14ac:dyDescent="0.2">
      <c r="A1650" s="66">
        <f t="shared" si="77"/>
      </c>
      <c r="B1650" s="4"/>
      <c r="C1650" s="4"/>
      <c r="D1650" s="4"/>
      <c r="E1650" s="4"/>
      <c r="F1650" s="24"/>
      <c r="G1650" s="8"/>
      <c r="H1650" s="9"/>
      <c r="I1650" s="8"/>
      <c r="J1650" s="10"/>
      <c r="K1650" s="8"/>
      <c r="L1650" s="8"/>
      <c r="M1650" s="8"/>
      <c r="N1650" s="11"/>
      <c r="O1650" s="9"/>
      <c r="P1650" s="12"/>
      <c r="Q1650" s="9"/>
      <c r="R1650" s="13"/>
      <c r="S1650" s="11"/>
      <c r="T1650" s="11"/>
      <c r="U1650" s="9"/>
      <c r="V1650" s="9"/>
      <c r="W1650" s="9"/>
      <c r="X1650" s="16"/>
      <c r="AF1650" s="42">
        <f>IF(BUSCAR!$C$8="FECHA NAC.",$G1650,IF(BUSCAR!$C$8="PASAPORTE EXPIRA",$J1650,IF(BUSCAR!$C$8="LICENCIA EMISION",$L1650,IF(BUSCAR!$C$8="LICENCIA EXPIRA",$M1650,""))))</f>
      </c>
      <c r="AG1650" s="42">
        <f>IF($B1650&amp;$C1650&amp;$D1650&amp;$E1650&amp;$H1650="",0,IF(AND(OR(BUSCAR!$J$5="",ISNUMBER(SEARCH(BUSCAR!$J$5,$AI1650))),OR(BUSCAR!$J$6="",ISNUMBER(SEARCH(BUSCAR!$J$6,$AI1650))),OR(BUSCAR!$J$8="",ISNUMBER(SEARCH(BUSCAR!$J$8,$AI1650))),OR(BUSCAR!$J$9="",ISNUMBER(SEARCH(BUSCAR!$J$9,$AI1650))),OR(NOT(BUSCAR!$J$2),AND(ISNUMBER($AF1650),$AF1650&gt;=BUSCAR!$J$3,$AF1650&lt;=BUSCAR!$J$4))),1,0))</f>
      </c>
      <c r="AH1650" s="42">
        <f t="shared" si="75"/>
      </c>
      <c r="AI1650" s="42">
        <f t="shared" si="76"/>
      </c>
    </row>
    <row r="1651" spans="1:35" x14ac:dyDescent="0.2">
      <c r="A1651" s="66">
        <f t="shared" si="77"/>
      </c>
      <c r="B1651" s="4"/>
      <c r="C1651" s="4"/>
      <c r="D1651" s="4"/>
      <c r="E1651" s="4"/>
      <c r="F1651" s="24"/>
      <c r="G1651" s="8"/>
      <c r="H1651" s="9"/>
      <c r="I1651" s="8"/>
      <c r="J1651" s="10"/>
      <c r="K1651" s="8"/>
      <c r="L1651" s="8"/>
      <c r="M1651" s="8"/>
      <c r="N1651" s="11"/>
      <c r="O1651" s="9"/>
      <c r="P1651" s="12"/>
      <c r="Q1651" s="9"/>
      <c r="R1651" s="13"/>
      <c r="S1651" s="11"/>
      <c r="T1651" s="11"/>
      <c r="U1651" s="9"/>
      <c r="V1651" s="9"/>
      <c r="W1651" s="9"/>
      <c r="X1651" s="16"/>
      <c r="AF1651" s="42">
        <f>IF(BUSCAR!$C$8="FECHA NAC.",$G1651,IF(BUSCAR!$C$8="PASAPORTE EXPIRA",$J1651,IF(BUSCAR!$C$8="LICENCIA EMISION",$L1651,IF(BUSCAR!$C$8="LICENCIA EXPIRA",$M1651,""))))</f>
      </c>
      <c r="AG1651" s="42">
        <f>IF($B1651&amp;$C1651&amp;$D1651&amp;$E1651&amp;$H1651="",0,IF(AND(OR(BUSCAR!$J$5="",ISNUMBER(SEARCH(BUSCAR!$J$5,$AI1651))),OR(BUSCAR!$J$6="",ISNUMBER(SEARCH(BUSCAR!$J$6,$AI1651))),OR(BUSCAR!$J$8="",ISNUMBER(SEARCH(BUSCAR!$J$8,$AI1651))),OR(BUSCAR!$J$9="",ISNUMBER(SEARCH(BUSCAR!$J$9,$AI1651))),OR(NOT(BUSCAR!$J$2),AND(ISNUMBER($AF1651),$AF1651&gt;=BUSCAR!$J$3,$AF1651&lt;=BUSCAR!$J$4))),1,0))</f>
      </c>
      <c r="AH1651" s="42">
        <f t="shared" si="75"/>
      </c>
      <c r="AI1651" s="42">
        <f t="shared" si="76"/>
      </c>
    </row>
    <row r="1652" spans="1:35" x14ac:dyDescent="0.2">
      <c r="A1652" s="66">
        <f t="shared" si="77"/>
      </c>
      <c r="B1652" s="4"/>
      <c r="C1652" s="4"/>
      <c r="D1652" s="4"/>
      <c r="E1652" s="4"/>
      <c r="F1652" s="24"/>
      <c r="G1652" s="8"/>
      <c r="H1652" s="9"/>
      <c r="I1652" s="8"/>
      <c r="J1652" s="10"/>
      <c r="K1652" s="8"/>
      <c r="L1652" s="8"/>
      <c r="M1652" s="8"/>
      <c r="N1652" s="11"/>
      <c r="O1652" s="9"/>
      <c r="P1652" s="12"/>
      <c r="Q1652" s="9"/>
      <c r="R1652" s="13"/>
      <c r="S1652" s="11"/>
      <c r="T1652" s="11"/>
      <c r="U1652" s="9"/>
      <c r="V1652" s="9"/>
      <c r="W1652" s="9"/>
      <c r="X1652" s="16"/>
      <c r="AF1652" s="42">
        <f>IF(BUSCAR!$C$8="FECHA NAC.",$G1652,IF(BUSCAR!$C$8="PASAPORTE EXPIRA",$J1652,IF(BUSCAR!$C$8="LICENCIA EMISION",$L1652,IF(BUSCAR!$C$8="LICENCIA EXPIRA",$M1652,""))))</f>
      </c>
      <c r="AG1652" s="42">
        <f>IF($B1652&amp;$C1652&amp;$D1652&amp;$E1652&amp;$H1652="",0,IF(AND(OR(BUSCAR!$J$5="",ISNUMBER(SEARCH(BUSCAR!$J$5,$AI1652))),OR(BUSCAR!$J$6="",ISNUMBER(SEARCH(BUSCAR!$J$6,$AI1652))),OR(BUSCAR!$J$8="",ISNUMBER(SEARCH(BUSCAR!$J$8,$AI1652))),OR(BUSCAR!$J$9="",ISNUMBER(SEARCH(BUSCAR!$J$9,$AI1652))),OR(NOT(BUSCAR!$J$2),AND(ISNUMBER($AF1652),$AF1652&gt;=BUSCAR!$J$3,$AF1652&lt;=BUSCAR!$J$4))),1,0))</f>
      </c>
      <c r="AH1652" s="42">
        <f t="shared" si="75"/>
      </c>
      <c r="AI1652" s="42">
        <f t="shared" si="76"/>
      </c>
    </row>
    <row r="1653" spans="1:35" x14ac:dyDescent="0.2">
      <c r="A1653" s="66">
        <f t="shared" si="77"/>
      </c>
      <c r="B1653" s="4"/>
      <c r="C1653" s="4"/>
      <c r="D1653" s="4"/>
      <c r="E1653" s="4"/>
      <c r="F1653" s="24"/>
      <c r="G1653" s="8"/>
      <c r="H1653" s="9"/>
      <c r="I1653" s="8"/>
      <c r="J1653" s="10"/>
      <c r="K1653" s="8"/>
      <c r="L1653" s="8"/>
      <c r="M1653" s="8"/>
      <c r="N1653" s="11"/>
      <c r="O1653" s="9"/>
      <c r="P1653" s="12"/>
      <c r="Q1653" s="9"/>
      <c r="R1653" s="13"/>
      <c r="S1653" s="11"/>
      <c r="T1653" s="11"/>
      <c r="U1653" s="9"/>
      <c r="V1653" s="9"/>
      <c r="W1653" s="9"/>
      <c r="X1653" s="16"/>
      <c r="AF1653" s="42">
        <f>IF(BUSCAR!$C$8="FECHA NAC.",$G1653,IF(BUSCAR!$C$8="PASAPORTE EXPIRA",$J1653,IF(BUSCAR!$C$8="LICENCIA EMISION",$L1653,IF(BUSCAR!$C$8="LICENCIA EXPIRA",$M1653,""))))</f>
      </c>
      <c r="AG1653" s="42">
        <f>IF($B1653&amp;$C1653&amp;$D1653&amp;$E1653&amp;$H1653="",0,IF(AND(OR(BUSCAR!$J$5="",ISNUMBER(SEARCH(BUSCAR!$J$5,$AI1653))),OR(BUSCAR!$J$6="",ISNUMBER(SEARCH(BUSCAR!$J$6,$AI1653))),OR(BUSCAR!$J$8="",ISNUMBER(SEARCH(BUSCAR!$J$8,$AI1653))),OR(BUSCAR!$J$9="",ISNUMBER(SEARCH(BUSCAR!$J$9,$AI1653))),OR(NOT(BUSCAR!$J$2),AND(ISNUMBER($AF1653),$AF1653&gt;=BUSCAR!$J$3,$AF1653&lt;=BUSCAR!$J$4))),1,0))</f>
      </c>
      <c r="AH1653" s="42">
        <f t="shared" si="75"/>
      </c>
      <c r="AI1653" s="42">
        <f t="shared" si="76"/>
      </c>
    </row>
    <row r="1654" spans="1:35" x14ac:dyDescent="0.2">
      <c r="A1654" s="66">
        <f t="shared" si="77"/>
      </c>
      <c r="B1654" s="4"/>
      <c r="C1654" s="4"/>
      <c r="D1654" s="4"/>
      <c r="E1654" s="4"/>
      <c r="F1654" s="24"/>
      <c r="G1654" s="8"/>
      <c r="H1654" s="9"/>
      <c r="I1654" s="8"/>
      <c r="J1654" s="10"/>
      <c r="K1654" s="8"/>
      <c r="L1654" s="8"/>
      <c r="M1654" s="8"/>
      <c r="N1654" s="11"/>
      <c r="O1654" s="9"/>
      <c r="P1654" s="12"/>
      <c r="Q1654" s="9"/>
      <c r="R1654" s="13"/>
      <c r="S1654" s="11"/>
      <c r="T1654" s="11"/>
      <c r="U1654" s="9"/>
      <c r="V1654" s="9"/>
      <c r="W1654" s="9"/>
      <c r="X1654" s="16"/>
      <c r="AF1654" s="42">
        <f>IF(BUSCAR!$C$8="FECHA NAC.",$G1654,IF(BUSCAR!$C$8="PASAPORTE EXPIRA",$J1654,IF(BUSCAR!$C$8="LICENCIA EMISION",$L1654,IF(BUSCAR!$C$8="LICENCIA EXPIRA",$M1654,""))))</f>
      </c>
      <c r="AG1654" s="42">
        <f>IF($B1654&amp;$C1654&amp;$D1654&amp;$E1654&amp;$H1654="",0,IF(AND(OR(BUSCAR!$J$5="",ISNUMBER(SEARCH(BUSCAR!$J$5,$AI1654))),OR(BUSCAR!$J$6="",ISNUMBER(SEARCH(BUSCAR!$J$6,$AI1654))),OR(BUSCAR!$J$8="",ISNUMBER(SEARCH(BUSCAR!$J$8,$AI1654))),OR(BUSCAR!$J$9="",ISNUMBER(SEARCH(BUSCAR!$J$9,$AI1654))),OR(NOT(BUSCAR!$J$2),AND(ISNUMBER($AF1654),$AF1654&gt;=BUSCAR!$J$3,$AF1654&lt;=BUSCAR!$J$4))),1,0))</f>
      </c>
      <c r="AH1654" s="42">
        <f t="shared" si="75"/>
      </c>
      <c r="AI1654" s="42">
        <f t="shared" si="76"/>
      </c>
    </row>
    <row r="1655" spans="1:35" x14ac:dyDescent="0.2">
      <c r="A1655" s="66">
        <f t="shared" si="77"/>
      </c>
      <c r="B1655" s="4"/>
      <c r="C1655" s="4"/>
      <c r="D1655" s="4"/>
      <c r="E1655" s="4"/>
      <c r="F1655" s="24"/>
      <c r="G1655" s="8"/>
      <c r="H1655" s="9"/>
      <c r="I1655" s="8"/>
      <c r="J1655" s="10"/>
      <c r="K1655" s="8"/>
      <c r="L1655" s="8"/>
      <c r="M1655" s="8"/>
      <c r="N1655" s="11"/>
      <c r="O1655" s="9"/>
      <c r="P1655" s="12"/>
      <c r="Q1655" s="9"/>
      <c r="R1655" s="13"/>
      <c r="S1655" s="11"/>
      <c r="T1655" s="11"/>
      <c r="U1655" s="9"/>
      <c r="V1655" s="9"/>
      <c r="W1655" s="9"/>
      <c r="X1655" s="16"/>
      <c r="AF1655" s="42">
        <f>IF(BUSCAR!$C$8="FECHA NAC.",$G1655,IF(BUSCAR!$C$8="PASAPORTE EXPIRA",$J1655,IF(BUSCAR!$C$8="LICENCIA EMISION",$L1655,IF(BUSCAR!$C$8="LICENCIA EXPIRA",$M1655,""))))</f>
      </c>
      <c r="AG1655" s="42">
        <f>IF($B1655&amp;$C1655&amp;$D1655&amp;$E1655&amp;$H1655="",0,IF(AND(OR(BUSCAR!$J$5="",ISNUMBER(SEARCH(BUSCAR!$J$5,$AI1655))),OR(BUSCAR!$J$6="",ISNUMBER(SEARCH(BUSCAR!$J$6,$AI1655))),OR(BUSCAR!$J$8="",ISNUMBER(SEARCH(BUSCAR!$J$8,$AI1655))),OR(BUSCAR!$J$9="",ISNUMBER(SEARCH(BUSCAR!$J$9,$AI1655))),OR(NOT(BUSCAR!$J$2),AND(ISNUMBER($AF1655),$AF1655&gt;=BUSCAR!$J$3,$AF1655&lt;=BUSCAR!$J$4))),1,0))</f>
      </c>
      <c r="AH1655" s="42">
        <f t="shared" si="75"/>
      </c>
      <c r="AI1655" s="42">
        <f t="shared" si="76"/>
      </c>
    </row>
    <row r="1656" spans="1:35" x14ac:dyDescent="0.2">
      <c r="A1656" s="66">
        <f t="shared" si="77"/>
      </c>
      <c r="B1656" s="4"/>
      <c r="C1656" s="4"/>
      <c r="D1656" s="4"/>
      <c r="E1656" s="4"/>
      <c r="F1656" s="24"/>
      <c r="G1656" s="8"/>
      <c r="H1656" s="9"/>
      <c r="I1656" s="8"/>
      <c r="J1656" s="10"/>
      <c r="K1656" s="8"/>
      <c r="L1656" s="8"/>
      <c r="M1656" s="8"/>
      <c r="N1656" s="11"/>
      <c r="O1656" s="9"/>
      <c r="P1656" s="12"/>
      <c r="Q1656" s="9"/>
      <c r="R1656" s="13"/>
      <c r="S1656" s="11"/>
      <c r="T1656" s="11"/>
      <c r="U1656" s="9"/>
      <c r="V1656" s="9"/>
      <c r="W1656" s="9"/>
      <c r="X1656" s="16"/>
      <c r="AF1656" s="42">
        <f>IF(BUSCAR!$C$8="FECHA NAC.",$G1656,IF(BUSCAR!$C$8="PASAPORTE EXPIRA",$J1656,IF(BUSCAR!$C$8="LICENCIA EMISION",$L1656,IF(BUSCAR!$C$8="LICENCIA EXPIRA",$M1656,""))))</f>
      </c>
      <c r="AG1656" s="42">
        <f>IF($B1656&amp;$C1656&amp;$D1656&amp;$E1656&amp;$H1656="",0,IF(AND(OR(BUSCAR!$J$5="",ISNUMBER(SEARCH(BUSCAR!$J$5,$AI1656))),OR(BUSCAR!$J$6="",ISNUMBER(SEARCH(BUSCAR!$J$6,$AI1656))),OR(BUSCAR!$J$8="",ISNUMBER(SEARCH(BUSCAR!$J$8,$AI1656))),OR(BUSCAR!$J$9="",ISNUMBER(SEARCH(BUSCAR!$J$9,$AI1656))),OR(NOT(BUSCAR!$J$2),AND(ISNUMBER($AF1656),$AF1656&gt;=BUSCAR!$J$3,$AF1656&lt;=BUSCAR!$J$4))),1,0))</f>
      </c>
      <c r="AH1656" s="42">
        <f t="shared" si="75"/>
      </c>
      <c r="AI1656" s="42">
        <f t="shared" si="76"/>
      </c>
    </row>
    <row r="1657" spans="1:35" x14ac:dyDescent="0.2">
      <c r="A1657" s="66">
        <f t="shared" si="77"/>
      </c>
      <c r="B1657" s="4"/>
      <c r="C1657" s="4"/>
      <c r="D1657" s="4"/>
      <c r="E1657" s="4"/>
      <c r="F1657" s="24"/>
      <c r="G1657" s="8"/>
      <c r="H1657" s="9"/>
      <c r="I1657" s="8"/>
      <c r="J1657" s="10"/>
      <c r="K1657" s="8"/>
      <c r="L1657" s="8"/>
      <c r="M1657" s="8"/>
      <c r="N1657" s="11"/>
      <c r="O1657" s="9"/>
      <c r="P1657" s="12"/>
      <c r="Q1657" s="9"/>
      <c r="R1657" s="13"/>
      <c r="S1657" s="11"/>
      <c r="T1657" s="11"/>
      <c r="U1657" s="9"/>
      <c r="V1657" s="9"/>
      <c r="W1657" s="9"/>
      <c r="X1657" s="16"/>
      <c r="AF1657" s="42">
        <f>IF(BUSCAR!$C$8="FECHA NAC.",$G1657,IF(BUSCAR!$C$8="PASAPORTE EXPIRA",$J1657,IF(BUSCAR!$C$8="LICENCIA EMISION",$L1657,IF(BUSCAR!$C$8="LICENCIA EXPIRA",$M1657,""))))</f>
      </c>
      <c r="AG1657" s="42">
        <f>IF($B1657&amp;$C1657&amp;$D1657&amp;$E1657&amp;$H1657="",0,IF(AND(OR(BUSCAR!$J$5="",ISNUMBER(SEARCH(BUSCAR!$J$5,$AI1657))),OR(BUSCAR!$J$6="",ISNUMBER(SEARCH(BUSCAR!$J$6,$AI1657))),OR(BUSCAR!$J$8="",ISNUMBER(SEARCH(BUSCAR!$J$8,$AI1657))),OR(BUSCAR!$J$9="",ISNUMBER(SEARCH(BUSCAR!$J$9,$AI1657))),OR(NOT(BUSCAR!$J$2),AND(ISNUMBER($AF1657),$AF1657&gt;=BUSCAR!$J$3,$AF1657&lt;=BUSCAR!$J$4))),1,0))</f>
      </c>
      <c r="AH1657" s="42">
        <f t="shared" si="75"/>
      </c>
      <c r="AI1657" s="42">
        <f t="shared" si="76"/>
      </c>
    </row>
    <row r="1658" spans="1:35" x14ac:dyDescent="0.2">
      <c r="A1658" s="66">
        <f t="shared" si="77"/>
      </c>
      <c r="B1658" s="4"/>
      <c r="C1658" s="4"/>
      <c r="D1658" s="4"/>
      <c r="E1658" s="4"/>
      <c r="F1658" s="24"/>
      <c r="G1658" s="8"/>
      <c r="H1658" s="9"/>
      <c r="I1658" s="8"/>
      <c r="J1658" s="10"/>
      <c r="K1658" s="8"/>
      <c r="L1658" s="8"/>
      <c r="M1658" s="8"/>
      <c r="N1658" s="11"/>
      <c r="O1658" s="9"/>
      <c r="P1658" s="12"/>
      <c r="Q1658" s="9"/>
      <c r="R1658" s="13"/>
      <c r="S1658" s="11"/>
      <c r="T1658" s="11"/>
      <c r="U1658" s="9"/>
      <c r="V1658" s="9"/>
      <c r="W1658" s="9"/>
      <c r="X1658" s="16"/>
      <c r="AF1658" s="42">
        <f>IF(BUSCAR!$C$8="FECHA NAC.",$G1658,IF(BUSCAR!$C$8="PASAPORTE EXPIRA",$J1658,IF(BUSCAR!$C$8="LICENCIA EMISION",$L1658,IF(BUSCAR!$C$8="LICENCIA EXPIRA",$M1658,""))))</f>
      </c>
      <c r="AG1658" s="42">
        <f>IF($B1658&amp;$C1658&amp;$D1658&amp;$E1658&amp;$H1658="",0,IF(AND(OR(BUSCAR!$J$5="",ISNUMBER(SEARCH(BUSCAR!$J$5,$AI1658))),OR(BUSCAR!$J$6="",ISNUMBER(SEARCH(BUSCAR!$J$6,$AI1658))),OR(BUSCAR!$J$8="",ISNUMBER(SEARCH(BUSCAR!$J$8,$AI1658))),OR(BUSCAR!$J$9="",ISNUMBER(SEARCH(BUSCAR!$J$9,$AI1658))),OR(NOT(BUSCAR!$J$2),AND(ISNUMBER($AF1658),$AF1658&gt;=BUSCAR!$J$3,$AF1658&lt;=BUSCAR!$J$4))),1,0))</f>
      </c>
      <c r="AH1658" s="42">
        <f t="shared" si="75"/>
      </c>
      <c r="AI1658" s="42">
        <f t="shared" si="76"/>
      </c>
    </row>
    <row r="1659" spans="1:35" x14ac:dyDescent="0.2">
      <c r="A1659" s="66">
        <f t="shared" si="77"/>
      </c>
      <c r="B1659" s="4"/>
      <c r="C1659" s="4"/>
      <c r="D1659" s="4"/>
      <c r="E1659" s="4"/>
      <c r="F1659" s="24"/>
      <c r="G1659" s="8"/>
      <c r="H1659" s="9"/>
      <c r="I1659" s="8"/>
      <c r="J1659" s="10"/>
      <c r="K1659" s="8"/>
      <c r="L1659" s="8"/>
      <c r="M1659" s="8"/>
      <c r="N1659" s="11"/>
      <c r="O1659" s="9"/>
      <c r="P1659" s="12"/>
      <c r="Q1659" s="9"/>
      <c r="R1659" s="13"/>
      <c r="S1659" s="11"/>
      <c r="T1659" s="11"/>
      <c r="U1659" s="9"/>
      <c r="V1659" s="9"/>
      <c r="W1659" s="9"/>
      <c r="X1659" s="16"/>
      <c r="AF1659" s="42">
        <f>IF(BUSCAR!$C$8="FECHA NAC.",$G1659,IF(BUSCAR!$C$8="PASAPORTE EXPIRA",$J1659,IF(BUSCAR!$C$8="LICENCIA EMISION",$L1659,IF(BUSCAR!$C$8="LICENCIA EXPIRA",$M1659,""))))</f>
      </c>
      <c r="AG1659" s="42">
        <f>IF($B1659&amp;$C1659&amp;$D1659&amp;$E1659&amp;$H1659="",0,IF(AND(OR(BUSCAR!$J$5="",ISNUMBER(SEARCH(BUSCAR!$J$5,$AI1659))),OR(BUSCAR!$J$6="",ISNUMBER(SEARCH(BUSCAR!$J$6,$AI1659))),OR(BUSCAR!$J$8="",ISNUMBER(SEARCH(BUSCAR!$J$8,$AI1659))),OR(BUSCAR!$J$9="",ISNUMBER(SEARCH(BUSCAR!$J$9,$AI1659))),OR(NOT(BUSCAR!$J$2),AND(ISNUMBER($AF1659),$AF1659&gt;=BUSCAR!$J$3,$AF1659&lt;=BUSCAR!$J$4))),1,0))</f>
      </c>
      <c r="AH1659" s="42">
        <f t="shared" si="75"/>
      </c>
      <c r="AI1659" s="42">
        <f t="shared" si="76"/>
      </c>
    </row>
    <row r="1660" spans="1:35" x14ac:dyDescent="0.2">
      <c r="A1660" s="66">
        <f t="shared" si="77"/>
      </c>
      <c r="B1660" s="4"/>
      <c r="C1660" s="4"/>
      <c r="D1660" s="4"/>
      <c r="E1660" s="4"/>
      <c r="F1660" s="24"/>
      <c r="G1660" s="8"/>
      <c r="H1660" s="9"/>
      <c r="I1660" s="8"/>
      <c r="J1660" s="10"/>
      <c r="K1660" s="8"/>
      <c r="L1660" s="8"/>
      <c r="M1660" s="8"/>
      <c r="N1660" s="11"/>
      <c r="O1660" s="9"/>
      <c r="P1660" s="12"/>
      <c r="Q1660" s="9"/>
      <c r="R1660" s="13"/>
      <c r="S1660" s="11"/>
      <c r="T1660" s="11"/>
      <c r="U1660" s="9"/>
      <c r="V1660" s="9"/>
      <c r="W1660" s="9"/>
      <c r="X1660" s="16"/>
      <c r="AF1660" s="42">
        <f>IF(BUSCAR!$C$8="FECHA NAC.",$G1660,IF(BUSCAR!$C$8="PASAPORTE EXPIRA",$J1660,IF(BUSCAR!$C$8="LICENCIA EMISION",$L1660,IF(BUSCAR!$C$8="LICENCIA EXPIRA",$M1660,""))))</f>
      </c>
      <c r="AG1660" s="42">
        <f>IF($B1660&amp;$C1660&amp;$D1660&amp;$E1660&amp;$H1660="",0,IF(AND(OR(BUSCAR!$J$5="",ISNUMBER(SEARCH(BUSCAR!$J$5,$AI1660))),OR(BUSCAR!$J$6="",ISNUMBER(SEARCH(BUSCAR!$J$6,$AI1660))),OR(BUSCAR!$J$8="",ISNUMBER(SEARCH(BUSCAR!$J$8,$AI1660))),OR(BUSCAR!$J$9="",ISNUMBER(SEARCH(BUSCAR!$J$9,$AI1660))),OR(NOT(BUSCAR!$J$2),AND(ISNUMBER($AF1660),$AF1660&gt;=BUSCAR!$J$3,$AF1660&lt;=BUSCAR!$J$4))),1,0))</f>
      </c>
      <c r="AH1660" s="42">
        <f t="shared" si="75"/>
      </c>
      <c r="AI1660" s="42">
        <f t="shared" si="76"/>
      </c>
    </row>
    <row r="1661" spans="1:35" x14ac:dyDescent="0.2">
      <c r="A1661" s="66">
        <f t="shared" si="77"/>
      </c>
      <c r="B1661" s="4"/>
      <c r="C1661" s="4"/>
      <c r="D1661" s="4"/>
      <c r="E1661" s="4"/>
      <c r="F1661" s="24"/>
      <c r="G1661" s="8"/>
      <c r="H1661" s="9"/>
      <c r="I1661" s="8"/>
      <c r="J1661" s="10"/>
      <c r="K1661" s="8"/>
      <c r="L1661" s="8"/>
      <c r="M1661" s="8"/>
      <c r="N1661" s="11"/>
      <c r="O1661" s="9"/>
      <c r="P1661" s="12"/>
      <c r="Q1661" s="9"/>
      <c r="R1661" s="13"/>
      <c r="S1661" s="11"/>
      <c r="T1661" s="11"/>
      <c r="U1661" s="9"/>
      <c r="V1661" s="9"/>
      <c r="W1661" s="9"/>
      <c r="X1661" s="16"/>
      <c r="AF1661" s="42">
        <f>IF(BUSCAR!$C$8="FECHA NAC.",$G1661,IF(BUSCAR!$C$8="PASAPORTE EXPIRA",$J1661,IF(BUSCAR!$C$8="LICENCIA EMISION",$L1661,IF(BUSCAR!$C$8="LICENCIA EXPIRA",$M1661,""))))</f>
      </c>
      <c r="AG1661" s="42">
        <f>IF($B1661&amp;$C1661&amp;$D1661&amp;$E1661&amp;$H1661="",0,IF(AND(OR(BUSCAR!$J$5="",ISNUMBER(SEARCH(BUSCAR!$J$5,$AI1661))),OR(BUSCAR!$J$6="",ISNUMBER(SEARCH(BUSCAR!$J$6,$AI1661))),OR(BUSCAR!$J$8="",ISNUMBER(SEARCH(BUSCAR!$J$8,$AI1661))),OR(BUSCAR!$J$9="",ISNUMBER(SEARCH(BUSCAR!$J$9,$AI1661))),OR(NOT(BUSCAR!$J$2),AND(ISNUMBER($AF1661),$AF1661&gt;=BUSCAR!$J$3,$AF1661&lt;=BUSCAR!$J$4))),1,0))</f>
      </c>
      <c r="AH1661" s="42">
        <f t="shared" si="75"/>
      </c>
      <c r="AI1661" s="42">
        <f t="shared" si="76"/>
      </c>
    </row>
    <row r="1662" spans="1:35" x14ac:dyDescent="0.2">
      <c r="A1662" s="66">
        <f t="shared" si="77"/>
      </c>
      <c r="B1662" s="4"/>
      <c r="C1662" s="4"/>
      <c r="D1662" s="4"/>
      <c r="E1662" s="4"/>
      <c r="F1662" s="24"/>
      <c r="G1662" s="8"/>
      <c r="H1662" s="9"/>
      <c r="I1662" s="8"/>
      <c r="J1662" s="10"/>
      <c r="K1662" s="8"/>
      <c r="L1662" s="8"/>
      <c r="M1662" s="8"/>
      <c r="N1662" s="11"/>
      <c r="O1662" s="9"/>
      <c r="P1662" s="12"/>
      <c r="Q1662" s="9"/>
      <c r="R1662" s="13"/>
      <c r="S1662" s="11"/>
      <c r="T1662" s="11"/>
      <c r="U1662" s="9"/>
      <c r="V1662" s="9"/>
      <c r="W1662" s="9"/>
      <c r="X1662" s="16"/>
      <c r="AF1662" s="42">
        <f>IF(BUSCAR!$C$8="FECHA NAC.",$G1662,IF(BUSCAR!$C$8="PASAPORTE EXPIRA",$J1662,IF(BUSCAR!$C$8="LICENCIA EMISION",$L1662,IF(BUSCAR!$C$8="LICENCIA EXPIRA",$M1662,""))))</f>
      </c>
      <c r="AG1662" s="42">
        <f>IF($B1662&amp;$C1662&amp;$D1662&amp;$E1662&amp;$H1662="",0,IF(AND(OR(BUSCAR!$J$5="",ISNUMBER(SEARCH(BUSCAR!$J$5,$AI1662))),OR(BUSCAR!$J$6="",ISNUMBER(SEARCH(BUSCAR!$J$6,$AI1662))),OR(BUSCAR!$J$8="",ISNUMBER(SEARCH(BUSCAR!$J$8,$AI1662))),OR(BUSCAR!$J$9="",ISNUMBER(SEARCH(BUSCAR!$J$9,$AI1662))),OR(NOT(BUSCAR!$J$2),AND(ISNUMBER($AF1662),$AF1662&gt;=BUSCAR!$J$3,$AF1662&lt;=BUSCAR!$J$4))),1,0))</f>
      </c>
      <c r="AH1662" s="42">
        <f t="shared" si="75"/>
      </c>
      <c r="AI1662" s="42">
        <f t="shared" si="76"/>
      </c>
    </row>
    <row r="1663" spans="1:35" x14ac:dyDescent="0.2">
      <c r="A1663" s="66">
        <f t="shared" si="77"/>
      </c>
      <c r="B1663" s="4"/>
      <c r="C1663" s="4"/>
      <c r="D1663" s="4"/>
      <c r="E1663" s="4"/>
      <c r="F1663" s="24"/>
      <c r="G1663" s="8"/>
      <c r="H1663" s="9"/>
      <c r="I1663" s="8"/>
      <c r="J1663" s="10"/>
      <c r="K1663" s="8"/>
      <c r="L1663" s="8"/>
      <c r="M1663" s="8"/>
      <c r="N1663" s="11"/>
      <c r="O1663" s="9"/>
      <c r="P1663" s="12"/>
      <c r="Q1663" s="9"/>
      <c r="R1663" s="13"/>
      <c r="S1663" s="11"/>
      <c r="T1663" s="11"/>
      <c r="U1663" s="9"/>
      <c r="V1663" s="9"/>
      <c r="W1663" s="9"/>
      <c r="X1663" s="16"/>
      <c r="AF1663" s="42">
        <f>IF(BUSCAR!$C$8="FECHA NAC.",$G1663,IF(BUSCAR!$C$8="PASAPORTE EXPIRA",$J1663,IF(BUSCAR!$C$8="LICENCIA EMISION",$L1663,IF(BUSCAR!$C$8="LICENCIA EXPIRA",$M1663,""))))</f>
      </c>
      <c r="AG1663" s="42">
        <f>IF($B1663&amp;$C1663&amp;$D1663&amp;$E1663&amp;$H1663="",0,IF(AND(OR(BUSCAR!$J$5="",ISNUMBER(SEARCH(BUSCAR!$J$5,$AI1663))),OR(BUSCAR!$J$6="",ISNUMBER(SEARCH(BUSCAR!$J$6,$AI1663))),OR(BUSCAR!$J$8="",ISNUMBER(SEARCH(BUSCAR!$J$8,$AI1663))),OR(BUSCAR!$J$9="",ISNUMBER(SEARCH(BUSCAR!$J$9,$AI1663))),OR(NOT(BUSCAR!$J$2),AND(ISNUMBER($AF1663),$AF1663&gt;=BUSCAR!$J$3,$AF1663&lt;=BUSCAR!$J$4))),1,0))</f>
      </c>
      <c r="AH1663" s="42">
        <f t="shared" si="75"/>
      </c>
      <c r="AI1663" s="42">
        <f t="shared" si="76"/>
      </c>
    </row>
    <row r="1664" spans="1:35" x14ac:dyDescent="0.2">
      <c r="A1664" s="66">
        <f t="shared" si="77"/>
      </c>
      <c r="B1664" s="4"/>
      <c r="C1664" s="4"/>
      <c r="D1664" s="4"/>
      <c r="E1664" s="4"/>
      <c r="F1664" s="24"/>
      <c r="G1664" s="8"/>
      <c r="H1664" s="9"/>
      <c r="I1664" s="8"/>
      <c r="J1664" s="10"/>
      <c r="K1664" s="8"/>
      <c r="L1664" s="8"/>
      <c r="M1664" s="8"/>
      <c r="N1664" s="11"/>
      <c r="O1664" s="9"/>
      <c r="P1664" s="12"/>
      <c r="Q1664" s="9"/>
      <c r="R1664" s="13"/>
      <c r="S1664" s="11"/>
      <c r="T1664" s="11"/>
      <c r="U1664" s="9"/>
      <c r="V1664" s="9"/>
      <c r="W1664" s="9"/>
      <c r="X1664" s="16"/>
      <c r="AF1664" s="42">
        <f>IF(BUSCAR!$C$8="FECHA NAC.",$G1664,IF(BUSCAR!$C$8="PASAPORTE EXPIRA",$J1664,IF(BUSCAR!$C$8="LICENCIA EMISION",$L1664,IF(BUSCAR!$C$8="LICENCIA EXPIRA",$M1664,""))))</f>
      </c>
      <c r="AG1664" s="42">
        <f>IF($B1664&amp;$C1664&amp;$D1664&amp;$E1664&amp;$H1664="",0,IF(AND(OR(BUSCAR!$J$5="",ISNUMBER(SEARCH(BUSCAR!$J$5,$AI1664))),OR(BUSCAR!$J$6="",ISNUMBER(SEARCH(BUSCAR!$J$6,$AI1664))),OR(BUSCAR!$J$8="",ISNUMBER(SEARCH(BUSCAR!$J$8,$AI1664))),OR(BUSCAR!$J$9="",ISNUMBER(SEARCH(BUSCAR!$J$9,$AI1664))),OR(NOT(BUSCAR!$J$2),AND(ISNUMBER($AF1664),$AF1664&gt;=BUSCAR!$J$3,$AF1664&lt;=BUSCAR!$J$4))),1,0))</f>
      </c>
      <c r="AH1664" s="42">
        <f t="shared" si="75"/>
      </c>
      <c r="AI1664" s="42">
        <f t="shared" si="76"/>
      </c>
    </row>
    <row r="1665" spans="1:35" x14ac:dyDescent="0.2">
      <c r="A1665" s="66">
        <f t="shared" si="77"/>
      </c>
      <c r="B1665" s="4"/>
      <c r="C1665" s="4"/>
      <c r="D1665" s="4"/>
      <c r="E1665" s="4"/>
      <c r="F1665" s="24"/>
      <c r="G1665" s="8"/>
      <c r="H1665" s="9"/>
      <c r="I1665" s="8"/>
      <c r="J1665" s="10"/>
      <c r="K1665" s="8"/>
      <c r="L1665" s="8"/>
      <c r="M1665" s="8"/>
      <c r="N1665" s="11"/>
      <c r="O1665" s="9"/>
      <c r="P1665" s="12"/>
      <c r="Q1665" s="9"/>
      <c r="R1665" s="13"/>
      <c r="S1665" s="11"/>
      <c r="T1665" s="11"/>
      <c r="U1665" s="9"/>
      <c r="V1665" s="9"/>
      <c r="W1665" s="9"/>
      <c r="X1665" s="16"/>
      <c r="AF1665" s="42">
        <f>IF(BUSCAR!$C$8="FECHA NAC.",$G1665,IF(BUSCAR!$C$8="PASAPORTE EXPIRA",$J1665,IF(BUSCAR!$C$8="LICENCIA EMISION",$L1665,IF(BUSCAR!$C$8="LICENCIA EXPIRA",$M1665,""))))</f>
      </c>
      <c r="AG1665" s="42">
        <f>IF($B1665&amp;$C1665&amp;$D1665&amp;$E1665&amp;$H1665="",0,IF(AND(OR(BUSCAR!$J$5="",ISNUMBER(SEARCH(BUSCAR!$J$5,$AI1665))),OR(BUSCAR!$J$6="",ISNUMBER(SEARCH(BUSCAR!$J$6,$AI1665))),OR(BUSCAR!$J$8="",ISNUMBER(SEARCH(BUSCAR!$J$8,$AI1665))),OR(BUSCAR!$J$9="",ISNUMBER(SEARCH(BUSCAR!$J$9,$AI1665))),OR(NOT(BUSCAR!$J$2),AND(ISNUMBER($AF1665),$AF1665&gt;=BUSCAR!$J$3,$AF1665&lt;=BUSCAR!$J$4))),1,0))</f>
      </c>
      <c r="AH1665" s="42">
        <f t="shared" si="75"/>
      </c>
      <c r="AI1665" s="42">
        <f t="shared" si="76"/>
      </c>
    </row>
    <row r="1666" spans="1:35" x14ac:dyDescent="0.2">
      <c r="A1666" s="66">
        <f t="shared" si="77"/>
      </c>
      <c r="B1666" s="4"/>
      <c r="C1666" s="4"/>
      <c r="D1666" s="4"/>
      <c r="E1666" s="4"/>
      <c r="F1666" s="24"/>
      <c r="G1666" s="8"/>
      <c r="H1666" s="9"/>
      <c r="I1666" s="8"/>
      <c r="J1666" s="10"/>
      <c r="K1666" s="8"/>
      <c r="L1666" s="8"/>
      <c r="M1666" s="8"/>
      <c r="N1666" s="11"/>
      <c r="O1666" s="9"/>
      <c r="P1666" s="12"/>
      <c r="Q1666" s="9"/>
      <c r="R1666" s="13"/>
      <c r="S1666" s="11"/>
      <c r="T1666" s="11"/>
      <c r="U1666" s="9"/>
      <c r="V1666" s="9"/>
      <c r="W1666" s="9"/>
      <c r="X1666" s="16"/>
      <c r="AF1666" s="42">
        <f>IF(BUSCAR!$C$8="FECHA NAC.",$G1666,IF(BUSCAR!$C$8="PASAPORTE EXPIRA",$J1666,IF(BUSCAR!$C$8="LICENCIA EMISION",$L1666,IF(BUSCAR!$C$8="LICENCIA EXPIRA",$M1666,""))))</f>
      </c>
      <c r="AG1666" s="42">
        <f>IF($B1666&amp;$C1666&amp;$D1666&amp;$E1666&amp;$H1666="",0,IF(AND(OR(BUSCAR!$J$5="",ISNUMBER(SEARCH(BUSCAR!$J$5,$AI1666))),OR(BUSCAR!$J$6="",ISNUMBER(SEARCH(BUSCAR!$J$6,$AI1666))),OR(BUSCAR!$J$8="",ISNUMBER(SEARCH(BUSCAR!$J$8,$AI1666))),OR(BUSCAR!$J$9="",ISNUMBER(SEARCH(BUSCAR!$J$9,$AI1666))),OR(NOT(BUSCAR!$J$2),AND(ISNUMBER($AF1666),$AF1666&gt;=BUSCAR!$J$3,$AF1666&lt;=BUSCAR!$J$4))),1,0))</f>
      </c>
      <c r="AH1666" s="42">
        <f t="shared" si="75"/>
      </c>
      <c r="AI1666" s="42">
        <f t="shared" si="76"/>
      </c>
    </row>
    <row r="1667" spans="1:35" x14ac:dyDescent="0.2">
      <c r="A1667" s="66">
        <f t="shared" si="77"/>
      </c>
      <c r="B1667" s="4"/>
      <c r="C1667" s="4"/>
      <c r="D1667" s="4"/>
      <c r="E1667" s="4"/>
      <c r="F1667" s="24"/>
      <c r="G1667" s="8"/>
      <c r="H1667" s="9"/>
      <c r="I1667" s="8"/>
      <c r="J1667" s="10"/>
      <c r="K1667" s="8"/>
      <c r="L1667" s="8"/>
      <c r="M1667" s="8"/>
      <c r="N1667" s="11"/>
      <c r="O1667" s="9"/>
      <c r="P1667" s="12"/>
      <c r="Q1667" s="9"/>
      <c r="R1667" s="13"/>
      <c r="S1667" s="11"/>
      <c r="T1667" s="11"/>
      <c r="U1667" s="9"/>
      <c r="V1667" s="9"/>
      <c r="W1667" s="9"/>
      <c r="X1667" s="16"/>
      <c r="AF1667" s="42">
        <f>IF(BUSCAR!$C$8="FECHA NAC.",$G1667,IF(BUSCAR!$C$8="PASAPORTE EXPIRA",$J1667,IF(BUSCAR!$C$8="LICENCIA EMISION",$L1667,IF(BUSCAR!$C$8="LICENCIA EXPIRA",$M1667,""))))</f>
      </c>
      <c r="AG1667" s="42">
        <f>IF($B1667&amp;$C1667&amp;$D1667&amp;$E1667&amp;$H1667="",0,IF(AND(OR(BUSCAR!$J$5="",ISNUMBER(SEARCH(BUSCAR!$J$5,$AI1667))),OR(BUSCAR!$J$6="",ISNUMBER(SEARCH(BUSCAR!$J$6,$AI1667))),OR(BUSCAR!$J$8="",ISNUMBER(SEARCH(BUSCAR!$J$8,$AI1667))),OR(BUSCAR!$J$9="",ISNUMBER(SEARCH(BUSCAR!$J$9,$AI1667))),OR(NOT(BUSCAR!$J$2),AND(ISNUMBER($AF1667),$AF1667&gt;=BUSCAR!$J$3,$AF1667&lt;=BUSCAR!$J$4))),1,0))</f>
      </c>
      <c r="AH1667" s="42">
        <f t="shared" ref="AH1667:AH1730" si="78">AH1666+AG1667</f>
      </c>
      <c r="AI1667" s="42">
        <f t="shared" ref="AI1667:AI1730" si="79">IF($B1667&amp;" "&amp;$C1667&amp;" "&amp;$D1667&amp;" "&amp;$E1667&amp;" "&amp;$H1667&amp;" "&amp;$K1667&amp;" "&amp;$R1667&amp;" "&amp;$AC1667&amp;" "&amp;$AD1667="","",SUBSTITUTE(SUBSTITUTE(SUBSTITUTE(SUBSTITUTE(SUBSTITUTE(SUBSTITUTE(SUBSTITUTE(UPPER($B1667&amp;" "&amp;$C1667&amp;" "&amp;$D1667&amp;" "&amp;$E1667&amp;" "&amp;$H1667&amp;" "&amp;$K1667&amp;" "&amp;$R1667&amp;" "&amp;$AC1667&amp;" "&amp;$AD1667),"Á","A"),"É","E"),"Í","I"),"Ó","O"),"Ú","U"),"Ü","U"),"Ñ","N"))</f>
      </c>
    </row>
    <row r="1668" spans="1:35" x14ac:dyDescent="0.2">
      <c r="A1668" s="66">
        <f t="shared" ref="A1668:A1731" si="80">A1667+1</f>
      </c>
      <c r="B1668" s="4"/>
      <c r="C1668" s="4"/>
      <c r="D1668" s="4"/>
      <c r="E1668" s="4"/>
      <c r="F1668" s="24"/>
      <c r="G1668" s="8"/>
      <c r="H1668" s="9"/>
      <c r="I1668" s="8"/>
      <c r="J1668" s="10"/>
      <c r="K1668" s="8"/>
      <c r="L1668" s="8"/>
      <c r="M1668" s="8"/>
      <c r="N1668" s="11"/>
      <c r="O1668" s="9"/>
      <c r="P1668" s="12"/>
      <c r="Q1668" s="9"/>
      <c r="R1668" s="13"/>
      <c r="S1668" s="11"/>
      <c r="T1668" s="11"/>
      <c r="U1668" s="9"/>
      <c r="V1668" s="9"/>
      <c r="W1668" s="9"/>
      <c r="X1668" s="16"/>
      <c r="AF1668" s="42">
        <f>IF(BUSCAR!$C$8="FECHA NAC.",$G1668,IF(BUSCAR!$C$8="PASAPORTE EXPIRA",$J1668,IF(BUSCAR!$C$8="LICENCIA EMISION",$L1668,IF(BUSCAR!$C$8="LICENCIA EXPIRA",$M1668,""))))</f>
      </c>
      <c r="AG1668" s="42">
        <f>IF($B1668&amp;$C1668&amp;$D1668&amp;$E1668&amp;$H1668="",0,IF(AND(OR(BUSCAR!$J$5="",ISNUMBER(SEARCH(BUSCAR!$J$5,$AI1668))),OR(BUSCAR!$J$6="",ISNUMBER(SEARCH(BUSCAR!$J$6,$AI1668))),OR(BUSCAR!$J$8="",ISNUMBER(SEARCH(BUSCAR!$J$8,$AI1668))),OR(BUSCAR!$J$9="",ISNUMBER(SEARCH(BUSCAR!$J$9,$AI1668))),OR(NOT(BUSCAR!$J$2),AND(ISNUMBER($AF1668),$AF1668&gt;=BUSCAR!$J$3,$AF1668&lt;=BUSCAR!$J$4))),1,0))</f>
      </c>
      <c r="AH1668" s="42">
        <f t="shared" si="78"/>
      </c>
      <c r="AI1668" s="42">
        <f t="shared" si="79"/>
      </c>
    </row>
    <row r="1669" spans="1:35" x14ac:dyDescent="0.2">
      <c r="A1669" s="66">
        <f t="shared" si="80"/>
      </c>
      <c r="B1669" s="4"/>
      <c r="C1669" s="4"/>
      <c r="D1669" s="4"/>
      <c r="E1669" s="4"/>
      <c r="F1669" s="24"/>
      <c r="G1669" s="8"/>
      <c r="H1669" s="9"/>
      <c r="I1669" s="8"/>
      <c r="J1669" s="10"/>
      <c r="K1669" s="8"/>
      <c r="L1669" s="8"/>
      <c r="M1669" s="8"/>
      <c r="N1669" s="11"/>
      <c r="O1669" s="9"/>
      <c r="P1669" s="12"/>
      <c r="Q1669" s="9"/>
      <c r="R1669" s="13"/>
      <c r="S1669" s="11"/>
      <c r="T1669" s="11"/>
      <c r="U1669" s="9"/>
      <c r="V1669" s="9"/>
      <c r="W1669" s="9"/>
      <c r="X1669" s="16"/>
      <c r="AF1669" s="42">
        <f>IF(BUSCAR!$C$8="FECHA NAC.",$G1669,IF(BUSCAR!$C$8="PASAPORTE EXPIRA",$J1669,IF(BUSCAR!$C$8="LICENCIA EMISION",$L1669,IF(BUSCAR!$C$8="LICENCIA EXPIRA",$M1669,""))))</f>
      </c>
      <c r="AG1669" s="42">
        <f>IF($B1669&amp;$C1669&amp;$D1669&amp;$E1669&amp;$H1669="",0,IF(AND(OR(BUSCAR!$J$5="",ISNUMBER(SEARCH(BUSCAR!$J$5,$AI1669))),OR(BUSCAR!$J$6="",ISNUMBER(SEARCH(BUSCAR!$J$6,$AI1669))),OR(BUSCAR!$J$8="",ISNUMBER(SEARCH(BUSCAR!$J$8,$AI1669))),OR(BUSCAR!$J$9="",ISNUMBER(SEARCH(BUSCAR!$J$9,$AI1669))),OR(NOT(BUSCAR!$J$2),AND(ISNUMBER($AF1669),$AF1669&gt;=BUSCAR!$J$3,$AF1669&lt;=BUSCAR!$J$4))),1,0))</f>
      </c>
      <c r="AH1669" s="42">
        <f t="shared" si="78"/>
      </c>
      <c r="AI1669" s="42">
        <f t="shared" si="79"/>
      </c>
    </row>
    <row r="1670" spans="1:35" x14ac:dyDescent="0.2">
      <c r="A1670" s="66">
        <f t="shared" si="80"/>
      </c>
      <c r="B1670" s="4"/>
      <c r="C1670" s="4"/>
      <c r="D1670" s="4"/>
      <c r="E1670" s="4"/>
      <c r="F1670" s="24"/>
      <c r="G1670" s="8"/>
      <c r="H1670" s="9"/>
      <c r="I1670" s="8"/>
      <c r="J1670" s="10"/>
      <c r="K1670" s="8"/>
      <c r="L1670" s="8"/>
      <c r="M1670" s="8"/>
      <c r="N1670" s="30"/>
      <c r="O1670" s="9"/>
      <c r="P1670" s="12"/>
      <c r="Q1670" s="9"/>
      <c r="R1670" s="31"/>
      <c r="S1670" s="11"/>
      <c r="T1670" s="11"/>
      <c r="U1670" s="9"/>
      <c r="V1670" s="9"/>
      <c r="W1670" s="9"/>
      <c r="X1670" s="16"/>
      <c r="AF1670" s="42">
        <f>IF(BUSCAR!$C$8="FECHA NAC.",$G1670,IF(BUSCAR!$C$8="PASAPORTE EXPIRA",$J1670,IF(BUSCAR!$C$8="LICENCIA EMISION",$L1670,IF(BUSCAR!$C$8="LICENCIA EXPIRA",$M1670,""))))</f>
      </c>
      <c r="AG1670" s="42">
        <f>IF($B1670&amp;$C1670&amp;$D1670&amp;$E1670&amp;$H1670="",0,IF(AND(OR(BUSCAR!$J$5="",ISNUMBER(SEARCH(BUSCAR!$J$5,$AI1670))),OR(BUSCAR!$J$6="",ISNUMBER(SEARCH(BUSCAR!$J$6,$AI1670))),OR(BUSCAR!$J$8="",ISNUMBER(SEARCH(BUSCAR!$J$8,$AI1670))),OR(BUSCAR!$J$9="",ISNUMBER(SEARCH(BUSCAR!$J$9,$AI1670))),OR(NOT(BUSCAR!$J$2),AND(ISNUMBER($AF1670),$AF1670&gt;=BUSCAR!$J$3,$AF1670&lt;=BUSCAR!$J$4))),1,0))</f>
      </c>
      <c r="AH1670" s="42">
        <f t="shared" si="78"/>
      </c>
      <c r="AI1670" s="42">
        <f t="shared" si="79"/>
      </c>
    </row>
    <row r="1671" spans="1:35" x14ac:dyDescent="0.2">
      <c r="A1671" s="66">
        <f t="shared" si="80"/>
      </c>
      <c r="B1671" s="4"/>
      <c r="C1671" s="4"/>
      <c r="D1671" s="4"/>
      <c r="E1671" s="4"/>
      <c r="F1671" s="24"/>
      <c r="G1671" s="8"/>
      <c r="H1671" s="9"/>
      <c r="I1671" s="8"/>
      <c r="J1671" s="10"/>
      <c r="K1671" s="8"/>
      <c r="L1671" s="8"/>
      <c r="M1671" s="8"/>
      <c r="N1671" s="11"/>
      <c r="O1671" s="9"/>
      <c r="P1671" s="12"/>
      <c r="Q1671" s="9"/>
      <c r="R1671" s="13"/>
      <c r="S1671" s="11"/>
      <c r="T1671" s="11"/>
      <c r="U1671" s="9"/>
      <c r="V1671" s="9"/>
      <c r="W1671" s="9"/>
      <c r="X1671" s="16"/>
      <c r="AF1671" s="42">
        <f>IF(BUSCAR!$C$8="FECHA NAC.",$G1671,IF(BUSCAR!$C$8="PASAPORTE EXPIRA",$J1671,IF(BUSCAR!$C$8="LICENCIA EMISION",$L1671,IF(BUSCAR!$C$8="LICENCIA EXPIRA",$M1671,""))))</f>
      </c>
      <c r="AG1671" s="42">
        <f>IF($B1671&amp;$C1671&amp;$D1671&amp;$E1671&amp;$H1671="",0,IF(AND(OR(BUSCAR!$J$5="",ISNUMBER(SEARCH(BUSCAR!$J$5,$AI1671))),OR(BUSCAR!$J$6="",ISNUMBER(SEARCH(BUSCAR!$J$6,$AI1671))),OR(BUSCAR!$J$8="",ISNUMBER(SEARCH(BUSCAR!$J$8,$AI1671))),OR(BUSCAR!$J$9="",ISNUMBER(SEARCH(BUSCAR!$J$9,$AI1671))),OR(NOT(BUSCAR!$J$2),AND(ISNUMBER($AF1671),$AF1671&gt;=BUSCAR!$J$3,$AF1671&lt;=BUSCAR!$J$4))),1,0))</f>
      </c>
      <c r="AH1671" s="42">
        <f t="shared" si="78"/>
      </c>
      <c r="AI1671" s="42">
        <f t="shared" si="79"/>
      </c>
    </row>
    <row r="1672" spans="1:35" x14ac:dyDescent="0.2">
      <c r="A1672" s="66">
        <f t="shared" si="80"/>
      </c>
      <c r="B1672" s="4"/>
      <c r="C1672" s="4"/>
      <c r="D1672" s="4"/>
      <c r="E1672" s="4"/>
      <c r="F1672" s="24"/>
      <c r="G1672" s="8"/>
      <c r="H1672" s="9"/>
      <c r="I1672" s="8"/>
      <c r="J1672" s="10"/>
      <c r="K1672" s="8"/>
      <c r="L1672" s="8"/>
      <c r="M1672" s="8"/>
      <c r="N1672" s="11"/>
      <c r="O1672" s="9"/>
      <c r="P1672" s="12"/>
      <c r="Q1672" s="9"/>
      <c r="R1672" s="13"/>
      <c r="S1672" s="11"/>
      <c r="T1672" s="11"/>
      <c r="U1672" s="9"/>
      <c r="V1672" s="9"/>
      <c r="W1672" s="9"/>
      <c r="X1672" s="16"/>
      <c r="AF1672" s="42">
        <f>IF(BUSCAR!$C$8="FECHA NAC.",$G1672,IF(BUSCAR!$C$8="PASAPORTE EXPIRA",$J1672,IF(BUSCAR!$C$8="LICENCIA EMISION",$L1672,IF(BUSCAR!$C$8="LICENCIA EXPIRA",$M1672,""))))</f>
      </c>
      <c r="AG1672" s="42">
        <f>IF($B1672&amp;$C1672&amp;$D1672&amp;$E1672&amp;$H1672="",0,IF(AND(OR(BUSCAR!$J$5="",ISNUMBER(SEARCH(BUSCAR!$J$5,$AI1672))),OR(BUSCAR!$J$6="",ISNUMBER(SEARCH(BUSCAR!$J$6,$AI1672))),OR(BUSCAR!$J$8="",ISNUMBER(SEARCH(BUSCAR!$J$8,$AI1672))),OR(BUSCAR!$J$9="",ISNUMBER(SEARCH(BUSCAR!$J$9,$AI1672))),OR(NOT(BUSCAR!$J$2),AND(ISNUMBER($AF1672),$AF1672&gt;=BUSCAR!$J$3,$AF1672&lt;=BUSCAR!$J$4))),1,0))</f>
      </c>
      <c r="AH1672" s="42">
        <f t="shared" si="78"/>
      </c>
      <c r="AI1672" s="42">
        <f t="shared" si="79"/>
      </c>
    </row>
    <row r="1673" spans="1:35" x14ac:dyDescent="0.2">
      <c r="A1673" s="66">
        <f t="shared" si="80"/>
      </c>
      <c r="B1673" s="4"/>
      <c r="C1673" s="4"/>
      <c r="D1673" s="4"/>
      <c r="E1673" s="4"/>
      <c r="F1673" s="24"/>
      <c r="G1673" s="8"/>
      <c r="H1673" s="9"/>
      <c r="I1673" s="8"/>
      <c r="J1673" s="10"/>
      <c r="K1673" s="8"/>
      <c r="L1673" s="8"/>
      <c r="M1673" s="8"/>
      <c r="N1673" s="11"/>
      <c r="O1673" s="9"/>
      <c r="P1673" s="12"/>
      <c r="Q1673" s="9"/>
      <c r="R1673" s="13"/>
      <c r="S1673" s="11"/>
      <c r="T1673" s="11"/>
      <c r="U1673" s="9"/>
      <c r="V1673" s="9"/>
      <c r="W1673" s="9"/>
      <c r="X1673" s="16"/>
      <c r="AF1673" s="42">
        <f>IF(BUSCAR!$C$8="FECHA NAC.",$G1673,IF(BUSCAR!$C$8="PASAPORTE EXPIRA",$J1673,IF(BUSCAR!$C$8="LICENCIA EMISION",$L1673,IF(BUSCAR!$C$8="LICENCIA EXPIRA",$M1673,""))))</f>
      </c>
      <c r="AG1673" s="42">
        <f>IF($B1673&amp;$C1673&amp;$D1673&amp;$E1673&amp;$H1673="",0,IF(AND(OR(BUSCAR!$J$5="",ISNUMBER(SEARCH(BUSCAR!$J$5,$AI1673))),OR(BUSCAR!$J$6="",ISNUMBER(SEARCH(BUSCAR!$J$6,$AI1673))),OR(BUSCAR!$J$8="",ISNUMBER(SEARCH(BUSCAR!$J$8,$AI1673))),OR(BUSCAR!$J$9="",ISNUMBER(SEARCH(BUSCAR!$J$9,$AI1673))),OR(NOT(BUSCAR!$J$2),AND(ISNUMBER($AF1673),$AF1673&gt;=BUSCAR!$J$3,$AF1673&lt;=BUSCAR!$J$4))),1,0))</f>
      </c>
      <c r="AH1673" s="42">
        <f t="shared" si="78"/>
      </c>
      <c r="AI1673" s="42">
        <f t="shared" si="79"/>
      </c>
    </row>
    <row r="1674" spans="1:35" x14ac:dyDescent="0.2">
      <c r="A1674" s="66">
        <f t="shared" si="80"/>
      </c>
      <c r="B1674" s="4"/>
      <c r="C1674" s="4"/>
      <c r="D1674" s="4"/>
      <c r="E1674" s="4"/>
      <c r="F1674" s="24"/>
      <c r="G1674" s="8"/>
      <c r="H1674" s="9"/>
      <c r="I1674" s="8"/>
      <c r="J1674" s="10"/>
      <c r="K1674" s="8"/>
      <c r="L1674" s="8"/>
      <c r="M1674" s="8"/>
      <c r="N1674" s="11"/>
      <c r="O1674" s="9"/>
      <c r="P1674" s="12"/>
      <c r="Q1674" s="9"/>
      <c r="R1674" s="13"/>
      <c r="S1674" s="11"/>
      <c r="T1674" s="11"/>
      <c r="U1674" s="9"/>
      <c r="V1674" s="9"/>
      <c r="W1674" s="9"/>
      <c r="X1674" s="16"/>
      <c r="AF1674" s="42">
        <f>IF(BUSCAR!$C$8="FECHA NAC.",$G1674,IF(BUSCAR!$C$8="PASAPORTE EXPIRA",$J1674,IF(BUSCAR!$C$8="LICENCIA EMISION",$L1674,IF(BUSCAR!$C$8="LICENCIA EXPIRA",$M1674,""))))</f>
      </c>
      <c r="AG1674" s="42">
        <f>IF($B1674&amp;$C1674&amp;$D1674&amp;$E1674&amp;$H1674="",0,IF(AND(OR(BUSCAR!$J$5="",ISNUMBER(SEARCH(BUSCAR!$J$5,$AI1674))),OR(BUSCAR!$J$6="",ISNUMBER(SEARCH(BUSCAR!$J$6,$AI1674))),OR(BUSCAR!$J$8="",ISNUMBER(SEARCH(BUSCAR!$J$8,$AI1674))),OR(BUSCAR!$J$9="",ISNUMBER(SEARCH(BUSCAR!$J$9,$AI1674))),OR(NOT(BUSCAR!$J$2),AND(ISNUMBER($AF1674),$AF1674&gt;=BUSCAR!$J$3,$AF1674&lt;=BUSCAR!$J$4))),1,0))</f>
      </c>
      <c r="AH1674" s="42">
        <f t="shared" si="78"/>
      </c>
      <c r="AI1674" s="42">
        <f t="shared" si="79"/>
      </c>
    </row>
    <row r="1675" spans="1:35" x14ac:dyDescent="0.2">
      <c r="A1675" s="66">
        <f t="shared" si="80"/>
      </c>
      <c r="B1675" s="4"/>
      <c r="C1675" s="4"/>
      <c r="D1675" s="4"/>
      <c r="E1675" s="4"/>
      <c r="F1675" s="24"/>
      <c r="G1675" s="8"/>
      <c r="H1675" s="9"/>
      <c r="I1675" s="8"/>
      <c r="J1675" s="10"/>
      <c r="K1675" s="8"/>
      <c r="L1675" s="8"/>
      <c r="M1675" s="8"/>
      <c r="N1675" s="11"/>
      <c r="O1675" s="9"/>
      <c r="P1675" s="12"/>
      <c r="Q1675" s="9"/>
      <c r="R1675" s="13"/>
      <c r="S1675" s="11"/>
      <c r="T1675" s="11"/>
      <c r="U1675" s="9"/>
      <c r="V1675" s="9"/>
      <c r="W1675" s="9"/>
      <c r="X1675" s="16"/>
      <c r="AF1675" s="42">
        <f>IF(BUSCAR!$C$8="FECHA NAC.",$G1675,IF(BUSCAR!$C$8="PASAPORTE EXPIRA",$J1675,IF(BUSCAR!$C$8="LICENCIA EMISION",$L1675,IF(BUSCAR!$C$8="LICENCIA EXPIRA",$M1675,""))))</f>
      </c>
      <c r="AG1675" s="42">
        <f>IF($B1675&amp;$C1675&amp;$D1675&amp;$E1675&amp;$H1675="",0,IF(AND(OR(BUSCAR!$J$5="",ISNUMBER(SEARCH(BUSCAR!$J$5,$AI1675))),OR(BUSCAR!$J$6="",ISNUMBER(SEARCH(BUSCAR!$J$6,$AI1675))),OR(BUSCAR!$J$8="",ISNUMBER(SEARCH(BUSCAR!$J$8,$AI1675))),OR(BUSCAR!$J$9="",ISNUMBER(SEARCH(BUSCAR!$J$9,$AI1675))),OR(NOT(BUSCAR!$J$2),AND(ISNUMBER($AF1675),$AF1675&gt;=BUSCAR!$J$3,$AF1675&lt;=BUSCAR!$J$4))),1,0))</f>
      </c>
      <c r="AH1675" s="42">
        <f t="shared" si="78"/>
      </c>
      <c r="AI1675" s="42">
        <f t="shared" si="79"/>
      </c>
    </row>
    <row r="1676" spans="1:35" x14ac:dyDescent="0.2">
      <c r="A1676" s="66">
        <f t="shared" si="80"/>
      </c>
      <c r="B1676" s="4"/>
      <c r="C1676" s="4"/>
      <c r="D1676" s="4"/>
      <c r="E1676" s="4"/>
      <c r="F1676" s="24"/>
      <c r="G1676" s="8"/>
      <c r="H1676" s="9"/>
      <c r="I1676" s="8"/>
      <c r="J1676" s="10"/>
      <c r="K1676" s="8"/>
      <c r="L1676" s="8"/>
      <c r="M1676" s="8"/>
      <c r="N1676" s="11"/>
      <c r="O1676" s="9"/>
      <c r="P1676" s="12"/>
      <c r="Q1676" s="9"/>
      <c r="R1676" s="13"/>
      <c r="S1676" s="11"/>
      <c r="T1676" s="11"/>
      <c r="U1676" s="9"/>
      <c r="V1676" s="9"/>
      <c r="W1676" s="9"/>
      <c r="X1676" s="16"/>
      <c r="AF1676" s="42">
        <f>IF(BUSCAR!$C$8="FECHA NAC.",$G1676,IF(BUSCAR!$C$8="PASAPORTE EXPIRA",$J1676,IF(BUSCAR!$C$8="LICENCIA EMISION",$L1676,IF(BUSCAR!$C$8="LICENCIA EXPIRA",$M1676,""))))</f>
      </c>
      <c r="AG1676" s="42">
        <f>IF($B1676&amp;$C1676&amp;$D1676&amp;$E1676&amp;$H1676="",0,IF(AND(OR(BUSCAR!$J$5="",ISNUMBER(SEARCH(BUSCAR!$J$5,$AI1676))),OR(BUSCAR!$J$6="",ISNUMBER(SEARCH(BUSCAR!$J$6,$AI1676))),OR(BUSCAR!$J$8="",ISNUMBER(SEARCH(BUSCAR!$J$8,$AI1676))),OR(BUSCAR!$J$9="",ISNUMBER(SEARCH(BUSCAR!$J$9,$AI1676))),OR(NOT(BUSCAR!$J$2),AND(ISNUMBER($AF1676),$AF1676&gt;=BUSCAR!$J$3,$AF1676&lt;=BUSCAR!$J$4))),1,0))</f>
      </c>
      <c r="AH1676" s="42">
        <f t="shared" si="78"/>
      </c>
      <c r="AI1676" s="42">
        <f t="shared" si="79"/>
      </c>
    </row>
    <row r="1677" spans="1:35" x14ac:dyDescent="0.2">
      <c r="A1677" s="66">
        <f t="shared" si="80"/>
      </c>
      <c r="B1677" s="4"/>
      <c r="C1677" s="4"/>
      <c r="D1677" s="4"/>
      <c r="E1677" s="4"/>
      <c r="F1677" s="24"/>
      <c r="G1677" s="8"/>
      <c r="H1677" s="9"/>
      <c r="I1677" s="8"/>
      <c r="J1677" s="10"/>
      <c r="K1677" s="8"/>
      <c r="L1677" s="8"/>
      <c r="M1677" s="8"/>
      <c r="N1677" s="11"/>
      <c r="O1677" s="9"/>
      <c r="P1677" s="12"/>
      <c r="Q1677" s="9"/>
      <c r="R1677" s="13"/>
      <c r="S1677" s="11"/>
      <c r="T1677" s="11"/>
      <c r="U1677" s="9"/>
      <c r="V1677" s="9"/>
      <c r="W1677" s="9"/>
      <c r="X1677" s="16"/>
      <c r="AF1677" s="42">
        <f>IF(BUSCAR!$C$8="FECHA NAC.",$G1677,IF(BUSCAR!$C$8="PASAPORTE EXPIRA",$J1677,IF(BUSCAR!$C$8="LICENCIA EMISION",$L1677,IF(BUSCAR!$C$8="LICENCIA EXPIRA",$M1677,""))))</f>
      </c>
      <c r="AG1677" s="42">
        <f>IF($B1677&amp;$C1677&amp;$D1677&amp;$E1677&amp;$H1677="",0,IF(AND(OR(BUSCAR!$J$5="",ISNUMBER(SEARCH(BUSCAR!$J$5,$AI1677))),OR(BUSCAR!$J$6="",ISNUMBER(SEARCH(BUSCAR!$J$6,$AI1677))),OR(BUSCAR!$J$8="",ISNUMBER(SEARCH(BUSCAR!$J$8,$AI1677))),OR(BUSCAR!$J$9="",ISNUMBER(SEARCH(BUSCAR!$J$9,$AI1677))),OR(NOT(BUSCAR!$J$2),AND(ISNUMBER($AF1677),$AF1677&gt;=BUSCAR!$J$3,$AF1677&lt;=BUSCAR!$J$4))),1,0))</f>
      </c>
      <c r="AH1677" s="42">
        <f t="shared" si="78"/>
      </c>
      <c r="AI1677" s="42">
        <f t="shared" si="79"/>
      </c>
    </row>
    <row r="1678" spans="1:35" x14ac:dyDescent="0.2">
      <c r="A1678" s="66">
        <f t="shared" si="80"/>
      </c>
      <c r="B1678" s="4"/>
      <c r="C1678" s="4"/>
      <c r="D1678" s="4"/>
      <c r="E1678" s="4"/>
      <c r="F1678" s="24"/>
      <c r="G1678" s="8"/>
      <c r="H1678" s="9"/>
      <c r="I1678" s="8"/>
      <c r="J1678" s="10"/>
      <c r="K1678" s="8"/>
      <c r="L1678" s="8"/>
      <c r="M1678" s="8"/>
      <c r="N1678" s="11"/>
      <c r="O1678" s="9"/>
      <c r="P1678" s="12"/>
      <c r="Q1678" s="9"/>
      <c r="R1678" s="13"/>
      <c r="S1678" s="11"/>
      <c r="T1678" s="11"/>
      <c r="U1678" s="9"/>
      <c r="V1678" s="9"/>
      <c r="W1678" s="9"/>
      <c r="X1678" s="16"/>
      <c r="AF1678" s="42">
        <f>IF(BUSCAR!$C$8="FECHA NAC.",$G1678,IF(BUSCAR!$C$8="PASAPORTE EXPIRA",$J1678,IF(BUSCAR!$C$8="LICENCIA EMISION",$L1678,IF(BUSCAR!$C$8="LICENCIA EXPIRA",$M1678,""))))</f>
      </c>
      <c r="AG1678" s="42">
        <f>IF($B1678&amp;$C1678&amp;$D1678&amp;$E1678&amp;$H1678="",0,IF(AND(OR(BUSCAR!$J$5="",ISNUMBER(SEARCH(BUSCAR!$J$5,$AI1678))),OR(BUSCAR!$J$6="",ISNUMBER(SEARCH(BUSCAR!$J$6,$AI1678))),OR(BUSCAR!$J$8="",ISNUMBER(SEARCH(BUSCAR!$J$8,$AI1678))),OR(BUSCAR!$J$9="",ISNUMBER(SEARCH(BUSCAR!$J$9,$AI1678))),OR(NOT(BUSCAR!$J$2),AND(ISNUMBER($AF1678),$AF1678&gt;=BUSCAR!$J$3,$AF1678&lt;=BUSCAR!$J$4))),1,0))</f>
      </c>
      <c r="AH1678" s="42">
        <f t="shared" si="78"/>
      </c>
      <c r="AI1678" s="42">
        <f t="shared" si="79"/>
      </c>
    </row>
    <row r="1679" spans="1:35" x14ac:dyDescent="0.2">
      <c r="A1679" s="66">
        <f t="shared" si="80"/>
      </c>
      <c r="B1679" s="4"/>
      <c r="C1679" s="4"/>
      <c r="D1679" s="4"/>
      <c r="E1679" s="4"/>
      <c r="F1679" s="24"/>
      <c r="G1679" s="8"/>
      <c r="H1679" s="9"/>
      <c r="I1679" s="8"/>
      <c r="J1679" s="10"/>
      <c r="K1679" s="8"/>
      <c r="L1679" s="8"/>
      <c r="M1679" s="8"/>
      <c r="N1679" s="11"/>
      <c r="O1679" s="9"/>
      <c r="P1679" s="12"/>
      <c r="Q1679" s="9"/>
      <c r="R1679" s="13"/>
      <c r="S1679" s="11"/>
      <c r="T1679" s="11"/>
      <c r="U1679" s="9"/>
      <c r="V1679" s="9"/>
      <c r="W1679" s="9"/>
      <c r="X1679" s="16"/>
      <c r="AF1679" s="42">
        <f>IF(BUSCAR!$C$8="FECHA NAC.",$G1679,IF(BUSCAR!$C$8="PASAPORTE EXPIRA",$J1679,IF(BUSCAR!$C$8="LICENCIA EMISION",$L1679,IF(BUSCAR!$C$8="LICENCIA EXPIRA",$M1679,""))))</f>
      </c>
      <c r="AG1679" s="42">
        <f>IF($B1679&amp;$C1679&amp;$D1679&amp;$E1679&amp;$H1679="",0,IF(AND(OR(BUSCAR!$J$5="",ISNUMBER(SEARCH(BUSCAR!$J$5,$AI1679))),OR(BUSCAR!$J$6="",ISNUMBER(SEARCH(BUSCAR!$J$6,$AI1679))),OR(BUSCAR!$J$8="",ISNUMBER(SEARCH(BUSCAR!$J$8,$AI1679))),OR(BUSCAR!$J$9="",ISNUMBER(SEARCH(BUSCAR!$J$9,$AI1679))),OR(NOT(BUSCAR!$J$2),AND(ISNUMBER($AF1679),$AF1679&gt;=BUSCAR!$J$3,$AF1679&lt;=BUSCAR!$J$4))),1,0))</f>
      </c>
      <c r="AH1679" s="42">
        <f t="shared" si="78"/>
      </c>
      <c r="AI1679" s="42">
        <f t="shared" si="79"/>
      </c>
    </row>
    <row r="1680" spans="1:35" x14ac:dyDescent="0.2">
      <c r="A1680" s="66">
        <f t="shared" si="80"/>
      </c>
      <c r="B1680" s="4"/>
      <c r="C1680" s="4"/>
      <c r="D1680" s="4"/>
      <c r="E1680" s="4"/>
      <c r="F1680" s="24"/>
      <c r="G1680" s="8"/>
      <c r="H1680" s="9"/>
      <c r="I1680" s="8"/>
      <c r="J1680" s="10"/>
      <c r="K1680" s="8"/>
      <c r="L1680" s="8"/>
      <c r="M1680" s="8"/>
      <c r="N1680" s="11"/>
      <c r="O1680" s="9"/>
      <c r="P1680" s="12"/>
      <c r="Q1680" s="9"/>
      <c r="R1680" s="13"/>
      <c r="S1680" s="11"/>
      <c r="T1680" s="11"/>
      <c r="U1680" s="9"/>
      <c r="V1680" s="9"/>
      <c r="W1680" s="9"/>
      <c r="X1680" s="16"/>
      <c r="AF1680" s="42">
        <f>IF(BUSCAR!$C$8="FECHA NAC.",$G1680,IF(BUSCAR!$C$8="PASAPORTE EXPIRA",$J1680,IF(BUSCAR!$C$8="LICENCIA EMISION",$L1680,IF(BUSCAR!$C$8="LICENCIA EXPIRA",$M1680,""))))</f>
      </c>
      <c r="AG1680" s="42">
        <f>IF($B1680&amp;$C1680&amp;$D1680&amp;$E1680&amp;$H1680="",0,IF(AND(OR(BUSCAR!$J$5="",ISNUMBER(SEARCH(BUSCAR!$J$5,$AI1680))),OR(BUSCAR!$J$6="",ISNUMBER(SEARCH(BUSCAR!$J$6,$AI1680))),OR(BUSCAR!$J$8="",ISNUMBER(SEARCH(BUSCAR!$J$8,$AI1680))),OR(BUSCAR!$J$9="",ISNUMBER(SEARCH(BUSCAR!$J$9,$AI1680))),OR(NOT(BUSCAR!$J$2),AND(ISNUMBER($AF1680),$AF1680&gt;=BUSCAR!$J$3,$AF1680&lt;=BUSCAR!$J$4))),1,0))</f>
      </c>
      <c r="AH1680" s="42">
        <f t="shared" si="78"/>
      </c>
      <c r="AI1680" s="42">
        <f t="shared" si="79"/>
      </c>
    </row>
    <row r="1681" spans="1:35" x14ac:dyDescent="0.2">
      <c r="A1681" s="66">
        <f t="shared" si="80"/>
      </c>
      <c r="B1681" s="4"/>
      <c r="C1681" s="4"/>
      <c r="D1681" s="4"/>
      <c r="E1681" s="4"/>
      <c r="F1681" s="24"/>
      <c r="G1681" s="8"/>
      <c r="H1681" s="9"/>
      <c r="I1681" s="8"/>
      <c r="J1681" s="10"/>
      <c r="K1681" s="8"/>
      <c r="L1681" s="8"/>
      <c r="M1681" s="8"/>
      <c r="N1681" s="11"/>
      <c r="O1681" s="9"/>
      <c r="P1681" s="12"/>
      <c r="Q1681" s="9"/>
      <c r="R1681" s="13"/>
      <c r="S1681" s="11"/>
      <c r="T1681" s="11"/>
      <c r="U1681" s="9"/>
      <c r="V1681" s="9"/>
      <c r="W1681" s="9"/>
      <c r="X1681" s="16"/>
      <c r="AF1681" s="42">
        <f>IF(BUSCAR!$C$8="FECHA NAC.",$G1681,IF(BUSCAR!$C$8="PASAPORTE EXPIRA",$J1681,IF(BUSCAR!$C$8="LICENCIA EMISION",$L1681,IF(BUSCAR!$C$8="LICENCIA EXPIRA",$M1681,""))))</f>
      </c>
      <c r="AG1681" s="42">
        <f>IF($B1681&amp;$C1681&amp;$D1681&amp;$E1681&amp;$H1681="",0,IF(AND(OR(BUSCAR!$J$5="",ISNUMBER(SEARCH(BUSCAR!$J$5,$AI1681))),OR(BUSCAR!$J$6="",ISNUMBER(SEARCH(BUSCAR!$J$6,$AI1681))),OR(BUSCAR!$J$8="",ISNUMBER(SEARCH(BUSCAR!$J$8,$AI1681))),OR(BUSCAR!$J$9="",ISNUMBER(SEARCH(BUSCAR!$J$9,$AI1681))),OR(NOT(BUSCAR!$J$2),AND(ISNUMBER($AF1681),$AF1681&gt;=BUSCAR!$J$3,$AF1681&lt;=BUSCAR!$J$4))),1,0))</f>
      </c>
      <c r="AH1681" s="42">
        <f t="shared" si="78"/>
      </c>
      <c r="AI1681" s="42">
        <f t="shared" si="79"/>
      </c>
    </row>
    <row r="1682" spans="1:35" x14ac:dyDescent="0.2">
      <c r="A1682" s="66">
        <f t="shared" si="80"/>
      </c>
      <c r="B1682" s="4"/>
      <c r="C1682" s="4"/>
      <c r="D1682" s="4"/>
      <c r="E1682" s="4"/>
      <c r="F1682" s="24"/>
      <c r="G1682" s="8"/>
      <c r="H1682" s="9"/>
      <c r="I1682" s="8"/>
      <c r="J1682" s="10"/>
      <c r="K1682" s="8"/>
      <c r="L1682" s="8"/>
      <c r="M1682" s="8"/>
      <c r="N1682" s="11"/>
      <c r="O1682" s="9"/>
      <c r="P1682" s="12"/>
      <c r="Q1682" s="9"/>
      <c r="R1682" s="13"/>
      <c r="S1682" s="11"/>
      <c r="T1682" s="11"/>
      <c r="U1682" s="9"/>
      <c r="V1682" s="9"/>
      <c r="W1682" s="9"/>
      <c r="X1682" s="16"/>
      <c r="AF1682" s="42">
        <f>IF(BUSCAR!$C$8="FECHA NAC.",$G1682,IF(BUSCAR!$C$8="PASAPORTE EXPIRA",$J1682,IF(BUSCAR!$C$8="LICENCIA EMISION",$L1682,IF(BUSCAR!$C$8="LICENCIA EXPIRA",$M1682,""))))</f>
      </c>
      <c r="AG1682" s="42">
        <f>IF($B1682&amp;$C1682&amp;$D1682&amp;$E1682&amp;$H1682="",0,IF(AND(OR(BUSCAR!$J$5="",ISNUMBER(SEARCH(BUSCAR!$J$5,$AI1682))),OR(BUSCAR!$J$6="",ISNUMBER(SEARCH(BUSCAR!$J$6,$AI1682))),OR(BUSCAR!$J$8="",ISNUMBER(SEARCH(BUSCAR!$J$8,$AI1682))),OR(BUSCAR!$J$9="",ISNUMBER(SEARCH(BUSCAR!$J$9,$AI1682))),OR(NOT(BUSCAR!$J$2),AND(ISNUMBER($AF1682),$AF1682&gt;=BUSCAR!$J$3,$AF1682&lt;=BUSCAR!$J$4))),1,0))</f>
      </c>
      <c r="AH1682" s="42">
        <f t="shared" si="78"/>
      </c>
      <c r="AI1682" s="42">
        <f t="shared" si="79"/>
      </c>
    </row>
    <row r="1683" spans="1:35" x14ac:dyDescent="0.2">
      <c r="A1683" s="66">
        <f t="shared" si="80"/>
      </c>
      <c r="B1683" s="4"/>
      <c r="C1683" s="4"/>
      <c r="D1683" s="4"/>
      <c r="E1683" s="4"/>
      <c r="F1683" s="24"/>
      <c r="G1683" s="8"/>
      <c r="H1683" s="9"/>
      <c r="I1683" s="8"/>
      <c r="J1683" s="10"/>
      <c r="K1683" s="8"/>
      <c r="L1683" s="8"/>
      <c r="M1683" s="8"/>
      <c r="N1683" s="11"/>
      <c r="O1683" s="9"/>
      <c r="P1683" s="12"/>
      <c r="Q1683" s="9"/>
      <c r="R1683" s="13"/>
      <c r="S1683" s="11"/>
      <c r="T1683" s="11"/>
      <c r="U1683" s="9"/>
      <c r="V1683" s="9"/>
      <c r="W1683" s="9"/>
      <c r="X1683" s="16"/>
      <c r="AF1683" s="42">
        <f>IF(BUSCAR!$C$8="FECHA NAC.",$G1683,IF(BUSCAR!$C$8="PASAPORTE EXPIRA",$J1683,IF(BUSCAR!$C$8="LICENCIA EMISION",$L1683,IF(BUSCAR!$C$8="LICENCIA EXPIRA",$M1683,""))))</f>
      </c>
      <c r="AG1683" s="42">
        <f>IF($B1683&amp;$C1683&amp;$D1683&amp;$E1683&amp;$H1683="",0,IF(AND(OR(BUSCAR!$J$5="",ISNUMBER(SEARCH(BUSCAR!$J$5,$AI1683))),OR(BUSCAR!$J$6="",ISNUMBER(SEARCH(BUSCAR!$J$6,$AI1683))),OR(BUSCAR!$J$8="",ISNUMBER(SEARCH(BUSCAR!$J$8,$AI1683))),OR(BUSCAR!$J$9="",ISNUMBER(SEARCH(BUSCAR!$J$9,$AI1683))),OR(NOT(BUSCAR!$J$2),AND(ISNUMBER($AF1683),$AF1683&gt;=BUSCAR!$J$3,$AF1683&lt;=BUSCAR!$J$4))),1,0))</f>
      </c>
      <c r="AH1683" s="42">
        <f t="shared" si="78"/>
      </c>
      <c r="AI1683" s="42">
        <f t="shared" si="79"/>
      </c>
    </row>
    <row r="1684" spans="1:35" x14ac:dyDescent="0.2">
      <c r="A1684" s="66">
        <f t="shared" si="80"/>
      </c>
      <c r="B1684" s="4"/>
      <c r="C1684" s="4"/>
      <c r="D1684" s="4"/>
      <c r="E1684" s="4"/>
      <c r="F1684" s="24"/>
      <c r="G1684" s="8"/>
      <c r="H1684" s="9"/>
      <c r="I1684" s="8"/>
      <c r="J1684" s="10"/>
      <c r="K1684" s="8"/>
      <c r="L1684" s="8"/>
      <c r="M1684" s="8"/>
      <c r="N1684" s="11"/>
      <c r="O1684" s="9"/>
      <c r="P1684" s="12"/>
      <c r="Q1684" s="9"/>
      <c r="R1684" s="13"/>
      <c r="S1684" s="11"/>
      <c r="T1684" s="11"/>
      <c r="U1684" s="9"/>
      <c r="V1684" s="9"/>
      <c r="W1684" s="9"/>
      <c r="X1684" s="16"/>
      <c r="AF1684" s="42">
        <f>IF(BUSCAR!$C$8="FECHA NAC.",$G1684,IF(BUSCAR!$C$8="PASAPORTE EXPIRA",$J1684,IF(BUSCAR!$C$8="LICENCIA EMISION",$L1684,IF(BUSCAR!$C$8="LICENCIA EXPIRA",$M1684,""))))</f>
      </c>
      <c r="AG1684" s="42">
        <f>IF($B1684&amp;$C1684&amp;$D1684&amp;$E1684&amp;$H1684="",0,IF(AND(OR(BUSCAR!$J$5="",ISNUMBER(SEARCH(BUSCAR!$J$5,$AI1684))),OR(BUSCAR!$J$6="",ISNUMBER(SEARCH(BUSCAR!$J$6,$AI1684))),OR(BUSCAR!$J$8="",ISNUMBER(SEARCH(BUSCAR!$J$8,$AI1684))),OR(BUSCAR!$J$9="",ISNUMBER(SEARCH(BUSCAR!$J$9,$AI1684))),OR(NOT(BUSCAR!$J$2),AND(ISNUMBER($AF1684),$AF1684&gt;=BUSCAR!$J$3,$AF1684&lt;=BUSCAR!$J$4))),1,0))</f>
      </c>
      <c r="AH1684" s="42">
        <f t="shared" si="78"/>
      </c>
      <c r="AI1684" s="42">
        <f t="shared" si="79"/>
      </c>
    </row>
    <row r="1685" spans="1:35" x14ac:dyDescent="0.2">
      <c r="A1685" s="66">
        <f t="shared" si="80"/>
      </c>
      <c r="B1685" s="4"/>
      <c r="C1685" s="4"/>
      <c r="D1685" s="4"/>
      <c r="E1685" s="4"/>
      <c r="F1685" s="24"/>
      <c r="G1685" s="8"/>
      <c r="H1685" s="9"/>
      <c r="I1685" s="8"/>
      <c r="J1685" s="10"/>
      <c r="K1685" s="8"/>
      <c r="L1685" s="8"/>
      <c r="M1685" s="8"/>
      <c r="N1685" s="11"/>
      <c r="O1685" s="9"/>
      <c r="P1685" s="12"/>
      <c r="Q1685" s="9"/>
      <c r="R1685" s="13"/>
      <c r="S1685" s="11"/>
      <c r="T1685" s="11"/>
      <c r="U1685" s="9"/>
      <c r="V1685" s="9"/>
      <c r="W1685" s="9"/>
      <c r="X1685" s="16"/>
      <c r="AF1685" s="42">
        <f>IF(BUSCAR!$C$8="FECHA NAC.",$G1685,IF(BUSCAR!$C$8="PASAPORTE EXPIRA",$J1685,IF(BUSCAR!$C$8="LICENCIA EMISION",$L1685,IF(BUSCAR!$C$8="LICENCIA EXPIRA",$M1685,""))))</f>
      </c>
      <c r="AG1685" s="42">
        <f>IF($B1685&amp;$C1685&amp;$D1685&amp;$E1685&amp;$H1685="",0,IF(AND(OR(BUSCAR!$J$5="",ISNUMBER(SEARCH(BUSCAR!$J$5,$AI1685))),OR(BUSCAR!$J$6="",ISNUMBER(SEARCH(BUSCAR!$J$6,$AI1685))),OR(BUSCAR!$J$8="",ISNUMBER(SEARCH(BUSCAR!$J$8,$AI1685))),OR(BUSCAR!$J$9="",ISNUMBER(SEARCH(BUSCAR!$J$9,$AI1685))),OR(NOT(BUSCAR!$J$2),AND(ISNUMBER($AF1685),$AF1685&gt;=BUSCAR!$J$3,$AF1685&lt;=BUSCAR!$J$4))),1,0))</f>
      </c>
      <c r="AH1685" s="42">
        <f t="shared" si="78"/>
      </c>
      <c r="AI1685" s="42">
        <f t="shared" si="79"/>
      </c>
    </row>
    <row r="1686" spans="1:35" x14ac:dyDescent="0.2">
      <c r="A1686" s="66">
        <f t="shared" si="80"/>
      </c>
      <c r="B1686" s="4"/>
      <c r="C1686" s="4"/>
      <c r="D1686" s="4"/>
      <c r="E1686" s="4"/>
      <c r="F1686" s="24"/>
      <c r="G1686" s="8"/>
      <c r="H1686" s="9"/>
      <c r="I1686" s="8"/>
      <c r="J1686" s="10"/>
      <c r="K1686" s="8"/>
      <c r="L1686" s="8"/>
      <c r="M1686" s="8"/>
      <c r="N1686" s="11"/>
      <c r="O1686" s="9"/>
      <c r="P1686" s="12"/>
      <c r="Q1686" s="9"/>
      <c r="R1686" s="13"/>
      <c r="S1686" s="11"/>
      <c r="T1686" s="11"/>
      <c r="U1686" s="9"/>
      <c r="V1686" s="9"/>
      <c r="W1686" s="9"/>
      <c r="X1686" s="16"/>
      <c r="AF1686" s="42">
        <f>IF(BUSCAR!$C$8="FECHA NAC.",$G1686,IF(BUSCAR!$C$8="PASAPORTE EXPIRA",$J1686,IF(BUSCAR!$C$8="LICENCIA EMISION",$L1686,IF(BUSCAR!$C$8="LICENCIA EXPIRA",$M1686,""))))</f>
      </c>
      <c r="AG1686" s="42">
        <f>IF($B1686&amp;$C1686&amp;$D1686&amp;$E1686&amp;$H1686="",0,IF(AND(OR(BUSCAR!$J$5="",ISNUMBER(SEARCH(BUSCAR!$J$5,$AI1686))),OR(BUSCAR!$J$6="",ISNUMBER(SEARCH(BUSCAR!$J$6,$AI1686))),OR(BUSCAR!$J$8="",ISNUMBER(SEARCH(BUSCAR!$J$8,$AI1686))),OR(BUSCAR!$J$9="",ISNUMBER(SEARCH(BUSCAR!$J$9,$AI1686))),OR(NOT(BUSCAR!$J$2),AND(ISNUMBER($AF1686),$AF1686&gt;=BUSCAR!$J$3,$AF1686&lt;=BUSCAR!$J$4))),1,0))</f>
      </c>
      <c r="AH1686" s="42">
        <f t="shared" si="78"/>
      </c>
      <c r="AI1686" s="42">
        <f t="shared" si="79"/>
      </c>
    </row>
    <row r="1687" spans="1:35" x14ac:dyDescent="0.2">
      <c r="A1687" s="66">
        <f t="shared" si="80"/>
      </c>
      <c r="B1687" s="4"/>
      <c r="C1687" s="4"/>
      <c r="D1687" s="4"/>
      <c r="E1687" s="4"/>
      <c r="F1687" s="24"/>
      <c r="G1687" s="8"/>
      <c r="H1687" s="9"/>
      <c r="I1687" s="8"/>
      <c r="J1687" s="10"/>
      <c r="K1687" s="8"/>
      <c r="L1687" s="8"/>
      <c r="M1687" s="8"/>
      <c r="N1687" s="11"/>
      <c r="O1687" s="9"/>
      <c r="P1687" s="12"/>
      <c r="Q1687" s="9"/>
      <c r="R1687" s="13"/>
      <c r="S1687" s="11"/>
      <c r="T1687" s="11"/>
      <c r="U1687" s="9"/>
      <c r="V1687" s="9"/>
      <c r="W1687" s="9"/>
      <c r="X1687" s="16"/>
      <c r="AF1687" s="42">
        <f>IF(BUSCAR!$C$8="FECHA NAC.",$G1687,IF(BUSCAR!$C$8="PASAPORTE EXPIRA",$J1687,IF(BUSCAR!$C$8="LICENCIA EMISION",$L1687,IF(BUSCAR!$C$8="LICENCIA EXPIRA",$M1687,""))))</f>
      </c>
      <c r="AG1687" s="42">
        <f>IF($B1687&amp;$C1687&amp;$D1687&amp;$E1687&amp;$H1687="",0,IF(AND(OR(BUSCAR!$J$5="",ISNUMBER(SEARCH(BUSCAR!$J$5,$AI1687))),OR(BUSCAR!$J$6="",ISNUMBER(SEARCH(BUSCAR!$J$6,$AI1687))),OR(BUSCAR!$J$8="",ISNUMBER(SEARCH(BUSCAR!$J$8,$AI1687))),OR(BUSCAR!$J$9="",ISNUMBER(SEARCH(BUSCAR!$J$9,$AI1687))),OR(NOT(BUSCAR!$J$2),AND(ISNUMBER($AF1687),$AF1687&gt;=BUSCAR!$J$3,$AF1687&lt;=BUSCAR!$J$4))),1,0))</f>
      </c>
      <c r="AH1687" s="42">
        <f t="shared" si="78"/>
      </c>
      <c r="AI1687" s="42">
        <f t="shared" si="79"/>
      </c>
    </row>
    <row r="1688" spans="1:35" x14ac:dyDescent="0.2">
      <c r="A1688" s="66">
        <f t="shared" si="80"/>
      </c>
      <c r="B1688" s="4"/>
      <c r="C1688" s="4"/>
      <c r="D1688" s="4"/>
      <c r="E1688" s="4"/>
      <c r="F1688" s="24"/>
      <c r="G1688" s="8"/>
      <c r="H1688" s="9"/>
      <c r="I1688" s="8"/>
      <c r="J1688" s="10"/>
      <c r="K1688" s="8"/>
      <c r="L1688" s="8"/>
      <c r="M1688" s="8"/>
      <c r="N1688" s="11"/>
      <c r="O1688" s="9"/>
      <c r="P1688" s="12"/>
      <c r="Q1688" s="9"/>
      <c r="R1688" s="13"/>
      <c r="S1688" s="11"/>
      <c r="T1688" s="11"/>
      <c r="U1688" s="9"/>
      <c r="V1688" s="9"/>
      <c r="W1688" s="9"/>
      <c r="X1688" s="16"/>
      <c r="AF1688" s="42">
        <f>IF(BUSCAR!$C$8="FECHA NAC.",$G1688,IF(BUSCAR!$C$8="PASAPORTE EXPIRA",$J1688,IF(BUSCAR!$C$8="LICENCIA EMISION",$L1688,IF(BUSCAR!$C$8="LICENCIA EXPIRA",$M1688,""))))</f>
      </c>
      <c r="AG1688" s="42">
        <f>IF($B1688&amp;$C1688&amp;$D1688&amp;$E1688&amp;$H1688="",0,IF(AND(OR(BUSCAR!$J$5="",ISNUMBER(SEARCH(BUSCAR!$J$5,$AI1688))),OR(BUSCAR!$J$6="",ISNUMBER(SEARCH(BUSCAR!$J$6,$AI1688))),OR(BUSCAR!$J$8="",ISNUMBER(SEARCH(BUSCAR!$J$8,$AI1688))),OR(BUSCAR!$J$9="",ISNUMBER(SEARCH(BUSCAR!$J$9,$AI1688))),OR(NOT(BUSCAR!$J$2),AND(ISNUMBER($AF1688),$AF1688&gt;=BUSCAR!$J$3,$AF1688&lt;=BUSCAR!$J$4))),1,0))</f>
      </c>
      <c r="AH1688" s="42">
        <f t="shared" si="78"/>
      </c>
      <c r="AI1688" s="42">
        <f t="shared" si="79"/>
      </c>
    </row>
    <row r="1689" spans="1:35" x14ac:dyDescent="0.2">
      <c r="A1689" s="66">
        <f t="shared" si="80"/>
      </c>
      <c r="B1689" s="4"/>
      <c r="C1689" s="4"/>
      <c r="D1689" s="4"/>
      <c r="E1689" s="4"/>
      <c r="F1689" s="24"/>
      <c r="G1689" s="8"/>
      <c r="H1689" s="9"/>
      <c r="I1689" s="8"/>
      <c r="J1689" s="10"/>
      <c r="K1689" s="8"/>
      <c r="L1689" s="8"/>
      <c r="M1689" s="8"/>
      <c r="N1689" s="11"/>
      <c r="O1689" s="9"/>
      <c r="P1689" s="12"/>
      <c r="Q1689" s="9"/>
      <c r="R1689" s="13"/>
      <c r="S1689" s="11"/>
      <c r="T1689" s="11"/>
      <c r="U1689" s="9"/>
      <c r="V1689" s="9"/>
      <c r="W1689" s="9"/>
      <c r="X1689" s="16"/>
      <c r="AF1689" s="42">
        <f>IF(BUSCAR!$C$8="FECHA NAC.",$G1689,IF(BUSCAR!$C$8="PASAPORTE EXPIRA",$J1689,IF(BUSCAR!$C$8="LICENCIA EMISION",$L1689,IF(BUSCAR!$C$8="LICENCIA EXPIRA",$M1689,""))))</f>
      </c>
      <c r="AG1689" s="42">
        <f>IF($B1689&amp;$C1689&amp;$D1689&amp;$E1689&amp;$H1689="",0,IF(AND(OR(BUSCAR!$J$5="",ISNUMBER(SEARCH(BUSCAR!$J$5,$AI1689))),OR(BUSCAR!$J$6="",ISNUMBER(SEARCH(BUSCAR!$J$6,$AI1689))),OR(BUSCAR!$J$8="",ISNUMBER(SEARCH(BUSCAR!$J$8,$AI1689))),OR(BUSCAR!$J$9="",ISNUMBER(SEARCH(BUSCAR!$J$9,$AI1689))),OR(NOT(BUSCAR!$J$2),AND(ISNUMBER($AF1689),$AF1689&gt;=BUSCAR!$J$3,$AF1689&lt;=BUSCAR!$J$4))),1,0))</f>
      </c>
      <c r="AH1689" s="42">
        <f t="shared" si="78"/>
      </c>
      <c r="AI1689" s="42">
        <f t="shared" si="79"/>
      </c>
    </row>
    <row r="1690" spans="1:35" x14ac:dyDescent="0.2">
      <c r="A1690" s="66">
        <f t="shared" si="80"/>
      </c>
      <c r="B1690" s="4"/>
      <c r="C1690" s="4"/>
      <c r="D1690" s="4"/>
      <c r="E1690" s="4"/>
      <c r="F1690" s="24"/>
      <c r="G1690" s="8"/>
      <c r="H1690" s="9"/>
      <c r="I1690" s="8"/>
      <c r="J1690" s="10"/>
      <c r="K1690" s="8"/>
      <c r="L1690" s="8"/>
      <c r="M1690" s="8"/>
      <c r="N1690" s="11"/>
      <c r="O1690" s="9"/>
      <c r="P1690" s="12"/>
      <c r="Q1690" s="9"/>
      <c r="R1690" s="13"/>
      <c r="S1690" s="11"/>
      <c r="T1690" s="11"/>
      <c r="U1690" s="9"/>
      <c r="V1690" s="9"/>
      <c r="W1690" s="9"/>
      <c r="X1690" s="16"/>
      <c r="AF1690" s="42">
        <f>IF(BUSCAR!$C$8="FECHA NAC.",$G1690,IF(BUSCAR!$C$8="PASAPORTE EXPIRA",$J1690,IF(BUSCAR!$C$8="LICENCIA EMISION",$L1690,IF(BUSCAR!$C$8="LICENCIA EXPIRA",$M1690,""))))</f>
      </c>
      <c r="AG1690" s="42">
        <f>IF($B1690&amp;$C1690&amp;$D1690&amp;$E1690&amp;$H1690="",0,IF(AND(OR(BUSCAR!$J$5="",ISNUMBER(SEARCH(BUSCAR!$J$5,$AI1690))),OR(BUSCAR!$J$6="",ISNUMBER(SEARCH(BUSCAR!$J$6,$AI1690))),OR(BUSCAR!$J$8="",ISNUMBER(SEARCH(BUSCAR!$J$8,$AI1690))),OR(BUSCAR!$J$9="",ISNUMBER(SEARCH(BUSCAR!$J$9,$AI1690))),OR(NOT(BUSCAR!$J$2),AND(ISNUMBER($AF1690),$AF1690&gt;=BUSCAR!$J$3,$AF1690&lt;=BUSCAR!$J$4))),1,0))</f>
      </c>
      <c r="AH1690" s="42">
        <f t="shared" si="78"/>
      </c>
      <c r="AI1690" s="42">
        <f t="shared" si="79"/>
      </c>
    </row>
    <row r="1691" spans="1:35" x14ac:dyDescent="0.2">
      <c r="A1691" s="66">
        <f t="shared" si="80"/>
      </c>
      <c r="B1691" s="4"/>
      <c r="C1691" s="4"/>
      <c r="D1691" s="4"/>
      <c r="E1691" s="4"/>
      <c r="F1691" s="24"/>
      <c r="G1691" s="8"/>
      <c r="H1691" s="9"/>
      <c r="I1691" s="8"/>
      <c r="J1691" s="10"/>
      <c r="K1691" s="8"/>
      <c r="L1691" s="8"/>
      <c r="M1691" s="8"/>
      <c r="N1691" s="11"/>
      <c r="O1691" s="9"/>
      <c r="P1691" s="12"/>
      <c r="Q1691" s="9"/>
      <c r="R1691" s="13"/>
      <c r="S1691" s="11"/>
      <c r="T1691" s="11"/>
      <c r="U1691" s="9"/>
      <c r="V1691" s="9"/>
      <c r="W1691" s="9"/>
      <c r="X1691" s="16"/>
      <c r="AF1691" s="42">
        <f>IF(BUSCAR!$C$8="FECHA NAC.",$G1691,IF(BUSCAR!$C$8="PASAPORTE EXPIRA",$J1691,IF(BUSCAR!$C$8="LICENCIA EMISION",$L1691,IF(BUSCAR!$C$8="LICENCIA EXPIRA",$M1691,""))))</f>
      </c>
      <c r="AG1691" s="42">
        <f>IF($B1691&amp;$C1691&amp;$D1691&amp;$E1691&amp;$H1691="",0,IF(AND(OR(BUSCAR!$J$5="",ISNUMBER(SEARCH(BUSCAR!$J$5,$AI1691))),OR(BUSCAR!$J$6="",ISNUMBER(SEARCH(BUSCAR!$J$6,$AI1691))),OR(BUSCAR!$J$8="",ISNUMBER(SEARCH(BUSCAR!$J$8,$AI1691))),OR(BUSCAR!$J$9="",ISNUMBER(SEARCH(BUSCAR!$J$9,$AI1691))),OR(NOT(BUSCAR!$J$2),AND(ISNUMBER($AF1691),$AF1691&gt;=BUSCAR!$J$3,$AF1691&lt;=BUSCAR!$J$4))),1,0))</f>
      </c>
      <c r="AH1691" s="42">
        <f t="shared" si="78"/>
      </c>
      <c r="AI1691" s="42">
        <f t="shared" si="79"/>
      </c>
    </row>
    <row r="1692" spans="1:35" x14ac:dyDescent="0.2">
      <c r="A1692" s="66">
        <f t="shared" si="80"/>
      </c>
      <c r="B1692" s="4"/>
      <c r="C1692" s="4"/>
      <c r="D1692" s="4"/>
      <c r="E1692" s="4"/>
      <c r="F1692" s="24"/>
      <c r="G1692" s="8"/>
      <c r="H1692" s="9"/>
      <c r="I1692" s="8"/>
      <c r="J1692" s="10"/>
      <c r="K1692" s="8"/>
      <c r="L1692" s="8"/>
      <c r="M1692" s="8"/>
      <c r="N1692" s="11"/>
      <c r="O1692" s="9"/>
      <c r="P1692" s="12"/>
      <c r="Q1692" s="9"/>
      <c r="R1692" s="13"/>
      <c r="S1692" s="11"/>
      <c r="T1692" s="11"/>
      <c r="U1692" s="9"/>
      <c r="V1692" s="9"/>
      <c r="W1692" s="9"/>
      <c r="X1692" s="16"/>
      <c r="AF1692" s="42">
        <f>IF(BUSCAR!$C$8="FECHA NAC.",$G1692,IF(BUSCAR!$C$8="PASAPORTE EXPIRA",$J1692,IF(BUSCAR!$C$8="LICENCIA EMISION",$L1692,IF(BUSCAR!$C$8="LICENCIA EXPIRA",$M1692,""))))</f>
      </c>
      <c r="AG1692" s="42">
        <f>IF($B1692&amp;$C1692&amp;$D1692&amp;$E1692&amp;$H1692="",0,IF(AND(OR(BUSCAR!$J$5="",ISNUMBER(SEARCH(BUSCAR!$J$5,$AI1692))),OR(BUSCAR!$J$6="",ISNUMBER(SEARCH(BUSCAR!$J$6,$AI1692))),OR(BUSCAR!$J$8="",ISNUMBER(SEARCH(BUSCAR!$J$8,$AI1692))),OR(BUSCAR!$J$9="",ISNUMBER(SEARCH(BUSCAR!$J$9,$AI1692))),OR(NOT(BUSCAR!$J$2),AND(ISNUMBER($AF1692),$AF1692&gt;=BUSCAR!$J$3,$AF1692&lt;=BUSCAR!$J$4))),1,0))</f>
      </c>
      <c r="AH1692" s="42">
        <f t="shared" si="78"/>
      </c>
      <c r="AI1692" s="42">
        <f t="shared" si="79"/>
      </c>
    </row>
    <row r="1693" spans="1:35" x14ac:dyDescent="0.2">
      <c r="A1693" s="66">
        <f t="shared" si="80"/>
      </c>
      <c r="B1693" s="4"/>
      <c r="C1693" s="4"/>
      <c r="D1693" s="4"/>
      <c r="E1693" s="4"/>
      <c r="F1693" s="24"/>
      <c r="G1693" s="8"/>
      <c r="H1693" s="9"/>
      <c r="I1693" s="8"/>
      <c r="J1693" s="10"/>
      <c r="K1693" s="8"/>
      <c r="L1693" s="8"/>
      <c r="M1693" s="8"/>
      <c r="N1693" s="11"/>
      <c r="O1693" s="9"/>
      <c r="P1693" s="12"/>
      <c r="Q1693" s="9"/>
      <c r="R1693" s="13"/>
      <c r="S1693" s="11"/>
      <c r="T1693" s="11"/>
      <c r="U1693" s="9"/>
      <c r="V1693" s="9"/>
      <c r="W1693" s="9"/>
      <c r="X1693" s="16"/>
      <c r="AF1693" s="42">
        <f>IF(BUSCAR!$C$8="FECHA NAC.",$G1693,IF(BUSCAR!$C$8="PASAPORTE EXPIRA",$J1693,IF(BUSCAR!$C$8="LICENCIA EMISION",$L1693,IF(BUSCAR!$C$8="LICENCIA EXPIRA",$M1693,""))))</f>
      </c>
      <c r="AG1693" s="42">
        <f>IF($B1693&amp;$C1693&amp;$D1693&amp;$E1693&amp;$H1693="",0,IF(AND(OR(BUSCAR!$J$5="",ISNUMBER(SEARCH(BUSCAR!$J$5,$AI1693))),OR(BUSCAR!$J$6="",ISNUMBER(SEARCH(BUSCAR!$J$6,$AI1693))),OR(BUSCAR!$J$8="",ISNUMBER(SEARCH(BUSCAR!$J$8,$AI1693))),OR(BUSCAR!$J$9="",ISNUMBER(SEARCH(BUSCAR!$J$9,$AI1693))),OR(NOT(BUSCAR!$J$2),AND(ISNUMBER($AF1693),$AF1693&gt;=BUSCAR!$J$3,$AF1693&lt;=BUSCAR!$J$4))),1,0))</f>
      </c>
      <c r="AH1693" s="42">
        <f t="shared" si="78"/>
      </c>
      <c r="AI1693" s="42">
        <f t="shared" si="79"/>
      </c>
    </row>
    <row r="1694" spans="1:35" x14ac:dyDescent="0.2">
      <c r="A1694" s="66">
        <f t="shared" si="80"/>
      </c>
      <c r="B1694" s="4"/>
      <c r="C1694" s="4"/>
      <c r="D1694" s="4"/>
      <c r="E1694" s="4"/>
      <c r="F1694" s="24"/>
      <c r="G1694" s="8"/>
      <c r="H1694" s="9"/>
      <c r="I1694" s="8"/>
      <c r="J1694" s="10"/>
      <c r="K1694" s="8"/>
      <c r="L1694" s="8"/>
      <c r="M1694" s="8"/>
      <c r="N1694" s="11"/>
      <c r="O1694" s="9"/>
      <c r="P1694" s="12"/>
      <c r="Q1694" s="9"/>
      <c r="R1694" s="13"/>
      <c r="S1694" s="11"/>
      <c r="T1694" s="11"/>
      <c r="U1694" s="9"/>
      <c r="V1694" s="9"/>
      <c r="W1694" s="9"/>
      <c r="X1694" s="16"/>
      <c r="AF1694" s="42">
        <f>IF(BUSCAR!$C$8="FECHA NAC.",$G1694,IF(BUSCAR!$C$8="PASAPORTE EXPIRA",$J1694,IF(BUSCAR!$C$8="LICENCIA EMISION",$L1694,IF(BUSCAR!$C$8="LICENCIA EXPIRA",$M1694,""))))</f>
      </c>
      <c r="AG1694" s="42">
        <f>IF($B1694&amp;$C1694&amp;$D1694&amp;$E1694&amp;$H1694="",0,IF(AND(OR(BUSCAR!$J$5="",ISNUMBER(SEARCH(BUSCAR!$J$5,$AI1694))),OR(BUSCAR!$J$6="",ISNUMBER(SEARCH(BUSCAR!$J$6,$AI1694))),OR(BUSCAR!$J$8="",ISNUMBER(SEARCH(BUSCAR!$J$8,$AI1694))),OR(BUSCAR!$J$9="",ISNUMBER(SEARCH(BUSCAR!$J$9,$AI1694))),OR(NOT(BUSCAR!$J$2),AND(ISNUMBER($AF1694),$AF1694&gt;=BUSCAR!$J$3,$AF1694&lt;=BUSCAR!$J$4))),1,0))</f>
      </c>
      <c r="AH1694" s="42">
        <f t="shared" si="78"/>
      </c>
      <c r="AI1694" s="42">
        <f t="shared" si="79"/>
      </c>
    </row>
    <row r="1695" spans="1:35" x14ac:dyDescent="0.2">
      <c r="A1695" s="66">
        <f t="shared" si="80"/>
      </c>
      <c r="B1695" s="4"/>
      <c r="C1695" s="4"/>
      <c r="D1695" s="4"/>
      <c r="E1695" s="4"/>
      <c r="F1695" s="24"/>
      <c r="G1695" s="8"/>
      <c r="H1695" s="9"/>
      <c r="I1695" s="8"/>
      <c r="J1695" s="10"/>
      <c r="K1695" s="8"/>
      <c r="L1695" s="8"/>
      <c r="M1695" s="8"/>
      <c r="N1695" s="11"/>
      <c r="O1695" s="9"/>
      <c r="P1695" s="12"/>
      <c r="Q1695" s="9"/>
      <c r="R1695" s="13"/>
      <c r="S1695" s="11"/>
      <c r="T1695" s="11"/>
      <c r="U1695" s="9"/>
      <c r="V1695" s="9"/>
      <c r="W1695" s="9"/>
      <c r="X1695" s="16"/>
      <c r="AF1695" s="42">
        <f>IF(BUSCAR!$C$8="FECHA NAC.",$G1695,IF(BUSCAR!$C$8="PASAPORTE EXPIRA",$J1695,IF(BUSCAR!$C$8="LICENCIA EMISION",$L1695,IF(BUSCAR!$C$8="LICENCIA EXPIRA",$M1695,""))))</f>
      </c>
      <c r="AG1695" s="42">
        <f>IF($B1695&amp;$C1695&amp;$D1695&amp;$E1695&amp;$H1695="",0,IF(AND(OR(BUSCAR!$J$5="",ISNUMBER(SEARCH(BUSCAR!$J$5,$AI1695))),OR(BUSCAR!$J$6="",ISNUMBER(SEARCH(BUSCAR!$J$6,$AI1695))),OR(BUSCAR!$J$8="",ISNUMBER(SEARCH(BUSCAR!$J$8,$AI1695))),OR(BUSCAR!$J$9="",ISNUMBER(SEARCH(BUSCAR!$J$9,$AI1695))),OR(NOT(BUSCAR!$J$2),AND(ISNUMBER($AF1695),$AF1695&gt;=BUSCAR!$J$3,$AF1695&lt;=BUSCAR!$J$4))),1,0))</f>
      </c>
      <c r="AH1695" s="42">
        <f t="shared" si="78"/>
      </c>
      <c r="AI1695" s="42">
        <f t="shared" si="79"/>
      </c>
    </row>
    <row r="1696" spans="1:35" x14ac:dyDescent="0.2">
      <c r="A1696" s="66">
        <f t="shared" si="80"/>
      </c>
      <c r="B1696" s="4"/>
      <c r="C1696" s="4"/>
      <c r="D1696" s="4"/>
      <c r="E1696" s="4"/>
      <c r="F1696" s="24"/>
      <c r="G1696" s="8"/>
      <c r="H1696" s="9"/>
      <c r="I1696" s="8"/>
      <c r="J1696" s="10"/>
      <c r="K1696" s="8"/>
      <c r="L1696" s="8"/>
      <c r="M1696" s="8"/>
      <c r="N1696" s="11"/>
      <c r="O1696" s="9"/>
      <c r="P1696" s="12"/>
      <c r="Q1696" s="9"/>
      <c r="R1696" s="9"/>
      <c r="S1696" s="11"/>
      <c r="T1696" s="11"/>
      <c r="U1696" s="9"/>
      <c r="V1696" s="9"/>
      <c r="W1696" s="9"/>
      <c r="X1696" s="16"/>
      <c r="AF1696" s="42">
        <f>IF(BUSCAR!$C$8="FECHA NAC.",$G1696,IF(BUSCAR!$C$8="PASAPORTE EXPIRA",$J1696,IF(BUSCAR!$C$8="LICENCIA EMISION",$L1696,IF(BUSCAR!$C$8="LICENCIA EXPIRA",$M1696,""))))</f>
      </c>
      <c r="AG1696" s="42">
        <f>IF($B1696&amp;$C1696&amp;$D1696&amp;$E1696&amp;$H1696="",0,IF(AND(OR(BUSCAR!$J$5="",ISNUMBER(SEARCH(BUSCAR!$J$5,$AI1696))),OR(BUSCAR!$J$6="",ISNUMBER(SEARCH(BUSCAR!$J$6,$AI1696))),OR(BUSCAR!$J$8="",ISNUMBER(SEARCH(BUSCAR!$J$8,$AI1696))),OR(BUSCAR!$J$9="",ISNUMBER(SEARCH(BUSCAR!$J$9,$AI1696))),OR(NOT(BUSCAR!$J$2),AND(ISNUMBER($AF1696),$AF1696&gt;=BUSCAR!$J$3,$AF1696&lt;=BUSCAR!$J$4))),1,0))</f>
      </c>
      <c r="AH1696" s="42">
        <f t="shared" si="78"/>
      </c>
      <c r="AI1696" s="42">
        <f t="shared" si="79"/>
      </c>
    </row>
    <row r="1697" spans="1:35" x14ac:dyDescent="0.2">
      <c r="A1697" s="66">
        <f t="shared" si="80"/>
      </c>
      <c r="B1697" s="4"/>
      <c r="C1697" s="4"/>
      <c r="D1697" s="4"/>
      <c r="E1697" s="4"/>
      <c r="F1697" s="24"/>
      <c r="G1697" s="8"/>
      <c r="H1697" s="9"/>
      <c r="I1697" s="8"/>
      <c r="J1697" s="10"/>
      <c r="K1697" s="8"/>
      <c r="L1697" s="8"/>
      <c r="M1697" s="8"/>
      <c r="N1697" s="11"/>
      <c r="O1697" s="9"/>
      <c r="P1697" s="12"/>
      <c r="Q1697" s="9"/>
      <c r="R1697" s="13"/>
      <c r="S1697" s="11"/>
      <c r="T1697" s="11"/>
      <c r="U1697" s="9"/>
      <c r="V1697" s="9"/>
      <c r="W1697" s="9"/>
      <c r="X1697" s="16"/>
      <c r="AF1697" s="42">
        <f>IF(BUSCAR!$C$8="FECHA NAC.",$G1697,IF(BUSCAR!$C$8="PASAPORTE EXPIRA",$J1697,IF(BUSCAR!$C$8="LICENCIA EMISION",$L1697,IF(BUSCAR!$C$8="LICENCIA EXPIRA",$M1697,""))))</f>
      </c>
      <c r="AG1697" s="42">
        <f>IF($B1697&amp;$C1697&amp;$D1697&amp;$E1697&amp;$H1697="",0,IF(AND(OR(BUSCAR!$J$5="",ISNUMBER(SEARCH(BUSCAR!$J$5,$AI1697))),OR(BUSCAR!$J$6="",ISNUMBER(SEARCH(BUSCAR!$J$6,$AI1697))),OR(BUSCAR!$J$8="",ISNUMBER(SEARCH(BUSCAR!$J$8,$AI1697))),OR(BUSCAR!$J$9="",ISNUMBER(SEARCH(BUSCAR!$J$9,$AI1697))),OR(NOT(BUSCAR!$J$2),AND(ISNUMBER($AF1697),$AF1697&gt;=BUSCAR!$J$3,$AF1697&lt;=BUSCAR!$J$4))),1,0))</f>
      </c>
      <c r="AH1697" s="42">
        <f t="shared" si="78"/>
      </c>
      <c r="AI1697" s="42">
        <f t="shared" si="79"/>
      </c>
    </row>
    <row r="1698" spans="1:35" x14ac:dyDescent="0.2">
      <c r="A1698" s="66">
        <f t="shared" si="80"/>
      </c>
      <c r="B1698" s="4"/>
      <c r="C1698" s="4"/>
      <c r="D1698" s="4"/>
      <c r="E1698" s="4"/>
      <c r="F1698" s="24"/>
      <c r="G1698" s="8"/>
      <c r="H1698" s="9"/>
      <c r="I1698" s="8"/>
      <c r="J1698" s="10"/>
      <c r="K1698" s="8"/>
      <c r="L1698" s="8"/>
      <c r="M1698" s="8"/>
      <c r="N1698" s="11"/>
      <c r="O1698" s="9"/>
      <c r="P1698" s="12"/>
      <c r="Q1698" s="9"/>
      <c r="R1698" s="13"/>
      <c r="S1698" s="11"/>
      <c r="T1698" s="11"/>
      <c r="U1698" s="9"/>
      <c r="V1698" s="9"/>
      <c r="W1698" s="9"/>
      <c r="X1698" s="16"/>
      <c r="AF1698" s="42">
        <f>IF(BUSCAR!$C$8="FECHA NAC.",$G1698,IF(BUSCAR!$C$8="PASAPORTE EXPIRA",$J1698,IF(BUSCAR!$C$8="LICENCIA EMISION",$L1698,IF(BUSCAR!$C$8="LICENCIA EXPIRA",$M1698,""))))</f>
      </c>
      <c r="AG1698" s="42">
        <f>IF($B1698&amp;$C1698&amp;$D1698&amp;$E1698&amp;$H1698="",0,IF(AND(OR(BUSCAR!$J$5="",ISNUMBER(SEARCH(BUSCAR!$J$5,$AI1698))),OR(BUSCAR!$J$6="",ISNUMBER(SEARCH(BUSCAR!$J$6,$AI1698))),OR(BUSCAR!$J$8="",ISNUMBER(SEARCH(BUSCAR!$J$8,$AI1698))),OR(BUSCAR!$J$9="",ISNUMBER(SEARCH(BUSCAR!$J$9,$AI1698))),OR(NOT(BUSCAR!$J$2),AND(ISNUMBER($AF1698),$AF1698&gt;=BUSCAR!$J$3,$AF1698&lt;=BUSCAR!$J$4))),1,0))</f>
      </c>
      <c r="AH1698" s="42">
        <f t="shared" si="78"/>
      </c>
      <c r="AI1698" s="42">
        <f t="shared" si="79"/>
      </c>
    </row>
    <row r="1699" spans="1:35" x14ac:dyDescent="0.2">
      <c r="A1699" s="66">
        <f t="shared" si="80"/>
      </c>
      <c r="B1699" s="4"/>
      <c r="C1699" s="4"/>
      <c r="D1699" s="4"/>
      <c r="E1699" s="4"/>
      <c r="F1699" s="24"/>
      <c r="G1699" s="8"/>
      <c r="H1699" s="9"/>
      <c r="I1699" s="8"/>
      <c r="J1699" s="10"/>
      <c r="K1699" s="8"/>
      <c r="L1699" s="8"/>
      <c r="M1699" s="8"/>
      <c r="N1699" s="11"/>
      <c r="O1699" s="9"/>
      <c r="P1699" s="12"/>
      <c r="Q1699" s="9"/>
      <c r="R1699" s="13"/>
      <c r="S1699" s="11"/>
      <c r="T1699" s="11"/>
      <c r="U1699" s="9"/>
      <c r="V1699" s="9"/>
      <c r="W1699" s="9"/>
      <c r="X1699" s="16"/>
      <c r="AF1699" s="42">
        <f>IF(BUSCAR!$C$8="FECHA NAC.",$G1699,IF(BUSCAR!$C$8="PASAPORTE EXPIRA",$J1699,IF(BUSCAR!$C$8="LICENCIA EMISION",$L1699,IF(BUSCAR!$C$8="LICENCIA EXPIRA",$M1699,""))))</f>
      </c>
      <c r="AG1699" s="42">
        <f>IF($B1699&amp;$C1699&amp;$D1699&amp;$E1699&amp;$H1699="",0,IF(AND(OR(BUSCAR!$J$5="",ISNUMBER(SEARCH(BUSCAR!$J$5,$AI1699))),OR(BUSCAR!$J$6="",ISNUMBER(SEARCH(BUSCAR!$J$6,$AI1699))),OR(BUSCAR!$J$8="",ISNUMBER(SEARCH(BUSCAR!$J$8,$AI1699))),OR(BUSCAR!$J$9="",ISNUMBER(SEARCH(BUSCAR!$J$9,$AI1699))),OR(NOT(BUSCAR!$J$2),AND(ISNUMBER($AF1699),$AF1699&gt;=BUSCAR!$J$3,$AF1699&lt;=BUSCAR!$J$4))),1,0))</f>
      </c>
      <c r="AH1699" s="42">
        <f t="shared" si="78"/>
      </c>
      <c r="AI1699" s="42">
        <f t="shared" si="79"/>
      </c>
    </row>
    <row r="1700" spans="1:35" x14ac:dyDescent="0.2">
      <c r="A1700" s="66">
        <f t="shared" si="80"/>
      </c>
      <c r="B1700" s="4"/>
      <c r="C1700" s="4"/>
      <c r="D1700" s="4"/>
      <c r="E1700" s="4"/>
      <c r="F1700" s="24"/>
      <c r="G1700" s="8"/>
      <c r="H1700" s="9"/>
      <c r="I1700" s="8"/>
      <c r="J1700" s="10"/>
      <c r="K1700" s="8"/>
      <c r="L1700" s="8"/>
      <c r="M1700" s="8"/>
      <c r="N1700" s="11"/>
      <c r="O1700" s="9"/>
      <c r="P1700" s="12"/>
      <c r="Q1700" s="9"/>
      <c r="R1700" s="13"/>
      <c r="S1700" s="11"/>
      <c r="T1700" s="11"/>
      <c r="U1700" s="9"/>
      <c r="V1700" s="9"/>
      <c r="W1700" s="9"/>
      <c r="X1700" s="16"/>
      <c r="AF1700" s="42">
        <f>IF(BUSCAR!$C$8="FECHA NAC.",$G1700,IF(BUSCAR!$C$8="PASAPORTE EXPIRA",$J1700,IF(BUSCAR!$C$8="LICENCIA EMISION",$L1700,IF(BUSCAR!$C$8="LICENCIA EXPIRA",$M1700,""))))</f>
      </c>
      <c r="AG1700" s="42">
        <f>IF($B1700&amp;$C1700&amp;$D1700&amp;$E1700&amp;$H1700="",0,IF(AND(OR(BUSCAR!$J$5="",ISNUMBER(SEARCH(BUSCAR!$J$5,$AI1700))),OR(BUSCAR!$J$6="",ISNUMBER(SEARCH(BUSCAR!$J$6,$AI1700))),OR(BUSCAR!$J$8="",ISNUMBER(SEARCH(BUSCAR!$J$8,$AI1700))),OR(BUSCAR!$J$9="",ISNUMBER(SEARCH(BUSCAR!$J$9,$AI1700))),OR(NOT(BUSCAR!$J$2),AND(ISNUMBER($AF1700),$AF1700&gt;=BUSCAR!$J$3,$AF1700&lt;=BUSCAR!$J$4))),1,0))</f>
      </c>
      <c r="AH1700" s="42">
        <f t="shared" si="78"/>
      </c>
      <c r="AI1700" s="42">
        <f t="shared" si="79"/>
      </c>
    </row>
    <row r="1701" spans="1:35" x14ac:dyDescent="0.2">
      <c r="A1701" s="66">
        <f t="shared" si="80"/>
      </c>
      <c r="B1701" s="4"/>
      <c r="C1701" s="4"/>
      <c r="D1701" s="4"/>
      <c r="E1701" s="4"/>
      <c r="F1701" s="24"/>
      <c r="G1701" s="8"/>
      <c r="H1701" s="9"/>
      <c r="I1701" s="8"/>
      <c r="J1701" s="10"/>
      <c r="K1701" s="8"/>
      <c r="L1701" s="8"/>
      <c r="M1701" s="8"/>
      <c r="N1701" s="11"/>
      <c r="O1701" s="9"/>
      <c r="P1701" s="12"/>
      <c r="Q1701" s="9"/>
      <c r="R1701" s="13"/>
      <c r="S1701" s="11"/>
      <c r="T1701" s="11"/>
      <c r="U1701" s="9"/>
      <c r="V1701" s="9"/>
      <c r="W1701" s="9"/>
      <c r="X1701" s="16"/>
      <c r="AF1701" s="42">
        <f>IF(BUSCAR!$C$8="FECHA NAC.",$G1701,IF(BUSCAR!$C$8="PASAPORTE EXPIRA",$J1701,IF(BUSCAR!$C$8="LICENCIA EMISION",$L1701,IF(BUSCAR!$C$8="LICENCIA EXPIRA",$M1701,""))))</f>
      </c>
      <c r="AG1701" s="42">
        <f>IF($B1701&amp;$C1701&amp;$D1701&amp;$E1701&amp;$H1701="",0,IF(AND(OR(BUSCAR!$J$5="",ISNUMBER(SEARCH(BUSCAR!$J$5,$AI1701))),OR(BUSCAR!$J$6="",ISNUMBER(SEARCH(BUSCAR!$J$6,$AI1701))),OR(BUSCAR!$J$8="",ISNUMBER(SEARCH(BUSCAR!$J$8,$AI1701))),OR(BUSCAR!$J$9="",ISNUMBER(SEARCH(BUSCAR!$J$9,$AI1701))),OR(NOT(BUSCAR!$J$2),AND(ISNUMBER($AF1701),$AF1701&gt;=BUSCAR!$J$3,$AF1701&lt;=BUSCAR!$J$4))),1,0))</f>
      </c>
      <c r="AH1701" s="42">
        <f t="shared" si="78"/>
      </c>
      <c r="AI1701" s="42">
        <f t="shared" si="79"/>
      </c>
    </row>
    <row r="1702" spans="1:35" x14ac:dyDescent="0.2">
      <c r="A1702" s="66">
        <f t="shared" si="80"/>
      </c>
      <c r="B1702" s="4"/>
      <c r="C1702" s="4"/>
      <c r="D1702" s="4"/>
      <c r="E1702" s="4"/>
      <c r="F1702" s="24"/>
      <c r="G1702" s="8"/>
      <c r="H1702" s="9"/>
      <c r="I1702" s="8"/>
      <c r="J1702" s="10"/>
      <c r="K1702" s="8"/>
      <c r="L1702" s="8"/>
      <c r="M1702" s="8"/>
      <c r="N1702" s="11"/>
      <c r="O1702" s="9"/>
      <c r="P1702" s="12"/>
      <c r="Q1702" s="9"/>
      <c r="R1702" s="13"/>
      <c r="S1702" s="11"/>
      <c r="T1702" s="11"/>
      <c r="U1702" s="9"/>
      <c r="V1702" s="9"/>
      <c r="W1702" s="9"/>
      <c r="X1702" s="16"/>
      <c r="AF1702" s="42">
        <f>IF(BUSCAR!$C$8="FECHA NAC.",$G1702,IF(BUSCAR!$C$8="PASAPORTE EXPIRA",$J1702,IF(BUSCAR!$C$8="LICENCIA EMISION",$L1702,IF(BUSCAR!$C$8="LICENCIA EXPIRA",$M1702,""))))</f>
      </c>
      <c r="AG1702" s="42">
        <f>IF($B1702&amp;$C1702&amp;$D1702&amp;$E1702&amp;$H1702="",0,IF(AND(OR(BUSCAR!$J$5="",ISNUMBER(SEARCH(BUSCAR!$J$5,$AI1702))),OR(BUSCAR!$J$6="",ISNUMBER(SEARCH(BUSCAR!$J$6,$AI1702))),OR(BUSCAR!$J$8="",ISNUMBER(SEARCH(BUSCAR!$J$8,$AI1702))),OR(BUSCAR!$J$9="",ISNUMBER(SEARCH(BUSCAR!$J$9,$AI1702))),OR(NOT(BUSCAR!$J$2),AND(ISNUMBER($AF1702),$AF1702&gt;=BUSCAR!$J$3,$AF1702&lt;=BUSCAR!$J$4))),1,0))</f>
      </c>
      <c r="AH1702" s="42">
        <f t="shared" si="78"/>
      </c>
      <c r="AI1702" s="42">
        <f t="shared" si="79"/>
      </c>
    </row>
    <row r="1703" spans="1:35" x14ac:dyDescent="0.2">
      <c r="A1703" s="66">
        <f t="shared" si="80"/>
      </c>
      <c r="B1703" s="4"/>
      <c r="C1703" s="4"/>
      <c r="D1703" s="4"/>
      <c r="E1703" s="4"/>
      <c r="F1703" s="24"/>
      <c r="G1703" s="8"/>
      <c r="H1703" s="9"/>
      <c r="I1703" s="8"/>
      <c r="J1703" s="10"/>
      <c r="K1703" s="8"/>
      <c r="L1703" s="8"/>
      <c r="M1703" s="8"/>
      <c r="N1703" s="11"/>
      <c r="O1703" s="9"/>
      <c r="P1703" s="12"/>
      <c r="Q1703" s="9"/>
      <c r="R1703" s="13"/>
      <c r="S1703" s="11"/>
      <c r="T1703" s="11"/>
      <c r="U1703" s="9"/>
      <c r="V1703" s="9"/>
      <c r="W1703" s="9"/>
      <c r="X1703" s="16"/>
      <c r="AF1703" s="42">
        <f>IF(BUSCAR!$C$8="FECHA NAC.",$G1703,IF(BUSCAR!$C$8="PASAPORTE EXPIRA",$J1703,IF(BUSCAR!$C$8="LICENCIA EMISION",$L1703,IF(BUSCAR!$C$8="LICENCIA EXPIRA",$M1703,""))))</f>
      </c>
      <c r="AG1703" s="42">
        <f>IF($B1703&amp;$C1703&amp;$D1703&amp;$E1703&amp;$H1703="",0,IF(AND(OR(BUSCAR!$J$5="",ISNUMBER(SEARCH(BUSCAR!$J$5,$AI1703))),OR(BUSCAR!$J$6="",ISNUMBER(SEARCH(BUSCAR!$J$6,$AI1703))),OR(BUSCAR!$J$8="",ISNUMBER(SEARCH(BUSCAR!$J$8,$AI1703))),OR(BUSCAR!$J$9="",ISNUMBER(SEARCH(BUSCAR!$J$9,$AI1703))),OR(NOT(BUSCAR!$J$2),AND(ISNUMBER($AF1703),$AF1703&gt;=BUSCAR!$J$3,$AF1703&lt;=BUSCAR!$J$4))),1,0))</f>
      </c>
      <c r="AH1703" s="42">
        <f t="shared" si="78"/>
      </c>
      <c r="AI1703" s="42">
        <f t="shared" si="79"/>
      </c>
    </row>
    <row r="1704" spans="1:35" x14ac:dyDescent="0.2">
      <c r="A1704" s="66">
        <f t="shared" si="80"/>
      </c>
      <c r="B1704" s="4"/>
      <c r="C1704" s="4"/>
      <c r="D1704" s="4"/>
      <c r="E1704" s="4"/>
      <c r="F1704" s="24"/>
      <c r="G1704" s="8"/>
      <c r="H1704" s="9"/>
      <c r="I1704" s="8"/>
      <c r="J1704" s="10"/>
      <c r="K1704" s="8"/>
      <c r="L1704" s="8"/>
      <c r="M1704" s="8"/>
      <c r="N1704" s="11"/>
      <c r="O1704" s="9"/>
      <c r="P1704" s="12"/>
      <c r="Q1704" s="9"/>
      <c r="R1704" s="13"/>
      <c r="S1704" s="11"/>
      <c r="T1704" s="11"/>
      <c r="U1704" s="9"/>
      <c r="V1704" s="9"/>
      <c r="W1704" s="9"/>
      <c r="X1704" s="16"/>
      <c r="AF1704" s="42">
        <f>IF(BUSCAR!$C$8="FECHA NAC.",$G1704,IF(BUSCAR!$C$8="PASAPORTE EXPIRA",$J1704,IF(BUSCAR!$C$8="LICENCIA EMISION",$L1704,IF(BUSCAR!$C$8="LICENCIA EXPIRA",$M1704,""))))</f>
      </c>
      <c r="AG1704" s="42">
        <f>IF($B1704&amp;$C1704&amp;$D1704&amp;$E1704&amp;$H1704="",0,IF(AND(OR(BUSCAR!$J$5="",ISNUMBER(SEARCH(BUSCAR!$J$5,$AI1704))),OR(BUSCAR!$J$6="",ISNUMBER(SEARCH(BUSCAR!$J$6,$AI1704))),OR(BUSCAR!$J$8="",ISNUMBER(SEARCH(BUSCAR!$J$8,$AI1704))),OR(BUSCAR!$J$9="",ISNUMBER(SEARCH(BUSCAR!$J$9,$AI1704))),OR(NOT(BUSCAR!$J$2),AND(ISNUMBER($AF1704),$AF1704&gt;=BUSCAR!$J$3,$AF1704&lt;=BUSCAR!$J$4))),1,0))</f>
      </c>
      <c r="AH1704" s="42">
        <f t="shared" si="78"/>
      </c>
      <c r="AI1704" s="42">
        <f t="shared" si="79"/>
      </c>
    </row>
    <row r="1705" spans="1:35" x14ac:dyDescent="0.2">
      <c r="A1705" s="66">
        <f t="shared" si="80"/>
      </c>
      <c r="B1705" s="4"/>
      <c r="C1705" s="4"/>
      <c r="D1705" s="4"/>
      <c r="E1705" s="4"/>
      <c r="F1705" s="24"/>
      <c r="G1705" s="8"/>
      <c r="H1705" s="9"/>
      <c r="I1705" s="8"/>
      <c r="J1705" s="10"/>
      <c r="K1705" s="8"/>
      <c r="L1705" s="8"/>
      <c r="M1705" s="8"/>
      <c r="N1705" s="11"/>
      <c r="O1705" s="9"/>
      <c r="P1705" s="12"/>
      <c r="Q1705" s="9"/>
      <c r="R1705" s="13"/>
      <c r="S1705" s="11"/>
      <c r="T1705" s="11"/>
      <c r="U1705" s="9"/>
      <c r="V1705" s="9"/>
      <c r="W1705" s="9"/>
      <c r="X1705" s="16"/>
      <c r="AF1705" s="42">
        <f>IF(BUSCAR!$C$8="FECHA NAC.",$G1705,IF(BUSCAR!$C$8="PASAPORTE EXPIRA",$J1705,IF(BUSCAR!$C$8="LICENCIA EMISION",$L1705,IF(BUSCAR!$C$8="LICENCIA EXPIRA",$M1705,""))))</f>
      </c>
      <c r="AG1705" s="42">
        <f>IF($B1705&amp;$C1705&amp;$D1705&amp;$E1705&amp;$H1705="",0,IF(AND(OR(BUSCAR!$J$5="",ISNUMBER(SEARCH(BUSCAR!$J$5,$AI1705))),OR(BUSCAR!$J$6="",ISNUMBER(SEARCH(BUSCAR!$J$6,$AI1705))),OR(BUSCAR!$J$8="",ISNUMBER(SEARCH(BUSCAR!$J$8,$AI1705))),OR(BUSCAR!$J$9="",ISNUMBER(SEARCH(BUSCAR!$J$9,$AI1705))),OR(NOT(BUSCAR!$J$2),AND(ISNUMBER($AF1705),$AF1705&gt;=BUSCAR!$J$3,$AF1705&lt;=BUSCAR!$J$4))),1,0))</f>
      </c>
      <c r="AH1705" s="42">
        <f t="shared" si="78"/>
      </c>
      <c r="AI1705" s="42">
        <f t="shared" si="79"/>
      </c>
    </row>
    <row r="1706" spans="1:35" x14ac:dyDescent="0.2">
      <c r="A1706" s="66">
        <f t="shared" si="80"/>
      </c>
      <c r="B1706" s="4"/>
      <c r="C1706" s="4"/>
      <c r="D1706" s="4"/>
      <c r="E1706" s="4"/>
      <c r="F1706" s="24"/>
      <c r="G1706" s="8"/>
      <c r="H1706" s="9"/>
      <c r="I1706" s="8"/>
      <c r="J1706" s="10"/>
      <c r="K1706" s="8"/>
      <c r="L1706" s="8"/>
      <c r="M1706" s="8"/>
      <c r="N1706" s="11"/>
      <c r="O1706" s="9"/>
      <c r="P1706" s="12"/>
      <c r="Q1706" s="9"/>
      <c r="R1706" s="13"/>
      <c r="S1706" s="11"/>
      <c r="T1706" s="11"/>
      <c r="U1706" s="9"/>
      <c r="V1706" s="9"/>
      <c r="W1706" s="9"/>
      <c r="X1706" s="16"/>
      <c r="AF1706" s="42">
        <f>IF(BUSCAR!$C$8="FECHA NAC.",$G1706,IF(BUSCAR!$C$8="PASAPORTE EXPIRA",$J1706,IF(BUSCAR!$C$8="LICENCIA EMISION",$L1706,IF(BUSCAR!$C$8="LICENCIA EXPIRA",$M1706,""))))</f>
      </c>
      <c r="AG1706" s="42">
        <f>IF($B1706&amp;$C1706&amp;$D1706&amp;$E1706&amp;$H1706="",0,IF(AND(OR(BUSCAR!$J$5="",ISNUMBER(SEARCH(BUSCAR!$J$5,$AI1706))),OR(BUSCAR!$J$6="",ISNUMBER(SEARCH(BUSCAR!$J$6,$AI1706))),OR(BUSCAR!$J$8="",ISNUMBER(SEARCH(BUSCAR!$J$8,$AI1706))),OR(BUSCAR!$J$9="",ISNUMBER(SEARCH(BUSCAR!$J$9,$AI1706))),OR(NOT(BUSCAR!$J$2),AND(ISNUMBER($AF1706),$AF1706&gt;=BUSCAR!$J$3,$AF1706&lt;=BUSCAR!$J$4))),1,0))</f>
      </c>
      <c r="AH1706" s="42">
        <f t="shared" si="78"/>
      </c>
      <c r="AI1706" s="42">
        <f t="shared" si="79"/>
      </c>
    </row>
    <row r="1707" spans="1:35" x14ac:dyDescent="0.2">
      <c r="A1707" s="66">
        <f t="shared" si="80"/>
      </c>
      <c r="B1707" s="4"/>
      <c r="C1707" s="4"/>
      <c r="D1707" s="4"/>
      <c r="E1707" s="4"/>
      <c r="F1707" s="24"/>
      <c r="G1707" s="8"/>
      <c r="H1707" s="9"/>
      <c r="I1707" s="8"/>
      <c r="J1707" s="10"/>
      <c r="K1707" s="8"/>
      <c r="L1707" s="8"/>
      <c r="M1707" s="8"/>
      <c r="N1707" s="11"/>
      <c r="O1707" s="9"/>
      <c r="P1707" s="12"/>
      <c r="Q1707" s="9"/>
      <c r="R1707" s="13"/>
      <c r="S1707" s="11"/>
      <c r="T1707" s="11"/>
      <c r="U1707" s="9"/>
      <c r="V1707" s="9"/>
      <c r="W1707" s="9"/>
      <c r="X1707" s="16"/>
      <c r="AF1707" s="42">
        <f>IF(BUSCAR!$C$8="FECHA NAC.",$G1707,IF(BUSCAR!$C$8="PASAPORTE EXPIRA",$J1707,IF(BUSCAR!$C$8="LICENCIA EMISION",$L1707,IF(BUSCAR!$C$8="LICENCIA EXPIRA",$M1707,""))))</f>
      </c>
      <c r="AG1707" s="42">
        <f>IF($B1707&amp;$C1707&amp;$D1707&amp;$E1707&amp;$H1707="",0,IF(AND(OR(BUSCAR!$J$5="",ISNUMBER(SEARCH(BUSCAR!$J$5,$AI1707))),OR(BUSCAR!$J$6="",ISNUMBER(SEARCH(BUSCAR!$J$6,$AI1707))),OR(BUSCAR!$J$8="",ISNUMBER(SEARCH(BUSCAR!$J$8,$AI1707))),OR(BUSCAR!$J$9="",ISNUMBER(SEARCH(BUSCAR!$J$9,$AI1707))),OR(NOT(BUSCAR!$J$2),AND(ISNUMBER($AF1707),$AF1707&gt;=BUSCAR!$J$3,$AF1707&lt;=BUSCAR!$J$4))),1,0))</f>
      </c>
      <c r="AH1707" s="42">
        <f t="shared" si="78"/>
      </c>
      <c r="AI1707" s="42">
        <f t="shared" si="79"/>
      </c>
    </row>
    <row r="1708" spans="1:35" x14ac:dyDescent="0.2">
      <c r="A1708" s="66">
        <f t="shared" si="80"/>
      </c>
      <c r="B1708" s="4"/>
      <c r="C1708" s="4"/>
      <c r="D1708" s="4"/>
      <c r="E1708" s="4"/>
      <c r="F1708" s="24"/>
      <c r="G1708" s="8"/>
      <c r="H1708" s="9"/>
      <c r="I1708" s="8"/>
      <c r="J1708" s="10"/>
      <c r="K1708" s="8"/>
      <c r="L1708" s="8"/>
      <c r="M1708" s="8"/>
      <c r="N1708" s="11"/>
      <c r="O1708" s="9"/>
      <c r="P1708" s="12"/>
      <c r="Q1708" s="9"/>
      <c r="R1708" s="13"/>
      <c r="S1708" s="11"/>
      <c r="T1708" s="11"/>
      <c r="U1708" s="9"/>
      <c r="V1708" s="9"/>
      <c r="W1708" s="9"/>
      <c r="X1708" s="16"/>
      <c r="AF1708" s="42">
        <f>IF(BUSCAR!$C$8="FECHA NAC.",$G1708,IF(BUSCAR!$C$8="PASAPORTE EXPIRA",$J1708,IF(BUSCAR!$C$8="LICENCIA EMISION",$L1708,IF(BUSCAR!$C$8="LICENCIA EXPIRA",$M1708,""))))</f>
      </c>
      <c r="AG1708" s="42">
        <f>IF($B1708&amp;$C1708&amp;$D1708&amp;$E1708&amp;$H1708="",0,IF(AND(OR(BUSCAR!$J$5="",ISNUMBER(SEARCH(BUSCAR!$J$5,$AI1708))),OR(BUSCAR!$J$6="",ISNUMBER(SEARCH(BUSCAR!$J$6,$AI1708))),OR(BUSCAR!$J$8="",ISNUMBER(SEARCH(BUSCAR!$J$8,$AI1708))),OR(BUSCAR!$J$9="",ISNUMBER(SEARCH(BUSCAR!$J$9,$AI1708))),OR(NOT(BUSCAR!$J$2),AND(ISNUMBER($AF1708),$AF1708&gt;=BUSCAR!$J$3,$AF1708&lt;=BUSCAR!$J$4))),1,0))</f>
      </c>
      <c r="AH1708" s="42">
        <f t="shared" si="78"/>
      </c>
      <c r="AI1708" s="42">
        <f t="shared" si="79"/>
      </c>
    </row>
    <row r="1709" spans="1:35" x14ac:dyDescent="0.2">
      <c r="A1709" s="66">
        <f t="shared" si="80"/>
      </c>
      <c r="B1709" s="4"/>
      <c r="C1709" s="4"/>
      <c r="D1709" s="4"/>
      <c r="E1709" s="4"/>
      <c r="F1709" s="24"/>
      <c r="G1709" s="8"/>
      <c r="H1709" s="9"/>
      <c r="I1709" s="8"/>
      <c r="J1709" s="10"/>
      <c r="K1709" s="8"/>
      <c r="L1709" s="8"/>
      <c r="M1709" s="8"/>
      <c r="N1709" s="11"/>
      <c r="O1709" s="9"/>
      <c r="P1709" s="12"/>
      <c r="Q1709" s="9"/>
      <c r="R1709" s="13"/>
      <c r="S1709" s="11"/>
      <c r="T1709" s="11"/>
      <c r="U1709" s="9"/>
      <c r="V1709" s="9"/>
      <c r="W1709" s="9"/>
      <c r="X1709" s="16"/>
      <c r="AF1709" s="42">
        <f>IF(BUSCAR!$C$8="FECHA NAC.",$G1709,IF(BUSCAR!$C$8="PASAPORTE EXPIRA",$J1709,IF(BUSCAR!$C$8="LICENCIA EMISION",$L1709,IF(BUSCAR!$C$8="LICENCIA EXPIRA",$M1709,""))))</f>
      </c>
      <c r="AG1709" s="42">
        <f>IF($B1709&amp;$C1709&amp;$D1709&amp;$E1709&amp;$H1709="",0,IF(AND(OR(BUSCAR!$J$5="",ISNUMBER(SEARCH(BUSCAR!$J$5,$AI1709))),OR(BUSCAR!$J$6="",ISNUMBER(SEARCH(BUSCAR!$J$6,$AI1709))),OR(BUSCAR!$J$8="",ISNUMBER(SEARCH(BUSCAR!$J$8,$AI1709))),OR(BUSCAR!$J$9="",ISNUMBER(SEARCH(BUSCAR!$J$9,$AI1709))),OR(NOT(BUSCAR!$J$2),AND(ISNUMBER($AF1709),$AF1709&gt;=BUSCAR!$J$3,$AF1709&lt;=BUSCAR!$J$4))),1,0))</f>
      </c>
      <c r="AH1709" s="42">
        <f t="shared" si="78"/>
      </c>
      <c r="AI1709" s="42">
        <f t="shared" si="79"/>
      </c>
    </row>
    <row r="1710" spans="1:35" x14ac:dyDescent="0.2">
      <c r="A1710" s="66">
        <f t="shared" si="80"/>
      </c>
      <c r="B1710" s="4"/>
      <c r="C1710" s="4"/>
      <c r="D1710" s="4"/>
      <c r="E1710" s="4"/>
      <c r="F1710" s="24"/>
      <c r="G1710" s="8"/>
      <c r="H1710" s="9"/>
      <c r="I1710" s="8"/>
      <c r="J1710" s="10"/>
      <c r="K1710" s="8"/>
      <c r="L1710" s="8"/>
      <c r="M1710" s="8"/>
      <c r="N1710" s="11"/>
      <c r="O1710" s="9"/>
      <c r="P1710" s="12"/>
      <c r="Q1710" s="9"/>
      <c r="R1710" s="13"/>
      <c r="S1710" s="11"/>
      <c r="T1710" s="11"/>
      <c r="U1710" s="9"/>
      <c r="V1710" s="9"/>
      <c r="W1710" s="9"/>
      <c r="X1710" s="16"/>
      <c r="AF1710" s="42">
        <f>IF(BUSCAR!$C$8="FECHA NAC.",$G1710,IF(BUSCAR!$C$8="PASAPORTE EXPIRA",$J1710,IF(BUSCAR!$C$8="LICENCIA EMISION",$L1710,IF(BUSCAR!$C$8="LICENCIA EXPIRA",$M1710,""))))</f>
      </c>
      <c r="AG1710" s="42">
        <f>IF($B1710&amp;$C1710&amp;$D1710&amp;$E1710&amp;$H1710="",0,IF(AND(OR(BUSCAR!$J$5="",ISNUMBER(SEARCH(BUSCAR!$J$5,$AI1710))),OR(BUSCAR!$J$6="",ISNUMBER(SEARCH(BUSCAR!$J$6,$AI1710))),OR(BUSCAR!$J$8="",ISNUMBER(SEARCH(BUSCAR!$J$8,$AI1710))),OR(BUSCAR!$J$9="",ISNUMBER(SEARCH(BUSCAR!$J$9,$AI1710))),OR(NOT(BUSCAR!$J$2),AND(ISNUMBER($AF1710),$AF1710&gt;=BUSCAR!$J$3,$AF1710&lt;=BUSCAR!$J$4))),1,0))</f>
      </c>
      <c r="AH1710" s="42">
        <f t="shared" si="78"/>
      </c>
      <c r="AI1710" s="42">
        <f t="shared" si="79"/>
      </c>
    </row>
    <row r="1711" spans="1:35" x14ac:dyDescent="0.2">
      <c r="A1711" s="66">
        <f t="shared" si="80"/>
      </c>
      <c r="B1711" s="4"/>
      <c r="C1711" s="4"/>
      <c r="D1711" s="4"/>
      <c r="E1711" s="4"/>
      <c r="F1711" s="24"/>
      <c r="G1711" s="8"/>
      <c r="H1711" s="9"/>
      <c r="I1711" s="8"/>
      <c r="J1711" s="10"/>
      <c r="K1711" s="8"/>
      <c r="L1711" s="8"/>
      <c r="M1711" s="8"/>
      <c r="N1711" s="11"/>
      <c r="O1711" s="9"/>
      <c r="P1711" s="12"/>
      <c r="Q1711" s="9"/>
      <c r="R1711" s="13"/>
      <c r="S1711" s="11"/>
      <c r="T1711" s="11"/>
      <c r="U1711" s="9"/>
      <c r="V1711" s="9"/>
      <c r="W1711" s="9"/>
      <c r="X1711" s="16"/>
      <c r="AF1711" s="42">
        <f>IF(BUSCAR!$C$8="FECHA NAC.",$G1711,IF(BUSCAR!$C$8="PASAPORTE EXPIRA",$J1711,IF(BUSCAR!$C$8="LICENCIA EMISION",$L1711,IF(BUSCAR!$C$8="LICENCIA EXPIRA",$M1711,""))))</f>
      </c>
      <c r="AG1711" s="42">
        <f>IF($B1711&amp;$C1711&amp;$D1711&amp;$E1711&amp;$H1711="",0,IF(AND(OR(BUSCAR!$J$5="",ISNUMBER(SEARCH(BUSCAR!$J$5,$AI1711))),OR(BUSCAR!$J$6="",ISNUMBER(SEARCH(BUSCAR!$J$6,$AI1711))),OR(BUSCAR!$J$8="",ISNUMBER(SEARCH(BUSCAR!$J$8,$AI1711))),OR(BUSCAR!$J$9="",ISNUMBER(SEARCH(BUSCAR!$J$9,$AI1711))),OR(NOT(BUSCAR!$J$2),AND(ISNUMBER($AF1711),$AF1711&gt;=BUSCAR!$J$3,$AF1711&lt;=BUSCAR!$J$4))),1,0))</f>
      </c>
      <c r="AH1711" s="42">
        <f t="shared" si="78"/>
      </c>
      <c r="AI1711" s="42">
        <f t="shared" si="79"/>
      </c>
    </row>
    <row r="1712" spans="1:35" x14ac:dyDescent="0.2">
      <c r="A1712" s="66">
        <f t="shared" si="80"/>
      </c>
      <c r="B1712" s="4"/>
      <c r="C1712" s="4"/>
      <c r="D1712" s="4"/>
      <c r="E1712" s="4"/>
      <c r="F1712" s="24"/>
      <c r="G1712" s="8"/>
      <c r="H1712" s="9"/>
      <c r="I1712" s="8"/>
      <c r="J1712" s="10"/>
      <c r="K1712" s="8"/>
      <c r="L1712" s="8"/>
      <c r="M1712" s="8"/>
      <c r="N1712" s="11"/>
      <c r="O1712" s="9"/>
      <c r="P1712" s="12"/>
      <c r="Q1712" s="9"/>
      <c r="R1712" s="13"/>
      <c r="S1712" s="11"/>
      <c r="T1712" s="11"/>
      <c r="U1712" s="9"/>
      <c r="V1712" s="9"/>
      <c r="W1712" s="9"/>
      <c r="X1712" s="16"/>
      <c r="AF1712" s="42">
        <f>IF(BUSCAR!$C$8="FECHA NAC.",$G1712,IF(BUSCAR!$C$8="PASAPORTE EXPIRA",$J1712,IF(BUSCAR!$C$8="LICENCIA EMISION",$L1712,IF(BUSCAR!$C$8="LICENCIA EXPIRA",$M1712,""))))</f>
      </c>
      <c r="AG1712" s="42">
        <f>IF($B1712&amp;$C1712&amp;$D1712&amp;$E1712&amp;$H1712="",0,IF(AND(OR(BUSCAR!$J$5="",ISNUMBER(SEARCH(BUSCAR!$J$5,$AI1712))),OR(BUSCAR!$J$6="",ISNUMBER(SEARCH(BUSCAR!$J$6,$AI1712))),OR(BUSCAR!$J$8="",ISNUMBER(SEARCH(BUSCAR!$J$8,$AI1712))),OR(BUSCAR!$J$9="",ISNUMBER(SEARCH(BUSCAR!$J$9,$AI1712))),OR(NOT(BUSCAR!$J$2),AND(ISNUMBER($AF1712),$AF1712&gt;=BUSCAR!$J$3,$AF1712&lt;=BUSCAR!$J$4))),1,0))</f>
      </c>
      <c r="AH1712" s="42">
        <f t="shared" si="78"/>
      </c>
      <c r="AI1712" s="42">
        <f t="shared" si="79"/>
      </c>
    </row>
    <row r="1713" spans="1:35" x14ac:dyDescent="0.2">
      <c r="A1713" s="66">
        <f t="shared" si="80"/>
      </c>
      <c r="B1713" s="4"/>
      <c r="C1713" s="4"/>
      <c r="D1713" s="4"/>
      <c r="E1713" s="4"/>
      <c r="F1713" s="24"/>
      <c r="G1713" s="8"/>
      <c r="H1713" s="9"/>
      <c r="I1713" s="8"/>
      <c r="J1713" s="10"/>
      <c r="K1713" s="8"/>
      <c r="L1713" s="8"/>
      <c r="M1713" s="8"/>
      <c r="N1713" s="11"/>
      <c r="O1713" s="9"/>
      <c r="P1713" s="12"/>
      <c r="Q1713" s="9"/>
      <c r="R1713" s="13"/>
      <c r="S1713" s="11"/>
      <c r="T1713" s="11"/>
      <c r="U1713" s="9"/>
      <c r="V1713" s="9"/>
      <c r="W1713" s="9"/>
      <c r="X1713" s="16"/>
      <c r="AF1713" s="42">
        <f>IF(BUSCAR!$C$8="FECHA NAC.",$G1713,IF(BUSCAR!$C$8="PASAPORTE EXPIRA",$J1713,IF(BUSCAR!$C$8="LICENCIA EMISION",$L1713,IF(BUSCAR!$C$8="LICENCIA EXPIRA",$M1713,""))))</f>
      </c>
      <c r="AG1713" s="42">
        <f>IF($B1713&amp;$C1713&amp;$D1713&amp;$E1713&amp;$H1713="",0,IF(AND(OR(BUSCAR!$J$5="",ISNUMBER(SEARCH(BUSCAR!$J$5,$AI1713))),OR(BUSCAR!$J$6="",ISNUMBER(SEARCH(BUSCAR!$J$6,$AI1713))),OR(BUSCAR!$J$8="",ISNUMBER(SEARCH(BUSCAR!$J$8,$AI1713))),OR(BUSCAR!$J$9="",ISNUMBER(SEARCH(BUSCAR!$J$9,$AI1713))),OR(NOT(BUSCAR!$J$2),AND(ISNUMBER($AF1713),$AF1713&gt;=BUSCAR!$J$3,$AF1713&lt;=BUSCAR!$J$4))),1,0))</f>
      </c>
      <c r="AH1713" s="42">
        <f t="shared" si="78"/>
      </c>
      <c r="AI1713" s="42">
        <f t="shared" si="79"/>
      </c>
    </row>
    <row r="1714" spans="1:35" x14ac:dyDescent="0.2">
      <c r="A1714" s="66">
        <f t="shared" si="80"/>
      </c>
      <c r="B1714" s="4"/>
      <c r="C1714" s="4"/>
      <c r="D1714" s="4"/>
      <c r="E1714" s="4"/>
      <c r="F1714" s="24"/>
      <c r="G1714" s="8"/>
      <c r="H1714" s="9"/>
      <c r="I1714" s="8"/>
      <c r="J1714" s="10"/>
      <c r="K1714" s="8"/>
      <c r="L1714" s="8"/>
      <c r="M1714" s="8"/>
      <c r="N1714" s="11"/>
      <c r="O1714" s="9"/>
      <c r="P1714" s="12"/>
      <c r="Q1714" s="9"/>
      <c r="R1714" s="13"/>
      <c r="S1714" s="11"/>
      <c r="T1714" s="11"/>
      <c r="U1714" s="9"/>
      <c r="V1714" s="9"/>
      <c r="W1714" s="9"/>
      <c r="X1714" s="16"/>
      <c r="AF1714" s="42">
        <f>IF(BUSCAR!$C$8="FECHA NAC.",$G1714,IF(BUSCAR!$C$8="PASAPORTE EXPIRA",$J1714,IF(BUSCAR!$C$8="LICENCIA EMISION",$L1714,IF(BUSCAR!$C$8="LICENCIA EXPIRA",$M1714,""))))</f>
      </c>
      <c r="AG1714" s="42">
        <f>IF($B1714&amp;$C1714&amp;$D1714&amp;$E1714&amp;$H1714="",0,IF(AND(OR(BUSCAR!$J$5="",ISNUMBER(SEARCH(BUSCAR!$J$5,$AI1714))),OR(BUSCAR!$J$6="",ISNUMBER(SEARCH(BUSCAR!$J$6,$AI1714))),OR(BUSCAR!$J$8="",ISNUMBER(SEARCH(BUSCAR!$J$8,$AI1714))),OR(BUSCAR!$J$9="",ISNUMBER(SEARCH(BUSCAR!$J$9,$AI1714))),OR(NOT(BUSCAR!$J$2),AND(ISNUMBER($AF1714),$AF1714&gt;=BUSCAR!$J$3,$AF1714&lt;=BUSCAR!$J$4))),1,0))</f>
      </c>
      <c r="AH1714" s="42">
        <f t="shared" si="78"/>
      </c>
      <c r="AI1714" s="42">
        <f t="shared" si="79"/>
      </c>
    </row>
    <row r="1715" spans="1:35" x14ac:dyDescent="0.2">
      <c r="A1715" s="66">
        <f t="shared" si="80"/>
      </c>
      <c r="B1715" s="4"/>
      <c r="C1715" s="4"/>
      <c r="D1715" s="4"/>
      <c r="E1715" s="4"/>
      <c r="F1715" s="24"/>
      <c r="G1715" s="8"/>
      <c r="H1715" s="9"/>
      <c r="I1715" s="8"/>
      <c r="J1715" s="10"/>
      <c r="K1715" s="8"/>
      <c r="L1715" s="8"/>
      <c r="M1715" s="8"/>
      <c r="N1715" s="11"/>
      <c r="O1715" s="9"/>
      <c r="P1715" s="12"/>
      <c r="Q1715" s="9"/>
      <c r="R1715" s="13"/>
      <c r="S1715" s="11"/>
      <c r="T1715" s="11"/>
      <c r="U1715" s="9"/>
      <c r="V1715" s="9"/>
      <c r="W1715" s="9"/>
      <c r="X1715" s="16"/>
      <c r="AF1715" s="42">
        <f>IF(BUSCAR!$C$8="FECHA NAC.",$G1715,IF(BUSCAR!$C$8="PASAPORTE EXPIRA",$J1715,IF(BUSCAR!$C$8="LICENCIA EMISION",$L1715,IF(BUSCAR!$C$8="LICENCIA EXPIRA",$M1715,""))))</f>
      </c>
      <c r="AG1715" s="42">
        <f>IF($B1715&amp;$C1715&amp;$D1715&amp;$E1715&amp;$H1715="",0,IF(AND(OR(BUSCAR!$J$5="",ISNUMBER(SEARCH(BUSCAR!$J$5,$AI1715))),OR(BUSCAR!$J$6="",ISNUMBER(SEARCH(BUSCAR!$J$6,$AI1715))),OR(BUSCAR!$J$8="",ISNUMBER(SEARCH(BUSCAR!$J$8,$AI1715))),OR(BUSCAR!$J$9="",ISNUMBER(SEARCH(BUSCAR!$J$9,$AI1715))),OR(NOT(BUSCAR!$J$2),AND(ISNUMBER($AF1715),$AF1715&gt;=BUSCAR!$J$3,$AF1715&lt;=BUSCAR!$J$4))),1,0))</f>
      </c>
      <c r="AH1715" s="42">
        <f t="shared" si="78"/>
      </c>
      <c r="AI1715" s="42">
        <f t="shared" si="79"/>
      </c>
    </row>
    <row r="1716" spans="1:35" x14ac:dyDescent="0.2">
      <c r="A1716" s="66">
        <f t="shared" si="80"/>
      </c>
      <c r="B1716" s="4"/>
      <c r="C1716" s="4"/>
      <c r="D1716" s="4"/>
      <c r="E1716" s="4"/>
      <c r="F1716" s="24"/>
      <c r="G1716" s="8"/>
      <c r="H1716" s="9"/>
      <c r="I1716" s="8"/>
      <c r="J1716" s="10"/>
      <c r="K1716" s="8"/>
      <c r="L1716" s="8"/>
      <c r="M1716" s="8"/>
      <c r="N1716" s="11"/>
      <c r="O1716" s="9"/>
      <c r="P1716" s="12"/>
      <c r="Q1716" s="9"/>
      <c r="R1716" s="13"/>
      <c r="S1716" s="11"/>
      <c r="T1716" s="11"/>
      <c r="U1716" s="9"/>
      <c r="V1716" s="9"/>
      <c r="W1716" s="9"/>
      <c r="X1716" s="16"/>
      <c r="AF1716" s="42">
        <f>IF(BUSCAR!$C$8="FECHA NAC.",$G1716,IF(BUSCAR!$C$8="PASAPORTE EXPIRA",$J1716,IF(BUSCAR!$C$8="LICENCIA EMISION",$L1716,IF(BUSCAR!$C$8="LICENCIA EXPIRA",$M1716,""))))</f>
      </c>
      <c r="AG1716" s="42">
        <f>IF($B1716&amp;$C1716&amp;$D1716&amp;$E1716&amp;$H1716="",0,IF(AND(OR(BUSCAR!$J$5="",ISNUMBER(SEARCH(BUSCAR!$J$5,$AI1716))),OR(BUSCAR!$J$6="",ISNUMBER(SEARCH(BUSCAR!$J$6,$AI1716))),OR(BUSCAR!$J$8="",ISNUMBER(SEARCH(BUSCAR!$J$8,$AI1716))),OR(BUSCAR!$J$9="",ISNUMBER(SEARCH(BUSCAR!$J$9,$AI1716))),OR(NOT(BUSCAR!$J$2),AND(ISNUMBER($AF1716),$AF1716&gt;=BUSCAR!$J$3,$AF1716&lt;=BUSCAR!$J$4))),1,0))</f>
      </c>
      <c r="AH1716" s="42">
        <f t="shared" si="78"/>
      </c>
      <c r="AI1716" s="42">
        <f t="shared" si="79"/>
      </c>
    </row>
    <row r="1717" spans="1:35" x14ac:dyDescent="0.2">
      <c r="A1717" s="66">
        <f t="shared" si="80"/>
      </c>
      <c r="B1717" s="4"/>
      <c r="C1717" s="4"/>
      <c r="D1717" s="4"/>
      <c r="E1717" s="4"/>
      <c r="F1717" s="24"/>
      <c r="G1717" s="8"/>
      <c r="H1717" s="9"/>
      <c r="I1717" s="8"/>
      <c r="J1717" s="10"/>
      <c r="K1717" s="8"/>
      <c r="L1717" s="8"/>
      <c r="M1717" s="8"/>
      <c r="N1717" s="11"/>
      <c r="O1717" s="9"/>
      <c r="P1717" s="12"/>
      <c r="Q1717" s="9"/>
      <c r="R1717" s="13"/>
      <c r="S1717" s="11"/>
      <c r="T1717" s="11"/>
      <c r="U1717" s="9"/>
      <c r="V1717" s="9"/>
      <c r="W1717" s="9"/>
      <c r="X1717" s="16"/>
      <c r="AF1717" s="42">
        <f>IF(BUSCAR!$C$8="FECHA NAC.",$G1717,IF(BUSCAR!$C$8="PASAPORTE EXPIRA",$J1717,IF(BUSCAR!$C$8="LICENCIA EMISION",$L1717,IF(BUSCAR!$C$8="LICENCIA EXPIRA",$M1717,""))))</f>
      </c>
      <c r="AG1717" s="42">
        <f>IF($B1717&amp;$C1717&amp;$D1717&amp;$E1717&amp;$H1717="",0,IF(AND(OR(BUSCAR!$J$5="",ISNUMBER(SEARCH(BUSCAR!$J$5,$AI1717))),OR(BUSCAR!$J$6="",ISNUMBER(SEARCH(BUSCAR!$J$6,$AI1717))),OR(BUSCAR!$J$8="",ISNUMBER(SEARCH(BUSCAR!$J$8,$AI1717))),OR(BUSCAR!$J$9="",ISNUMBER(SEARCH(BUSCAR!$J$9,$AI1717))),OR(NOT(BUSCAR!$J$2),AND(ISNUMBER($AF1717),$AF1717&gt;=BUSCAR!$J$3,$AF1717&lt;=BUSCAR!$J$4))),1,0))</f>
      </c>
      <c r="AH1717" s="42">
        <f t="shared" si="78"/>
      </c>
      <c r="AI1717" s="42">
        <f t="shared" si="79"/>
      </c>
    </row>
    <row r="1718" spans="1:35" x14ac:dyDescent="0.2">
      <c r="A1718" s="66">
        <f t="shared" si="80"/>
      </c>
      <c r="B1718" s="4"/>
      <c r="C1718" s="4"/>
      <c r="D1718" s="4"/>
      <c r="E1718" s="4"/>
      <c r="F1718" s="24"/>
      <c r="G1718" s="8"/>
      <c r="H1718" s="9"/>
      <c r="I1718" s="8"/>
      <c r="J1718" s="10"/>
      <c r="K1718" s="8"/>
      <c r="L1718" s="8"/>
      <c r="M1718" s="8"/>
      <c r="N1718" s="11"/>
      <c r="O1718" s="9"/>
      <c r="P1718" s="12"/>
      <c r="Q1718" s="9"/>
      <c r="R1718" s="13"/>
      <c r="S1718" s="11"/>
      <c r="T1718" s="11"/>
      <c r="U1718" s="9"/>
      <c r="V1718" s="9"/>
      <c r="W1718" s="9"/>
      <c r="X1718" s="16"/>
      <c r="AF1718" s="42">
        <f>IF(BUSCAR!$C$8="FECHA NAC.",$G1718,IF(BUSCAR!$C$8="PASAPORTE EXPIRA",$J1718,IF(BUSCAR!$C$8="LICENCIA EMISION",$L1718,IF(BUSCAR!$C$8="LICENCIA EXPIRA",$M1718,""))))</f>
      </c>
      <c r="AG1718" s="42">
        <f>IF($B1718&amp;$C1718&amp;$D1718&amp;$E1718&amp;$H1718="",0,IF(AND(OR(BUSCAR!$J$5="",ISNUMBER(SEARCH(BUSCAR!$J$5,$AI1718))),OR(BUSCAR!$J$6="",ISNUMBER(SEARCH(BUSCAR!$J$6,$AI1718))),OR(BUSCAR!$J$8="",ISNUMBER(SEARCH(BUSCAR!$J$8,$AI1718))),OR(BUSCAR!$J$9="",ISNUMBER(SEARCH(BUSCAR!$J$9,$AI1718))),OR(NOT(BUSCAR!$J$2),AND(ISNUMBER($AF1718),$AF1718&gt;=BUSCAR!$J$3,$AF1718&lt;=BUSCAR!$J$4))),1,0))</f>
      </c>
      <c r="AH1718" s="42">
        <f t="shared" si="78"/>
      </c>
      <c r="AI1718" s="42">
        <f t="shared" si="79"/>
      </c>
    </row>
    <row r="1719" spans="1:35" x14ac:dyDescent="0.2">
      <c r="A1719" s="66">
        <f t="shared" si="80"/>
      </c>
      <c r="B1719" s="4"/>
      <c r="C1719" s="4"/>
      <c r="D1719" s="4"/>
      <c r="E1719" s="4"/>
      <c r="F1719" s="24"/>
      <c r="G1719" s="8"/>
      <c r="H1719" s="9"/>
      <c r="I1719" s="8"/>
      <c r="J1719" s="10"/>
      <c r="K1719" s="8"/>
      <c r="L1719" s="8"/>
      <c r="M1719" s="8"/>
      <c r="N1719" s="11"/>
      <c r="O1719" s="9"/>
      <c r="P1719" s="12"/>
      <c r="Q1719" s="9"/>
      <c r="R1719" s="13"/>
      <c r="S1719" s="11"/>
      <c r="T1719" s="11"/>
      <c r="U1719" s="9"/>
      <c r="V1719" s="9"/>
      <c r="W1719" s="9"/>
      <c r="X1719" s="16"/>
      <c r="AF1719" s="42">
        <f>IF(BUSCAR!$C$8="FECHA NAC.",$G1719,IF(BUSCAR!$C$8="PASAPORTE EXPIRA",$J1719,IF(BUSCAR!$C$8="LICENCIA EMISION",$L1719,IF(BUSCAR!$C$8="LICENCIA EXPIRA",$M1719,""))))</f>
      </c>
      <c r="AG1719" s="42">
        <f>IF($B1719&amp;$C1719&amp;$D1719&amp;$E1719&amp;$H1719="",0,IF(AND(OR(BUSCAR!$J$5="",ISNUMBER(SEARCH(BUSCAR!$J$5,$AI1719))),OR(BUSCAR!$J$6="",ISNUMBER(SEARCH(BUSCAR!$J$6,$AI1719))),OR(BUSCAR!$J$8="",ISNUMBER(SEARCH(BUSCAR!$J$8,$AI1719))),OR(BUSCAR!$J$9="",ISNUMBER(SEARCH(BUSCAR!$J$9,$AI1719))),OR(NOT(BUSCAR!$J$2),AND(ISNUMBER($AF1719),$AF1719&gt;=BUSCAR!$J$3,$AF1719&lt;=BUSCAR!$J$4))),1,0))</f>
      </c>
      <c r="AH1719" s="42">
        <f t="shared" si="78"/>
      </c>
      <c r="AI1719" s="42">
        <f t="shared" si="79"/>
      </c>
    </row>
    <row r="1720" spans="1:35" x14ac:dyDescent="0.2">
      <c r="A1720" s="66">
        <f t="shared" si="80"/>
      </c>
      <c r="B1720" s="4"/>
      <c r="C1720" s="4"/>
      <c r="D1720" s="4"/>
      <c r="E1720" s="4"/>
      <c r="F1720" s="24"/>
      <c r="G1720" s="8"/>
      <c r="H1720" s="9"/>
      <c r="I1720" s="8"/>
      <c r="J1720" s="10"/>
      <c r="K1720" s="8"/>
      <c r="L1720" s="8"/>
      <c r="M1720" s="8"/>
      <c r="N1720" s="11"/>
      <c r="O1720" s="9"/>
      <c r="P1720" s="12"/>
      <c r="Q1720" s="9"/>
      <c r="R1720" s="13"/>
      <c r="S1720" s="11"/>
      <c r="T1720" s="11"/>
      <c r="U1720" s="9"/>
      <c r="V1720" s="9"/>
      <c r="W1720" s="9"/>
      <c r="X1720" s="16"/>
      <c r="AF1720" s="42">
        <f>IF(BUSCAR!$C$8="FECHA NAC.",$G1720,IF(BUSCAR!$C$8="PASAPORTE EXPIRA",$J1720,IF(BUSCAR!$C$8="LICENCIA EMISION",$L1720,IF(BUSCAR!$C$8="LICENCIA EXPIRA",$M1720,""))))</f>
      </c>
      <c r="AG1720" s="42">
        <f>IF($B1720&amp;$C1720&amp;$D1720&amp;$E1720&amp;$H1720="",0,IF(AND(OR(BUSCAR!$J$5="",ISNUMBER(SEARCH(BUSCAR!$J$5,$AI1720))),OR(BUSCAR!$J$6="",ISNUMBER(SEARCH(BUSCAR!$J$6,$AI1720))),OR(BUSCAR!$J$8="",ISNUMBER(SEARCH(BUSCAR!$J$8,$AI1720))),OR(BUSCAR!$J$9="",ISNUMBER(SEARCH(BUSCAR!$J$9,$AI1720))),OR(NOT(BUSCAR!$J$2),AND(ISNUMBER($AF1720),$AF1720&gt;=BUSCAR!$J$3,$AF1720&lt;=BUSCAR!$J$4))),1,0))</f>
      </c>
      <c r="AH1720" s="42">
        <f t="shared" si="78"/>
      </c>
      <c r="AI1720" s="42">
        <f t="shared" si="79"/>
      </c>
    </row>
    <row r="1721" spans="1:35" x14ac:dyDescent="0.2">
      <c r="A1721" s="66">
        <f t="shared" si="80"/>
      </c>
      <c r="B1721" s="4"/>
      <c r="C1721" s="4"/>
      <c r="D1721" s="4"/>
      <c r="E1721" s="4"/>
      <c r="F1721" s="24"/>
      <c r="G1721" s="8"/>
      <c r="H1721" s="9"/>
      <c r="I1721" s="8"/>
      <c r="J1721" s="10"/>
      <c r="K1721" s="8"/>
      <c r="L1721" s="8"/>
      <c r="M1721" s="8"/>
      <c r="N1721" s="11"/>
      <c r="O1721" s="9"/>
      <c r="P1721" s="12"/>
      <c r="Q1721" s="9"/>
      <c r="R1721" s="13"/>
      <c r="S1721" s="11"/>
      <c r="T1721" s="11"/>
      <c r="U1721" s="9"/>
      <c r="V1721" s="9"/>
      <c r="W1721" s="9"/>
      <c r="X1721" s="16"/>
      <c r="AF1721" s="42">
        <f>IF(BUSCAR!$C$8="FECHA NAC.",$G1721,IF(BUSCAR!$C$8="PASAPORTE EXPIRA",$J1721,IF(BUSCAR!$C$8="LICENCIA EMISION",$L1721,IF(BUSCAR!$C$8="LICENCIA EXPIRA",$M1721,""))))</f>
      </c>
      <c r="AG1721" s="42">
        <f>IF($B1721&amp;$C1721&amp;$D1721&amp;$E1721&amp;$H1721="",0,IF(AND(OR(BUSCAR!$J$5="",ISNUMBER(SEARCH(BUSCAR!$J$5,$AI1721))),OR(BUSCAR!$J$6="",ISNUMBER(SEARCH(BUSCAR!$J$6,$AI1721))),OR(BUSCAR!$J$8="",ISNUMBER(SEARCH(BUSCAR!$J$8,$AI1721))),OR(BUSCAR!$J$9="",ISNUMBER(SEARCH(BUSCAR!$J$9,$AI1721))),OR(NOT(BUSCAR!$J$2),AND(ISNUMBER($AF1721),$AF1721&gt;=BUSCAR!$J$3,$AF1721&lt;=BUSCAR!$J$4))),1,0))</f>
      </c>
      <c r="AH1721" s="42">
        <f t="shared" si="78"/>
      </c>
      <c r="AI1721" s="42">
        <f t="shared" si="79"/>
      </c>
    </row>
    <row r="1722" spans="1:35" x14ac:dyDescent="0.2">
      <c r="A1722" s="66">
        <f t="shared" si="80"/>
      </c>
      <c r="B1722" s="4"/>
      <c r="C1722" s="4"/>
      <c r="D1722" s="4"/>
      <c r="E1722" s="4"/>
      <c r="F1722" s="24"/>
      <c r="G1722" s="8"/>
      <c r="H1722" s="9"/>
      <c r="I1722" s="8"/>
      <c r="J1722" s="10"/>
      <c r="K1722" s="8"/>
      <c r="L1722" s="8"/>
      <c r="M1722" s="8"/>
      <c r="N1722" s="11"/>
      <c r="O1722" s="9"/>
      <c r="P1722" s="12"/>
      <c r="Q1722" s="9"/>
      <c r="R1722" s="13"/>
      <c r="S1722" s="11"/>
      <c r="T1722" s="11"/>
      <c r="U1722" s="9"/>
      <c r="V1722" s="9"/>
      <c r="W1722" s="9"/>
      <c r="X1722" s="16"/>
      <c r="AF1722" s="42">
        <f>IF(BUSCAR!$C$8="FECHA NAC.",$G1722,IF(BUSCAR!$C$8="PASAPORTE EXPIRA",$J1722,IF(BUSCAR!$C$8="LICENCIA EMISION",$L1722,IF(BUSCAR!$C$8="LICENCIA EXPIRA",$M1722,""))))</f>
      </c>
      <c r="AG1722" s="42">
        <f>IF($B1722&amp;$C1722&amp;$D1722&amp;$E1722&amp;$H1722="",0,IF(AND(OR(BUSCAR!$J$5="",ISNUMBER(SEARCH(BUSCAR!$J$5,$AI1722))),OR(BUSCAR!$J$6="",ISNUMBER(SEARCH(BUSCAR!$J$6,$AI1722))),OR(BUSCAR!$J$8="",ISNUMBER(SEARCH(BUSCAR!$J$8,$AI1722))),OR(BUSCAR!$J$9="",ISNUMBER(SEARCH(BUSCAR!$J$9,$AI1722))),OR(NOT(BUSCAR!$J$2),AND(ISNUMBER($AF1722),$AF1722&gt;=BUSCAR!$J$3,$AF1722&lt;=BUSCAR!$J$4))),1,0))</f>
      </c>
      <c r="AH1722" s="42">
        <f t="shared" si="78"/>
      </c>
      <c r="AI1722" s="42">
        <f t="shared" si="79"/>
      </c>
    </row>
    <row r="1723" spans="1:35" x14ac:dyDescent="0.2">
      <c r="A1723" s="66">
        <f t="shared" si="80"/>
      </c>
      <c r="B1723" s="4"/>
      <c r="C1723" s="4"/>
      <c r="D1723" s="4"/>
      <c r="E1723" s="4"/>
      <c r="F1723" s="24"/>
      <c r="G1723" s="8"/>
      <c r="H1723" s="9"/>
      <c r="I1723" s="8"/>
      <c r="J1723" s="10"/>
      <c r="K1723" s="8"/>
      <c r="L1723" s="8"/>
      <c r="M1723" s="8"/>
      <c r="N1723" s="11"/>
      <c r="O1723" s="9"/>
      <c r="P1723" s="12"/>
      <c r="Q1723" s="9"/>
      <c r="R1723" s="13"/>
      <c r="S1723" s="11"/>
      <c r="T1723" s="11"/>
      <c r="U1723" s="9"/>
      <c r="V1723" s="9"/>
      <c r="W1723" s="9"/>
      <c r="X1723" s="16"/>
      <c r="AF1723" s="42">
        <f>IF(BUSCAR!$C$8="FECHA NAC.",$G1723,IF(BUSCAR!$C$8="PASAPORTE EXPIRA",$J1723,IF(BUSCAR!$C$8="LICENCIA EMISION",$L1723,IF(BUSCAR!$C$8="LICENCIA EXPIRA",$M1723,""))))</f>
      </c>
      <c r="AG1723" s="42">
        <f>IF($B1723&amp;$C1723&amp;$D1723&amp;$E1723&amp;$H1723="",0,IF(AND(OR(BUSCAR!$J$5="",ISNUMBER(SEARCH(BUSCAR!$J$5,$AI1723))),OR(BUSCAR!$J$6="",ISNUMBER(SEARCH(BUSCAR!$J$6,$AI1723))),OR(BUSCAR!$J$8="",ISNUMBER(SEARCH(BUSCAR!$J$8,$AI1723))),OR(BUSCAR!$J$9="",ISNUMBER(SEARCH(BUSCAR!$J$9,$AI1723))),OR(NOT(BUSCAR!$J$2),AND(ISNUMBER($AF1723),$AF1723&gt;=BUSCAR!$J$3,$AF1723&lt;=BUSCAR!$J$4))),1,0))</f>
      </c>
      <c r="AH1723" s="42">
        <f t="shared" si="78"/>
      </c>
      <c r="AI1723" s="42">
        <f t="shared" si="79"/>
      </c>
    </row>
    <row r="1724" spans="1:35" x14ac:dyDescent="0.2">
      <c r="A1724" s="66">
        <f t="shared" si="80"/>
      </c>
      <c r="B1724" s="4"/>
      <c r="C1724" s="4"/>
      <c r="D1724" s="4"/>
      <c r="E1724" s="4"/>
      <c r="F1724" s="24"/>
      <c r="G1724" s="8"/>
      <c r="H1724" s="9"/>
      <c r="I1724" s="8"/>
      <c r="J1724" s="10"/>
      <c r="K1724" s="8"/>
      <c r="L1724" s="8"/>
      <c r="M1724" s="8"/>
      <c r="N1724" s="11"/>
      <c r="O1724" s="9"/>
      <c r="P1724" s="12"/>
      <c r="Q1724" s="9"/>
      <c r="R1724" s="13"/>
      <c r="S1724" s="11"/>
      <c r="T1724" s="11"/>
      <c r="U1724" s="9"/>
      <c r="V1724" s="9"/>
      <c r="W1724" s="9"/>
      <c r="X1724" s="16"/>
      <c r="AF1724" s="42">
        <f>IF(BUSCAR!$C$8="FECHA NAC.",$G1724,IF(BUSCAR!$C$8="PASAPORTE EXPIRA",$J1724,IF(BUSCAR!$C$8="LICENCIA EMISION",$L1724,IF(BUSCAR!$C$8="LICENCIA EXPIRA",$M1724,""))))</f>
      </c>
      <c r="AG1724" s="42">
        <f>IF($B1724&amp;$C1724&amp;$D1724&amp;$E1724&amp;$H1724="",0,IF(AND(OR(BUSCAR!$J$5="",ISNUMBER(SEARCH(BUSCAR!$J$5,$AI1724))),OR(BUSCAR!$J$6="",ISNUMBER(SEARCH(BUSCAR!$J$6,$AI1724))),OR(BUSCAR!$J$8="",ISNUMBER(SEARCH(BUSCAR!$J$8,$AI1724))),OR(BUSCAR!$J$9="",ISNUMBER(SEARCH(BUSCAR!$J$9,$AI1724))),OR(NOT(BUSCAR!$J$2),AND(ISNUMBER($AF1724),$AF1724&gt;=BUSCAR!$J$3,$AF1724&lt;=BUSCAR!$J$4))),1,0))</f>
      </c>
      <c r="AH1724" s="42">
        <f t="shared" si="78"/>
      </c>
      <c r="AI1724" s="42">
        <f t="shared" si="79"/>
      </c>
    </row>
    <row r="1725" spans="1:35" x14ac:dyDescent="0.2">
      <c r="A1725" s="66">
        <f t="shared" si="80"/>
      </c>
      <c r="B1725" s="4"/>
      <c r="C1725" s="4"/>
      <c r="D1725" s="4"/>
      <c r="E1725" s="4"/>
      <c r="F1725" s="24"/>
      <c r="G1725" s="8"/>
      <c r="H1725" s="9"/>
      <c r="I1725" s="8"/>
      <c r="J1725" s="10"/>
      <c r="K1725" s="8"/>
      <c r="L1725" s="8"/>
      <c r="M1725" s="8"/>
      <c r="N1725" s="11"/>
      <c r="O1725" s="9"/>
      <c r="P1725" s="12"/>
      <c r="Q1725" s="9"/>
      <c r="R1725" s="13"/>
      <c r="S1725" s="11"/>
      <c r="T1725" s="11"/>
      <c r="U1725" s="9"/>
      <c r="V1725" s="9"/>
      <c r="W1725" s="9"/>
      <c r="X1725" s="16"/>
      <c r="AF1725" s="42">
        <f>IF(BUSCAR!$C$8="FECHA NAC.",$G1725,IF(BUSCAR!$C$8="PASAPORTE EXPIRA",$J1725,IF(BUSCAR!$C$8="LICENCIA EMISION",$L1725,IF(BUSCAR!$C$8="LICENCIA EXPIRA",$M1725,""))))</f>
      </c>
      <c r="AG1725" s="42">
        <f>IF($B1725&amp;$C1725&amp;$D1725&amp;$E1725&amp;$H1725="",0,IF(AND(OR(BUSCAR!$J$5="",ISNUMBER(SEARCH(BUSCAR!$J$5,$AI1725))),OR(BUSCAR!$J$6="",ISNUMBER(SEARCH(BUSCAR!$J$6,$AI1725))),OR(BUSCAR!$J$8="",ISNUMBER(SEARCH(BUSCAR!$J$8,$AI1725))),OR(BUSCAR!$J$9="",ISNUMBER(SEARCH(BUSCAR!$J$9,$AI1725))),OR(NOT(BUSCAR!$J$2),AND(ISNUMBER($AF1725),$AF1725&gt;=BUSCAR!$J$3,$AF1725&lt;=BUSCAR!$J$4))),1,0))</f>
      </c>
      <c r="AH1725" s="42">
        <f t="shared" si="78"/>
      </c>
      <c r="AI1725" s="42">
        <f t="shared" si="79"/>
      </c>
    </row>
    <row r="1726" spans="1:35" x14ac:dyDescent="0.2">
      <c r="A1726" s="66">
        <f t="shared" si="80"/>
      </c>
      <c r="B1726" s="4"/>
      <c r="C1726" s="4"/>
      <c r="D1726" s="4"/>
      <c r="E1726" s="4"/>
      <c r="F1726" s="24"/>
      <c r="G1726" s="8"/>
      <c r="H1726" s="9"/>
      <c r="I1726" s="8"/>
      <c r="J1726" s="10"/>
      <c r="K1726" s="8"/>
      <c r="L1726" s="8"/>
      <c r="M1726" s="8"/>
      <c r="N1726" s="11"/>
      <c r="O1726" s="9"/>
      <c r="P1726" s="12"/>
      <c r="Q1726" s="9"/>
      <c r="R1726" s="13"/>
      <c r="S1726" s="11"/>
      <c r="T1726" s="11"/>
      <c r="U1726" s="9"/>
      <c r="V1726" s="9"/>
      <c r="W1726" s="9"/>
      <c r="X1726" s="16"/>
      <c r="AF1726" s="42">
        <f>IF(BUSCAR!$C$8="FECHA NAC.",$G1726,IF(BUSCAR!$C$8="PASAPORTE EXPIRA",$J1726,IF(BUSCAR!$C$8="LICENCIA EMISION",$L1726,IF(BUSCAR!$C$8="LICENCIA EXPIRA",$M1726,""))))</f>
      </c>
      <c r="AG1726" s="42">
        <f>IF($B1726&amp;$C1726&amp;$D1726&amp;$E1726&amp;$H1726="",0,IF(AND(OR(BUSCAR!$J$5="",ISNUMBER(SEARCH(BUSCAR!$J$5,$AI1726))),OR(BUSCAR!$J$6="",ISNUMBER(SEARCH(BUSCAR!$J$6,$AI1726))),OR(BUSCAR!$J$8="",ISNUMBER(SEARCH(BUSCAR!$J$8,$AI1726))),OR(BUSCAR!$J$9="",ISNUMBER(SEARCH(BUSCAR!$J$9,$AI1726))),OR(NOT(BUSCAR!$J$2),AND(ISNUMBER($AF1726),$AF1726&gt;=BUSCAR!$J$3,$AF1726&lt;=BUSCAR!$J$4))),1,0))</f>
      </c>
      <c r="AH1726" s="42">
        <f t="shared" si="78"/>
      </c>
      <c r="AI1726" s="42">
        <f t="shared" si="79"/>
      </c>
    </row>
    <row r="1727" spans="1:35" x14ac:dyDescent="0.2">
      <c r="A1727" s="66">
        <f t="shared" si="80"/>
      </c>
      <c r="B1727" s="4"/>
      <c r="C1727" s="4"/>
      <c r="D1727" s="4"/>
      <c r="E1727" s="4"/>
      <c r="F1727" s="24"/>
      <c r="G1727" s="8"/>
      <c r="H1727" s="9"/>
      <c r="I1727" s="8"/>
      <c r="J1727" s="10"/>
      <c r="K1727" s="8"/>
      <c r="L1727" s="8"/>
      <c r="M1727" s="8"/>
      <c r="N1727" s="11"/>
      <c r="O1727" s="9"/>
      <c r="P1727" s="12"/>
      <c r="Q1727" s="9"/>
      <c r="R1727" s="13"/>
      <c r="S1727" s="11"/>
      <c r="T1727" s="11"/>
      <c r="U1727" s="9"/>
      <c r="V1727" s="9"/>
      <c r="W1727" s="9"/>
      <c r="X1727" s="16"/>
      <c r="AF1727" s="42">
        <f>IF(BUSCAR!$C$8="FECHA NAC.",$G1727,IF(BUSCAR!$C$8="PASAPORTE EXPIRA",$J1727,IF(BUSCAR!$C$8="LICENCIA EMISION",$L1727,IF(BUSCAR!$C$8="LICENCIA EXPIRA",$M1727,""))))</f>
      </c>
      <c r="AG1727" s="42">
        <f>IF($B1727&amp;$C1727&amp;$D1727&amp;$E1727&amp;$H1727="",0,IF(AND(OR(BUSCAR!$J$5="",ISNUMBER(SEARCH(BUSCAR!$J$5,$AI1727))),OR(BUSCAR!$J$6="",ISNUMBER(SEARCH(BUSCAR!$J$6,$AI1727))),OR(BUSCAR!$J$8="",ISNUMBER(SEARCH(BUSCAR!$J$8,$AI1727))),OR(BUSCAR!$J$9="",ISNUMBER(SEARCH(BUSCAR!$J$9,$AI1727))),OR(NOT(BUSCAR!$J$2),AND(ISNUMBER($AF1727),$AF1727&gt;=BUSCAR!$J$3,$AF1727&lt;=BUSCAR!$J$4))),1,0))</f>
      </c>
      <c r="AH1727" s="42">
        <f t="shared" si="78"/>
      </c>
      <c r="AI1727" s="42">
        <f t="shared" si="79"/>
      </c>
    </row>
    <row r="1728" spans="1:35" x14ac:dyDescent="0.2">
      <c r="A1728" s="66">
        <f t="shared" si="80"/>
      </c>
      <c r="B1728" s="4"/>
      <c r="C1728" s="4"/>
      <c r="D1728" s="4"/>
      <c r="E1728" s="4"/>
      <c r="F1728" s="24"/>
      <c r="G1728" s="8"/>
      <c r="H1728" s="9"/>
      <c r="I1728" s="8"/>
      <c r="J1728" s="10"/>
      <c r="K1728" s="8"/>
      <c r="L1728" s="8"/>
      <c r="M1728" s="8"/>
      <c r="N1728" s="11"/>
      <c r="O1728" s="9"/>
      <c r="P1728" s="12"/>
      <c r="Q1728" s="9"/>
      <c r="R1728" s="13"/>
      <c r="S1728" s="11"/>
      <c r="T1728" s="11"/>
      <c r="U1728" s="9"/>
      <c r="V1728" s="9"/>
      <c r="W1728" s="9"/>
      <c r="X1728" s="16"/>
      <c r="AF1728" s="42">
        <f>IF(BUSCAR!$C$8="FECHA NAC.",$G1728,IF(BUSCAR!$C$8="PASAPORTE EXPIRA",$J1728,IF(BUSCAR!$C$8="LICENCIA EMISION",$L1728,IF(BUSCAR!$C$8="LICENCIA EXPIRA",$M1728,""))))</f>
      </c>
      <c r="AG1728" s="42">
        <f>IF($B1728&amp;$C1728&amp;$D1728&amp;$E1728&amp;$H1728="",0,IF(AND(OR(BUSCAR!$J$5="",ISNUMBER(SEARCH(BUSCAR!$J$5,$AI1728))),OR(BUSCAR!$J$6="",ISNUMBER(SEARCH(BUSCAR!$J$6,$AI1728))),OR(BUSCAR!$J$8="",ISNUMBER(SEARCH(BUSCAR!$J$8,$AI1728))),OR(BUSCAR!$J$9="",ISNUMBER(SEARCH(BUSCAR!$J$9,$AI1728))),OR(NOT(BUSCAR!$J$2),AND(ISNUMBER($AF1728),$AF1728&gt;=BUSCAR!$J$3,$AF1728&lt;=BUSCAR!$J$4))),1,0))</f>
      </c>
      <c r="AH1728" s="42">
        <f t="shared" si="78"/>
      </c>
      <c r="AI1728" s="42">
        <f t="shared" si="79"/>
      </c>
    </row>
    <row r="1729" spans="1:35" x14ac:dyDescent="0.2">
      <c r="A1729" s="66">
        <f t="shared" si="80"/>
      </c>
      <c r="B1729" s="4"/>
      <c r="C1729" s="4"/>
      <c r="D1729" s="4"/>
      <c r="E1729" s="4"/>
      <c r="F1729" s="24"/>
      <c r="G1729" s="8"/>
      <c r="H1729" s="9"/>
      <c r="I1729" s="8"/>
      <c r="J1729" s="10"/>
      <c r="K1729" s="8"/>
      <c r="L1729" s="8"/>
      <c r="M1729" s="8"/>
      <c r="N1729" s="26"/>
      <c r="O1729" s="9"/>
      <c r="P1729" s="12"/>
      <c r="Q1729" s="9"/>
      <c r="R1729" s="13"/>
      <c r="S1729" s="11"/>
      <c r="T1729" s="11"/>
      <c r="U1729" s="9"/>
      <c r="V1729" s="9"/>
      <c r="W1729" s="9"/>
      <c r="X1729" s="16"/>
      <c r="AF1729" s="42">
        <f>IF(BUSCAR!$C$8="FECHA NAC.",$G1729,IF(BUSCAR!$C$8="PASAPORTE EXPIRA",$J1729,IF(BUSCAR!$C$8="LICENCIA EMISION",$L1729,IF(BUSCAR!$C$8="LICENCIA EXPIRA",$M1729,""))))</f>
      </c>
      <c r="AG1729" s="42">
        <f>IF($B1729&amp;$C1729&amp;$D1729&amp;$E1729&amp;$H1729="",0,IF(AND(OR(BUSCAR!$J$5="",ISNUMBER(SEARCH(BUSCAR!$J$5,$AI1729))),OR(BUSCAR!$J$6="",ISNUMBER(SEARCH(BUSCAR!$J$6,$AI1729))),OR(BUSCAR!$J$8="",ISNUMBER(SEARCH(BUSCAR!$J$8,$AI1729))),OR(BUSCAR!$J$9="",ISNUMBER(SEARCH(BUSCAR!$J$9,$AI1729))),OR(NOT(BUSCAR!$J$2),AND(ISNUMBER($AF1729),$AF1729&gt;=BUSCAR!$J$3,$AF1729&lt;=BUSCAR!$J$4))),1,0))</f>
      </c>
      <c r="AH1729" s="42">
        <f t="shared" si="78"/>
      </c>
      <c r="AI1729" s="42">
        <f t="shared" si="79"/>
      </c>
    </row>
    <row r="1730" spans="1:35" x14ac:dyDescent="0.2">
      <c r="A1730" s="66">
        <f t="shared" si="80"/>
      </c>
      <c r="B1730" s="4"/>
      <c r="C1730" s="4"/>
      <c r="D1730" s="4"/>
      <c r="E1730" s="4"/>
      <c r="F1730" s="24"/>
      <c r="G1730" s="8"/>
      <c r="H1730" s="9"/>
      <c r="I1730" s="8"/>
      <c r="J1730" s="10"/>
      <c r="K1730" s="8"/>
      <c r="L1730" s="8"/>
      <c r="M1730" s="8"/>
      <c r="N1730" s="11"/>
      <c r="O1730" s="9"/>
      <c r="P1730" s="12"/>
      <c r="Q1730" s="9"/>
      <c r="R1730" s="13"/>
      <c r="S1730" s="11"/>
      <c r="T1730" s="11"/>
      <c r="U1730" s="9"/>
      <c r="V1730" s="9"/>
      <c r="W1730" s="9"/>
      <c r="X1730" s="16"/>
      <c r="AF1730" s="42">
        <f>IF(BUSCAR!$C$8="FECHA NAC.",$G1730,IF(BUSCAR!$C$8="PASAPORTE EXPIRA",$J1730,IF(BUSCAR!$C$8="LICENCIA EMISION",$L1730,IF(BUSCAR!$C$8="LICENCIA EXPIRA",$M1730,""))))</f>
      </c>
      <c r="AG1730" s="42">
        <f>IF($B1730&amp;$C1730&amp;$D1730&amp;$E1730&amp;$H1730="",0,IF(AND(OR(BUSCAR!$J$5="",ISNUMBER(SEARCH(BUSCAR!$J$5,$AI1730))),OR(BUSCAR!$J$6="",ISNUMBER(SEARCH(BUSCAR!$J$6,$AI1730))),OR(BUSCAR!$J$8="",ISNUMBER(SEARCH(BUSCAR!$J$8,$AI1730))),OR(BUSCAR!$J$9="",ISNUMBER(SEARCH(BUSCAR!$J$9,$AI1730))),OR(NOT(BUSCAR!$J$2),AND(ISNUMBER($AF1730),$AF1730&gt;=BUSCAR!$J$3,$AF1730&lt;=BUSCAR!$J$4))),1,0))</f>
      </c>
      <c r="AH1730" s="42">
        <f t="shared" si="78"/>
      </c>
      <c r="AI1730" s="42">
        <f t="shared" si="79"/>
      </c>
    </row>
    <row r="1731" spans="1:35" x14ac:dyDescent="0.2">
      <c r="A1731" s="66">
        <f t="shared" si="80"/>
      </c>
      <c r="B1731" s="4"/>
      <c r="C1731" s="4"/>
      <c r="D1731" s="4"/>
      <c r="E1731" s="4"/>
      <c r="F1731" s="24"/>
      <c r="G1731" s="8"/>
      <c r="H1731" s="9"/>
      <c r="I1731" s="8"/>
      <c r="J1731" s="10"/>
      <c r="K1731" s="8"/>
      <c r="L1731" s="8"/>
      <c r="M1731" s="8"/>
      <c r="N1731" s="11"/>
      <c r="O1731" s="9"/>
      <c r="P1731" s="12"/>
      <c r="Q1731" s="9"/>
      <c r="R1731" s="13"/>
      <c r="S1731" s="11"/>
      <c r="T1731" s="11"/>
      <c r="U1731" s="9"/>
      <c r="V1731" s="9"/>
      <c r="W1731" s="9"/>
      <c r="X1731" s="16"/>
      <c r="AF1731" s="42">
        <f>IF(BUSCAR!$C$8="FECHA NAC.",$G1731,IF(BUSCAR!$C$8="PASAPORTE EXPIRA",$J1731,IF(BUSCAR!$C$8="LICENCIA EMISION",$L1731,IF(BUSCAR!$C$8="LICENCIA EXPIRA",$M1731,""))))</f>
      </c>
      <c r="AG1731" s="42">
        <f>IF($B1731&amp;$C1731&amp;$D1731&amp;$E1731&amp;$H1731="",0,IF(AND(OR(BUSCAR!$J$5="",ISNUMBER(SEARCH(BUSCAR!$J$5,$AI1731))),OR(BUSCAR!$J$6="",ISNUMBER(SEARCH(BUSCAR!$J$6,$AI1731))),OR(BUSCAR!$J$8="",ISNUMBER(SEARCH(BUSCAR!$J$8,$AI1731))),OR(BUSCAR!$J$9="",ISNUMBER(SEARCH(BUSCAR!$J$9,$AI1731))),OR(NOT(BUSCAR!$J$2),AND(ISNUMBER($AF1731),$AF1731&gt;=BUSCAR!$J$3,$AF1731&lt;=BUSCAR!$J$4))),1,0))</f>
      </c>
      <c r="AH1731" s="42">
        <f t="shared" ref="AH1731:AH1794" si="81">AH1730+AG1731</f>
      </c>
      <c r="AI1731" s="42">
        <f t="shared" ref="AI1731:AI1794" si="82">IF($B1731&amp;" "&amp;$C1731&amp;" "&amp;$D1731&amp;" "&amp;$E1731&amp;" "&amp;$H1731&amp;" "&amp;$K1731&amp;" "&amp;$R1731&amp;" "&amp;$AC1731&amp;" "&amp;$AD1731="","",SUBSTITUTE(SUBSTITUTE(SUBSTITUTE(SUBSTITUTE(SUBSTITUTE(SUBSTITUTE(SUBSTITUTE(UPPER($B1731&amp;" "&amp;$C1731&amp;" "&amp;$D1731&amp;" "&amp;$E1731&amp;" "&amp;$H1731&amp;" "&amp;$K1731&amp;" "&amp;$R1731&amp;" "&amp;$AC1731&amp;" "&amp;$AD1731),"Á","A"),"É","E"),"Í","I"),"Ó","O"),"Ú","U"),"Ü","U"),"Ñ","N"))</f>
      </c>
    </row>
    <row r="1732" spans="1:35" x14ac:dyDescent="0.2">
      <c r="A1732" s="66">
        <f t="shared" ref="A1732:A1795" si="83">A1731+1</f>
      </c>
      <c r="B1732" s="4"/>
      <c r="C1732" s="4"/>
      <c r="D1732" s="4"/>
      <c r="E1732" s="4"/>
      <c r="F1732" s="24"/>
      <c r="G1732" s="8"/>
      <c r="H1732" s="9"/>
      <c r="I1732" s="8"/>
      <c r="J1732" s="10"/>
      <c r="K1732" s="8"/>
      <c r="L1732" s="8"/>
      <c r="M1732" s="8"/>
      <c r="N1732" s="11"/>
      <c r="O1732" s="9"/>
      <c r="P1732" s="12"/>
      <c r="Q1732" s="9"/>
      <c r="R1732" s="13"/>
      <c r="S1732" s="11"/>
      <c r="T1732" s="11"/>
      <c r="U1732" s="9"/>
      <c r="V1732" s="9"/>
      <c r="W1732" s="9"/>
      <c r="X1732" s="16"/>
      <c r="AF1732" s="42">
        <f>IF(BUSCAR!$C$8="FECHA NAC.",$G1732,IF(BUSCAR!$C$8="PASAPORTE EXPIRA",$J1732,IF(BUSCAR!$C$8="LICENCIA EMISION",$L1732,IF(BUSCAR!$C$8="LICENCIA EXPIRA",$M1732,""))))</f>
      </c>
      <c r="AG1732" s="42">
        <f>IF($B1732&amp;$C1732&amp;$D1732&amp;$E1732&amp;$H1732="",0,IF(AND(OR(BUSCAR!$J$5="",ISNUMBER(SEARCH(BUSCAR!$J$5,$AI1732))),OR(BUSCAR!$J$6="",ISNUMBER(SEARCH(BUSCAR!$J$6,$AI1732))),OR(BUSCAR!$J$8="",ISNUMBER(SEARCH(BUSCAR!$J$8,$AI1732))),OR(BUSCAR!$J$9="",ISNUMBER(SEARCH(BUSCAR!$J$9,$AI1732))),OR(NOT(BUSCAR!$J$2),AND(ISNUMBER($AF1732),$AF1732&gt;=BUSCAR!$J$3,$AF1732&lt;=BUSCAR!$J$4))),1,0))</f>
      </c>
      <c r="AH1732" s="42">
        <f t="shared" si="81"/>
      </c>
      <c r="AI1732" s="42">
        <f t="shared" si="82"/>
      </c>
    </row>
    <row r="1733" spans="1:35" x14ac:dyDescent="0.2">
      <c r="A1733" s="66">
        <f t="shared" si="83"/>
      </c>
      <c r="B1733" s="4"/>
      <c r="C1733" s="4"/>
      <c r="D1733" s="4"/>
      <c r="E1733" s="4"/>
      <c r="F1733" s="24"/>
      <c r="G1733" s="8"/>
      <c r="H1733" s="9"/>
      <c r="I1733" s="8"/>
      <c r="J1733" s="10"/>
      <c r="K1733" s="8"/>
      <c r="L1733" s="8"/>
      <c r="M1733" s="8"/>
      <c r="N1733" s="11"/>
      <c r="O1733" s="9"/>
      <c r="P1733" s="12"/>
      <c r="Q1733" s="9"/>
      <c r="R1733" s="13"/>
      <c r="S1733" s="11"/>
      <c r="T1733" s="11"/>
      <c r="U1733" s="9"/>
      <c r="V1733" s="9"/>
      <c r="W1733" s="9"/>
      <c r="X1733" s="16"/>
      <c r="AF1733" s="42">
        <f>IF(BUSCAR!$C$8="FECHA NAC.",$G1733,IF(BUSCAR!$C$8="PASAPORTE EXPIRA",$J1733,IF(BUSCAR!$C$8="LICENCIA EMISION",$L1733,IF(BUSCAR!$C$8="LICENCIA EXPIRA",$M1733,""))))</f>
      </c>
      <c r="AG1733" s="42">
        <f>IF($B1733&amp;$C1733&amp;$D1733&amp;$E1733&amp;$H1733="",0,IF(AND(OR(BUSCAR!$J$5="",ISNUMBER(SEARCH(BUSCAR!$J$5,$AI1733))),OR(BUSCAR!$J$6="",ISNUMBER(SEARCH(BUSCAR!$J$6,$AI1733))),OR(BUSCAR!$J$8="",ISNUMBER(SEARCH(BUSCAR!$J$8,$AI1733))),OR(BUSCAR!$J$9="",ISNUMBER(SEARCH(BUSCAR!$J$9,$AI1733))),OR(NOT(BUSCAR!$J$2),AND(ISNUMBER($AF1733),$AF1733&gt;=BUSCAR!$J$3,$AF1733&lt;=BUSCAR!$J$4))),1,0))</f>
      </c>
      <c r="AH1733" s="42">
        <f t="shared" si="81"/>
      </c>
      <c r="AI1733" s="42">
        <f t="shared" si="82"/>
      </c>
    </row>
    <row r="1734" spans="1:35" x14ac:dyDescent="0.2">
      <c r="A1734" s="66">
        <f t="shared" si="83"/>
      </c>
      <c r="B1734" s="4"/>
      <c r="C1734" s="4"/>
      <c r="D1734" s="4"/>
      <c r="E1734" s="4"/>
      <c r="F1734" s="24"/>
      <c r="G1734" s="8"/>
      <c r="H1734" s="9"/>
      <c r="I1734" s="8"/>
      <c r="J1734" s="10"/>
      <c r="K1734" s="8"/>
      <c r="L1734" s="8"/>
      <c r="M1734" s="8"/>
      <c r="N1734" s="11"/>
      <c r="O1734" s="9"/>
      <c r="P1734" s="12"/>
      <c r="Q1734" s="9"/>
      <c r="R1734" s="13"/>
      <c r="S1734" s="11"/>
      <c r="T1734" s="11"/>
      <c r="U1734" s="9"/>
      <c r="V1734" s="9"/>
      <c r="W1734" s="9"/>
      <c r="X1734" s="16"/>
      <c r="AF1734" s="42">
        <f>IF(BUSCAR!$C$8="FECHA NAC.",$G1734,IF(BUSCAR!$C$8="PASAPORTE EXPIRA",$J1734,IF(BUSCAR!$C$8="LICENCIA EMISION",$L1734,IF(BUSCAR!$C$8="LICENCIA EXPIRA",$M1734,""))))</f>
      </c>
      <c r="AG1734" s="42">
        <f>IF($B1734&amp;$C1734&amp;$D1734&amp;$E1734&amp;$H1734="",0,IF(AND(OR(BUSCAR!$J$5="",ISNUMBER(SEARCH(BUSCAR!$J$5,$AI1734))),OR(BUSCAR!$J$6="",ISNUMBER(SEARCH(BUSCAR!$J$6,$AI1734))),OR(BUSCAR!$J$8="",ISNUMBER(SEARCH(BUSCAR!$J$8,$AI1734))),OR(BUSCAR!$J$9="",ISNUMBER(SEARCH(BUSCAR!$J$9,$AI1734))),OR(NOT(BUSCAR!$J$2),AND(ISNUMBER($AF1734),$AF1734&gt;=BUSCAR!$J$3,$AF1734&lt;=BUSCAR!$J$4))),1,0))</f>
      </c>
      <c r="AH1734" s="42">
        <f t="shared" si="81"/>
      </c>
      <c r="AI1734" s="42">
        <f t="shared" si="82"/>
      </c>
    </row>
    <row r="1735" spans="1:35" x14ac:dyDescent="0.2">
      <c r="A1735" s="66">
        <f t="shared" si="83"/>
      </c>
      <c r="B1735" s="4"/>
      <c r="C1735" s="4"/>
      <c r="D1735" s="4"/>
      <c r="E1735" s="4"/>
      <c r="F1735" s="24"/>
      <c r="G1735" s="8"/>
      <c r="H1735" s="9"/>
      <c r="I1735" s="8"/>
      <c r="J1735" s="10"/>
      <c r="K1735" s="8"/>
      <c r="L1735" s="8"/>
      <c r="M1735" s="8"/>
      <c r="N1735" s="11"/>
      <c r="O1735" s="9"/>
      <c r="P1735" s="12"/>
      <c r="Q1735" s="9"/>
      <c r="R1735" s="13"/>
      <c r="S1735" s="11"/>
      <c r="T1735" s="11"/>
      <c r="U1735" s="9"/>
      <c r="V1735" s="9"/>
      <c r="W1735" s="9"/>
      <c r="X1735" s="16"/>
      <c r="AF1735" s="42">
        <f>IF(BUSCAR!$C$8="FECHA NAC.",$G1735,IF(BUSCAR!$C$8="PASAPORTE EXPIRA",$J1735,IF(BUSCAR!$C$8="LICENCIA EMISION",$L1735,IF(BUSCAR!$C$8="LICENCIA EXPIRA",$M1735,""))))</f>
      </c>
      <c r="AG1735" s="42">
        <f>IF($B1735&amp;$C1735&amp;$D1735&amp;$E1735&amp;$H1735="",0,IF(AND(OR(BUSCAR!$J$5="",ISNUMBER(SEARCH(BUSCAR!$J$5,$AI1735))),OR(BUSCAR!$J$6="",ISNUMBER(SEARCH(BUSCAR!$J$6,$AI1735))),OR(BUSCAR!$J$8="",ISNUMBER(SEARCH(BUSCAR!$J$8,$AI1735))),OR(BUSCAR!$J$9="",ISNUMBER(SEARCH(BUSCAR!$J$9,$AI1735))),OR(NOT(BUSCAR!$J$2),AND(ISNUMBER($AF1735),$AF1735&gt;=BUSCAR!$J$3,$AF1735&lt;=BUSCAR!$J$4))),1,0))</f>
      </c>
      <c r="AH1735" s="42">
        <f t="shared" si="81"/>
      </c>
      <c r="AI1735" s="42">
        <f t="shared" si="82"/>
      </c>
    </row>
    <row r="1736" spans="1:35" x14ac:dyDescent="0.2">
      <c r="A1736" s="66">
        <f t="shared" si="83"/>
      </c>
      <c r="B1736" s="4"/>
      <c r="C1736" s="4"/>
      <c r="D1736" s="4"/>
      <c r="E1736" s="4"/>
      <c r="F1736" s="24"/>
      <c r="G1736" s="8"/>
      <c r="H1736" s="9"/>
      <c r="I1736" s="8"/>
      <c r="J1736" s="10"/>
      <c r="K1736" s="8"/>
      <c r="L1736" s="8"/>
      <c r="M1736" s="8"/>
      <c r="N1736" s="11"/>
      <c r="O1736" s="9"/>
      <c r="P1736" s="12"/>
      <c r="Q1736" s="9"/>
      <c r="R1736" s="13"/>
      <c r="S1736" s="11"/>
      <c r="T1736" s="11"/>
      <c r="U1736" s="9"/>
      <c r="V1736" s="9"/>
      <c r="W1736" s="9"/>
      <c r="X1736" s="16"/>
      <c r="AF1736" s="42">
        <f>IF(BUSCAR!$C$8="FECHA NAC.",$G1736,IF(BUSCAR!$C$8="PASAPORTE EXPIRA",$J1736,IF(BUSCAR!$C$8="LICENCIA EMISION",$L1736,IF(BUSCAR!$C$8="LICENCIA EXPIRA",$M1736,""))))</f>
      </c>
      <c r="AG1736" s="42">
        <f>IF($B1736&amp;$C1736&amp;$D1736&amp;$E1736&amp;$H1736="",0,IF(AND(OR(BUSCAR!$J$5="",ISNUMBER(SEARCH(BUSCAR!$J$5,$AI1736))),OR(BUSCAR!$J$6="",ISNUMBER(SEARCH(BUSCAR!$J$6,$AI1736))),OR(BUSCAR!$J$8="",ISNUMBER(SEARCH(BUSCAR!$J$8,$AI1736))),OR(BUSCAR!$J$9="",ISNUMBER(SEARCH(BUSCAR!$J$9,$AI1736))),OR(NOT(BUSCAR!$J$2),AND(ISNUMBER($AF1736),$AF1736&gt;=BUSCAR!$J$3,$AF1736&lt;=BUSCAR!$J$4))),1,0))</f>
      </c>
      <c r="AH1736" s="42">
        <f t="shared" si="81"/>
      </c>
      <c r="AI1736" s="42">
        <f t="shared" si="82"/>
      </c>
    </row>
    <row r="1737" spans="1:35" x14ac:dyDescent="0.2">
      <c r="A1737" s="66">
        <f t="shared" si="83"/>
      </c>
      <c r="B1737" s="4"/>
      <c r="C1737" s="4"/>
      <c r="D1737" s="4"/>
      <c r="E1737" s="4"/>
      <c r="F1737" s="24"/>
      <c r="G1737" s="8"/>
      <c r="H1737" s="9"/>
      <c r="I1737" s="8"/>
      <c r="J1737" s="10"/>
      <c r="K1737" s="8"/>
      <c r="L1737" s="8"/>
      <c r="M1737" s="8"/>
      <c r="N1737" s="11"/>
      <c r="O1737" s="9"/>
      <c r="P1737" s="12"/>
      <c r="Q1737" s="9"/>
      <c r="R1737" s="13"/>
      <c r="S1737" s="11"/>
      <c r="T1737" s="11"/>
      <c r="U1737" s="9"/>
      <c r="V1737" s="9"/>
      <c r="W1737" s="9"/>
      <c r="X1737" s="16"/>
      <c r="AF1737" s="42">
        <f>IF(BUSCAR!$C$8="FECHA NAC.",$G1737,IF(BUSCAR!$C$8="PASAPORTE EXPIRA",$J1737,IF(BUSCAR!$C$8="LICENCIA EMISION",$L1737,IF(BUSCAR!$C$8="LICENCIA EXPIRA",$M1737,""))))</f>
      </c>
      <c r="AG1737" s="42">
        <f>IF($B1737&amp;$C1737&amp;$D1737&amp;$E1737&amp;$H1737="",0,IF(AND(OR(BUSCAR!$J$5="",ISNUMBER(SEARCH(BUSCAR!$J$5,$AI1737))),OR(BUSCAR!$J$6="",ISNUMBER(SEARCH(BUSCAR!$J$6,$AI1737))),OR(BUSCAR!$J$8="",ISNUMBER(SEARCH(BUSCAR!$J$8,$AI1737))),OR(BUSCAR!$J$9="",ISNUMBER(SEARCH(BUSCAR!$J$9,$AI1737))),OR(NOT(BUSCAR!$J$2),AND(ISNUMBER($AF1737),$AF1737&gt;=BUSCAR!$J$3,$AF1737&lt;=BUSCAR!$J$4))),1,0))</f>
      </c>
      <c r="AH1737" s="42">
        <f t="shared" si="81"/>
      </c>
      <c r="AI1737" s="42">
        <f t="shared" si="82"/>
      </c>
    </row>
    <row r="1738" spans="1:35" x14ac:dyDescent="0.2">
      <c r="A1738" s="66">
        <f t="shared" si="83"/>
      </c>
      <c r="B1738" s="4"/>
      <c r="C1738" s="4"/>
      <c r="D1738" s="4"/>
      <c r="E1738" s="4"/>
      <c r="F1738" s="24"/>
      <c r="G1738" s="8"/>
      <c r="H1738" s="9"/>
      <c r="I1738" s="8"/>
      <c r="J1738" s="10"/>
      <c r="K1738" s="8"/>
      <c r="L1738" s="8"/>
      <c r="M1738" s="8"/>
      <c r="N1738" s="11"/>
      <c r="O1738" s="9"/>
      <c r="P1738" s="12"/>
      <c r="Q1738" s="9"/>
      <c r="R1738" s="13"/>
      <c r="S1738" s="11"/>
      <c r="T1738" s="11"/>
      <c r="U1738" s="9"/>
      <c r="V1738" s="9"/>
      <c r="W1738" s="9"/>
      <c r="X1738" s="16"/>
      <c r="AF1738" s="42">
        <f>IF(BUSCAR!$C$8="FECHA NAC.",$G1738,IF(BUSCAR!$C$8="PASAPORTE EXPIRA",$J1738,IF(BUSCAR!$C$8="LICENCIA EMISION",$L1738,IF(BUSCAR!$C$8="LICENCIA EXPIRA",$M1738,""))))</f>
      </c>
      <c r="AG1738" s="42">
        <f>IF($B1738&amp;$C1738&amp;$D1738&amp;$E1738&amp;$H1738="",0,IF(AND(OR(BUSCAR!$J$5="",ISNUMBER(SEARCH(BUSCAR!$J$5,$AI1738))),OR(BUSCAR!$J$6="",ISNUMBER(SEARCH(BUSCAR!$J$6,$AI1738))),OR(BUSCAR!$J$8="",ISNUMBER(SEARCH(BUSCAR!$J$8,$AI1738))),OR(BUSCAR!$J$9="",ISNUMBER(SEARCH(BUSCAR!$J$9,$AI1738))),OR(NOT(BUSCAR!$J$2),AND(ISNUMBER($AF1738),$AF1738&gt;=BUSCAR!$J$3,$AF1738&lt;=BUSCAR!$J$4))),1,0))</f>
      </c>
      <c r="AH1738" s="42">
        <f t="shared" si="81"/>
      </c>
      <c r="AI1738" s="42">
        <f t="shared" si="82"/>
      </c>
    </row>
    <row r="1739" spans="1:35" x14ac:dyDescent="0.2">
      <c r="A1739" s="66">
        <f t="shared" si="83"/>
      </c>
      <c r="B1739" s="4"/>
      <c r="C1739" s="4"/>
      <c r="D1739" s="4"/>
      <c r="E1739" s="4"/>
      <c r="F1739" s="24"/>
      <c r="G1739" s="8"/>
      <c r="H1739" s="9"/>
      <c r="I1739" s="8"/>
      <c r="J1739" s="10"/>
      <c r="K1739" s="8"/>
      <c r="L1739" s="8"/>
      <c r="M1739" s="8"/>
      <c r="N1739" s="11"/>
      <c r="O1739" s="9"/>
      <c r="P1739" s="12"/>
      <c r="Q1739" s="9"/>
      <c r="R1739" s="13"/>
      <c r="S1739" s="11"/>
      <c r="T1739" s="11"/>
      <c r="U1739" s="9"/>
      <c r="V1739" s="9"/>
      <c r="W1739" s="9"/>
      <c r="X1739" s="16"/>
      <c r="AF1739" s="42">
        <f>IF(BUSCAR!$C$8="FECHA NAC.",$G1739,IF(BUSCAR!$C$8="PASAPORTE EXPIRA",$J1739,IF(BUSCAR!$C$8="LICENCIA EMISION",$L1739,IF(BUSCAR!$C$8="LICENCIA EXPIRA",$M1739,""))))</f>
      </c>
      <c r="AG1739" s="42">
        <f>IF($B1739&amp;$C1739&amp;$D1739&amp;$E1739&amp;$H1739="",0,IF(AND(OR(BUSCAR!$J$5="",ISNUMBER(SEARCH(BUSCAR!$J$5,$AI1739))),OR(BUSCAR!$J$6="",ISNUMBER(SEARCH(BUSCAR!$J$6,$AI1739))),OR(BUSCAR!$J$8="",ISNUMBER(SEARCH(BUSCAR!$J$8,$AI1739))),OR(BUSCAR!$J$9="",ISNUMBER(SEARCH(BUSCAR!$J$9,$AI1739))),OR(NOT(BUSCAR!$J$2),AND(ISNUMBER($AF1739),$AF1739&gt;=BUSCAR!$J$3,$AF1739&lt;=BUSCAR!$J$4))),1,0))</f>
      </c>
      <c r="AH1739" s="42">
        <f t="shared" si="81"/>
      </c>
      <c r="AI1739" s="42">
        <f t="shared" si="82"/>
      </c>
    </row>
    <row r="1740" spans="1:35" x14ac:dyDescent="0.2">
      <c r="A1740" s="66">
        <f t="shared" si="83"/>
      </c>
      <c r="B1740" s="4"/>
      <c r="C1740" s="4"/>
      <c r="D1740" s="4"/>
      <c r="E1740" s="4"/>
      <c r="F1740" s="24"/>
      <c r="G1740" s="8"/>
      <c r="H1740" s="9"/>
      <c r="I1740" s="8"/>
      <c r="J1740" s="10"/>
      <c r="K1740" s="8"/>
      <c r="L1740" s="8"/>
      <c r="M1740" s="8"/>
      <c r="N1740" s="11"/>
      <c r="O1740" s="9"/>
      <c r="P1740" s="12"/>
      <c r="Q1740" s="9"/>
      <c r="R1740" s="13"/>
      <c r="S1740" s="11"/>
      <c r="T1740" s="11"/>
      <c r="U1740" s="9"/>
      <c r="V1740" s="9"/>
      <c r="W1740" s="9"/>
      <c r="X1740" s="16"/>
      <c r="AF1740" s="42">
        <f>IF(BUSCAR!$C$8="FECHA NAC.",$G1740,IF(BUSCAR!$C$8="PASAPORTE EXPIRA",$J1740,IF(BUSCAR!$C$8="LICENCIA EMISION",$L1740,IF(BUSCAR!$C$8="LICENCIA EXPIRA",$M1740,""))))</f>
      </c>
      <c r="AG1740" s="42">
        <f>IF($B1740&amp;$C1740&amp;$D1740&amp;$E1740&amp;$H1740="",0,IF(AND(OR(BUSCAR!$J$5="",ISNUMBER(SEARCH(BUSCAR!$J$5,$AI1740))),OR(BUSCAR!$J$6="",ISNUMBER(SEARCH(BUSCAR!$J$6,$AI1740))),OR(BUSCAR!$J$8="",ISNUMBER(SEARCH(BUSCAR!$J$8,$AI1740))),OR(BUSCAR!$J$9="",ISNUMBER(SEARCH(BUSCAR!$J$9,$AI1740))),OR(NOT(BUSCAR!$J$2),AND(ISNUMBER($AF1740),$AF1740&gt;=BUSCAR!$J$3,$AF1740&lt;=BUSCAR!$J$4))),1,0))</f>
      </c>
      <c r="AH1740" s="42">
        <f t="shared" si="81"/>
      </c>
      <c r="AI1740" s="42">
        <f t="shared" si="82"/>
      </c>
    </row>
    <row r="1741" spans="1:35" x14ac:dyDescent="0.2">
      <c r="A1741" s="66">
        <f t="shared" si="83"/>
      </c>
      <c r="B1741" s="4"/>
      <c r="C1741" s="4"/>
      <c r="D1741" s="4"/>
      <c r="E1741" s="4"/>
      <c r="F1741" s="24"/>
      <c r="G1741" s="8"/>
      <c r="H1741" s="9"/>
      <c r="I1741" s="8"/>
      <c r="J1741" s="10"/>
      <c r="K1741" s="8"/>
      <c r="L1741" s="8"/>
      <c r="M1741" s="8"/>
      <c r="N1741" s="11"/>
      <c r="O1741" s="9"/>
      <c r="P1741" s="12"/>
      <c r="Q1741" s="9"/>
      <c r="R1741" s="13"/>
      <c r="S1741" s="11"/>
      <c r="T1741" s="11"/>
      <c r="U1741" s="9"/>
      <c r="V1741" s="9"/>
      <c r="W1741" s="9"/>
      <c r="X1741" s="16"/>
      <c r="AF1741" s="42">
        <f>IF(BUSCAR!$C$8="FECHA NAC.",$G1741,IF(BUSCAR!$C$8="PASAPORTE EXPIRA",$J1741,IF(BUSCAR!$C$8="LICENCIA EMISION",$L1741,IF(BUSCAR!$C$8="LICENCIA EXPIRA",$M1741,""))))</f>
      </c>
      <c r="AG1741" s="42">
        <f>IF($B1741&amp;$C1741&amp;$D1741&amp;$E1741&amp;$H1741="",0,IF(AND(OR(BUSCAR!$J$5="",ISNUMBER(SEARCH(BUSCAR!$J$5,$AI1741))),OR(BUSCAR!$J$6="",ISNUMBER(SEARCH(BUSCAR!$J$6,$AI1741))),OR(BUSCAR!$J$8="",ISNUMBER(SEARCH(BUSCAR!$J$8,$AI1741))),OR(BUSCAR!$J$9="",ISNUMBER(SEARCH(BUSCAR!$J$9,$AI1741))),OR(NOT(BUSCAR!$J$2),AND(ISNUMBER($AF1741),$AF1741&gt;=BUSCAR!$J$3,$AF1741&lt;=BUSCAR!$J$4))),1,0))</f>
      </c>
      <c r="AH1741" s="42">
        <f t="shared" si="81"/>
      </c>
      <c r="AI1741" s="42">
        <f t="shared" si="82"/>
      </c>
    </row>
    <row r="1742" spans="1:35" x14ac:dyDescent="0.2">
      <c r="A1742" s="66">
        <f t="shared" si="83"/>
      </c>
      <c r="B1742" s="4"/>
      <c r="C1742" s="4"/>
      <c r="D1742" s="4"/>
      <c r="E1742" s="4"/>
      <c r="F1742" s="24"/>
      <c r="G1742" s="8"/>
      <c r="H1742" s="9"/>
      <c r="I1742" s="8"/>
      <c r="J1742" s="10"/>
      <c r="K1742" s="8"/>
      <c r="L1742" s="8"/>
      <c r="M1742" s="8"/>
      <c r="N1742" s="11"/>
      <c r="O1742" s="9"/>
      <c r="P1742" s="12"/>
      <c r="Q1742" s="9"/>
      <c r="R1742" s="13"/>
      <c r="S1742" s="11"/>
      <c r="T1742" s="11"/>
      <c r="U1742" s="9"/>
      <c r="V1742" s="9"/>
      <c r="W1742" s="9"/>
      <c r="X1742" s="16"/>
      <c r="AF1742" s="42">
        <f>IF(BUSCAR!$C$8="FECHA NAC.",$G1742,IF(BUSCAR!$C$8="PASAPORTE EXPIRA",$J1742,IF(BUSCAR!$C$8="LICENCIA EMISION",$L1742,IF(BUSCAR!$C$8="LICENCIA EXPIRA",$M1742,""))))</f>
      </c>
      <c r="AG1742" s="42">
        <f>IF($B1742&amp;$C1742&amp;$D1742&amp;$E1742&amp;$H1742="",0,IF(AND(OR(BUSCAR!$J$5="",ISNUMBER(SEARCH(BUSCAR!$J$5,$AI1742))),OR(BUSCAR!$J$6="",ISNUMBER(SEARCH(BUSCAR!$J$6,$AI1742))),OR(BUSCAR!$J$8="",ISNUMBER(SEARCH(BUSCAR!$J$8,$AI1742))),OR(BUSCAR!$J$9="",ISNUMBER(SEARCH(BUSCAR!$J$9,$AI1742))),OR(NOT(BUSCAR!$J$2),AND(ISNUMBER($AF1742),$AF1742&gt;=BUSCAR!$J$3,$AF1742&lt;=BUSCAR!$J$4))),1,0))</f>
      </c>
      <c r="AH1742" s="42">
        <f t="shared" si="81"/>
      </c>
      <c r="AI1742" s="42">
        <f t="shared" si="82"/>
      </c>
    </row>
    <row r="1743" spans="1:35" x14ac:dyDescent="0.2">
      <c r="A1743" s="66">
        <f t="shared" si="83"/>
      </c>
      <c r="B1743" s="4"/>
      <c r="C1743" s="4"/>
      <c r="D1743" s="4"/>
      <c r="E1743" s="4"/>
      <c r="F1743" s="24"/>
      <c r="G1743" s="8"/>
      <c r="H1743" s="9"/>
      <c r="I1743" s="8"/>
      <c r="J1743" s="10"/>
      <c r="K1743" s="8"/>
      <c r="L1743" s="8"/>
      <c r="M1743" s="8"/>
      <c r="N1743" s="11"/>
      <c r="O1743" s="9"/>
      <c r="P1743" s="12"/>
      <c r="Q1743" s="9"/>
      <c r="R1743" s="13"/>
      <c r="S1743" s="11"/>
      <c r="T1743" s="11"/>
      <c r="U1743" s="9"/>
      <c r="V1743" s="9"/>
      <c r="W1743" s="9"/>
      <c r="X1743" s="16"/>
      <c r="AF1743" s="42">
        <f>IF(BUSCAR!$C$8="FECHA NAC.",$G1743,IF(BUSCAR!$C$8="PASAPORTE EXPIRA",$J1743,IF(BUSCAR!$C$8="LICENCIA EMISION",$L1743,IF(BUSCAR!$C$8="LICENCIA EXPIRA",$M1743,""))))</f>
      </c>
      <c r="AG1743" s="42">
        <f>IF($B1743&amp;$C1743&amp;$D1743&amp;$E1743&amp;$H1743="",0,IF(AND(OR(BUSCAR!$J$5="",ISNUMBER(SEARCH(BUSCAR!$J$5,$AI1743))),OR(BUSCAR!$J$6="",ISNUMBER(SEARCH(BUSCAR!$J$6,$AI1743))),OR(BUSCAR!$J$8="",ISNUMBER(SEARCH(BUSCAR!$J$8,$AI1743))),OR(BUSCAR!$J$9="",ISNUMBER(SEARCH(BUSCAR!$J$9,$AI1743))),OR(NOT(BUSCAR!$J$2),AND(ISNUMBER($AF1743),$AF1743&gt;=BUSCAR!$J$3,$AF1743&lt;=BUSCAR!$J$4))),1,0))</f>
      </c>
      <c r="AH1743" s="42">
        <f t="shared" si="81"/>
      </c>
      <c r="AI1743" s="42">
        <f t="shared" si="82"/>
      </c>
    </row>
    <row r="1744" spans="1:35" x14ac:dyDescent="0.2">
      <c r="A1744" s="66">
        <f t="shared" si="83"/>
      </c>
      <c r="B1744" s="4"/>
      <c r="C1744" s="4"/>
      <c r="D1744" s="4"/>
      <c r="E1744" s="4"/>
      <c r="F1744" s="24"/>
      <c r="G1744" s="8"/>
      <c r="H1744" s="9"/>
      <c r="I1744" s="8"/>
      <c r="J1744" s="10"/>
      <c r="K1744" s="8"/>
      <c r="L1744" s="8"/>
      <c r="M1744" s="8"/>
      <c r="N1744" s="11"/>
      <c r="O1744" s="9"/>
      <c r="P1744" s="12"/>
      <c r="Q1744" s="9"/>
      <c r="R1744" s="13"/>
      <c r="S1744" s="11"/>
      <c r="T1744" s="11"/>
      <c r="U1744" s="9"/>
      <c r="V1744" s="9"/>
      <c r="W1744" s="9"/>
      <c r="X1744" s="16"/>
      <c r="AF1744" s="42">
        <f>IF(BUSCAR!$C$8="FECHA NAC.",$G1744,IF(BUSCAR!$C$8="PASAPORTE EXPIRA",$J1744,IF(BUSCAR!$C$8="LICENCIA EMISION",$L1744,IF(BUSCAR!$C$8="LICENCIA EXPIRA",$M1744,""))))</f>
      </c>
      <c r="AG1744" s="42">
        <f>IF($B1744&amp;$C1744&amp;$D1744&amp;$E1744&amp;$H1744="",0,IF(AND(OR(BUSCAR!$J$5="",ISNUMBER(SEARCH(BUSCAR!$J$5,$AI1744))),OR(BUSCAR!$J$6="",ISNUMBER(SEARCH(BUSCAR!$J$6,$AI1744))),OR(BUSCAR!$J$8="",ISNUMBER(SEARCH(BUSCAR!$J$8,$AI1744))),OR(BUSCAR!$J$9="",ISNUMBER(SEARCH(BUSCAR!$J$9,$AI1744))),OR(NOT(BUSCAR!$J$2),AND(ISNUMBER($AF1744),$AF1744&gt;=BUSCAR!$J$3,$AF1744&lt;=BUSCAR!$J$4))),1,0))</f>
      </c>
      <c r="AH1744" s="42">
        <f t="shared" si="81"/>
      </c>
      <c r="AI1744" s="42">
        <f t="shared" si="82"/>
      </c>
    </row>
    <row r="1745" spans="1:35" x14ac:dyDescent="0.2">
      <c r="A1745" s="66">
        <f t="shared" si="83"/>
      </c>
      <c r="B1745" s="4"/>
      <c r="C1745" s="4"/>
      <c r="D1745" s="4"/>
      <c r="E1745" s="4"/>
      <c r="F1745" s="24"/>
      <c r="G1745" s="8"/>
      <c r="H1745" s="9"/>
      <c r="I1745" s="8"/>
      <c r="J1745" s="10"/>
      <c r="K1745" s="8"/>
      <c r="L1745" s="8"/>
      <c r="M1745" s="8"/>
      <c r="N1745" s="11"/>
      <c r="O1745" s="9"/>
      <c r="P1745" s="12"/>
      <c r="Q1745" s="9"/>
      <c r="R1745" s="13"/>
      <c r="S1745" s="11"/>
      <c r="T1745" s="11"/>
      <c r="U1745" s="9"/>
      <c r="V1745" s="9"/>
      <c r="W1745" s="9"/>
      <c r="X1745" s="16"/>
      <c r="AF1745" s="42">
        <f>IF(BUSCAR!$C$8="FECHA NAC.",$G1745,IF(BUSCAR!$C$8="PASAPORTE EXPIRA",$J1745,IF(BUSCAR!$C$8="LICENCIA EMISION",$L1745,IF(BUSCAR!$C$8="LICENCIA EXPIRA",$M1745,""))))</f>
      </c>
      <c r="AG1745" s="42">
        <f>IF($B1745&amp;$C1745&amp;$D1745&amp;$E1745&amp;$H1745="",0,IF(AND(OR(BUSCAR!$J$5="",ISNUMBER(SEARCH(BUSCAR!$J$5,$AI1745))),OR(BUSCAR!$J$6="",ISNUMBER(SEARCH(BUSCAR!$J$6,$AI1745))),OR(BUSCAR!$J$8="",ISNUMBER(SEARCH(BUSCAR!$J$8,$AI1745))),OR(BUSCAR!$J$9="",ISNUMBER(SEARCH(BUSCAR!$J$9,$AI1745))),OR(NOT(BUSCAR!$J$2),AND(ISNUMBER($AF1745),$AF1745&gt;=BUSCAR!$J$3,$AF1745&lt;=BUSCAR!$J$4))),1,0))</f>
      </c>
      <c r="AH1745" s="42">
        <f t="shared" si="81"/>
      </c>
      <c r="AI1745" s="42">
        <f t="shared" si="82"/>
      </c>
    </row>
    <row r="1746" spans="1:35" x14ac:dyDescent="0.2">
      <c r="A1746" s="66">
        <f t="shared" si="83"/>
      </c>
      <c r="B1746" s="4"/>
      <c r="C1746" s="4"/>
      <c r="D1746" s="4"/>
      <c r="E1746" s="4"/>
      <c r="F1746" s="24"/>
      <c r="G1746" s="8"/>
      <c r="H1746" s="9"/>
      <c r="I1746" s="8"/>
      <c r="J1746" s="10"/>
      <c r="K1746" s="8"/>
      <c r="L1746" s="8"/>
      <c r="M1746" s="8"/>
      <c r="N1746" s="11"/>
      <c r="O1746" s="9"/>
      <c r="P1746" s="12"/>
      <c r="Q1746" s="9"/>
      <c r="R1746" s="13"/>
      <c r="S1746" s="11"/>
      <c r="T1746" s="11"/>
      <c r="U1746" s="9"/>
      <c r="V1746" s="9"/>
      <c r="W1746" s="9"/>
      <c r="X1746" s="16"/>
      <c r="AF1746" s="42">
        <f>IF(BUSCAR!$C$8="FECHA NAC.",$G1746,IF(BUSCAR!$C$8="PASAPORTE EXPIRA",$J1746,IF(BUSCAR!$C$8="LICENCIA EMISION",$L1746,IF(BUSCAR!$C$8="LICENCIA EXPIRA",$M1746,""))))</f>
      </c>
      <c r="AG1746" s="42">
        <f>IF($B1746&amp;$C1746&amp;$D1746&amp;$E1746&amp;$H1746="",0,IF(AND(OR(BUSCAR!$J$5="",ISNUMBER(SEARCH(BUSCAR!$J$5,$AI1746))),OR(BUSCAR!$J$6="",ISNUMBER(SEARCH(BUSCAR!$J$6,$AI1746))),OR(BUSCAR!$J$8="",ISNUMBER(SEARCH(BUSCAR!$J$8,$AI1746))),OR(BUSCAR!$J$9="",ISNUMBER(SEARCH(BUSCAR!$J$9,$AI1746))),OR(NOT(BUSCAR!$J$2),AND(ISNUMBER($AF1746),$AF1746&gt;=BUSCAR!$J$3,$AF1746&lt;=BUSCAR!$J$4))),1,0))</f>
      </c>
      <c r="AH1746" s="42">
        <f t="shared" si="81"/>
      </c>
      <c r="AI1746" s="42">
        <f t="shared" si="82"/>
      </c>
    </row>
    <row r="1747" spans="1:35" x14ac:dyDescent="0.2">
      <c r="A1747" s="66">
        <f t="shared" si="83"/>
      </c>
      <c r="B1747" s="4"/>
      <c r="C1747" s="4"/>
      <c r="D1747" s="4"/>
      <c r="E1747" s="4"/>
      <c r="F1747" s="24"/>
      <c r="G1747" s="8"/>
      <c r="H1747" s="9"/>
      <c r="I1747" s="8"/>
      <c r="J1747" s="10"/>
      <c r="K1747" s="8"/>
      <c r="L1747" s="8"/>
      <c r="M1747" s="8"/>
      <c r="N1747" s="11"/>
      <c r="O1747" s="9"/>
      <c r="P1747" s="12"/>
      <c r="Q1747" s="9"/>
      <c r="R1747" s="13"/>
      <c r="S1747" s="11"/>
      <c r="T1747" s="11"/>
      <c r="U1747" s="9"/>
      <c r="V1747" s="9"/>
      <c r="W1747" s="9"/>
      <c r="X1747" s="16"/>
      <c r="AF1747" s="42">
        <f>IF(BUSCAR!$C$8="FECHA NAC.",$G1747,IF(BUSCAR!$C$8="PASAPORTE EXPIRA",$J1747,IF(BUSCAR!$C$8="LICENCIA EMISION",$L1747,IF(BUSCAR!$C$8="LICENCIA EXPIRA",$M1747,""))))</f>
      </c>
      <c r="AG1747" s="42">
        <f>IF($B1747&amp;$C1747&amp;$D1747&amp;$E1747&amp;$H1747="",0,IF(AND(OR(BUSCAR!$J$5="",ISNUMBER(SEARCH(BUSCAR!$J$5,$AI1747))),OR(BUSCAR!$J$6="",ISNUMBER(SEARCH(BUSCAR!$J$6,$AI1747))),OR(BUSCAR!$J$8="",ISNUMBER(SEARCH(BUSCAR!$J$8,$AI1747))),OR(BUSCAR!$J$9="",ISNUMBER(SEARCH(BUSCAR!$J$9,$AI1747))),OR(NOT(BUSCAR!$J$2),AND(ISNUMBER($AF1747),$AF1747&gt;=BUSCAR!$J$3,$AF1747&lt;=BUSCAR!$J$4))),1,0))</f>
      </c>
      <c r="AH1747" s="42">
        <f t="shared" si="81"/>
      </c>
      <c r="AI1747" s="42">
        <f t="shared" si="82"/>
      </c>
    </row>
    <row r="1748" spans="1:35" x14ac:dyDescent="0.2">
      <c r="A1748" s="66">
        <f t="shared" si="83"/>
      </c>
      <c r="B1748" s="4"/>
      <c r="C1748" s="4"/>
      <c r="D1748" s="4"/>
      <c r="E1748" s="4"/>
      <c r="F1748" s="24"/>
      <c r="G1748" s="8"/>
      <c r="H1748" s="9"/>
      <c r="I1748" s="8"/>
      <c r="J1748" s="10"/>
      <c r="K1748" s="8"/>
      <c r="L1748" s="8"/>
      <c r="M1748" s="8"/>
      <c r="N1748" s="11"/>
      <c r="O1748" s="9"/>
      <c r="P1748" s="12"/>
      <c r="Q1748" s="9"/>
      <c r="R1748" s="13"/>
      <c r="S1748" s="11"/>
      <c r="T1748" s="11"/>
      <c r="U1748" s="9"/>
      <c r="V1748" s="9"/>
      <c r="W1748" s="9"/>
      <c r="X1748" s="16"/>
      <c r="AF1748" s="42">
        <f>IF(BUSCAR!$C$8="FECHA NAC.",$G1748,IF(BUSCAR!$C$8="PASAPORTE EXPIRA",$J1748,IF(BUSCAR!$C$8="LICENCIA EMISION",$L1748,IF(BUSCAR!$C$8="LICENCIA EXPIRA",$M1748,""))))</f>
      </c>
      <c r="AG1748" s="42">
        <f>IF($B1748&amp;$C1748&amp;$D1748&amp;$E1748&amp;$H1748="",0,IF(AND(OR(BUSCAR!$J$5="",ISNUMBER(SEARCH(BUSCAR!$J$5,$AI1748))),OR(BUSCAR!$J$6="",ISNUMBER(SEARCH(BUSCAR!$J$6,$AI1748))),OR(BUSCAR!$J$8="",ISNUMBER(SEARCH(BUSCAR!$J$8,$AI1748))),OR(BUSCAR!$J$9="",ISNUMBER(SEARCH(BUSCAR!$J$9,$AI1748))),OR(NOT(BUSCAR!$J$2),AND(ISNUMBER($AF1748),$AF1748&gt;=BUSCAR!$J$3,$AF1748&lt;=BUSCAR!$J$4))),1,0))</f>
      </c>
      <c r="AH1748" s="42">
        <f t="shared" si="81"/>
      </c>
      <c r="AI1748" s="42">
        <f t="shared" si="82"/>
      </c>
    </row>
    <row r="1749" spans="1:35" x14ac:dyDescent="0.2">
      <c r="A1749" s="66">
        <f t="shared" si="83"/>
      </c>
      <c r="B1749" s="4"/>
      <c r="C1749" s="4"/>
      <c r="D1749" s="4"/>
      <c r="E1749" s="4"/>
      <c r="F1749" s="24"/>
      <c r="G1749" s="8"/>
      <c r="H1749" s="9"/>
      <c r="I1749" s="8"/>
      <c r="J1749" s="10"/>
      <c r="K1749" s="8"/>
      <c r="L1749" s="8"/>
      <c r="M1749" s="8"/>
      <c r="N1749" s="11"/>
      <c r="O1749" s="9"/>
      <c r="P1749" s="12"/>
      <c r="Q1749" s="9"/>
      <c r="R1749" s="13"/>
      <c r="S1749" s="11"/>
      <c r="T1749" s="11"/>
      <c r="U1749" s="9"/>
      <c r="V1749" s="9"/>
      <c r="W1749" s="9"/>
      <c r="X1749" s="16"/>
      <c r="AF1749" s="42">
        <f>IF(BUSCAR!$C$8="FECHA NAC.",$G1749,IF(BUSCAR!$C$8="PASAPORTE EXPIRA",$J1749,IF(BUSCAR!$C$8="LICENCIA EMISION",$L1749,IF(BUSCAR!$C$8="LICENCIA EXPIRA",$M1749,""))))</f>
      </c>
      <c r="AG1749" s="42">
        <f>IF($B1749&amp;$C1749&amp;$D1749&amp;$E1749&amp;$H1749="",0,IF(AND(OR(BUSCAR!$J$5="",ISNUMBER(SEARCH(BUSCAR!$J$5,$AI1749))),OR(BUSCAR!$J$6="",ISNUMBER(SEARCH(BUSCAR!$J$6,$AI1749))),OR(BUSCAR!$J$8="",ISNUMBER(SEARCH(BUSCAR!$J$8,$AI1749))),OR(BUSCAR!$J$9="",ISNUMBER(SEARCH(BUSCAR!$J$9,$AI1749))),OR(NOT(BUSCAR!$J$2),AND(ISNUMBER($AF1749),$AF1749&gt;=BUSCAR!$J$3,$AF1749&lt;=BUSCAR!$J$4))),1,0))</f>
      </c>
      <c r="AH1749" s="42">
        <f t="shared" si="81"/>
      </c>
      <c r="AI1749" s="42">
        <f t="shared" si="82"/>
      </c>
    </row>
    <row r="1750" spans="1:35" x14ac:dyDescent="0.2">
      <c r="A1750" s="66">
        <f t="shared" si="83"/>
      </c>
      <c r="B1750" s="4"/>
      <c r="C1750" s="4"/>
      <c r="D1750" s="4"/>
      <c r="E1750" s="4"/>
      <c r="F1750" s="24"/>
      <c r="G1750" s="8"/>
      <c r="H1750" s="9"/>
      <c r="I1750" s="8"/>
      <c r="J1750" s="10"/>
      <c r="K1750" s="8"/>
      <c r="L1750" s="8"/>
      <c r="M1750" s="8"/>
      <c r="N1750" s="11"/>
      <c r="O1750" s="9"/>
      <c r="P1750" s="12"/>
      <c r="Q1750" s="9"/>
      <c r="R1750" s="13"/>
      <c r="S1750" s="11"/>
      <c r="T1750" s="11"/>
      <c r="U1750" s="9"/>
      <c r="V1750" s="9"/>
      <c r="W1750" s="9"/>
      <c r="X1750" s="16"/>
      <c r="AF1750" s="42">
        <f>IF(BUSCAR!$C$8="FECHA NAC.",$G1750,IF(BUSCAR!$C$8="PASAPORTE EXPIRA",$J1750,IF(BUSCAR!$C$8="LICENCIA EMISION",$L1750,IF(BUSCAR!$C$8="LICENCIA EXPIRA",$M1750,""))))</f>
      </c>
      <c r="AG1750" s="42">
        <f>IF($B1750&amp;$C1750&amp;$D1750&amp;$E1750&amp;$H1750="",0,IF(AND(OR(BUSCAR!$J$5="",ISNUMBER(SEARCH(BUSCAR!$J$5,$AI1750))),OR(BUSCAR!$J$6="",ISNUMBER(SEARCH(BUSCAR!$J$6,$AI1750))),OR(BUSCAR!$J$8="",ISNUMBER(SEARCH(BUSCAR!$J$8,$AI1750))),OR(BUSCAR!$J$9="",ISNUMBER(SEARCH(BUSCAR!$J$9,$AI1750))),OR(NOT(BUSCAR!$J$2),AND(ISNUMBER($AF1750),$AF1750&gt;=BUSCAR!$J$3,$AF1750&lt;=BUSCAR!$J$4))),1,0))</f>
      </c>
      <c r="AH1750" s="42">
        <f t="shared" si="81"/>
      </c>
      <c r="AI1750" s="42">
        <f t="shared" si="82"/>
      </c>
    </row>
    <row r="1751" spans="1:35" x14ac:dyDescent="0.2">
      <c r="A1751" s="66">
        <f t="shared" si="83"/>
      </c>
      <c r="B1751" s="4"/>
      <c r="C1751" s="4"/>
      <c r="D1751" s="4"/>
      <c r="E1751" s="4"/>
      <c r="F1751" s="24"/>
      <c r="G1751" s="8"/>
      <c r="H1751" s="9"/>
      <c r="I1751" s="8"/>
      <c r="J1751" s="10"/>
      <c r="K1751" s="8"/>
      <c r="L1751" s="8"/>
      <c r="M1751" s="8"/>
      <c r="N1751" s="11"/>
      <c r="O1751" s="9"/>
      <c r="P1751" s="12"/>
      <c r="Q1751" s="9"/>
      <c r="R1751" s="13"/>
      <c r="S1751" s="11"/>
      <c r="T1751" s="11"/>
      <c r="U1751" s="9"/>
      <c r="V1751" s="9"/>
      <c r="W1751" s="9"/>
      <c r="X1751" s="16"/>
      <c r="AF1751" s="42">
        <f>IF(BUSCAR!$C$8="FECHA NAC.",$G1751,IF(BUSCAR!$C$8="PASAPORTE EXPIRA",$J1751,IF(BUSCAR!$C$8="LICENCIA EMISION",$L1751,IF(BUSCAR!$C$8="LICENCIA EXPIRA",$M1751,""))))</f>
      </c>
      <c r="AG1751" s="42">
        <f>IF($B1751&amp;$C1751&amp;$D1751&amp;$E1751&amp;$H1751="",0,IF(AND(OR(BUSCAR!$J$5="",ISNUMBER(SEARCH(BUSCAR!$J$5,$AI1751))),OR(BUSCAR!$J$6="",ISNUMBER(SEARCH(BUSCAR!$J$6,$AI1751))),OR(BUSCAR!$J$8="",ISNUMBER(SEARCH(BUSCAR!$J$8,$AI1751))),OR(BUSCAR!$J$9="",ISNUMBER(SEARCH(BUSCAR!$J$9,$AI1751))),OR(NOT(BUSCAR!$J$2),AND(ISNUMBER($AF1751),$AF1751&gt;=BUSCAR!$J$3,$AF1751&lt;=BUSCAR!$J$4))),1,0))</f>
      </c>
      <c r="AH1751" s="42">
        <f t="shared" si="81"/>
      </c>
      <c r="AI1751" s="42">
        <f t="shared" si="82"/>
      </c>
    </row>
    <row r="1752" spans="1:35" x14ac:dyDescent="0.2">
      <c r="A1752" s="66">
        <f t="shared" si="83"/>
      </c>
      <c r="B1752" s="4"/>
      <c r="C1752" s="4"/>
      <c r="D1752" s="4"/>
      <c r="E1752" s="4"/>
      <c r="F1752" s="24"/>
      <c r="G1752" s="8"/>
      <c r="H1752" s="9"/>
      <c r="I1752" s="8"/>
      <c r="J1752" s="10"/>
      <c r="K1752" s="8"/>
      <c r="L1752" s="8"/>
      <c r="M1752" s="8"/>
      <c r="N1752" s="11"/>
      <c r="O1752" s="9"/>
      <c r="P1752" s="12"/>
      <c r="Q1752" s="9"/>
      <c r="R1752" s="13"/>
      <c r="S1752" s="11"/>
      <c r="T1752" s="11"/>
      <c r="U1752" s="9"/>
      <c r="V1752" s="9"/>
      <c r="W1752" s="9"/>
      <c r="X1752" s="16"/>
      <c r="AF1752" s="42">
        <f>IF(BUSCAR!$C$8="FECHA NAC.",$G1752,IF(BUSCAR!$C$8="PASAPORTE EXPIRA",$J1752,IF(BUSCAR!$C$8="LICENCIA EMISION",$L1752,IF(BUSCAR!$C$8="LICENCIA EXPIRA",$M1752,""))))</f>
      </c>
      <c r="AG1752" s="42">
        <f>IF($B1752&amp;$C1752&amp;$D1752&amp;$E1752&amp;$H1752="",0,IF(AND(OR(BUSCAR!$J$5="",ISNUMBER(SEARCH(BUSCAR!$J$5,$AI1752))),OR(BUSCAR!$J$6="",ISNUMBER(SEARCH(BUSCAR!$J$6,$AI1752))),OR(BUSCAR!$J$8="",ISNUMBER(SEARCH(BUSCAR!$J$8,$AI1752))),OR(BUSCAR!$J$9="",ISNUMBER(SEARCH(BUSCAR!$J$9,$AI1752))),OR(NOT(BUSCAR!$J$2),AND(ISNUMBER($AF1752),$AF1752&gt;=BUSCAR!$J$3,$AF1752&lt;=BUSCAR!$J$4))),1,0))</f>
      </c>
      <c r="AH1752" s="42">
        <f t="shared" si="81"/>
      </c>
      <c r="AI1752" s="42">
        <f t="shared" si="82"/>
      </c>
    </row>
    <row r="1753" spans="1:35" x14ac:dyDescent="0.2">
      <c r="A1753" s="66">
        <f t="shared" si="83"/>
      </c>
      <c r="B1753" s="4"/>
      <c r="C1753" s="4"/>
      <c r="D1753" s="4"/>
      <c r="E1753" s="4"/>
      <c r="F1753" s="24"/>
      <c r="G1753" s="8"/>
      <c r="H1753" s="9"/>
      <c r="I1753" s="8"/>
      <c r="J1753" s="10"/>
      <c r="K1753" s="8"/>
      <c r="L1753" s="8"/>
      <c r="M1753" s="8"/>
      <c r="N1753" s="11"/>
      <c r="O1753" s="9"/>
      <c r="P1753" s="12"/>
      <c r="Q1753" s="9"/>
      <c r="R1753" s="13"/>
      <c r="S1753" s="11"/>
      <c r="T1753" s="11"/>
      <c r="U1753" s="9"/>
      <c r="V1753" s="9"/>
      <c r="W1753" s="9"/>
      <c r="X1753" s="16"/>
      <c r="AF1753" s="42">
        <f>IF(BUSCAR!$C$8="FECHA NAC.",$G1753,IF(BUSCAR!$C$8="PASAPORTE EXPIRA",$J1753,IF(BUSCAR!$C$8="LICENCIA EMISION",$L1753,IF(BUSCAR!$C$8="LICENCIA EXPIRA",$M1753,""))))</f>
      </c>
      <c r="AG1753" s="42">
        <f>IF($B1753&amp;$C1753&amp;$D1753&amp;$E1753&amp;$H1753="",0,IF(AND(OR(BUSCAR!$J$5="",ISNUMBER(SEARCH(BUSCAR!$J$5,$AI1753))),OR(BUSCAR!$J$6="",ISNUMBER(SEARCH(BUSCAR!$J$6,$AI1753))),OR(BUSCAR!$J$8="",ISNUMBER(SEARCH(BUSCAR!$J$8,$AI1753))),OR(BUSCAR!$J$9="",ISNUMBER(SEARCH(BUSCAR!$J$9,$AI1753))),OR(NOT(BUSCAR!$J$2),AND(ISNUMBER($AF1753),$AF1753&gt;=BUSCAR!$J$3,$AF1753&lt;=BUSCAR!$J$4))),1,0))</f>
      </c>
      <c r="AH1753" s="42">
        <f t="shared" si="81"/>
      </c>
      <c r="AI1753" s="42">
        <f t="shared" si="82"/>
      </c>
    </row>
    <row r="1754" spans="1:35" x14ac:dyDescent="0.2">
      <c r="A1754" s="66">
        <f t="shared" si="83"/>
      </c>
      <c r="B1754" s="4"/>
      <c r="C1754" s="4"/>
      <c r="D1754" s="4"/>
      <c r="E1754" s="4"/>
      <c r="F1754" s="24"/>
      <c r="G1754" s="8"/>
      <c r="H1754" s="9"/>
      <c r="I1754" s="8"/>
      <c r="J1754" s="10"/>
      <c r="K1754" s="8"/>
      <c r="L1754" s="8"/>
      <c r="M1754" s="8"/>
      <c r="N1754" s="11"/>
      <c r="O1754" s="9"/>
      <c r="P1754" s="12"/>
      <c r="Q1754" s="9"/>
      <c r="R1754" s="13"/>
      <c r="S1754" s="11"/>
      <c r="T1754" s="11"/>
      <c r="U1754" s="9"/>
      <c r="V1754" s="9"/>
      <c r="W1754" s="9"/>
      <c r="X1754" s="16"/>
      <c r="AF1754" s="42">
        <f>IF(BUSCAR!$C$8="FECHA NAC.",$G1754,IF(BUSCAR!$C$8="PASAPORTE EXPIRA",$J1754,IF(BUSCAR!$C$8="LICENCIA EMISION",$L1754,IF(BUSCAR!$C$8="LICENCIA EXPIRA",$M1754,""))))</f>
      </c>
      <c r="AG1754" s="42">
        <f>IF($B1754&amp;$C1754&amp;$D1754&amp;$E1754&amp;$H1754="",0,IF(AND(OR(BUSCAR!$J$5="",ISNUMBER(SEARCH(BUSCAR!$J$5,$AI1754))),OR(BUSCAR!$J$6="",ISNUMBER(SEARCH(BUSCAR!$J$6,$AI1754))),OR(BUSCAR!$J$8="",ISNUMBER(SEARCH(BUSCAR!$J$8,$AI1754))),OR(BUSCAR!$J$9="",ISNUMBER(SEARCH(BUSCAR!$J$9,$AI1754))),OR(NOT(BUSCAR!$J$2),AND(ISNUMBER($AF1754),$AF1754&gt;=BUSCAR!$J$3,$AF1754&lt;=BUSCAR!$J$4))),1,0))</f>
      </c>
      <c r="AH1754" s="42">
        <f t="shared" si="81"/>
      </c>
      <c r="AI1754" s="42">
        <f t="shared" si="82"/>
      </c>
    </row>
    <row r="1755" spans="1:35" x14ac:dyDescent="0.2">
      <c r="A1755" s="66">
        <f t="shared" si="83"/>
      </c>
      <c r="B1755" s="4"/>
      <c r="C1755" s="4"/>
      <c r="D1755" s="4"/>
      <c r="E1755" s="4"/>
      <c r="F1755" s="24"/>
      <c r="G1755" s="8"/>
      <c r="H1755" s="9"/>
      <c r="I1755" s="8"/>
      <c r="J1755" s="10"/>
      <c r="K1755" s="8"/>
      <c r="L1755" s="8"/>
      <c r="M1755" s="8"/>
      <c r="N1755" s="11"/>
      <c r="O1755" s="9"/>
      <c r="P1755" s="12"/>
      <c r="Q1755" s="9"/>
      <c r="R1755" s="13"/>
      <c r="S1755" s="11"/>
      <c r="T1755" s="11"/>
      <c r="U1755" s="9"/>
      <c r="V1755" s="9"/>
      <c r="W1755" s="9"/>
      <c r="X1755" s="16"/>
      <c r="AF1755" s="42">
        <f>IF(BUSCAR!$C$8="FECHA NAC.",$G1755,IF(BUSCAR!$C$8="PASAPORTE EXPIRA",$J1755,IF(BUSCAR!$C$8="LICENCIA EMISION",$L1755,IF(BUSCAR!$C$8="LICENCIA EXPIRA",$M1755,""))))</f>
      </c>
      <c r="AG1755" s="42">
        <f>IF($B1755&amp;$C1755&amp;$D1755&amp;$E1755&amp;$H1755="",0,IF(AND(OR(BUSCAR!$J$5="",ISNUMBER(SEARCH(BUSCAR!$J$5,$AI1755))),OR(BUSCAR!$J$6="",ISNUMBER(SEARCH(BUSCAR!$J$6,$AI1755))),OR(BUSCAR!$J$8="",ISNUMBER(SEARCH(BUSCAR!$J$8,$AI1755))),OR(BUSCAR!$J$9="",ISNUMBER(SEARCH(BUSCAR!$J$9,$AI1755))),OR(NOT(BUSCAR!$J$2),AND(ISNUMBER($AF1755),$AF1755&gt;=BUSCAR!$J$3,$AF1755&lt;=BUSCAR!$J$4))),1,0))</f>
      </c>
      <c r="AH1755" s="42">
        <f t="shared" si="81"/>
      </c>
      <c r="AI1755" s="42">
        <f t="shared" si="82"/>
      </c>
    </row>
    <row r="1756" spans="1:35" x14ac:dyDescent="0.2">
      <c r="A1756" s="66">
        <f t="shared" si="83"/>
      </c>
      <c r="B1756" s="4"/>
      <c r="C1756" s="4"/>
      <c r="D1756" s="4"/>
      <c r="E1756" s="4"/>
      <c r="F1756" s="24"/>
      <c r="G1756" s="8"/>
      <c r="H1756" s="9"/>
      <c r="I1756" s="8"/>
      <c r="J1756" s="10"/>
      <c r="K1756" s="8"/>
      <c r="L1756" s="8"/>
      <c r="M1756" s="8"/>
      <c r="N1756" s="11"/>
      <c r="O1756" s="9"/>
      <c r="P1756" s="12"/>
      <c r="Q1756" s="9"/>
      <c r="R1756" s="13"/>
      <c r="S1756" s="11"/>
      <c r="T1756" s="11"/>
      <c r="U1756" s="9"/>
      <c r="V1756" s="9"/>
      <c r="W1756" s="9"/>
      <c r="X1756" s="16"/>
      <c r="AF1756" s="42">
        <f>IF(BUSCAR!$C$8="FECHA NAC.",$G1756,IF(BUSCAR!$C$8="PASAPORTE EXPIRA",$J1756,IF(BUSCAR!$C$8="LICENCIA EMISION",$L1756,IF(BUSCAR!$C$8="LICENCIA EXPIRA",$M1756,""))))</f>
      </c>
      <c r="AG1756" s="42">
        <f>IF($B1756&amp;$C1756&amp;$D1756&amp;$E1756&amp;$H1756="",0,IF(AND(OR(BUSCAR!$J$5="",ISNUMBER(SEARCH(BUSCAR!$J$5,$AI1756))),OR(BUSCAR!$J$6="",ISNUMBER(SEARCH(BUSCAR!$J$6,$AI1756))),OR(BUSCAR!$J$8="",ISNUMBER(SEARCH(BUSCAR!$J$8,$AI1756))),OR(BUSCAR!$J$9="",ISNUMBER(SEARCH(BUSCAR!$J$9,$AI1756))),OR(NOT(BUSCAR!$J$2),AND(ISNUMBER($AF1756),$AF1756&gt;=BUSCAR!$J$3,$AF1756&lt;=BUSCAR!$J$4))),1,0))</f>
      </c>
      <c r="AH1756" s="42">
        <f t="shared" si="81"/>
      </c>
      <c r="AI1756" s="42">
        <f t="shared" si="82"/>
      </c>
    </row>
    <row r="1757" spans="1:35" x14ac:dyDescent="0.2">
      <c r="A1757" s="66">
        <f t="shared" si="83"/>
      </c>
      <c r="B1757" s="4"/>
      <c r="C1757" s="4"/>
      <c r="D1757" s="4"/>
      <c r="E1757" s="4"/>
      <c r="F1757" s="24"/>
      <c r="G1757" s="8"/>
      <c r="H1757" s="9"/>
      <c r="I1757" s="8"/>
      <c r="J1757" s="10"/>
      <c r="K1757" s="8"/>
      <c r="L1757" s="8"/>
      <c r="M1757" s="8"/>
      <c r="N1757" s="11"/>
      <c r="O1757" s="9"/>
      <c r="P1757" s="12"/>
      <c r="Q1757" s="9"/>
      <c r="R1757" s="13"/>
      <c r="S1757" s="11"/>
      <c r="T1757" s="11"/>
      <c r="U1757" s="9"/>
      <c r="V1757" s="9"/>
      <c r="W1757" s="9"/>
      <c r="X1757" s="16"/>
      <c r="AF1757" s="42">
        <f>IF(BUSCAR!$C$8="FECHA NAC.",$G1757,IF(BUSCAR!$C$8="PASAPORTE EXPIRA",$J1757,IF(BUSCAR!$C$8="LICENCIA EMISION",$L1757,IF(BUSCAR!$C$8="LICENCIA EXPIRA",$M1757,""))))</f>
      </c>
      <c r="AG1757" s="42">
        <f>IF($B1757&amp;$C1757&amp;$D1757&amp;$E1757&amp;$H1757="",0,IF(AND(OR(BUSCAR!$J$5="",ISNUMBER(SEARCH(BUSCAR!$J$5,$AI1757))),OR(BUSCAR!$J$6="",ISNUMBER(SEARCH(BUSCAR!$J$6,$AI1757))),OR(BUSCAR!$J$8="",ISNUMBER(SEARCH(BUSCAR!$J$8,$AI1757))),OR(BUSCAR!$J$9="",ISNUMBER(SEARCH(BUSCAR!$J$9,$AI1757))),OR(NOT(BUSCAR!$J$2),AND(ISNUMBER($AF1757),$AF1757&gt;=BUSCAR!$J$3,$AF1757&lt;=BUSCAR!$J$4))),1,0))</f>
      </c>
      <c r="AH1757" s="42">
        <f t="shared" si="81"/>
      </c>
      <c r="AI1757" s="42">
        <f t="shared" si="82"/>
      </c>
    </row>
    <row r="1758" spans="1:35" x14ac:dyDescent="0.2">
      <c r="A1758" s="66">
        <f t="shared" si="83"/>
      </c>
      <c r="B1758" s="4"/>
      <c r="C1758" s="4"/>
      <c r="D1758" s="4"/>
      <c r="E1758" s="4"/>
      <c r="F1758" s="24"/>
      <c r="G1758" s="8"/>
      <c r="H1758" s="9"/>
      <c r="I1758" s="8"/>
      <c r="J1758" s="10"/>
      <c r="K1758" s="8"/>
      <c r="L1758" s="8"/>
      <c r="M1758" s="8"/>
      <c r="N1758" s="11"/>
      <c r="O1758" s="9"/>
      <c r="P1758" s="12"/>
      <c r="Q1758" s="9"/>
      <c r="R1758" s="13"/>
      <c r="S1758" s="11"/>
      <c r="T1758" s="11"/>
      <c r="U1758" s="9"/>
      <c r="V1758" s="9"/>
      <c r="W1758" s="9"/>
      <c r="X1758" s="16"/>
      <c r="AF1758" s="42">
        <f>IF(BUSCAR!$C$8="FECHA NAC.",$G1758,IF(BUSCAR!$C$8="PASAPORTE EXPIRA",$J1758,IF(BUSCAR!$C$8="LICENCIA EMISION",$L1758,IF(BUSCAR!$C$8="LICENCIA EXPIRA",$M1758,""))))</f>
      </c>
      <c r="AG1758" s="42">
        <f>IF($B1758&amp;$C1758&amp;$D1758&amp;$E1758&amp;$H1758="",0,IF(AND(OR(BUSCAR!$J$5="",ISNUMBER(SEARCH(BUSCAR!$J$5,$AI1758))),OR(BUSCAR!$J$6="",ISNUMBER(SEARCH(BUSCAR!$J$6,$AI1758))),OR(BUSCAR!$J$8="",ISNUMBER(SEARCH(BUSCAR!$J$8,$AI1758))),OR(BUSCAR!$J$9="",ISNUMBER(SEARCH(BUSCAR!$J$9,$AI1758))),OR(NOT(BUSCAR!$J$2),AND(ISNUMBER($AF1758),$AF1758&gt;=BUSCAR!$J$3,$AF1758&lt;=BUSCAR!$J$4))),1,0))</f>
      </c>
      <c r="AH1758" s="42">
        <f t="shared" si="81"/>
      </c>
      <c r="AI1758" s="42">
        <f t="shared" si="82"/>
      </c>
    </row>
    <row r="1759" spans="1:35" x14ac:dyDescent="0.2">
      <c r="A1759" s="66">
        <f t="shared" si="83"/>
      </c>
      <c r="B1759" s="4"/>
      <c r="C1759" s="4"/>
      <c r="D1759" s="4"/>
      <c r="E1759" s="4"/>
      <c r="F1759" s="24"/>
      <c r="G1759" s="8"/>
      <c r="H1759" s="9"/>
      <c r="I1759" s="8"/>
      <c r="J1759" s="10"/>
      <c r="K1759" s="8"/>
      <c r="L1759" s="8"/>
      <c r="M1759" s="8"/>
      <c r="N1759" s="11"/>
      <c r="O1759" s="9"/>
      <c r="P1759" s="12"/>
      <c r="Q1759" s="9"/>
      <c r="R1759" s="13"/>
      <c r="S1759" s="11"/>
      <c r="T1759" s="11"/>
      <c r="U1759" s="9"/>
      <c r="V1759" s="9"/>
      <c r="W1759" s="9"/>
      <c r="X1759" s="16"/>
      <c r="AF1759" s="42">
        <f>IF(BUSCAR!$C$8="FECHA NAC.",$G1759,IF(BUSCAR!$C$8="PASAPORTE EXPIRA",$J1759,IF(BUSCAR!$C$8="LICENCIA EMISION",$L1759,IF(BUSCAR!$C$8="LICENCIA EXPIRA",$M1759,""))))</f>
      </c>
      <c r="AG1759" s="42">
        <f>IF($B1759&amp;$C1759&amp;$D1759&amp;$E1759&amp;$H1759="",0,IF(AND(OR(BUSCAR!$J$5="",ISNUMBER(SEARCH(BUSCAR!$J$5,$AI1759))),OR(BUSCAR!$J$6="",ISNUMBER(SEARCH(BUSCAR!$J$6,$AI1759))),OR(BUSCAR!$J$8="",ISNUMBER(SEARCH(BUSCAR!$J$8,$AI1759))),OR(BUSCAR!$J$9="",ISNUMBER(SEARCH(BUSCAR!$J$9,$AI1759))),OR(NOT(BUSCAR!$J$2),AND(ISNUMBER($AF1759),$AF1759&gt;=BUSCAR!$J$3,$AF1759&lt;=BUSCAR!$J$4))),1,0))</f>
      </c>
      <c r="AH1759" s="42">
        <f t="shared" si="81"/>
      </c>
      <c r="AI1759" s="42">
        <f t="shared" si="82"/>
      </c>
    </row>
    <row r="1760" spans="1:35" x14ac:dyDescent="0.2">
      <c r="A1760" s="66">
        <f t="shared" si="83"/>
      </c>
      <c r="B1760" s="4"/>
      <c r="C1760" s="4"/>
      <c r="D1760" s="4"/>
      <c r="E1760" s="4"/>
      <c r="F1760" s="24"/>
      <c r="G1760" s="8"/>
      <c r="H1760" s="9"/>
      <c r="I1760" s="8"/>
      <c r="J1760" s="10"/>
      <c r="K1760" s="8"/>
      <c r="L1760" s="8"/>
      <c r="M1760" s="8"/>
      <c r="N1760" s="11"/>
      <c r="O1760" s="9"/>
      <c r="P1760" s="12"/>
      <c r="Q1760" s="9"/>
      <c r="R1760" s="13"/>
      <c r="S1760" s="11"/>
      <c r="T1760" s="11"/>
      <c r="U1760" s="9"/>
      <c r="V1760" s="9"/>
      <c r="W1760" s="9"/>
      <c r="X1760" s="16"/>
      <c r="AF1760" s="42">
        <f>IF(BUSCAR!$C$8="FECHA NAC.",$G1760,IF(BUSCAR!$C$8="PASAPORTE EXPIRA",$J1760,IF(BUSCAR!$C$8="LICENCIA EMISION",$L1760,IF(BUSCAR!$C$8="LICENCIA EXPIRA",$M1760,""))))</f>
      </c>
      <c r="AG1760" s="42">
        <f>IF($B1760&amp;$C1760&amp;$D1760&amp;$E1760&amp;$H1760="",0,IF(AND(OR(BUSCAR!$J$5="",ISNUMBER(SEARCH(BUSCAR!$J$5,$AI1760))),OR(BUSCAR!$J$6="",ISNUMBER(SEARCH(BUSCAR!$J$6,$AI1760))),OR(BUSCAR!$J$8="",ISNUMBER(SEARCH(BUSCAR!$J$8,$AI1760))),OR(BUSCAR!$J$9="",ISNUMBER(SEARCH(BUSCAR!$J$9,$AI1760))),OR(NOT(BUSCAR!$J$2),AND(ISNUMBER($AF1760),$AF1760&gt;=BUSCAR!$J$3,$AF1760&lt;=BUSCAR!$J$4))),1,0))</f>
      </c>
      <c r="AH1760" s="42">
        <f t="shared" si="81"/>
      </c>
      <c r="AI1760" s="42">
        <f t="shared" si="82"/>
      </c>
    </row>
    <row r="1761" spans="1:35" x14ac:dyDescent="0.2">
      <c r="A1761" s="66">
        <f t="shared" si="83"/>
      </c>
      <c r="B1761" s="4"/>
      <c r="C1761" s="4"/>
      <c r="D1761" s="4"/>
      <c r="E1761" s="4"/>
      <c r="F1761" s="24"/>
      <c r="G1761" s="8"/>
      <c r="H1761" s="9"/>
      <c r="I1761" s="8"/>
      <c r="J1761" s="10"/>
      <c r="K1761" s="8"/>
      <c r="L1761" s="8"/>
      <c r="M1761" s="8"/>
      <c r="N1761" s="11"/>
      <c r="O1761" s="9"/>
      <c r="P1761" s="12"/>
      <c r="Q1761" s="9"/>
      <c r="R1761" s="13"/>
      <c r="S1761" s="11"/>
      <c r="T1761" s="11"/>
      <c r="U1761" s="9"/>
      <c r="V1761" s="9"/>
      <c r="W1761" s="9"/>
      <c r="X1761" s="16"/>
      <c r="AF1761" s="42">
        <f>IF(BUSCAR!$C$8="FECHA NAC.",$G1761,IF(BUSCAR!$C$8="PASAPORTE EXPIRA",$J1761,IF(BUSCAR!$C$8="LICENCIA EMISION",$L1761,IF(BUSCAR!$C$8="LICENCIA EXPIRA",$M1761,""))))</f>
      </c>
      <c r="AG1761" s="42">
        <f>IF($B1761&amp;$C1761&amp;$D1761&amp;$E1761&amp;$H1761="",0,IF(AND(OR(BUSCAR!$J$5="",ISNUMBER(SEARCH(BUSCAR!$J$5,$AI1761))),OR(BUSCAR!$J$6="",ISNUMBER(SEARCH(BUSCAR!$J$6,$AI1761))),OR(BUSCAR!$J$8="",ISNUMBER(SEARCH(BUSCAR!$J$8,$AI1761))),OR(BUSCAR!$J$9="",ISNUMBER(SEARCH(BUSCAR!$J$9,$AI1761))),OR(NOT(BUSCAR!$J$2),AND(ISNUMBER($AF1761),$AF1761&gt;=BUSCAR!$J$3,$AF1761&lt;=BUSCAR!$J$4))),1,0))</f>
      </c>
      <c r="AH1761" s="42">
        <f t="shared" si="81"/>
      </c>
      <c r="AI1761" s="42">
        <f t="shared" si="82"/>
      </c>
    </row>
    <row r="1762" spans="1:35" x14ac:dyDescent="0.2">
      <c r="A1762" s="66">
        <f t="shared" si="83"/>
      </c>
      <c r="B1762" s="4"/>
      <c r="C1762" s="4"/>
      <c r="D1762" s="4"/>
      <c r="E1762" s="4"/>
      <c r="F1762" s="24"/>
      <c r="G1762" s="8"/>
      <c r="H1762" s="9"/>
      <c r="I1762" s="8"/>
      <c r="J1762" s="10"/>
      <c r="K1762" s="8"/>
      <c r="L1762" s="8"/>
      <c r="M1762" s="8"/>
      <c r="N1762" s="11"/>
      <c r="O1762" s="9"/>
      <c r="P1762" s="12"/>
      <c r="Q1762" s="9"/>
      <c r="R1762" s="13"/>
      <c r="S1762" s="11"/>
      <c r="T1762" s="11"/>
      <c r="U1762" s="9"/>
      <c r="V1762" s="9"/>
      <c r="W1762" s="9"/>
      <c r="X1762" s="16"/>
      <c r="AF1762" s="42">
        <f>IF(BUSCAR!$C$8="FECHA NAC.",$G1762,IF(BUSCAR!$C$8="PASAPORTE EXPIRA",$J1762,IF(BUSCAR!$C$8="LICENCIA EMISION",$L1762,IF(BUSCAR!$C$8="LICENCIA EXPIRA",$M1762,""))))</f>
      </c>
      <c r="AG1762" s="42">
        <f>IF($B1762&amp;$C1762&amp;$D1762&amp;$E1762&amp;$H1762="",0,IF(AND(OR(BUSCAR!$J$5="",ISNUMBER(SEARCH(BUSCAR!$J$5,$AI1762))),OR(BUSCAR!$J$6="",ISNUMBER(SEARCH(BUSCAR!$J$6,$AI1762))),OR(BUSCAR!$J$8="",ISNUMBER(SEARCH(BUSCAR!$J$8,$AI1762))),OR(BUSCAR!$J$9="",ISNUMBER(SEARCH(BUSCAR!$J$9,$AI1762))),OR(NOT(BUSCAR!$J$2),AND(ISNUMBER($AF1762),$AF1762&gt;=BUSCAR!$J$3,$AF1762&lt;=BUSCAR!$J$4))),1,0))</f>
      </c>
      <c r="AH1762" s="42">
        <f t="shared" si="81"/>
      </c>
      <c r="AI1762" s="42">
        <f t="shared" si="82"/>
      </c>
    </row>
    <row r="1763" spans="1:35" x14ac:dyDescent="0.2">
      <c r="A1763" s="66">
        <f t="shared" si="83"/>
      </c>
      <c r="B1763" s="4"/>
      <c r="C1763" s="4"/>
      <c r="D1763" s="4"/>
      <c r="E1763" s="4"/>
      <c r="F1763" s="24"/>
      <c r="G1763" s="8"/>
      <c r="H1763" s="9"/>
      <c r="I1763" s="8"/>
      <c r="J1763" s="10"/>
      <c r="K1763" s="8"/>
      <c r="L1763" s="8"/>
      <c r="M1763" s="8"/>
      <c r="N1763" s="11"/>
      <c r="O1763" s="9"/>
      <c r="P1763" s="12"/>
      <c r="Q1763" s="9"/>
      <c r="R1763" s="13"/>
      <c r="S1763" s="11"/>
      <c r="T1763" s="11"/>
      <c r="U1763" s="9"/>
      <c r="V1763" s="9"/>
      <c r="W1763" s="9"/>
      <c r="X1763" s="16"/>
      <c r="AF1763" s="42">
        <f>IF(BUSCAR!$C$8="FECHA NAC.",$G1763,IF(BUSCAR!$C$8="PASAPORTE EXPIRA",$J1763,IF(BUSCAR!$C$8="LICENCIA EMISION",$L1763,IF(BUSCAR!$C$8="LICENCIA EXPIRA",$M1763,""))))</f>
      </c>
      <c r="AG1763" s="42">
        <f>IF($B1763&amp;$C1763&amp;$D1763&amp;$E1763&amp;$H1763="",0,IF(AND(OR(BUSCAR!$J$5="",ISNUMBER(SEARCH(BUSCAR!$J$5,$AI1763))),OR(BUSCAR!$J$6="",ISNUMBER(SEARCH(BUSCAR!$J$6,$AI1763))),OR(BUSCAR!$J$8="",ISNUMBER(SEARCH(BUSCAR!$J$8,$AI1763))),OR(BUSCAR!$J$9="",ISNUMBER(SEARCH(BUSCAR!$J$9,$AI1763))),OR(NOT(BUSCAR!$J$2),AND(ISNUMBER($AF1763),$AF1763&gt;=BUSCAR!$J$3,$AF1763&lt;=BUSCAR!$J$4))),1,0))</f>
      </c>
      <c r="AH1763" s="42">
        <f t="shared" si="81"/>
      </c>
      <c r="AI1763" s="42">
        <f t="shared" si="82"/>
      </c>
    </row>
    <row r="1764" spans="1:35" x14ac:dyDescent="0.2">
      <c r="A1764" s="66">
        <f t="shared" si="83"/>
      </c>
      <c r="B1764" s="4"/>
      <c r="C1764" s="4"/>
      <c r="D1764" s="4"/>
      <c r="E1764" s="4"/>
      <c r="F1764" s="24"/>
      <c r="G1764" s="8"/>
      <c r="H1764" s="9"/>
      <c r="I1764" s="8"/>
      <c r="J1764" s="10"/>
      <c r="K1764" s="8"/>
      <c r="L1764" s="8"/>
      <c r="M1764" s="8"/>
      <c r="N1764" s="11"/>
      <c r="O1764" s="9"/>
      <c r="P1764" s="12"/>
      <c r="Q1764" s="9"/>
      <c r="R1764" s="13"/>
      <c r="S1764" s="11"/>
      <c r="T1764" s="11"/>
      <c r="U1764" s="9"/>
      <c r="V1764" s="9"/>
      <c r="W1764" s="9"/>
      <c r="X1764" s="16"/>
      <c r="AF1764" s="42">
        <f>IF(BUSCAR!$C$8="FECHA NAC.",$G1764,IF(BUSCAR!$C$8="PASAPORTE EXPIRA",$J1764,IF(BUSCAR!$C$8="LICENCIA EMISION",$L1764,IF(BUSCAR!$C$8="LICENCIA EXPIRA",$M1764,""))))</f>
      </c>
      <c r="AG1764" s="42">
        <f>IF($B1764&amp;$C1764&amp;$D1764&amp;$E1764&amp;$H1764="",0,IF(AND(OR(BUSCAR!$J$5="",ISNUMBER(SEARCH(BUSCAR!$J$5,$AI1764))),OR(BUSCAR!$J$6="",ISNUMBER(SEARCH(BUSCAR!$J$6,$AI1764))),OR(BUSCAR!$J$8="",ISNUMBER(SEARCH(BUSCAR!$J$8,$AI1764))),OR(BUSCAR!$J$9="",ISNUMBER(SEARCH(BUSCAR!$J$9,$AI1764))),OR(NOT(BUSCAR!$J$2),AND(ISNUMBER($AF1764),$AF1764&gt;=BUSCAR!$J$3,$AF1764&lt;=BUSCAR!$J$4))),1,0))</f>
      </c>
      <c r="AH1764" s="42">
        <f t="shared" si="81"/>
      </c>
      <c r="AI1764" s="42">
        <f t="shared" si="82"/>
      </c>
    </row>
    <row r="1765" spans="1:35" x14ac:dyDescent="0.2">
      <c r="A1765" s="66">
        <f t="shared" si="83"/>
      </c>
      <c r="B1765" s="4"/>
      <c r="C1765" s="4"/>
      <c r="D1765" s="4"/>
      <c r="E1765" s="4"/>
      <c r="F1765" s="24"/>
      <c r="G1765" s="8"/>
      <c r="H1765" s="9"/>
      <c r="I1765" s="8"/>
      <c r="J1765" s="10"/>
      <c r="K1765" s="8"/>
      <c r="L1765" s="8"/>
      <c r="M1765" s="8"/>
      <c r="N1765" s="11"/>
      <c r="O1765" s="9"/>
      <c r="P1765" s="12"/>
      <c r="Q1765" s="9"/>
      <c r="R1765" s="13"/>
      <c r="S1765" s="11"/>
      <c r="T1765" s="11"/>
      <c r="U1765" s="9"/>
      <c r="V1765" s="9"/>
      <c r="W1765" s="9"/>
      <c r="X1765" s="16"/>
      <c r="AF1765" s="42">
        <f>IF(BUSCAR!$C$8="FECHA NAC.",$G1765,IF(BUSCAR!$C$8="PASAPORTE EXPIRA",$J1765,IF(BUSCAR!$C$8="LICENCIA EMISION",$L1765,IF(BUSCAR!$C$8="LICENCIA EXPIRA",$M1765,""))))</f>
      </c>
      <c r="AG1765" s="42">
        <f>IF($B1765&amp;$C1765&amp;$D1765&amp;$E1765&amp;$H1765="",0,IF(AND(OR(BUSCAR!$J$5="",ISNUMBER(SEARCH(BUSCAR!$J$5,$AI1765))),OR(BUSCAR!$J$6="",ISNUMBER(SEARCH(BUSCAR!$J$6,$AI1765))),OR(BUSCAR!$J$8="",ISNUMBER(SEARCH(BUSCAR!$J$8,$AI1765))),OR(BUSCAR!$J$9="",ISNUMBER(SEARCH(BUSCAR!$J$9,$AI1765))),OR(NOT(BUSCAR!$J$2),AND(ISNUMBER($AF1765),$AF1765&gt;=BUSCAR!$J$3,$AF1765&lt;=BUSCAR!$J$4))),1,0))</f>
      </c>
      <c r="AH1765" s="42">
        <f t="shared" si="81"/>
      </c>
      <c r="AI1765" s="42">
        <f t="shared" si="82"/>
      </c>
    </row>
    <row r="1766" spans="1:35" x14ac:dyDescent="0.2">
      <c r="A1766" s="66">
        <f t="shared" si="83"/>
      </c>
      <c r="B1766" s="4"/>
      <c r="C1766" s="4"/>
      <c r="D1766" s="4"/>
      <c r="E1766" s="4"/>
      <c r="F1766" s="24"/>
      <c r="G1766" s="8"/>
      <c r="H1766" s="9"/>
      <c r="I1766" s="8"/>
      <c r="J1766" s="10"/>
      <c r="K1766" s="8"/>
      <c r="L1766" s="8"/>
      <c r="M1766" s="8"/>
      <c r="N1766" s="11"/>
      <c r="O1766" s="9"/>
      <c r="P1766" s="12"/>
      <c r="Q1766" s="9"/>
      <c r="R1766" s="13"/>
      <c r="S1766" s="11"/>
      <c r="T1766" s="11"/>
      <c r="U1766" s="9"/>
      <c r="V1766" s="9"/>
      <c r="W1766" s="9"/>
      <c r="X1766" s="16"/>
      <c r="AF1766" s="42">
        <f>IF(BUSCAR!$C$8="FECHA NAC.",$G1766,IF(BUSCAR!$C$8="PASAPORTE EXPIRA",$J1766,IF(BUSCAR!$C$8="LICENCIA EMISION",$L1766,IF(BUSCAR!$C$8="LICENCIA EXPIRA",$M1766,""))))</f>
      </c>
      <c r="AG1766" s="42">
        <f>IF($B1766&amp;$C1766&amp;$D1766&amp;$E1766&amp;$H1766="",0,IF(AND(OR(BUSCAR!$J$5="",ISNUMBER(SEARCH(BUSCAR!$J$5,$AI1766))),OR(BUSCAR!$J$6="",ISNUMBER(SEARCH(BUSCAR!$J$6,$AI1766))),OR(BUSCAR!$J$8="",ISNUMBER(SEARCH(BUSCAR!$J$8,$AI1766))),OR(BUSCAR!$J$9="",ISNUMBER(SEARCH(BUSCAR!$J$9,$AI1766))),OR(NOT(BUSCAR!$J$2),AND(ISNUMBER($AF1766),$AF1766&gt;=BUSCAR!$J$3,$AF1766&lt;=BUSCAR!$J$4))),1,0))</f>
      </c>
      <c r="AH1766" s="42">
        <f t="shared" si="81"/>
      </c>
      <c r="AI1766" s="42">
        <f t="shared" si="82"/>
      </c>
    </row>
    <row r="1767" spans="1:35" x14ac:dyDescent="0.2">
      <c r="A1767" s="66">
        <f t="shared" si="83"/>
      </c>
      <c r="B1767" s="4"/>
      <c r="C1767" s="4"/>
      <c r="D1767" s="4"/>
      <c r="E1767" s="4"/>
      <c r="F1767" s="24"/>
      <c r="G1767" s="8"/>
      <c r="H1767" s="9"/>
      <c r="I1767" s="8"/>
      <c r="J1767" s="10"/>
      <c r="K1767" s="8"/>
      <c r="L1767" s="8"/>
      <c r="M1767" s="8"/>
      <c r="N1767" s="11"/>
      <c r="O1767" s="9"/>
      <c r="P1767" s="12"/>
      <c r="Q1767" s="9"/>
      <c r="R1767" s="13"/>
      <c r="S1767" s="11"/>
      <c r="T1767" s="11"/>
      <c r="U1767" s="9"/>
      <c r="V1767" s="9"/>
      <c r="W1767" s="9"/>
      <c r="X1767" s="16"/>
      <c r="AF1767" s="42">
        <f>IF(BUSCAR!$C$8="FECHA NAC.",$G1767,IF(BUSCAR!$C$8="PASAPORTE EXPIRA",$J1767,IF(BUSCAR!$C$8="LICENCIA EMISION",$L1767,IF(BUSCAR!$C$8="LICENCIA EXPIRA",$M1767,""))))</f>
      </c>
      <c r="AG1767" s="42">
        <f>IF($B1767&amp;$C1767&amp;$D1767&amp;$E1767&amp;$H1767="",0,IF(AND(OR(BUSCAR!$J$5="",ISNUMBER(SEARCH(BUSCAR!$J$5,$AI1767))),OR(BUSCAR!$J$6="",ISNUMBER(SEARCH(BUSCAR!$J$6,$AI1767))),OR(BUSCAR!$J$8="",ISNUMBER(SEARCH(BUSCAR!$J$8,$AI1767))),OR(BUSCAR!$J$9="",ISNUMBER(SEARCH(BUSCAR!$J$9,$AI1767))),OR(NOT(BUSCAR!$J$2),AND(ISNUMBER($AF1767),$AF1767&gt;=BUSCAR!$J$3,$AF1767&lt;=BUSCAR!$J$4))),1,0))</f>
      </c>
      <c r="AH1767" s="42">
        <f t="shared" si="81"/>
      </c>
      <c r="AI1767" s="42">
        <f t="shared" si="82"/>
      </c>
    </row>
    <row r="1768" spans="1:35" x14ac:dyDescent="0.2">
      <c r="A1768" s="66">
        <f t="shared" si="83"/>
      </c>
      <c r="B1768" s="4"/>
      <c r="C1768" s="4"/>
      <c r="D1768" s="4"/>
      <c r="E1768" s="4"/>
      <c r="F1768" s="24"/>
      <c r="G1768" s="8"/>
      <c r="H1768" s="9"/>
      <c r="I1768" s="8"/>
      <c r="J1768" s="10"/>
      <c r="K1768" s="8"/>
      <c r="L1768" s="8"/>
      <c r="M1768" s="8"/>
      <c r="N1768" s="11"/>
      <c r="O1768" s="9"/>
      <c r="P1768" s="12"/>
      <c r="Q1768" s="9"/>
      <c r="R1768" s="13"/>
      <c r="S1768" s="11"/>
      <c r="T1768" s="11"/>
      <c r="U1768" s="9"/>
      <c r="V1768" s="9"/>
      <c r="W1768" s="9"/>
      <c r="X1768" s="16"/>
      <c r="AF1768" s="42">
        <f>IF(BUSCAR!$C$8="FECHA NAC.",$G1768,IF(BUSCAR!$C$8="PASAPORTE EXPIRA",$J1768,IF(BUSCAR!$C$8="LICENCIA EMISION",$L1768,IF(BUSCAR!$C$8="LICENCIA EXPIRA",$M1768,""))))</f>
      </c>
      <c r="AG1768" s="42">
        <f>IF($B1768&amp;$C1768&amp;$D1768&amp;$E1768&amp;$H1768="",0,IF(AND(OR(BUSCAR!$J$5="",ISNUMBER(SEARCH(BUSCAR!$J$5,$AI1768))),OR(BUSCAR!$J$6="",ISNUMBER(SEARCH(BUSCAR!$J$6,$AI1768))),OR(BUSCAR!$J$8="",ISNUMBER(SEARCH(BUSCAR!$J$8,$AI1768))),OR(BUSCAR!$J$9="",ISNUMBER(SEARCH(BUSCAR!$J$9,$AI1768))),OR(NOT(BUSCAR!$J$2),AND(ISNUMBER($AF1768),$AF1768&gt;=BUSCAR!$J$3,$AF1768&lt;=BUSCAR!$J$4))),1,0))</f>
      </c>
      <c r="AH1768" s="42">
        <f t="shared" si="81"/>
      </c>
      <c r="AI1768" s="42">
        <f t="shared" si="82"/>
      </c>
    </row>
    <row r="1769" spans="1:35" x14ac:dyDescent="0.2">
      <c r="A1769" s="66">
        <f t="shared" si="83"/>
      </c>
      <c r="B1769" s="4"/>
      <c r="C1769" s="4"/>
      <c r="D1769" s="4"/>
      <c r="E1769" s="4"/>
      <c r="F1769" s="24"/>
      <c r="G1769" s="8"/>
      <c r="H1769" s="9"/>
      <c r="I1769" s="8"/>
      <c r="J1769" s="10"/>
      <c r="K1769" s="8"/>
      <c r="L1769" s="8"/>
      <c r="M1769" s="8"/>
      <c r="N1769" s="11"/>
      <c r="O1769" s="9"/>
      <c r="P1769" s="12"/>
      <c r="Q1769" s="9"/>
      <c r="R1769" s="13"/>
      <c r="S1769" s="11"/>
      <c r="T1769" s="11"/>
      <c r="U1769" s="9"/>
      <c r="V1769" s="9"/>
      <c r="W1769" s="9"/>
      <c r="X1769" s="16"/>
      <c r="AF1769" s="42">
        <f>IF(BUSCAR!$C$8="FECHA NAC.",$G1769,IF(BUSCAR!$C$8="PASAPORTE EXPIRA",$J1769,IF(BUSCAR!$C$8="LICENCIA EMISION",$L1769,IF(BUSCAR!$C$8="LICENCIA EXPIRA",$M1769,""))))</f>
      </c>
      <c r="AG1769" s="42">
        <f>IF($B1769&amp;$C1769&amp;$D1769&amp;$E1769&amp;$H1769="",0,IF(AND(OR(BUSCAR!$J$5="",ISNUMBER(SEARCH(BUSCAR!$J$5,$AI1769))),OR(BUSCAR!$J$6="",ISNUMBER(SEARCH(BUSCAR!$J$6,$AI1769))),OR(BUSCAR!$J$8="",ISNUMBER(SEARCH(BUSCAR!$J$8,$AI1769))),OR(BUSCAR!$J$9="",ISNUMBER(SEARCH(BUSCAR!$J$9,$AI1769))),OR(NOT(BUSCAR!$J$2),AND(ISNUMBER($AF1769),$AF1769&gt;=BUSCAR!$J$3,$AF1769&lt;=BUSCAR!$J$4))),1,0))</f>
      </c>
      <c r="AH1769" s="42">
        <f t="shared" si="81"/>
      </c>
      <c r="AI1769" s="42">
        <f t="shared" si="82"/>
      </c>
    </row>
    <row r="1770" spans="1:35" x14ac:dyDescent="0.2">
      <c r="A1770" s="66">
        <f t="shared" si="83"/>
      </c>
      <c r="B1770" s="4"/>
      <c r="C1770" s="4"/>
      <c r="D1770" s="4"/>
      <c r="E1770" s="4"/>
      <c r="F1770" s="24"/>
      <c r="G1770" s="8"/>
      <c r="H1770" s="9"/>
      <c r="I1770" s="8"/>
      <c r="J1770" s="10"/>
      <c r="K1770" s="8"/>
      <c r="L1770" s="8"/>
      <c r="M1770" s="8"/>
      <c r="N1770" s="11"/>
      <c r="O1770" s="9"/>
      <c r="P1770" s="12"/>
      <c r="Q1770" s="9"/>
      <c r="R1770" s="13"/>
      <c r="S1770" s="11"/>
      <c r="T1770" s="11"/>
      <c r="U1770" s="9"/>
      <c r="V1770" s="9"/>
      <c r="W1770" s="9"/>
      <c r="X1770" s="16"/>
      <c r="AF1770" s="42">
        <f>IF(BUSCAR!$C$8="FECHA NAC.",$G1770,IF(BUSCAR!$C$8="PASAPORTE EXPIRA",$J1770,IF(BUSCAR!$C$8="LICENCIA EMISION",$L1770,IF(BUSCAR!$C$8="LICENCIA EXPIRA",$M1770,""))))</f>
      </c>
      <c r="AG1770" s="42">
        <f>IF($B1770&amp;$C1770&amp;$D1770&amp;$E1770&amp;$H1770="",0,IF(AND(OR(BUSCAR!$J$5="",ISNUMBER(SEARCH(BUSCAR!$J$5,$AI1770))),OR(BUSCAR!$J$6="",ISNUMBER(SEARCH(BUSCAR!$J$6,$AI1770))),OR(BUSCAR!$J$8="",ISNUMBER(SEARCH(BUSCAR!$J$8,$AI1770))),OR(BUSCAR!$J$9="",ISNUMBER(SEARCH(BUSCAR!$J$9,$AI1770))),OR(NOT(BUSCAR!$J$2),AND(ISNUMBER($AF1770),$AF1770&gt;=BUSCAR!$J$3,$AF1770&lt;=BUSCAR!$J$4))),1,0))</f>
      </c>
      <c r="AH1770" s="42">
        <f t="shared" si="81"/>
      </c>
      <c r="AI1770" s="42">
        <f t="shared" si="82"/>
      </c>
    </row>
    <row r="1771" spans="1:35" x14ac:dyDescent="0.2">
      <c r="A1771" s="66">
        <f t="shared" si="83"/>
      </c>
      <c r="B1771" s="4"/>
      <c r="C1771" s="4"/>
      <c r="D1771" s="4"/>
      <c r="E1771" s="4"/>
      <c r="F1771" s="24"/>
      <c r="G1771" s="8"/>
      <c r="H1771" s="9"/>
      <c r="I1771" s="8"/>
      <c r="J1771" s="10"/>
      <c r="K1771" s="8"/>
      <c r="L1771" s="8"/>
      <c r="M1771" s="8"/>
      <c r="N1771" s="11"/>
      <c r="O1771" s="9"/>
      <c r="P1771" s="12"/>
      <c r="Q1771" s="9"/>
      <c r="R1771" s="13"/>
      <c r="S1771" s="11"/>
      <c r="T1771" s="11"/>
      <c r="U1771" s="9"/>
      <c r="V1771" s="9"/>
      <c r="W1771" s="9"/>
      <c r="X1771" s="16"/>
      <c r="AF1771" s="42">
        <f>IF(BUSCAR!$C$8="FECHA NAC.",$G1771,IF(BUSCAR!$C$8="PASAPORTE EXPIRA",$J1771,IF(BUSCAR!$C$8="LICENCIA EMISION",$L1771,IF(BUSCAR!$C$8="LICENCIA EXPIRA",$M1771,""))))</f>
      </c>
      <c r="AG1771" s="42">
        <f>IF($B1771&amp;$C1771&amp;$D1771&amp;$E1771&amp;$H1771="",0,IF(AND(OR(BUSCAR!$J$5="",ISNUMBER(SEARCH(BUSCAR!$J$5,$AI1771))),OR(BUSCAR!$J$6="",ISNUMBER(SEARCH(BUSCAR!$J$6,$AI1771))),OR(BUSCAR!$J$8="",ISNUMBER(SEARCH(BUSCAR!$J$8,$AI1771))),OR(BUSCAR!$J$9="",ISNUMBER(SEARCH(BUSCAR!$J$9,$AI1771))),OR(NOT(BUSCAR!$J$2),AND(ISNUMBER($AF1771),$AF1771&gt;=BUSCAR!$J$3,$AF1771&lt;=BUSCAR!$J$4))),1,0))</f>
      </c>
      <c r="AH1771" s="42">
        <f t="shared" si="81"/>
      </c>
      <c r="AI1771" s="42">
        <f t="shared" si="82"/>
      </c>
    </row>
    <row r="1772" spans="1:35" x14ac:dyDescent="0.2">
      <c r="A1772" s="66">
        <f t="shared" si="83"/>
      </c>
      <c r="B1772" s="4"/>
      <c r="C1772" s="4"/>
      <c r="D1772" s="4"/>
      <c r="E1772" s="4"/>
      <c r="F1772" s="24"/>
      <c r="G1772" s="8"/>
      <c r="H1772" s="9"/>
      <c r="I1772" s="8"/>
      <c r="J1772" s="10"/>
      <c r="K1772" s="8"/>
      <c r="L1772" s="8"/>
      <c r="M1772" s="8"/>
      <c r="N1772" s="11"/>
      <c r="O1772" s="9"/>
      <c r="P1772" s="12"/>
      <c r="Q1772" s="9"/>
      <c r="R1772" s="13"/>
      <c r="S1772" s="11"/>
      <c r="T1772" s="11"/>
      <c r="U1772" s="9"/>
      <c r="V1772" s="9"/>
      <c r="W1772" s="9"/>
      <c r="X1772" s="16"/>
      <c r="AF1772" s="42">
        <f>IF(BUSCAR!$C$8="FECHA NAC.",$G1772,IF(BUSCAR!$C$8="PASAPORTE EXPIRA",$J1772,IF(BUSCAR!$C$8="LICENCIA EMISION",$L1772,IF(BUSCAR!$C$8="LICENCIA EXPIRA",$M1772,""))))</f>
      </c>
      <c r="AG1772" s="42">
        <f>IF($B1772&amp;$C1772&amp;$D1772&amp;$E1772&amp;$H1772="",0,IF(AND(OR(BUSCAR!$J$5="",ISNUMBER(SEARCH(BUSCAR!$J$5,$AI1772))),OR(BUSCAR!$J$6="",ISNUMBER(SEARCH(BUSCAR!$J$6,$AI1772))),OR(BUSCAR!$J$8="",ISNUMBER(SEARCH(BUSCAR!$J$8,$AI1772))),OR(BUSCAR!$J$9="",ISNUMBER(SEARCH(BUSCAR!$J$9,$AI1772))),OR(NOT(BUSCAR!$J$2),AND(ISNUMBER($AF1772),$AF1772&gt;=BUSCAR!$J$3,$AF1772&lt;=BUSCAR!$J$4))),1,0))</f>
      </c>
      <c r="AH1772" s="42">
        <f t="shared" si="81"/>
      </c>
      <c r="AI1772" s="42">
        <f t="shared" si="82"/>
      </c>
    </row>
    <row r="1773" spans="1:35" x14ac:dyDescent="0.2">
      <c r="A1773" s="66">
        <f t="shared" si="83"/>
      </c>
      <c r="B1773" s="4"/>
      <c r="C1773" s="4"/>
      <c r="D1773" s="4"/>
      <c r="E1773" s="4"/>
      <c r="F1773" s="24"/>
      <c r="G1773" s="8"/>
      <c r="H1773" s="9"/>
      <c r="I1773" s="8"/>
      <c r="J1773" s="10"/>
      <c r="K1773" s="8"/>
      <c r="L1773" s="8"/>
      <c r="M1773" s="8"/>
      <c r="N1773" s="11"/>
      <c r="O1773" s="9"/>
      <c r="P1773" s="12"/>
      <c r="Q1773" s="9"/>
      <c r="R1773" s="13"/>
      <c r="S1773" s="11"/>
      <c r="T1773" s="11"/>
      <c r="U1773" s="9"/>
      <c r="V1773" s="9"/>
      <c r="W1773" s="9"/>
      <c r="X1773" s="16"/>
      <c r="AF1773" s="42">
        <f>IF(BUSCAR!$C$8="FECHA NAC.",$G1773,IF(BUSCAR!$C$8="PASAPORTE EXPIRA",$J1773,IF(BUSCAR!$C$8="LICENCIA EMISION",$L1773,IF(BUSCAR!$C$8="LICENCIA EXPIRA",$M1773,""))))</f>
      </c>
      <c r="AG1773" s="42">
        <f>IF($B1773&amp;$C1773&amp;$D1773&amp;$E1773&amp;$H1773="",0,IF(AND(OR(BUSCAR!$J$5="",ISNUMBER(SEARCH(BUSCAR!$J$5,$AI1773))),OR(BUSCAR!$J$6="",ISNUMBER(SEARCH(BUSCAR!$J$6,$AI1773))),OR(BUSCAR!$J$8="",ISNUMBER(SEARCH(BUSCAR!$J$8,$AI1773))),OR(BUSCAR!$J$9="",ISNUMBER(SEARCH(BUSCAR!$J$9,$AI1773))),OR(NOT(BUSCAR!$J$2),AND(ISNUMBER($AF1773),$AF1773&gt;=BUSCAR!$J$3,$AF1773&lt;=BUSCAR!$J$4))),1,0))</f>
      </c>
      <c r="AH1773" s="42">
        <f t="shared" si="81"/>
      </c>
      <c r="AI1773" s="42">
        <f t="shared" si="82"/>
      </c>
    </row>
    <row r="1774" spans="1:35" x14ac:dyDescent="0.2">
      <c r="A1774" s="66">
        <f t="shared" si="83"/>
      </c>
      <c r="B1774" s="4"/>
      <c r="C1774" s="4"/>
      <c r="D1774" s="4"/>
      <c r="E1774" s="4"/>
      <c r="F1774" s="24"/>
      <c r="G1774" s="8"/>
      <c r="H1774" s="9"/>
      <c r="I1774" s="8"/>
      <c r="J1774" s="10"/>
      <c r="K1774" s="8"/>
      <c r="L1774" s="8"/>
      <c r="M1774" s="8"/>
      <c r="N1774" s="11"/>
      <c r="O1774" s="9"/>
      <c r="P1774" s="12"/>
      <c r="Q1774" s="9"/>
      <c r="R1774" s="13"/>
      <c r="S1774" s="11"/>
      <c r="T1774" s="11"/>
      <c r="U1774" s="9"/>
      <c r="V1774" s="9"/>
      <c r="W1774" s="9"/>
      <c r="X1774" s="16"/>
      <c r="AF1774" s="42">
        <f>IF(BUSCAR!$C$8="FECHA NAC.",$G1774,IF(BUSCAR!$C$8="PASAPORTE EXPIRA",$J1774,IF(BUSCAR!$C$8="LICENCIA EMISION",$L1774,IF(BUSCAR!$C$8="LICENCIA EXPIRA",$M1774,""))))</f>
      </c>
      <c r="AG1774" s="42">
        <f>IF($B1774&amp;$C1774&amp;$D1774&amp;$E1774&amp;$H1774="",0,IF(AND(OR(BUSCAR!$J$5="",ISNUMBER(SEARCH(BUSCAR!$J$5,$AI1774))),OR(BUSCAR!$J$6="",ISNUMBER(SEARCH(BUSCAR!$J$6,$AI1774))),OR(BUSCAR!$J$8="",ISNUMBER(SEARCH(BUSCAR!$J$8,$AI1774))),OR(BUSCAR!$J$9="",ISNUMBER(SEARCH(BUSCAR!$J$9,$AI1774))),OR(NOT(BUSCAR!$J$2),AND(ISNUMBER($AF1774),$AF1774&gt;=BUSCAR!$J$3,$AF1774&lt;=BUSCAR!$J$4))),1,0))</f>
      </c>
      <c r="AH1774" s="42">
        <f t="shared" si="81"/>
      </c>
      <c r="AI1774" s="42">
        <f t="shared" si="82"/>
      </c>
    </row>
    <row r="1775" spans="1:35" x14ac:dyDescent="0.2">
      <c r="A1775" s="66">
        <f t="shared" si="83"/>
      </c>
      <c r="B1775" s="4"/>
      <c r="C1775" s="4"/>
      <c r="D1775" s="4"/>
      <c r="E1775" s="4"/>
      <c r="F1775" s="24"/>
      <c r="G1775" s="8"/>
      <c r="H1775" s="9"/>
      <c r="I1775" s="8"/>
      <c r="J1775" s="10"/>
      <c r="K1775" s="8"/>
      <c r="L1775" s="8"/>
      <c r="M1775" s="8"/>
      <c r="N1775" s="11"/>
      <c r="O1775" s="9"/>
      <c r="P1775" s="12"/>
      <c r="Q1775" s="9"/>
      <c r="R1775" s="13"/>
      <c r="S1775" s="11"/>
      <c r="T1775" s="11"/>
      <c r="U1775" s="9"/>
      <c r="V1775" s="9"/>
      <c r="W1775" s="9"/>
      <c r="X1775" s="16"/>
      <c r="AF1775" s="42">
        <f>IF(BUSCAR!$C$8="FECHA NAC.",$G1775,IF(BUSCAR!$C$8="PASAPORTE EXPIRA",$J1775,IF(BUSCAR!$C$8="LICENCIA EMISION",$L1775,IF(BUSCAR!$C$8="LICENCIA EXPIRA",$M1775,""))))</f>
      </c>
      <c r="AG1775" s="42">
        <f>IF($B1775&amp;$C1775&amp;$D1775&amp;$E1775&amp;$H1775="",0,IF(AND(OR(BUSCAR!$J$5="",ISNUMBER(SEARCH(BUSCAR!$J$5,$AI1775))),OR(BUSCAR!$J$6="",ISNUMBER(SEARCH(BUSCAR!$J$6,$AI1775))),OR(BUSCAR!$J$8="",ISNUMBER(SEARCH(BUSCAR!$J$8,$AI1775))),OR(BUSCAR!$J$9="",ISNUMBER(SEARCH(BUSCAR!$J$9,$AI1775))),OR(NOT(BUSCAR!$J$2),AND(ISNUMBER($AF1775),$AF1775&gt;=BUSCAR!$J$3,$AF1775&lt;=BUSCAR!$J$4))),1,0))</f>
      </c>
      <c r="AH1775" s="42">
        <f t="shared" si="81"/>
      </c>
      <c r="AI1775" s="42">
        <f t="shared" si="82"/>
      </c>
    </row>
    <row r="1776" spans="1:35" x14ac:dyDescent="0.2">
      <c r="A1776" s="66">
        <f t="shared" si="83"/>
      </c>
      <c r="B1776" s="4"/>
      <c r="C1776" s="4"/>
      <c r="D1776" s="4"/>
      <c r="E1776" s="4"/>
      <c r="F1776" s="24"/>
      <c r="G1776" s="8"/>
      <c r="H1776" s="9"/>
      <c r="I1776" s="8"/>
      <c r="J1776" s="10"/>
      <c r="K1776" s="8"/>
      <c r="L1776" s="8"/>
      <c r="M1776" s="8"/>
      <c r="N1776" s="11"/>
      <c r="O1776" s="9"/>
      <c r="P1776" s="12"/>
      <c r="Q1776" s="9"/>
      <c r="R1776" s="13"/>
      <c r="S1776" s="11"/>
      <c r="T1776" s="11"/>
      <c r="U1776" s="9"/>
      <c r="V1776" s="9"/>
      <c r="W1776" s="9"/>
      <c r="X1776" s="16"/>
      <c r="AF1776" s="42">
        <f>IF(BUSCAR!$C$8="FECHA NAC.",$G1776,IF(BUSCAR!$C$8="PASAPORTE EXPIRA",$J1776,IF(BUSCAR!$C$8="LICENCIA EMISION",$L1776,IF(BUSCAR!$C$8="LICENCIA EXPIRA",$M1776,""))))</f>
      </c>
      <c r="AG1776" s="42">
        <f>IF($B1776&amp;$C1776&amp;$D1776&amp;$E1776&amp;$H1776="",0,IF(AND(OR(BUSCAR!$J$5="",ISNUMBER(SEARCH(BUSCAR!$J$5,$AI1776))),OR(BUSCAR!$J$6="",ISNUMBER(SEARCH(BUSCAR!$J$6,$AI1776))),OR(BUSCAR!$J$8="",ISNUMBER(SEARCH(BUSCAR!$J$8,$AI1776))),OR(BUSCAR!$J$9="",ISNUMBER(SEARCH(BUSCAR!$J$9,$AI1776))),OR(NOT(BUSCAR!$J$2),AND(ISNUMBER($AF1776),$AF1776&gt;=BUSCAR!$J$3,$AF1776&lt;=BUSCAR!$J$4))),1,0))</f>
      </c>
      <c r="AH1776" s="42">
        <f t="shared" si="81"/>
      </c>
      <c r="AI1776" s="42">
        <f t="shared" si="82"/>
      </c>
    </row>
    <row r="1777" spans="1:35" x14ac:dyDescent="0.2">
      <c r="A1777" s="66">
        <f t="shared" si="83"/>
      </c>
      <c r="B1777" s="4"/>
      <c r="C1777" s="4"/>
      <c r="D1777" s="4"/>
      <c r="E1777" s="4"/>
      <c r="F1777" s="24"/>
      <c r="G1777" s="8"/>
      <c r="H1777" s="9"/>
      <c r="I1777" s="8"/>
      <c r="J1777" s="10"/>
      <c r="K1777" s="8"/>
      <c r="L1777" s="8"/>
      <c r="M1777" s="8"/>
      <c r="N1777" s="11"/>
      <c r="O1777" s="9"/>
      <c r="P1777" s="12"/>
      <c r="Q1777" s="9"/>
      <c r="R1777" s="13"/>
      <c r="S1777" s="11"/>
      <c r="T1777" s="11"/>
      <c r="U1777" s="9"/>
      <c r="V1777" s="9"/>
      <c r="W1777" s="9"/>
      <c r="X1777" s="16"/>
      <c r="AF1777" s="42">
        <f>IF(BUSCAR!$C$8="FECHA NAC.",$G1777,IF(BUSCAR!$C$8="PASAPORTE EXPIRA",$J1777,IF(BUSCAR!$C$8="LICENCIA EMISION",$L1777,IF(BUSCAR!$C$8="LICENCIA EXPIRA",$M1777,""))))</f>
      </c>
      <c r="AG1777" s="42">
        <f>IF($B1777&amp;$C1777&amp;$D1777&amp;$E1777&amp;$H1777="",0,IF(AND(OR(BUSCAR!$J$5="",ISNUMBER(SEARCH(BUSCAR!$J$5,$AI1777))),OR(BUSCAR!$J$6="",ISNUMBER(SEARCH(BUSCAR!$J$6,$AI1777))),OR(BUSCAR!$J$8="",ISNUMBER(SEARCH(BUSCAR!$J$8,$AI1777))),OR(BUSCAR!$J$9="",ISNUMBER(SEARCH(BUSCAR!$J$9,$AI1777))),OR(NOT(BUSCAR!$J$2),AND(ISNUMBER($AF1777),$AF1777&gt;=BUSCAR!$J$3,$AF1777&lt;=BUSCAR!$J$4))),1,0))</f>
      </c>
      <c r="AH1777" s="42">
        <f t="shared" si="81"/>
      </c>
      <c r="AI1777" s="42">
        <f t="shared" si="82"/>
      </c>
    </row>
    <row r="1778" spans="1:35" x14ac:dyDescent="0.2">
      <c r="A1778" s="66">
        <f t="shared" si="83"/>
      </c>
      <c r="B1778" s="4"/>
      <c r="C1778" s="4"/>
      <c r="D1778" s="4"/>
      <c r="E1778" s="4"/>
      <c r="F1778" s="24"/>
      <c r="G1778" s="8"/>
      <c r="H1778" s="9"/>
      <c r="I1778" s="8"/>
      <c r="J1778" s="10"/>
      <c r="K1778" s="8"/>
      <c r="L1778" s="8"/>
      <c r="M1778" s="8"/>
      <c r="N1778" s="11"/>
      <c r="O1778" s="9"/>
      <c r="P1778" s="12"/>
      <c r="Q1778" s="9"/>
      <c r="R1778" s="13"/>
      <c r="S1778" s="11"/>
      <c r="T1778" s="11"/>
      <c r="U1778" s="9"/>
      <c r="V1778" s="9"/>
      <c r="W1778" s="9"/>
      <c r="X1778" s="16"/>
      <c r="AF1778" s="42">
        <f>IF(BUSCAR!$C$8="FECHA NAC.",$G1778,IF(BUSCAR!$C$8="PASAPORTE EXPIRA",$J1778,IF(BUSCAR!$C$8="LICENCIA EMISION",$L1778,IF(BUSCAR!$C$8="LICENCIA EXPIRA",$M1778,""))))</f>
      </c>
      <c r="AG1778" s="42">
        <f>IF($B1778&amp;$C1778&amp;$D1778&amp;$E1778&amp;$H1778="",0,IF(AND(OR(BUSCAR!$J$5="",ISNUMBER(SEARCH(BUSCAR!$J$5,$AI1778))),OR(BUSCAR!$J$6="",ISNUMBER(SEARCH(BUSCAR!$J$6,$AI1778))),OR(BUSCAR!$J$8="",ISNUMBER(SEARCH(BUSCAR!$J$8,$AI1778))),OR(BUSCAR!$J$9="",ISNUMBER(SEARCH(BUSCAR!$J$9,$AI1778))),OR(NOT(BUSCAR!$J$2),AND(ISNUMBER($AF1778),$AF1778&gt;=BUSCAR!$J$3,$AF1778&lt;=BUSCAR!$J$4))),1,0))</f>
      </c>
      <c r="AH1778" s="42">
        <f t="shared" si="81"/>
      </c>
      <c r="AI1778" s="42">
        <f t="shared" si="82"/>
      </c>
    </row>
    <row r="1779" spans="1:35" x14ac:dyDescent="0.2">
      <c r="A1779" s="66">
        <f t="shared" si="83"/>
      </c>
      <c r="B1779" s="4"/>
      <c r="C1779" s="4"/>
      <c r="D1779" s="4"/>
      <c r="E1779" s="4"/>
      <c r="F1779" s="24"/>
      <c r="G1779" s="8"/>
      <c r="H1779" s="9"/>
      <c r="I1779" s="8"/>
      <c r="J1779" s="10"/>
      <c r="K1779" s="8"/>
      <c r="L1779" s="8"/>
      <c r="M1779" s="8"/>
      <c r="N1779" s="11"/>
      <c r="O1779" s="9"/>
      <c r="P1779" s="12"/>
      <c r="Q1779" s="9"/>
      <c r="R1779" s="13"/>
      <c r="S1779" s="11"/>
      <c r="T1779" s="11"/>
      <c r="U1779" s="9"/>
      <c r="V1779" s="9"/>
      <c r="W1779" s="9"/>
      <c r="X1779" s="16"/>
      <c r="AF1779" s="42">
        <f>IF(BUSCAR!$C$8="FECHA NAC.",$G1779,IF(BUSCAR!$C$8="PASAPORTE EXPIRA",$J1779,IF(BUSCAR!$C$8="LICENCIA EMISION",$L1779,IF(BUSCAR!$C$8="LICENCIA EXPIRA",$M1779,""))))</f>
      </c>
      <c r="AG1779" s="42">
        <f>IF($B1779&amp;$C1779&amp;$D1779&amp;$E1779&amp;$H1779="",0,IF(AND(OR(BUSCAR!$J$5="",ISNUMBER(SEARCH(BUSCAR!$J$5,$AI1779))),OR(BUSCAR!$J$6="",ISNUMBER(SEARCH(BUSCAR!$J$6,$AI1779))),OR(BUSCAR!$J$8="",ISNUMBER(SEARCH(BUSCAR!$J$8,$AI1779))),OR(BUSCAR!$J$9="",ISNUMBER(SEARCH(BUSCAR!$J$9,$AI1779))),OR(NOT(BUSCAR!$J$2),AND(ISNUMBER($AF1779),$AF1779&gt;=BUSCAR!$J$3,$AF1779&lt;=BUSCAR!$J$4))),1,0))</f>
      </c>
      <c r="AH1779" s="42">
        <f t="shared" si="81"/>
      </c>
      <c r="AI1779" s="42">
        <f t="shared" si="82"/>
      </c>
    </row>
    <row r="1780" spans="1:35" x14ac:dyDescent="0.2">
      <c r="A1780" s="66">
        <f t="shared" si="83"/>
      </c>
      <c r="B1780" s="4"/>
      <c r="C1780" s="4"/>
      <c r="D1780" s="4"/>
      <c r="E1780" s="4"/>
      <c r="F1780" s="24"/>
      <c r="G1780" s="8"/>
      <c r="H1780" s="9"/>
      <c r="I1780" s="8"/>
      <c r="J1780" s="10"/>
      <c r="K1780" s="8"/>
      <c r="L1780" s="8"/>
      <c r="M1780" s="8"/>
      <c r="N1780" s="11"/>
      <c r="O1780" s="9"/>
      <c r="P1780" s="12"/>
      <c r="Q1780" s="9"/>
      <c r="R1780" s="13"/>
      <c r="S1780" s="11"/>
      <c r="T1780" s="11"/>
      <c r="U1780" s="9"/>
      <c r="V1780" s="9"/>
      <c r="W1780" s="9"/>
      <c r="X1780" s="16"/>
      <c r="AF1780" s="42">
        <f>IF(BUSCAR!$C$8="FECHA NAC.",$G1780,IF(BUSCAR!$C$8="PASAPORTE EXPIRA",$J1780,IF(BUSCAR!$C$8="LICENCIA EMISION",$L1780,IF(BUSCAR!$C$8="LICENCIA EXPIRA",$M1780,""))))</f>
      </c>
      <c r="AG1780" s="42">
        <f>IF($B1780&amp;$C1780&amp;$D1780&amp;$E1780&amp;$H1780="",0,IF(AND(OR(BUSCAR!$J$5="",ISNUMBER(SEARCH(BUSCAR!$J$5,$AI1780))),OR(BUSCAR!$J$6="",ISNUMBER(SEARCH(BUSCAR!$J$6,$AI1780))),OR(BUSCAR!$J$8="",ISNUMBER(SEARCH(BUSCAR!$J$8,$AI1780))),OR(BUSCAR!$J$9="",ISNUMBER(SEARCH(BUSCAR!$J$9,$AI1780))),OR(NOT(BUSCAR!$J$2),AND(ISNUMBER($AF1780),$AF1780&gt;=BUSCAR!$J$3,$AF1780&lt;=BUSCAR!$J$4))),1,0))</f>
      </c>
      <c r="AH1780" s="42">
        <f t="shared" si="81"/>
      </c>
      <c r="AI1780" s="42">
        <f t="shared" si="82"/>
      </c>
    </row>
    <row r="1781" spans="1:35" x14ac:dyDescent="0.2">
      <c r="A1781" s="66">
        <f t="shared" si="83"/>
      </c>
      <c r="B1781" s="4"/>
      <c r="C1781" s="4"/>
      <c r="D1781" s="4"/>
      <c r="E1781" s="4"/>
      <c r="F1781" s="24"/>
      <c r="G1781" s="8"/>
      <c r="H1781" s="9"/>
      <c r="I1781" s="8"/>
      <c r="J1781" s="10"/>
      <c r="K1781" s="8"/>
      <c r="L1781" s="8"/>
      <c r="M1781" s="8"/>
      <c r="N1781" s="11"/>
      <c r="O1781" s="9"/>
      <c r="P1781" s="12"/>
      <c r="Q1781" s="9"/>
      <c r="R1781" s="13"/>
      <c r="S1781" s="11"/>
      <c r="T1781" s="11"/>
      <c r="U1781" s="9"/>
      <c r="V1781" s="9"/>
      <c r="W1781" s="9"/>
      <c r="X1781" s="16"/>
      <c r="AF1781" s="42">
        <f>IF(BUSCAR!$C$8="FECHA NAC.",$G1781,IF(BUSCAR!$C$8="PASAPORTE EXPIRA",$J1781,IF(BUSCAR!$C$8="LICENCIA EMISION",$L1781,IF(BUSCAR!$C$8="LICENCIA EXPIRA",$M1781,""))))</f>
      </c>
      <c r="AG1781" s="42">
        <f>IF($B1781&amp;$C1781&amp;$D1781&amp;$E1781&amp;$H1781="",0,IF(AND(OR(BUSCAR!$J$5="",ISNUMBER(SEARCH(BUSCAR!$J$5,$AI1781))),OR(BUSCAR!$J$6="",ISNUMBER(SEARCH(BUSCAR!$J$6,$AI1781))),OR(BUSCAR!$J$8="",ISNUMBER(SEARCH(BUSCAR!$J$8,$AI1781))),OR(BUSCAR!$J$9="",ISNUMBER(SEARCH(BUSCAR!$J$9,$AI1781))),OR(NOT(BUSCAR!$J$2),AND(ISNUMBER($AF1781),$AF1781&gt;=BUSCAR!$J$3,$AF1781&lt;=BUSCAR!$J$4))),1,0))</f>
      </c>
      <c r="AH1781" s="42">
        <f t="shared" si="81"/>
      </c>
      <c r="AI1781" s="42">
        <f t="shared" si="82"/>
      </c>
    </row>
    <row r="1782" spans="1:35" x14ac:dyDescent="0.2">
      <c r="A1782" s="66">
        <f t="shared" si="83"/>
      </c>
      <c r="B1782" s="4"/>
      <c r="C1782" s="4"/>
      <c r="D1782" s="4"/>
      <c r="E1782" s="4"/>
      <c r="F1782" s="24"/>
      <c r="G1782" s="8"/>
      <c r="H1782" s="9"/>
      <c r="I1782" s="8"/>
      <c r="J1782" s="10"/>
      <c r="K1782" s="8"/>
      <c r="L1782" s="8"/>
      <c r="M1782" s="8"/>
      <c r="N1782" s="11"/>
      <c r="O1782" s="9"/>
      <c r="P1782" s="12"/>
      <c r="Q1782" s="9"/>
      <c r="R1782" s="13"/>
      <c r="S1782" s="11"/>
      <c r="T1782" s="11"/>
      <c r="U1782" s="9"/>
      <c r="V1782" s="9"/>
      <c r="W1782" s="9"/>
      <c r="X1782" s="16"/>
      <c r="AF1782" s="42">
        <f>IF(BUSCAR!$C$8="FECHA NAC.",$G1782,IF(BUSCAR!$C$8="PASAPORTE EXPIRA",$J1782,IF(BUSCAR!$C$8="LICENCIA EMISION",$L1782,IF(BUSCAR!$C$8="LICENCIA EXPIRA",$M1782,""))))</f>
      </c>
      <c r="AG1782" s="42">
        <f>IF($B1782&amp;$C1782&amp;$D1782&amp;$E1782&amp;$H1782="",0,IF(AND(OR(BUSCAR!$J$5="",ISNUMBER(SEARCH(BUSCAR!$J$5,$AI1782))),OR(BUSCAR!$J$6="",ISNUMBER(SEARCH(BUSCAR!$J$6,$AI1782))),OR(BUSCAR!$J$8="",ISNUMBER(SEARCH(BUSCAR!$J$8,$AI1782))),OR(BUSCAR!$J$9="",ISNUMBER(SEARCH(BUSCAR!$J$9,$AI1782))),OR(NOT(BUSCAR!$J$2),AND(ISNUMBER($AF1782),$AF1782&gt;=BUSCAR!$J$3,$AF1782&lt;=BUSCAR!$J$4))),1,0))</f>
      </c>
      <c r="AH1782" s="42">
        <f t="shared" si="81"/>
      </c>
      <c r="AI1782" s="42">
        <f t="shared" si="82"/>
      </c>
    </row>
    <row r="1783" spans="1:35" x14ac:dyDescent="0.2">
      <c r="A1783" s="66">
        <f t="shared" si="83"/>
      </c>
      <c r="B1783" s="4"/>
      <c r="C1783" s="4"/>
      <c r="D1783" s="4"/>
      <c r="E1783" s="4"/>
      <c r="F1783" s="24"/>
      <c r="G1783" s="8"/>
      <c r="H1783" s="9"/>
      <c r="I1783" s="8"/>
      <c r="J1783" s="10"/>
      <c r="K1783" s="8"/>
      <c r="L1783" s="8"/>
      <c r="M1783" s="8"/>
      <c r="N1783" s="11"/>
      <c r="O1783" s="9"/>
      <c r="P1783" s="12"/>
      <c r="Q1783" s="9"/>
      <c r="R1783" s="13"/>
      <c r="S1783" s="11"/>
      <c r="T1783" s="11"/>
      <c r="U1783" s="9"/>
      <c r="V1783" s="9"/>
      <c r="W1783" s="9"/>
      <c r="X1783" s="16"/>
      <c r="AF1783" s="42">
        <f>IF(BUSCAR!$C$8="FECHA NAC.",$G1783,IF(BUSCAR!$C$8="PASAPORTE EXPIRA",$J1783,IF(BUSCAR!$C$8="LICENCIA EMISION",$L1783,IF(BUSCAR!$C$8="LICENCIA EXPIRA",$M1783,""))))</f>
      </c>
      <c r="AG1783" s="42">
        <f>IF($B1783&amp;$C1783&amp;$D1783&amp;$E1783&amp;$H1783="",0,IF(AND(OR(BUSCAR!$J$5="",ISNUMBER(SEARCH(BUSCAR!$J$5,$AI1783))),OR(BUSCAR!$J$6="",ISNUMBER(SEARCH(BUSCAR!$J$6,$AI1783))),OR(BUSCAR!$J$8="",ISNUMBER(SEARCH(BUSCAR!$J$8,$AI1783))),OR(BUSCAR!$J$9="",ISNUMBER(SEARCH(BUSCAR!$J$9,$AI1783))),OR(NOT(BUSCAR!$J$2),AND(ISNUMBER($AF1783),$AF1783&gt;=BUSCAR!$J$3,$AF1783&lt;=BUSCAR!$J$4))),1,0))</f>
      </c>
      <c r="AH1783" s="42">
        <f t="shared" si="81"/>
      </c>
      <c r="AI1783" s="42">
        <f t="shared" si="82"/>
      </c>
    </row>
    <row r="1784" spans="1:35" x14ac:dyDescent="0.2">
      <c r="A1784" s="66">
        <f t="shared" si="83"/>
      </c>
      <c r="B1784" s="4"/>
      <c r="C1784" s="4"/>
      <c r="D1784" s="4"/>
      <c r="E1784" s="4"/>
      <c r="F1784" s="24"/>
      <c r="G1784" s="8"/>
      <c r="H1784" s="9"/>
      <c r="I1784" s="8"/>
      <c r="J1784" s="10"/>
      <c r="K1784" s="8"/>
      <c r="L1784" s="8"/>
      <c r="M1784" s="8"/>
      <c r="N1784" s="11"/>
      <c r="O1784" s="9"/>
      <c r="P1784" s="12"/>
      <c r="Q1784" s="9"/>
      <c r="R1784" s="13"/>
      <c r="S1784" s="11"/>
      <c r="T1784" s="11"/>
      <c r="U1784" s="9"/>
      <c r="V1784" s="9"/>
      <c r="W1784" s="9"/>
      <c r="X1784" s="16"/>
      <c r="AF1784" s="42">
        <f>IF(BUSCAR!$C$8="FECHA NAC.",$G1784,IF(BUSCAR!$C$8="PASAPORTE EXPIRA",$J1784,IF(BUSCAR!$C$8="LICENCIA EMISION",$L1784,IF(BUSCAR!$C$8="LICENCIA EXPIRA",$M1784,""))))</f>
      </c>
      <c r="AG1784" s="42">
        <f>IF($B1784&amp;$C1784&amp;$D1784&amp;$E1784&amp;$H1784="",0,IF(AND(OR(BUSCAR!$J$5="",ISNUMBER(SEARCH(BUSCAR!$J$5,$AI1784))),OR(BUSCAR!$J$6="",ISNUMBER(SEARCH(BUSCAR!$J$6,$AI1784))),OR(BUSCAR!$J$8="",ISNUMBER(SEARCH(BUSCAR!$J$8,$AI1784))),OR(BUSCAR!$J$9="",ISNUMBER(SEARCH(BUSCAR!$J$9,$AI1784))),OR(NOT(BUSCAR!$J$2),AND(ISNUMBER($AF1784),$AF1784&gt;=BUSCAR!$J$3,$AF1784&lt;=BUSCAR!$J$4))),1,0))</f>
      </c>
      <c r="AH1784" s="42">
        <f t="shared" si="81"/>
      </c>
      <c r="AI1784" s="42">
        <f t="shared" si="82"/>
      </c>
    </row>
    <row r="1785" spans="1:35" x14ac:dyDescent="0.2">
      <c r="A1785" s="66">
        <f t="shared" si="83"/>
      </c>
      <c r="B1785" s="4"/>
      <c r="C1785" s="4"/>
      <c r="D1785" s="4"/>
      <c r="E1785" s="4"/>
      <c r="F1785" s="24"/>
      <c r="G1785" s="8"/>
      <c r="H1785" s="9"/>
      <c r="I1785" s="8"/>
      <c r="J1785" s="10"/>
      <c r="K1785" s="8"/>
      <c r="L1785" s="8"/>
      <c r="M1785" s="8"/>
      <c r="N1785" s="11"/>
      <c r="O1785" s="9"/>
      <c r="P1785" s="12"/>
      <c r="Q1785" s="9"/>
      <c r="R1785" s="13"/>
      <c r="S1785" s="11"/>
      <c r="T1785" s="11"/>
      <c r="U1785" s="9"/>
      <c r="V1785" s="9"/>
      <c r="W1785" s="9"/>
      <c r="X1785" s="16"/>
      <c r="AF1785" s="42">
        <f>IF(BUSCAR!$C$8="FECHA NAC.",$G1785,IF(BUSCAR!$C$8="PASAPORTE EXPIRA",$J1785,IF(BUSCAR!$C$8="LICENCIA EMISION",$L1785,IF(BUSCAR!$C$8="LICENCIA EXPIRA",$M1785,""))))</f>
      </c>
      <c r="AG1785" s="42">
        <f>IF($B1785&amp;$C1785&amp;$D1785&amp;$E1785&amp;$H1785="",0,IF(AND(OR(BUSCAR!$J$5="",ISNUMBER(SEARCH(BUSCAR!$J$5,$AI1785))),OR(BUSCAR!$J$6="",ISNUMBER(SEARCH(BUSCAR!$J$6,$AI1785))),OR(BUSCAR!$J$8="",ISNUMBER(SEARCH(BUSCAR!$J$8,$AI1785))),OR(BUSCAR!$J$9="",ISNUMBER(SEARCH(BUSCAR!$J$9,$AI1785))),OR(NOT(BUSCAR!$J$2),AND(ISNUMBER($AF1785),$AF1785&gt;=BUSCAR!$J$3,$AF1785&lt;=BUSCAR!$J$4))),1,0))</f>
      </c>
      <c r="AH1785" s="42">
        <f t="shared" si="81"/>
      </c>
      <c r="AI1785" s="42">
        <f t="shared" si="82"/>
      </c>
    </row>
    <row r="1786" spans="1:35" x14ac:dyDescent="0.2">
      <c r="A1786" s="66">
        <f t="shared" si="83"/>
      </c>
      <c r="B1786" s="4"/>
      <c r="C1786" s="4"/>
      <c r="D1786" s="4"/>
      <c r="E1786" s="4"/>
      <c r="F1786" s="24"/>
      <c r="G1786" s="8"/>
      <c r="H1786" s="9"/>
      <c r="I1786" s="8"/>
      <c r="J1786" s="10"/>
      <c r="K1786" s="8"/>
      <c r="L1786" s="8"/>
      <c r="M1786" s="8"/>
      <c r="N1786" s="11"/>
      <c r="O1786" s="9"/>
      <c r="P1786" s="12"/>
      <c r="Q1786" s="9"/>
      <c r="R1786" s="13"/>
      <c r="S1786" s="11"/>
      <c r="T1786" s="11"/>
      <c r="U1786" s="9"/>
      <c r="V1786" s="9"/>
      <c r="W1786" s="9"/>
      <c r="X1786" s="16"/>
      <c r="AF1786" s="42">
        <f>IF(BUSCAR!$C$8="FECHA NAC.",$G1786,IF(BUSCAR!$C$8="PASAPORTE EXPIRA",$J1786,IF(BUSCAR!$C$8="LICENCIA EMISION",$L1786,IF(BUSCAR!$C$8="LICENCIA EXPIRA",$M1786,""))))</f>
      </c>
      <c r="AG1786" s="42">
        <f>IF($B1786&amp;$C1786&amp;$D1786&amp;$E1786&amp;$H1786="",0,IF(AND(OR(BUSCAR!$J$5="",ISNUMBER(SEARCH(BUSCAR!$J$5,$AI1786))),OR(BUSCAR!$J$6="",ISNUMBER(SEARCH(BUSCAR!$J$6,$AI1786))),OR(BUSCAR!$J$8="",ISNUMBER(SEARCH(BUSCAR!$J$8,$AI1786))),OR(BUSCAR!$J$9="",ISNUMBER(SEARCH(BUSCAR!$J$9,$AI1786))),OR(NOT(BUSCAR!$J$2),AND(ISNUMBER($AF1786),$AF1786&gt;=BUSCAR!$J$3,$AF1786&lt;=BUSCAR!$J$4))),1,0))</f>
      </c>
      <c r="AH1786" s="42">
        <f t="shared" si="81"/>
      </c>
      <c r="AI1786" s="42">
        <f t="shared" si="82"/>
      </c>
    </row>
    <row r="1787" spans="1:35" x14ac:dyDescent="0.2">
      <c r="A1787" s="66">
        <f t="shared" si="83"/>
      </c>
      <c r="B1787" s="4"/>
      <c r="C1787" s="4"/>
      <c r="D1787" s="4"/>
      <c r="E1787" s="4"/>
      <c r="F1787" s="24"/>
      <c r="G1787" s="8"/>
      <c r="H1787" s="9"/>
      <c r="I1787" s="8"/>
      <c r="J1787" s="10"/>
      <c r="K1787" s="8"/>
      <c r="L1787" s="8"/>
      <c r="M1787" s="8"/>
      <c r="N1787" s="11"/>
      <c r="O1787" s="9"/>
      <c r="P1787" s="12"/>
      <c r="Q1787" s="9"/>
      <c r="R1787" s="13"/>
      <c r="S1787" s="11"/>
      <c r="T1787" s="11"/>
      <c r="U1787" s="9"/>
      <c r="V1787" s="9"/>
      <c r="W1787" s="9"/>
      <c r="X1787" s="16"/>
      <c r="AF1787" s="42">
        <f>IF(BUSCAR!$C$8="FECHA NAC.",$G1787,IF(BUSCAR!$C$8="PASAPORTE EXPIRA",$J1787,IF(BUSCAR!$C$8="LICENCIA EMISION",$L1787,IF(BUSCAR!$C$8="LICENCIA EXPIRA",$M1787,""))))</f>
      </c>
      <c r="AG1787" s="42">
        <f>IF($B1787&amp;$C1787&amp;$D1787&amp;$E1787&amp;$H1787="",0,IF(AND(OR(BUSCAR!$J$5="",ISNUMBER(SEARCH(BUSCAR!$J$5,$AI1787))),OR(BUSCAR!$J$6="",ISNUMBER(SEARCH(BUSCAR!$J$6,$AI1787))),OR(BUSCAR!$J$8="",ISNUMBER(SEARCH(BUSCAR!$J$8,$AI1787))),OR(BUSCAR!$J$9="",ISNUMBER(SEARCH(BUSCAR!$J$9,$AI1787))),OR(NOT(BUSCAR!$J$2),AND(ISNUMBER($AF1787),$AF1787&gt;=BUSCAR!$J$3,$AF1787&lt;=BUSCAR!$J$4))),1,0))</f>
      </c>
      <c r="AH1787" s="42">
        <f t="shared" si="81"/>
      </c>
      <c r="AI1787" s="42">
        <f t="shared" si="82"/>
      </c>
    </row>
    <row r="1788" spans="1:35" x14ac:dyDescent="0.2">
      <c r="A1788" s="66">
        <f t="shared" si="83"/>
      </c>
      <c r="B1788" s="4"/>
      <c r="C1788" s="4"/>
      <c r="D1788" s="4"/>
      <c r="E1788" s="4"/>
      <c r="F1788" s="24"/>
      <c r="G1788" s="8"/>
      <c r="H1788" s="9"/>
      <c r="I1788" s="8"/>
      <c r="J1788" s="10"/>
      <c r="K1788" s="8"/>
      <c r="L1788" s="8"/>
      <c r="M1788" s="8"/>
      <c r="N1788" s="11"/>
      <c r="O1788" s="9"/>
      <c r="P1788" s="12"/>
      <c r="Q1788" s="9"/>
      <c r="R1788" s="13"/>
      <c r="S1788" s="11"/>
      <c r="T1788" s="11"/>
      <c r="U1788" s="9"/>
      <c r="V1788" s="9"/>
      <c r="W1788" s="9"/>
      <c r="X1788" s="16"/>
      <c r="AF1788" s="42">
        <f>IF(BUSCAR!$C$8="FECHA NAC.",$G1788,IF(BUSCAR!$C$8="PASAPORTE EXPIRA",$J1788,IF(BUSCAR!$C$8="LICENCIA EMISION",$L1788,IF(BUSCAR!$C$8="LICENCIA EXPIRA",$M1788,""))))</f>
      </c>
      <c r="AG1788" s="42">
        <f>IF($B1788&amp;$C1788&amp;$D1788&amp;$E1788&amp;$H1788="",0,IF(AND(OR(BUSCAR!$J$5="",ISNUMBER(SEARCH(BUSCAR!$J$5,$AI1788))),OR(BUSCAR!$J$6="",ISNUMBER(SEARCH(BUSCAR!$J$6,$AI1788))),OR(BUSCAR!$J$8="",ISNUMBER(SEARCH(BUSCAR!$J$8,$AI1788))),OR(BUSCAR!$J$9="",ISNUMBER(SEARCH(BUSCAR!$J$9,$AI1788))),OR(NOT(BUSCAR!$J$2),AND(ISNUMBER($AF1788),$AF1788&gt;=BUSCAR!$J$3,$AF1788&lt;=BUSCAR!$J$4))),1,0))</f>
      </c>
      <c r="AH1788" s="42">
        <f t="shared" si="81"/>
      </c>
      <c r="AI1788" s="42">
        <f t="shared" si="82"/>
      </c>
    </row>
    <row r="1789" spans="1:35" x14ac:dyDescent="0.2">
      <c r="A1789" s="66">
        <f t="shared" si="83"/>
      </c>
      <c r="B1789" s="4"/>
      <c r="C1789" s="4"/>
      <c r="D1789" s="4"/>
      <c r="E1789" s="4"/>
      <c r="F1789" s="24"/>
      <c r="G1789" s="8"/>
      <c r="H1789" s="9"/>
      <c r="I1789" s="8"/>
      <c r="J1789" s="10"/>
      <c r="K1789" s="8"/>
      <c r="L1789" s="8"/>
      <c r="M1789" s="8"/>
      <c r="N1789" s="11"/>
      <c r="O1789" s="9"/>
      <c r="P1789" s="12"/>
      <c r="Q1789" s="9"/>
      <c r="R1789" s="13"/>
      <c r="S1789" s="11"/>
      <c r="T1789" s="11"/>
      <c r="U1789" s="9"/>
      <c r="V1789" s="9"/>
      <c r="W1789" s="9"/>
      <c r="X1789" s="16"/>
      <c r="AF1789" s="42">
        <f>IF(BUSCAR!$C$8="FECHA NAC.",$G1789,IF(BUSCAR!$C$8="PASAPORTE EXPIRA",$J1789,IF(BUSCAR!$C$8="LICENCIA EMISION",$L1789,IF(BUSCAR!$C$8="LICENCIA EXPIRA",$M1789,""))))</f>
      </c>
      <c r="AG1789" s="42">
        <f>IF($B1789&amp;$C1789&amp;$D1789&amp;$E1789&amp;$H1789="",0,IF(AND(OR(BUSCAR!$J$5="",ISNUMBER(SEARCH(BUSCAR!$J$5,$AI1789))),OR(BUSCAR!$J$6="",ISNUMBER(SEARCH(BUSCAR!$J$6,$AI1789))),OR(BUSCAR!$J$8="",ISNUMBER(SEARCH(BUSCAR!$J$8,$AI1789))),OR(BUSCAR!$J$9="",ISNUMBER(SEARCH(BUSCAR!$J$9,$AI1789))),OR(NOT(BUSCAR!$J$2),AND(ISNUMBER($AF1789),$AF1789&gt;=BUSCAR!$J$3,$AF1789&lt;=BUSCAR!$J$4))),1,0))</f>
      </c>
      <c r="AH1789" s="42">
        <f t="shared" si="81"/>
      </c>
      <c r="AI1789" s="42">
        <f t="shared" si="82"/>
      </c>
    </row>
    <row r="1790" spans="1:35" x14ac:dyDescent="0.2">
      <c r="A1790" s="66">
        <f t="shared" si="83"/>
      </c>
      <c r="B1790" s="4"/>
      <c r="C1790" s="4"/>
      <c r="D1790" s="4"/>
      <c r="E1790" s="4"/>
      <c r="F1790" s="24"/>
      <c r="G1790" s="8"/>
      <c r="H1790" s="9"/>
      <c r="I1790" s="8"/>
      <c r="J1790" s="10"/>
      <c r="K1790" s="8"/>
      <c r="L1790" s="8"/>
      <c r="M1790" s="8"/>
      <c r="N1790" s="11"/>
      <c r="O1790" s="9"/>
      <c r="P1790" s="12"/>
      <c r="Q1790" s="9"/>
      <c r="R1790" s="13"/>
      <c r="S1790" s="11"/>
      <c r="T1790" s="11"/>
      <c r="U1790" s="9"/>
      <c r="V1790" s="9"/>
      <c r="W1790" s="9"/>
      <c r="X1790" s="16"/>
      <c r="AF1790" s="42">
        <f>IF(BUSCAR!$C$8="FECHA NAC.",$G1790,IF(BUSCAR!$C$8="PASAPORTE EXPIRA",$J1790,IF(BUSCAR!$C$8="LICENCIA EMISION",$L1790,IF(BUSCAR!$C$8="LICENCIA EXPIRA",$M1790,""))))</f>
      </c>
      <c r="AG1790" s="42">
        <f>IF($B1790&amp;$C1790&amp;$D1790&amp;$E1790&amp;$H1790="",0,IF(AND(OR(BUSCAR!$J$5="",ISNUMBER(SEARCH(BUSCAR!$J$5,$AI1790))),OR(BUSCAR!$J$6="",ISNUMBER(SEARCH(BUSCAR!$J$6,$AI1790))),OR(BUSCAR!$J$8="",ISNUMBER(SEARCH(BUSCAR!$J$8,$AI1790))),OR(BUSCAR!$J$9="",ISNUMBER(SEARCH(BUSCAR!$J$9,$AI1790))),OR(NOT(BUSCAR!$J$2),AND(ISNUMBER($AF1790),$AF1790&gt;=BUSCAR!$J$3,$AF1790&lt;=BUSCAR!$J$4))),1,0))</f>
      </c>
      <c r="AH1790" s="42">
        <f t="shared" si="81"/>
      </c>
      <c r="AI1790" s="42">
        <f t="shared" si="82"/>
      </c>
    </row>
    <row r="1791" spans="1:35" x14ac:dyDescent="0.2">
      <c r="A1791" s="66">
        <f t="shared" si="83"/>
      </c>
      <c r="B1791" s="4"/>
      <c r="C1791" s="4"/>
      <c r="D1791" s="4"/>
      <c r="E1791" s="4"/>
      <c r="F1791" s="24"/>
      <c r="G1791" s="8"/>
      <c r="H1791" s="9"/>
      <c r="I1791" s="8"/>
      <c r="J1791" s="10"/>
      <c r="K1791" s="8"/>
      <c r="L1791" s="8"/>
      <c r="M1791" s="8"/>
      <c r="N1791" s="11"/>
      <c r="O1791" s="9"/>
      <c r="P1791" s="12"/>
      <c r="Q1791" s="9"/>
      <c r="R1791" s="13"/>
      <c r="S1791" s="11"/>
      <c r="T1791" s="11"/>
      <c r="U1791" s="9"/>
      <c r="V1791" s="9"/>
      <c r="W1791" s="9"/>
      <c r="X1791" s="16"/>
      <c r="AF1791" s="42">
        <f>IF(BUSCAR!$C$8="FECHA NAC.",$G1791,IF(BUSCAR!$C$8="PASAPORTE EXPIRA",$J1791,IF(BUSCAR!$C$8="LICENCIA EMISION",$L1791,IF(BUSCAR!$C$8="LICENCIA EXPIRA",$M1791,""))))</f>
      </c>
      <c r="AG1791" s="42">
        <f>IF($B1791&amp;$C1791&amp;$D1791&amp;$E1791&amp;$H1791="",0,IF(AND(OR(BUSCAR!$J$5="",ISNUMBER(SEARCH(BUSCAR!$J$5,$AI1791))),OR(BUSCAR!$J$6="",ISNUMBER(SEARCH(BUSCAR!$J$6,$AI1791))),OR(BUSCAR!$J$8="",ISNUMBER(SEARCH(BUSCAR!$J$8,$AI1791))),OR(BUSCAR!$J$9="",ISNUMBER(SEARCH(BUSCAR!$J$9,$AI1791))),OR(NOT(BUSCAR!$J$2),AND(ISNUMBER($AF1791),$AF1791&gt;=BUSCAR!$J$3,$AF1791&lt;=BUSCAR!$J$4))),1,0))</f>
      </c>
      <c r="AH1791" s="42">
        <f t="shared" si="81"/>
      </c>
      <c r="AI1791" s="42">
        <f t="shared" si="82"/>
      </c>
    </row>
    <row r="1792" spans="1:35" x14ac:dyDescent="0.2">
      <c r="A1792" s="66">
        <f t="shared" si="83"/>
      </c>
      <c r="B1792" s="4"/>
      <c r="C1792" s="4"/>
      <c r="D1792" s="4"/>
      <c r="E1792" s="4"/>
      <c r="F1792" s="24"/>
      <c r="G1792" s="8"/>
      <c r="H1792" s="9"/>
      <c r="I1792" s="8"/>
      <c r="J1792" s="10"/>
      <c r="K1792" s="8"/>
      <c r="L1792" s="8"/>
      <c r="M1792" s="8"/>
      <c r="N1792" s="11"/>
      <c r="O1792" s="9"/>
      <c r="P1792" s="12"/>
      <c r="Q1792" s="9"/>
      <c r="R1792" s="13"/>
      <c r="S1792" s="11"/>
      <c r="T1792" s="11"/>
      <c r="U1792" s="9"/>
      <c r="V1792" s="9"/>
      <c r="W1792" s="9"/>
      <c r="X1792" s="16"/>
      <c r="AF1792" s="42">
        <f>IF(BUSCAR!$C$8="FECHA NAC.",$G1792,IF(BUSCAR!$C$8="PASAPORTE EXPIRA",$J1792,IF(BUSCAR!$C$8="LICENCIA EMISION",$L1792,IF(BUSCAR!$C$8="LICENCIA EXPIRA",$M1792,""))))</f>
      </c>
      <c r="AG1792" s="42">
        <f>IF($B1792&amp;$C1792&amp;$D1792&amp;$E1792&amp;$H1792="",0,IF(AND(OR(BUSCAR!$J$5="",ISNUMBER(SEARCH(BUSCAR!$J$5,$AI1792))),OR(BUSCAR!$J$6="",ISNUMBER(SEARCH(BUSCAR!$J$6,$AI1792))),OR(BUSCAR!$J$8="",ISNUMBER(SEARCH(BUSCAR!$J$8,$AI1792))),OR(BUSCAR!$J$9="",ISNUMBER(SEARCH(BUSCAR!$J$9,$AI1792))),OR(NOT(BUSCAR!$J$2),AND(ISNUMBER($AF1792),$AF1792&gt;=BUSCAR!$J$3,$AF1792&lt;=BUSCAR!$J$4))),1,0))</f>
      </c>
      <c r="AH1792" s="42">
        <f t="shared" si="81"/>
      </c>
      <c r="AI1792" s="42">
        <f t="shared" si="82"/>
      </c>
    </row>
    <row r="1793" spans="1:35" x14ac:dyDescent="0.2">
      <c r="A1793" s="66">
        <f t="shared" si="83"/>
      </c>
      <c r="B1793" s="4"/>
      <c r="C1793" s="4"/>
      <c r="D1793" s="4"/>
      <c r="E1793" s="4"/>
      <c r="F1793" s="24"/>
      <c r="G1793" s="8"/>
      <c r="H1793" s="9"/>
      <c r="I1793" s="8"/>
      <c r="J1793" s="10"/>
      <c r="K1793" s="8"/>
      <c r="L1793" s="8"/>
      <c r="M1793" s="8"/>
      <c r="N1793" s="11"/>
      <c r="O1793" s="9"/>
      <c r="P1793" s="12"/>
      <c r="Q1793" s="9"/>
      <c r="R1793" s="13"/>
      <c r="S1793" s="11"/>
      <c r="T1793" s="11"/>
      <c r="U1793" s="9"/>
      <c r="V1793" s="9"/>
      <c r="W1793" s="9"/>
      <c r="X1793" s="16"/>
      <c r="AF1793" s="42">
        <f>IF(BUSCAR!$C$8="FECHA NAC.",$G1793,IF(BUSCAR!$C$8="PASAPORTE EXPIRA",$J1793,IF(BUSCAR!$C$8="LICENCIA EMISION",$L1793,IF(BUSCAR!$C$8="LICENCIA EXPIRA",$M1793,""))))</f>
      </c>
      <c r="AG1793" s="42">
        <f>IF($B1793&amp;$C1793&amp;$D1793&amp;$E1793&amp;$H1793="",0,IF(AND(OR(BUSCAR!$J$5="",ISNUMBER(SEARCH(BUSCAR!$J$5,$AI1793))),OR(BUSCAR!$J$6="",ISNUMBER(SEARCH(BUSCAR!$J$6,$AI1793))),OR(BUSCAR!$J$8="",ISNUMBER(SEARCH(BUSCAR!$J$8,$AI1793))),OR(BUSCAR!$J$9="",ISNUMBER(SEARCH(BUSCAR!$J$9,$AI1793))),OR(NOT(BUSCAR!$J$2),AND(ISNUMBER($AF1793),$AF1793&gt;=BUSCAR!$J$3,$AF1793&lt;=BUSCAR!$J$4))),1,0))</f>
      </c>
      <c r="AH1793" s="42">
        <f t="shared" si="81"/>
      </c>
      <c r="AI1793" s="42">
        <f t="shared" si="82"/>
      </c>
    </row>
    <row r="1794" spans="1:35" x14ac:dyDescent="0.2">
      <c r="A1794" s="66">
        <f t="shared" si="83"/>
      </c>
      <c r="B1794" s="4"/>
      <c r="C1794" s="4"/>
      <c r="D1794" s="4"/>
      <c r="E1794" s="4"/>
      <c r="F1794" s="24"/>
      <c r="G1794" s="8"/>
      <c r="H1794" s="9"/>
      <c r="I1794" s="8"/>
      <c r="J1794" s="10"/>
      <c r="K1794" s="8"/>
      <c r="L1794" s="8"/>
      <c r="M1794" s="8"/>
      <c r="N1794" s="11"/>
      <c r="O1794" s="9"/>
      <c r="P1794" s="12"/>
      <c r="Q1794" s="9"/>
      <c r="R1794" s="13"/>
      <c r="S1794" s="11"/>
      <c r="T1794" s="11"/>
      <c r="U1794" s="9"/>
      <c r="V1794" s="9"/>
      <c r="W1794" s="9"/>
      <c r="X1794" s="16"/>
      <c r="AF1794" s="42">
        <f>IF(BUSCAR!$C$8="FECHA NAC.",$G1794,IF(BUSCAR!$C$8="PASAPORTE EXPIRA",$J1794,IF(BUSCAR!$C$8="LICENCIA EMISION",$L1794,IF(BUSCAR!$C$8="LICENCIA EXPIRA",$M1794,""))))</f>
      </c>
      <c r="AG1794" s="42">
        <f>IF($B1794&amp;$C1794&amp;$D1794&amp;$E1794&amp;$H1794="",0,IF(AND(OR(BUSCAR!$J$5="",ISNUMBER(SEARCH(BUSCAR!$J$5,$AI1794))),OR(BUSCAR!$J$6="",ISNUMBER(SEARCH(BUSCAR!$J$6,$AI1794))),OR(BUSCAR!$J$8="",ISNUMBER(SEARCH(BUSCAR!$J$8,$AI1794))),OR(BUSCAR!$J$9="",ISNUMBER(SEARCH(BUSCAR!$J$9,$AI1794))),OR(NOT(BUSCAR!$J$2),AND(ISNUMBER($AF1794),$AF1794&gt;=BUSCAR!$J$3,$AF1794&lt;=BUSCAR!$J$4))),1,0))</f>
      </c>
      <c r="AH1794" s="42">
        <f t="shared" si="81"/>
      </c>
      <c r="AI1794" s="42">
        <f t="shared" si="82"/>
      </c>
    </row>
    <row r="1795" spans="1:35" x14ac:dyDescent="0.2">
      <c r="A1795" s="66">
        <f t="shared" si="83"/>
      </c>
      <c r="B1795" s="4"/>
      <c r="C1795" s="4"/>
      <c r="D1795" s="4"/>
      <c r="E1795" s="4"/>
      <c r="F1795" s="24"/>
      <c r="G1795" s="8"/>
      <c r="H1795" s="9"/>
      <c r="I1795" s="8"/>
      <c r="J1795" s="10"/>
      <c r="K1795" s="8"/>
      <c r="L1795" s="8"/>
      <c r="M1795" s="8"/>
      <c r="N1795" s="11"/>
      <c r="O1795" s="9"/>
      <c r="P1795" s="12"/>
      <c r="Q1795" s="9"/>
      <c r="R1795" s="13"/>
      <c r="S1795" s="11"/>
      <c r="T1795" s="11"/>
      <c r="U1795" s="9"/>
      <c r="V1795" s="9"/>
      <c r="W1795" s="9"/>
      <c r="X1795" s="16"/>
      <c r="AF1795" s="42">
        <f>IF(BUSCAR!$C$8="FECHA NAC.",$G1795,IF(BUSCAR!$C$8="PASAPORTE EXPIRA",$J1795,IF(BUSCAR!$C$8="LICENCIA EMISION",$L1795,IF(BUSCAR!$C$8="LICENCIA EXPIRA",$M1795,""))))</f>
      </c>
      <c r="AG1795" s="42">
        <f>IF($B1795&amp;$C1795&amp;$D1795&amp;$E1795&amp;$H1795="",0,IF(AND(OR(BUSCAR!$J$5="",ISNUMBER(SEARCH(BUSCAR!$J$5,$AI1795))),OR(BUSCAR!$J$6="",ISNUMBER(SEARCH(BUSCAR!$J$6,$AI1795))),OR(BUSCAR!$J$8="",ISNUMBER(SEARCH(BUSCAR!$J$8,$AI1795))),OR(BUSCAR!$J$9="",ISNUMBER(SEARCH(BUSCAR!$J$9,$AI1795))),OR(NOT(BUSCAR!$J$2),AND(ISNUMBER($AF1795),$AF1795&gt;=BUSCAR!$J$3,$AF1795&lt;=BUSCAR!$J$4))),1,0))</f>
      </c>
      <c r="AH1795" s="42">
        <f t="shared" ref="AH1795:AH1858" si="84">AH1794+AG1795</f>
      </c>
      <c r="AI1795" s="42">
        <f t="shared" ref="AI1795:AI1858" si="85">IF($B1795&amp;" "&amp;$C1795&amp;" "&amp;$D1795&amp;" "&amp;$E1795&amp;" "&amp;$H1795&amp;" "&amp;$K1795&amp;" "&amp;$R1795&amp;" "&amp;$AC1795&amp;" "&amp;$AD1795="","",SUBSTITUTE(SUBSTITUTE(SUBSTITUTE(SUBSTITUTE(SUBSTITUTE(SUBSTITUTE(SUBSTITUTE(UPPER($B1795&amp;" "&amp;$C1795&amp;" "&amp;$D1795&amp;" "&amp;$E1795&amp;" "&amp;$H1795&amp;" "&amp;$K1795&amp;" "&amp;$R1795&amp;" "&amp;$AC1795&amp;" "&amp;$AD1795),"Á","A"),"É","E"),"Í","I"),"Ó","O"),"Ú","U"),"Ü","U"),"Ñ","N"))</f>
      </c>
    </row>
    <row r="1796" spans="1:35" x14ac:dyDescent="0.2">
      <c r="A1796" s="66">
        <f t="shared" ref="A1796:A1859" si="86">A1795+1</f>
      </c>
      <c r="B1796" s="4"/>
      <c r="C1796" s="4"/>
      <c r="D1796" s="4"/>
      <c r="E1796" s="4"/>
      <c r="F1796" s="24"/>
      <c r="G1796" s="8"/>
      <c r="H1796" s="9"/>
      <c r="I1796" s="8"/>
      <c r="J1796" s="10"/>
      <c r="K1796" s="8"/>
      <c r="L1796" s="8"/>
      <c r="M1796" s="8"/>
      <c r="N1796" s="11"/>
      <c r="O1796" s="9"/>
      <c r="P1796" s="12"/>
      <c r="Q1796" s="9"/>
      <c r="R1796" s="13"/>
      <c r="S1796" s="11"/>
      <c r="T1796" s="11"/>
      <c r="U1796" s="9"/>
      <c r="V1796" s="9"/>
      <c r="W1796" s="9"/>
      <c r="X1796" s="16"/>
      <c r="AF1796" s="42">
        <f>IF(BUSCAR!$C$8="FECHA NAC.",$G1796,IF(BUSCAR!$C$8="PASAPORTE EXPIRA",$J1796,IF(BUSCAR!$C$8="LICENCIA EMISION",$L1796,IF(BUSCAR!$C$8="LICENCIA EXPIRA",$M1796,""))))</f>
      </c>
      <c r="AG1796" s="42">
        <f>IF($B1796&amp;$C1796&amp;$D1796&amp;$E1796&amp;$H1796="",0,IF(AND(OR(BUSCAR!$J$5="",ISNUMBER(SEARCH(BUSCAR!$J$5,$AI1796))),OR(BUSCAR!$J$6="",ISNUMBER(SEARCH(BUSCAR!$J$6,$AI1796))),OR(BUSCAR!$J$8="",ISNUMBER(SEARCH(BUSCAR!$J$8,$AI1796))),OR(BUSCAR!$J$9="",ISNUMBER(SEARCH(BUSCAR!$J$9,$AI1796))),OR(NOT(BUSCAR!$J$2),AND(ISNUMBER($AF1796),$AF1796&gt;=BUSCAR!$J$3,$AF1796&lt;=BUSCAR!$J$4))),1,0))</f>
      </c>
      <c r="AH1796" s="42">
        <f t="shared" si="84"/>
      </c>
      <c r="AI1796" s="42">
        <f t="shared" si="85"/>
      </c>
    </row>
    <row r="1797" spans="1:35" x14ac:dyDescent="0.2">
      <c r="A1797" s="66">
        <f t="shared" si="86"/>
      </c>
      <c r="B1797" s="4"/>
      <c r="C1797" s="4"/>
      <c r="D1797" s="4"/>
      <c r="E1797" s="4"/>
      <c r="F1797" s="24"/>
      <c r="G1797" s="8"/>
      <c r="H1797" s="9"/>
      <c r="I1797" s="8"/>
      <c r="J1797" s="10"/>
      <c r="K1797" s="8"/>
      <c r="L1797" s="8"/>
      <c r="M1797" s="8"/>
      <c r="N1797" s="11"/>
      <c r="O1797" s="9"/>
      <c r="P1797" s="12"/>
      <c r="Q1797" s="9"/>
      <c r="R1797" s="13"/>
      <c r="S1797" s="11"/>
      <c r="T1797" s="11"/>
      <c r="U1797" s="9"/>
      <c r="V1797" s="9"/>
      <c r="W1797" s="9"/>
      <c r="X1797" s="16"/>
      <c r="AF1797" s="42">
        <f>IF(BUSCAR!$C$8="FECHA NAC.",$G1797,IF(BUSCAR!$C$8="PASAPORTE EXPIRA",$J1797,IF(BUSCAR!$C$8="LICENCIA EMISION",$L1797,IF(BUSCAR!$C$8="LICENCIA EXPIRA",$M1797,""))))</f>
      </c>
      <c r="AG1797" s="42">
        <f>IF($B1797&amp;$C1797&amp;$D1797&amp;$E1797&amp;$H1797="",0,IF(AND(OR(BUSCAR!$J$5="",ISNUMBER(SEARCH(BUSCAR!$J$5,$AI1797))),OR(BUSCAR!$J$6="",ISNUMBER(SEARCH(BUSCAR!$J$6,$AI1797))),OR(BUSCAR!$J$8="",ISNUMBER(SEARCH(BUSCAR!$J$8,$AI1797))),OR(BUSCAR!$J$9="",ISNUMBER(SEARCH(BUSCAR!$J$9,$AI1797))),OR(NOT(BUSCAR!$J$2),AND(ISNUMBER($AF1797),$AF1797&gt;=BUSCAR!$J$3,$AF1797&lt;=BUSCAR!$J$4))),1,0))</f>
      </c>
      <c r="AH1797" s="42">
        <f t="shared" si="84"/>
      </c>
      <c r="AI1797" s="42">
        <f t="shared" si="85"/>
      </c>
    </row>
    <row r="1798" spans="1:35" x14ac:dyDescent="0.2">
      <c r="A1798" s="66">
        <f t="shared" si="86"/>
      </c>
      <c r="B1798" s="4"/>
      <c r="C1798" s="4"/>
      <c r="D1798" s="4"/>
      <c r="E1798" s="4"/>
      <c r="F1798" s="24"/>
      <c r="G1798" s="8"/>
      <c r="H1798" s="9"/>
      <c r="I1798" s="8"/>
      <c r="J1798" s="10"/>
      <c r="K1798" s="8"/>
      <c r="L1798" s="8"/>
      <c r="M1798" s="8"/>
      <c r="N1798" s="11"/>
      <c r="O1798" s="9"/>
      <c r="P1798" s="12"/>
      <c r="Q1798" s="9"/>
      <c r="R1798" s="13"/>
      <c r="S1798" s="11"/>
      <c r="T1798" s="11"/>
      <c r="U1798" s="9"/>
      <c r="V1798" s="9"/>
      <c r="W1798" s="9"/>
      <c r="X1798" s="16"/>
      <c r="AF1798" s="42">
        <f>IF(BUSCAR!$C$8="FECHA NAC.",$G1798,IF(BUSCAR!$C$8="PASAPORTE EXPIRA",$J1798,IF(BUSCAR!$C$8="LICENCIA EMISION",$L1798,IF(BUSCAR!$C$8="LICENCIA EXPIRA",$M1798,""))))</f>
      </c>
      <c r="AG1798" s="42">
        <f>IF($B1798&amp;$C1798&amp;$D1798&amp;$E1798&amp;$H1798="",0,IF(AND(OR(BUSCAR!$J$5="",ISNUMBER(SEARCH(BUSCAR!$J$5,$AI1798))),OR(BUSCAR!$J$6="",ISNUMBER(SEARCH(BUSCAR!$J$6,$AI1798))),OR(BUSCAR!$J$8="",ISNUMBER(SEARCH(BUSCAR!$J$8,$AI1798))),OR(BUSCAR!$J$9="",ISNUMBER(SEARCH(BUSCAR!$J$9,$AI1798))),OR(NOT(BUSCAR!$J$2),AND(ISNUMBER($AF1798),$AF1798&gt;=BUSCAR!$J$3,$AF1798&lt;=BUSCAR!$J$4))),1,0))</f>
      </c>
      <c r="AH1798" s="42">
        <f t="shared" si="84"/>
      </c>
      <c r="AI1798" s="42">
        <f t="shared" si="85"/>
      </c>
    </row>
    <row r="1799" spans="1:35" x14ac:dyDescent="0.2">
      <c r="A1799" s="66">
        <f t="shared" si="86"/>
      </c>
      <c r="B1799" s="4"/>
      <c r="C1799" s="4"/>
      <c r="D1799" s="4"/>
      <c r="E1799" s="4"/>
      <c r="F1799" s="24"/>
      <c r="G1799" s="8"/>
      <c r="H1799" s="9"/>
      <c r="I1799" s="8"/>
      <c r="J1799" s="10"/>
      <c r="K1799" s="8"/>
      <c r="L1799" s="8"/>
      <c r="M1799" s="8"/>
      <c r="N1799" s="11"/>
      <c r="O1799" s="9"/>
      <c r="P1799" s="12"/>
      <c r="Q1799" s="9"/>
      <c r="R1799" s="13"/>
      <c r="S1799" s="11"/>
      <c r="T1799" s="11"/>
      <c r="U1799" s="9"/>
      <c r="V1799" s="9"/>
      <c r="W1799" s="9"/>
      <c r="X1799" s="16"/>
      <c r="AF1799" s="42">
        <f>IF(BUSCAR!$C$8="FECHA NAC.",$G1799,IF(BUSCAR!$C$8="PASAPORTE EXPIRA",$J1799,IF(BUSCAR!$C$8="LICENCIA EMISION",$L1799,IF(BUSCAR!$C$8="LICENCIA EXPIRA",$M1799,""))))</f>
      </c>
      <c r="AG1799" s="42">
        <f>IF($B1799&amp;$C1799&amp;$D1799&amp;$E1799&amp;$H1799="",0,IF(AND(OR(BUSCAR!$J$5="",ISNUMBER(SEARCH(BUSCAR!$J$5,$AI1799))),OR(BUSCAR!$J$6="",ISNUMBER(SEARCH(BUSCAR!$J$6,$AI1799))),OR(BUSCAR!$J$8="",ISNUMBER(SEARCH(BUSCAR!$J$8,$AI1799))),OR(BUSCAR!$J$9="",ISNUMBER(SEARCH(BUSCAR!$J$9,$AI1799))),OR(NOT(BUSCAR!$J$2),AND(ISNUMBER($AF1799),$AF1799&gt;=BUSCAR!$J$3,$AF1799&lt;=BUSCAR!$J$4))),1,0))</f>
      </c>
      <c r="AH1799" s="42">
        <f t="shared" si="84"/>
      </c>
      <c r="AI1799" s="42">
        <f t="shared" si="85"/>
      </c>
    </row>
    <row r="1800" spans="1:35" x14ac:dyDescent="0.2">
      <c r="A1800" s="66">
        <f t="shared" si="86"/>
      </c>
      <c r="B1800" s="4"/>
      <c r="C1800" s="4"/>
      <c r="D1800" s="4"/>
      <c r="E1800" s="4"/>
      <c r="F1800" s="24"/>
      <c r="G1800" s="8"/>
      <c r="H1800" s="9"/>
      <c r="I1800" s="8"/>
      <c r="J1800" s="10"/>
      <c r="K1800" s="8"/>
      <c r="L1800" s="8"/>
      <c r="M1800" s="8"/>
      <c r="N1800" s="11"/>
      <c r="O1800" s="9"/>
      <c r="P1800" s="12"/>
      <c r="Q1800" s="9"/>
      <c r="R1800" s="13"/>
      <c r="S1800" s="11"/>
      <c r="T1800" s="11"/>
      <c r="U1800" s="9"/>
      <c r="V1800" s="9"/>
      <c r="W1800" s="9"/>
      <c r="X1800" s="16"/>
      <c r="AF1800" s="42">
        <f>IF(BUSCAR!$C$8="FECHA NAC.",$G1800,IF(BUSCAR!$C$8="PASAPORTE EXPIRA",$J1800,IF(BUSCAR!$C$8="LICENCIA EMISION",$L1800,IF(BUSCAR!$C$8="LICENCIA EXPIRA",$M1800,""))))</f>
      </c>
      <c r="AG1800" s="42">
        <f>IF($B1800&amp;$C1800&amp;$D1800&amp;$E1800&amp;$H1800="",0,IF(AND(OR(BUSCAR!$J$5="",ISNUMBER(SEARCH(BUSCAR!$J$5,$AI1800))),OR(BUSCAR!$J$6="",ISNUMBER(SEARCH(BUSCAR!$J$6,$AI1800))),OR(BUSCAR!$J$8="",ISNUMBER(SEARCH(BUSCAR!$J$8,$AI1800))),OR(BUSCAR!$J$9="",ISNUMBER(SEARCH(BUSCAR!$J$9,$AI1800))),OR(NOT(BUSCAR!$J$2),AND(ISNUMBER($AF1800),$AF1800&gt;=BUSCAR!$J$3,$AF1800&lt;=BUSCAR!$J$4))),1,0))</f>
      </c>
      <c r="AH1800" s="42">
        <f t="shared" si="84"/>
      </c>
      <c r="AI1800" s="42">
        <f t="shared" si="85"/>
      </c>
    </row>
    <row r="1801" spans="1:35" x14ac:dyDescent="0.2">
      <c r="A1801" s="66">
        <f t="shared" si="86"/>
      </c>
      <c r="B1801" s="4"/>
      <c r="C1801" s="4"/>
      <c r="D1801" s="4"/>
      <c r="E1801" s="4"/>
      <c r="F1801" s="24"/>
      <c r="G1801" s="8"/>
      <c r="H1801" s="9"/>
      <c r="I1801" s="8"/>
      <c r="J1801" s="10"/>
      <c r="K1801" s="8"/>
      <c r="L1801" s="8"/>
      <c r="M1801" s="8"/>
      <c r="N1801" s="11"/>
      <c r="O1801" s="9"/>
      <c r="P1801" s="12"/>
      <c r="Q1801" s="9"/>
      <c r="R1801" s="13"/>
      <c r="S1801" s="11"/>
      <c r="T1801" s="11"/>
      <c r="U1801" s="9"/>
      <c r="V1801" s="9"/>
      <c r="W1801" s="9"/>
      <c r="X1801" s="16"/>
      <c r="AF1801" s="42">
        <f>IF(BUSCAR!$C$8="FECHA NAC.",$G1801,IF(BUSCAR!$C$8="PASAPORTE EXPIRA",$J1801,IF(BUSCAR!$C$8="LICENCIA EMISION",$L1801,IF(BUSCAR!$C$8="LICENCIA EXPIRA",$M1801,""))))</f>
      </c>
      <c r="AG1801" s="42">
        <f>IF($B1801&amp;$C1801&amp;$D1801&amp;$E1801&amp;$H1801="",0,IF(AND(OR(BUSCAR!$J$5="",ISNUMBER(SEARCH(BUSCAR!$J$5,$AI1801))),OR(BUSCAR!$J$6="",ISNUMBER(SEARCH(BUSCAR!$J$6,$AI1801))),OR(BUSCAR!$J$8="",ISNUMBER(SEARCH(BUSCAR!$J$8,$AI1801))),OR(BUSCAR!$J$9="",ISNUMBER(SEARCH(BUSCAR!$J$9,$AI1801))),OR(NOT(BUSCAR!$J$2),AND(ISNUMBER($AF1801),$AF1801&gt;=BUSCAR!$J$3,$AF1801&lt;=BUSCAR!$J$4))),1,0))</f>
      </c>
      <c r="AH1801" s="42">
        <f t="shared" si="84"/>
      </c>
      <c r="AI1801" s="42">
        <f t="shared" si="85"/>
      </c>
    </row>
    <row r="1802" spans="1:35" x14ac:dyDescent="0.2">
      <c r="A1802" s="66">
        <f t="shared" si="86"/>
      </c>
      <c r="B1802" s="4"/>
      <c r="C1802" s="4"/>
      <c r="D1802" s="4"/>
      <c r="E1802" s="4"/>
      <c r="F1802" s="24"/>
      <c r="G1802" s="8"/>
      <c r="H1802" s="9"/>
      <c r="I1802" s="8"/>
      <c r="J1802" s="10"/>
      <c r="K1802" s="8"/>
      <c r="L1802" s="8"/>
      <c r="M1802" s="8"/>
      <c r="N1802" s="11"/>
      <c r="O1802" s="9"/>
      <c r="P1802" s="12"/>
      <c r="Q1802" s="9"/>
      <c r="R1802" s="13"/>
      <c r="S1802" s="11"/>
      <c r="T1802" s="11"/>
      <c r="U1802" s="9"/>
      <c r="V1802" s="9"/>
      <c r="W1802" s="9"/>
      <c r="X1802" s="16"/>
      <c r="AF1802" s="42">
        <f>IF(BUSCAR!$C$8="FECHA NAC.",$G1802,IF(BUSCAR!$C$8="PASAPORTE EXPIRA",$J1802,IF(BUSCAR!$C$8="LICENCIA EMISION",$L1802,IF(BUSCAR!$C$8="LICENCIA EXPIRA",$M1802,""))))</f>
      </c>
      <c r="AG1802" s="42">
        <f>IF($B1802&amp;$C1802&amp;$D1802&amp;$E1802&amp;$H1802="",0,IF(AND(OR(BUSCAR!$J$5="",ISNUMBER(SEARCH(BUSCAR!$J$5,$AI1802))),OR(BUSCAR!$J$6="",ISNUMBER(SEARCH(BUSCAR!$J$6,$AI1802))),OR(BUSCAR!$J$8="",ISNUMBER(SEARCH(BUSCAR!$J$8,$AI1802))),OR(BUSCAR!$J$9="",ISNUMBER(SEARCH(BUSCAR!$J$9,$AI1802))),OR(NOT(BUSCAR!$J$2),AND(ISNUMBER($AF1802),$AF1802&gt;=BUSCAR!$J$3,$AF1802&lt;=BUSCAR!$J$4))),1,0))</f>
      </c>
      <c r="AH1802" s="42">
        <f t="shared" si="84"/>
      </c>
      <c r="AI1802" s="42">
        <f t="shared" si="85"/>
      </c>
    </row>
    <row r="1803" spans="1:35" x14ac:dyDescent="0.2">
      <c r="A1803" s="66">
        <f t="shared" si="86"/>
      </c>
      <c r="B1803" s="4"/>
      <c r="C1803" s="4"/>
      <c r="D1803" s="4"/>
      <c r="E1803" s="4"/>
      <c r="F1803" s="24"/>
      <c r="G1803" s="8"/>
      <c r="H1803" s="9"/>
      <c r="I1803" s="8"/>
      <c r="J1803" s="10"/>
      <c r="K1803" s="8"/>
      <c r="L1803" s="8"/>
      <c r="M1803" s="8"/>
      <c r="N1803" s="11"/>
      <c r="O1803" s="9"/>
      <c r="P1803" s="12"/>
      <c r="Q1803" s="9"/>
      <c r="R1803" s="13"/>
      <c r="S1803" s="11"/>
      <c r="T1803" s="11"/>
      <c r="U1803" s="9"/>
      <c r="V1803" s="9"/>
      <c r="W1803" s="9"/>
      <c r="X1803" s="16"/>
      <c r="AF1803" s="42">
        <f>IF(BUSCAR!$C$8="FECHA NAC.",$G1803,IF(BUSCAR!$C$8="PASAPORTE EXPIRA",$J1803,IF(BUSCAR!$C$8="LICENCIA EMISION",$L1803,IF(BUSCAR!$C$8="LICENCIA EXPIRA",$M1803,""))))</f>
      </c>
      <c r="AG1803" s="42">
        <f>IF($B1803&amp;$C1803&amp;$D1803&amp;$E1803&amp;$H1803="",0,IF(AND(OR(BUSCAR!$J$5="",ISNUMBER(SEARCH(BUSCAR!$J$5,$AI1803))),OR(BUSCAR!$J$6="",ISNUMBER(SEARCH(BUSCAR!$J$6,$AI1803))),OR(BUSCAR!$J$8="",ISNUMBER(SEARCH(BUSCAR!$J$8,$AI1803))),OR(BUSCAR!$J$9="",ISNUMBER(SEARCH(BUSCAR!$J$9,$AI1803))),OR(NOT(BUSCAR!$J$2),AND(ISNUMBER($AF1803),$AF1803&gt;=BUSCAR!$J$3,$AF1803&lt;=BUSCAR!$J$4))),1,0))</f>
      </c>
      <c r="AH1803" s="42">
        <f t="shared" si="84"/>
      </c>
      <c r="AI1803" s="42">
        <f t="shared" si="85"/>
      </c>
    </row>
    <row r="1804" spans="1:35" x14ac:dyDescent="0.2">
      <c r="A1804" s="66">
        <f t="shared" si="86"/>
      </c>
      <c r="B1804" s="4"/>
      <c r="C1804" s="4"/>
      <c r="D1804" s="4"/>
      <c r="E1804" s="4"/>
      <c r="F1804" s="24"/>
      <c r="G1804" s="8"/>
      <c r="H1804" s="9"/>
      <c r="I1804" s="8"/>
      <c r="J1804" s="10"/>
      <c r="K1804" s="8"/>
      <c r="L1804" s="8"/>
      <c r="M1804" s="8"/>
      <c r="N1804" s="11"/>
      <c r="O1804" s="9"/>
      <c r="P1804" s="12"/>
      <c r="Q1804" s="9"/>
      <c r="R1804" s="13"/>
      <c r="S1804" s="11"/>
      <c r="T1804" s="11"/>
      <c r="U1804" s="9"/>
      <c r="V1804" s="9"/>
      <c r="W1804" s="9"/>
      <c r="X1804" s="16"/>
      <c r="AF1804" s="42">
        <f>IF(BUSCAR!$C$8="FECHA NAC.",$G1804,IF(BUSCAR!$C$8="PASAPORTE EXPIRA",$J1804,IF(BUSCAR!$C$8="LICENCIA EMISION",$L1804,IF(BUSCAR!$C$8="LICENCIA EXPIRA",$M1804,""))))</f>
      </c>
      <c r="AG1804" s="42">
        <f>IF($B1804&amp;$C1804&amp;$D1804&amp;$E1804&amp;$H1804="",0,IF(AND(OR(BUSCAR!$J$5="",ISNUMBER(SEARCH(BUSCAR!$J$5,$AI1804))),OR(BUSCAR!$J$6="",ISNUMBER(SEARCH(BUSCAR!$J$6,$AI1804))),OR(BUSCAR!$J$8="",ISNUMBER(SEARCH(BUSCAR!$J$8,$AI1804))),OR(BUSCAR!$J$9="",ISNUMBER(SEARCH(BUSCAR!$J$9,$AI1804))),OR(NOT(BUSCAR!$J$2),AND(ISNUMBER($AF1804),$AF1804&gt;=BUSCAR!$J$3,$AF1804&lt;=BUSCAR!$J$4))),1,0))</f>
      </c>
      <c r="AH1804" s="42">
        <f t="shared" si="84"/>
      </c>
      <c r="AI1804" s="42">
        <f t="shared" si="85"/>
      </c>
    </row>
    <row r="1805" spans="1:35" x14ac:dyDescent="0.2">
      <c r="A1805" s="66">
        <f t="shared" si="86"/>
      </c>
      <c r="B1805" s="4"/>
      <c r="C1805" s="4"/>
      <c r="D1805" s="4"/>
      <c r="E1805" s="4"/>
      <c r="F1805" s="24"/>
      <c r="G1805" s="8"/>
      <c r="H1805" s="9"/>
      <c r="I1805" s="8"/>
      <c r="J1805" s="10"/>
      <c r="K1805" s="8"/>
      <c r="L1805" s="8"/>
      <c r="M1805" s="8"/>
      <c r="N1805" s="11"/>
      <c r="O1805" s="9"/>
      <c r="P1805" s="12"/>
      <c r="Q1805" s="9"/>
      <c r="R1805" s="13"/>
      <c r="S1805" s="11"/>
      <c r="T1805" s="11"/>
      <c r="U1805" s="9"/>
      <c r="V1805" s="9"/>
      <c r="W1805" s="9"/>
      <c r="X1805" s="16"/>
      <c r="AF1805" s="42">
        <f>IF(BUSCAR!$C$8="FECHA NAC.",$G1805,IF(BUSCAR!$C$8="PASAPORTE EXPIRA",$J1805,IF(BUSCAR!$C$8="LICENCIA EMISION",$L1805,IF(BUSCAR!$C$8="LICENCIA EXPIRA",$M1805,""))))</f>
      </c>
      <c r="AG1805" s="42">
        <f>IF($B1805&amp;$C1805&amp;$D1805&amp;$E1805&amp;$H1805="",0,IF(AND(OR(BUSCAR!$J$5="",ISNUMBER(SEARCH(BUSCAR!$J$5,$AI1805))),OR(BUSCAR!$J$6="",ISNUMBER(SEARCH(BUSCAR!$J$6,$AI1805))),OR(BUSCAR!$J$8="",ISNUMBER(SEARCH(BUSCAR!$J$8,$AI1805))),OR(BUSCAR!$J$9="",ISNUMBER(SEARCH(BUSCAR!$J$9,$AI1805))),OR(NOT(BUSCAR!$J$2),AND(ISNUMBER($AF1805),$AF1805&gt;=BUSCAR!$J$3,$AF1805&lt;=BUSCAR!$J$4))),1,0))</f>
      </c>
      <c r="AH1805" s="42">
        <f t="shared" si="84"/>
      </c>
      <c r="AI1805" s="42">
        <f t="shared" si="85"/>
      </c>
    </row>
    <row r="1806" spans="1:35" x14ac:dyDescent="0.2">
      <c r="A1806" s="66">
        <f t="shared" si="86"/>
      </c>
      <c r="B1806" s="4"/>
      <c r="C1806" s="4"/>
      <c r="D1806" s="4"/>
      <c r="E1806" s="4"/>
      <c r="F1806" s="24"/>
      <c r="G1806" s="8"/>
      <c r="H1806" s="9"/>
      <c r="I1806" s="8"/>
      <c r="J1806" s="10"/>
      <c r="K1806" s="8"/>
      <c r="L1806" s="8"/>
      <c r="M1806" s="8"/>
      <c r="N1806" s="11"/>
      <c r="O1806" s="9"/>
      <c r="P1806" s="12"/>
      <c r="Q1806" s="9"/>
      <c r="R1806" s="13"/>
      <c r="S1806" s="11"/>
      <c r="T1806" s="11"/>
      <c r="U1806" s="9"/>
      <c r="V1806" s="9"/>
      <c r="W1806" s="9"/>
      <c r="X1806" s="16"/>
      <c r="AF1806" s="42">
        <f>IF(BUSCAR!$C$8="FECHA NAC.",$G1806,IF(BUSCAR!$C$8="PASAPORTE EXPIRA",$J1806,IF(BUSCAR!$C$8="LICENCIA EMISION",$L1806,IF(BUSCAR!$C$8="LICENCIA EXPIRA",$M1806,""))))</f>
      </c>
      <c r="AG1806" s="42">
        <f>IF($B1806&amp;$C1806&amp;$D1806&amp;$E1806&amp;$H1806="",0,IF(AND(OR(BUSCAR!$J$5="",ISNUMBER(SEARCH(BUSCAR!$J$5,$AI1806))),OR(BUSCAR!$J$6="",ISNUMBER(SEARCH(BUSCAR!$J$6,$AI1806))),OR(BUSCAR!$J$8="",ISNUMBER(SEARCH(BUSCAR!$J$8,$AI1806))),OR(BUSCAR!$J$9="",ISNUMBER(SEARCH(BUSCAR!$J$9,$AI1806))),OR(NOT(BUSCAR!$J$2),AND(ISNUMBER($AF1806),$AF1806&gt;=BUSCAR!$J$3,$AF1806&lt;=BUSCAR!$J$4))),1,0))</f>
      </c>
      <c r="AH1806" s="42">
        <f t="shared" si="84"/>
      </c>
      <c r="AI1806" s="42">
        <f t="shared" si="85"/>
      </c>
    </row>
    <row r="1807" spans="1:35" x14ac:dyDescent="0.2">
      <c r="A1807" s="66">
        <f t="shared" si="86"/>
      </c>
      <c r="B1807" s="4"/>
      <c r="C1807" s="4"/>
      <c r="D1807" s="4"/>
      <c r="E1807" s="4"/>
      <c r="F1807" s="24"/>
      <c r="G1807" s="8"/>
      <c r="H1807" s="9"/>
      <c r="I1807" s="8"/>
      <c r="J1807" s="10"/>
      <c r="K1807" s="8"/>
      <c r="L1807" s="8"/>
      <c r="M1807" s="8"/>
      <c r="N1807" s="11"/>
      <c r="O1807" s="9"/>
      <c r="P1807" s="12"/>
      <c r="Q1807" s="9"/>
      <c r="R1807" s="13"/>
      <c r="S1807" s="11"/>
      <c r="T1807" s="11"/>
      <c r="U1807" s="9"/>
      <c r="V1807" s="9"/>
      <c r="W1807" s="9"/>
      <c r="X1807" s="16"/>
      <c r="AF1807" s="42">
        <f>IF(BUSCAR!$C$8="FECHA NAC.",$G1807,IF(BUSCAR!$C$8="PASAPORTE EXPIRA",$J1807,IF(BUSCAR!$C$8="LICENCIA EMISION",$L1807,IF(BUSCAR!$C$8="LICENCIA EXPIRA",$M1807,""))))</f>
      </c>
      <c r="AG1807" s="42">
        <f>IF($B1807&amp;$C1807&amp;$D1807&amp;$E1807&amp;$H1807="",0,IF(AND(OR(BUSCAR!$J$5="",ISNUMBER(SEARCH(BUSCAR!$J$5,$AI1807))),OR(BUSCAR!$J$6="",ISNUMBER(SEARCH(BUSCAR!$J$6,$AI1807))),OR(BUSCAR!$J$8="",ISNUMBER(SEARCH(BUSCAR!$J$8,$AI1807))),OR(BUSCAR!$J$9="",ISNUMBER(SEARCH(BUSCAR!$J$9,$AI1807))),OR(NOT(BUSCAR!$J$2),AND(ISNUMBER($AF1807),$AF1807&gt;=BUSCAR!$J$3,$AF1807&lt;=BUSCAR!$J$4))),1,0))</f>
      </c>
      <c r="AH1807" s="42">
        <f t="shared" si="84"/>
      </c>
      <c r="AI1807" s="42">
        <f t="shared" si="85"/>
      </c>
    </row>
    <row r="1808" spans="1:35" x14ac:dyDescent="0.2">
      <c r="A1808" s="66">
        <f t="shared" si="86"/>
      </c>
      <c r="B1808" s="4"/>
      <c r="C1808" s="4"/>
      <c r="D1808" s="4"/>
      <c r="E1808" s="4"/>
      <c r="F1808" s="24"/>
      <c r="G1808" s="8"/>
      <c r="H1808" s="9"/>
      <c r="I1808" s="8"/>
      <c r="J1808" s="10"/>
      <c r="K1808" s="8"/>
      <c r="L1808" s="8"/>
      <c r="M1808" s="8"/>
      <c r="N1808" s="11"/>
      <c r="O1808" s="9"/>
      <c r="P1808" s="12"/>
      <c r="Q1808" s="9"/>
      <c r="R1808" s="13"/>
      <c r="S1808" s="11"/>
      <c r="T1808" s="11"/>
      <c r="U1808" s="9"/>
      <c r="V1808" s="9"/>
      <c r="W1808" s="9"/>
      <c r="X1808" s="16"/>
      <c r="AF1808" s="42">
        <f>IF(BUSCAR!$C$8="FECHA NAC.",$G1808,IF(BUSCAR!$C$8="PASAPORTE EXPIRA",$J1808,IF(BUSCAR!$C$8="LICENCIA EMISION",$L1808,IF(BUSCAR!$C$8="LICENCIA EXPIRA",$M1808,""))))</f>
      </c>
      <c r="AG1808" s="42">
        <f>IF($B1808&amp;$C1808&amp;$D1808&amp;$E1808&amp;$H1808="",0,IF(AND(OR(BUSCAR!$J$5="",ISNUMBER(SEARCH(BUSCAR!$J$5,$AI1808))),OR(BUSCAR!$J$6="",ISNUMBER(SEARCH(BUSCAR!$J$6,$AI1808))),OR(BUSCAR!$J$8="",ISNUMBER(SEARCH(BUSCAR!$J$8,$AI1808))),OR(BUSCAR!$J$9="",ISNUMBER(SEARCH(BUSCAR!$J$9,$AI1808))),OR(NOT(BUSCAR!$J$2),AND(ISNUMBER($AF1808),$AF1808&gt;=BUSCAR!$J$3,$AF1808&lt;=BUSCAR!$J$4))),1,0))</f>
      </c>
      <c r="AH1808" s="42">
        <f t="shared" si="84"/>
      </c>
      <c r="AI1808" s="42">
        <f t="shared" si="85"/>
      </c>
    </row>
    <row r="1809" spans="1:35" x14ac:dyDescent="0.2">
      <c r="A1809" s="66">
        <f t="shared" si="86"/>
      </c>
      <c r="B1809" s="4"/>
      <c r="C1809" s="4"/>
      <c r="D1809" s="4"/>
      <c r="E1809" s="4"/>
      <c r="F1809" s="24"/>
      <c r="G1809" s="8"/>
      <c r="H1809" s="9"/>
      <c r="I1809" s="8"/>
      <c r="J1809" s="10"/>
      <c r="K1809" s="8"/>
      <c r="L1809" s="8"/>
      <c r="M1809" s="8"/>
      <c r="N1809" s="11"/>
      <c r="O1809" s="9"/>
      <c r="P1809" s="12"/>
      <c r="Q1809" s="9"/>
      <c r="R1809" s="13"/>
      <c r="S1809" s="11"/>
      <c r="T1809" s="11"/>
      <c r="U1809" s="9"/>
      <c r="V1809" s="9"/>
      <c r="W1809" s="9"/>
      <c r="X1809" s="16"/>
      <c r="AF1809" s="42">
        <f>IF(BUSCAR!$C$8="FECHA NAC.",$G1809,IF(BUSCAR!$C$8="PASAPORTE EXPIRA",$J1809,IF(BUSCAR!$C$8="LICENCIA EMISION",$L1809,IF(BUSCAR!$C$8="LICENCIA EXPIRA",$M1809,""))))</f>
      </c>
      <c r="AG1809" s="42">
        <f>IF($B1809&amp;$C1809&amp;$D1809&amp;$E1809&amp;$H1809="",0,IF(AND(OR(BUSCAR!$J$5="",ISNUMBER(SEARCH(BUSCAR!$J$5,$AI1809))),OR(BUSCAR!$J$6="",ISNUMBER(SEARCH(BUSCAR!$J$6,$AI1809))),OR(BUSCAR!$J$8="",ISNUMBER(SEARCH(BUSCAR!$J$8,$AI1809))),OR(BUSCAR!$J$9="",ISNUMBER(SEARCH(BUSCAR!$J$9,$AI1809))),OR(NOT(BUSCAR!$J$2),AND(ISNUMBER($AF1809),$AF1809&gt;=BUSCAR!$J$3,$AF1809&lt;=BUSCAR!$J$4))),1,0))</f>
      </c>
      <c r="AH1809" s="42">
        <f t="shared" si="84"/>
      </c>
      <c r="AI1809" s="42">
        <f t="shared" si="85"/>
      </c>
    </row>
    <row r="1810" spans="1:35" x14ac:dyDescent="0.2">
      <c r="A1810" s="66">
        <f t="shared" si="86"/>
      </c>
      <c r="B1810" s="4"/>
      <c r="C1810" s="4"/>
      <c r="D1810" s="4"/>
      <c r="E1810" s="4"/>
      <c r="F1810" s="24"/>
      <c r="G1810" s="8"/>
      <c r="H1810" s="9"/>
      <c r="I1810" s="8"/>
      <c r="J1810" s="10"/>
      <c r="K1810" s="8"/>
      <c r="L1810" s="8"/>
      <c r="M1810" s="8"/>
      <c r="N1810" s="11"/>
      <c r="O1810" s="9"/>
      <c r="P1810" s="12"/>
      <c r="Q1810" s="9"/>
      <c r="R1810" s="13"/>
      <c r="S1810" s="11"/>
      <c r="T1810" s="11"/>
      <c r="U1810" s="9"/>
      <c r="V1810" s="9"/>
      <c r="W1810" s="9"/>
      <c r="X1810" s="16"/>
      <c r="AF1810" s="42">
        <f>IF(BUSCAR!$C$8="FECHA NAC.",$G1810,IF(BUSCAR!$C$8="PASAPORTE EXPIRA",$J1810,IF(BUSCAR!$C$8="LICENCIA EMISION",$L1810,IF(BUSCAR!$C$8="LICENCIA EXPIRA",$M1810,""))))</f>
      </c>
      <c r="AG1810" s="42">
        <f>IF($B1810&amp;$C1810&amp;$D1810&amp;$E1810&amp;$H1810="",0,IF(AND(OR(BUSCAR!$J$5="",ISNUMBER(SEARCH(BUSCAR!$J$5,$AI1810))),OR(BUSCAR!$J$6="",ISNUMBER(SEARCH(BUSCAR!$J$6,$AI1810))),OR(BUSCAR!$J$8="",ISNUMBER(SEARCH(BUSCAR!$J$8,$AI1810))),OR(BUSCAR!$J$9="",ISNUMBER(SEARCH(BUSCAR!$J$9,$AI1810))),OR(NOT(BUSCAR!$J$2),AND(ISNUMBER($AF1810),$AF1810&gt;=BUSCAR!$J$3,$AF1810&lt;=BUSCAR!$J$4))),1,0))</f>
      </c>
      <c r="AH1810" s="42">
        <f t="shared" si="84"/>
      </c>
      <c r="AI1810" s="42">
        <f t="shared" si="85"/>
      </c>
    </row>
    <row r="1811" spans="1:35" x14ac:dyDescent="0.2">
      <c r="A1811" s="66">
        <f t="shared" si="86"/>
      </c>
      <c r="B1811" s="4"/>
      <c r="C1811" s="4"/>
      <c r="D1811" s="4"/>
      <c r="E1811" s="4"/>
      <c r="F1811" s="24"/>
      <c r="G1811" s="8"/>
      <c r="H1811" s="9"/>
      <c r="I1811" s="8"/>
      <c r="J1811" s="10"/>
      <c r="K1811" s="8"/>
      <c r="L1811" s="8"/>
      <c r="M1811" s="8"/>
      <c r="N1811" s="11"/>
      <c r="O1811" s="9"/>
      <c r="P1811" s="12"/>
      <c r="Q1811" s="9"/>
      <c r="R1811" s="13"/>
      <c r="S1811" s="11"/>
      <c r="T1811" s="11"/>
      <c r="U1811" s="9"/>
      <c r="V1811" s="9"/>
      <c r="W1811" s="9"/>
      <c r="X1811" s="16"/>
      <c r="AF1811" s="42">
        <f>IF(BUSCAR!$C$8="FECHA NAC.",$G1811,IF(BUSCAR!$C$8="PASAPORTE EXPIRA",$J1811,IF(BUSCAR!$C$8="LICENCIA EMISION",$L1811,IF(BUSCAR!$C$8="LICENCIA EXPIRA",$M1811,""))))</f>
      </c>
      <c r="AG1811" s="42">
        <f>IF($B1811&amp;$C1811&amp;$D1811&amp;$E1811&amp;$H1811="",0,IF(AND(OR(BUSCAR!$J$5="",ISNUMBER(SEARCH(BUSCAR!$J$5,$AI1811))),OR(BUSCAR!$J$6="",ISNUMBER(SEARCH(BUSCAR!$J$6,$AI1811))),OR(BUSCAR!$J$8="",ISNUMBER(SEARCH(BUSCAR!$J$8,$AI1811))),OR(BUSCAR!$J$9="",ISNUMBER(SEARCH(BUSCAR!$J$9,$AI1811))),OR(NOT(BUSCAR!$J$2),AND(ISNUMBER($AF1811),$AF1811&gt;=BUSCAR!$J$3,$AF1811&lt;=BUSCAR!$J$4))),1,0))</f>
      </c>
      <c r="AH1811" s="42">
        <f t="shared" si="84"/>
      </c>
      <c r="AI1811" s="42">
        <f t="shared" si="85"/>
      </c>
    </row>
    <row r="1812" spans="1:35" x14ac:dyDescent="0.2">
      <c r="A1812" s="66">
        <f t="shared" si="86"/>
      </c>
      <c r="B1812" s="4"/>
      <c r="C1812" s="4"/>
      <c r="D1812" s="4"/>
      <c r="E1812" s="4"/>
      <c r="F1812" s="24"/>
      <c r="G1812" s="8"/>
      <c r="H1812" s="9"/>
      <c r="I1812" s="8"/>
      <c r="J1812" s="10"/>
      <c r="K1812" s="8"/>
      <c r="L1812" s="8"/>
      <c r="M1812" s="8"/>
      <c r="N1812" s="11"/>
      <c r="O1812" s="9"/>
      <c r="P1812" s="12"/>
      <c r="Q1812" s="9"/>
      <c r="R1812" s="13"/>
      <c r="S1812" s="11"/>
      <c r="T1812" s="11"/>
      <c r="U1812" s="9"/>
      <c r="V1812" s="9"/>
      <c r="W1812" s="9"/>
      <c r="X1812" s="16"/>
      <c r="AF1812" s="42">
        <f>IF(BUSCAR!$C$8="FECHA NAC.",$G1812,IF(BUSCAR!$C$8="PASAPORTE EXPIRA",$J1812,IF(BUSCAR!$C$8="LICENCIA EMISION",$L1812,IF(BUSCAR!$C$8="LICENCIA EXPIRA",$M1812,""))))</f>
      </c>
      <c r="AG1812" s="42">
        <f>IF($B1812&amp;$C1812&amp;$D1812&amp;$E1812&amp;$H1812="",0,IF(AND(OR(BUSCAR!$J$5="",ISNUMBER(SEARCH(BUSCAR!$J$5,$AI1812))),OR(BUSCAR!$J$6="",ISNUMBER(SEARCH(BUSCAR!$J$6,$AI1812))),OR(BUSCAR!$J$8="",ISNUMBER(SEARCH(BUSCAR!$J$8,$AI1812))),OR(BUSCAR!$J$9="",ISNUMBER(SEARCH(BUSCAR!$J$9,$AI1812))),OR(NOT(BUSCAR!$J$2),AND(ISNUMBER($AF1812),$AF1812&gt;=BUSCAR!$J$3,$AF1812&lt;=BUSCAR!$J$4))),1,0))</f>
      </c>
      <c r="AH1812" s="42">
        <f t="shared" si="84"/>
      </c>
      <c r="AI1812" s="42">
        <f t="shared" si="85"/>
      </c>
    </row>
    <row r="1813" spans="1:35" x14ac:dyDescent="0.2">
      <c r="A1813" s="66">
        <f t="shared" si="86"/>
      </c>
      <c r="B1813" s="4"/>
      <c r="C1813" s="4"/>
      <c r="D1813" s="4"/>
      <c r="E1813" s="4"/>
      <c r="F1813" s="24"/>
      <c r="G1813" s="8"/>
      <c r="H1813" s="9"/>
      <c r="I1813" s="8"/>
      <c r="J1813" s="10"/>
      <c r="K1813" s="8"/>
      <c r="L1813" s="8"/>
      <c r="M1813" s="8"/>
      <c r="N1813" s="11"/>
      <c r="O1813" s="9"/>
      <c r="P1813" s="12"/>
      <c r="Q1813" s="9"/>
      <c r="R1813" s="13"/>
      <c r="S1813" s="11"/>
      <c r="T1813" s="11"/>
      <c r="U1813" s="9"/>
      <c r="V1813" s="9"/>
      <c r="W1813" s="9"/>
      <c r="X1813" s="16"/>
      <c r="AF1813" s="42">
        <f>IF(BUSCAR!$C$8="FECHA NAC.",$G1813,IF(BUSCAR!$C$8="PASAPORTE EXPIRA",$J1813,IF(BUSCAR!$C$8="LICENCIA EMISION",$L1813,IF(BUSCAR!$C$8="LICENCIA EXPIRA",$M1813,""))))</f>
      </c>
      <c r="AG1813" s="42">
        <f>IF($B1813&amp;$C1813&amp;$D1813&amp;$E1813&amp;$H1813="",0,IF(AND(OR(BUSCAR!$J$5="",ISNUMBER(SEARCH(BUSCAR!$J$5,$AI1813))),OR(BUSCAR!$J$6="",ISNUMBER(SEARCH(BUSCAR!$J$6,$AI1813))),OR(BUSCAR!$J$8="",ISNUMBER(SEARCH(BUSCAR!$J$8,$AI1813))),OR(BUSCAR!$J$9="",ISNUMBER(SEARCH(BUSCAR!$J$9,$AI1813))),OR(NOT(BUSCAR!$J$2),AND(ISNUMBER($AF1813),$AF1813&gt;=BUSCAR!$J$3,$AF1813&lt;=BUSCAR!$J$4))),1,0))</f>
      </c>
      <c r="AH1813" s="42">
        <f t="shared" si="84"/>
      </c>
      <c r="AI1813" s="42">
        <f t="shared" si="85"/>
      </c>
    </row>
    <row r="1814" spans="1:35" x14ac:dyDescent="0.2">
      <c r="A1814" s="66">
        <f t="shared" si="86"/>
      </c>
      <c r="B1814" s="4"/>
      <c r="C1814" s="4"/>
      <c r="D1814" s="4"/>
      <c r="E1814" s="4"/>
      <c r="F1814" s="24"/>
      <c r="G1814" s="8"/>
      <c r="H1814" s="9"/>
      <c r="I1814" s="8"/>
      <c r="J1814" s="10"/>
      <c r="K1814" s="8"/>
      <c r="L1814" s="8"/>
      <c r="M1814" s="8"/>
      <c r="N1814" s="11"/>
      <c r="O1814" s="9"/>
      <c r="P1814" s="12"/>
      <c r="Q1814" s="9"/>
      <c r="R1814" s="13"/>
      <c r="S1814" s="11"/>
      <c r="T1814" s="11"/>
      <c r="U1814" s="9"/>
      <c r="V1814" s="9"/>
      <c r="W1814" s="9"/>
      <c r="X1814" s="16"/>
      <c r="AF1814" s="42">
        <f>IF(BUSCAR!$C$8="FECHA NAC.",$G1814,IF(BUSCAR!$C$8="PASAPORTE EXPIRA",$J1814,IF(BUSCAR!$C$8="LICENCIA EMISION",$L1814,IF(BUSCAR!$C$8="LICENCIA EXPIRA",$M1814,""))))</f>
      </c>
      <c r="AG1814" s="42">
        <f>IF($B1814&amp;$C1814&amp;$D1814&amp;$E1814&amp;$H1814="",0,IF(AND(OR(BUSCAR!$J$5="",ISNUMBER(SEARCH(BUSCAR!$J$5,$AI1814))),OR(BUSCAR!$J$6="",ISNUMBER(SEARCH(BUSCAR!$J$6,$AI1814))),OR(BUSCAR!$J$8="",ISNUMBER(SEARCH(BUSCAR!$J$8,$AI1814))),OR(BUSCAR!$J$9="",ISNUMBER(SEARCH(BUSCAR!$J$9,$AI1814))),OR(NOT(BUSCAR!$J$2),AND(ISNUMBER($AF1814),$AF1814&gt;=BUSCAR!$J$3,$AF1814&lt;=BUSCAR!$J$4))),1,0))</f>
      </c>
      <c r="AH1814" s="42">
        <f t="shared" si="84"/>
      </c>
      <c r="AI1814" s="42">
        <f t="shared" si="85"/>
      </c>
    </row>
    <row r="1815" spans="1:35" x14ac:dyDescent="0.2">
      <c r="A1815" s="66">
        <f t="shared" si="86"/>
      </c>
      <c r="B1815" s="4"/>
      <c r="C1815" s="4"/>
      <c r="D1815" s="4"/>
      <c r="E1815" s="4"/>
      <c r="F1815" s="24"/>
      <c r="G1815" s="8"/>
      <c r="H1815" s="9"/>
      <c r="I1815" s="8"/>
      <c r="J1815" s="10"/>
      <c r="K1815" s="8"/>
      <c r="L1815" s="8"/>
      <c r="M1815" s="8"/>
      <c r="N1815" s="11"/>
      <c r="O1815" s="9"/>
      <c r="P1815" s="12"/>
      <c r="Q1815" s="9"/>
      <c r="R1815" s="13"/>
      <c r="S1815" s="11"/>
      <c r="T1815" s="11"/>
      <c r="U1815" s="9"/>
      <c r="V1815" s="9"/>
      <c r="W1815" s="9"/>
      <c r="X1815" s="16"/>
      <c r="AF1815" s="42">
        <f>IF(BUSCAR!$C$8="FECHA NAC.",$G1815,IF(BUSCAR!$C$8="PASAPORTE EXPIRA",$J1815,IF(BUSCAR!$C$8="LICENCIA EMISION",$L1815,IF(BUSCAR!$C$8="LICENCIA EXPIRA",$M1815,""))))</f>
      </c>
      <c r="AG1815" s="42">
        <f>IF($B1815&amp;$C1815&amp;$D1815&amp;$E1815&amp;$H1815="",0,IF(AND(OR(BUSCAR!$J$5="",ISNUMBER(SEARCH(BUSCAR!$J$5,$AI1815))),OR(BUSCAR!$J$6="",ISNUMBER(SEARCH(BUSCAR!$J$6,$AI1815))),OR(BUSCAR!$J$8="",ISNUMBER(SEARCH(BUSCAR!$J$8,$AI1815))),OR(BUSCAR!$J$9="",ISNUMBER(SEARCH(BUSCAR!$J$9,$AI1815))),OR(NOT(BUSCAR!$J$2),AND(ISNUMBER($AF1815),$AF1815&gt;=BUSCAR!$J$3,$AF1815&lt;=BUSCAR!$J$4))),1,0))</f>
      </c>
      <c r="AH1815" s="42">
        <f t="shared" si="84"/>
      </c>
      <c r="AI1815" s="42">
        <f t="shared" si="85"/>
      </c>
    </row>
    <row r="1816" spans="1:35" x14ac:dyDescent="0.2">
      <c r="A1816" s="66">
        <f t="shared" si="86"/>
      </c>
      <c r="B1816" s="4"/>
      <c r="C1816" s="4"/>
      <c r="D1816" s="4"/>
      <c r="E1816" s="4"/>
      <c r="F1816" s="24"/>
      <c r="G1816" s="8"/>
      <c r="H1816" s="9"/>
      <c r="I1816" s="8"/>
      <c r="J1816" s="10"/>
      <c r="K1816" s="8"/>
      <c r="L1816" s="8"/>
      <c r="M1816" s="8"/>
      <c r="N1816" s="11"/>
      <c r="O1816" s="9"/>
      <c r="P1816" s="12"/>
      <c r="Q1816" s="9"/>
      <c r="R1816" s="13"/>
      <c r="S1816" s="11"/>
      <c r="T1816" s="11"/>
      <c r="U1816" s="9"/>
      <c r="V1816" s="9"/>
      <c r="W1816" s="9"/>
      <c r="X1816" s="16"/>
      <c r="AF1816" s="42">
        <f>IF(BUSCAR!$C$8="FECHA NAC.",$G1816,IF(BUSCAR!$C$8="PASAPORTE EXPIRA",$J1816,IF(BUSCAR!$C$8="LICENCIA EMISION",$L1816,IF(BUSCAR!$C$8="LICENCIA EXPIRA",$M1816,""))))</f>
      </c>
      <c r="AG1816" s="42">
        <f>IF($B1816&amp;$C1816&amp;$D1816&amp;$E1816&amp;$H1816="",0,IF(AND(OR(BUSCAR!$J$5="",ISNUMBER(SEARCH(BUSCAR!$J$5,$AI1816))),OR(BUSCAR!$J$6="",ISNUMBER(SEARCH(BUSCAR!$J$6,$AI1816))),OR(BUSCAR!$J$8="",ISNUMBER(SEARCH(BUSCAR!$J$8,$AI1816))),OR(BUSCAR!$J$9="",ISNUMBER(SEARCH(BUSCAR!$J$9,$AI1816))),OR(NOT(BUSCAR!$J$2),AND(ISNUMBER($AF1816),$AF1816&gt;=BUSCAR!$J$3,$AF1816&lt;=BUSCAR!$J$4))),1,0))</f>
      </c>
      <c r="AH1816" s="42">
        <f t="shared" si="84"/>
      </c>
      <c r="AI1816" s="42">
        <f t="shared" si="85"/>
      </c>
    </row>
    <row r="1817" spans="1:35" x14ac:dyDescent="0.2">
      <c r="A1817" s="66">
        <f t="shared" si="86"/>
      </c>
      <c r="B1817" s="4"/>
      <c r="C1817" s="4"/>
      <c r="D1817" s="4"/>
      <c r="E1817" s="4"/>
      <c r="F1817" s="24"/>
      <c r="G1817" s="8"/>
      <c r="H1817" s="9"/>
      <c r="I1817" s="8"/>
      <c r="J1817" s="10"/>
      <c r="K1817" s="8"/>
      <c r="L1817" s="8"/>
      <c r="M1817" s="8"/>
      <c r="N1817" s="11"/>
      <c r="O1817" s="9"/>
      <c r="P1817" s="12"/>
      <c r="Q1817" s="9"/>
      <c r="R1817" s="13"/>
      <c r="S1817" s="11"/>
      <c r="T1817" s="11"/>
      <c r="U1817" s="9"/>
      <c r="V1817" s="9"/>
      <c r="W1817" s="9"/>
      <c r="X1817" s="16"/>
      <c r="AF1817" s="42">
        <f>IF(BUSCAR!$C$8="FECHA NAC.",$G1817,IF(BUSCAR!$C$8="PASAPORTE EXPIRA",$J1817,IF(BUSCAR!$C$8="LICENCIA EMISION",$L1817,IF(BUSCAR!$C$8="LICENCIA EXPIRA",$M1817,""))))</f>
      </c>
      <c r="AG1817" s="42">
        <f>IF($B1817&amp;$C1817&amp;$D1817&amp;$E1817&amp;$H1817="",0,IF(AND(OR(BUSCAR!$J$5="",ISNUMBER(SEARCH(BUSCAR!$J$5,$AI1817))),OR(BUSCAR!$J$6="",ISNUMBER(SEARCH(BUSCAR!$J$6,$AI1817))),OR(BUSCAR!$J$8="",ISNUMBER(SEARCH(BUSCAR!$J$8,$AI1817))),OR(BUSCAR!$J$9="",ISNUMBER(SEARCH(BUSCAR!$J$9,$AI1817))),OR(NOT(BUSCAR!$J$2),AND(ISNUMBER($AF1817),$AF1817&gt;=BUSCAR!$J$3,$AF1817&lt;=BUSCAR!$J$4))),1,0))</f>
      </c>
      <c r="AH1817" s="42">
        <f t="shared" si="84"/>
      </c>
      <c r="AI1817" s="42">
        <f t="shared" si="85"/>
      </c>
    </row>
    <row r="1818" spans="1:35" x14ac:dyDescent="0.2">
      <c r="A1818" s="66">
        <f t="shared" si="86"/>
      </c>
      <c r="B1818" s="4"/>
      <c r="C1818" s="4"/>
      <c r="D1818" s="4"/>
      <c r="E1818" s="4"/>
      <c r="F1818" s="24"/>
      <c r="G1818" s="8"/>
      <c r="H1818" s="9"/>
      <c r="I1818" s="8"/>
      <c r="J1818" s="10"/>
      <c r="K1818" s="8"/>
      <c r="L1818" s="8"/>
      <c r="M1818" s="8"/>
      <c r="N1818" s="11"/>
      <c r="O1818" s="9"/>
      <c r="P1818" s="12"/>
      <c r="Q1818" s="9"/>
      <c r="R1818" s="13"/>
      <c r="S1818" s="11"/>
      <c r="T1818" s="11"/>
      <c r="U1818" s="9"/>
      <c r="V1818" s="9"/>
      <c r="W1818" s="9"/>
      <c r="X1818" s="16"/>
      <c r="AF1818" s="42">
        <f>IF(BUSCAR!$C$8="FECHA NAC.",$G1818,IF(BUSCAR!$C$8="PASAPORTE EXPIRA",$J1818,IF(BUSCAR!$C$8="LICENCIA EMISION",$L1818,IF(BUSCAR!$C$8="LICENCIA EXPIRA",$M1818,""))))</f>
      </c>
      <c r="AG1818" s="42">
        <f>IF($B1818&amp;$C1818&amp;$D1818&amp;$E1818&amp;$H1818="",0,IF(AND(OR(BUSCAR!$J$5="",ISNUMBER(SEARCH(BUSCAR!$J$5,$AI1818))),OR(BUSCAR!$J$6="",ISNUMBER(SEARCH(BUSCAR!$J$6,$AI1818))),OR(BUSCAR!$J$8="",ISNUMBER(SEARCH(BUSCAR!$J$8,$AI1818))),OR(BUSCAR!$J$9="",ISNUMBER(SEARCH(BUSCAR!$J$9,$AI1818))),OR(NOT(BUSCAR!$J$2),AND(ISNUMBER($AF1818),$AF1818&gt;=BUSCAR!$J$3,$AF1818&lt;=BUSCAR!$J$4))),1,0))</f>
      </c>
      <c r="AH1818" s="42">
        <f t="shared" si="84"/>
      </c>
      <c r="AI1818" s="42">
        <f t="shared" si="85"/>
      </c>
    </row>
    <row r="1819" spans="1:35" x14ac:dyDescent="0.2">
      <c r="A1819" s="66">
        <f t="shared" si="86"/>
      </c>
      <c r="B1819" s="4"/>
      <c r="C1819" s="4"/>
      <c r="D1819" s="4"/>
      <c r="E1819" s="4"/>
      <c r="F1819" s="24"/>
      <c r="G1819" s="8"/>
      <c r="H1819" s="9"/>
      <c r="I1819" s="8"/>
      <c r="J1819" s="10"/>
      <c r="K1819" s="8"/>
      <c r="L1819" s="8"/>
      <c r="M1819" s="8"/>
      <c r="N1819" s="11"/>
      <c r="O1819" s="9"/>
      <c r="P1819" s="12"/>
      <c r="Q1819" s="9"/>
      <c r="R1819" s="13"/>
      <c r="S1819" s="11"/>
      <c r="T1819" s="11"/>
      <c r="U1819" s="9"/>
      <c r="V1819" s="9"/>
      <c r="W1819" s="9"/>
      <c r="X1819" s="16"/>
      <c r="AF1819" s="42">
        <f>IF(BUSCAR!$C$8="FECHA NAC.",$G1819,IF(BUSCAR!$C$8="PASAPORTE EXPIRA",$J1819,IF(BUSCAR!$C$8="LICENCIA EMISION",$L1819,IF(BUSCAR!$C$8="LICENCIA EXPIRA",$M1819,""))))</f>
      </c>
      <c r="AG1819" s="42">
        <f>IF($B1819&amp;$C1819&amp;$D1819&amp;$E1819&amp;$H1819="",0,IF(AND(OR(BUSCAR!$J$5="",ISNUMBER(SEARCH(BUSCAR!$J$5,$AI1819))),OR(BUSCAR!$J$6="",ISNUMBER(SEARCH(BUSCAR!$J$6,$AI1819))),OR(BUSCAR!$J$8="",ISNUMBER(SEARCH(BUSCAR!$J$8,$AI1819))),OR(BUSCAR!$J$9="",ISNUMBER(SEARCH(BUSCAR!$J$9,$AI1819))),OR(NOT(BUSCAR!$J$2),AND(ISNUMBER($AF1819),$AF1819&gt;=BUSCAR!$J$3,$AF1819&lt;=BUSCAR!$J$4))),1,0))</f>
      </c>
      <c r="AH1819" s="42">
        <f t="shared" si="84"/>
      </c>
      <c r="AI1819" s="42">
        <f t="shared" si="85"/>
      </c>
    </row>
    <row r="1820" spans="1:35" x14ac:dyDescent="0.2">
      <c r="A1820" s="66">
        <f t="shared" si="86"/>
      </c>
      <c r="B1820" s="4"/>
      <c r="C1820" s="4"/>
      <c r="D1820" s="4"/>
      <c r="E1820" s="4"/>
      <c r="F1820" s="24"/>
      <c r="G1820" s="8"/>
      <c r="H1820" s="9"/>
      <c r="I1820" s="8"/>
      <c r="J1820" s="10"/>
      <c r="K1820" s="8"/>
      <c r="L1820" s="8"/>
      <c r="M1820" s="8"/>
      <c r="N1820" s="11"/>
      <c r="O1820" s="9"/>
      <c r="P1820" s="12"/>
      <c r="Q1820" s="9"/>
      <c r="R1820" s="13"/>
      <c r="S1820" s="11"/>
      <c r="T1820" s="11"/>
      <c r="U1820" s="9"/>
      <c r="V1820" s="9"/>
      <c r="W1820" s="9"/>
      <c r="X1820" s="16"/>
      <c r="AF1820" s="42">
        <f>IF(BUSCAR!$C$8="FECHA NAC.",$G1820,IF(BUSCAR!$C$8="PASAPORTE EXPIRA",$J1820,IF(BUSCAR!$C$8="LICENCIA EMISION",$L1820,IF(BUSCAR!$C$8="LICENCIA EXPIRA",$M1820,""))))</f>
      </c>
      <c r="AG1820" s="42">
        <f>IF($B1820&amp;$C1820&amp;$D1820&amp;$E1820&amp;$H1820="",0,IF(AND(OR(BUSCAR!$J$5="",ISNUMBER(SEARCH(BUSCAR!$J$5,$AI1820))),OR(BUSCAR!$J$6="",ISNUMBER(SEARCH(BUSCAR!$J$6,$AI1820))),OR(BUSCAR!$J$8="",ISNUMBER(SEARCH(BUSCAR!$J$8,$AI1820))),OR(BUSCAR!$J$9="",ISNUMBER(SEARCH(BUSCAR!$J$9,$AI1820))),OR(NOT(BUSCAR!$J$2),AND(ISNUMBER($AF1820),$AF1820&gt;=BUSCAR!$J$3,$AF1820&lt;=BUSCAR!$J$4))),1,0))</f>
      </c>
      <c r="AH1820" s="42">
        <f t="shared" si="84"/>
      </c>
      <c r="AI1820" s="42">
        <f t="shared" si="85"/>
      </c>
    </row>
    <row r="1821" spans="1:35" x14ac:dyDescent="0.2">
      <c r="A1821" s="66">
        <f t="shared" si="86"/>
      </c>
      <c r="B1821" s="4"/>
      <c r="C1821" s="4"/>
      <c r="D1821" s="4"/>
      <c r="E1821" s="4"/>
      <c r="F1821" s="24"/>
      <c r="G1821" s="8"/>
      <c r="H1821" s="9"/>
      <c r="I1821" s="8"/>
      <c r="J1821" s="10"/>
      <c r="K1821" s="8"/>
      <c r="L1821" s="8"/>
      <c r="M1821" s="8"/>
      <c r="N1821" s="11"/>
      <c r="O1821" s="9"/>
      <c r="P1821" s="12"/>
      <c r="Q1821" s="9"/>
      <c r="R1821" s="13"/>
      <c r="S1821" s="11"/>
      <c r="T1821" s="11"/>
      <c r="U1821" s="9"/>
      <c r="V1821" s="9"/>
      <c r="W1821" s="9"/>
      <c r="X1821" s="16"/>
      <c r="AF1821" s="42">
        <f>IF(BUSCAR!$C$8="FECHA NAC.",$G1821,IF(BUSCAR!$C$8="PASAPORTE EXPIRA",$J1821,IF(BUSCAR!$C$8="LICENCIA EMISION",$L1821,IF(BUSCAR!$C$8="LICENCIA EXPIRA",$M1821,""))))</f>
      </c>
      <c r="AG1821" s="42">
        <f>IF($B1821&amp;$C1821&amp;$D1821&amp;$E1821&amp;$H1821="",0,IF(AND(OR(BUSCAR!$J$5="",ISNUMBER(SEARCH(BUSCAR!$J$5,$AI1821))),OR(BUSCAR!$J$6="",ISNUMBER(SEARCH(BUSCAR!$J$6,$AI1821))),OR(BUSCAR!$J$8="",ISNUMBER(SEARCH(BUSCAR!$J$8,$AI1821))),OR(BUSCAR!$J$9="",ISNUMBER(SEARCH(BUSCAR!$J$9,$AI1821))),OR(NOT(BUSCAR!$J$2),AND(ISNUMBER($AF1821),$AF1821&gt;=BUSCAR!$J$3,$AF1821&lt;=BUSCAR!$J$4))),1,0))</f>
      </c>
      <c r="AH1821" s="42">
        <f t="shared" si="84"/>
      </c>
      <c r="AI1821" s="42">
        <f t="shared" si="85"/>
      </c>
    </row>
    <row r="1822" spans="1:35" x14ac:dyDescent="0.2">
      <c r="A1822" s="66">
        <f t="shared" si="86"/>
      </c>
      <c r="B1822" s="4"/>
      <c r="C1822" s="4"/>
      <c r="D1822" s="4"/>
      <c r="E1822" s="4"/>
      <c r="F1822" s="24"/>
      <c r="G1822" s="8"/>
      <c r="H1822" s="9"/>
      <c r="I1822" s="8"/>
      <c r="J1822" s="10"/>
      <c r="K1822" s="8"/>
      <c r="L1822" s="8"/>
      <c r="M1822" s="8"/>
      <c r="N1822" s="11"/>
      <c r="O1822" s="9"/>
      <c r="P1822" s="12"/>
      <c r="Q1822" s="9"/>
      <c r="R1822" s="13"/>
      <c r="S1822" s="11"/>
      <c r="T1822" s="11"/>
      <c r="U1822" s="9"/>
      <c r="V1822" s="9"/>
      <c r="W1822" s="9"/>
      <c r="X1822" s="16"/>
      <c r="AF1822" s="42">
        <f>IF(BUSCAR!$C$8="FECHA NAC.",$G1822,IF(BUSCAR!$C$8="PASAPORTE EXPIRA",$J1822,IF(BUSCAR!$C$8="LICENCIA EMISION",$L1822,IF(BUSCAR!$C$8="LICENCIA EXPIRA",$M1822,""))))</f>
      </c>
      <c r="AG1822" s="42">
        <f>IF($B1822&amp;$C1822&amp;$D1822&amp;$E1822&amp;$H1822="",0,IF(AND(OR(BUSCAR!$J$5="",ISNUMBER(SEARCH(BUSCAR!$J$5,$AI1822))),OR(BUSCAR!$J$6="",ISNUMBER(SEARCH(BUSCAR!$J$6,$AI1822))),OR(BUSCAR!$J$8="",ISNUMBER(SEARCH(BUSCAR!$J$8,$AI1822))),OR(BUSCAR!$J$9="",ISNUMBER(SEARCH(BUSCAR!$J$9,$AI1822))),OR(NOT(BUSCAR!$J$2),AND(ISNUMBER($AF1822),$AF1822&gt;=BUSCAR!$J$3,$AF1822&lt;=BUSCAR!$J$4))),1,0))</f>
      </c>
      <c r="AH1822" s="42">
        <f t="shared" si="84"/>
      </c>
      <c r="AI1822" s="42">
        <f t="shared" si="85"/>
      </c>
    </row>
    <row r="1823" spans="1:35" x14ac:dyDescent="0.2">
      <c r="A1823" s="66">
        <f t="shared" si="86"/>
      </c>
      <c r="B1823" s="4"/>
      <c r="C1823" s="4"/>
      <c r="D1823" s="4"/>
      <c r="E1823" s="4"/>
      <c r="F1823" s="24"/>
      <c r="G1823" s="8"/>
      <c r="H1823" s="9"/>
      <c r="I1823" s="8"/>
      <c r="J1823" s="10"/>
      <c r="K1823" s="8"/>
      <c r="L1823" s="8"/>
      <c r="M1823" s="8"/>
      <c r="N1823" s="11"/>
      <c r="O1823" s="9"/>
      <c r="P1823" s="12"/>
      <c r="Q1823" s="9"/>
      <c r="R1823" s="13"/>
      <c r="S1823" s="11"/>
      <c r="T1823" s="11"/>
      <c r="U1823" s="9"/>
      <c r="V1823" s="9"/>
      <c r="W1823" s="9"/>
      <c r="X1823" s="16"/>
      <c r="AF1823" s="42">
        <f>IF(BUSCAR!$C$8="FECHA NAC.",$G1823,IF(BUSCAR!$C$8="PASAPORTE EXPIRA",$J1823,IF(BUSCAR!$C$8="LICENCIA EMISION",$L1823,IF(BUSCAR!$C$8="LICENCIA EXPIRA",$M1823,""))))</f>
      </c>
      <c r="AG1823" s="42">
        <f>IF($B1823&amp;$C1823&amp;$D1823&amp;$E1823&amp;$H1823="",0,IF(AND(OR(BUSCAR!$J$5="",ISNUMBER(SEARCH(BUSCAR!$J$5,$AI1823))),OR(BUSCAR!$J$6="",ISNUMBER(SEARCH(BUSCAR!$J$6,$AI1823))),OR(BUSCAR!$J$8="",ISNUMBER(SEARCH(BUSCAR!$J$8,$AI1823))),OR(BUSCAR!$J$9="",ISNUMBER(SEARCH(BUSCAR!$J$9,$AI1823))),OR(NOT(BUSCAR!$J$2),AND(ISNUMBER($AF1823),$AF1823&gt;=BUSCAR!$J$3,$AF1823&lt;=BUSCAR!$J$4))),1,0))</f>
      </c>
      <c r="AH1823" s="42">
        <f t="shared" si="84"/>
      </c>
      <c r="AI1823" s="42">
        <f t="shared" si="85"/>
      </c>
    </row>
    <row r="1824" spans="1:35" x14ac:dyDescent="0.2">
      <c r="A1824" s="66">
        <f t="shared" si="86"/>
      </c>
      <c r="B1824" s="4"/>
      <c r="C1824" s="4"/>
      <c r="D1824" s="4"/>
      <c r="E1824" s="4"/>
      <c r="F1824" s="24"/>
      <c r="G1824" s="8"/>
      <c r="H1824" s="8"/>
      <c r="I1824" s="8"/>
      <c r="J1824" s="10"/>
      <c r="K1824" s="8"/>
      <c r="L1824" s="8"/>
      <c r="M1824" s="8"/>
      <c r="N1824" s="11"/>
      <c r="O1824" s="9"/>
      <c r="P1824" s="12"/>
      <c r="Q1824" s="9"/>
      <c r="R1824" s="13"/>
      <c r="S1824" s="11"/>
      <c r="T1824" s="11"/>
      <c r="U1824" s="9"/>
      <c r="V1824" s="9"/>
      <c r="W1824" s="9"/>
      <c r="X1824" s="16"/>
      <c r="AF1824" s="42">
        <f>IF(BUSCAR!$C$8="FECHA NAC.",$G1824,IF(BUSCAR!$C$8="PASAPORTE EXPIRA",$J1824,IF(BUSCAR!$C$8="LICENCIA EMISION",$L1824,IF(BUSCAR!$C$8="LICENCIA EXPIRA",$M1824,""))))</f>
      </c>
      <c r="AG1824" s="42">
        <f>IF($B1824&amp;$C1824&amp;$D1824&amp;$E1824&amp;$H1824="",0,IF(AND(OR(BUSCAR!$J$5="",ISNUMBER(SEARCH(BUSCAR!$J$5,$AI1824))),OR(BUSCAR!$J$6="",ISNUMBER(SEARCH(BUSCAR!$J$6,$AI1824))),OR(BUSCAR!$J$8="",ISNUMBER(SEARCH(BUSCAR!$J$8,$AI1824))),OR(BUSCAR!$J$9="",ISNUMBER(SEARCH(BUSCAR!$J$9,$AI1824))),OR(NOT(BUSCAR!$J$2),AND(ISNUMBER($AF1824),$AF1824&gt;=BUSCAR!$J$3,$AF1824&lt;=BUSCAR!$J$4))),1,0))</f>
      </c>
      <c r="AH1824" s="42">
        <f t="shared" si="84"/>
      </c>
      <c r="AI1824" s="42">
        <f t="shared" si="85"/>
      </c>
    </row>
    <row r="1825" spans="1:35" x14ac:dyDescent="0.2">
      <c r="A1825" s="66">
        <f t="shared" si="86"/>
      </c>
      <c r="B1825" s="4"/>
      <c r="C1825" s="4"/>
      <c r="D1825" s="4"/>
      <c r="E1825" s="4"/>
      <c r="F1825" s="24"/>
      <c r="G1825" s="8"/>
      <c r="H1825" s="9"/>
      <c r="I1825" s="8"/>
      <c r="J1825" s="10"/>
      <c r="K1825" s="8"/>
      <c r="L1825" s="8"/>
      <c r="M1825" s="8"/>
      <c r="N1825" s="11"/>
      <c r="O1825" s="9"/>
      <c r="P1825" s="12"/>
      <c r="Q1825" s="9"/>
      <c r="R1825" s="13"/>
      <c r="S1825" s="11"/>
      <c r="T1825" s="11"/>
      <c r="U1825" s="9"/>
      <c r="V1825" s="9"/>
      <c r="W1825" s="9"/>
      <c r="X1825" s="16"/>
      <c r="AF1825" s="42">
        <f>IF(BUSCAR!$C$8="FECHA NAC.",$G1825,IF(BUSCAR!$C$8="PASAPORTE EXPIRA",$J1825,IF(BUSCAR!$C$8="LICENCIA EMISION",$L1825,IF(BUSCAR!$C$8="LICENCIA EXPIRA",$M1825,""))))</f>
      </c>
      <c r="AG1825" s="42">
        <f>IF($B1825&amp;$C1825&amp;$D1825&amp;$E1825&amp;$H1825="",0,IF(AND(OR(BUSCAR!$J$5="",ISNUMBER(SEARCH(BUSCAR!$J$5,$AI1825))),OR(BUSCAR!$J$6="",ISNUMBER(SEARCH(BUSCAR!$J$6,$AI1825))),OR(BUSCAR!$J$8="",ISNUMBER(SEARCH(BUSCAR!$J$8,$AI1825))),OR(BUSCAR!$J$9="",ISNUMBER(SEARCH(BUSCAR!$J$9,$AI1825))),OR(NOT(BUSCAR!$J$2),AND(ISNUMBER($AF1825),$AF1825&gt;=BUSCAR!$J$3,$AF1825&lt;=BUSCAR!$J$4))),1,0))</f>
      </c>
      <c r="AH1825" s="42">
        <f t="shared" si="84"/>
      </c>
      <c r="AI1825" s="42">
        <f t="shared" si="85"/>
      </c>
    </row>
    <row r="1826" spans="1:35" x14ac:dyDescent="0.2">
      <c r="A1826" s="66">
        <f t="shared" si="86"/>
      </c>
      <c r="B1826" s="4"/>
      <c r="C1826" s="4"/>
      <c r="D1826" s="4"/>
      <c r="E1826" s="4"/>
      <c r="F1826" s="24"/>
      <c r="G1826" s="8"/>
      <c r="H1826" s="9"/>
      <c r="I1826" s="8"/>
      <c r="J1826" s="10"/>
      <c r="K1826" s="8"/>
      <c r="L1826" s="8"/>
      <c r="M1826" s="8"/>
      <c r="N1826" s="11"/>
      <c r="O1826" s="9"/>
      <c r="P1826" s="12"/>
      <c r="Q1826" s="9"/>
      <c r="R1826" s="13"/>
      <c r="S1826" s="11"/>
      <c r="T1826" s="11"/>
      <c r="U1826" s="9"/>
      <c r="V1826" s="9"/>
      <c r="W1826" s="9"/>
      <c r="X1826" s="16"/>
      <c r="AF1826" s="42">
        <f>IF(BUSCAR!$C$8="FECHA NAC.",$G1826,IF(BUSCAR!$C$8="PASAPORTE EXPIRA",$J1826,IF(BUSCAR!$C$8="LICENCIA EMISION",$L1826,IF(BUSCAR!$C$8="LICENCIA EXPIRA",$M1826,""))))</f>
      </c>
      <c r="AG1826" s="42">
        <f>IF($B1826&amp;$C1826&amp;$D1826&amp;$E1826&amp;$H1826="",0,IF(AND(OR(BUSCAR!$J$5="",ISNUMBER(SEARCH(BUSCAR!$J$5,$AI1826))),OR(BUSCAR!$J$6="",ISNUMBER(SEARCH(BUSCAR!$J$6,$AI1826))),OR(BUSCAR!$J$8="",ISNUMBER(SEARCH(BUSCAR!$J$8,$AI1826))),OR(BUSCAR!$J$9="",ISNUMBER(SEARCH(BUSCAR!$J$9,$AI1826))),OR(NOT(BUSCAR!$J$2),AND(ISNUMBER($AF1826),$AF1826&gt;=BUSCAR!$J$3,$AF1826&lt;=BUSCAR!$J$4))),1,0))</f>
      </c>
      <c r="AH1826" s="42">
        <f t="shared" si="84"/>
      </c>
      <c r="AI1826" s="42">
        <f t="shared" si="85"/>
      </c>
    </row>
    <row r="1827" spans="1:35" x14ac:dyDescent="0.2">
      <c r="A1827" s="66">
        <f t="shared" si="86"/>
      </c>
      <c r="B1827" s="4"/>
      <c r="C1827" s="4"/>
      <c r="D1827" s="4"/>
      <c r="E1827" s="4"/>
      <c r="F1827" s="24"/>
      <c r="G1827" s="8"/>
      <c r="H1827" s="9"/>
      <c r="I1827" s="8"/>
      <c r="J1827" s="10"/>
      <c r="K1827" s="8"/>
      <c r="L1827" s="8"/>
      <c r="M1827" s="8"/>
      <c r="N1827" s="11"/>
      <c r="O1827" s="9"/>
      <c r="P1827" s="12"/>
      <c r="Q1827" s="9"/>
      <c r="R1827" s="13"/>
      <c r="S1827" s="11"/>
      <c r="T1827" s="11"/>
      <c r="U1827" s="9"/>
      <c r="V1827" s="9"/>
      <c r="W1827" s="9"/>
      <c r="X1827" s="16"/>
      <c r="AF1827" s="42">
        <f>IF(BUSCAR!$C$8="FECHA NAC.",$G1827,IF(BUSCAR!$C$8="PASAPORTE EXPIRA",$J1827,IF(BUSCAR!$C$8="LICENCIA EMISION",$L1827,IF(BUSCAR!$C$8="LICENCIA EXPIRA",$M1827,""))))</f>
      </c>
      <c r="AG1827" s="42">
        <f>IF($B1827&amp;$C1827&amp;$D1827&amp;$E1827&amp;$H1827="",0,IF(AND(OR(BUSCAR!$J$5="",ISNUMBER(SEARCH(BUSCAR!$J$5,$AI1827))),OR(BUSCAR!$J$6="",ISNUMBER(SEARCH(BUSCAR!$J$6,$AI1827))),OR(BUSCAR!$J$8="",ISNUMBER(SEARCH(BUSCAR!$J$8,$AI1827))),OR(BUSCAR!$J$9="",ISNUMBER(SEARCH(BUSCAR!$J$9,$AI1827))),OR(NOT(BUSCAR!$J$2),AND(ISNUMBER($AF1827),$AF1827&gt;=BUSCAR!$J$3,$AF1827&lt;=BUSCAR!$J$4))),1,0))</f>
      </c>
      <c r="AH1827" s="42">
        <f t="shared" si="84"/>
      </c>
      <c r="AI1827" s="42">
        <f t="shared" si="85"/>
      </c>
    </row>
    <row r="1828" spans="1:35" x14ac:dyDescent="0.2">
      <c r="A1828" s="66">
        <f t="shared" si="86"/>
      </c>
      <c r="B1828" s="4"/>
      <c r="C1828" s="4"/>
      <c r="D1828" s="4"/>
      <c r="E1828" s="4"/>
      <c r="F1828" s="24"/>
      <c r="G1828" s="8"/>
      <c r="H1828" s="9"/>
      <c r="I1828" s="8"/>
      <c r="J1828" s="10"/>
      <c r="K1828" s="8"/>
      <c r="L1828" s="8"/>
      <c r="M1828" s="8"/>
      <c r="N1828" s="11"/>
      <c r="O1828" s="9"/>
      <c r="P1828" s="12"/>
      <c r="Q1828" s="9"/>
      <c r="R1828" s="13"/>
      <c r="S1828" s="11"/>
      <c r="T1828" s="11"/>
      <c r="U1828" s="9"/>
      <c r="V1828" s="9"/>
      <c r="W1828" s="9"/>
      <c r="X1828" s="16"/>
      <c r="AF1828" s="42">
        <f>IF(BUSCAR!$C$8="FECHA NAC.",$G1828,IF(BUSCAR!$C$8="PASAPORTE EXPIRA",$J1828,IF(BUSCAR!$C$8="LICENCIA EMISION",$L1828,IF(BUSCAR!$C$8="LICENCIA EXPIRA",$M1828,""))))</f>
      </c>
      <c r="AG1828" s="42">
        <f>IF($B1828&amp;$C1828&amp;$D1828&amp;$E1828&amp;$H1828="",0,IF(AND(OR(BUSCAR!$J$5="",ISNUMBER(SEARCH(BUSCAR!$J$5,$AI1828))),OR(BUSCAR!$J$6="",ISNUMBER(SEARCH(BUSCAR!$J$6,$AI1828))),OR(BUSCAR!$J$8="",ISNUMBER(SEARCH(BUSCAR!$J$8,$AI1828))),OR(BUSCAR!$J$9="",ISNUMBER(SEARCH(BUSCAR!$J$9,$AI1828))),OR(NOT(BUSCAR!$J$2),AND(ISNUMBER($AF1828),$AF1828&gt;=BUSCAR!$J$3,$AF1828&lt;=BUSCAR!$J$4))),1,0))</f>
      </c>
      <c r="AH1828" s="42">
        <f t="shared" si="84"/>
      </c>
      <c r="AI1828" s="42">
        <f t="shared" si="85"/>
      </c>
    </row>
    <row r="1829" spans="1:35" x14ac:dyDescent="0.2">
      <c r="A1829" s="66">
        <f t="shared" si="86"/>
      </c>
      <c r="B1829" s="4"/>
      <c r="C1829" s="4"/>
      <c r="D1829" s="4"/>
      <c r="E1829" s="4"/>
      <c r="F1829" s="24"/>
      <c r="G1829" s="8"/>
      <c r="H1829" s="9"/>
      <c r="I1829" s="8"/>
      <c r="J1829" s="10"/>
      <c r="K1829" s="8"/>
      <c r="L1829" s="8"/>
      <c r="M1829" s="8"/>
      <c r="N1829" s="11"/>
      <c r="O1829" s="9"/>
      <c r="P1829" s="12"/>
      <c r="Q1829" s="9"/>
      <c r="R1829" s="13"/>
      <c r="S1829" s="11"/>
      <c r="T1829" s="11"/>
      <c r="U1829" s="9"/>
      <c r="V1829" s="9"/>
      <c r="W1829" s="9"/>
      <c r="X1829" s="16"/>
      <c r="AF1829" s="42">
        <f>IF(BUSCAR!$C$8="FECHA NAC.",$G1829,IF(BUSCAR!$C$8="PASAPORTE EXPIRA",$J1829,IF(BUSCAR!$C$8="LICENCIA EMISION",$L1829,IF(BUSCAR!$C$8="LICENCIA EXPIRA",$M1829,""))))</f>
      </c>
      <c r="AG1829" s="42">
        <f>IF($B1829&amp;$C1829&amp;$D1829&amp;$E1829&amp;$H1829="",0,IF(AND(OR(BUSCAR!$J$5="",ISNUMBER(SEARCH(BUSCAR!$J$5,$AI1829))),OR(BUSCAR!$J$6="",ISNUMBER(SEARCH(BUSCAR!$J$6,$AI1829))),OR(BUSCAR!$J$8="",ISNUMBER(SEARCH(BUSCAR!$J$8,$AI1829))),OR(BUSCAR!$J$9="",ISNUMBER(SEARCH(BUSCAR!$J$9,$AI1829))),OR(NOT(BUSCAR!$J$2),AND(ISNUMBER($AF1829),$AF1829&gt;=BUSCAR!$J$3,$AF1829&lt;=BUSCAR!$J$4))),1,0))</f>
      </c>
      <c r="AH1829" s="42">
        <f t="shared" si="84"/>
      </c>
      <c r="AI1829" s="42">
        <f t="shared" si="85"/>
      </c>
    </row>
    <row r="1830" spans="1:35" x14ac:dyDescent="0.2">
      <c r="A1830" s="66">
        <f t="shared" si="86"/>
      </c>
      <c r="B1830" s="4"/>
      <c r="C1830" s="4"/>
      <c r="D1830" s="4"/>
      <c r="E1830" s="4"/>
      <c r="F1830" s="24"/>
      <c r="G1830" s="8"/>
      <c r="H1830" s="9"/>
      <c r="I1830" s="8"/>
      <c r="J1830" s="10"/>
      <c r="K1830" s="8"/>
      <c r="L1830" s="8"/>
      <c r="M1830" s="8"/>
      <c r="N1830" s="11"/>
      <c r="O1830" s="9"/>
      <c r="P1830" s="12"/>
      <c r="Q1830" s="9"/>
      <c r="R1830" s="13"/>
      <c r="S1830" s="11"/>
      <c r="T1830" s="11"/>
      <c r="U1830" s="9"/>
      <c r="V1830" s="9"/>
      <c r="W1830" s="9"/>
      <c r="X1830" s="16"/>
      <c r="AF1830" s="42">
        <f>IF(BUSCAR!$C$8="FECHA NAC.",$G1830,IF(BUSCAR!$C$8="PASAPORTE EXPIRA",$J1830,IF(BUSCAR!$C$8="LICENCIA EMISION",$L1830,IF(BUSCAR!$C$8="LICENCIA EXPIRA",$M1830,""))))</f>
      </c>
      <c r="AG1830" s="42">
        <f>IF($B1830&amp;$C1830&amp;$D1830&amp;$E1830&amp;$H1830="",0,IF(AND(OR(BUSCAR!$J$5="",ISNUMBER(SEARCH(BUSCAR!$J$5,$AI1830))),OR(BUSCAR!$J$6="",ISNUMBER(SEARCH(BUSCAR!$J$6,$AI1830))),OR(BUSCAR!$J$8="",ISNUMBER(SEARCH(BUSCAR!$J$8,$AI1830))),OR(BUSCAR!$J$9="",ISNUMBER(SEARCH(BUSCAR!$J$9,$AI1830))),OR(NOT(BUSCAR!$J$2),AND(ISNUMBER($AF1830),$AF1830&gt;=BUSCAR!$J$3,$AF1830&lt;=BUSCAR!$J$4))),1,0))</f>
      </c>
      <c r="AH1830" s="42">
        <f t="shared" si="84"/>
      </c>
      <c r="AI1830" s="42">
        <f t="shared" si="85"/>
      </c>
    </row>
    <row r="1831" spans="1:35" x14ac:dyDescent="0.2">
      <c r="A1831" s="66">
        <f t="shared" si="86"/>
      </c>
      <c r="B1831" s="4"/>
      <c r="C1831" s="4"/>
      <c r="D1831" s="4"/>
      <c r="E1831" s="4"/>
      <c r="F1831" s="24"/>
      <c r="G1831" s="8"/>
      <c r="H1831" s="9"/>
      <c r="I1831" s="8"/>
      <c r="J1831" s="10"/>
      <c r="K1831" s="8"/>
      <c r="L1831" s="8"/>
      <c r="M1831" s="8"/>
      <c r="N1831" s="11"/>
      <c r="O1831" s="9"/>
      <c r="P1831" s="12"/>
      <c r="Q1831" s="9"/>
      <c r="R1831" s="13"/>
      <c r="S1831" s="11"/>
      <c r="T1831" s="11"/>
      <c r="U1831" s="9"/>
      <c r="V1831" s="9"/>
      <c r="W1831" s="9"/>
      <c r="X1831" s="16"/>
      <c r="AF1831" s="42">
        <f>IF(BUSCAR!$C$8="FECHA NAC.",$G1831,IF(BUSCAR!$C$8="PASAPORTE EXPIRA",$J1831,IF(BUSCAR!$C$8="LICENCIA EMISION",$L1831,IF(BUSCAR!$C$8="LICENCIA EXPIRA",$M1831,""))))</f>
      </c>
      <c r="AG1831" s="42">
        <f>IF($B1831&amp;$C1831&amp;$D1831&amp;$E1831&amp;$H1831="",0,IF(AND(OR(BUSCAR!$J$5="",ISNUMBER(SEARCH(BUSCAR!$J$5,$AI1831))),OR(BUSCAR!$J$6="",ISNUMBER(SEARCH(BUSCAR!$J$6,$AI1831))),OR(BUSCAR!$J$8="",ISNUMBER(SEARCH(BUSCAR!$J$8,$AI1831))),OR(BUSCAR!$J$9="",ISNUMBER(SEARCH(BUSCAR!$J$9,$AI1831))),OR(NOT(BUSCAR!$J$2),AND(ISNUMBER($AF1831),$AF1831&gt;=BUSCAR!$J$3,$AF1831&lt;=BUSCAR!$J$4))),1,0))</f>
      </c>
      <c r="AH1831" s="42">
        <f t="shared" si="84"/>
      </c>
      <c r="AI1831" s="42">
        <f t="shared" si="85"/>
      </c>
    </row>
    <row r="1832" spans="1:35" x14ac:dyDescent="0.2">
      <c r="A1832" s="66">
        <f t="shared" si="86"/>
      </c>
      <c r="B1832" s="4"/>
      <c r="C1832" s="4"/>
      <c r="D1832" s="4"/>
      <c r="E1832" s="4"/>
      <c r="F1832" s="24"/>
      <c r="G1832" s="8"/>
      <c r="H1832" s="9"/>
      <c r="I1832" s="8"/>
      <c r="J1832" s="10"/>
      <c r="K1832" s="8"/>
      <c r="L1832" s="8"/>
      <c r="M1832" s="8"/>
      <c r="N1832" s="11"/>
      <c r="O1832" s="9"/>
      <c r="P1832" s="12"/>
      <c r="Q1832" s="9"/>
      <c r="R1832" s="13"/>
      <c r="S1832" s="11"/>
      <c r="T1832" s="11"/>
      <c r="U1832" s="9"/>
      <c r="V1832" s="9"/>
      <c r="W1832" s="9"/>
      <c r="X1832" s="16"/>
      <c r="AF1832" s="42">
        <f>IF(BUSCAR!$C$8="FECHA NAC.",$G1832,IF(BUSCAR!$C$8="PASAPORTE EXPIRA",$J1832,IF(BUSCAR!$C$8="LICENCIA EMISION",$L1832,IF(BUSCAR!$C$8="LICENCIA EXPIRA",$M1832,""))))</f>
      </c>
      <c r="AG1832" s="42">
        <f>IF($B1832&amp;$C1832&amp;$D1832&amp;$E1832&amp;$H1832="",0,IF(AND(OR(BUSCAR!$J$5="",ISNUMBER(SEARCH(BUSCAR!$J$5,$AI1832))),OR(BUSCAR!$J$6="",ISNUMBER(SEARCH(BUSCAR!$J$6,$AI1832))),OR(BUSCAR!$J$8="",ISNUMBER(SEARCH(BUSCAR!$J$8,$AI1832))),OR(BUSCAR!$J$9="",ISNUMBER(SEARCH(BUSCAR!$J$9,$AI1832))),OR(NOT(BUSCAR!$J$2),AND(ISNUMBER($AF1832),$AF1832&gt;=BUSCAR!$J$3,$AF1832&lt;=BUSCAR!$J$4))),1,0))</f>
      </c>
      <c r="AH1832" s="42">
        <f t="shared" si="84"/>
      </c>
      <c r="AI1832" s="42">
        <f t="shared" si="85"/>
      </c>
    </row>
    <row r="1833" spans="1:35" x14ac:dyDescent="0.2">
      <c r="A1833" s="66">
        <f t="shared" si="86"/>
      </c>
      <c r="B1833" s="4"/>
      <c r="C1833" s="4"/>
      <c r="D1833" s="4"/>
      <c r="E1833" s="4"/>
      <c r="F1833" s="24"/>
      <c r="G1833" s="8"/>
      <c r="H1833" s="9"/>
      <c r="I1833" s="8"/>
      <c r="J1833" s="10"/>
      <c r="K1833" s="8"/>
      <c r="L1833" s="8"/>
      <c r="M1833" s="8"/>
      <c r="N1833" s="11"/>
      <c r="O1833" s="9"/>
      <c r="P1833" s="12"/>
      <c r="Q1833" s="9"/>
      <c r="R1833" s="13"/>
      <c r="S1833" s="11"/>
      <c r="T1833" s="11"/>
      <c r="U1833" s="9"/>
      <c r="V1833" s="9"/>
      <c r="W1833" s="9"/>
      <c r="X1833" s="16"/>
      <c r="AF1833" s="42">
        <f>IF(BUSCAR!$C$8="FECHA NAC.",$G1833,IF(BUSCAR!$C$8="PASAPORTE EXPIRA",$J1833,IF(BUSCAR!$C$8="LICENCIA EMISION",$L1833,IF(BUSCAR!$C$8="LICENCIA EXPIRA",$M1833,""))))</f>
      </c>
      <c r="AG1833" s="42">
        <f>IF($B1833&amp;$C1833&amp;$D1833&amp;$E1833&amp;$H1833="",0,IF(AND(OR(BUSCAR!$J$5="",ISNUMBER(SEARCH(BUSCAR!$J$5,$AI1833))),OR(BUSCAR!$J$6="",ISNUMBER(SEARCH(BUSCAR!$J$6,$AI1833))),OR(BUSCAR!$J$8="",ISNUMBER(SEARCH(BUSCAR!$J$8,$AI1833))),OR(BUSCAR!$J$9="",ISNUMBER(SEARCH(BUSCAR!$J$9,$AI1833))),OR(NOT(BUSCAR!$J$2),AND(ISNUMBER($AF1833),$AF1833&gt;=BUSCAR!$J$3,$AF1833&lt;=BUSCAR!$J$4))),1,0))</f>
      </c>
      <c r="AH1833" s="42">
        <f t="shared" si="84"/>
      </c>
      <c r="AI1833" s="42">
        <f t="shared" si="85"/>
      </c>
    </row>
    <row r="1834" spans="1:35" x14ac:dyDescent="0.2">
      <c r="A1834" s="66">
        <f t="shared" si="86"/>
      </c>
      <c r="B1834" s="4"/>
      <c r="C1834" s="4"/>
      <c r="D1834" s="4"/>
      <c r="E1834" s="4"/>
      <c r="F1834" s="24"/>
      <c r="G1834" s="8"/>
      <c r="H1834" s="9"/>
      <c r="I1834" s="8"/>
      <c r="J1834" s="10"/>
      <c r="K1834" s="8"/>
      <c r="L1834" s="8"/>
      <c r="M1834" s="8"/>
      <c r="N1834" s="11"/>
      <c r="O1834" s="9"/>
      <c r="P1834" s="12"/>
      <c r="Q1834" s="9"/>
      <c r="R1834" s="13"/>
      <c r="S1834" s="11"/>
      <c r="T1834" s="11"/>
      <c r="U1834" s="9"/>
      <c r="V1834" s="9"/>
      <c r="W1834" s="9"/>
      <c r="X1834" s="16"/>
      <c r="AF1834" s="42">
        <f>IF(BUSCAR!$C$8="FECHA NAC.",$G1834,IF(BUSCAR!$C$8="PASAPORTE EXPIRA",$J1834,IF(BUSCAR!$C$8="LICENCIA EMISION",$L1834,IF(BUSCAR!$C$8="LICENCIA EXPIRA",$M1834,""))))</f>
      </c>
      <c r="AG1834" s="42">
        <f>IF($B1834&amp;$C1834&amp;$D1834&amp;$E1834&amp;$H1834="",0,IF(AND(OR(BUSCAR!$J$5="",ISNUMBER(SEARCH(BUSCAR!$J$5,$AI1834))),OR(BUSCAR!$J$6="",ISNUMBER(SEARCH(BUSCAR!$J$6,$AI1834))),OR(BUSCAR!$J$8="",ISNUMBER(SEARCH(BUSCAR!$J$8,$AI1834))),OR(BUSCAR!$J$9="",ISNUMBER(SEARCH(BUSCAR!$J$9,$AI1834))),OR(NOT(BUSCAR!$J$2),AND(ISNUMBER($AF1834),$AF1834&gt;=BUSCAR!$J$3,$AF1834&lt;=BUSCAR!$J$4))),1,0))</f>
      </c>
      <c r="AH1834" s="42">
        <f t="shared" si="84"/>
      </c>
      <c r="AI1834" s="42">
        <f t="shared" si="85"/>
      </c>
    </row>
    <row r="1835" spans="1:35" x14ac:dyDescent="0.2">
      <c r="A1835" s="66">
        <f t="shared" si="86"/>
      </c>
      <c r="B1835" s="4"/>
      <c r="C1835" s="4"/>
      <c r="D1835" s="4"/>
      <c r="E1835" s="4"/>
      <c r="F1835" s="24"/>
      <c r="G1835" s="8"/>
      <c r="H1835" s="9"/>
      <c r="I1835" s="8"/>
      <c r="J1835" s="10"/>
      <c r="K1835" s="8"/>
      <c r="L1835" s="8"/>
      <c r="M1835" s="8"/>
      <c r="N1835" s="11"/>
      <c r="O1835" s="9"/>
      <c r="P1835" s="12"/>
      <c r="Q1835" s="9"/>
      <c r="R1835" s="13"/>
      <c r="S1835" s="11"/>
      <c r="T1835" s="11"/>
      <c r="U1835" s="9"/>
      <c r="V1835" s="9"/>
      <c r="W1835" s="9"/>
      <c r="X1835" s="16"/>
      <c r="AF1835" s="42">
        <f>IF(BUSCAR!$C$8="FECHA NAC.",$G1835,IF(BUSCAR!$C$8="PASAPORTE EXPIRA",$J1835,IF(BUSCAR!$C$8="LICENCIA EMISION",$L1835,IF(BUSCAR!$C$8="LICENCIA EXPIRA",$M1835,""))))</f>
      </c>
      <c r="AG1835" s="42">
        <f>IF($B1835&amp;$C1835&amp;$D1835&amp;$E1835&amp;$H1835="",0,IF(AND(OR(BUSCAR!$J$5="",ISNUMBER(SEARCH(BUSCAR!$J$5,$AI1835))),OR(BUSCAR!$J$6="",ISNUMBER(SEARCH(BUSCAR!$J$6,$AI1835))),OR(BUSCAR!$J$8="",ISNUMBER(SEARCH(BUSCAR!$J$8,$AI1835))),OR(BUSCAR!$J$9="",ISNUMBER(SEARCH(BUSCAR!$J$9,$AI1835))),OR(NOT(BUSCAR!$J$2),AND(ISNUMBER($AF1835),$AF1835&gt;=BUSCAR!$J$3,$AF1835&lt;=BUSCAR!$J$4))),1,0))</f>
      </c>
      <c r="AH1835" s="42">
        <f t="shared" si="84"/>
      </c>
      <c r="AI1835" s="42">
        <f t="shared" si="85"/>
      </c>
    </row>
    <row r="1836" spans="1:35" x14ac:dyDescent="0.2">
      <c r="A1836" s="66">
        <f t="shared" si="86"/>
      </c>
      <c r="B1836" s="4"/>
      <c r="C1836" s="4"/>
      <c r="D1836" s="4"/>
      <c r="E1836" s="4"/>
      <c r="F1836" s="24"/>
      <c r="G1836" s="8"/>
      <c r="H1836" s="9"/>
      <c r="I1836" s="8"/>
      <c r="J1836" s="10"/>
      <c r="K1836" s="8"/>
      <c r="L1836" s="8"/>
      <c r="M1836" s="8"/>
      <c r="N1836" s="11"/>
      <c r="O1836" s="9"/>
      <c r="P1836" s="12"/>
      <c r="Q1836" s="9"/>
      <c r="R1836" s="13"/>
      <c r="S1836" s="11"/>
      <c r="T1836" s="11"/>
      <c r="U1836" s="9"/>
      <c r="V1836" s="9"/>
      <c r="W1836" s="9"/>
      <c r="X1836" s="16"/>
      <c r="AF1836" s="42">
        <f>IF(BUSCAR!$C$8="FECHA NAC.",$G1836,IF(BUSCAR!$C$8="PASAPORTE EXPIRA",$J1836,IF(BUSCAR!$C$8="LICENCIA EMISION",$L1836,IF(BUSCAR!$C$8="LICENCIA EXPIRA",$M1836,""))))</f>
      </c>
      <c r="AG1836" s="42">
        <f>IF($B1836&amp;$C1836&amp;$D1836&amp;$E1836&amp;$H1836="",0,IF(AND(OR(BUSCAR!$J$5="",ISNUMBER(SEARCH(BUSCAR!$J$5,$AI1836))),OR(BUSCAR!$J$6="",ISNUMBER(SEARCH(BUSCAR!$J$6,$AI1836))),OR(BUSCAR!$J$8="",ISNUMBER(SEARCH(BUSCAR!$J$8,$AI1836))),OR(BUSCAR!$J$9="",ISNUMBER(SEARCH(BUSCAR!$J$9,$AI1836))),OR(NOT(BUSCAR!$J$2),AND(ISNUMBER($AF1836),$AF1836&gt;=BUSCAR!$J$3,$AF1836&lt;=BUSCAR!$J$4))),1,0))</f>
      </c>
      <c r="AH1836" s="42">
        <f t="shared" si="84"/>
      </c>
      <c r="AI1836" s="42">
        <f t="shared" si="85"/>
      </c>
    </row>
    <row r="1837" spans="1:35" x14ac:dyDescent="0.2">
      <c r="A1837" s="66">
        <f t="shared" si="86"/>
      </c>
      <c r="B1837" s="4"/>
      <c r="C1837" s="4"/>
      <c r="D1837" s="4"/>
      <c r="E1837" s="4"/>
      <c r="F1837" s="24"/>
      <c r="G1837" s="8"/>
      <c r="H1837" s="9"/>
      <c r="I1837" s="8"/>
      <c r="J1837" s="10"/>
      <c r="K1837" s="8"/>
      <c r="L1837" s="8"/>
      <c r="M1837" s="8"/>
      <c r="N1837" s="11"/>
      <c r="O1837" s="9"/>
      <c r="P1837" s="12"/>
      <c r="Q1837" s="9"/>
      <c r="R1837" s="13"/>
      <c r="S1837" s="11"/>
      <c r="T1837" s="11"/>
      <c r="U1837" s="9"/>
      <c r="V1837" s="9"/>
      <c r="W1837" s="9"/>
      <c r="X1837" s="16"/>
      <c r="AF1837" s="42">
        <f>IF(BUSCAR!$C$8="FECHA NAC.",$G1837,IF(BUSCAR!$C$8="PASAPORTE EXPIRA",$J1837,IF(BUSCAR!$C$8="LICENCIA EMISION",$L1837,IF(BUSCAR!$C$8="LICENCIA EXPIRA",$M1837,""))))</f>
      </c>
      <c r="AG1837" s="42">
        <f>IF($B1837&amp;$C1837&amp;$D1837&amp;$E1837&amp;$H1837="",0,IF(AND(OR(BUSCAR!$J$5="",ISNUMBER(SEARCH(BUSCAR!$J$5,$AI1837))),OR(BUSCAR!$J$6="",ISNUMBER(SEARCH(BUSCAR!$J$6,$AI1837))),OR(BUSCAR!$J$8="",ISNUMBER(SEARCH(BUSCAR!$J$8,$AI1837))),OR(BUSCAR!$J$9="",ISNUMBER(SEARCH(BUSCAR!$J$9,$AI1837))),OR(NOT(BUSCAR!$J$2),AND(ISNUMBER($AF1837),$AF1837&gt;=BUSCAR!$J$3,$AF1837&lt;=BUSCAR!$J$4))),1,0))</f>
      </c>
      <c r="AH1837" s="42">
        <f t="shared" si="84"/>
      </c>
      <c r="AI1837" s="42">
        <f t="shared" si="85"/>
      </c>
    </row>
    <row r="1838" spans="1:35" x14ac:dyDescent="0.2">
      <c r="A1838" s="66">
        <f t="shared" si="86"/>
      </c>
      <c r="B1838" s="4"/>
      <c r="C1838" s="4"/>
      <c r="D1838" s="4"/>
      <c r="E1838" s="4"/>
      <c r="F1838" s="24"/>
      <c r="G1838" s="8"/>
      <c r="H1838" s="9"/>
      <c r="I1838" s="8"/>
      <c r="J1838" s="10"/>
      <c r="K1838" s="8"/>
      <c r="L1838" s="8"/>
      <c r="M1838" s="8"/>
      <c r="N1838" s="11"/>
      <c r="O1838" s="9"/>
      <c r="P1838" s="12"/>
      <c r="Q1838" s="9"/>
      <c r="R1838" s="13"/>
      <c r="S1838" s="11"/>
      <c r="T1838" s="11"/>
      <c r="U1838" s="9"/>
      <c r="V1838" s="9"/>
      <c r="W1838" s="9"/>
      <c r="X1838" s="16"/>
      <c r="AF1838" s="42">
        <f>IF(BUSCAR!$C$8="FECHA NAC.",$G1838,IF(BUSCAR!$C$8="PASAPORTE EXPIRA",$J1838,IF(BUSCAR!$C$8="LICENCIA EMISION",$L1838,IF(BUSCAR!$C$8="LICENCIA EXPIRA",$M1838,""))))</f>
      </c>
      <c r="AG1838" s="42">
        <f>IF($B1838&amp;$C1838&amp;$D1838&amp;$E1838&amp;$H1838="",0,IF(AND(OR(BUSCAR!$J$5="",ISNUMBER(SEARCH(BUSCAR!$J$5,$AI1838))),OR(BUSCAR!$J$6="",ISNUMBER(SEARCH(BUSCAR!$J$6,$AI1838))),OR(BUSCAR!$J$8="",ISNUMBER(SEARCH(BUSCAR!$J$8,$AI1838))),OR(BUSCAR!$J$9="",ISNUMBER(SEARCH(BUSCAR!$J$9,$AI1838))),OR(NOT(BUSCAR!$J$2),AND(ISNUMBER($AF1838),$AF1838&gt;=BUSCAR!$J$3,$AF1838&lt;=BUSCAR!$J$4))),1,0))</f>
      </c>
      <c r="AH1838" s="42">
        <f t="shared" si="84"/>
      </c>
      <c r="AI1838" s="42">
        <f t="shared" si="85"/>
      </c>
    </row>
    <row r="1839" spans="1:35" x14ac:dyDescent="0.2">
      <c r="A1839" s="66">
        <f t="shared" si="86"/>
      </c>
      <c r="B1839" s="4"/>
      <c r="C1839" s="4"/>
      <c r="D1839" s="4"/>
      <c r="E1839" s="4"/>
      <c r="F1839" s="24"/>
      <c r="G1839" s="8"/>
      <c r="H1839" s="9"/>
      <c r="I1839" s="8"/>
      <c r="J1839" s="10"/>
      <c r="K1839" s="8"/>
      <c r="L1839" s="8"/>
      <c r="M1839" s="8"/>
      <c r="N1839" s="11"/>
      <c r="O1839" s="9"/>
      <c r="P1839" s="12"/>
      <c r="Q1839" s="9"/>
      <c r="R1839" s="13"/>
      <c r="S1839" s="11"/>
      <c r="T1839" s="11"/>
      <c r="U1839" s="9"/>
      <c r="V1839" s="9"/>
      <c r="W1839" s="9"/>
      <c r="X1839" s="16"/>
      <c r="AF1839" s="42">
        <f>IF(BUSCAR!$C$8="FECHA NAC.",$G1839,IF(BUSCAR!$C$8="PASAPORTE EXPIRA",$J1839,IF(BUSCAR!$C$8="LICENCIA EMISION",$L1839,IF(BUSCAR!$C$8="LICENCIA EXPIRA",$M1839,""))))</f>
      </c>
      <c r="AG1839" s="42">
        <f>IF($B1839&amp;$C1839&amp;$D1839&amp;$E1839&amp;$H1839="",0,IF(AND(OR(BUSCAR!$J$5="",ISNUMBER(SEARCH(BUSCAR!$J$5,$AI1839))),OR(BUSCAR!$J$6="",ISNUMBER(SEARCH(BUSCAR!$J$6,$AI1839))),OR(BUSCAR!$J$8="",ISNUMBER(SEARCH(BUSCAR!$J$8,$AI1839))),OR(BUSCAR!$J$9="",ISNUMBER(SEARCH(BUSCAR!$J$9,$AI1839))),OR(NOT(BUSCAR!$J$2),AND(ISNUMBER($AF1839),$AF1839&gt;=BUSCAR!$J$3,$AF1839&lt;=BUSCAR!$J$4))),1,0))</f>
      </c>
      <c r="AH1839" s="42">
        <f t="shared" si="84"/>
      </c>
      <c r="AI1839" s="42">
        <f t="shared" si="85"/>
      </c>
    </row>
    <row r="1840" spans="1:35" x14ac:dyDescent="0.2">
      <c r="A1840" s="66">
        <f t="shared" si="86"/>
      </c>
      <c r="B1840" s="4"/>
      <c r="C1840" s="4"/>
      <c r="D1840" s="4"/>
      <c r="E1840" s="4"/>
      <c r="F1840" s="24"/>
      <c r="G1840" s="8"/>
      <c r="H1840" s="9"/>
      <c r="I1840" s="8"/>
      <c r="J1840" s="10"/>
      <c r="K1840" s="8"/>
      <c r="L1840" s="8"/>
      <c r="M1840" s="8"/>
      <c r="N1840" s="11"/>
      <c r="O1840" s="9"/>
      <c r="P1840" s="12"/>
      <c r="Q1840" s="9"/>
      <c r="R1840" s="13"/>
      <c r="S1840" s="11"/>
      <c r="T1840" s="11"/>
      <c r="U1840" s="9"/>
      <c r="V1840" s="9"/>
      <c r="W1840" s="9"/>
      <c r="X1840" s="16"/>
      <c r="AF1840" s="42">
        <f>IF(BUSCAR!$C$8="FECHA NAC.",$G1840,IF(BUSCAR!$C$8="PASAPORTE EXPIRA",$J1840,IF(BUSCAR!$C$8="LICENCIA EMISION",$L1840,IF(BUSCAR!$C$8="LICENCIA EXPIRA",$M1840,""))))</f>
      </c>
      <c r="AG1840" s="42">
        <f>IF($B1840&amp;$C1840&amp;$D1840&amp;$E1840&amp;$H1840="",0,IF(AND(OR(BUSCAR!$J$5="",ISNUMBER(SEARCH(BUSCAR!$J$5,$AI1840))),OR(BUSCAR!$J$6="",ISNUMBER(SEARCH(BUSCAR!$J$6,$AI1840))),OR(BUSCAR!$J$8="",ISNUMBER(SEARCH(BUSCAR!$J$8,$AI1840))),OR(BUSCAR!$J$9="",ISNUMBER(SEARCH(BUSCAR!$J$9,$AI1840))),OR(NOT(BUSCAR!$J$2),AND(ISNUMBER($AF1840),$AF1840&gt;=BUSCAR!$J$3,$AF1840&lt;=BUSCAR!$J$4))),1,0))</f>
      </c>
      <c r="AH1840" s="42">
        <f t="shared" si="84"/>
      </c>
      <c r="AI1840" s="42">
        <f t="shared" si="85"/>
      </c>
    </row>
    <row r="1841" spans="1:35" x14ac:dyDescent="0.2">
      <c r="A1841" s="66">
        <f t="shared" si="86"/>
      </c>
      <c r="B1841" s="4"/>
      <c r="C1841" s="4"/>
      <c r="D1841" s="4"/>
      <c r="E1841" s="4"/>
      <c r="F1841" s="24"/>
      <c r="G1841" s="8"/>
      <c r="H1841" s="9"/>
      <c r="I1841" s="8"/>
      <c r="J1841" s="10"/>
      <c r="K1841" s="8"/>
      <c r="L1841" s="8"/>
      <c r="M1841" s="8"/>
      <c r="N1841" s="11"/>
      <c r="O1841" s="9"/>
      <c r="P1841" s="12"/>
      <c r="Q1841" s="9"/>
      <c r="R1841" s="13"/>
      <c r="S1841" s="11"/>
      <c r="T1841" s="11"/>
      <c r="U1841" s="9"/>
      <c r="V1841" s="9"/>
      <c r="W1841" s="9"/>
      <c r="X1841" s="16"/>
      <c r="AF1841" s="42">
        <f>IF(BUSCAR!$C$8="FECHA NAC.",$G1841,IF(BUSCAR!$C$8="PASAPORTE EXPIRA",$J1841,IF(BUSCAR!$C$8="LICENCIA EMISION",$L1841,IF(BUSCAR!$C$8="LICENCIA EXPIRA",$M1841,""))))</f>
      </c>
      <c r="AG1841" s="42">
        <f>IF($B1841&amp;$C1841&amp;$D1841&amp;$E1841&amp;$H1841="",0,IF(AND(OR(BUSCAR!$J$5="",ISNUMBER(SEARCH(BUSCAR!$J$5,$AI1841))),OR(BUSCAR!$J$6="",ISNUMBER(SEARCH(BUSCAR!$J$6,$AI1841))),OR(BUSCAR!$J$8="",ISNUMBER(SEARCH(BUSCAR!$J$8,$AI1841))),OR(BUSCAR!$J$9="",ISNUMBER(SEARCH(BUSCAR!$J$9,$AI1841))),OR(NOT(BUSCAR!$J$2),AND(ISNUMBER($AF1841),$AF1841&gt;=BUSCAR!$J$3,$AF1841&lt;=BUSCAR!$J$4))),1,0))</f>
      </c>
      <c r="AH1841" s="42">
        <f t="shared" si="84"/>
      </c>
      <c r="AI1841" s="42">
        <f t="shared" si="85"/>
      </c>
    </row>
    <row r="1842" spans="1:35" x14ac:dyDescent="0.2">
      <c r="A1842" s="66">
        <f t="shared" si="86"/>
      </c>
      <c r="B1842" s="4"/>
      <c r="C1842" s="4"/>
      <c r="D1842" s="4"/>
      <c r="E1842" s="4"/>
      <c r="F1842" s="24"/>
      <c r="G1842" s="8"/>
      <c r="H1842" s="9"/>
      <c r="I1842" s="8"/>
      <c r="J1842" s="10"/>
      <c r="K1842" s="8"/>
      <c r="L1842" s="8"/>
      <c r="M1842" s="8"/>
      <c r="N1842" s="11"/>
      <c r="O1842" s="9"/>
      <c r="P1842" s="12"/>
      <c r="Q1842" s="9"/>
      <c r="R1842" s="13"/>
      <c r="S1842" s="11"/>
      <c r="T1842" s="11"/>
      <c r="U1842" s="9"/>
      <c r="V1842" s="9"/>
      <c r="W1842" s="9"/>
      <c r="X1842" s="16"/>
      <c r="AF1842" s="42">
        <f>IF(BUSCAR!$C$8="FECHA NAC.",$G1842,IF(BUSCAR!$C$8="PASAPORTE EXPIRA",$J1842,IF(BUSCAR!$C$8="LICENCIA EMISION",$L1842,IF(BUSCAR!$C$8="LICENCIA EXPIRA",$M1842,""))))</f>
      </c>
      <c r="AG1842" s="42">
        <f>IF($B1842&amp;$C1842&amp;$D1842&amp;$E1842&amp;$H1842="",0,IF(AND(OR(BUSCAR!$J$5="",ISNUMBER(SEARCH(BUSCAR!$J$5,$AI1842))),OR(BUSCAR!$J$6="",ISNUMBER(SEARCH(BUSCAR!$J$6,$AI1842))),OR(BUSCAR!$J$8="",ISNUMBER(SEARCH(BUSCAR!$J$8,$AI1842))),OR(BUSCAR!$J$9="",ISNUMBER(SEARCH(BUSCAR!$J$9,$AI1842))),OR(NOT(BUSCAR!$J$2),AND(ISNUMBER($AF1842),$AF1842&gt;=BUSCAR!$J$3,$AF1842&lt;=BUSCAR!$J$4))),1,0))</f>
      </c>
      <c r="AH1842" s="42">
        <f t="shared" si="84"/>
      </c>
      <c r="AI1842" s="42">
        <f t="shared" si="85"/>
      </c>
    </row>
    <row r="1843" spans="1:35" x14ac:dyDescent="0.2">
      <c r="A1843" s="66">
        <f t="shared" si="86"/>
      </c>
      <c r="B1843" s="4"/>
      <c r="C1843" s="4"/>
      <c r="D1843" s="4"/>
      <c r="E1843" s="4"/>
      <c r="F1843" s="24"/>
      <c r="G1843" s="8"/>
      <c r="H1843" s="9"/>
      <c r="I1843" s="8"/>
      <c r="J1843" s="10"/>
      <c r="K1843" s="8"/>
      <c r="L1843" s="8"/>
      <c r="M1843" s="8"/>
      <c r="N1843" s="11"/>
      <c r="O1843" s="9"/>
      <c r="P1843" s="12"/>
      <c r="Q1843" s="9"/>
      <c r="R1843" s="13"/>
      <c r="S1843" s="11"/>
      <c r="T1843" s="11"/>
      <c r="U1843" s="9"/>
      <c r="V1843" s="9"/>
      <c r="W1843" s="9"/>
      <c r="X1843" s="16"/>
      <c r="AF1843" s="42">
        <f>IF(BUSCAR!$C$8="FECHA NAC.",$G1843,IF(BUSCAR!$C$8="PASAPORTE EXPIRA",$J1843,IF(BUSCAR!$C$8="LICENCIA EMISION",$L1843,IF(BUSCAR!$C$8="LICENCIA EXPIRA",$M1843,""))))</f>
      </c>
      <c r="AG1843" s="42">
        <f>IF($B1843&amp;$C1843&amp;$D1843&amp;$E1843&amp;$H1843="",0,IF(AND(OR(BUSCAR!$J$5="",ISNUMBER(SEARCH(BUSCAR!$J$5,$AI1843))),OR(BUSCAR!$J$6="",ISNUMBER(SEARCH(BUSCAR!$J$6,$AI1843))),OR(BUSCAR!$J$8="",ISNUMBER(SEARCH(BUSCAR!$J$8,$AI1843))),OR(BUSCAR!$J$9="",ISNUMBER(SEARCH(BUSCAR!$J$9,$AI1843))),OR(NOT(BUSCAR!$J$2),AND(ISNUMBER($AF1843),$AF1843&gt;=BUSCAR!$J$3,$AF1843&lt;=BUSCAR!$J$4))),1,0))</f>
      </c>
      <c r="AH1843" s="42">
        <f t="shared" si="84"/>
      </c>
      <c r="AI1843" s="42">
        <f t="shared" si="85"/>
      </c>
    </row>
    <row r="1844" spans="1:35" x14ac:dyDescent="0.2">
      <c r="A1844" s="66">
        <f t="shared" si="86"/>
      </c>
      <c r="B1844" s="4"/>
      <c r="C1844" s="4"/>
      <c r="D1844" s="4"/>
      <c r="E1844" s="4"/>
      <c r="F1844" s="24"/>
      <c r="G1844" s="8"/>
      <c r="H1844" s="8"/>
      <c r="I1844" s="8"/>
      <c r="J1844" s="10"/>
      <c r="K1844" s="8"/>
      <c r="L1844" s="8"/>
      <c r="M1844" s="8"/>
      <c r="N1844" s="11"/>
      <c r="O1844" s="9"/>
      <c r="P1844" s="12"/>
      <c r="Q1844" s="9"/>
      <c r="R1844" s="13"/>
      <c r="S1844" s="11"/>
      <c r="T1844" s="11"/>
      <c r="U1844" s="9"/>
      <c r="V1844" s="9"/>
      <c r="W1844" s="9"/>
      <c r="X1844" s="16"/>
      <c r="AF1844" s="42">
        <f>IF(BUSCAR!$C$8="FECHA NAC.",$G1844,IF(BUSCAR!$C$8="PASAPORTE EXPIRA",$J1844,IF(BUSCAR!$C$8="LICENCIA EMISION",$L1844,IF(BUSCAR!$C$8="LICENCIA EXPIRA",$M1844,""))))</f>
      </c>
      <c r="AG1844" s="42">
        <f>IF($B1844&amp;$C1844&amp;$D1844&amp;$E1844&amp;$H1844="",0,IF(AND(OR(BUSCAR!$J$5="",ISNUMBER(SEARCH(BUSCAR!$J$5,$AI1844))),OR(BUSCAR!$J$6="",ISNUMBER(SEARCH(BUSCAR!$J$6,$AI1844))),OR(BUSCAR!$J$8="",ISNUMBER(SEARCH(BUSCAR!$J$8,$AI1844))),OR(BUSCAR!$J$9="",ISNUMBER(SEARCH(BUSCAR!$J$9,$AI1844))),OR(NOT(BUSCAR!$J$2),AND(ISNUMBER($AF1844),$AF1844&gt;=BUSCAR!$J$3,$AF1844&lt;=BUSCAR!$J$4))),1,0))</f>
      </c>
      <c r="AH1844" s="42">
        <f t="shared" si="84"/>
      </c>
      <c r="AI1844" s="42">
        <f t="shared" si="85"/>
      </c>
    </row>
    <row r="1845" spans="1:35" x14ac:dyDescent="0.2">
      <c r="A1845" s="66">
        <f t="shared" si="86"/>
      </c>
      <c r="B1845" s="4"/>
      <c r="C1845" s="4"/>
      <c r="D1845" s="4"/>
      <c r="E1845" s="4"/>
      <c r="F1845" s="24"/>
      <c r="G1845" s="8"/>
      <c r="H1845" s="9"/>
      <c r="I1845" s="8"/>
      <c r="J1845" s="10"/>
      <c r="K1845" s="8"/>
      <c r="L1845" s="8"/>
      <c r="M1845" s="8"/>
      <c r="N1845" s="11"/>
      <c r="O1845" s="9"/>
      <c r="P1845" s="12"/>
      <c r="Q1845" s="9"/>
      <c r="R1845" s="13"/>
      <c r="S1845" s="11"/>
      <c r="T1845" s="11"/>
      <c r="U1845" s="9"/>
      <c r="V1845" s="9"/>
      <c r="W1845" s="9"/>
      <c r="X1845" s="16"/>
      <c r="AF1845" s="42">
        <f>IF(BUSCAR!$C$8="FECHA NAC.",$G1845,IF(BUSCAR!$C$8="PASAPORTE EXPIRA",$J1845,IF(BUSCAR!$C$8="LICENCIA EMISION",$L1845,IF(BUSCAR!$C$8="LICENCIA EXPIRA",$M1845,""))))</f>
      </c>
      <c r="AG1845" s="42">
        <f>IF($B1845&amp;$C1845&amp;$D1845&amp;$E1845&amp;$H1845="",0,IF(AND(OR(BUSCAR!$J$5="",ISNUMBER(SEARCH(BUSCAR!$J$5,$AI1845))),OR(BUSCAR!$J$6="",ISNUMBER(SEARCH(BUSCAR!$J$6,$AI1845))),OR(BUSCAR!$J$8="",ISNUMBER(SEARCH(BUSCAR!$J$8,$AI1845))),OR(BUSCAR!$J$9="",ISNUMBER(SEARCH(BUSCAR!$J$9,$AI1845))),OR(NOT(BUSCAR!$J$2),AND(ISNUMBER($AF1845),$AF1845&gt;=BUSCAR!$J$3,$AF1845&lt;=BUSCAR!$J$4))),1,0))</f>
      </c>
      <c r="AH1845" s="42">
        <f t="shared" si="84"/>
      </c>
      <c r="AI1845" s="42">
        <f t="shared" si="85"/>
      </c>
    </row>
    <row r="1846" spans="1:35" x14ac:dyDescent="0.2">
      <c r="A1846" s="66">
        <f t="shared" si="86"/>
      </c>
      <c r="B1846" s="4"/>
      <c r="C1846" s="4"/>
      <c r="D1846" s="4"/>
      <c r="E1846" s="4"/>
      <c r="F1846" s="24"/>
      <c r="G1846" s="8"/>
      <c r="H1846" s="9"/>
      <c r="I1846" s="8"/>
      <c r="J1846" s="10"/>
      <c r="K1846" s="8"/>
      <c r="L1846" s="8"/>
      <c r="M1846" s="8"/>
      <c r="N1846" s="11"/>
      <c r="O1846" s="9"/>
      <c r="P1846" s="12"/>
      <c r="Q1846" s="9"/>
      <c r="R1846" s="13"/>
      <c r="S1846" s="11"/>
      <c r="T1846" s="11"/>
      <c r="U1846" s="9"/>
      <c r="V1846" s="9"/>
      <c r="W1846" s="9"/>
      <c r="X1846" s="16"/>
      <c r="AF1846" s="42">
        <f>IF(BUSCAR!$C$8="FECHA NAC.",$G1846,IF(BUSCAR!$C$8="PASAPORTE EXPIRA",$J1846,IF(BUSCAR!$C$8="LICENCIA EMISION",$L1846,IF(BUSCAR!$C$8="LICENCIA EXPIRA",$M1846,""))))</f>
      </c>
      <c r="AG1846" s="42">
        <f>IF($B1846&amp;$C1846&amp;$D1846&amp;$E1846&amp;$H1846="",0,IF(AND(OR(BUSCAR!$J$5="",ISNUMBER(SEARCH(BUSCAR!$J$5,$AI1846))),OR(BUSCAR!$J$6="",ISNUMBER(SEARCH(BUSCAR!$J$6,$AI1846))),OR(BUSCAR!$J$8="",ISNUMBER(SEARCH(BUSCAR!$J$8,$AI1846))),OR(BUSCAR!$J$9="",ISNUMBER(SEARCH(BUSCAR!$J$9,$AI1846))),OR(NOT(BUSCAR!$J$2),AND(ISNUMBER($AF1846),$AF1846&gt;=BUSCAR!$J$3,$AF1846&lt;=BUSCAR!$J$4))),1,0))</f>
      </c>
      <c r="AH1846" s="42">
        <f t="shared" si="84"/>
      </c>
      <c r="AI1846" s="42">
        <f t="shared" si="85"/>
      </c>
    </row>
    <row r="1847" spans="1:35" x14ac:dyDescent="0.2">
      <c r="A1847" s="66">
        <f t="shared" si="86"/>
      </c>
      <c r="B1847" s="4"/>
      <c r="C1847" s="4"/>
      <c r="D1847" s="4"/>
      <c r="E1847" s="4"/>
      <c r="F1847" s="24"/>
      <c r="G1847" s="8"/>
      <c r="H1847" s="9"/>
      <c r="I1847" s="8"/>
      <c r="J1847" s="10"/>
      <c r="K1847" s="8"/>
      <c r="L1847" s="8"/>
      <c r="M1847" s="8"/>
      <c r="N1847" s="11"/>
      <c r="O1847" s="9"/>
      <c r="P1847" s="12"/>
      <c r="Q1847" s="9"/>
      <c r="R1847" s="13"/>
      <c r="S1847" s="11"/>
      <c r="T1847" s="11"/>
      <c r="U1847" s="9"/>
      <c r="V1847" s="9"/>
      <c r="W1847" s="9"/>
      <c r="X1847" s="16"/>
      <c r="AF1847" s="42">
        <f>IF(BUSCAR!$C$8="FECHA NAC.",$G1847,IF(BUSCAR!$C$8="PASAPORTE EXPIRA",$J1847,IF(BUSCAR!$C$8="LICENCIA EMISION",$L1847,IF(BUSCAR!$C$8="LICENCIA EXPIRA",$M1847,""))))</f>
      </c>
      <c r="AG1847" s="42">
        <f>IF($B1847&amp;$C1847&amp;$D1847&amp;$E1847&amp;$H1847="",0,IF(AND(OR(BUSCAR!$J$5="",ISNUMBER(SEARCH(BUSCAR!$J$5,$AI1847))),OR(BUSCAR!$J$6="",ISNUMBER(SEARCH(BUSCAR!$J$6,$AI1847))),OR(BUSCAR!$J$8="",ISNUMBER(SEARCH(BUSCAR!$J$8,$AI1847))),OR(BUSCAR!$J$9="",ISNUMBER(SEARCH(BUSCAR!$J$9,$AI1847))),OR(NOT(BUSCAR!$J$2),AND(ISNUMBER($AF1847),$AF1847&gt;=BUSCAR!$J$3,$AF1847&lt;=BUSCAR!$J$4))),1,0))</f>
      </c>
      <c r="AH1847" s="42">
        <f t="shared" si="84"/>
      </c>
      <c r="AI1847" s="42">
        <f t="shared" si="85"/>
      </c>
    </row>
    <row r="1848" spans="1:35" x14ac:dyDescent="0.2">
      <c r="A1848" s="66">
        <f t="shared" si="86"/>
      </c>
      <c r="B1848" s="4"/>
      <c r="C1848" s="4"/>
      <c r="D1848" s="4"/>
      <c r="E1848" s="4"/>
      <c r="F1848" s="24"/>
      <c r="G1848" s="8"/>
      <c r="H1848" s="9"/>
      <c r="I1848" s="8"/>
      <c r="J1848" s="10"/>
      <c r="K1848" s="8"/>
      <c r="L1848" s="8"/>
      <c r="M1848" s="8"/>
      <c r="N1848" s="11"/>
      <c r="O1848" s="9"/>
      <c r="P1848" s="12"/>
      <c r="Q1848" s="9"/>
      <c r="R1848" s="13"/>
      <c r="S1848" s="11"/>
      <c r="T1848" s="11"/>
      <c r="U1848" s="9"/>
      <c r="V1848" s="9"/>
      <c r="W1848" s="9"/>
      <c r="X1848" s="16"/>
      <c r="AF1848" s="42">
        <f>IF(BUSCAR!$C$8="FECHA NAC.",$G1848,IF(BUSCAR!$C$8="PASAPORTE EXPIRA",$J1848,IF(BUSCAR!$C$8="LICENCIA EMISION",$L1848,IF(BUSCAR!$C$8="LICENCIA EXPIRA",$M1848,""))))</f>
      </c>
      <c r="AG1848" s="42">
        <f>IF($B1848&amp;$C1848&amp;$D1848&amp;$E1848&amp;$H1848="",0,IF(AND(OR(BUSCAR!$J$5="",ISNUMBER(SEARCH(BUSCAR!$J$5,$AI1848))),OR(BUSCAR!$J$6="",ISNUMBER(SEARCH(BUSCAR!$J$6,$AI1848))),OR(BUSCAR!$J$8="",ISNUMBER(SEARCH(BUSCAR!$J$8,$AI1848))),OR(BUSCAR!$J$9="",ISNUMBER(SEARCH(BUSCAR!$J$9,$AI1848))),OR(NOT(BUSCAR!$J$2),AND(ISNUMBER($AF1848),$AF1848&gt;=BUSCAR!$J$3,$AF1848&lt;=BUSCAR!$J$4))),1,0))</f>
      </c>
      <c r="AH1848" s="42">
        <f t="shared" si="84"/>
      </c>
      <c r="AI1848" s="42">
        <f t="shared" si="85"/>
      </c>
    </row>
    <row r="1849" spans="1:35" x14ac:dyDescent="0.2">
      <c r="A1849" s="66">
        <f t="shared" si="86"/>
      </c>
      <c r="B1849" s="4"/>
      <c r="C1849" s="4"/>
      <c r="D1849" s="4"/>
      <c r="E1849" s="4"/>
      <c r="F1849" s="24"/>
      <c r="G1849" s="8"/>
      <c r="H1849" s="9"/>
      <c r="I1849" s="8"/>
      <c r="J1849" s="10"/>
      <c r="K1849" s="8"/>
      <c r="L1849" s="8"/>
      <c r="M1849" s="8"/>
      <c r="N1849" s="11"/>
      <c r="O1849" s="9"/>
      <c r="P1849" s="12"/>
      <c r="Q1849" s="9"/>
      <c r="R1849" s="13"/>
      <c r="S1849" s="11"/>
      <c r="T1849" s="11"/>
      <c r="U1849" s="9"/>
      <c r="V1849" s="9"/>
      <c r="W1849" s="9"/>
      <c r="X1849" s="16"/>
      <c r="AF1849" s="42">
        <f>IF(BUSCAR!$C$8="FECHA NAC.",$G1849,IF(BUSCAR!$C$8="PASAPORTE EXPIRA",$J1849,IF(BUSCAR!$C$8="LICENCIA EMISION",$L1849,IF(BUSCAR!$C$8="LICENCIA EXPIRA",$M1849,""))))</f>
      </c>
      <c r="AG1849" s="42">
        <f>IF($B1849&amp;$C1849&amp;$D1849&amp;$E1849&amp;$H1849="",0,IF(AND(OR(BUSCAR!$J$5="",ISNUMBER(SEARCH(BUSCAR!$J$5,$AI1849))),OR(BUSCAR!$J$6="",ISNUMBER(SEARCH(BUSCAR!$J$6,$AI1849))),OR(BUSCAR!$J$8="",ISNUMBER(SEARCH(BUSCAR!$J$8,$AI1849))),OR(BUSCAR!$J$9="",ISNUMBER(SEARCH(BUSCAR!$J$9,$AI1849))),OR(NOT(BUSCAR!$J$2),AND(ISNUMBER($AF1849),$AF1849&gt;=BUSCAR!$J$3,$AF1849&lt;=BUSCAR!$J$4))),1,0))</f>
      </c>
      <c r="AH1849" s="42">
        <f t="shared" si="84"/>
      </c>
      <c r="AI1849" s="42">
        <f t="shared" si="85"/>
      </c>
    </row>
    <row r="1850" spans="1:35" x14ac:dyDescent="0.2">
      <c r="A1850" s="66">
        <f t="shared" si="86"/>
      </c>
      <c r="B1850" s="4"/>
      <c r="C1850" s="4"/>
      <c r="D1850" s="4"/>
      <c r="E1850" s="4"/>
      <c r="F1850" s="24"/>
      <c r="G1850" s="8"/>
      <c r="H1850" s="9"/>
      <c r="I1850" s="8"/>
      <c r="J1850" s="10"/>
      <c r="K1850" s="8"/>
      <c r="L1850" s="8"/>
      <c r="M1850" s="8"/>
      <c r="N1850" s="11"/>
      <c r="O1850" s="9"/>
      <c r="P1850" s="12"/>
      <c r="Q1850" s="9"/>
      <c r="R1850" s="13"/>
      <c r="S1850" s="11"/>
      <c r="T1850" s="11"/>
      <c r="U1850" s="9"/>
      <c r="V1850" s="9"/>
      <c r="W1850" s="9"/>
      <c r="X1850" s="16"/>
      <c r="AF1850" s="42">
        <f>IF(BUSCAR!$C$8="FECHA NAC.",$G1850,IF(BUSCAR!$C$8="PASAPORTE EXPIRA",$J1850,IF(BUSCAR!$C$8="LICENCIA EMISION",$L1850,IF(BUSCAR!$C$8="LICENCIA EXPIRA",$M1850,""))))</f>
      </c>
      <c r="AG1850" s="42">
        <f>IF($B1850&amp;$C1850&amp;$D1850&amp;$E1850&amp;$H1850="",0,IF(AND(OR(BUSCAR!$J$5="",ISNUMBER(SEARCH(BUSCAR!$J$5,$AI1850))),OR(BUSCAR!$J$6="",ISNUMBER(SEARCH(BUSCAR!$J$6,$AI1850))),OR(BUSCAR!$J$8="",ISNUMBER(SEARCH(BUSCAR!$J$8,$AI1850))),OR(BUSCAR!$J$9="",ISNUMBER(SEARCH(BUSCAR!$J$9,$AI1850))),OR(NOT(BUSCAR!$J$2),AND(ISNUMBER($AF1850),$AF1850&gt;=BUSCAR!$J$3,$AF1850&lt;=BUSCAR!$J$4))),1,0))</f>
      </c>
      <c r="AH1850" s="42">
        <f t="shared" si="84"/>
      </c>
      <c r="AI1850" s="42">
        <f t="shared" si="85"/>
      </c>
    </row>
    <row r="1851" spans="1:35" x14ac:dyDescent="0.2">
      <c r="A1851" s="66">
        <f t="shared" si="86"/>
      </c>
      <c r="B1851" s="4"/>
      <c r="C1851" s="4"/>
      <c r="D1851" s="4"/>
      <c r="E1851" s="4"/>
      <c r="F1851" s="24"/>
      <c r="G1851" s="8"/>
      <c r="H1851" s="9"/>
      <c r="I1851" s="8"/>
      <c r="J1851" s="10"/>
      <c r="K1851" s="8"/>
      <c r="L1851" s="8"/>
      <c r="M1851" s="8"/>
      <c r="N1851" s="11"/>
      <c r="O1851" s="9"/>
      <c r="P1851" s="12"/>
      <c r="Q1851" s="9"/>
      <c r="R1851" s="13"/>
      <c r="S1851" s="11"/>
      <c r="T1851" s="11"/>
      <c r="U1851" s="9"/>
      <c r="V1851" s="9"/>
      <c r="W1851" s="9"/>
      <c r="X1851" s="16"/>
      <c r="AF1851" s="42">
        <f>IF(BUSCAR!$C$8="FECHA NAC.",$G1851,IF(BUSCAR!$C$8="PASAPORTE EXPIRA",$J1851,IF(BUSCAR!$C$8="LICENCIA EMISION",$L1851,IF(BUSCAR!$C$8="LICENCIA EXPIRA",$M1851,""))))</f>
      </c>
      <c r="AG1851" s="42">
        <f>IF($B1851&amp;$C1851&amp;$D1851&amp;$E1851&amp;$H1851="",0,IF(AND(OR(BUSCAR!$J$5="",ISNUMBER(SEARCH(BUSCAR!$J$5,$AI1851))),OR(BUSCAR!$J$6="",ISNUMBER(SEARCH(BUSCAR!$J$6,$AI1851))),OR(BUSCAR!$J$8="",ISNUMBER(SEARCH(BUSCAR!$J$8,$AI1851))),OR(BUSCAR!$J$9="",ISNUMBER(SEARCH(BUSCAR!$J$9,$AI1851))),OR(NOT(BUSCAR!$J$2),AND(ISNUMBER($AF1851),$AF1851&gt;=BUSCAR!$J$3,$AF1851&lt;=BUSCAR!$J$4))),1,0))</f>
      </c>
      <c r="AH1851" s="42">
        <f t="shared" si="84"/>
      </c>
      <c r="AI1851" s="42">
        <f t="shared" si="85"/>
      </c>
    </row>
    <row r="1852" spans="1:35" x14ac:dyDescent="0.2">
      <c r="A1852" s="66">
        <f t="shared" si="86"/>
      </c>
      <c r="B1852" s="4"/>
      <c r="C1852" s="4"/>
      <c r="D1852" s="4"/>
      <c r="E1852" s="4"/>
      <c r="F1852" s="24"/>
      <c r="G1852" s="8"/>
      <c r="H1852" s="9"/>
      <c r="I1852" s="8"/>
      <c r="J1852" s="10"/>
      <c r="K1852" s="8"/>
      <c r="L1852" s="8"/>
      <c r="M1852" s="8"/>
      <c r="N1852" s="11"/>
      <c r="O1852" s="9"/>
      <c r="P1852" s="12"/>
      <c r="Q1852" s="9"/>
      <c r="R1852" s="13"/>
      <c r="S1852" s="11"/>
      <c r="T1852" s="11"/>
      <c r="U1852" s="9"/>
      <c r="V1852" s="9"/>
      <c r="W1852" s="9"/>
      <c r="X1852" s="16"/>
      <c r="AF1852" s="42">
        <f>IF(BUSCAR!$C$8="FECHA NAC.",$G1852,IF(BUSCAR!$C$8="PASAPORTE EXPIRA",$J1852,IF(BUSCAR!$C$8="LICENCIA EMISION",$L1852,IF(BUSCAR!$C$8="LICENCIA EXPIRA",$M1852,""))))</f>
      </c>
      <c r="AG1852" s="42">
        <f>IF($B1852&amp;$C1852&amp;$D1852&amp;$E1852&amp;$H1852="",0,IF(AND(OR(BUSCAR!$J$5="",ISNUMBER(SEARCH(BUSCAR!$J$5,$AI1852))),OR(BUSCAR!$J$6="",ISNUMBER(SEARCH(BUSCAR!$J$6,$AI1852))),OR(BUSCAR!$J$8="",ISNUMBER(SEARCH(BUSCAR!$J$8,$AI1852))),OR(BUSCAR!$J$9="",ISNUMBER(SEARCH(BUSCAR!$J$9,$AI1852))),OR(NOT(BUSCAR!$J$2),AND(ISNUMBER($AF1852),$AF1852&gt;=BUSCAR!$J$3,$AF1852&lt;=BUSCAR!$J$4))),1,0))</f>
      </c>
      <c r="AH1852" s="42">
        <f t="shared" si="84"/>
      </c>
      <c r="AI1852" s="42">
        <f t="shared" si="85"/>
      </c>
    </row>
    <row r="1853" spans="1:35" x14ac:dyDescent="0.2">
      <c r="A1853" s="66">
        <f t="shared" si="86"/>
      </c>
      <c r="B1853" s="4"/>
      <c r="C1853" s="4"/>
      <c r="D1853" s="4"/>
      <c r="E1853" s="4"/>
      <c r="F1853" s="24"/>
      <c r="G1853" s="8"/>
      <c r="H1853" s="9"/>
      <c r="I1853" s="8"/>
      <c r="J1853" s="10"/>
      <c r="K1853" s="8"/>
      <c r="L1853" s="8"/>
      <c r="M1853" s="8"/>
      <c r="N1853" s="11"/>
      <c r="O1853" s="9"/>
      <c r="P1853" s="12"/>
      <c r="Q1853" s="9"/>
      <c r="R1853" s="13"/>
      <c r="S1853" s="11"/>
      <c r="T1853" s="11"/>
      <c r="U1853" s="9"/>
      <c r="V1853" s="9"/>
      <c r="W1853" s="9"/>
      <c r="X1853" s="16"/>
      <c r="AF1853" s="42">
        <f>IF(BUSCAR!$C$8="FECHA NAC.",$G1853,IF(BUSCAR!$C$8="PASAPORTE EXPIRA",$J1853,IF(BUSCAR!$C$8="LICENCIA EMISION",$L1853,IF(BUSCAR!$C$8="LICENCIA EXPIRA",$M1853,""))))</f>
      </c>
      <c r="AG1853" s="42">
        <f>IF($B1853&amp;$C1853&amp;$D1853&amp;$E1853&amp;$H1853="",0,IF(AND(OR(BUSCAR!$J$5="",ISNUMBER(SEARCH(BUSCAR!$J$5,$AI1853))),OR(BUSCAR!$J$6="",ISNUMBER(SEARCH(BUSCAR!$J$6,$AI1853))),OR(BUSCAR!$J$8="",ISNUMBER(SEARCH(BUSCAR!$J$8,$AI1853))),OR(BUSCAR!$J$9="",ISNUMBER(SEARCH(BUSCAR!$J$9,$AI1853))),OR(NOT(BUSCAR!$J$2),AND(ISNUMBER($AF1853),$AF1853&gt;=BUSCAR!$J$3,$AF1853&lt;=BUSCAR!$J$4))),1,0))</f>
      </c>
      <c r="AH1853" s="42">
        <f t="shared" si="84"/>
      </c>
      <c r="AI1853" s="42">
        <f t="shared" si="85"/>
      </c>
    </row>
    <row r="1854" spans="1:35" x14ac:dyDescent="0.2">
      <c r="A1854" s="66">
        <f t="shared" si="86"/>
      </c>
      <c r="B1854" s="4"/>
      <c r="C1854" s="4"/>
      <c r="D1854" s="4"/>
      <c r="E1854" s="4"/>
      <c r="F1854" s="24"/>
      <c r="G1854" s="8"/>
      <c r="H1854" s="9"/>
      <c r="I1854" s="8"/>
      <c r="J1854" s="10"/>
      <c r="K1854" s="8"/>
      <c r="L1854" s="8"/>
      <c r="M1854" s="8"/>
      <c r="N1854" s="11"/>
      <c r="O1854" s="9"/>
      <c r="P1854" s="12"/>
      <c r="Q1854" s="9"/>
      <c r="R1854" s="13"/>
      <c r="S1854" s="11"/>
      <c r="T1854" s="11"/>
      <c r="U1854" s="9"/>
      <c r="V1854" s="9"/>
      <c r="W1854" s="9"/>
      <c r="X1854" s="16"/>
      <c r="AF1854" s="42">
        <f>IF(BUSCAR!$C$8="FECHA NAC.",$G1854,IF(BUSCAR!$C$8="PASAPORTE EXPIRA",$J1854,IF(BUSCAR!$C$8="LICENCIA EMISION",$L1854,IF(BUSCAR!$C$8="LICENCIA EXPIRA",$M1854,""))))</f>
      </c>
      <c r="AG1854" s="42">
        <f>IF($B1854&amp;$C1854&amp;$D1854&amp;$E1854&amp;$H1854="",0,IF(AND(OR(BUSCAR!$J$5="",ISNUMBER(SEARCH(BUSCAR!$J$5,$AI1854))),OR(BUSCAR!$J$6="",ISNUMBER(SEARCH(BUSCAR!$J$6,$AI1854))),OR(BUSCAR!$J$8="",ISNUMBER(SEARCH(BUSCAR!$J$8,$AI1854))),OR(BUSCAR!$J$9="",ISNUMBER(SEARCH(BUSCAR!$J$9,$AI1854))),OR(NOT(BUSCAR!$J$2),AND(ISNUMBER($AF1854),$AF1854&gt;=BUSCAR!$J$3,$AF1854&lt;=BUSCAR!$J$4))),1,0))</f>
      </c>
      <c r="AH1854" s="42">
        <f t="shared" si="84"/>
      </c>
      <c r="AI1854" s="42">
        <f t="shared" si="85"/>
      </c>
    </row>
    <row r="1855" spans="1:35" x14ac:dyDescent="0.2">
      <c r="A1855" s="66">
        <f t="shared" si="86"/>
      </c>
      <c r="B1855" s="4"/>
      <c r="C1855" s="4"/>
      <c r="D1855" s="4"/>
      <c r="E1855" s="4"/>
      <c r="F1855" s="24"/>
      <c r="G1855" s="8"/>
      <c r="H1855" s="9"/>
      <c r="I1855" s="8"/>
      <c r="J1855" s="10"/>
      <c r="K1855" s="8"/>
      <c r="L1855" s="8"/>
      <c r="M1855" s="8"/>
      <c r="N1855" s="11"/>
      <c r="O1855" s="9"/>
      <c r="P1855" s="12"/>
      <c r="Q1855" s="9"/>
      <c r="R1855" s="13"/>
      <c r="S1855" s="11"/>
      <c r="T1855" s="11"/>
      <c r="U1855" s="9"/>
      <c r="V1855" s="9"/>
      <c r="W1855" s="9"/>
      <c r="X1855" s="16"/>
      <c r="AF1855" s="42">
        <f>IF(BUSCAR!$C$8="FECHA NAC.",$G1855,IF(BUSCAR!$C$8="PASAPORTE EXPIRA",$J1855,IF(BUSCAR!$C$8="LICENCIA EMISION",$L1855,IF(BUSCAR!$C$8="LICENCIA EXPIRA",$M1855,""))))</f>
      </c>
      <c r="AG1855" s="42">
        <f>IF($B1855&amp;$C1855&amp;$D1855&amp;$E1855&amp;$H1855="",0,IF(AND(OR(BUSCAR!$J$5="",ISNUMBER(SEARCH(BUSCAR!$J$5,$AI1855))),OR(BUSCAR!$J$6="",ISNUMBER(SEARCH(BUSCAR!$J$6,$AI1855))),OR(BUSCAR!$J$8="",ISNUMBER(SEARCH(BUSCAR!$J$8,$AI1855))),OR(BUSCAR!$J$9="",ISNUMBER(SEARCH(BUSCAR!$J$9,$AI1855))),OR(NOT(BUSCAR!$J$2),AND(ISNUMBER($AF1855),$AF1855&gt;=BUSCAR!$J$3,$AF1855&lt;=BUSCAR!$J$4))),1,0))</f>
      </c>
      <c r="AH1855" s="42">
        <f t="shared" si="84"/>
      </c>
      <c r="AI1855" s="42">
        <f t="shared" si="85"/>
      </c>
    </row>
    <row r="1856" spans="1:35" x14ac:dyDescent="0.2">
      <c r="A1856" s="66">
        <f t="shared" si="86"/>
      </c>
      <c r="B1856" s="4"/>
      <c r="C1856" s="4"/>
      <c r="D1856" s="4"/>
      <c r="E1856" s="4"/>
      <c r="F1856" s="24"/>
      <c r="G1856" s="8"/>
      <c r="H1856" s="9"/>
      <c r="I1856" s="8"/>
      <c r="J1856" s="10"/>
      <c r="K1856" s="8"/>
      <c r="L1856" s="8"/>
      <c r="M1856" s="8"/>
      <c r="N1856" s="11"/>
      <c r="O1856" s="9"/>
      <c r="P1856" s="12"/>
      <c r="Q1856" s="9"/>
      <c r="R1856" s="13"/>
      <c r="S1856" s="11"/>
      <c r="T1856" s="11"/>
      <c r="U1856" s="9"/>
      <c r="V1856" s="9"/>
      <c r="W1856" s="9"/>
      <c r="X1856" s="16"/>
      <c r="AF1856" s="42">
        <f>IF(BUSCAR!$C$8="FECHA NAC.",$G1856,IF(BUSCAR!$C$8="PASAPORTE EXPIRA",$J1856,IF(BUSCAR!$C$8="LICENCIA EMISION",$L1856,IF(BUSCAR!$C$8="LICENCIA EXPIRA",$M1856,""))))</f>
      </c>
      <c r="AG1856" s="42">
        <f>IF($B1856&amp;$C1856&amp;$D1856&amp;$E1856&amp;$H1856="",0,IF(AND(OR(BUSCAR!$J$5="",ISNUMBER(SEARCH(BUSCAR!$J$5,$AI1856))),OR(BUSCAR!$J$6="",ISNUMBER(SEARCH(BUSCAR!$J$6,$AI1856))),OR(BUSCAR!$J$8="",ISNUMBER(SEARCH(BUSCAR!$J$8,$AI1856))),OR(BUSCAR!$J$9="",ISNUMBER(SEARCH(BUSCAR!$J$9,$AI1856))),OR(NOT(BUSCAR!$J$2),AND(ISNUMBER($AF1856),$AF1856&gt;=BUSCAR!$J$3,$AF1856&lt;=BUSCAR!$J$4))),1,0))</f>
      </c>
      <c r="AH1856" s="42">
        <f t="shared" si="84"/>
      </c>
      <c r="AI1856" s="42">
        <f t="shared" si="85"/>
      </c>
    </row>
    <row r="1857" spans="1:35" x14ac:dyDescent="0.2">
      <c r="A1857" s="66">
        <f t="shared" si="86"/>
      </c>
      <c r="B1857" s="4"/>
      <c r="C1857" s="4"/>
      <c r="D1857" s="4"/>
      <c r="E1857" s="4"/>
      <c r="F1857" s="24"/>
      <c r="G1857" s="8"/>
      <c r="H1857" s="9"/>
      <c r="I1857" s="8"/>
      <c r="J1857" s="10"/>
      <c r="K1857" s="8"/>
      <c r="L1857" s="8"/>
      <c r="M1857" s="8"/>
      <c r="N1857" s="11"/>
      <c r="O1857" s="9"/>
      <c r="P1857" s="12"/>
      <c r="Q1857" s="9"/>
      <c r="R1857" s="13"/>
      <c r="S1857" s="11"/>
      <c r="T1857" s="11"/>
      <c r="U1857" s="9"/>
      <c r="V1857" s="9"/>
      <c r="W1857" s="9"/>
      <c r="X1857" s="16"/>
      <c r="AF1857" s="42">
        <f>IF(BUSCAR!$C$8="FECHA NAC.",$G1857,IF(BUSCAR!$C$8="PASAPORTE EXPIRA",$J1857,IF(BUSCAR!$C$8="LICENCIA EMISION",$L1857,IF(BUSCAR!$C$8="LICENCIA EXPIRA",$M1857,""))))</f>
      </c>
      <c r="AG1857" s="42">
        <f>IF($B1857&amp;$C1857&amp;$D1857&amp;$E1857&amp;$H1857="",0,IF(AND(OR(BUSCAR!$J$5="",ISNUMBER(SEARCH(BUSCAR!$J$5,$AI1857))),OR(BUSCAR!$J$6="",ISNUMBER(SEARCH(BUSCAR!$J$6,$AI1857))),OR(BUSCAR!$J$8="",ISNUMBER(SEARCH(BUSCAR!$J$8,$AI1857))),OR(BUSCAR!$J$9="",ISNUMBER(SEARCH(BUSCAR!$J$9,$AI1857))),OR(NOT(BUSCAR!$J$2),AND(ISNUMBER($AF1857),$AF1857&gt;=BUSCAR!$J$3,$AF1857&lt;=BUSCAR!$J$4))),1,0))</f>
      </c>
      <c r="AH1857" s="42">
        <f t="shared" si="84"/>
      </c>
      <c r="AI1857" s="42">
        <f t="shared" si="85"/>
      </c>
    </row>
    <row r="1858" spans="1:35" x14ac:dyDescent="0.2">
      <c r="A1858" s="66">
        <f t="shared" si="86"/>
      </c>
      <c r="B1858" s="4"/>
      <c r="C1858" s="4"/>
      <c r="D1858" s="4"/>
      <c r="E1858" s="4"/>
      <c r="F1858" s="24"/>
      <c r="G1858" s="8"/>
      <c r="H1858" s="9"/>
      <c r="I1858" s="8"/>
      <c r="J1858" s="10"/>
      <c r="K1858" s="8"/>
      <c r="L1858" s="8"/>
      <c r="M1858" s="8"/>
      <c r="N1858" s="11"/>
      <c r="O1858" s="9"/>
      <c r="P1858" s="12"/>
      <c r="Q1858" s="9"/>
      <c r="R1858" s="13"/>
      <c r="S1858" s="11"/>
      <c r="T1858" s="11"/>
      <c r="U1858" s="9"/>
      <c r="V1858" s="9"/>
      <c r="W1858" s="9"/>
      <c r="X1858" s="16"/>
      <c r="AF1858" s="42">
        <f>IF(BUSCAR!$C$8="FECHA NAC.",$G1858,IF(BUSCAR!$C$8="PASAPORTE EXPIRA",$J1858,IF(BUSCAR!$C$8="LICENCIA EMISION",$L1858,IF(BUSCAR!$C$8="LICENCIA EXPIRA",$M1858,""))))</f>
      </c>
      <c r="AG1858" s="42">
        <f>IF($B1858&amp;$C1858&amp;$D1858&amp;$E1858&amp;$H1858="",0,IF(AND(OR(BUSCAR!$J$5="",ISNUMBER(SEARCH(BUSCAR!$J$5,$AI1858))),OR(BUSCAR!$J$6="",ISNUMBER(SEARCH(BUSCAR!$J$6,$AI1858))),OR(BUSCAR!$J$8="",ISNUMBER(SEARCH(BUSCAR!$J$8,$AI1858))),OR(BUSCAR!$J$9="",ISNUMBER(SEARCH(BUSCAR!$J$9,$AI1858))),OR(NOT(BUSCAR!$J$2),AND(ISNUMBER($AF1858),$AF1858&gt;=BUSCAR!$J$3,$AF1858&lt;=BUSCAR!$J$4))),1,0))</f>
      </c>
      <c r="AH1858" s="42">
        <f t="shared" si="84"/>
      </c>
      <c r="AI1858" s="42">
        <f t="shared" si="85"/>
      </c>
    </row>
    <row r="1859" spans="1:35" x14ac:dyDescent="0.2">
      <c r="A1859" s="66">
        <f t="shared" si="86"/>
      </c>
      <c r="B1859" s="4"/>
      <c r="C1859" s="4"/>
      <c r="D1859" s="4"/>
      <c r="E1859" s="4"/>
      <c r="F1859" s="24"/>
      <c r="G1859" s="8"/>
      <c r="H1859" s="9"/>
      <c r="I1859" s="8"/>
      <c r="J1859" s="10"/>
      <c r="K1859" s="8"/>
      <c r="L1859" s="8"/>
      <c r="M1859" s="8"/>
      <c r="N1859" s="11"/>
      <c r="O1859" s="9"/>
      <c r="P1859" s="12"/>
      <c r="Q1859" s="9"/>
      <c r="R1859" s="13"/>
      <c r="S1859" s="11"/>
      <c r="T1859" s="11"/>
      <c r="U1859" s="9"/>
      <c r="V1859" s="9"/>
      <c r="W1859" s="9"/>
      <c r="X1859" s="16"/>
      <c r="AF1859" s="42">
        <f>IF(BUSCAR!$C$8="FECHA NAC.",$G1859,IF(BUSCAR!$C$8="PASAPORTE EXPIRA",$J1859,IF(BUSCAR!$C$8="LICENCIA EMISION",$L1859,IF(BUSCAR!$C$8="LICENCIA EXPIRA",$M1859,""))))</f>
      </c>
      <c r="AG1859" s="42">
        <f>IF($B1859&amp;$C1859&amp;$D1859&amp;$E1859&amp;$H1859="",0,IF(AND(OR(BUSCAR!$J$5="",ISNUMBER(SEARCH(BUSCAR!$J$5,$AI1859))),OR(BUSCAR!$J$6="",ISNUMBER(SEARCH(BUSCAR!$J$6,$AI1859))),OR(BUSCAR!$J$8="",ISNUMBER(SEARCH(BUSCAR!$J$8,$AI1859))),OR(BUSCAR!$J$9="",ISNUMBER(SEARCH(BUSCAR!$J$9,$AI1859))),OR(NOT(BUSCAR!$J$2),AND(ISNUMBER($AF1859),$AF1859&gt;=BUSCAR!$J$3,$AF1859&lt;=BUSCAR!$J$4))),1,0))</f>
      </c>
      <c r="AH1859" s="42">
        <f t="shared" ref="AH1859:AH1922" si="87">AH1858+AG1859</f>
      </c>
      <c r="AI1859" s="42">
        <f t="shared" ref="AI1859:AI1922" si="88">IF($B1859&amp;" "&amp;$C1859&amp;" "&amp;$D1859&amp;" "&amp;$E1859&amp;" "&amp;$H1859&amp;" "&amp;$K1859&amp;" "&amp;$R1859&amp;" "&amp;$AC1859&amp;" "&amp;$AD1859="","",SUBSTITUTE(SUBSTITUTE(SUBSTITUTE(SUBSTITUTE(SUBSTITUTE(SUBSTITUTE(SUBSTITUTE(UPPER($B1859&amp;" "&amp;$C1859&amp;" "&amp;$D1859&amp;" "&amp;$E1859&amp;" "&amp;$H1859&amp;" "&amp;$K1859&amp;" "&amp;$R1859&amp;" "&amp;$AC1859&amp;" "&amp;$AD1859),"Á","A"),"É","E"),"Í","I"),"Ó","O"),"Ú","U"),"Ü","U"),"Ñ","N"))</f>
      </c>
    </row>
    <row r="1860" spans="1:35" x14ac:dyDescent="0.2">
      <c r="A1860" s="66">
        <f t="shared" ref="A1860:A1923" si="89">A1859+1</f>
      </c>
      <c r="B1860" s="4"/>
      <c r="C1860" s="4"/>
      <c r="D1860" s="4"/>
      <c r="E1860" s="4"/>
      <c r="F1860" s="24"/>
      <c r="G1860" s="8"/>
      <c r="H1860" s="9"/>
      <c r="I1860" s="8"/>
      <c r="J1860" s="10"/>
      <c r="K1860" s="8"/>
      <c r="L1860" s="8"/>
      <c r="M1860" s="8"/>
      <c r="N1860" s="11"/>
      <c r="O1860" s="9"/>
      <c r="P1860" s="12"/>
      <c r="Q1860" s="9"/>
      <c r="R1860" s="13"/>
      <c r="S1860" s="11"/>
      <c r="T1860" s="11"/>
      <c r="U1860" s="9"/>
      <c r="V1860" s="9"/>
      <c r="W1860" s="9"/>
      <c r="X1860" s="16"/>
      <c r="AF1860" s="42">
        <f>IF(BUSCAR!$C$8="FECHA NAC.",$G1860,IF(BUSCAR!$C$8="PASAPORTE EXPIRA",$J1860,IF(BUSCAR!$C$8="LICENCIA EMISION",$L1860,IF(BUSCAR!$C$8="LICENCIA EXPIRA",$M1860,""))))</f>
      </c>
      <c r="AG1860" s="42">
        <f>IF($B1860&amp;$C1860&amp;$D1860&amp;$E1860&amp;$H1860="",0,IF(AND(OR(BUSCAR!$J$5="",ISNUMBER(SEARCH(BUSCAR!$J$5,$AI1860))),OR(BUSCAR!$J$6="",ISNUMBER(SEARCH(BUSCAR!$J$6,$AI1860))),OR(BUSCAR!$J$8="",ISNUMBER(SEARCH(BUSCAR!$J$8,$AI1860))),OR(BUSCAR!$J$9="",ISNUMBER(SEARCH(BUSCAR!$J$9,$AI1860))),OR(NOT(BUSCAR!$J$2),AND(ISNUMBER($AF1860),$AF1860&gt;=BUSCAR!$J$3,$AF1860&lt;=BUSCAR!$J$4))),1,0))</f>
      </c>
      <c r="AH1860" s="42">
        <f t="shared" si="87"/>
      </c>
      <c r="AI1860" s="42">
        <f t="shared" si="88"/>
      </c>
    </row>
    <row r="1861" spans="1:35" x14ac:dyDescent="0.2">
      <c r="A1861" s="66">
        <f t="shared" si="89"/>
      </c>
      <c r="B1861" s="4"/>
      <c r="C1861" s="4"/>
      <c r="D1861" s="4"/>
      <c r="E1861" s="4"/>
      <c r="F1861" s="24"/>
      <c r="G1861" s="8"/>
      <c r="H1861" s="9"/>
      <c r="I1861" s="8"/>
      <c r="J1861" s="10"/>
      <c r="K1861" s="8"/>
      <c r="L1861" s="8"/>
      <c r="M1861" s="8"/>
      <c r="N1861" s="11"/>
      <c r="O1861" s="9"/>
      <c r="P1861" s="12"/>
      <c r="Q1861" s="9"/>
      <c r="R1861" s="13"/>
      <c r="S1861" s="11"/>
      <c r="T1861" s="11"/>
      <c r="U1861" s="9"/>
      <c r="V1861" s="9"/>
      <c r="W1861" s="9"/>
      <c r="X1861" s="16"/>
      <c r="AF1861" s="42">
        <f>IF(BUSCAR!$C$8="FECHA NAC.",$G1861,IF(BUSCAR!$C$8="PASAPORTE EXPIRA",$J1861,IF(BUSCAR!$C$8="LICENCIA EMISION",$L1861,IF(BUSCAR!$C$8="LICENCIA EXPIRA",$M1861,""))))</f>
      </c>
      <c r="AG1861" s="42">
        <f>IF($B1861&amp;$C1861&amp;$D1861&amp;$E1861&amp;$H1861="",0,IF(AND(OR(BUSCAR!$J$5="",ISNUMBER(SEARCH(BUSCAR!$J$5,$AI1861))),OR(BUSCAR!$J$6="",ISNUMBER(SEARCH(BUSCAR!$J$6,$AI1861))),OR(BUSCAR!$J$8="",ISNUMBER(SEARCH(BUSCAR!$J$8,$AI1861))),OR(BUSCAR!$J$9="",ISNUMBER(SEARCH(BUSCAR!$J$9,$AI1861))),OR(NOT(BUSCAR!$J$2),AND(ISNUMBER($AF1861),$AF1861&gt;=BUSCAR!$J$3,$AF1861&lt;=BUSCAR!$J$4))),1,0))</f>
      </c>
      <c r="AH1861" s="42">
        <f t="shared" si="87"/>
      </c>
      <c r="AI1861" s="42">
        <f t="shared" si="88"/>
      </c>
    </row>
    <row r="1862" spans="1:35" x14ac:dyDescent="0.2">
      <c r="A1862" s="66">
        <f t="shared" si="89"/>
      </c>
      <c r="B1862" s="4"/>
      <c r="C1862" s="4"/>
      <c r="D1862" s="4"/>
      <c r="E1862" s="4"/>
      <c r="F1862" s="24"/>
      <c r="G1862" s="8"/>
      <c r="H1862" s="9"/>
      <c r="I1862" s="8"/>
      <c r="J1862" s="10"/>
      <c r="K1862" s="8"/>
      <c r="L1862" s="8"/>
      <c r="M1862" s="8"/>
      <c r="N1862" s="11"/>
      <c r="O1862" s="9"/>
      <c r="P1862" s="12"/>
      <c r="Q1862" s="9"/>
      <c r="R1862" s="13"/>
      <c r="S1862" s="11"/>
      <c r="T1862" s="11"/>
      <c r="U1862" s="9"/>
      <c r="V1862" s="9"/>
      <c r="W1862" s="9"/>
      <c r="X1862" s="16"/>
      <c r="AF1862" s="42">
        <f>IF(BUSCAR!$C$8="FECHA NAC.",$G1862,IF(BUSCAR!$C$8="PASAPORTE EXPIRA",$J1862,IF(BUSCAR!$C$8="LICENCIA EMISION",$L1862,IF(BUSCAR!$C$8="LICENCIA EXPIRA",$M1862,""))))</f>
      </c>
      <c r="AG1862" s="42">
        <f>IF($B1862&amp;$C1862&amp;$D1862&amp;$E1862&amp;$H1862="",0,IF(AND(OR(BUSCAR!$J$5="",ISNUMBER(SEARCH(BUSCAR!$J$5,$AI1862))),OR(BUSCAR!$J$6="",ISNUMBER(SEARCH(BUSCAR!$J$6,$AI1862))),OR(BUSCAR!$J$8="",ISNUMBER(SEARCH(BUSCAR!$J$8,$AI1862))),OR(BUSCAR!$J$9="",ISNUMBER(SEARCH(BUSCAR!$J$9,$AI1862))),OR(NOT(BUSCAR!$J$2),AND(ISNUMBER($AF1862),$AF1862&gt;=BUSCAR!$J$3,$AF1862&lt;=BUSCAR!$J$4))),1,0))</f>
      </c>
      <c r="AH1862" s="42">
        <f t="shared" si="87"/>
      </c>
      <c r="AI1862" s="42">
        <f t="shared" si="88"/>
      </c>
    </row>
    <row r="1863" spans="1:35" x14ac:dyDescent="0.2">
      <c r="A1863" s="66">
        <f t="shared" si="89"/>
      </c>
      <c r="B1863" s="4"/>
      <c r="C1863" s="4"/>
      <c r="D1863" s="4"/>
      <c r="E1863" s="4"/>
      <c r="F1863" s="24"/>
      <c r="G1863" s="8"/>
      <c r="H1863" s="9"/>
      <c r="I1863" s="8"/>
      <c r="J1863" s="10"/>
      <c r="K1863" s="8"/>
      <c r="L1863" s="8"/>
      <c r="M1863" s="8"/>
      <c r="N1863" s="11"/>
      <c r="O1863" s="9"/>
      <c r="P1863" s="12"/>
      <c r="Q1863" s="9"/>
      <c r="R1863" s="13"/>
      <c r="S1863" s="11"/>
      <c r="T1863" s="11"/>
      <c r="U1863" s="9"/>
      <c r="V1863" s="9"/>
      <c r="W1863" s="9"/>
      <c r="X1863" s="16"/>
      <c r="AF1863" s="42">
        <f>IF(BUSCAR!$C$8="FECHA NAC.",$G1863,IF(BUSCAR!$C$8="PASAPORTE EXPIRA",$J1863,IF(BUSCAR!$C$8="LICENCIA EMISION",$L1863,IF(BUSCAR!$C$8="LICENCIA EXPIRA",$M1863,""))))</f>
      </c>
      <c r="AG1863" s="42">
        <f>IF($B1863&amp;$C1863&amp;$D1863&amp;$E1863&amp;$H1863="",0,IF(AND(OR(BUSCAR!$J$5="",ISNUMBER(SEARCH(BUSCAR!$J$5,$AI1863))),OR(BUSCAR!$J$6="",ISNUMBER(SEARCH(BUSCAR!$J$6,$AI1863))),OR(BUSCAR!$J$8="",ISNUMBER(SEARCH(BUSCAR!$J$8,$AI1863))),OR(BUSCAR!$J$9="",ISNUMBER(SEARCH(BUSCAR!$J$9,$AI1863))),OR(NOT(BUSCAR!$J$2),AND(ISNUMBER($AF1863),$AF1863&gt;=BUSCAR!$J$3,$AF1863&lt;=BUSCAR!$J$4))),1,0))</f>
      </c>
      <c r="AH1863" s="42">
        <f t="shared" si="87"/>
      </c>
      <c r="AI1863" s="42">
        <f t="shared" si="88"/>
      </c>
    </row>
    <row r="1864" spans="1:35" x14ac:dyDescent="0.2">
      <c r="A1864" s="66">
        <f t="shared" si="89"/>
      </c>
      <c r="B1864" s="4"/>
      <c r="C1864" s="4"/>
      <c r="D1864" s="4"/>
      <c r="E1864" s="4"/>
      <c r="F1864" s="24"/>
      <c r="G1864" s="8"/>
      <c r="H1864" s="9"/>
      <c r="I1864" s="8"/>
      <c r="J1864" s="10"/>
      <c r="K1864" s="8"/>
      <c r="L1864" s="8"/>
      <c r="M1864" s="8"/>
      <c r="N1864" s="11"/>
      <c r="O1864" s="9"/>
      <c r="P1864" s="12"/>
      <c r="Q1864" s="9"/>
      <c r="R1864" s="13"/>
      <c r="S1864" s="11"/>
      <c r="T1864" s="11"/>
      <c r="U1864" s="9"/>
      <c r="V1864" s="9"/>
      <c r="W1864" s="9"/>
      <c r="X1864" s="16"/>
      <c r="AF1864" s="42">
        <f>IF(BUSCAR!$C$8="FECHA NAC.",$G1864,IF(BUSCAR!$C$8="PASAPORTE EXPIRA",$J1864,IF(BUSCAR!$C$8="LICENCIA EMISION",$L1864,IF(BUSCAR!$C$8="LICENCIA EXPIRA",$M1864,""))))</f>
      </c>
      <c r="AG1864" s="42">
        <f>IF($B1864&amp;$C1864&amp;$D1864&amp;$E1864&amp;$H1864="",0,IF(AND(OR(BUSCAR!$J$5="",ISNUMBER(SEARCH(BUSCAR!$J$5,$AI1864))),OR(BUSCAR!$J$6="",ISNUMBER(SEARCH(BUSCAR!$J$6,$AI1864))),OR(BUSCAR!$J$8="",ISNUMBER(SEARCH(BUSCAR!$J$8,$AI1864))),OR(BUSCAR!$J$9="",ISNUMBER(SEARCH(BUSCAR!$J$9,$AI1864))),OR(NOT(BUSCAR!$J$2),AND(ISNUMBER($AF1864),$AF1864&gt;=BUSCAR!$J$3,$AF1864&lt;=BUSCAR!$J$4))),1,0))</f>
      </c>
      <c r="AH1864" s="42">
        <f t="shared" si="87"/>
      </c>
      <c r="AI1864" s="42">
        <f t="shared" si="88"/>
      </c>
    </row>
    <row r="1865" spans="1:35" x14ac:dyDescent="0.2">
      <c r="A1865" s="66">
        <f t="shared" si="89"/>
      </c>
      <c r="B1865" s="4"/>
      <c r="C1865" s="4"/>
      <c r="D1865" s="4"/>
      <c r="E1865" s="4"/>
      <c r="F1865" s="24"/>
      <c r="G1865" s="8"/>
      <c r="H1865" s="9"/>
      <c r="I1865" s="8"/>
      <c r="J1865" s="10"/>
      <c r="K1865" s="8"/>
      <c r="L1865" s="8"/>
      <c r="M1865" s="8"/>
      <c r="N1865" s="11"/>
      <c r="O1865" s="9"/>
      <c r="P1865" s="12"/>
      <c r="Q1865" s="9"/>
      <c r="R1865" s="13"/>
      <c r="S1865" s="11"/>
      <c r="T1865" s="11"/>
      <c r="U1865" s="9"/>
      <c r="V1865" s="9"/>
      <c r="W1865" s="9"/>
      <c r="X1865" s="16"/>
      <c r="AF1865" s="42">
        <f>IF(BUSCAR!$C$8="FECHA NAC.",$G1865,IF(BUSCAR!$C$8="PASAPORTE EXPIRA",$J1865,IF(BUSCAR!$C$8="LICENCIA EMISION",$L1865,IF(BUSCAR!$C$8="LICENCIA EXPIRA",$M1865,""))))</f>
      </c>
      <c r="AG1865" s="42">
        <f>IF($B1865&amp;$C1865&amp;$D1865&amp;$E1865&amp;$H1865="",0,IF(AND(OR(BUSCAR!$J$5="",ISNUMBER(SEARCH(BUSCAR!$J$5,$AI1865))),OR(BUSCAR!$J$6="",ISNUMBER(SEARCH(BUSCAR!$J$6,$AI1865))),OR(BUSCAR!$J$8="",ISNUMBER(SEARCH(BUSCAR!$J$8,$AI1865))),OR(BUSCAR!$J$9="",ISNUMBER(SEARCH(BUSCAR!$J$9,$AI1865))),OR(NOT(BUSCAR!$J$2),AND(ISNUMBER($AF1865),$AF1865&gt;=BUSCAR!$J$3,$AF1865&lt;=BUSCAR!$J$4))),1,0))</f>
      </c>
      <c r="AH1865" s="42">
        <f t="shared" si="87"/>
      </c>
      <c r="AI1865" s="42">
        <f t="shared" si="88"/>
      </c>
    </row>
    <row r="1866" spans="1:35" x14ac:dyDescent="0.2">
      <c r="A1866" s="66">
        <f t="shared" si="89"/>
      </c>
      <c r="B1866" s="4"/>
      <c r="C1866" s="4"/>
      <c r="D1866" s="4"/>
      <c r="E1866" s="4"/>
      <c r="F1866" s="24"/>
      <c r="G1866" s="8"/>
      <c r="H1866" s="9"/>
      <c r="I1866" s="8"/>
      <c r="J1866" s="10"/>
      <c r="K1866" s="8"/>
      <c r="L1866" s="8"/>
      <c r="M1866" s="8"/>
      <c r="N1866" s="11"/>
      <c r="O1866" s="9"/>
      <c r="P1866" s="12"/>
      <c r="Q1866" s="9"/>
      <c r="R1866" s="13"/>
      <c r="S1866" s="11"/>
      <c r="T1866" s="11"/>
      <c r="U1866" s="9"/>
      <c r="V1866" s="9"/>
      <c r="W1866" s="9"/>
      <c r="X1866" s="16"/>
      <c r="AF1866" s="42">
        <f>IF(BUSCAR!$C$8="FECHA NAC.",$G1866,IF(BUSCAR!$C$8="PASAPORTE EXPIRA",$J1866,IF(BUSCAR!$C$8="LICENCIA EMISION",$L1866,IF(BUSCAR!$C$8="LICENCIA EXPIRA",$M1866,""))))</f>
      </c>
      <c r="AG1866" s="42">
        <f>IF($B1866&amp;$C1866&amp;$D1866&amp;$E1866&amp;$H1866="",0,IF(AND(OR(BUSCAR!$J$5="",ISNUMBER(SEARCH(BUSCAR!$J$5,$AI1866))),OR(BUSCAR!$J$6="",ISNUMBER(SEARCH(BUSCAR!$J$6,$AI1866))),OR(BUSCAR!$J$8="",ISNUMBER(SEARCH(BUSCAR!$J$8,$AI1866))),OR(BUSCAR!$J$9="",ISNUMBER(SEARCH(BUSCAR!$J$9,$AI1866))),OR(NOT(BUSCAR!$J$2),AND(ISNUMBER($AF1866),$AF1866&gt;=BUSCAR!$J$3,$AF1866&lt;=BUSCAR!$J$4))),1,0))</f>
      </c>
      <c r="AH1866" s="42">
        <f t="shared" si="87"/>
      </c>
      <c r="AI1866" s="42">
        <f t="shared" si="88"/>
      </c>
    </row>
    <row r="1867" spans="1:35" x14ac:dyDescent="0.2">
      <c r="A1867" s="66">
        <f t="shared" si="89"/>
      </c>
      <c r="B1867" s="4"/>
      <c r="C1867" s="4"/>
      <c r="D1867" s="4"/>
      <c r="E1867" s="4"/>
      <c r="F1867" s="24"/>
      <c r="G1867" s="8"/>
      <c r="H1867" s="9"/>
      <c r="I1867" s="8"/>
      <c r="J1867" s="10"/>
      <c r="K1867" s="8"/>
      <c r="L1867" s="8"/>
      <c r="M1867" s="8"/>
      <c r="N1867" s="11"/>
      <c r="O1867" s="9"/>
      <c r="P1867" s="12"/>
      <c r="Q1867" s="9"/>
      <c r="R1867" s="13"/>
      <c r="S1867" s="11"/>
      <c r="T1867" s="11"/>
      <c r="U1867" s="9"/>
      <c r="V1867" s="9"/>
      <c r="W1867" s="9"/>
      <c r="X1867" s="16"/>
      <c r="AF1867" s="42">
        <f>IF(BUSCAR!$C$8="FECHA NAC.",$G1867,IF(BUSCAR!$C$8="PASAPORTE EXPIRA",$J1867,IF(BUSCAR!$C$8="LICENCIA EMISION",$L1867,IF(BUSCAR!$C$8="LICENCIA EXPIRA",$M1867,""))))</f>
      </c>
      <c r="AG1867" s="42">
        <f>IF($B1867&amp;$C1867&amp;$D1867&amp;$E1867&amp;$H1867="",0,IF(AND(OR(BUSCAR!$J$5="",ISNUMBER(SEARCH(BUSCAR!$J$5,$AI1867))),OR(BUSCAR!$J$6="",ISNUMBER(SEARCH(BUSCAR!$J$6,$AI1867))),OR(BUSCAR!$J$8="",ISNUMBER(SEARCH(BUSCAR!$J$8,$AI1867))),OR(BUSCAR!$J$9="",ISNUMBER(SEARCH(BUSCAR!$J$9,$AI1867))),OR(NOT(BUSCAR!$J$2),AND(ISNUMBER($AF1867),$AF1867&gt;=BUSCAR!$J$3,$AF1867&lt;=BUSCAR!$J$4))),1,0))</f>
      </c>
      <c r="AH1867" s="42">
        <f t="shared" si="87"/>
      </c>
      <c r="AI1867" s="42">
        <f t="shared" si="88"/>
      </c>
    </row>
    <row r="1868" spans="1:35" x14ac:dyDescent="0.2">
      <c r="A1868" s="66">
        <f t="shared" si="89"/>
      </c>
      <c r="B1868" s="4"/>
      <c r="C1868" s="4"/>
      <c r="D1868" s="4"/>
      <c r="E1868" s="4"/>
      <c r="F1868" s="24"/>
      <c r="G1868" s="8"/>
      <c r="H1868" s="9"/>
      <c r="I1868" s="8"/>
      <c r="J1868" s="10"/>
      <c r="K1868" s="8"/>
      <c r="L1868" s="8"/>
      <c r="M1868" s="8"/>
      <c r="N1868" s="11"/>
      <c r="O1868" s="9"/>
      <c r="P1868" s="12"/>
      <c r="Q1868" s="9"/>
      <c r="R1868" s="13"/>
      <c r="S1868" s="11"/>
      <c r="T1868" s="11"/>
      <c r="U1868" s="9"/>
      <c r="V1868" s="9"/>
      <c r="W1868" s="9"/>
      <c r="X1868" s="16"/>
      <c r="AF1868" s="42">
        <f>IF(BUSCAR!$C$8="FECHA NAC.",$G1868,IF(BUSCAR!$C$8="PASAPORTE EXPIRA",$J1868,IF(BUSCAR!$C$8="LICENCIA EMISION",$L1868,IF(BUSCAR!$C$8="LICENCIA EXPIRA",$M1868,""))))</f>
      </c>
      <c r="AG1868" s="42">
        <f>IF($B1868&amp;$C1868&amp;$D1868&amp;$E1868&amp;$H1868="",0,IF(AND(OR(BUSCAR!$J$5="",ISNUMBER(SEARCH(BUSCAR!$J$5,$AI1868))),OR(BUSCAR!$J$6="",ISNUMBER(SEARCH(BUSCAR!$J$6,$AI1868))),OR(BUSCAR!$J$8="",ISNUMBER(SEARCH(BUSCAR!$J$8,$AI1868))),OR(BUSCAR!$J$9="",ISNUMBER(SEARCH(BUSCAR!$J$9,$AI1868))),OR(NOT(BUSCAR!$J$2),AND(ISNUMBER($AF1868),$AF1868&gt;=BUSCAR!$J$3,$AF1868&lt;=BUSCAR!$J$4))),1,0))</f>
      </c>
      <c r="AH1868" s="42">
        <f t="shared" si="87"/>
      </c>
      <c r="AI1868" s="42">
        <f t="shared" si="88"/>
      </c>
    </row>
    <row r="1869" spans="1:35" x14ac:dyDescent="0.2">
      <c r="A1869" s="66">
        <f t="shared" si="89"/>
      </c>
      <c r="B1869" s="4"/>
      <c r="C1869" s="4"/>
      <c r="D1869" s="4"/>
      <c r="E1869" s="4"/>
      <c r="F1869" s="24"/>
      <c r="G1869" s="8"/>
      <c r="H1869" s="9"/>
      <c r="I1869" s="8"/>
      <c r="J1869" s="10"/>
      <c r="K1869" s="8"/>
      <c r="L1869" s="8"/>
      <c r="M1869" s="8"/>
      <c r="N1869" s="11"/>
      <c r="O1869" s="9"/>
      <c r="P1869" s="12"/>
      <c r="Q1869" s="9"/>
      <c r="R1869" s="13"/>
      <c r="S1869" s="11"/>
      <c r="T1869" s="11"/>
      <c r="U1869" s="9"/>
      <c r="V1869" s="9"/>
      <c r="W1869" s="9"/>
      <c r="X1869" s="16"/>
      <c r="AF1869" s="42">
        <f>IF(BUSCAR!$C$8="FECHA NAC.",$G1869,IF(BUSCAR!$C$8="PASAPORTE EXPIRA",$J1869,IF(BUSCAR!$C$8="LICENCIA EMISION",$L1869,IF(BUSCAR!$C$8="LICENCIA EXPIRA",$M1869,""))))</f>
      </c>
      <c r="AG1869" s="42">
        <f>IF($B1869&amp;$C1869&amp;$D1869&amp;$E1869&amp;$H1869="",0,IF(AND(OR(BUSCAR!$J$5="",ISNUMBER(SEARCH(BUSCAR!$J$5,$AI1869))),OR(BUSCAR!$J$6="",ISNUMBER(SEARCH(BUSCAR!$J$6,$AI1869))),OR(BUSCAR!$J$8="",ISNUMBER(SEARCH(BUSCAR!$J$8,$AI1869))),OR(BUSCAR!$J$9="",ISNUMBER(SEARCH(BUSCAR!$J$9,$AI1869))),OR(NOT(BUSCAR!$J$2),AND(ISNUMBER($AF1869),$AF1869&gt;=BUSCAR!$J$3,$AF1869&lt;=BUSCAR!$J$4))),1,0))</f>
      </c>
      <c r="AH1869" s="42">
        <f t="shared" si="87"/>
      </c>
      <c r="AI1869" s="42">
        <f t="shared" si="88"/>
      </c>
    </row>
    <row r="1870" spans="1:35" x14ac:dyDescent="0.2">
      <c r="A1870" s="66">
        <f t="shared" si="89"/>
      </c>
      <c r="B1870" s="4"/>
      <c r="C1870" s="4"/>
      <c r="D1870" s="4"/>
      <c r="E1870" s="4"/>
      <c r="F1870" s="24"/>
      <c r="G1870" s="8"/>
      <c r="H1870" s="9"/>
      <c r="I1870" s="8"/>
      <c r="J1870" s="10"/>
      <c r="K1870" s="8"/>
      <c r="L1870" s="8"/>
      <c r="M1870" s="8"/>
      <c r="N1870" s="11"/>
      <c r="O1870" s="9"/>
      <c r="P1870" s="12"/>
      <c r="Q1870" s="9"/>
      <c r="R1870" s="13"/>
      <c r="S1870" s="11"/>
      <c r="T1870" s="11"/>
      <c r="U1870" s="9"/>
      <c r="V1870" s="9"/>
      <c r="W1870" s="9"/>
      <c r="X1870" s="16"/>
      <c r="AF1870" s="42">
        <f>IF(BUSCAR!$C$8="FECHA NAC.",$G1870,IF(BUSCAR!$C$8="PASAPORTE EXPIRA",$J1870,IF(BUSCAR!$C$8="LICENCIA EMISION",$L1870,IF(BUSCAR!$C$8="LICENCIA EXPIRA",$M1870,""))))</f>
      </c>
      <c r="AG1870" s="42">
        <f>IF($B1870&amp;$C1870&amp;$D1870&amp;$E1870&amp;$H1870="",0,IF(AND(OR(BUSCAR!$J$5="",ISNUMBER(SEARCH(BUSCAR!$J$5,$AI1870))),OR(BUSCAR!$J$6="",ISNUMBER(SEARCH(BUSCAR!$J$6,$AI1870))),OR(BUSCAR!$J$8="",ISNUMBER(SEARCH(BUSCAR!$J$8,$AI1870))),OR(BUSCAR!$J$9="",ISNUMBER(SEARCH(BUSCAR!$J$9,$AI1870))),OR(NOT(BUSCAR!$J$2),AND(ISNUMBER($AF1870),$AF1870&gt;=BUSCAR!$J$3,$AF1870&lt;=BUSCAR!$J$4))),1,0))</f>
      </c>
      <c r="AH1870" s="42">
        <f t="shared" si="87"/>
      </c>
      <c r="AI1870" s="42">
        <f t="shared" si="88"/>
      </c>
    </row>
    <row r="1871" spans="1:35" x14ac:dyDescent="0.2">
      <c r="A1871" s="66">
        <f t="shared" si="89"/>
      </c>
      <c r="B1871" s="4"/>
      <c r="C1871" s="4"/>
      <c r="D1871" s="4"/>
      <c r="E1871" s="4"/>
      <c r="F1871" s="24"/>
      <c r="G1871" s="8"/>
      <c r="H1871" s="9"/>
      <c r="I1871" s="8"/>
      <c r="J1871" s="10"/>
      <c r="K1871" s="8"/>
      <c r="L1871" s="8"/>
      <c r="M1871" s="8"/>
      <c r="N1871" s="11"/>
      <c r="O1871" s="9"/>
      <c r="P1871" s="12"/>
      <c r="Q1871" s="9"/>
      <c r="R1871" s="13"/>
      <c r="S1871" s="11"/>
      <c r="T1871" s="11"/>
      <c r="U1871" s="9"/>
      <c r="V1871" s="9"/>
      <c r="W1871" s="9"/>
      <c r="X1871" s="16"/>
      <c r="AF1871" s="42">
        <f>IF(BUSCAR!$C$8="FECHA NAC.",$G1871,IF(BUSCAR!$C$8="PASAPORTE EXPIRA",$J1871,IF(BUSCAR!$C$8="LICENCIA EMISION",$L1871,IF(BUSCAR!$C$8="LICENCIA EXPIRA",$M1871,""))))</f>
      </c>
      <c r="AG1871" s="42">
        <f>IF($B1871&amp;$C1871&amp;$D1871&amp;$E1871&amp;$H1871="",0,IF(AND(OR(BUSCAR!$J$5="",ISNUMBER(SEARCH(BUSCAR!$J$5,$AI1871))),OR(BUSCAR!$J$6="",ISNUMBER(SEARCH(BUSCAR!$J$6,$AI1871))),OR(BUSCAR!$J$8="",ISNUMBER(SEARCH(BUSCAR!$J$8,$AI1871))),OR(BUSCAR!$J$9="",ISNUMBER(SEARCH(BUSCAR!$J$9,$AI1871))),OR(NOT(BUSCAR!$J$2),AND(ISNUMBER($AF1871),$AF1871&gt;=BUSCAR!$J$3,$AF1871&lt;=BUSCAR!$J$4))),1,0))</f>
      </c>
      <c r="AH1871" s="42">
        <f t="shared" si="87"/>
      </c>
      <c r="AI1871" s="42">
        <f t="shared" si="88"/>
      </c>
    </row>
    <row r="1872" spans="1:35" x14ac:dyDescent="0.2">
      <c r="A1872" s="66">
        <f t="shared" si="89"/>
      </c>
      <c r="B1872" s="4"/>
      <c r="C1872" s="4"/>
      <c r="D1872" s="4"/>
      <c r="E1872" s="4"/>
      <c r="F1872" s="24"/>
      <c r="G1872" s="8"/>
      <c r="H1872" s="9"/>
      <c r="I1872" s="8"/>
      <c r="J1872" s="10"/>
      <c r="K1872" s="8"/>
      <c r="L1872" s="8"/>
      <c r="M1872" s="8"/>
      <c r="N1872" s="11"/>
      <c r="O1872" s="9"/>
      <c r="P1872" s="12"/>
      <c r="Q1872" s="9"/>
      <c r="R1872" s="13"/>
      <c r="S1872" s="11"/>
      <c r="T1872" s="11"/>
      <c r="U1872" s="9"/>
      <c r="V1872" s="9"/>
      <c r="W1872" s="9"/>
      <c r="X1872" s="16"/>
      <c r="AF1872" s="42">
        <f>IF(BUSCAR!$C$8="FECHA NAC.",$G1872,IF(BUSCAR!$C$8="PASAPORTE EXPIRA",$J1872,IF(BUSCAR!$C$8="LICENCIA EMISION",$L1872,IF(BUSCAR!$C$8="LICENCIA EXPIRA",$M1872,""))))</f>
      </c>
      <c r="AG1872" s="42">
        <f>IF($B1872&amp;$C1872&amp;$D1872&amp;$E1872&amp;$H1872="",0,IF(AND(OR(BUSCAR!$J$5="",ISNUMBER(SEARCH(BUSCAR!$J$5,$AI1872))),OR(BUSCAR!$J$6="",ISNUMBER(SEARCH(BUSCAR!$J$6,$AI1872))),OR(BUSCAR!$J$8="",ISNUMBER(SEARCH(BUSCAR!$J$8,$AI1872))),OR(BUSCAR!$J$9="",ISNUMBER(SEARCH(BUSCAR!$J$9,$AI1872))),OR(NOT(BUSCAR!$J$2),AND(ISNUMBER($AF1872),$AF1872&gt;=BUSCAR!$J$3,$AF1872&lt;=BUSCAR!$J$4))),1,0))</f>
      </c>
      <c r="AH1872" s="42">
        <f t="shared" si="87"/>
      </c>
      <c r="AI1872" s="42">
        <f t="shared" si="88"/>
      </c>
    </row>
    <row r="1873" spans="1:35" x14ac:dyDescent="0.2">
      <c r="A1873" s="66">
        <f t="shared" si="89"/>
      </c>
      <c r="B1873" s="4"/>
      <c r="C1873" s="4"/>
      <c r="D1873" s="4"/>
      <c r="E1873" s="4"/>
      <c r="F1873" s="24"/>
      <c r="G1873" s="8"/>
      <c r="H1873" s="9"/>
      <c r="I1873" s="8"/>
      <c r="J1873" s="10"/>
      <c r="K1873" s="8"/>
      <c r="L1873" s="8"/>
      <c r="M1873" s="8"/>
      <c r="N1873" s="11"/>
      <c r="O1873" s="9"/>
      <c r="P1873" s="12"/>
      <c r="Q1873" s="9"/>
      <c r="R1873" s="13"/>
      <c r="S1873" s="11"/>
      <c r="T1873" s="11"/>
      <c r="U1873" s="9"/>
      <c r="V1873" s="9"/>
      <c r="W1873" s="9"/>
      <c r="X1873" s="16"/>
      <c r="AF1873" s="42">
        <f>IF(BUSCAR!$C$8="FECHA NAC.",$G1873,IF(BUSCAR!$C$8="PASAPORTE EXPIRA",$J1873,IF(BUSCAR!$C$8="LICENCIA EMISION",$L1873,IF(BUSCAR!$C$8="LICENCIA EXPIRA",$M1873,""))))</f>
      </c>
      <c r="AG1873" s="42">
        <f>IF($B1873&amp;$C1873&amp;$D1873&amp;$E1873&amp;$H1873="",0,IF(AND(OR(BUSCAR!$J$5="",ISNUMBER(SEARCH(BUSCAR!$J$5,$AI1873))),OR(BUSCAR!$J$6="",ISNUMBER(SEARCH(BUSCAR!$J$6,$AI1873))),OR(BUSCAR!$J$8="",ISNUMBER(SEARCH(BUSCAR!$J$8,$AI1873))),OR(BUSCAR!$J$9="",ISNUMBER(SEARCH(BUSCAR!$J$9,$AI1873))),OR(NOT(BUSCAR!$J$2),AND(ISNUMBER($AF1873),$AF1873&gt;=BUSCAR!$J$3,$AF1873&lt;=BUSCAR!$J$4))),1,0))</f>
      </c>
      <c r="AH1873" s="42">
        <f t="shared" si="87"/>
      </c>
      <c r="AI1873" s="42">
        <f t="shared" si="88"/>
      </c>
    </row>
    <row r="1874" spans="1:35" x14ac:dyDescent="0.2">
      <c r="A1874" s="66">
        <f t="shared" si="89"/>
      </c>
      <c r="B1874" s="4"/>
      <c r="C1874" s="4"/>
      <c r="D1874" s="4"/>
      <c r="E1874" s="4"/>
      <c r="F1874" s="24"/>
      <c r="G1874" s="8"/>
      <c r="H1874" s="9"/>
      <c r="I1874" s="8"/>
      <c r="J1874" s="10"/>
      <c r="K1874" s="8"/>
      <c r="L1874" s="8"/>
      <c r="M1874" s="8"/>
      <c r="N1874" s="11"/>
      <c r="O1874" s="9"/>
      <c r="P1874" s="12"/>
      <c r="Q1874" s="9"/>
      <c r="R1874" s="13"/>
      <c r="S1874" s="11"/>
      <c r="T1874" s="11"/>
      <c r="U1874" s="9"/>
      <c r="V1874" s="9"/>
      <c r="W1874" s="9"/>
      <c r="X1874" s="16"/>
      <c r="AF1874" s="42">
        <f>IF(BUSCAR!$C$8="FECHA NAC.",$G1874,IF(BUSCAR!$C$8="PASAPORTE EXPIRA",$J1874,IF(BUSCAR!$C$8="LICENCIA EMISION",$L1874,IF(BUSCAR!$C$8="LICENCIA EXPIRA",$M1874,""))))</f>
      </c>
      <c r="AG1874" s="42">
        <f>IF($B1874&amp;$C1874&amp;$D1874&amp;$E1874&amp;$H1874="",0,IF(AND(OR(BUSCAR!$J$5="",ISNUMBER(SEARCH(BUSCAR!$J$5,$AI1874))),OR(BUSCAR!$J$6="",ISNUMBER(SEARCH(BUSCAR!$J$6,$AI1874))),OR(BUSCAR!$J$8="",ISNUMBER(SEARCH(BUSCAR!$J$8,$AI1874))),OR(BUSCAR!$J$9="",ISNUMBER(SEARCH(BUSCAR!$J$9,$AI1874))),OR(NOT(BUSCAR!$J$2),AND(ISNUMBER($AF1874),$AF1874&gt;=BUSCAR!$J$3,$AF1874&lt;=BUSCAR!$J$4))),1,0))</f>
      </c>
      <c r="AH1874" s="42">
        <f t="shared" si="87"/>
      </c>
      <c r="AI1874" s="42">
        <f t="shared" si="88"/>
      </c>
    </row>
    <row r="1875" spans="1:35" x14ac:dyDescent="0.2">
      <c r="A1875" s="66">
        <f t="shared" si="89"/>
      </c>
      <c r="B1875" s="4"/>
      <c r="C1875" s="4"/>
      <c r="D1875" s="4"/>
      <c r="E1875" s="4"/>
      <c r="F1875" s="24"/>
      <c r="G1875" s="8"/>
      <c r="H1875" s="9"/>
      <c r="I1875" s="8"/>
      <c r="J1875" s="10"/>
      <c r="K1875" s="8"/>
      <c r="L1875" s="8"/>
      <c r="M1875" s="8"/>
      <c r="N1875" s="11"/>
      <c r="O1875" s="9"/>
      <c r="P1875" s="12"/>
      <c r="Q1875" s="9"/>
      <c r="R1875" s="13"/>
      <c r="S1875" s="11"/>
      <c r="T1875" s="11"/>
      <c r="U1875" s="9"/>
      <c r="V1875" s="9"/>
      <c r="W1875" s="9"/>
      <c r="X1875" s="16"/>
      <c r="AF1875" s="42">
        <f>IF(BUSCAR!$C$8="FECHA NAC.",$G1875,IF(BUSCAR!$C$8="PASAPORTE EXPIRA",$J1875,IF(BUSCAR!$C$8="LICENCIA EMISION",$L1875,IF(BUSCAR!$C$8="LICENCIA EXPIRA",$M1875,""))))</f>
      </c>
      <c r="AG1875" s="42">
        <f>IF($B1875&amp;$C1875&amp;$D1875&amp;$E1875&amp;$H1875="",0,IF(AND(OR(BUSCAR!$J$5="",ISNUMBER(SEARCH(BUSCAR!$J$5,$AI1875))),OR(BUSCAR!$J$6="",ISNUMBER(SEARCH(BUSCAR!$J$6,$AI1875))),OR(BUSCAR!$J$8="",ISNUMBER(SEARCH(BUSCAR!$J$8,$AI1875))),OR(BUSCAR!$J$9="",ISNUMBER(SEARCH(BUSCAR!$J$9,$AI1875))),OR(NOT(BUSCAR!$J$2),AND(ISNUMBER($AF1875),$AF1875&gt;=BUSCAR!$J$3,$AF1875&lt;=BUSCAR!$J$4))),1,0))</f>
      </c>
      <c r="AH1875" s="42">
        <f t="shared" si="87"/>
      </c>
      <c r="AI1875" s="42">
        <f t="shared" si="88"/>
      </c>
    </row>
    <row r="1876" spans="1:35" x14ac:dyDescent="0.2">
      <c r="A1876" s="66">
        <f t="shared" si="89"/>
      </c>
      <c r="B1876" s="4"/>
      <c r="C1876" s="4"/>
      <c r="D1876" s="4"/>
      <c r="E1876" s="4"/>
      <c r="F1876" s="24"/>
      <c r="G1876" s="8"/>
      <c r="H1876" s="9"/>
      <c r="I1876" s="8"/>
      <c r="J1876" s="10"/>
      <c r="K1876" s="8"/>
      <c r="L1876" s="8"/>
      <c r="M1876" s="8"/>
      <c r="N1876" s="11"/>
      <c r="O1876" s="9"/>
      <c r="P1876" s="12"/>
      <c r="Q1876" s="9"/>
      <c r="R1876" s="13"/>
      <c r="S1876" s="11"/>
      <c r="T1876" s="11"/>
      <c r="U1876" s="9"/>
      <c r="V1876" s="9"/>
      <c r="W1876" s="9"/>
      <c r="X1876" s="16"/>
      <c r="AF1876" s="42">
        <f>IF(BUSCAR!$C$8="FECHA NAC.",$G1876,IF(BUSCAR!$C$8="PASAPORTE EXPIRA",$J1876,IF(BUSCAR!$C$8="LICENCIA EMISION",$L1876,IF(BUSCAR!$C$8="LICENCIA EXPIRA",$M1876,""))))</f>
      </c>
      <c r="AG1876" s="42">
        <f>IF($B1876&amp;$C1876&amp;$D1876&amp;$E1876&amp;$H1876="",0,IF(AND(OR(BUSCAR!$J$5="",ISNUMBER(SEARCH(BUSCAR!$J$5,$AI1876))),OR(BUSCAR!$J$6="",ISNUMBER(SEARCH(BUSCAR!$J$6,$AI1876))),OR(BUSCAR!$J$8="",ISNUMBER(SEARCH(BUSCAR!$J$8,$AI1876))),OR(BUSCAR!$J$9="",ISNUMBER(SEARCH(BUSCAR!$J$9,$AI1876))),OR(NOT(BUSCAR!$J$2),AND(ISNUMBER($AF1876),$AF1876&gt;=BUSCAR!$J$3,$AF1876&lt;=BUSCAR!$J$4))),1,0))</f>
      </c>
      <c r="AH1876" s="42">
        <f t="shared" si="87"/>
      </c>
      <c r="AI1876" s="42">
        <f t="shared" si="88"/>
      </c>
    </row>
    <row r="1877" spans="1:35" x14ac:dyDescent="0.2">
      <c r="A1877" s="66">
        <f t="shared" si="89"/>
      </c>
      <c r="B1877" s="4"/>
      <c r="C1877" s="4"/>
      <c r="D1877" s="4"/>
      <c r="E1877" s="4"/>
      <c r="F1877" s="24"/>
      <c r="G1877" s="8"/>
      <c r="H1877" s="9"/>
      <c r="I1877" s="8"/>
      <c r="J1877" s="10"/>
      <c r="K1877" s="8"/>
      <c r="L1877" s="8"/>
      <c r="M1877" s="8"/>
      <c r="N1877" s="11"/>
      <c r="O1877" s="9"/>
      <c r="P1877" s="12"/>
      <c r="Q1877" s="9"/>
      <c r="R1877" s="13"/>
      <c r="S1877" s="11"/>
      <c r="T1877" s="11"/>
      <c r="U1877" s="9"/>
      <c r="V1877" s="9"/>
      <c r="W1877" s="9"/>
      <c r="X1877" s="16"/>
      <c r="AF1877" s="42">
        <f>IF(BUSCAR!$C$8="FECHA NAC.",$G1877,IF(BUSCAR!$C$8="PASAPORTE EXPIRA",$J1877,IF(BUSCAR!$C$8="LICENCIA EMISION",$L1877,IF(BUSCAR!$C$8="LICENCIA EXPIRA",$M1877,""))))</f>
      </c>
      <c r="AG1877" s="42">
        <f>IF($B1877&amp;$C1877&amp;$D1877&amp;$E1877&amp;$H1877="",0,IF(AND(OR(BUSCAR!$J$5="",ISNUMBER(SEARCH(BUSCAR!$J$5,$AI1877))),OR(BUSCAR!$J$6="",ISNUMBER(SEARCH(BUSCAR!$J$6,$AI1877))),OR(BUSCAR!$J$8="",ISNUMBER(SEARCH(BUSCAR!$J$8,$AI1877))),OR(BUSCAR!$J$9="",ISNUMBER(SEARCH(BUSCAR!$J$9,$AI1877))),OR(NOT(BUSCAR!$J$2),AND(ISNUMBER($AF1877),$AF1877&gt;=BUSCAR!$J$3,$AF1877&lt;=BUSCAR!$J$4))),1,0))</f>
      </c>
      <c r="AH1877" s="42">
        <f t="shared" si="87"/>
      </c>
      <c r="AI1877" s="42">
        <f t="shared" si="88"/>
      </c>
    </row>
    <row r="1878" spans="1:35" x14ac:dyDescent="0.2">
      <c r="A1878" s="66">
        <f t="shared" si="89"/>
      </c>
      <c r="B1878" s="4"/>
      <c r="C1878" s="4"/>
      <c r="D1878" s="4"/>
      <c r="E1878" s="4"/>
      <c r="F1878" s="24"/>
      <c r="G1878" s="8"/>
      <c r="H1878" s="9"/>
      <c r="I1878" s="8"/>
      <c r="J1878" s="10"/>
      <c r="K1878" s="8"/>
      <c r="L1878" s="8"/>
      <c r="M1878" s="8"/>
      <c r="N1878" s="11"/>
      <c r="O1878" s="9"/>
      <c r="P1878" s="12"/>
      <c r="Q1878" s="9"/>
      <c r="R1878" s="13"/>
      <c r="S1878" s="11"/>
      <c r="T1878" s="11"/>
      <c r="U1878" s="9"/>
      <c r="V1878" s="9"/>
      <c r="W1878" s="9"/>
      <c r="X1878" s="16"/>
      <c r="AF1878" s="42">
        <f>IF(BUSCAR!$C$8="FECHA NAC.",$G1878,IF(BUSCAR!$C$8="PASAPORTE EXPIRA",$J1878,IF(BUSCAR!$C$8="LICENCIA EMISION",$L1878,IF(BUSCAR!$C$8="LICENCIA EXPIRA",$M1878,""))))</f>
      </c>
      <c r="AG1878" s="42">
        <f>IF($B1878&amp;$C1878&amp;$D1878&amp;$E1878&amp;$H1878="",0,IF(AND(OR(BUSCAR!$J$5="",ISNUMBER(SEARCH(BUSCAR!$J$5,$AI1878))),OR(BUSCAR!$J$6="",ISNUMBER(SEARCH(BUSCAR!$J$6,$AI1878))),OR(BUSCAR!$J$8="",ISNUMBER(SEARCH(BUSCAR!$J$8,$AI1878))),OR(BUSCAR!$J$9="",ISNUMBER(SEARCH(BUSCAR!$J$9,$AI1878))),OR(NOT(BUSCAR!$J$2),AND(ISNUMBER($AF1878),$AF1878&gt;=BUSCAR!$J$3,$AF1878&lt;=BUSCAR!$J$4))),1,0))</f>
      </c>
      <c r="AH1878" s="42">
        <f t="shared" si="87"/>
      </c>
      <c r="AI1878" s="42">
        <f t="shared" si="88"/>
      </c>
    </row>
    <row r="1879" spans="1:35" x14ac:dyDescent="0.2">
      <c r="A1879" s="66">
        <f t="shared" si="89"/>
      </c>
      <c r="B1879" s="4"/>
      <c r="C1879" s="4"/>
      <c r="D1879" s="4"/>
      <c r="E1879" s="4"/>
      <c r="F1879" s="24"/>
      <c r="G1879" s="8"/>
      <c r="H1879" s="9"/>
      <c r="I1879" s="8"/>
      <c r="J1879" s="10"/>
      <c r="K1879" s="8"/>
      <c r="L1879" s="8"/>
      <c r="M1879" s="8"/>
      <c r="N1879" s="11"/>
      <c r="O1879" s="9"/>
      <c r="P1879" s="12"/>
      <c r="Q1879" s="9"/>
      <c r="R1879" s="13"/>
      <c r="S1879" s="11"/>
      <c r="T1879" s="11"/>
      <c r="U1879" s="9"/>
      <c r="V1879" s="9"/>
      <c r="W1879" s="9"/>
      <c r="X1879" s="16"/>
      <c r="AF1879" s="42">
        <f>IF(BUSCAR!$C$8="FECHA NAC.",$G1879,IF(BUSCAR!$C$8="PASAPORTE EXPIRA",$J1879,IF(BUSCAR!$C$8="LICENCIA EMISION",$L1879,IF(BUSCAR!$C$8="LICENCIA EXPIRA",$M1879,""))))</f>
      </c>
      <c r="AG1879" s="42">
        <f>IF($B1879&amp;$C1879&amp;$D1879&amp;$E1879&amp;$H1879="",0,IF(AND(OR(BUSCAR!$J$5="",ISNUMBER(SEARCH(BUSCAR!$J$5,$AI1879))),OR(BUSCAR!$J$6="",ISNUMBER(SEARCH(BUSCAR!$J$6,$AI1879))),OR(BUSCAR!$J$8="",ISNUMBER(SEARCH(BUSCAR!$J$8,$AI1879))),OR(BUSCAR!$J$9="",ISNUMBER(SEARCH(BUSCAR!$J$9,$AI1879))),OR(NOT(BUSCAR!$J$2),AND(ISNUMBER($AF1879),$AF1879&gt;=BUSCAR!$J$3,$AF1879&lt;=BUSCAR!$J$4))),1,0))</f>
      </c>
      <c r="AH1879" s="42">
        <f t="shared" si="87"/>
      </c>
      <c r="AI1879" s="42">
        <f t="shared" si="88"/>
      </c>
    </row>
    <row r="1880" spans="1:35" x14ac:dyDescent="0.2">
      <c r="A1880" s="66">
        <f t="shared" si="89"/>
      </c>
      <c r="B1880" s="4"/>
      <c r="C1880" s="4"/>
      <c r="D1880" s="4"/>
      <c r="E1880" s="4"/>
      <c r="F1880" s="24"/>
      <c r="G1880" s="8"/>
      <c r="H1880" s="9"/>
      <c r="I1880" s="8"/>
      <c r="J1880" s="10"/>
      <c r="K1880" s="8"/>
      <c r="L1880" s="8"/>
      <c r="M1880" s="8"/>
      <c r="N1880" s="11"/>
      <c r="O1880" s="9"/>
      <c r="P1880" s="12"/>
      <c r="Q1880" s="9"/>
      <c r="R1880" s="13"/>
      <c r="S1880" s="11"/>
      <c r="T1880" s="11"/>
      <c r="U1880" s="9"/>
      <c r="V1880" s="9"/>
      <c r="W1880" s="9"/>
      <c r="X1880" s="16"/>
      <c r="AF1880" s="42">
        <f>IF(BUSCAR!$C$8="FECHA NAC.",$G1880,IF(BUSCAR!$C$8="PASAPORTE EXPIRA",$J1880,IF(BUSCAR!$C$8="LICENCIA EMISION",$L1880,IF(BUSCAR!$C$8="LICENCIA EXPIRA",$M1880,""))))</f>
      </c>
      <c r="AG1880" s="42">
        <f>IF($B1880&amp;$C1880&amp;$D1880&amp;$E1880&amp;$H1880="",0,IF(AND(OR(BUSCAR!$J$5="",ISNUMBER(SEARCH(BUSCAR!$J$5,$AI1880))),OR(BUSCAR!$J$6="",ISNUMBER(SEARCH(BUSCAR!$J$6,$AI1880))),OR(BUSCAR!$J$8="",ISNUMBER(SEARCH(BUSCAR!$J$8,$AI1880))),OR(BUSCAR!$J$9="",ISNUMBER(SEARCH(BUSCAR!$J$9,$AI1880))),OR(NOT(BUSCAR!$J$2),AND(ISNUMBER($AF1880),$AF1880&gt;=BUSCAR!$J$3,$AF1880&lt;=BUSCAR!$J$4))),1,0))</f>
      </c>
      <c r="AH1880" s="42">
        <f t="shared" si="87"/>
      </c>
      <c r="AI1880" s="42">
        <f t="shared" si="88"/>
      </c>
    </row>
    <row r="1881" spans="1:35" x14ac:dyDescent="0.2">
      <c r="A1881" s="66">
        <f t="shared" si="89"/>
      </c>
      <c r="B1881" s="4"/>
      <c r="C1881" s="4"/>
      <c r="D1881" s="4"/>
      <c r="E1881" s="4"/>
      <c r="F1881" s="24"/>
      <c r="G1881" s="8"/>
      <c r="H1881" s="9"/>
      <c r="I1881" s="8"/>
      <c r="J1881" s="10"/>
      <c r="K1881" s="8"/>
      <c r="L1881" s="8"/>
      <c r="M1881" s="8"/>
      <c r="N1881" s="11"/>
      <c r="O1881" s="9"/>
      <c r="P1881" s="12"/>
      <c r="Q1881" s="9"/>
      <c r="R1881" s="13"/>
      <c r="S1881" s="11"/>
      <c r="T1881" s="11"/>
      <c r="U1881" s="9"/>
      <c r="V1881" s="9"/>
      <c r="W1881" s="9"/>
      <c r="X1881" s="16"/>
      <c r="AF1881" s="42">
        <f>IF(BUSCAR!$C$8="FECHA NAC.",$G1881,IF(BUSCAR!$C$8="PASAPORTE EXPIRA",$J1881,IF(BUSCAR!$C$8="LICENCIA EMISION",$L1881,IF(BUSCAR!$C$8="LICENCIA EXPIRA",$M1881,""))))</f>
      </c>
      <c r="AG1881" s="42">
        <f>IF($B1881&amp;$C1881&amp;$D1881&amp;$E1881&amp;$H1881="",0,IF(AND(OR(BUSCAR!$J$5="",ISNUMBER(SEARCH(BUSCAR!$J$5,$AI1881))),OR(BUSCAR!$J$6="",ISNUMBER(SEARCH(BUSCAR!$J$6,$AI1881))),OR(BUSCAR!$J$8="",ISNUMBER(SEARCH(BUSCAR!$J$8,$AI1881))),OR(BUSCAR!$J$9="",ISNUMBER(SEARCH(BUSCAR!$J$9,$AI1881))),OR(NOT(BUSCAR!$J$2),AND(ISNUMBER($AF1881),$AF1881&gt;=BUSCAR!$J$3,$AF1881&lt;=BUSCAR!$J$4))),1,0))</f>
      </c>
      <c r="AH1881" s="42">
        <f t="shared" si="87"/>
      </c>
      <c r="AI1881" s="42">
        <f t="shared" si="88"/>
      </c>
    </row>
    <row r="1882" spans="1:35" x14ac:dyDescent="0.2">
      <c r="A1882" s="66">
        <f t="shared" si="89"/>
      </c>
      <c r="B1882" s="4"/>
      <c r="C1882" s="4"/>
      <c r="D1882" s="4"/>
      <c r="E1882" s="4"/>
      <c r="F1882" s="24"/>
      <c r="G1882" s="8"/>
      <c r="H1882" s="9"/>
      <c r="I1882" s="8"/>
      <c r="J1882" s="10"/>
      <c r="K1882" s="8"/>
      <c r="L1882" s="8"/>
      <c r="M1882" s="8"/>
      <c r="N1882" s="11"/>
      <c r="O1882" s="9"/>
      <c r="P1882" s="12"/>
      <c r="Q1882" s="9"/>
      <c r="R1882" s="13"/>
      <c r="S1882" s="11"/>
      <c r="T1882" s="11"/>
      <c r="U1882" s="9"/>
      <c r="V1882" s="9"/>
      <c r="W1882" s="9"/>
      <c r="X1882" s="16"/>
      <c r="AF1882" s="42">
        <f>IF(BUSCAR!$C$8="FECHA NAC.",$G1882,IF(BUSCAR!$C$8="PASAPORTE EXPIRA",$J1882,IF(BUSCAR!$C$8="LICENCIA EMISION",$L1882,IF(BUSCAR!$C$8="LICENCIA EXPIRA",$M1882,""))))</f>
      </c>
      <c r="AG1882" s="42">
        <f>IF($B1882&amp;$C1882&amp;$D1882&amp;$E1882&amp;$H1882="",0,IF(AND(OR(BUSCAR!$J$5="",ISNUMBER(SEARCH(BUSCAR!$J$5,$AI1882))),OR(BUSCAR!$J$6="",ISNUMBER(SEARCH(BUSCAR!$J$6,$AI1882))),OR(BUSCAR!$J$8="",ISNUMBER(SEARCH(BUSCAR!$J$8,$AI1882))),OR(BUSCAR!$J$9="",ISNUMBER(SEARCH(BUSCAR!$J$9,$AI1882))),OR(NOT(BUSCAR!$J$2),AND(ISNUMBER($AF1882),$AF1882&gt;=BUSCAR!$J$3,$AF1882&lt;=BUSCAR!$J$4))),1,0))</f>
      </c>
      <c r="AH1882" s="42">
        <f t="shared" si="87"/>
      </c>
      <c r="AI1882" s="42">
        <f t="shared" si="88"/>
      </c>
    </row>
    <row r="1883" spans="1:35" x14ac:dyDescent="0.2">
      <c r="A1883" s="66">
        <f t="shared" si="89"/>
      </c>
      <c r="B1883" s="4"/>
      <c r="C1883" s="4"/>
      <c r="D1883" s="4"/>
      <c r="E1883" s="4"/>
      <c r="F1883" s="24"/>
      <c r="G1883" s="8"/>
      <c r="H1883" s="9"/>
      <c r="I1883" s="8"/>
      <c r="J1883" s="10"/>
      <c r="K1883" s="8"/>
      <c r="L1883" s="8"/>
      <c r="M1883" s="8"/>
      <c r="N1883" s="11"/>
      <c r="O1883" s="9"/>
      <c r="P1883" s="12"/>
      <c r="Q1883" s="9"/>
      <c r="R1883" s="13"/>
      <c r="S1883" s="11"/>
      <c r="T1883" s="11"/>
      <c r="U1883" s="9"/>
      <c r="V1883" s="9"/>
      <c r="W1883" s="9"/>
      <c r="X1883" s="16"/>
      <c r="AF1883" s="42">
        <f>IF(BUSCAR!$C$8="FECHA NAC.",$G1883,IF(BUSCAR!$C$8="PASAPORTE EXPIRA",$J1883,IF(BUSCAR!$C$8="LICENCIA EMISION",$L1883,IF(BUSCAR!$C$8="LICENCIA EXPIRA",$M1883,""))))</f>
      </c>
      <c r="AG1883" s="42">
        <f>IF($B1883&amp;$C1883&amp;$D1883&amp;$E1883&amp;$H1883="",0,IF(AND(OR(BUSCAR!$J$5="",ISNUMBER(SEARCH(BUSCAR!$J$5,$AI1883))),OR(BUSCAR!$J$6="",ISNUMBER(SEARCH(BUSCAR!$J$6,$AI1883))),OR(BUSCAR!$J$8="",ISNUMBER(SEARCH(BUSCAR!$J$8,$AI1883))),OR(BUSCAR!$J$9="",ISNUMBER(SEARCH(BUSCAR!$J$9,$AI1883))),OR(NOT(BUSCAR!$J$2),AND(ISNUMBER($AF1883),$AF1883&gt;=BUSCAR!$J$3,$AF1883&lt;=BUSCAR!$J$4))),1,0))</f>
      </c>
      <c r="AH1883" s="42">
        <f t="shared" si="87"/>
      </c>
      <c r="AI1883" s="42">
        <f t="shared" si="88"/>
      </c>
    </row>
    <row r="1884" spans="1:35" x14ac:dyDescent="0.2">
      <c r="A1884" s="66">
        <f t="shared" si="89"/>
      </c>
      <c r="B1884" s="4"/>
      <c r="C1884" s="4"/>
      <c r="D1884" s="4"/>
      <c r="E1884" s="4"/>
      <c r="F1884" s="24"/>
      <c r="G1884" s="8"/>
      <c r="H1884" s="9"/>
      <c r="I1884" s="8"/>
      <c r="J1884" s="10"/>
      <c r="K1884" s="8"/>
      <c r="L1884" s="8"/>
      <c r="M1884" s="8"/>
      <c r="N1884" s="11"/>
      <c r="O1884" s="9"/>
      <c r="P1884" s="12"/>
      <c r="Q1884" s="9"/>
      <c r="R1884" s="13"/>
      <c r="S1884" s="11"/>
      <c r="T1884" s="11"/>
      <c r="U1884" s="9"/>
      <c r="V1884" s="9"/>
      <c r="W1884" s="9"/>
      <c r="X1884" s="16"/>
      <c r="AF1884" s="42">
        <f>IF(BUSCAR!$C$8="FECHA NAC.",$G1884,IF(BUSCAR!$C$8="PASAPORTE EXPIRA",$J1884,IF(BUSCAR!$C$8="LICENCIA EMISION",$L1884,IF(BUSCAR!$C$8="LICENCIA EXPIRA",$M1884,""))))</f>
      </c>
      <c r="AG1884" s="42">
        <f>IF($B1884&amp;$C1884&amp;$D1884&amp;$E1884&amp;$H1884="",0,IF(AND(OR(BUSCAR!$J$5="",ISNUMBER(SEARCH(BUSCAR!$J$5,$AI1884))),OR(BUSCAR!$J$6="",ISNUMBER(SEARCH(BUSCAR!$J$6,$AI1884))),OR(BUSCAR!$J$8="",ISNUMBER(SEARCH(BUSCAR!$J$8,$AI1884))),OR(BUSCAR!$J$9="",ISNUMBER(SEARCH(BUSCAR!$J$9,$AI1884))),OR(NOT(BUSCAR!$J$2),AND(ISNUMBER($AF1884),$AF1884&gt;=BUSCAR!$J$3,$AF1884&lt;=BUSCAR!$J$4))),1,0))</f>
      </c>
      <c r="AH1884" s="42">
        <f t="shared" si="87"/>
      </c>
      <c r="AI1884" s="42">
        <f t="shared" si="88"/>
      </c>
    </row>
    <row r="1885" spans="1:35" x14ac:dyDescent="0.2">
      <c r="A1885" s="66">
        <f t="shared" si="89"/>
      </c>
      <c r="B1885" s="4"/>
      <c r="C1885" s="4"/>
      <c r="D1885" s="4"/>
      <c r="E1885" s="4"/>
      <c r="F1885" s="24"/>
      <c r="G1885" s="8"/>
      <c r="H1885" s="9"/>
      <c r="I1885" s="8"/>
      <c r="J1885" s="10"/>
      <c r="K1885" s="8"/>
      <c r="L1885" s="8"/>
      <c r="M1885" s="8"/>
      <c r="N1885" s="11"/>
      <c r="O1885" s="9"/>
      <c r="P1885" s="12"/>
      <c r="Q1885" s="9"/>
      <c r="R1885" s="13"/>
      <c r="S1885" s="11"/>
      <c r="T1885" s="11"/>
      <c r="U1885" s="9"/>
      <c r="V1885" s="9"/>
      <c r="W1885" s="9"/>
      <c r="X1885" s="16"/>
      <c r="AF1885" s="42">
        <f>IF(BUSCAR!$C$8="FECHA NAC.",$G1885,IF(BUSCAR!$C$8="PASAPORTE EXPIRA",$J1885,IF(BUSCAR!$C$8="LICENCIA EMISION",$L1885,IF(BUSCAR!$C$8="LICENCIA EXPIRA",$M1885,""))))</f>
      </c>
      <c r="AG1885" s="42">
        <f>IF($B1885&amp;$C1885&amp;$D1885&amp;$E1885&amp;$H1885="",0,IF(AND(OR(BUSCAR!$J$5="",ISNUMBER(SEARCH(BUSCAR!$J$5,$AI1885))),OR(BUSCAR!$J$6="",ISNUMBER(SEARCH(BUSCAR!$J$6,$AI1885))),OR(BUSCAR!$J$8="",ISNUMBER(SEARCH(BUSCAR!$J$8,$AI1885))),OR(BUSCAR!$J$9="",ISNUMBER(SEARCH(BUSCAR!$J$9,$AI1885))),OR(NOT(BUSCAR!$J$2),AND(ISNUMBER($AF1885),$AF1885&gt;=BUSCAR!$J$3,$AF1885&lt;=BUSCAR!$J$4))),1,0))</f>
      </c>
      <c r="AH1885" s="42">
        <f t="shared" si="87"/>
      </c>
      <c r="AI1885" s="42">
        <f t="shared" si="88"/>
      </c>
    </row>
    <row r="1886" spans="1:35" x14ac:dyDescent="0.2">
      <c r="A1886" s="66">
        <f t="shared" si="89"/>
      </c>
      <c r="B1886" s="4"/>
      <c r="C1886" s="4"/>
      <c r="D1886" s="4"/>
      <c r="E1886" s="4"/>
      <c r="F1886" s="24"/>
      <c r="G1886" s="8"/>
      <c r="H1886" s="9"/>
      <c r="I1886" s="8"/>
      <c r="J1886" s="10"/>
      <c r="K1886" s="8"/>
      <c r="L1886" s="8"/>
      <c r="M1886" s="8"/>
      <c r="N1886" s="11"/>
      <c r="O1886" s="9"/>
      <c r="P1886" s="12"/>
      <c r="Q1886" s="9"/>
      <c r="R1886" s="13"/>
      <c r="S1886" s="11"/>
      <c r="T1886" s="11"/>
      <c r="U1886" s="9"/>
      <c r="V1886" s="9"/>
      <c r="W1886" s="9"/>
      <c r="X1886" s="16"/>
      <c r="AF1886" s="42">
        <f>IF(BUSCAR!$C$8="FECHA NAC.",$G1886,IF(BUSCAR!$C$8="PASAPORTE EXPIRA",$J1886,IF(BUSCAR!$C$8="LICENCIA EMISION",$L1886,IF(BUSCAR!$C$8="LICENCIA EXPIRA",$M1886,""))))</f>
      </c>
      <c r="AG1886" s="42">
        <f>IF($B1886&amp;$C1886&amp;$D1886&amp;$E1886&amp;$H1886="",0,IF(AND(OR(BUSCAR!$J$5="",ISNUMBER(SEARCH(BUSCAR!$J$5,$AI1886))),OR(BUSCAR!$J$6="",ISNUMBER(SEARCH(BUSCAR!$J$6,$AI1886))),OR(BUSCAR!$J$8="",ISNUMBER(SEARCH(BUSCAR!$J$8,$AI1886))),OR(BUSCAR!$J$9="",ISNUMBER(SEARCH(BUSCAR!$J$9,$AI1886))),OR(NOT(BUSCAR!$J$2),AND(ISNUMBER($AF1886),$AF1886&gt;=BUSCAR!$J$3,$AF1886&lt;=BUSCAR!$J$4))),1,0))</f>
      </c>
      <c r="AH1886" s="42">
        <f t="shared" si="87"/>
      </c>
      <c r="AI1886" s="42">
        <f t="shared" si="88"/>
      </c>
    </row>
    <row r="1887" spans="1:35" x14ac:dyDescent="0.2">
      <c r="A1887" s="66">
        <f t="shared" si="89"/>
      </c>
      <c r="B1887" s="4"/>
      <c r="C1887" s="4"/>
      <c r="D1887" s="4"/>
      <c r="E1887" s="4"/>
      <c r="F1887" s="24"/>
      <c r="G1887" s="8"/>
      <c r="H1887" s="9"/>
      <c r="I1887" s="8"/>
      <c r="J1887" s="10"/>
      <c r="K1887" s="8"/>
      <c r="L1887" s="8"/>
      <c r="M1887" s="8"/>
      <c r="N1887" s="11"/>
      <c r="O1887" s="9"/>
      <c r="P1887" s="12"/>
      <c r="Q1887" s="9"/>
      <c r="R1887" s="13"/>
      <c r="S1887" s="11"/>
      <c r="T1887" s="11"/>
      <c r="U1887" s="9"/>
      <c r="V1887" s="9"/>
      <c r="W1887" s="9"/>
      <c r="X1887" s="16"/>
      <c r="AF1887" s="42">
        <f>IF(BUSCAR!$C$8="FECHA NAC.",$G1887,IF(BUSCAR!$C$8="PASAPORTE EXPIRA",$J1887,IF(BUSCAR!$C$8="LICENCIA EMISION",$L1887,IF(BUSCAR!$C$8="LICENCIA EXPIRA",$M1887,""))))</f>
      </c>
      <c r="AG1887" s="42">
        <f>IF($B1887&amp;$C1887&amp;$D1887&amp;$E1887&amp;$H1887="",0,IF(AND(OR(BUSCAR!$J$5="",ISNUMBER(SEARCH(BUSCAR!$J$5,$AI1887))),OR(BUSCAR!$J$6="",ISNUMBER(SEARCH(BUSCAR!$J$6,$AI1887))),OR(BUSCAR!$J$8="",ISNUMBER(SEARCH(BUSCAR!$J$8,$AI1887))),OR(BUSCAR!$J$9="",ISNUMBER(SEARCH(BUSCAR!$J$9,$AI1887))),OR(NOT(BUSCAR!$J$2),AND(ISNUMBER($AF1887),$AF1887&gt;=BUSCAR!$J$3,$AF1887&lt;=BUSCAR!$J$4))),1,0))</f>
      </c>
      <c r="AH1887" s="42">
        <f t="shared" si="87"/>
      </c>
      <c r="AI1887" s="42">
        <f t="shared" si="88"/>
      </c>
    </row>
    <row r="1888" spans="1:35" x14ac:dyDescent="0.2">
      <c r="A1888" s="66">
        <f t="shared" si="89"/>
      </c>
      <c r="B1888" s="4"/>
      <c r="C1888" s="4"/>
      <c r="D1888" s="4"/>
      <c r="E1888" s="4"/>
      <c r="F1888" s="24"/>
      <c r="G1888" s="8"/>
      <c r="H1888" s="9"/>
      <c r="I1888" s="8"/>
      <c r="J1888" s="10"/>
      <c r="K1888" s="8"/>
      <c r="L1888" s="8"/>
      <c r="M1888" s="8"/>
      <c r="N1888" s="11"/>
      <c r="O1888" s="9"/>
      <c r="P1888" s="12"/>
      <c r="Q1888" s="9"/>
      <c r="R1888" s="13"/>
      <c r="S1888" s="11"/>
      <c r="T1888" s="11"/>
      <c r="U1888" s="9"/>
      <c r="V1888" s="9"/>
      <c r="W1888" s="9"/>
      <c r="X1888" s="16"/>
      <c r="AF1888" s="42">
        <f>IF(BUSCAR!$C$8="FECHA NAC.",$G1888,IF(BUSCAR!$C$8="PASAPORTE EXPIRA",$J1888,IF(BUSCAR!$C$8="LICENCIA EMISION",$L1888,IF(BUSCAR!$C$8="LICENCIA EXPIRA",$M1888,""))))</f>
      </c>
      <c r="AG1888" s="42">
        <f>IF($B1888&amp;$C1888&amp;$D1888&amp;$E1888&amp;$H1888="",0,IF(AND(OR(BUSCAR!$J$5="",ISNUMBER(SEARCH(BUSCAR!$J$5,$AI1888))),OR(BUSCAR!$J$6="",ISNUMBER(SEARCH(BUSCAR!$J$6,$AI1888))),OR(BUSCAR!$J$8="",ISNUMBER(SEARCH(BUSCAR!$J$8,$AI1888))),OR(BUSCAR!$J$9="",ISNUMBER(SEARCH(BUSCAR!$J$9,$AI1888))),OR(NOT(BUSCAR!$J$2),AND(ISNUMBER($AF1888),$AF1888&gt;=BUSCAR!$J$3,$AF1888&lt;=BUSCAR!$J$4))),1,0))</f>
      </c>
      <c r="AH1888" s="42">
        <f t="shared" si="87"/>
      </c>
      <c r="AI1888" s="42">
        <f t="shared" si="88"/>
      </c>
    </row>
    <row r="1889" spans="1:35" x14ac:dyDescent="0.2">
      <c r="A1889" s="66">
        <f t="shared" si="89"/>
      </c>
      <c r="B1889" s="4"/>
      <c r="C1889" s="4"/>
      <c r="D1889" s="4"/>
      <c r="E1889" s="4"/>
      <c r="F1889" s="24"/>
      <c r="G1889" s="8"/>
      <c r="H1889" s="9"/>
      <c r="I1889" s="8"/>
      <c r="J1889" s="10"/>
      <c r="K1889" s="8"/>
      <c r="L1889" s="8"/>
      <c r="M1889" s="8"/>
      <c r="N1889" s="11"/>
      <c r="O1889" s="9"/>
      <c r="P1889" s="12"/>
      <c r="Q1889" s="9"/>
      <c r="R1889" s="13"/>
      <c r="S1889" s="11"/>
      <c r="T1889" s="11"/>
      <c r="U1889" s="9"/>
      <c r="V1889" s="9"/>
      <c r="W1889" s="9"/>
      <c r="X1889" s="16"/>
      <c r="AF1889" s="42">
        <f>IF(BUSCAR!$C$8="FECHA NAC.",$G1889,IF(BUSCAR!$C$8="PASAPORTE EXPIRA",$J1889,IF(BUSCAR!$C$8="LICENCIA EMISION",$L1889,IF(BUSCAR!$C$8="LICENCIA EXPIRA",$M1889,""))))</f>
      </c>
      <c r="AG1889" s="42">
        <f>IF($B1889&amp;$C1889&amp;$D1889&amp;$E1889&amp;$H1889="",0,IF(AND(OR(BUSCAR!$J$5="",ISNUMBER(SEARCH(BUSCAR!$J$5,$AI1889))),OR(BUSCAR!$J$6="",ISNUMBER(SEARCH(BUSCAR!$J$6,$AI1889))),OR(BUSCAR!$J$8="",ISNUMBER(SEARCH(BUSCAR!$J$8,$AI1889))),OR(BUSCAR!$J$9="",ISNUMBER(SEARCH(BUSCAR!$J$9,$AI1889))),OR(NOT(BUSCAR!$J$2),AND(ISNUMBER($AF1889),$AF1889&gt;=BUSCAR!$J$3,$AF1889&lt;=BUSCAR!$J$4))),1,0))</f>
      </c>
      <c r="AH1889" s="42">
        <f t="shared" si="87"/>
      </c>
      <c r="AI1889" s="42">
        <f t="shared" si="88"/>
      </c>
    </row>
    <row r="1890" spans="1:35" x14ac:dyDescent="0.2">
      <c r="A1890" s="66">
        <f t="shared" si="89"/>
      </c>
      <c r="B1890" s="4"/>
      <c r="C1890" s="4"/>
      <c r="D1890" s="4"/>
      <c r="E1890" s="4"/>
      <c r="F1890" s="24"/>
      <c r="G1890" s="8"/>
      <c r="H1890" s="9"/>
      <c r="I1890" s="8"/>
      <c r="J1890" s="10"/>
      <c r="K1890" s="8"/>
      <c r="L1890" s="8"/>
      <c r="M1890" s="8"/>
      <c r="N1890" s="11"/>
      <c r="O1890" s="9"/>
      <c r="P1890" s="12"/>
      <c r="Q1890" s="9"/>
      <c r="R1890" s="13"/>
      <c r="S1890" s="11"/>
      <c r="T1890" s="11"/>
      <c r="U1890" s="9"/>
      <c r="V1890" s="9"/>
      <c r="W1890" s="9"/>
      <c r="X1890" s="16"/>
      <c r="AF1890" s="42">
        <f>IF(BUSCAR!$C$8="FECHA NAC.",$G1890,IF(BUSCAR!$C$8="PASAPORTE EXPIRA",$J1890,IF(BUSCAR!$C$8="LICENCIA EMISION",$L1890,IF(BUSCAR!$C$8="LICENCIA EXPIRA",$M1890,""))))</f>
      </c>
      <c r="AG1890" s="42">
        <f>IF($B1890&amp;$C1890&amp;$D1890&amp;$E1890&amp;$H1890="",0,IF(AND(OR(BUSCAR!$J$5="",ISNUMBER(SEARCH(BUSCAR!$J$5,$AI1890))),OR(BUSCAR!$J$6="",ISNUMBER(SEARCH(BUSCAR!$J$6,$AI1890))),OR(BUSCAR!$J$8="",ISNUMBER(SEARCH(BUSCAR!$J$8,$AI1890))),OR(BUSCAR!$J$9="",ISNUMBER(SEARCH(BUSCAR!$J$9,$AI1890))),OR(NOT(BUSCAR!$J$2),AND(ISNUMBER($AF1890),$AF1890&gt;=BUSCAR!$J$3,$AF1890&lt;=BUSCAR!$J$4))),1,0))</f>
      </c>
      <c r="AH1890" s="42">
        <f t="shared" si="87"/>
      </c>
      <c r="AI1890" s="42">
        <f t="shared" si="88"/>
      </c>
    </row>
    <row r="1891" spans="1:35" x14ac:dyDescent="0.2">
      <c r="A1891" s="66">
        <f t="shared" si="89"/>
      </c>
      <c r="B1891" s="4"/>
      <c r="C1891" s="4"/>
      <c r="D1891" s="4"/>
      <c r="E1891" s="4"/>
      <c r="F1891" s="24"/>
      <c r="G1891" s="8"/>
      <c r="H1891" s="9"/>
      <c r="I1891" s="8"/>
      <c r="J1891" s="10"/>
      <c r="K1891" s="8"/>
      <c r="L1891" s="8"/>
      <c r="M1891" s="8"/>
      <c r="N1891" s="11"/>
      <c r="O1891" s="9"/>
      <c r="P1891" s="12"/>
      <c r="Q1891" s="9"/>
      <c r="R1891" s="13"/>
      <c r="S1891" s="11"/>
      <c r="T1891" s="11"/>
      <c r="U1891" s="9"/>
      <c r="V1891" s="9"/>
      <c r="W1891" s="9"/>
      <c r="X1891" s="16"/>
      <c r="AF1891" s="42">
        <f>IF(BUSCAR!$C$8="FECHA NAC.",$G1891,IF(BUSCAR!$C$8="PASAPORTE EXPIRA",$J1891,IF(BUSCAR!$C$8="LICENCIA EMISION",$L1891,IF(BUSCAR!$C$8="LICENCIA EXPIRA",$M1891,""))))</f>
      </c>
      <c r="AG1891" s="42">
        <f>IF($B1891&amp;$C1891&amp;$D1891&amp;$E1891&amp;$H1891="",0,IF(AND(OR(BUSCAR!$J$5="",ISNUMBER(SEARCH(BUSCAR!$J$5,$AI1891))),OR(BUSCAR!$J$6="",ISNUMBER(SEARCH(BUSCAR!$J$6,$AI1891))),OR(BUSCAR!$J$8="",ISNUMBER(SEARCH(BUSCAR!$J$8,$AI1891))),OR(BUSCAR!$J$9="",ISNUMBER(SEARCH(BUSCAR!$J$9,$AI1891))),OR(NOT(BUSCAR!$J$2),AND(ISNUMBER($AF1891),$AF1891&gt;=BUSCAR!$J$3,$AF1891&lt;=BUSCAR!$J$4))),1,0))</f>
      </c>
      <c r="AH1891" s="42">
        <f t="shared" si="87"/>
      </c>
      <c r="AI1891" s="42">
        <f t="shared" si="88"/>
      </c>
    </row>
    <row r="1892" spans="1:35" x14ac:dyDescent="0.2">
      <c r="A1892" s="66">
        <f t="shared" si="89"/>
      </c>
      <c r="B1892" s="4"/>
      <c r="C1892" s="4"/>
      <c r="D1892" s="4"/>
      <c r="E1892" s="4"/>
      <c r="F1892" s="24"/>
      <c r="G1892" s="8"/>
      <c r="H1892" s="9"/>
      <c r="I1892" s="8"/>
      <c r="J1892" s="10"/>
      <c r="K1892" s="8"/>
      <c r="L1892" s="8"/>
      <c r="M1892" s="8"/>
      <c r="N1892" s="11"/>
      <c r="O1892" s="9"/>
      <c r="P1892" s="12"/>
      <c r="Q1892" s="9"/>
      <c r="R1892" s="13"/>
      <c r="S1892" s="11"/>
      <c r="T1892" s="11"/>
      <c r="U1892" s="9"/>
      <c r="V1892" s="9"/>
      <c r="W1892" s="9"/>
      <c r="X1892" s="16"/>
      <c r="AF1892" s="42">
        <f>IF(BUSCAR!$C$8="FECHA NAC.",$G1892,IF(BUSCAR!$C$8="PASAPORTE EXPIRA",$J1892,IF(BUSCAR!$C$8="LICENCIA EMISION",$L1892,IF(BUSCAR!$C$8="LICENCIA EXPIRA",$M1892,""))))</f>
      </c>
      <c r="AG1892" s="42">
        <f>IF($B1892&amp;$C1892&amp;$D1892&amp;$E1892&amp;$H1892="",0,IF(AND(OR(BUSCAR!$J$5="",ISNUMBER(SEARCH(BUSCAR!$J$5,$AI1892))),OR(BUSCAR!$J$6="",ISNUMBER(SEARCH(BUSCAR!$J$6,$AI1892))),OR(BUSCAR!$J$8="",ISNUMBER(SEARCH(BUSCAR!$J$8,$AI1892))),OR(BUSCAR!$J$9="",ISNUMBER(SEARCH(BUSCAR!$J$9,$AI1892))),OR(NOT(BUSCAR!$J$2),AND(ISNUMBER($AF1892),$AF1892&gt;=BUSCAR!$J$3,$AF1892&lt;=BUSCAR!$J$4))),1,0))</f>
      </c>
      <c r="AH1892" s="42">
        <f t="shared" si="87"/>
      </c>
      <c r="AI1892" s="42">
        <f t="shared" si="88"/>
      </c>
    </row>
    <row r="1893" spans="1:35" x14ac:dyDescent="0.2">
      <c r="A1893" s="66">
        <f t="shared" si="89"/>
      </c>
      <c r="B1893" s="4"/>
      <c r="C1893" s="4"/>
      <c r="D1893" s="4"/>
      <c r="E1893" s="4"/>
      <c r="F1893" s="24"/>
      <c r="G1893" s="8"/>
      <c r="H1893" s="9"/>
      <c r="I1893" s="8"/>
      <c r="J1893" s="10"/>
      <c r="K1893" s="8"/>
      <c r="L1893" s="8"/>
      <c r="M1893" s="8"/>
      <c r="N1893" s="11"/>
      <c r="O1893" s="9"/>
      <c r="P1893" s="12"/>
      <c r="Q1893" s="9"/>
      <c r="R1893" s="13"/>
      <c r="S1893" s="11"/>
      <c r="T1893" s="11"/>
      <c r="U1893" s="9"/>
      <c r="V1893" s="9"/>
      <c r="W1893" s="9"/>
      <c r="X1893" s="16"/>
      <c r="AF1893" s="42">
        <f>IF(BUSCAR!$C$8="FECHA NAC.",$G1893,IF(BUSCAR!$C$8="PASAPORTE EXPIRA",$J1893,IF(BUSCAR!$C$8="LICENCIA EMISION",$L1893,IF(BUSCAR!$C$8="LICENCIA EXPIRA",$M1893,""))))</f>
      </c>
      <c r="AG1893" s="42">
        <f>IF($B1893&amp;$C1893&amp;$D1893&amp;$E1893&amp;$H1893="",0,IF(AND(OR(BUSCAR!$J$5="",ISNUMBER(SEARCH(BUSCAR!$J$5,$AI1893))),OR(BUSCAR!$J$6="",ISNUMBER(SEARCH(BUSCAR!$J$6,$AI1893))),OR(BUSCAR!$J$8="",ISNUMBER(SEARCH(BUSCAR!$J$8,$AI1893))),OR(BUSCAR!$J$9="",ISNUMBER(SEARCH(BUSCAR!$J$9,$AI1893))),OR(NOT(BUSCAR!$J$2),AND(ISNUMBER($AF1893),$AF1893&gt;=BUSCAR!$J$3,$AF1893&lt;=BUSCAR!$J$4))),1,0))</f>
      </c>
      <c r="AH1893" s="42">
        <f t="shared" si="87"/>
      </c>
      <c r="AI1893" s="42">
        <f t="shared" si="88"/>
      </c>
    </row>
    <row r="1894" spans="1:35" x14ac:dyDescent="0.2">
      <c r="A1894" s="66">
        <f t="shared" si="89"/>
      </c>
      <c r="B1894" s="4"/>
      <c r="C1894" s="4"/>
      <c r="D1894" s="4"/>
      <c r="E1894" s="4"/>
      <c r="F1894" s="24"/>
      <c r="G1894" s="8"/>
      <c r="H1894" s="9"/>
      <c r="I1894" s="8"/>
      <c r="J1894" s="10"/>
      <c r="K1894" s="8"/>
      <c r="L1894" s="8"/>
      <c r="M1894" s="8"/>
      <c r="N1894" s="11"/>
      <c r="O1894" s="9"/>
      <c r="P1894" s="12"/>
      <c r="Q1894" s="9"/>
      <c r="R1894" s="13"/>
      <c r="S1894" s="11"/>
      <c r="T1894" s="11"/>
      <c r="U1894" s="9"/>
      <c r="V1894" s="9"/>
      <c r="W1894" s="9"/>
      <c r="X1894" s="16"/>
      <c r="AF1894" s="42">
        <f>IF(BUSCAR!$C$8="FECHA NAC.",$G1894,IF(BUSCAR!$C$8="PASAPORTE EXPIRA",$J1894,IF(BUSCAR!$C$8="LICENCIA EMISION",$L1894,IF(BUSCAR!$C$8="LICENCIA EXPIRA",$M1894,""))))</f>
      </c>
      <c r="AG1894" s="42">
        <f>IF($B1894&amp;$C1894&amp;$D1894&amp;$E1894&amp;$H1894="",0,IF(AND(OR(BUSCAR!$J$5="",ISNUMBER(SEARCH(BUSCAR!$J$5,$AI1894))),OR(BUSCAR!$J$6="",ISNUMBER(SEARCH(BUSCAR!$J$6,$AI1894))),OR(BUSCAR!$J$8="",ISNUMBER(SEARCH(BUSCAR!$J$8,$AI1894))),OR(BUSCAR!$J$9="",ISNUMBER(SEARCH(BUSCAR!$J$9,$AI1894))),OR(NOT(BUSCAR!$J$2),AND(ISNUMBER($AF1894),$AF1894&gt;=BUSCAR!$J$3,$AF1894&lt;=BUSCAR!$J$4))),1,0))</f>
      </c>
      <c r="AH1894" s="42">
        <f t="shared" si="87"/>
      </c>
      <c r="AI1894" s="42">
        <f t="shared" si="88"/>
      </c>
    </row>
    <row r="1895" spans="1:35" x14ac:dyDescent="0.2">
      <c r="A1895" s="66">
        <f t="shared" si="89"/>
      </c>
      <c r="B1895" s="4"/>
      <c r="C1895" s="4"/>
      <c r="D1895" s="4"/>
      <c r="E1895" s="4"/>
      <c r="F1895" s="24"/>
      <c r="G1895" s="8"/>
      <c r="H1895" s="9"/>
      <c r="I1895" s="8"/>
      <c r="J1895" s="10"/>
      <c r="K1895" s="8"/>
      <c r="L1895" s="8"/>
      <c r="M1895" s="8"/>
      <c r="N1895" s="11"/>
      <c r="O1895" s="9"/>
      <c r="P1895" s="12"/>
      <c r="Q1895" s="9"/>
      <c r="R1895" s="13"/>
      <c r="S1895" s="11"/>
      <c r="T1895" s="11"/>
      <c r="U1895" s="9"/>
      <c r="V1895" s="9"/>
      <c r="W1895" s="9"/>
      <c r="X1895" s="16"/>
      <c r="AF1895" s="42">
        <f>IF(BUSCAR!$C$8="FECHA NAC.",$G1895,IF(BUSCAR!$C$8="PASAPORTE EXPIRA",$J1895,IF(BUSCAR!$C$8="LICENCIA EMISION",$L1895,IF(BUSCAR!$C$8="LICENCIA EXPIRA",$M1895,""))))</f>
      </c>
      <c r="AG1895" s="42">
        <f>IF($B1895&amp;$C1895&amp;$D1895&amp;$E1895&amp;$H1895="",0,IF(AND(OR(BUSCAR!$J$5="",ISNUMBER(SEARCH(BUSCAR!$J$5,$AI1895))),OR(BUSCAR!$J$6="",ISNUMBER(SEARCH(BUSCAR!$J$6,$AI1895))),OR(BUSCAR!$J$8="",ISNUMBER(SEARCH(BUSCAR!$J$8,$AI1895))),OR(BUSCAR!$J$9="",ISNUMBER(SEARCH(BUSCAR!$J$9,$AI1895))),OR(NOT(BUSCAR!$J$2),AND(ISNUMBER($AF1895),$AF1895&gt;=BUSCAR!$J$3,$AF1895&lt;=BUSCAR!$J$4))),1,0))</f>
      </c>
      <c r="AH1895" s="42">
        <f t="shared" si="87"/>
      </c>
      <c r="AI1895" s="42">
        <f t="shared" si="88"/>
      </c>
    </row>
    <row r="1896" spans="1:35" x14ac:dyDescent="0.2">
      <c r="A1896" s="66">
        <f t="shared" si="89"/>
      </c>
      <c r="B1896" s="4"/>
      <c r="C1896" s="4"/>
      <c r="D1896" s="4"/>
      <c r="E1896" s="4"/>
      <c r="F1896" s="24"/>
      <c r="G1896" s="8"/>
      <c r="H1896" s="9"/>
      <c r="I1896" s="8"/>
      <c r="J1896" s="10"/>
      <c r="K1896" s="8"/>
      <c r="L1896" s="8"/>
      <c r="M1896" s="8"/>
      <c r="N1896" s="11"/>
      <c r="O1896" s="9"/>
      <c r="P1896" s="12"/>
      <c r="Q1896" s="9"/>
      <c r="R1896" s="13"/>
      <c r="S1896" s="11"/>
      <c r="T1896" s="11"/>
      <c r="U1896" s="9"/>
      <c r="V1896" s="9"/>
      <c r="W1896" s="9"/>
      <c r="X1896" s="16"/>
      <c r="AF1896" s="42">
        <f>IF(BUSCAR!$C$8="FECHA NAC.",$G1896,IF(BUSCAR!$C$8="PASAPORTE EXPIRA",$J1896,IF(BUSCAR!$C$8="LICENCIA EMISION",$L1896,IF(BUSCAR!$C$8="LICENCIA EXPIRA",$M1896,""))))</f>
      </c>
      <c r="AG1896" s="42">
        <f>IF($B1896&amp;$C1896&amp;$D1896&amp;$E1896&amp;$H1896="",0,IF(AND(OR(BUSCAR!$J$5="",ISNUMBER(SEARCH(BUSCAR!$J$5,$AI1896))),OR(BUSCAR!$J$6="",ISNUMBER(SEARCH(BUSCAR!$J$6,$AI1896))),OR(BUSCAR!$J$8="",ISNUMBER(SEARCH(BUSCAR!$J$8,$AI1896))),OR(BUSCAR!$J$9="",ISNUMBER(SEARCH(BUSCAR!$J$9,$AI1896))),OR(NOT(BUSCAR!$J$2),AND(ISNUMBER($AF1896),$AF1896&gt;=BUSCAR!$J$3,$AF1896&lt;=BUSCAR!$J$4))),1,0))</f>
      </c>
      <c r="AH1896" s="42">
        <f t="shared" si="87"/>
      </c>
      <c r="AI1896" s="42">
        <f t="shared" si="88"/>
      </c>
    </row>
    <row r="1897" spans="1:35" x14ac:dyDescent="0.2">
      <c r="A1897" s="66">
        <f t="shared" si="89"/>
      </c>
      <c r="B1897" s="4"/>
      <c r="C1897" s="4"/>
      <c r="D1897" s="4"/>
      <c r="E1897" s="4"/>
      <c r="F1897" s="24"/>
      <c r="G1897" s="8"/>
      <c r="H1897" s="9"/>
      <c r="I1897" s="8"/>
      <c r="J1897" s="10"/>
      <c r="K1897" s="8"/>
      <c r="L1897" s="8"/>
      <c r="M1897" s="8"/>
      <c r="N1897" s="11"/>
      <c r="O1897" s="9"/>
      <c r="P1897" s="12"/>
      <c r="Q1897" s="9"/>
      <c r="R1897" s="13"/>
      <c r="S1897" s="11"/>
      <c r="T1897" s="11"/>
      <c r="U1897" s="9"/>
      <c r="V1897" s="9"/>
      <c r="W1897" s="9"/>
      <c r="X1897" s="16"/>
      <c r="AF1897" s="42">
        <f>IF(BUSCAR!$C$8="FECHA NAC.",$G1897,IF(BUSCAR!$C$8="PASAPORTE EXPIRA",$J1897,IF(BUSCAR!$C$8="LICENCIA EMISION",$L1897,IF(BUSCAR!$C$8="LICENCIA EXPIRA",$M1897,""))))</f>
      </c>
      <c r="AG1897" s="42">
        <f>IF($B1897&amp;$C1897&amp;$D1897&amp;$E1897&amp;$H1897="",0,IF(AND(OR(BUSCAR!$J$5="",ISNUMBER(SEARCH(BUSCAR!$J$5,$AI1897))),OR(BUSCAR!$J$6="",ISNUMBER(SEARCH(BUSCAR!$J$6,$AI1897))),OR(BUSCAR!$J$8="",ISNUMBER(SEARCH(BUSCAR!$J$8,$AI1897))),OR(BUSCAR!$J$9="",ISNUMBER(SEARCH(BUSCAR!$J$9,$AI1897))),OR(NOT(BUSCAR!$J$2),AND(ISNUMBER($AF1897),$AF1897&gt;=BUSCAR!$J$3,$AF1897&lt;=BUSCAR!$J$4))),1,0))</f>
      </c>
      <c r="AH1897" s="42">
        <f t="shared" si="87"/>
      </c>
      <c r="AI1897" s="42">
        <f t="shared" si="88"/>
      </c>
    </row>
    <row r="1898" spans="1:35" x14ac:dyDescent="0.2">
      <c r="A1898" s="66">
        <f t="shared" si="89"/>
      </c>
      <c r="B1898" s="4"/>
      <c r="C1898" s="4"/>
      <c r="D1898" s="4"/>
      <c r="E1898" s="4"/>
      <c r="F1898" s="24"/>
      <c r="G1898" s="8"/>
      <c r="H1898" s="9"/>
      <c r="I1898" s="8"/>
      <c r="J1898" s="10"/>
      <c r="K1898" s="8"/>
      <c r="L1898" s="8"/>
      <c r="M1898" s="8"/>
      <c r="N1898" s="11"/>
      <c r="O1898" s="9"/>
      <c r="P1898" s="12"/>
      <c r="Q1898" s="9"/>
      <c r="R1898" s="13"/>
      <c r="S1898" s="11"/>
      <c r="T1898" s="11"/>
      <c r="U1898" s="9"/>
      <c r="V1898" s="9"/>
      <c r="W1898" s="9"/>
      <c r="X1898" s="16"/>
      <c r="AF1898" s="42">
        <f>IF(BUSCAR!$C$8="FECHA NAC.",$G1898,IF(BUSCAR!$C$8="PASAPORTE EXPIRA",$J1898,IF(BUSCAR!$C$8="LICENCIA EMISION",$L1898,IF(BUSCAR!$C$8="LICENCIA EXPIRA",$M1898,""))))</f>
      </c>
      <c r="AG1898" s="42">
        <f>IF($B1898&amp;$C1898&amp;$D1898&amp;$E1898&amp;$H1898="",0,IF(AND(OR(BUSCAR!$J$5="",ISNUMBER(SEARCH(BUSCAR!$J$5,$AI1898))),OR(BUSCAR!$J$6="",ISNUMBER(SEARCH(BUSCAR!$J$6,$AI1898))),OR(BUSCAR!$J$8="",ISNUMBER(SEARCH(BUSCAR!$J$8,$AI1898))),OR(BUSCAR!$J$9="",ISNUMBER(SEARCH(BUSCAR!$J$9,$AI1898))),OR(NOT(BUSCAR!$J$2),AND(ISNUMBER($AF1898),$AF1898&gt;=BUSCAR!$J$3,$AF1898&lt;=BUSCAR!$J$4))),1,0))</f>
      </c>
      <c r="AH1898" s="42">
        <f t="shared" si="87"/>
      </c>
      <c r="AI1898" s="42">
        <f t="shared" si="88"/>
      </c>
    </row>
    <row r="1899" spans="1:35" x14ac:dyDescent="0.2">
      <c r="A1899" s="66">
        <f t="shared" si="89"/>
      </c>
      <c r="B1899" s="4"/>
      <c r="C1899" s="4"/>
      <c r="D1899" s="4"/>
      <c r="E1899" s="4"/>
      <c r="F1899" s="24"/>
      <c r="G1899" s="8"/>
      <c r="H1899" s="9"/>
      <c r="I1899" s="8"/>
      <c r="J1899" s="10"/>
      <c r="K1899" s="8"/>
      <c r="L1899" s="8"/>
      <c r="M1899" s="8"/>
      <c r="N1899" s="11"/>
      <c r="O1899" s="9"/>
      <c r="P1899" s="12"/>
      <c r="Q1899" s="9"/>
      <c r="R1899" s="13"/>
      <c r="S1899" s="11"/>
      <c r="T1899" s="11"/>
      <c r="U1899" s="9"/>
      <c r="V1899" s="9"/>
      <c r="W1899" s="9"/>
      <c r="X1899" s="16"/>
      <c r="AF1899" s="42">
        <f>IF(BUSCAR!$C$8="FECHA NAC.",$G1899,IF(BUSCAR!$C$8="PASAPORTE EXPIRA",$J1899,IF(BUSCAR!$C$8="LICENCIA EMISION",$L1899,IF(BUSCAR!$C$8="LICENCIA EXPIRA",$M1899,""))))</f>
      </c>
      <c r="AG1899" s="42">
        <f>IF($B1899&amp;$C1899&amp;$D1899&amp;$E1899&amp;$H1899="",0,IF(AND(OR(BUSCAR!$J$5="",ISNUMBER(SEARCH(BUSCAR!$J$5,$AI1899))),OR(BUSCAR!$J$6="",ISNUMBER(SEARCH(BUSCAR!$J$6,$AI1899))),OR(BUSCAR!$J$8="",ISNUMBER(SEARCH(BUSCAR!$J$8,$AI1899))),OR(BUSCAR!$J$9="",ISNUMBER(SEARCH(BUSCAR!$J$9,$AI1899))),OR(NOT(BUSCAR!$J$2),AND(ISNUMBER($AF1899),$AF1899&gt;=BUSCAR!$J$3,$AF1899&lt;=BUSCAR!$J$4))),1,0))</f>
      </c>
      <c r="AH1899" s="42">
        <f t="shared" si="87"/>
      </c>
      <c r="AI1899" s="42">
        <f t="shared" si="88"/>
      </c>
    </row>
    <row r="1900" spans="1:35" x14ac:dyDescent="0.2">
      <c r="A1900" s="66">
        <f t="shared" si="89"/>
      </c>
      <c r="B1900" s="4"/>
      <c r="C1900" s="4"/>
      <c r="D1900" s="4"/>
      <c r="E1900" s="4"/>
      <c r="F1900" s="24"/>
      <c r="G1900" s="8"/>
      <c r="H1900" s="9"/>
      <c r="I1900" s="8"/>
      <c r="J1900" s="10"/>
      <c r="K1900" s="8"/>
      <c r="L1900" s="8"/>
      <c r="M1900" s="8"/>
      <c r="N1900" s="11"/>
      <c r="O1900" s="9"/>
      <c r="P1900" s="12"/>
      <c r="Q1900" s="9"/>
      <c r="R1900" s="13"/>
      <c r="S1900" s="11"/>
      <c r="T1900" s="11"/>
      <c r="U1900" s="9"/>
      <c r="V1900" s="9"/>
      <c r="W1900" s="9"/>
      <c r="X1900" s="16"/>
      <c r="AF1900" s="42">
        <f>IF(BUSCAR!$C$8="FECHA NAC.",$G1900,IF(BUSCAR!$C$8="PASAPORTE EXPIRA",$J1900,IF(BUSCAR!$C$8="LICENCIA EMISION",$L1900,IF(BUSCAR!$C$8="LICENCIA EXPIRA",$M1900,""))))</f>
      </c>
      <c r="AG1900" s="42">
        <f>IF($B1900&amp;$C1900&amp;$D1900&amp;$E1900&amp;$H1900="",0,IF(AND(OR(BUSCAR!$J$5="",ISNUMBER(SEARCH(BUSCAR!$J$5,$AI1900))),OR(BUSCAR!$J$6="",ISNUMBER(SEARCH(BUSCAR!$J$6,$AI1900))),OR(BUSCAR!$J$8="",ISNUMBER(SEARCH(BUSCAR!$J$8,$AI1900))),OR(BUSCAR!$J$9="",ISNUMBER(SEARCH(BUSCAR!$J$9,$AI1900))),OR(NOT(BUSCAR!$J$2),AND(ISNUMBER($AF1900),$AF1900&gt;=BUSCAR!$J$3,$AF1900&lt;=BUSCAR!$J$4))),1,0))</f>
      </c>
      <c r="AH1900" s="42">
        <f t="shared" si="87"/>
      </c>
      <c r="AI1900" s="42">
        <f t="shared" si="88"/>
      </c>
    </row>
    <row r="1901" spans="1:35" x14ac:dyDescent="0.2">
      <c r="A1901" s="66">
        <f t="shared" si="89"/>
      </c>
      <c r="B1901" s="4"/>
      <c r="C1901" s="4"/>
      <c r="D1901" s="4"/>
      <c r="E1901" s="4"/>
      <c r="F1901" s="24"/>
      <c r="G1901" s="8"/>
      <c r="H1901" s="9"/>
      <c r="I1901" s="8"/>
      <c r="J1901" s="10"/>
      <c r="K1901" s="8"/>
      <c r="L1901" s="8"/>
      <c r="M1901" s="8"/>
      <c r="N1901" s="11"/>
      <c r="O1901" s="9"/>
      <c r="P1901" s="12"/>
      <c r="Q1901" s="9"/>
      <c r="R1901" s="13"/>
      <c r="S1901" s="11"/>
      <c r="T1901" s="11"/>
      <c r="U1901" s="9"/>
      <c r="V1901" s="9"/>
      <c r="W1901" s="9"/>
      <c r="X1901" s="16"/>
      <c r="AF1901" s="42">
        <f>IF(BUSCAR!$C$8="FECHA NAC.",$G1901,IF(BUSCAR!$C$8="PASAPORTE EXPIRA",$J1901,IF(BUSCAR!$C$8="LICENCIA EMISION",$L1901,IF(BUSCAR!$C$8="LICENCIA EXPIRA",$M1901,""))))</f>
      </c>
      <c r="AG1901" s="42">
        <f>IF($B1901&amp;$C1901&amp;$D1901&amp;$E1901&amp;$H1901="",0,IF(AND(OR(BUSCAR!$J$5="",ISNUMBER(SEARCH(BUSCAR!$J$5,$AI1901))),OR(BUSCAR!$J$6="",ISNUMBER(SEARCH(BUSCAR!$J$6,$AI1901))),OR(BUSCAR!$J$8="",ISNUMBER(SEARCH(BUSCAR!$J$8,$AI1901))),OR(BUSCAR!$J$9="",ISNUMBER(SEARCH(BUSCAR!$J$9,$AI1901))),OR(NOT(BUSCAR!$J$2),AND(ISNUMBER($AF1901),$AF1901&gt;=BUSCAR!$J$3,$AF1901&lt;=BUSCAR!$J$4))),1,0))</f>
      </c>
      <c r="AH1901" s="42">
        <f t="shared" si="87"/>
      </c>
      <c r="AI1901" s="42">
        <f t="shared" si="88"/>
      </c>
    </row>
    <row r="1902" spans="1:35" x14ac:dyDescent="0.2">
      <c r="A1902" s="66">
        <f t="shared" si="89"/>
      </c>
      <c r="B1902" s="4"/>
      <c r="C1902" s="4"/>
      <c r="D1902" s="4"/>
      <c r="E1902" s="4"/>
      <c r="F1902" s="24"/>
      <c r="G1902" s="8"/>
      <c r="H1902" s="9"/>
      <c r="I1902" s="8"/>
      <c r="J1902" s="10"/>
      <c r="K1902" s="8"/>
      <c r="L1902" s="8"/>
      <c r="M1902" s="8"/>
      <c r="N1902" s="11"/>
      <c r="O1902" s="9"/>
      <c r="P1902" s="12"/>
      <c r="Q1902" s="9"/>
      <c r="R1902" s="13"/>
      <c r="S1902" s="11"/>
      <c r="T1902" s="11"/>
      <c r="U1902" s="9"/>
      <c r="V1902" s="9"/>
      <c r="W1902" s="9"/>
      <c r="X1902" s="16"/>
      <c r="AF1902" s="42">
        <f>IF(BUSCAR!$C$8="FECHA NAC.",$G1902,IF(BUSCAR!$C$8="PASAPORTE EXPIRA",$J1902,IF(BUSCAR!$C$8="LICENCIA EMISION",$L1902,IF(BUSCAR!$C$8="LICENCIA EXPIRA",$M1902,""))))</f>
      </c>
      <c r="AG1902" s="42">
        <f>IF($B1902&amp;$C1902&amp;$D1902&amp;$E1902&amp;$H1902="",0,IF(AND(OR(BUSCAR!$J$5="",ISNUMBER(SEARCH(BUSCAR!$J$5,$AI1902))),OR(BUSCAR!$J$6="",ISNUMBER(SEARCH(BUSCAR!$J$6,$AI1902))),OR(BUSCAR!$J$8="",ISNUMBER(SEARCH(BUSCAR!$J$8,$AI1902))),OR(BUSCAR!$J$9="",ISNUMBER(SEARCH(BUSCAR!$J$9,$AI1902))),OR(NOT(BUSCAR!$J$2),AND(ISNUMBER($AF1902),$AF1902&gt;=BUSCAR!$J$3,$AF1902&lt;=BUSCAR!$J$4))),1,0))</f>
      </c>
      <c r="AH1902" s="42">
        <f t="shared" si="87"/>
      </c>
      <c r="AI1902" s="42">
        <f t="shared" si="88"/>
      </c>
    </row>
    <row r="1903" spans="1:35" x14ac:dyDescent="0.2">
      <c r="A1903" s="66">
        <f t="shared" si="89"/>
      </c>
      <c r="B1903" s="4"/>
      <c r="C1903" s="4"/>
      <c r="D1903" s="4"/>
      <c r="E1903" s="4"/>
      <c r="F1903" s="24"/>
      <c r="G1903" s="8"/>
      <c r="H1903" s="9"/>
      <c r="I1903" s="8"/>
      <c r="J1903" s="10"/>
      <c r="K1903" s="8"/>
      <c r="L1903" s="8"/>
      <c r="M1903" s="8"/>
      <c r="N1903" s="11"/>
      <c r="O1903" s="9"/>
      <c r="P1903" s="12"/>
      <c r="Q1903" s="9"/>
      <c r="R1903" s="13"/>
      <c r="S1903" s="11"/>
      <c r="T1903" s="11"/>
      <c r="U1903" s="9"/>
      <c r="V1903" s="9"/>
      <c r="W1903" s="9"/>
      <c r="X1903" s="16"/>
      <c r="AF1903" s="42">
        <f>IF(BUSCAR!$C$8="FECHA NAC.",$G1903,IF(BUSCAR!$C$8="PASAPORTE EXPIRA",$J1903,IF(BUSCAR!$C$8="LICENCIA EMISION",$L1903,IF(BUSCAR!$C$8="LICENCIA EXPIRA",$M1903,""))))</f>
      </c>
      <c r="AG1903" s="42">
        <f>IF($B1903&amp;$C1903&amp;$D1903&amp;$E1903&amp;$H1903="",0,IF(AND(OR(BUSCAR!$J$5="",ISNUMBER(SEARCH(BUSCAR!$J$5,$AI1903))),OR(BUSCAR!$J$6="",ISNUMBER(SEARCH(BUSCAR!$J$6,$AI1903))),OR(BUSCAR!$J$8="",ISNUMBER(SEARCH(BUSCAR!$J$8,$AI1903))),OR(BUSCAR!$J$9="",ISNUMBER(SEARCH(BUSCAR!$J$9,$AI1903))),OR(NOT(BUSCAR!$J$2),AND(ISNUMBER($AF1903),$AF1903&gt;=BUSCAR!$J$3,$AF1903&lt;=BUSCAR!$J$4))),1,0))</f>
      </c>
      <c r="AH1903" s="42">
        <f t="shared" si="87"/>
      </c>
      <c r="AI1903" s="42">
        <f t="shared" si="88"/>
      </c>
    </row>
    <row r="1904" spans="1:35" x14ac:dyDescent="0.2">
      <c r="A1904" s="66">
        <f t="shared" si="89"/>
      </c>
      <c r="B1904" s="4"/>
      <c r="C1904" s="4"/>
      <c r="D1904" s="4"/>
      <c r="E1904" s="4"/>
      <c r="F1904" s="24"/>
      <c r="G1904" s="8"/>
      <c r="H1904" s="9"/>
      <c r="I1904" s="8"/>
      <c r="J1904" s="10"/>
      <c r="K1904" s="8"/>
      <c r="L1904" s="8"/>
      <c r="M1904" s="8"/>
      <c r="N1904" s="11"/>
      <c r="O1904" s="9"/>
      <c r="P1904" s="12"/>
      <c r="Q1904" s="9"/>
      <c r="R1904" s="13"/>
      <c r="S1904" s="11"/>
      <c r="T1904" s="11"/>
      <c r="U1904" s="9"/>
      <c r="V1904" s="9"/>
      <c r="W1904" s="9"/>
      <c r="X1904" s="16"/>
      <c r="AF1904" s="42">
        <f>IF(BUSCAR!$C$8="FECHA NAC.",$G1904,IF(BUSCAR!$C$8="PASAPORTE EXPIRA",$J1904,IF(BUSCAR!$C$8="LICENCIA EMISION",$L1904,IF(BUSCAR!$C$8="LICENCIA EXPIRA",$M1904,""))))</f>
      </c>
      <c r="AG1904" s="42">
        <f>IF($B1904&amp;$C1904&amp;$D1904&amp;$E1904&amp;$H1904="",0,IF(AND(OR(BUSCAR!$J$5="",ISNUMBER(SEARCH(BUSCAR!$J$5,$AI1904))),OR(BUSCAR!$J$6="",ISNUMBER(SEARCH(BUSCAR!$J$6,$AI1904))),OR(BUSCAR!$J$8="",ISNUMBER(SEARCH(BUSCAR!$J$8,$AI1904))),OR(BUSCAR!$J$9="",ISNUMBER(SEARCH(BUSCAR!$J$9,$AI1904))),OR(NOT(BUSCAR!$J$2),AND(ISNUMBER($AF1904),$AF1904&gt;=BUSCAR!$J$3,$AF1904&lt;=BUSCAR!$J$4))),1,0))</f>
      </c>
      <c r="AH1904" s="42">
        <f t="shared" si="87"/>
      </c>
      <c r="AI1904" s="42">
        <f t="shared" si="88"/>
      </c>
    </row>
    <row r="1905" spans="1:35" x14ac:dyDescent="0.2">
      <c r="A1905" s="66">
        <f t="shared" si="89"/>
      </c>
      <c r="B1905" s="4"/>
      <c r="C1905" s="4"/>
      <c r="D1905" s="4"/>
      <c r="E1905" s="4"/>
      <c r="F1905" s="24"/>
      <c r="G1905" s="8"/>
      <c r="H1905" s="9"/>
      <c r="I1905" s="8"/>
      <c r="J1905" s="10"/>
      <c r="K1905" s="8"/>
      <c r="L1905" s="8"/>
      <c r="M1905" s="8"/>
      <c r="N1905" s="11"/>
      <c r="O1905" s="9"/>
      <c r="P1905" s="12"/>
      <c r="Q1905" s="9"/>
      <c r="R1905" s="13"/>
      <c r="S1905" s="11"/>
      <c r="T1905" s="11"/>
      <c r="U1905" s="9"/>
      <c r="V1905" s="9"/>
      <c r="W1905" s="9"/>
      <c r="X1905" s="16"/>
      <c r="AF1905" s="42">
        <f>IF(BUSCAR!$C$8="FECHA NAC.",$G1905,IF(BUSCAR!$C$8="PASAPORTE EXPIRA",$J1905,IF(BUSCAR!$C$8="LICENCIA EMISION",$L1905,IF(BUSCAR!$C$8="LICENCIA EXPIRA",$M1905,""))))</f>
      </c>
      <c r="AG1905" s="42">
        <f>IF($B1905&amp;$C1905&amp;$D1905&amp;$E1905&amp;$H1905="",0,IF(AND(OR(BUSCAR!$J$5="",ISNUMBER(SEARCH(BUSCAR!$J$5,$AI1905))),OR(BUSCAR!$J$6="",ISNUMBER(SEARCH(BUSCAR!$J$6,$AI1905))),OR(BUSCAR!$J$8="",ISNUMBER(SEARCH(BUSCAR!$J$8,$AI1905))),OR(BUSCAR!$J$9="",ISNUMBER(SEARCH(BUSCAR!$J$9,$AI1905))),OR(NOT(BUSCAR!$J$2),AND(ISNUMBER($AF1905),$AF1905&gt;=BUSCAR!$J$3,$AF1905&lt;=BUSCAR!$J$4))),1,0))</f>
      </c>
      <c r="AH1905" s="42">
        <f t="shared" si="87"/>
      </c>
      <c r="AI1905" s="42">
        <f t="shared" si="88"/>
      </c>
    </row>
    <row r="1906" spans="1:35" x14ac:dyDescent="0.2">
      <c r="A1906" s="66">
        <f t="shared" si="89"/>
      </c>
      <c r="B1906" s="4"/>
      <c r="C1906" s="4"/>
      <c r="D1906" s="4"/>
      <c r="E1906" s="4"/>
      <c r="F1906" s="24"/>
      <c r="G1906" s="8"/>
      <c r="H1906" s="9"/>
      <c r="I1906" s="8"/>
      <c r="J1906" s="10"/>
      <c r="K1906" s="8"/>
      <c r="L1906" s="8"/>
      <c r="M1906" s="8"/>
      <c r="N1906" s="11"/>
      <c r="O1906" s="9"/>
      <c r="P1906" s="12"/>
      <c r="Q1906" s="9"/>
      <c r="R1906" s="13"/>
      <c r="S1906" s="11"/>
      <c r="T1906" s="11"/>
      <c r="U1906" s="9"/>
      <c r="V1906" s="9"/>
      <c r="W1906" s="9"/>
      <c r="X1906" s="16"/>
      <c r="AF1906" s="42">
        <f>IF(BUSCAR!$C$8="FECHA NAC.",$G1906,IF(BUSCAR!$C$8="PASAPORTE EXPIRA",$J1906,IF(BUSCAR!$C$8="LICENCIA EMISION",$L1906,IF(BUSCAR!$C$8="LICENCIA EXPIRA",$M1906,""))))</f>
      </c>
      <c r="AG1906" s="42">
        <f>IF($B1906&amp;$C1906&amp;$D1906&amp;$E1906&amp;$H1906="",0,IF(AND(OR(BUSCAR!$J$5="",ISNUMBER(SEARCH(BUSCAR!$J$5,$AI1906))),OR(BUSCAR!$J$6="",ISNUMBER(SEARCH(BUSCAR!$J$6,$AI1906))),OR(BUSCAR!$J$8="",ISNUMBER(SEARCH(BUSCAR!$J$8,$AI1906))),OR(BUSCAR!$J$9="",ISNUMBER(SEARCH(BUSCAR!$J$9,$AI1906))),OR(NOT(BUSCAR!$J$2),AND(ISNUMBER($AF1906),$AF1906&gt;=BUSCAR!$J$3,$AF1906&lt;=BUSCAR!$J$4))),1,0))</f>
      </c>
      <c r="AH1906" s="42">
        <f t="shared" si="87"/>
      </c>
      <c r="AI1906" s="42">
        <f t="shared" si="88"/>
      </c>
    </row>
    <row r="1907" spans="1:35" x14ac:dyDescent="0.2">
      <c r="A1907" s="66">
        <f t="shared" si="89"/>
      </c>
      <c r="B1907" s="4"/>
      <c r="C1907" s="4"/>
      <c r="D1907" s="4"/>
      <c r="E1907" s="4"/>
      <c r="F1907" s="24"/>
      <c r="G1907" s="8"/>
      <c r="H1907" s="9"/>
      <c r="I1907" s="8"/>
      <c r="J1907" s="10"/>
      <c r="K1907" s="8"/>
      <c r="L1907" s="8"/>
      <c r="M1907" s="8"/>
      <c r="N1907" s="11"/>
      <c r="O1907" s="9"/>
      <c r="P1907" s="12"/>
      <c r="Q1907" s="9"/>
      <c r="R1907" s="13"/>
      <c r="S1907" s="11"/>
      <c r="T1907" s="11"/>
      <c r="U1907" s="9"/>
      <c r="V1907" s="9"/>
      <c r="W1907" s="9"/>
      <c r="X1907" s="16"/>
      <c r="AF1907" s="42">
        <f>IF(BUSCAR!$C$8="FECHA NAC.",$G1907,IF(BUSCAR!$C$8="PASAPORTE EXPIRA",$J1907,IF(BUSCAR!$C$8="LICENCIA EMISION",$L1907,IF(BUSCAR!$C$8="LICENCIA EXPIRA",$M1907,""))))</f>
      </c>
      <c r="AG1907" s="42">
        <f>IF($B1907&amp;$C1907&amp;$D1907&amp;$E1907&amp;$H1907="",0,IF(AND(OR(BUSCAR!$J$5="",ISNUMBER(SEARCH(BUSCAR!$J$5,$AI1907))),OR(BUSCAR!$J$6="",ISNUMBER(SEARCH(BUSCAR!$J$6,$AI1907))),OR(BUSCAR!$J$8="",ISNUMBER(SEARCH(BUSCAR!$J$8,$AI1907))),OR(BUSCAR!$J$9="",ISNUMBER(SEARCH(BUSCAR!$J$9,$AI1907))),OR(NOT(BUSCAR!$J$2),AND(ISNUMBER($AF1907),$AF1907&gt;=BUSCAR!$J$3,$AF1907&lt;=BUSCAR!$J$4))),1,0))</f>
      </c>
      <c r="AH1907" s="42">
        <f t="shared" si="87"/>
      </c>
      <c r="AI1907" s="42">
        <f t="shared" si="88"/>
      </c>
    </row>
    <row r="1908" spans="1:35" x14ac:dyDescent="0.2">
      <c r="A1908" s="66">
        <f t="shared" si="89"/>
      </c>
      <c r="B1908" s="4"/>
      <c r="C1908" s="4"/>
      <c r="D1908" s="4"/>
      <c r="E1908" s="4"/>
      <c r="F1908" s="24"/>
      <c r="G1908" s="8"/>
      <c r="H1908" s="9"/>
      <c r="I1908" s="8"/>
      <c r="J1908" s="10"/>
      <c r="K1908" s="8"/>
      <c r="L1908" s="8"/>
      <c r="M1908" s="8"/>
      <c r="N1908" s="11"/>
      <c r="O1908" s="9"/>
      <c r="P1908" s="12"/>
      <c r="Q1908" s="9"/>
      <c r="R1908" s="13"/>
      <c r="S1908" s="11"/>
      <c r="T1908" s="11"/>
      <c r="U1908" s="9"/>
      <c r="V1908" s="9"/>
      <c r="W1908" s="9"/>
      <c r="X1908" s="16"/>
      <c r="AF1908" s="42">
        <f>IF(BUSCAR!$C$8="FECHA NAC.",$G1908,IF(BUSCAR!$C$8="PASAPORTE EXPIRA",$J1908,IF(BUSCAR!$C$8="LICENCIA EMISION",$L1908,IF(BUSCAR!$C$8="LICENCIA EXPIRA",$M1908,""))))</f>
      </c>
      <c r="AG1908" s="42">
        <f>IF($B1908&amp;$C1908&amp;$D1908&amp;$E1908&amp;$H1908="",0,IF(AND(OR(BUSCAR!$J$5="",ISNUMBER(SEARCH(BUSCAR!$J$5,$AI1908))),OR(BUSCAR!$J$6="",ISNUMBER(SEARCH(BUSCAR!$J$6,$AI1908))),OR(BUSCAR!$J$8="",ISNUMBER(SEARCH(BUSCAR!$J$8,$AI1908))),OR(BUSCAR!$J$9="",ISNUMBER(SEARCH(BUSCAR!$J$9,$AI1908))),OR(NOT(BUSCAR!$J$2),AND(ISNUMBER($AF1908),$AF1908&gt;=BUSCAR!$J$3,$AF1908&lt;=BUSCAR!$J$4))),1,0))</f>
      </c>
      <c r="AH1908" s="42">
        <f t="shared" si="87"/>
      </c>
      <c r="AI1908" s="42">
        <f t="shared" si="88"/>
      </c>
    </row>
    <row r="1909" spans="1:35" x14ac:dyDescent="0.2">
      <c r="A1909" s="66">
        <f t="shared" si="89"/>
      </c>
      <c r="B1909" s="4"/>
      <c r="C1909" s="4"/>
      <c r="D1909" s="4"/>
      <c r="E1909" s="4"/>
      <c r="F1909" s="24"/>
      <c r="G1909" s="8"/>
      <c r="H1909" s="9"/>
      <c r="I1909" s="8"/>
      <c r="J1909" s="10"/>
      <c r="K1909" s="8"/>
      <c r="L1909" s="8"/>
      <c r="M1909" s="8"/>
      <c r="N1909" s="11"/>
      <c r="O1909" s="9"/>
      <c r="P1909" s="12"/>
      <c r="Q1909" s="9"/>
      <c r="R1909" s="13"/>
      <c r="S1909" s="11"/>
      <c r="T1909" s="11"/>
      <c r="U1909" s="9"/>
      <c r="V1909" s="9"/>
      <c r="W1909" s="9"/>
      <c r="X1909" s="16"/>
      <c r="AF1909" s="42">
        <f>IF(BUSCAR!$C$8="FECHA NAC.",$G1909,IF(BUSCAR!$C$8="PASAPORTE EXPIRA",$J1909,IF(BUSCAR!$C$8="LICENCIA EMISION",$L1909,IF(BUSCAR!$C$8="LICENCIA EXPIRA",$M1909,""))))</f>
      </c>
      <c r="AG1909" s="42">
        <f>IF($B1909&amp;$C1909&amp;$D1909&amp;$E1909&amp;$H1909="",0,IF(AND(OR(BUSCAR!$J$5="",ISNUMBER(SEARCH(BUSCAR!$J$5,$AI1909))),OR(BUSCAR!$J$6="",ISNUMBER(SEARCH(BUSCAR!$J$6,$AI1909))),OR(BUSCAR!$J$8="",ISNUMBER(SEARCH(BUSCAR!$J$8,$AI1909))),OR(BUSCAR!$J$9="",ISNUMBER(SEARCH(BUSCAR!$J$9,$AI1909))),OR(NOT(BUSCAR!$J$2),AND(ISNUMBER($AF1909),$AF1909&gt;=BUSCAR!$J$3,$AF1909&lt;=BUSCAR!$J$4))),1,0))</f>
      </c>
      <c r="AH1909" s="42">
        <f t="shared" si="87"/>
      </c>
      <c r="AI1909" s="42">
        <f t="shared" si="88"/>
      </c>
    </row>
    <row r="1910" spans="1:35" x14ac:dyDescent="0.2">
      <c r="A1910" s="66">
        <f t="shared" si="89"/>
      </c>
      <c r="B1910" s="4"/>
      <c r="C1910" s="4"/>
      <c r="D1910" s="4"/>
      <c r="E1910" s="4"/>
      <c r="F1910" s="24"/>
      <c r="G1910" s="8"/>
      <c r="H1910" s="9"/>
      <c r="I1910" s="8"/>
      <c r="J1910" s="10"/>
      <c r="K1910" s="8"/>
      <c r="L1910" s="8"/>
      <c r="M1910" s="8"/>
      <c r="N1910" s="11"/>
      <c r="O1910" s="9"/>
      <c r="P1910" s="12"/>
      <c r="Q1910" s="9"/>
      <c r="R1910" s="13"/>
      <c r="S1910" s="11"/>
      <c r="T1910" s="11"/>
      <c r="U1910" s="9"/>
      <c r="V1910" s="9"/>
      <c r="W1910" s="9"/>
      <c r="X1910" s="16"/>
      <c r="AF1910" s="42">
        <f>IF(BUSCAR!$C$8="FECHA NAC.",$G1910,IF(BUSCAR!$C$8="PASAPORTE EXPIRA",$J1910,IF(BUSCAR!$C$8="LICENCIA EMISION",$L1910,IF(BUSCAR!$C$8="LICENCIA EXPIRA",$M1910,""))))</f>
      </c>
      <c r="AG1910" s="42">
        <f>IF($B1910&amp;$C1910&amp;$D1910&amp;$E1910&amp;$H1910="",0,IF(AND(OR(BUSCAR!$J$5="",ISNUMBER(SEARCH(BUSCAR!$J$5,$AI1910))),OR(BUSCAR!$J$6="",ISNUMBER(SEARCH(BUSCAR!$J$6,$AI1910))),OR(BUSCAR!$J$8="",ISNUMBER(SEARCH(BUSCAR!$J$8,$AI1910))),OR(BUSCAR!$J$9="",ISNUMBER(SEARCH(BUSCAR!$J$9,$AI1910))),OR(NOT(BUSCAR!$J$2),AND(ISNUMBER($AF1910),$AF1910&gt;=BUSCAR!$J$3,$AF1910&lt;=BUSCAR!$J$4))),1,0))</f>
      </c>
      <c r="AH1910" s="42">
        <f t="shared" si="87"/>
      </c>
      <c r="AI1910" s="42">
        <f t="shared" si="88"/>
      </c>
    </row>
    <row r="1911" spans="1:35" x14ac:dyDescent="0.2">
      <c r="A1911" s="66">
        <f t="shared" si="89"/>
      </c>
      <c r="B1911" s="4"/>
      <c r="C1911" s="4"/>
      <c r="D1911" s="4"/>
      <c r="E1911" s="4"/>
      <c r="F1911" s="24"/>
      <c r="G1911" s="8"/>
      <c r="H1911" s="9"/>
      <c r="I1911" s="8"/>
      <c r="J1911" s="10"/>
      <c r="K1911" s="8"/>
      <c r="L1911" s="8"/>
      <c r="M1911" s="8"/>
      <c r="N1911" s="11"/>
      <c r="O1911" s="9"/>
      <c r="P1911" s="12"/>
      <c r="Q1911" s="9"/>
      <c r="R1911" s="13"/>
      <c r="S1911" s="11"/>
      <c r="T1911" s="11"/>
      <c r="U1911" s="9"/>
      <c r="V1911" s="9"/>
      <c r="W1911" s="9"/>
      <c r="X1911" s="16"/>
      <c r="AF1911" s="42">
        <f>IF(BUSCAR!$C$8="FECHA NAC.",$G1911,IF(BUSCAR!$C$8="PASAPORTE EXPIRA",$J1911,IF(BUSCAR!$C$8="LICENCIA EMISION",$L1911,IF(BUSCAR!$C$8="LICENCIA EXPIRA",$M1911,""))))</f>
      </c>
      <c r="AG1911" s="42">
        <f>IF($B1911&amp;$C1911&amp;$D1911&amp;$E1911&amp;$H1911="",0,IF(AND(OR(BUSCAR!$J$5="",ISNUMBER(SEARCH(BUSCAR!$J$5,$AI1911))),OR(BUSCAR!$J$6="",ISNUMBER(SEARCH(BUSCAR!$J$6,$AI1911))),OR(BUSCAR!$J$8="",ISNUMBER(SEARCH(BUSCAR!$J$8,$AI1911))),OR(BUSCAR!$J$9="",ISNUMBER(SEARCH(BUSCAR!$J$9,$AI1911))),OR(NOT(BUSCAR!$J$2),AND(ISNUMBER($AF1911),$AF1911&gt;=BUSCAR!$J$3,$AF1911&lt;=BUSCAR!$J$4))),1,0))</f>
      </c>
      <c r="AH1911" s="42">
        <f t="shared" si="87"/>
      </c>
      <c r="AI1911" s="42">
        <f t="shared" si="88"/>
      </c>
    </row>
    <row r="1912" spans="1:35" x14ac:dyDescent="0.2">
      <c r="A1912" s="66">
        <f t="shared" si="89"/>
      </c>
      <c r="B1912" s="4"/>
      <c r="C1912" s="4"/>
      <c r="D1912" s="4"/>
      <c r="E1912" s="4"/>
      <c r="F1912" s="24"/>
      <c r="G1912" s="8"/>
      <c r="H1912" s="9"/>
      <c r="I1912" s="8"/>
      <c r="J1912" s="10"/>
      <c r="K1912" s="8"/>
      <c r="L1912" s="8"/>
      <c r="M1912" s="8"/>
      <c r="N1912" s="11"/>
      <c r="O1912" s="9"/>
      <c r="P1912" s="12"/>
      <c r="Q1912" s="9"/>
      <c r="R1912" s="13"/>
      <c r="S1912" s="11"/>
      <c r="T1912" s="11"/>
      <c r="U1912" s="9"/>
      <c r="V1912" s="9"/>
      <c r="W1912" s="9"/>
      <c r="X1912" s="16"/>
      <c r="AF1912" s="42">
        <f>IF(BUSCAR!$C$8="FECHA NAC.",$G1912,IF(BUSCAR!$C$8="PASAPORTE EXPIRA",$J1912,IF(BUSCAR!$C$8="LICENCIA EMISION",$L1912,IF(BUSCAR!$C$8="LICENCIA EXPIRA",$M1912,""))))</f>
      </c>
      <c r="AG1912" s="42">
        <f>IF($B1912&amp;$C1912&amp;$D1912&amp;$E1912&amp;$H1912="",0,IF(AND(OR(BUSCAR!$J$5="",ISNUMBER(SEARCH(BUSCAR!$J$5,$AI1912))),OR(BUSCAR!$J$6="",ISNUMBER(SEARCH(BUSCAR!$J$6,$AI1912))),OR(BUSCAR!$J$8="",ISNUMBER(SEARCH(BUSCAR!$J$8,$AI1912))),OR(BUSCAR!$J$9="",ISNUMBER(SEARCH(BUSCAR!$J$9,$AI1912))),OR(NOT(BUSCAR!$J$2),AND(ISNUMBER($AF1912),$AF1912&gt;=BUSCAR!$J$3,$AF1912&lt;=BUSCAR!$J$4))),1,0))</f>
      </c>
      <c r="AH1912" s="42">
        <f t="shared" si="87"/>
      </c>
      <c r="AI1912" s="42">
        <f t="shared" si="88"/>
      </c>
    </row>
    <row r="1913" spans="1:35" x14ac:dyDescent="0.2">
      <c r="A1913" s="66">
        <f t="shared" si="89"/>
      </c>
      <c r="B1913" s="4"/>
      <c r="C1913" s="4"/>
      <c r="D1913" s="4"/>
      <c r="E1913" s="4"/>
      <c r="F1913" s="24"/>
      <c r="G1913" s="8"/>
      <c r="H1913" s="9"/>
      <c r="I1913" s="8"/>
      <c r="J1913" s="10"/>
      <c r="K1913" s="8"/>
      <c r="L1913" s="8"/>
      <c r="M1913" s="8"/>
      <c r="N1913" s="11"/>
      <c r="O1913" s="9"/>
      <c r="P1913" s="12"/>
      <c r="Q1913" s="9"/>
      <c r="R1913" s="13"/>
      <c r="S1913" s="11"/>
      <c r="T1913" s="11"/>
      <c r="U1913" s="9"/>
      <c r="V1913" s="9"/>
      <c r="W1913" s="9"/>
      <c r="X1913" s="16"/>
      <c r="AF1913" s="42">
        <f>IF(BUSCAR!$C$8="FECHA NAC.",$G1913,IF(BUSCAR!$C$8="PASAPORTE EXPIRA",$J1913,IF(BUSCAR!$C$8="LICENCIA EMISION",$L1913,IF(BUSCAR!$C$8="LICENCIA EXPIRA",$M1913,""))))</f>
      </c>
      <c r="AG1913" s="42">
        <f>IF($B1913&amp;$C1913&amp;$D1913&amp;$E1913&amp;$H1913="",0,IF(AND(OR(BUSCAR!$J$5="",ISNUMBER(SEARCH(BUSCAR!$J$5,$AI1913))),OR(BUSCAR!$J$6="",ISNUMBER(SEARCH(BUSCAR!$J$6,$AI1913))),OR(BUSCAR!$J$8="",ISNUMBER(SEARCH(BUSCAR!$J$8,$AI1913))),OR(BUSCAR!$J$9="",ISNUMBER(SEARCH(BUSCAR!$J$9,$AI1913))),OR(NOT(BUSCAR!$J$2),AND(ISNUMBER($AF1913),$AF1913&gt;=BUSCAR!$J$3,$AF1913&lt;=BUSCAR!$J$4))),1,0))</f>
      </c>
      <c r="AH1913" s="42">
        <f t="shared" si="87"/>
      </c>
      <c r="AI1913" s="42">
        <f t="shared" si="88"/>
      </c>
    </row>
    <row r="1914" spans="1:35" x14ac:dyDescent="0.2">
      <c r="A1914" s="66">
        <f t="shared" si="89"/>
      </c>
      <c r="B1914" s="4"/>
      <c r="C1914" s="4"/>
      <c r="D1914" s="4"/>
      <c r="E1914" s="4"/>
      <c r="F1914" s="24"/>
      <c r="G1914" s="8"/>
      <c r="H1914" s="9"/>
      <c r="I1914" s="8"/>
      <c r="J1914" s="10"/>
      <c r="K1914" s="8"/>
      <c r="L1914" s="8"/>
      <c r="M1914" s="8"/>
      <c r="N1914" s="11"/>
      <c r="O1914" s="9"/>
      <c r="P1914" s="12"/>
      <c r="Q1914" s="9"/>
      <c r="R1914" s="13"/>
      <c r="S1914" s="11"/>
      <c r="T1914" s="11"/>
      <c r="U1914" s="9"/>
      <c r="V1914" s="9"/>
      <c r="W1914" s="9"/>
      <c r="X1914" s="16"/>
      <c r="AF1914" s="42">
        <f>IF(BUSCAR!$C$8="FECHA NAC.",$G1914,IF(BUSCAR!$C$8="PASAPORTE EXPIRA",$J1914,IF(BUSCAR!$C$8="LICENCIA EMISION",$L1914,IF(BUSCAR!$C$8="LICENCIA EXPIRA",$M1914,""))))</f>
      </c>
      <c r="AG1914" s="42">
        <f>IF($B1914&amp;$C1914&amp;$D1914&amp;$E1914&amp;$H1914="",0,IF(AND(OR(BUSCAR!$J$5="",ISNUMBER(SEARCH(BUSCAR!$J$5,$AI1914))),OR(BUSCAR!$J$6="",ISNUMBER(SEARCH(BUSCAR!$J$6,$AI1914))),OR(BUSCAR!$J$8="",ISNUMBER(SEARCH(BUSCAR!$J$8,$AI1914))),OR(BUSCAR!$J$9="",ISNUMBER(SEARCH(BUSCAR!$J$9,$AI1914))),OR(NOT(BUSCAR!$J$2),AND(ISNUMBER($AF1914),$AF1914&gt;=BUSCAR!$J$3,$AF1914&lt;=BUSCAR!$J$4))),1,0))</f>
      </c>
      <c r="AH1914" s="42">
        <f t="shared" si="87"/>
      </c>
      <c r="AI1914" s="42">
        <f t="shared" si="88"/>
      </c>
    </row>
    <row r="1915" spans="1:35" x14ac:dyDescent="0.2">
      <c r="A1915" s="66">
        <f t="shared" si="89"/>
      </c>
      <c r="B1915" s="4"/>
      <c r="C1915" s="4"/>
      <c r="D1915" s="4"/>
      <c r="E1915" s="4"/>
      <c r="F1915" s="24"/>
      <c r="G1915" s="8"/>
      <c r="H1915" s="9"/>
      <c r="I1915" s="8"/>
      <c r="J1915" s="10"/>
      <c r="K1915" s="8"/>
      <c r="L1915" s="8"/>
      <c r="M1915" s="8"/>
      <c r="N1915" s="11"/>
      <c r="O1915" s="9"/>
      <c r="P1915" s="12"/>
      <c r="Q1915" s="9"/>
      <c r="R1915" s="13"/>
      <c r="S1915" s="11"/>
      <c r="T1915" s="11"/>
      <c r="U1915" s="9"/>
      <c r="V1915" s="9"/>
      <c r="W1915" s="9"/>
      <c r="X1915" s="16"/>
      <c r="AF1915" s="42">
        <f>IF(BUSCAR!$C$8="FECHA NAC.",$G1915,IF(BUSCAR!$C$8="PASAPORTE EXPIRA",$J1915,IF(BUSCAR!$C$8="LICENCIA EMISION",$L1915,IF(BUSCAR!$C$8="LICENCIA EXPIRA",$M1915,""))))</f>
      </c>
      <c r="AG1915" s="42">
        <f>IF($B1915&amp;$C1915&amp;$D1915&amp;$E1915&amp;$H1915="",0,IF(AND(OR(BUSCAR!$J$5="",ISNUMBER(SEARCH(BUSCAR!$J$5,$AI1915))),OR(BUSCAR!$J$6="",ISNUMBER(SEARCH(BUSCAR!$J$6,$AI1915))),OR(BUSCAR!$J$8="",ISNUMBER(SEARCH(BUSCAR!$J$8,$AI1915))),OR(BUSCAR!$J$9="",ISNUMBER(SEARCH(BUSCAR!$J$9,$AI1915))),OR(NOT(BUSCAR!$J$2),AND(ISNUMBER($AF1915),$AF1915&gt;=BUSCAR!$J$3,$AF1915&lt;=BUSCAR!$J$4))),1,0))</f>
      </c>
      <c r="AH1915" s="42">
        <f t="shared" si="87"/>
      </c>
      <c r="AI1915" s="42">
        <f t="shared" si="88"/>
      </c>
    </row>
    <row r="1916" spans="1:35" x14ac:dyDescent="0.2">
      <c r="A1916" s="66">
        <f t="shared" si="89"/>
      </c>
      <c r="B1916" s="4"/>
      <c r="C1916" s="4"/>
      <c r="D1916" s="4"/>
      <c r="E1916" s="4"/>
      <c r="F1916" s="24"/>
      <c r="G1916" s="8"/>
      <c r="H1916" s="9"/>
      <c r="I1916" s="8"/>
      <c r="J1916" s="10"/>
      <c r="K1916" s="8"/>
      <c r="L1916" s="8"/>
      <c r="M1916" s="8"/>
      <c r="N1916" s="11"/>
      <c r="O1916" s="9"/>
      <c r="P1916" s="12"/>
      <c r="Q1916" s="9"/>
      <c r="R1916" s="13"/>
      <c r="S1916" s="11"/>
      <c r="T1916" s="11"/>
      <c r="U1916" s="9"/>
      <c r="V1916" s="9"/>
      <c r="W1916" s="9"/>
      <c r="X1916" s="16"/>
      <c r="AF1916" s="42">
        <f>IF(BUSCAR!$C$8="FECHA NAC.",$G1916,IF(BUSCAR!$C$8="PASAPORTE EXPIRA",$J1916,IF(BUSCAR!$C$8="LICENCIA EMISION",$L1916,IF(BUSCAR!$C$8="LICENCIA EXPIRA",$M1916,""))))</f>
      </c>
      <c r="AG1916" s="42">
        <f>IF($B1916&amp;$C1916&amp;$D1916&amp;$E1916&amp;$H1916="",0,IF(AND(OR(BUSCAR!$J$5="",ISNUMBER(SEARCH(BUSCAR!$J$5,$AI1916))),OR(BUSCAR!$J$6="",ISNUMBER(SEARCH(BUSCAR!$J$6,$AI1916))),OR(BUSCAR!$J$8="",ISNUMBER(SEARCH(BUSCAR!$J$8,$AI1916))),OR(BUSCAR!$J$9="",ISNUMBER(SEARCH(BUSCAR!$J$9,$AI1916))),OR(NOT(BUSCAR!$J$2),AND(ISNUMBER($AF1916),$AF1916&gt;=BUSCAR!$J$3,$AF1916&lt;=BUSCAR!$J$4))),1,0))</f>
      </c>
      <c r="AH1916" s="42">
        <f t="shared" si="87"/>
      </c>
      <c r="AI1916" s="42">
        <f t="shared" si="88"/>
      </c>
    </row>
    <row r="1917" spans="1:35" x14ac:dyDescent="0.2">
      <c r="A1917" s="66">
        <f t="shared" si="89"/>
      </c>
      <c r="B1917" s="4"/>
      <c r="C1917" s="4"/>
      <c r="D1917" s="4"/>
      <c r="E1917" s="4"/>
      <c r="F1917" s="24"/>
      <c r="G1917" s="8"/>
      <c r="H1917" s="9"/>
      <c r="I1917" s="8"/>
      <c r="J1917" s="10"/>
      <c r="K1917" s="8"/>
      <c r="L1917" s="8"/>
      <c r="M1917" s="8"/>
      <c r="N1917" s="11"/>
      <c r="O1917" s="9"/>
      <c r="P1917" s="12"/>
      <c r="Q1917" s="9"/>
      <c r="R1917" s="13"/>
      <c r="S1917" s="11"/>
      <c r="T1917" s="11"/>
      <c r="U1917" s="9"/>
      <c r="V1917" s="9"/>
      <c r="W1917" s="9"/>
      <c r="X1917" s="16"/>
      <c r="AF1917" s="42">
        <f>IF(BUSCAR!$C$8="FECHA NAC.",$G1917,IF(BUSCAR!$C$8="PASAPORTE EXPIRA",$J1917,IF(BUSCAR!$C$8="LICENCIA EMISION",$L1917,IF(BUSCAR!$C$8="LICENCIA EXPIRA",$M1917,""))))</f>
      </c>
      <c r="AG1917" s="42">
        <f>IF($B1917&amp;$C1917&amp;$D1917&amp;$E1917&amp;$H1917="",0,IF(AND(OR(BUSCAR!$J$5="",ISNUMBER(SEARCH(BUSCAR!$J$5,$AI1917))),OR(BUSCAR!$J$6="",ISNUMBER(SEARCH(BUSCAR!$J$6,$AI1917))),OR(BUSCAR!$J$8="",ISNUMBER(SEARCH(BUSCAR!$J$8,$AI1917))),OR(BUSCAR!$J$9="",ISNUMBER(SEARCH(BUSCAR!$J$9,$AI1917))),OR(NOT(BUSCAR!$J$2),AND(ISNUMBER($AF1917),$AF1917&gt;=BUSCAR!$J$3,$AF1917&lt;=BUSCAR!$J$4))),1,0))</f>
      </c>
      <c r="AH1917" s="42">
        <f t="shared" si="87"/>
      </c>
      <c r="AI1917" s="42">
        <f t="shared" si="88"/>
      </c>
    </row>
    <row r="1918" spans="1:35" x14ac:dyDescent="0.2">
      <c r="A1918" s="66">
        <f t="shared" si="89"/>
      </c>
      <c r="B1918" s="4"/>
      <c r="C1918" s="4"/>
      <c r="D1918" s="4"/>
      <c r="E1918" s="4"/>
      <c r="F1918" s="24"/>
      <c r="G1918" s="8"/>
      <c r="H1918" s="9"/>
      <c r="I1918" s="8"/>
      <c r="J1918" s="10"/>
      <c r="K1918" s="8"/>
      <c r="L1918" s="8"/>
      <c r="M1918" s="8"/>
      <c r="N1918" s="11"/>
      <c r="O1918" s="9"/>
      <c r="P1918" s="12"/>
      <c r="Q1918" s="9"/>
      <c r="R1918" s="13"/>
      <c r="S1918" s="11"/>
      <c r="T1918" s="11"/>
      <c r="U1918" s="9"/>
      <c r="V1918" s="9"/>
      <c r="W1918" s="9"/>
      <c r="X1918" s="16"/>
      <c r="AF1918" s="42">
        <f>IF(BUSCAR!$C$8="FECHA NAC.",$G1918,IF(BUSCAR!$C$8="PASAPORTE EXPIRA",$J1918,IF(BUSCAR!$C$8="LICENCIA EMISION",$L1918,IF(BUSCAR!$C$8="LICENCIA EXPIRA",$M1918,""))))</f>
      </c>
      <c r="AG1918" s="42">
        <f>IF($B1918&amp;$C1918&amp;$D1918&amp;$E1918&amp;$H1918="",0,IF(AND(OR(BUSCAR!$J$5="",ISNUMBER(SEARCH(BUSCAR!$J$5,$AI1918))),OR(BUSCAR!$J$6="",ISNUMBER(SEARCH(BUSCAR!$J$6,$AI1918))),OR(BUSCAR!$J$8="",ISNUMBER(SEARCH(BUSCAR!$J$8,$AI1918))),OR(BUSCAR!$J$9="",ISNUMBER(SEARCH(BUSCAR!$J$9,$AI1918))),OR(NOT(BUSCAR!$J$2),AND(ISNUMBER($AF1918),$AF1918&gt;=BUSCAR!$J$3,$AF1918&lt;=BUSCAR!$J$4))),1,0))</f>
      </c>
      <c r="AH1918" s="42">
        <f t="shared" si="87"/>
      </c>
      <c r="AI1918" s="42">
        <f t="shared" si="88"/>
      </c>
    </row>
    <row r="1919" spans="1:35" x14ac:dyDescent="0.2">
      <c r="A1919" s="66">
        <f t="shared" si="89"/>
      </c>
      <c r="B1919" s="4"/>
      <c r="C1919" s="4"/>
      <c r="D1919" s="4"/>
      <c r="E1919" s="4"/>
      <c r="F1919" s="24"/>
      <c r="G1919" s="8"/>
      <c r="H1919" s="9"/>
      <c r="I1919" s="8"/>
      <c r="J1919" s="10"/>
      <c r="K1919" s="8"/>
      <c r="L1919" s="8"/>
      <c r="M1919" s="8"/>
      <c r="N1919" s="11"/>
      <c r="O1919" s="9"/>
      <c r="P1919" s="12"/>
      <c r="Q1919" s="9"/>
      <c r="R1919" s="13"/>
      <c r="S1919" s="11"/>
      <c r="T1919" s="11"/>
      <c r="U1919" s="9"/>
      <c r="V1919" s="9"/>
      <c r="W1919" s="9"/>
      <c r="X1919" s="16"/>
      <c r="AF1919" s="42">
        <f>IF(BUSCAR!$C$8="FECHA NAC.",$G1919,IF(BUSCAR!$C$8="PASAPORTE EXPIRA",$J1919,IF(BUSCAR!$C$8="LICENCIA EMISION",$L1919,IF(BUSCAR!$C$8="LICENCIA EXPIRA",$M1919,""))))</f>
      </c>
      <c r="AG1919" s="42">
        <f>IF($B1919&amp;$C1919&amp;$D1919&amp;$E1919&amp;$H1919="",0,IF(AND(OR(BUSCAR!$J$5="",ISNUMBER(SEARCH(BUSCAR!$J$5,$AI1919))),OR(BUSCAR!$J$6="",ISNUMBER(SEARCH(BUSCAR!$J$6,$AI1919))),OR(BUSCAR!$J$8="",ISNUMBER(SEARCH(BUSCAR!$J$8,$AI1919))),OR(BUSCAR!$J$9="",ISNUMBER(SEARCH(BUSCAR!$J$9,$AI1919))),OR(NOT(BUSCAR!$J$2),AND(ISNUMBER($AF1919),$AF1919&gt;=BUSCAR!$J$3,$AF1919&lt;=BUSCAR!$J$4))),1,0))</f>
      </c>
      <c r="AH1919" s="42">
        <f t="shared" si="87"/>
      </c>
      <c r="AI1919" s="42">
        <f t="shared" si="88"/>
      </c>
    </row>
    <row r="1920" spans="1:35" x14ac:dyDescent="0.2">
      <c r="A1920" s="66">
        <f t="shared" si="89"/>
      </c>
      <c r="B1920" s="4"/>
      <c r="C1920" s="4"/>
      <c r="D1920" s="4"/>
      <c r="E1920" s="4"/>
      <c r="F1920" s="24"/>
      <c r="G1920" s="8"/>
      <c r="H1920" s="9"/>
      <c r="I1920" s="8"/>
      <c r="J1920" s="10"/>
      <c r="K1920" s="8"/>
      <c r="L1920" s="8"/>
      <c r="M1920" s="8"/>
      <c r="N1920" s="11"/>
      <c r="O1920" s="9"/>
      <c r="P1920" s="12"/>
      <c r="Q1920" s="9"/>
      <c r="R1920" s="13"/>
      <c r="S1920" s="11"/>
      <c r="T1920" s="11"/>
      <c r="U1920" s="9"/>
      <c r="V1920" s="9"/>
      <c r="W1920" s="9"/>
      <c r="X1920" s="16"/>
      <c r="AF1920" s="42">
        <f>IF(BUSCAR!$C$8="FECHA NAC.",$G1920,IF(BUSCAR!$C$8="PASAPORTE EXPIRA",$J1920,IF(BUSCAR!$C$8="LICENCIA EMISION",$L1920,IF(BUSCAR!$C$8="LICENCIA EXPIRA",$M1920,""))))</f>
      </c>
      <c r="AG1920" s="42">
        <f>IF($B1920&amp;$C1920&amp;$D1920&amp;$E1920&amp;$H1920="",0,IF(AND(OR(BUSCAR!$J$5="",ISNUMBER(SEARCH(BUSCAR!$J$5,$AI1920))),OR(BUSCAR!$J$6="",ISNUMBER(SEARCH(BUSCAR!$J$6,$AI1920))),OR(BUSCAR!$J$8="",ISNUMBER(SEARCH(BUSCAR!$J$8,$AI1920))),OR(BUSCAR!$J$9="",ISNUMBER(SEARCH(BUSCAR!$J$9,$AI1920))),OR(NOT(BUSCAR!$J$2),AND(ISNUMBER($AF1920),$AF1920&gt;=BUSCAR!$J$3,$AF1920&lt;=BUSCAR!$J$4))),1,0))</f>
      </c>
      <c r="AH1920" s="42">
        <f t="shared" si="87"/>
      </c>
      <c r="AI1920" s="42">
        <f t="shared" si="88"/>
      </c>
    </row>
    <row r="1921" spans="1:35" x14ac:dyDescent="0.2">
      <c r="A1921" s="66">
        <f t="shared" si="89"/>
      </c>
      <c r="B1921" s="4"/>
      <c r="C1921" s="4"/>
      <c r="D1921" s="4"/>
      <c r="E1921" s="4"/>
      <c r="F1921" s="24"/>
      <c r="G1921" s="8"/>
      <c r="H1921" s="9"/>
      <c r="I1921" s="8"/>
      <c r="J1921" s="10"/>
      <c r="K1921" s="8"/>
      <c r="L1921" s="8"/>
      <c r="M1921" s="8"/>
      <c r="N1921" s="11"/>
      <c r="O1921" s="9"/>
      <c r="P1921" s="12"/>
      <c r="Q1921" s="9"/>
      <c r="R1921" s="13"/>
      <c r="S1921" s="11"/>
      <c r="T1921" s="11"/>
      <c r="U1921" s="9"/>
      <c r="V1921" s="9"/>
      <c r="W1921" s="9"/>
      <c r="X1921" s="16"/>
      <c r="AF1921" s="42">
        <f>IF(BUSCAR!$C$8="FECHA NAC.",$G1921,IF(BUSCAR!$C$8="PASAPORTE EXPIRA",$J1921,IF(BUSCAR!$C$8="LICENCIA EMISION",$L1921,IF(BUSCAR!$C$8="LICENCIA EXPIRA",$M1921,""))))</f>
      </c>
      <c r="AG1921" s="42">
        <f>IF($B1921&amp;$C1921&amp;$D1921&amp;$E1921&amp;$H1921="",0,IF(AND(OR(BUSCAR!$J$5="",ISNUMBER(SEARCH(BUSCAR!$J$5,$AI1921))),OR(BUSCAR!$J$6="",ISNUMBER(SEARCH(BUSCAR!$J$6,$AI1921))),OR(BUSCAR!$J$8="",ISNUMBER(SEARCH(BUSCAR!$J$8,$AI1921))),OR(BUSCAR!$J$9="",ISNUMBER(SEARCH(BUSCAR!$J$9,$AI1921))),OR(NOT(BUSCAR!$J$2),AND(ISNUMBER($AF1921),$AF1921&gt;=BUSCAR!$J$3,$AF1921&lt;=BUSCAR!$J$4))),1,0))</f>
      </c>
      <c r="AH1921" s="42">
        <f t="shared" si="87"/>
      </c>
      <c r="AI1921" s="42">
        <f t="shared" si="88"/>
      </c>
    </row>
    <row r="1922" spans="1:35" x14ac:dyDescent="0.2">
      <c r="A1922" s="66">
        <f t="shared" si="89"/>
      </c>
      <c r="B1922" s="4"/>
      <c r="C1922" s="4"/>
      <c r="D1922" s="4"/>
      <c r="E1922" s="4"/>
      <c r="F1922" s="24"/>
      <c r="G1922" s="8"/>
      <c r="H1922" s="9"/>
      <c r="I1922" s="8"/>
      <c r="J1922" s="10"/>
      <c r="K1922" s="8"/>
      <c r="L1922" s="8"/>
      <c r="M1922" s="8"/>
      <c r="N1922" s="11"/>
      <c r="O1922" s="9"/>
      <c r="P1922" s="12"/>
      <c r="Q1922" s="9"/>
      <c r="R1922" s="13"/>
      <c r="S1922" s="11"/>
      <c r="T1922" s="11"/>
      <c r="U1922" s="9"/>
      <c r="V1922" s="9"/>
      <c r="W1922" s="9"/>
      <c r="X1922" s="16"/>
      <c r="AF1922" s="42">
        <f>IF(BUSCAR!$C$8="FECHA NAC.",$G1922,IF(BUSCAR!$C$8="PASAPORTE EXPIRA",$J1922,IF(BUSCAR!$C$8="LICENCIA EMISION",$L1922,IF(BUSCAR!$C$8="LICENCIA EXPIRA",$M1922,""))))</f>
      </c>
      <c r="AG1922" s="42">
        <f>IF($B1922&amp;$C1922&amp;$D1922&amp;$E1922&amp;$H1922="",0,IF(AND(OR(BUSCAR!$J$5="",ISNUMBER(SEARCH(BUSCAR!$J$5,$AI1922))),OR(BUSCAR!$J$6="",ISNUMBER(SEARCH(BUSCAR!$J$6,$AI1922))),OR(BUSCAR!$J$8="",ISNUMBER(SEARCH(BUSCAR!$J$8,$AI1922))),OR(BUSCAR!$J$9="",ISNUMBER(SEARCH(BUSCAR!$J$9,$AI1922))),OR(NOT(BUSCAR!$J$2),AND(ISNUMBER($AF1922),$AF1922&gt;=BUSCAR!$J$3,$AF1922&lt;=BUSCAR!$J$4))),1,0))</f>
      </c>
      <c r="AH1922" s="42">
        <f t="shared" si="87"/>
      </c>
      <c r="AI1922" s="42">
        <f t="shared" si="88"/>
      </c>
    </row>
    <row r="1923" spans="1:35" x14ac:dyDescent="0.2">
      <c r="A1923" s="66">
        <f t="shared" si="89"/>
      </c>
      <c r="B1923" s="4"/>
      <c r="C1923" s="4"/>
      <c r="D1923" s="4"/>
      <c r="E1923" s="4"/>
      <c r="F1923" s="24"/>
      <c r="G1923" s="8"/>
      <c r="H1923" s="9"/>
      <c r="I1923" s="8"/>
      <c r="J1923" s="10"/>
      <c r="K1923" s="8"/>
      <c r="L1923" s="8"/>
      <c r="M1923" s="8"/>
      <c r="N1923" s="11"/>
      <c r="O1923" s="9"/>
      <c r="P1923" s="12"/>
      <c r="Q1923" s="9"/>
      <c r="R1923" s="13"/>
      <c r="S1923" s="11"/>
      <c r="T1923" s="11"/>
      <c r="U1923" s="9"/>
      <c r="V1923" s="9"/>
      <c r="W1923" s="9"/>
      <c r="X1923" s="16"/>
      <c r="AF1923" s="42">
        <f>IF(BUSCAR!$C$8="FECHA NAC.",$G1923,IF(BUSCAR!$C$8="PASAPORTE EXPIRA",$J1923,IF(BUSCAR!$C$8="LICENCIA EMISION",$L1923,IF(BUSCAR!$C$8="LICENCIA EXPIRA",$M1923,""))))</f>
      </c>
      <c r="AG1923" s="42">
        <f>IF($B1923&amp;$C1923&amp;$D1923&amp;$E1923&amp;$H1923="",0,IF(AND(OR(BUSCAR!$J$5="",ISNUMBER(SEARCH(BUSCAR!$J$5,$AI1923))),OR(BUSCAR!$J$6="",ISNUMBER(SEARCH(BUSCAR!$J$6,$AI1923))),OR(BUSCAR!$J$8="",ISNUMBER(SEARCH(BUSCAR!$J$8,$AI1923))),OR(BUSCAR!$J$9="",ISNUMBER(SEARCH(BUSCAR!$J$9,$AI1923))),OR(NOT(BUSCAR!$J$2),AND(ISNUMBER($AF1923),$AF1923&gt;=BUSCAR!$J$3,$AF1923&lt;=BUSCAR!$J$4))),1,0))</f>
      </c>
      <c r="AH1923" s="42">
        <f t="shared" ref="AH1923:AH1986" si="90">AH1922+AG1923</f>
      </c>
      <c r="AI1923" s="42">
        <f t="shared" ref="AI1923:AI1986" si="91">IF($B1923&amp;" "&amp;$C1923&amp;" "&amp;$D1923&amp;" "&amp;$E1923&amp;" "&amp;$H1923&amp;" "&amp;$K1923&amp;" "&amp;$R1923&amp;" "&amp;$AC1923&amp;" "&amp;$AD1923="","",SUBSTITUTE(SUBSTITUTE(SUBSTITUTE(SUBSTITUTE(SUBSTITUTE(SUBSTITUTE(SUBSTITUTE(UPPER($B1923&amp;" "&amp;$C1923&amp;" "&amp;$D1923&amp;" "&amp;$E1923&amp;" "&amp;$H1923&amp;" "&amp;$K1923&amp;" "&amp;$R1923&amp;" "&amp;$AC1923&amp;" "&amp;$AD1923),"Á","A"),"É","E"),"Í","I"),"Ó","O"),"Ú","U"),"Ü","U"),"Ñ","N"))</f>
      </c>
    </row>
    <row r="1924" spans="1:35" x14ac:dyDescent="0.2">
      <c r="A1924" s="66">
        <f t="shared" ref="A1924:A1987" si="92">A1923+1</f>
      </c>
      <c r="B1924" s="4"/>
      <c r="C1924" s="4"/>
      <c r="D1924" s="4"/>
      <c r="E1924" s="4"/>
      <c r="F1924" s="24"/>
      <c r="G1924" s="8"/>
      <c r="H1924" s="9"/>
      <c r="I1924" s="8"/>
      <c r="J1924" s="10"/>
      <c r="K1924" s="8"/>
      <c r="L1924" s="8"/>
      <c r="M1924" s="8"/>
      <c r="N1924" s="11"/>
      <c r="O1924" s="9"/>
      <c r="P1924" s="12"/>
      <c r="Q1924" s="9"/>
      <c r="R1924" s="13"/>
      <c r="S1924" s="11"/>
      <c r="T1924" s="11"/>
      <c r="U1924" s="9"/>
      <c r="V1924" s="9"/>
      <c r="W1924" s="9"/>
      <c r="X1924" s="16"/>
      <c r="AF1924" s="42">
        <f>IF(BUSCAR!$C$8="FECHA NAC.",$G1924,IF(BUSCAR!$C$8="PASAPORTE EXPIRA",$J1924,IF(BUSCAR!$C$8="LICENCIA EMISION",$L1924,IF(BUSCAR!$C$8="LICENCIA EXPIRA",$M1924,""))))</f>
      </c>
      <c r="AG1924" s="42">
        <f>IF($B1924&amp;$C1924&amp;$D1924&amp;$E1924&amp;$H1924="",0,IF(AND(OR(BUSCAR!$J$5="",ISNUMBER(SEARCH(BUSCAR!$J$5,$AI1924))),OR(BUSCAR!$J$6="",ISNUMBER(SEARCH(BUSCAR!$J$6,$AI1924))),OR(BUSCAR!$J$8="",ISNUMBER(SEARCH(BUSCAR!$J$8,$AI1924))),OR(BUSCAR!$J$9="",ISNUMBER(SEARCH(BUSCAR!$J$9,$AI1924))),OR(NOT(BUSCAR!$J$2),AND(ISNUMBER($AF1924),$AF1924&gt;=BUSCAR!$J$3,$AF1924&lt;=BUSCAR!$J$4))),1,0))</f>
      </c>
      <c r="AH1924" s="42">
        <f t="shared" si="90"/>
      </c>
      <c r="AI1924" s="42">
        <f t="shared" si="91"/>
      </c>
    </row>
    <row r="1925" spans="1:35" x14ac:dyDescent="0.2">
      <c r="A1925" s="66">
        <f t="shared" si="92"/>
      </c>
      <c r="B1925" s="4"/>
      <c r="C1925" s="4"/>
      <c r="D1925" s="4"/>
      <c r="E1925" s="4"/>
      <c r="F1925" s="24"/>
      <c r="G1925" s="8"/>
      <c r="H1925" s="9"/>
      <c r="I1925" s="8"/>
      <c r="J1925" s="10"/>
      <c r="K1925" s="8"/>
      <c r="L1925" s="8"/>
      <c r="M1925" s="8"/>
      <c r="N1925" s="11"/>
      <c r="O1925" s="9"/>
      <c r="P1925" s="12"/>
      <c r="Q1925" s="9"/>
      <c r="R1925" s="13"/>
      <c r="S1925" s="11"/>
      <c r="T1925" s="11"/>
      <c r="U1925" s="9"/>
      <c r="V1925" s="9"/>
      <c r="W1925" s="9"/>
      <c r="X1925" s="16"/>
      <c r="AF1925" s="42">
        <f>IF(BUSCAR!$C$8="FECHA NAC.",$G1925,IF(BUSCAR!$C$8="PASAPORTE EXPIRA",$J1925,IF(BUSCAR!$C$8="LICENCIA EMISION",$L1925,IF(BUSCAR!$C$8="LICENCIA EXPIRA",$M1925,""))))</f>
      </c>
      <c r="AG1925" s="42">
        <f>IF($B1925&amp;$C1925&amp;$D1925&amp;$E1925&amp;$H1925="",0,IF(AND(OR(BUSCAR!$J$5="",ISNUMBER(SEARCH(BUSCAR!$J$5,$AI1925))),OR(BUSCAR!$J$6="",ISNUMBER(SEARCH(BUSCAR!$J$6,$AI1925))),OR(BUSCAR!$J$8="",ISNUMBER(SEARCH(BUSCAR!$J$8,$AI1925))),OR(BUSCAR!$J$9="",ISNUMBER(SEARCH(BUSCAR!$J$9,$AI1925))),OR(NOT(BUSCAR!$J$2),AND(ISNUMBER($AF1925),$AF1925&gt;=BUSCAR!$J$3,$AF1925&lt;=BUSCAR!$J$4))),1,0))</f>
      </c>
      <c r="AH1925" s="42">
        <f t="shared" si="90"/>
      </c>
      <c r="AI1925" s="42">
        <f t="shared" si="91"/>
      </c>
    </row>
    <row r="1926" spans="1:35" x14ac:dyDescent="0.2">
      <c r="A1926" s="66">
        <f t="shared" si="92"/>
      </c>
      <c r="B1926" s="4"/>
      <c r="C1926" s="4"/>
      <c r="D1926" s="4"/>
      <c r="E1926" s="4"/>
      <c r="F1926" s="24"/>
      <c r="G1926" s="8"/>
      <c r="H1926" s="9"/>
      <c r="I1926" s="8"/>
      <c r="J1926" s="10"/>
      <c r="K1926" s="8"/>
      <c r="L1926" s="8"/>
      <c r="M1926" s="8"/>
      <c r="N1926" s="11"/>
      <c r="O1926" s="9"/>
      <c r="P1926" s="12"/>
      <c r="Q1926" s="9"/>
      <c r="R1926" s="13"/>
      <c r="S1926" s="11"/>
      <c r="T1926" s="11"/>
      <c r="U1926" s="9"/>
      <c r="V1926" s="9"/>
      <c r="W1926" s="9"/>
      <c r="X1926" s="16"/>
      <c r="AF1926" s="42">
        <f>IF(BUSCAR!$C$8="FECHA NAC.",$G1926,IF(BUSCAR!$C$8="PASAPORTE EXPIRA",$J1926,IF(BUSCAR!$C$8="LICENCIA EMISION",$L1926,IF(BUSCAR!$C$8="LICENCIA EXPIRA",$M1926,""))))</f>
      </c>
      <c r="AG1926" s="42">
        <f>IF($B1926&amp;$C1926&amp;$D1926&amp;$E1926&amp;$H1926="",0,IF(AND(OR(BUSCAR!$J$5="",ISNUMBER(SEARCH(BUSCAR!$J$5,$AI1926))),OR(BUSCAR!$J$6="",ISNUMBER(SEARCH(BUSCAR!$J$6,$AI1926))),OR(BUSCAR!$J$8="",ISNUMBER(SEARCH(BUSCAR!$J$8,$AI1926))),OR(BUSCAR!$J$9="",ISNUMBER(SEARCH(BUSCAR!$J$9,$AI1926))),OR(NOT(BUSCAR!$J$2),AND(ISNUMBER($AF1926),$AF1926&gt;=BUSCAR!$J$3,$AF1926&lt;=BUSCAR!$J$4))),1,0))</f>
      </c>
      <c r="AH1926" s="42">
        <f t="shared" si="90"/>
      </c>
      <c r="AI1926" s="42">
        <f t="shared" si="91"/>
      </c>
    </row>
    <row r="1927" spans="1:35" x14ac:dyDescent="0.2">
      <c r="A1927" s="66">
        <f t="shared" si="92"/>
      </c>
      <c r="B1927" s="4"/>
      <c r="C1927" s="4"/>
      <c r="D1927" s="4"/>
      <c r="E1927" s="4"/>
      <c r="F1927" s="24"/>
      <c r="G1927" s="8"/>
      <c r="H1927" s="9"/>
      <c r="I1927" s="8"/>
      <c r="J1927" s="10"/>
      <c r="K1927" s="8"/>
      <c r="L1927" s="8"/>
      <c r="M1927" s="8"/>
      <c r="N1927" s="11"/>
      <c r="O1927" s="9"/>
      <c r="P1927" s="12"/>
      <c r="Q1927" s="9"/>
      <c r="R1927" s="13"/>
      <c r="S1927" s="11"/>
      <c r="T1927" s="11"/>
      <c r="U1927" s="9"/>
      <c r="V1927" s="9"/>
      <c r="W1927" s="9"/>
      <c r="X1927" s="16"/>
      <c r="AF1927" s="42">
        <f>IF(BUSCAR!$C$8="FECHA NAC.",$G1927,IF(BUSCAR!$C$8="PASAPORTE EXPIRA",$J1927,IF(BUSCAR!$C$8="LICENCIA EMISION",$L1927,IF(BUSCAR!$C$8="LICENCIA EXPIRA",$M1927,""))))</f>
      </c>
      <c r="AG1927" s="42">
        <f>IF($B1927&amp;$C1927&amp;$D1927&amp;$E1927&amp;$H1927="",0,IF(AND(OR(BUSCAR!$J$5="",ISNUMBER(SEARCH(BUSCAR!$J$5,$AI1927))),OR(BUSCAR!$J$6="",ISNUMBER(SEARCH(BUSCAR!$J$6,$AI1927))),OR(BUSCAR!$J$8="",ISNUMBER(SEARCH(BUSCAR!$J$8,$AI1927))),OR(BUSCAR!$J$9="",ISNUMBER(SEARCH(BUSCAR!$J$9,$AI1927))),OR(NOT(BUSCAR!$J$2),AND(ISNUMBER($AF1927),$AF1927&gt;=BUSCAR!$J$3,$AF1927&lt;=BUSCAR!$J$4))),1,0))</f>
      </c>
      <c r="AH1927" s="42">
        <f t="shared" si="90"/>
      </c>
      <c r="AI1927" s="42">
        <f t="shared" si="91"/>
      </c>
    </row>
    <row r="1928" spans="1:35" x14ac:dyDescent="0.2">
      <c r="A1928" s="66">
        <f t="shared" si="92"/>
      </c>
      <c r="B1928" s="4"/>
      <c r="C1928" s="4"/>
      <c r="D1928" s="4"/>
      <c r="E1928" s="4"/>
      <c r="F1928" s="24"/>
      <c r="G1928" s="8"/>
      <c r="H1928" s="9"/>
      <c r="I1928" s="8"/>
      <c r="J1928" s="10"/>
      <c r="K1928" s="8"/>
      <c r="L1928" s="8"/>
      <c r="M1928" s="8"/>
      <c r="N1928" s="11"/>
      <c r="O1928" s="9"/>
      <c r="P1928" s="12"/>
      <c r="Q1928" s="9"/>
      <c r="R1928" s="13"/>
      <c r="S1928" s="11"/>
      <c r="T1928" s="11"/>
      <c r="U1928" s="9"/>
      <c r="V1928" s="9"/>
      <c r="W1928" s="9"/>
      <c r="X1928" s="16"/>
      <c r="AF1928" s="42">
        <f>IF(BUSCAR!$C$8="FECHA NAC.",$G1928,IF(BUSCAR!$C$8="PASAPORTE EXPIRA",$J1928,IF(BUSCAR!$C$8="LICENCIA EMISION",$L1928,IF(BUSCAR!$C$8="LICENCIA EXPIRA",$M1928,""))))</f>
      </c>
      <c r="AG1928" s="42">
        <f>IF($B1928&amp;$C1928&amp;$D1928&amp;$E1928&amp;$H1928="",0,IF(AND(OR(BUSCAR!$J$5="",ISNUMBER(SEARCH(BUSCAR!$J$5,$AI1928))),OR(BUSCAR!$J$6="",ISNUMBER(SEARCH(BUSCAR!$J$6,$AI1928))),OR(BUSCAR!$J$8="",ISNUMBER(SEARCH(BUSCAR!$J$8,$AI1928))),OR(BUSCAR!$J$9="",ISNUMBER(SEARCH(BUSCAR!$J$9,$AI1928))),OR(NOT(BUSCAR!$J$2),AND(ISNUMBER($AF1928),$AF1928&gt;=BUSCAR!$J$3,$AF1928&lt;=BUSCAR!$J$4))),1,0))</f>
      </c>
      <c r="AH1928" s="42">
        <f t="shared" si="90"/>
      </c>
      <c r="AI1928" s="42">
        <f t="shared" si="91"/>
      </c>
    </row>
    <row r="1929" spans="1:35" x14ac:dyDescent="0.2">
      <c r="A1929" s="66">
        <f t="shared" si="92"/>
      </c>
      <c r="B1929" s="4"/>
      <c r="C1929" s="4"/>
      <c r="D1929" s="4"/>
      <c r="E1929" s="4"/>
      <c r="F1929" s="24"/>
      <c r="G1929" s="8"/>
      <c r="H1929" s="9"/>
      <c r="I1929" s="8"/>
      <c r="J1929" s="10"/>
      <c r="K1929" s="8"/>
      <c r="L1929" s="8"/>
      <c r="M1929" s="8"/>
      <c r="N1929" s="11"/>
      <c r="O1929" s="9"/>
      <c r="P1929" s="12"/>
      <c r="Q1929" s="9"/>
      <c r="R1929" s="13"/>
      <c r="S1929" s="11"/>
      <c r="T1929" s="11"/>
      <c r="U1929" s="9"/>
      <c r="V1929" s="9"/>
      <c r="W1929" s="9"/>
      <c r="X1929" s="16"/>
      <c r="AF1929" s="42">
        <f>IF(BUSCAR!$C$8="FECHA NAC.",$G1929,IF(BUSCAR!$C$8="PASAPORTE EXPIRA",$J1929,IF(BUSCAR!$C$8="LICENCIA EMISION",$L1929,IF(BUSCAR!$C$8="LICENCIA EXPIRA",$M1929,""))))</f>
      </c>
      <c r="AG1929" s="42">
        <f>IF($B1929&amp;$C1929&amp;$D1929&amp;$E1929&amp;$H1929="",0,IF(AND(OR(BUSCAR!$J$5="",ISNUMBER(SEARCH(BUSCAR!$J$5,$AI1929))),OR(BUSCAR!$J$6="",ISNUMBER(SEARCH(BUSCAR!$J$6,$AI1929))),OR(BUSCAR!$J$8="",ISNUMBER(SEARCH(BUSCAR!$J$8,$AI1929))),OR(BUSCAR!$J$9="",ISNUMBER(SEARCH(BUSCAR!$J$9,$AI1929))),OR(NOT(BUSCAR!$J$2),AND(ISNUMBER($AF1929),$AF1929&gt;=BUSCAR!$J$3,$AF1929&lt;=BUSCAR!$J$4))),1,0))</f>
      </c>
      <c r="AH1929" s="42">
        <f t="shared" si="90"/>
      </c>
      <c r="AI1929" s="42">
        <f t="shared" si="91"/>
      </c>
    </row>
    <row r="1930" spans="1:35" x14ac:dyDescent="0.2">
      <c r="A1930" s="66">
        <f t="shared" si="92"/>
      </c>
      <c r="B1930" s="4"/>
      <c r="C1930" s="4"/>
      <c r="D1930" s="4"/>
      <c r="E1930" s="4"/>
      <c r="F1930" s="24"/>
      <c r="G1930" s="8"/>
      <c r="H1930" s="9"/>
      <c r="I1930" s="8"/>
      <c r="J1930" s="10"/>
      <c r="K1930" s="8"/>
      <c r="L1930" s="8"/>
      <c r="M1930" s="8"/>
      <c r="N1930" s="11"/>
      <c r="O1930" s="9"/>
      <c r="P1930" s="12"/>
      <c r="Q1930" s="9"/>
      <c r="R1930" s="13"/>
      <c r="S1930" s="11"/>
      <c r="T1930" s="11"/>
      <c r="U1930" s="9"/>
      <c r="V1930" s="9"/>
      <c r="W1930" s="9"/>
      <c r="X1930" s="16"/>
      <c r="AF1930" s="42">
        <f>IF(BUSCAR!$C$8="FECHA NAC.",$G1930,IF(BUSCAR!$C$8="PASAPORTE EXPIRA",$J1930,IF(BUSCAR!$C$8="LICENCIA EMISION",$L1930,IF(BUSCAR!$C$8="LICENCIA EXPIRA",$M1930,""))))</f>
      </c>
      <c r="AG1930" s="42">
        <f>IF($B1930&amp;$C1930&amp;$D1930&amp;$E1930&amp;$H1930="",0,IF(AND(OR(BUSCAR!$J$5="",ISNUMBER(SEARCH(BUSCAR!$J$5,$AI1930))),OR(BUSCAR!$J$6="",ISNUMBER(SEARCH(BUSCAR!$J$6,$AI1930))),OR(BUSCAR!$J$8="",ISNUMBER(SEARCH(BUSCAR!$J$8,$AI1930))),OR(BUSCAR!$J$9="",ISNUMBER(SEARCH(BUSCAR!$J$9,$AI1930))),OR(NOT(BUSCAR!$J$2),AND(ISNUMBER($AF1930),$AF1930&gt;=BUSCAR!$J$3,$AF1930&lt;=BUSCAR!$J$4))),1,0))</f>
      </c>
      <c r="AH1930" s="42">
        <f t="shared" si="90"/>
      </c>
      <c r="AI1930" s="42">
        <f t="shared" si="91"/>
      </c>
    </row>
    <row r="1931" spans="1:35" x14ac:dyDescent="0.2">
      <c r="A1931" s="66">
        <f t="shared" si="92"/>
      </c>
      <c r="B1931" s="4"/>
      <c r="C1931" s="4"/>
      <c r="D1931" s="4"/>
      <c r="E1931" s="4"/>
      <c r="F1931" s="24"/>
      <c r="G1931" s="8"/>
      <c r="H1931" s="9"/>
      <c r="I1931" s="8"/>
      <c r="J1931" s="10"/>
      <c r="K1931" s="8"/>
      <c r="L1931" s="8"/>
      <c r="M1931" s="8"/>
      <c r="N1931" s="11"/>
      <c r="O1931" s="9"/>
      <c r="P1931" s="12"/>
      <c r="Q1931" s="9"/>
      <c r="R1931" s="13"/>
      <c r="S1931" s="11"/>
      <c r="T1931" s="11"/>
      <c r="U1931" s="9"/>
      <c r="V1931" s="9"/>
      <c r="W1931" s="9"/>
      <c r="X1931" s="16"/>
      <c r="AF1931" s="42">
        <f>IF(BUSCAR!$C$8="FECHA NAC.",$G1931,IF(BUSCAR!$C$8="PASAPORTE EXPIRA",$J1931,IF(BUSCAR!$C$8="LICENCIA EMISION",$L1931,IF(BUSCAR!$C$8="LICENCIA EXPIRA",$M1931,""))))</f>
      </c>
      <c r="AG1931" s="42">
        <f>IF($B1931&amp;$C1931&amp;$D1931&amp;$E1931&amp;$H1931="",0,IF(AND(OR(BUSCAR!$J$5="",ISNUMBER(SEARCH(BUSCAR!$J$5,$AI1931))),OR(BUSCAR!$J$6="",ISNUMBER(SEARCH(BUSCAR!$J$6,$AI1931))),OR(BUSCAR!$J$8="",ISNUMBER(SEARCH(BUSCAR!$J$8,$AI1931))),OR(BUSCAR!$J$9="",ISNUMBER(SEARCH(BUSCAR!$J$9,$AI1931))),OR(NOT(BUSCAR!$J$2),AND(ISNUMBER($AF1931),$AF1931&gt;=BUSCAR!$J$3,$AF1931&lt;=BUSCAR!$J$4))),1,0))</f>
      </c>
      <c r="AH1931" s="42">
        <f t="shared" si="90"/>
      </c>
      <c r="AI1931" s="42">
        <f t="shared" si="91"/>
      </c>
    </row>
    <row r="1932" spans="1:35" x14ac:dyDescent="0.2">
      <c r="A1932" s="66">
        <f t="shared" si="92"/>
      </c>
      <c r="B1932" s="4"/>
      <c r="C1932" s="4"/>
      <c r="D1932" s="4"/>
      <c r="E1932" s="4"/>
      <c r="F1932" s="24"/>
      <c r="G1932" s="8"/>
      <c r="H1932" s="9"/>
      <c r="I1932" s="8"/>
      <c r="J1932" s="10"/>
      <c r="K1932" s="8"/>
      <c r="L1932" s="8"/>
      <c r="M1932" s="8"/>
      <c r="N1932" s="11"/>
      <c r="O1932" s="9"/>
      <c r="P1932" s="12"/>
      <c r="Q1932" s="9"/>
      <c r="R1932" s="13"/>
      <c r="S1932" s="11"/>
      <c r="T1932" s="11"/>
      <c r="U1932" s="9"/>
      <c r="V1932" s="9"/>
      <c r="W1932" s="9"/>
      <c r="X1932" s="16"/>
      <c r="AF1932" s="42">
        <f>IF(BUSCAR!$C$8="FECHA NAC.",$G1932,IF(BUSCAR!$C$8="PASAPORTE EXPIRA",$J1932,IF(BUSCAR!$C$8="LICENCIA EMISION",$L1932,IF(BUSCAR!$C$8="LICENCIA EXPIRA",$M1932,""))))</f>
      </c>
      <c r="AG1932" s="42">
        <f>IF($B1932&amp;$C1932&amp;$D1932&amp;$E1932&amp;$H1932="",0,IF(AND(OR(BUSCAR!$J$5="",ISNUMBER(SEARCH(BUSCAR!$J$5,$AI1932))),OR(BUSCAR!$J$6="",ISNUMBER(SEARCH(BUSCAR!$J$6,$AI1932))),OR(BUSCAR!$J$8="",ISNUMBER(SEARCH(BUSCAR!$J$8,$AI1932))),OR(BUSCAR!$J$9="",ISNUMBER(SEARCH(BUSCAR!$J$9,$AI1932))),OR(NOT(BUSCAR!$J$2),AND(ISNUMBER($AF1932),$AF1932&gt;=BUSCAR!$J$3,$AF1932&lt;=BUSCAR!$J$4))),1,0))</f>
      </c>
      <c r="AH1932" s="42">
        <f t="shared" si="90"/>
      </c>
      <c r="AI1932" s="42">
        <f t="shared" si="91"/>
      </c>
    </row>
    <row r="1933" spans="1:35" x14ac:dyDescent="0.2">
      <c r="A1933" s="66">
        <f t="shared" si="92"/>
      </c>
      <c r="B1933" s="4"/>
      <c r="C1933" s="4"/>
      <c r="D1933" s="4"/>
      <c r="E1933" s="4"/>
      <c r="F1933" s="24"/>
      <c r="G1933" s="8"/>
      <c r="H1933" s="9"/>
      <c r="I1933" s="8"/>
      <c r="J1933" s="10"/>
      <c r="K1933" s="8"/>
      <c r="L1933" s="8"/>
      <c r="M1933" s="8"/>
      <c r="N1933" s="11"/>
      <c r="O1933" s="9"/>
      <c r="P1933" s="12"/>
      <c r="Q1933" s="9"/>
      <c r="R1933" s="13"/>
      <c r="S1933" s="11"/>
      <c r="T1933" s="11"/>
      <c r="U1933" s="9"/>
      <c r="V1933" s="9"/>
      <c r="W1933" s="9"/>
      <c r="X1933" s="16"/>
      <c r="AF1933" s="42">
        <f>IF(BUSCAR!$C$8="FECHA NAC.",$G1933,IF(BUSCAR!$C$8="PASAPORTE EXPIRA",$J1933,IF(BUSCAR!$C$8="LICENCIA EMISION",$L1933,IF(BUSCAR!$C$8="LICENCIA EXPIRA",$M1933,""))))</f>
      </c>
      <c r="AG1933" s="42">
        <f>IF($B1933&amp;$C1933&amp;$D1933&amp;$E1933&amp;$H1933="",0,IF(AND(OR(BUSCAR!$J$5="",ISNUMBER(SEARCH(BUSCAR!$J$5,$AI1933))),OR(BUSCAR!$J$6="",ISNUMBER(SEARCH(BUSCAR!$J$6,$AI1933))),OR(BUSCAR!$J$8="",ISNUMBER(SEARCH(BUSCAR!$J$8,$AI1933))),OR(BUSCAR!$J$9="",ISNUMBER(SEARCH(BUSCAR!$J$9,$AI1933))),OR(NOT(BUSCAR!$J$2),AND(ISNUMBER($AF1933),$AF1933&gt;=BUSCAR!$J$3,$AF1933&lt;=BUSCAR!$J$4))),1,0))</f>
      </c>
      <c r="AH1933" s="42">
        <f t="shared" si="90"/>
      </c>
      <c r="AI1933" s="42">
        <f t="shared" si="91"/>
      </c>
    </row>
    <row r="1934" spans="1:35" x14ac:dyDescent="0.2">
      <c r="A1934" s="66">
        <f t="shared" si="92"/>
      </c>
      <c r="B1934" s="4"/>
      <c r="C1934" s="4"/>
      <c r="D1934" s="4"/>
      <c r="E1934" s="4"/>
      <c r="F1934" s="24"/>
      <c r="G1934" s="8"/>
      <c r="H1934" s="9"/>
      <c r="I1934" s="8"/>
      <c r="J1934" s="10"/>
      <c r="K1934" s="8"/>
      <c r="L1934" s="8"/>
      <c r="M1934" s="8"/>
      <c r="N1934" s="11"/>
      <c r="O1934" s="9"/>
      <c r="P1934" s="12"/>
      <c r="Q1934" s="9"/>
      <c r="R1934" s="13"/>
      <c r="S1934" s="11"/>
      <c r="T1934" s="11"/>
      <c r="U1934" s="9"/>
      <c r="V1934" s="9"/>
      <c r="W1934" s="9"/>
      <c r="X1934" s="16"/>
      <c r="AF1934" s="42">
        <f>IF(BUSCAR!$C$8="FECHA NAC.",$G1934,IF(BUSCAR!$C$8="PASAPORTE EXPIRA",$J1934,IF(BUSCAR!$C$8="LICENCIA EMISION",$L1934,IF(BUSCAR!$C$8="LICENCIA EXPIRA",$M1934,""))))</f>
      </c>
      <c r="AG1934" s="42">
        <f>IF($B1934&amp;$C1934&amp;$D1934&amp;$E1934&amp;$H1934="",0,IF(AND(OR(BUSCAR!$J$5="",ISNUMBER(SEARCH(BUSCAR!$J$5,$AI1934))),OR(BUSCAR!$J$6="",ISNUMBER(SEARCH(BUSCAR!$J$6,$AI1934))),OR(BUSCAR!$J$8="",ISNUMBER(SEARCH(BUSCAR!$J$8,$AI1934))),OR(BUSCAR!$J$9="",ISNUMBER(SEARCH(BUSCAR!$J$9,$AI1934))),OR(NOT(BUSCAR!$J$2),AND(ISNUMBER($AF1934),$AF1934&gt;=BUSCAR!$J$3,$AF1934&lt;=BUSCAR!$J$4))),1,0))</f>
      </c>
      <c r="AH1934" s="42">
        <f t="shared" si="90"/>
      </c>
      <c r="AI1934" s="42">
        <f t="shared" si="91"/>
      </c>
    </row>
    <row r="1935" spans="1:35" x14ac:dyDescent="0.2">
      <c r="A1935" s="66">
        <f t="shared" si="92"/>
      </c>
      <c r="B1935" s="4"/>
      <c r="C1935" s="4"/>
      <c r="D1935" s="4"/>
      <c r="E1935" s="4"/>
      <c r="F1935" s="24"/>
      <c r="G1935" s="8"/>
      <c r="H1935" s="9"/>
      <c r="I1935" s="8"/>
      <c r="J1935" s="10"/>
      <c r="K1935" s="8"/>
      <c r="L1935" s="8"/>
      <c r="M1935" s="8"/>
      <c r="N1935" s="11"/>
      <c r="O1935" s="9"/>
      <c r="P1935" s="12"/>
      <c r="Q1935" s="9"/>
      <c r="R1935" s="13"/>
      <c r="S1935" s="11"/>
      <c r="T1935" s="11"/>
      <c r="U1935" s="9"/>
      <c r="V1935" s="9"/>
      <c r="W1935" s="9"/>
      <c r="X1935" s="16"/>
      <c r="AF1935" s="42">
        <f>IF(BUSCAR!$C$8="FECHA NAC.",$G1935,IF(BUSCAR!$C$8="PASAPORTE EXPIRA",$J1935,IF(BUSCAR!$C$8="LICENCIA EMISION",$L1935,IF(BUSCAR!$C$8="LICENCIA EXPIRA",$M1935,""))))</f>
      </c>
      <c r="AG1935" s="42">
        <f>IF($B1935&amp;$C1935&amp;$D1935&amp;$E1935&amp;$H1935="",0,IF(AND(OR(BUSCAR!$J$5="",ISNUMBER(SEARCH(BUSCAR!$J$5,$AI1935))),OR(BUSCAR!$J$6="",ISNUMBER(SEARCH(BUSCAR!$J$6,$AI1935))),OR(BUSCAR!$J$8="",ISNUMBER(SEARCH(BUSCAR!$J$8,$AI1935))),OR(BUSCAR!$J$9="",ISNUMBER(SEARCH(BUSCAR!$J$9,$AI1935))),OR(NOT(BUSCAR!$J$2),AND(ISNUMBER($AF1935),$AF1935&gt;=BUSCAR!$J$3,$AF1935&lt;=BUSCAR!$J$4))),1,0))</f>
      </c>
      <c r="AH1935" s="42">
        <f t="shared" si="90"/>
      </c>
      <c r="AI1935" s="42">
        <f t="shared" si="91"/>
      </c>
    </row>
    <row r="1936" spans="1:35" x14ac:dyDescent="0.2">
      <c r="A1936" s="66">
        <f t="shared" si="92"/>
      </c>
      <c r="B1936" s="4"/>
      <c r="C1936" s="4"/>
      <c r="D1936" s="4"/>
      <c r="E1936" s="4"/>
      <c r="F1936" s="24"/>
      <c r="G1936" s="8"/>
      <c r="H1936" s="9"/>
      <c r="I1936" s="8"/>
      <c r="J1936" s="10"/>
      <c r="K1936" s="8"/>
      <c r="L1936" s="8"/>
      <c r="M1936" s="8"/>
      <c r="N1936" s="11"/>
      <c r="O1936" s="9"/>
      <c r="P1936" s="12"/>
      <c r="Q1936" s="9"/>
      <c r="R1936" s="13"/>
      <c r="S1936" s="11"/>
      <c r="T1936" s="11"/>
      <c r="U1936" s="9"/>
      <c r="V1936" s="9"/>
      <c r="W1936" s="9"/>
      <c r="X1936" s="16"/>
      <c r="AF1936" s="42">
        <f>IF(BUSCAR!$C$8="FECHA NAC.",$G1936,IF(BUSCAR!$C$8="PASAPORTE EXPIRA",$J1936,IF(BUSCAR!$C$8="LICENCIA EMISION",$L1936,IF(BUSCAR!$C$8="LICENCIA EXPIRA",$M1936,""))))</f>
      </c>
      <c r="AG1936" s="42">
        <f>IF($B1936&amp;$C1936&amp;$D1936&amp;$E1936&amp;$H1936="",0,IF(AND(OR(BUSCAR!$J$5="",ISNUMBER(SEARCH(BUSCAR!$J$5,$AI1936))),OR(BUSCAR!$J$6="",ISNUMBER(SEARCH(BUSCAR!$J$6,$AI1936))),OR(BUSCAR!$J$8="",ISNUMBER(SEARCH(BUSCAR!$J$8,$AI1936))),OR(BUSCAR!$J$9="",ISNUMBER(SEARCH(BUSCAR!$J$9,$AI1936))),OR(NOT(BUSCAR!$J$2),AND(ISNUMBER($AF1936),$AF1936&gt;=BUSCAR!$J$3,$AF1936&lt;=BUSCAR!$J$4))),1,0))</f>
      </c>
      <c r="AH1936" s="42">
        <f t="shared" si="90"/>
      </c>
      <c r="AI1936" s="42">
        <f t="shared" si="91"/>
      </c>
    </row>
    <row r="1937" spans="1:35" x14ac:dyDescent="0.2">
      <c r="A1937" s="66">
        <f t="shared" si="92"/>
      </c>
      <c r="B1937" s="4"/>
      <c r="C1937" s="4"/>
      <c r="D1937" s="4"/>
      <c r="E1937" s="4"/>
      <c r="F1937" s="24"/>
      <c r="G1937" s="8"/>
      <c r="H1937" s="9"/>
      <c r="I1937" s="8"/>
      <c r="J1937" s="10"/>
      <c r="K1937" s="8"/>
      <c r="L1937" s="8"/>
      <c r="M1937" s="8"/>
      <c r="N1937" s="11"/>
      <c r="O1937" s="9"/>
      <c r="P1937" s="12"/>
      <c r="Q1937" s="9"/>
      <c r="R1937" s="13"/>
      <c r="S1937" s="11"/>
      <c r="T1937" s="11"/>
      <c r="U1937" s="9"/>
      <c r="V1937" s="9"/>
      <c r="W1937" s="9"/>
      <c r="X1937" s="16"/>
      <c r="AF1937" s="42">
        <f>IF(BUSCAR!$C$8="FECHA NAC.",$G1937,IF(BUSCAR!$C$8="PASAPORTE EXPIRA",$J1937,IF(BUSCAR!$C$8="LICENCIA EMISION",$L1937,IF(BUSCAR!$C$8="LICENCIA EXPIRA",$M1937,""))))</f>
      </c>
      <c r="AG1937" s="42">
        <f>IF($B1937&amp;$C1937&amp;$D1937&amp;$E1937&amp;$H1937="",0,IF(AND(OR(BUSCAR!$J$5="",ISNUMBER(SEARCH(BUSCAR!$J$5,$AI1937))),OR(BUSCAR!$J$6="",ISNUMBER(SEARCH(BUSCAR!$J$6,$AI1937))),OR(BUSCAR!$J$8="",ISNUMBER(SEARCH(BUSCAR!$J$8,$AI1937))),OR(BUSCAR!$J$9="",ISNUMBER(SEARCH(BUSCAR!$J$9,$AI1937))),OR(NOT(BUSCAR!$J$2),AND(ISNUMBER($AF1937),$AF1937&gt;=BUSCAR!$J$3,$AF1937&lt;=BUSCAR!$J$4))),1,0))</f>
      </c>
      <c r="AH1937" s="42">
        <f t="shared" si="90"/>
      </c>
      <c r="AI1937" s="42">
        <f t="shared" si="91"/>
      </c>
    </row>
    <row r="1938" spans="1:35" x14ac:dyDescent="0.2">
      <c r="A1938" s="66">
        <f t="shared" si="92"/>
      </c>
      <c r="B1938" s="4"/>
      <c r="C1938" s="4"/>
      <c r="D1938" s="4"/>
      <c r="E1938" s="4"/>
      <c r="F1938" s="24"/>
      <c r="G1938" s="8"/>
      <c r="H1938" s="9"/>
      <c r="I1938" s="8"/>
      <c r="J1938" s="10"/>
      <c r="K1938" s="8"/>
      <c r="L1938" s="8"/>
      <c r="M1938" s="8"/>
      <c r="N1938" s="11"/>
      <c r="O1938" s="9"/>
      <c r="P1938" s="12"/>
      <c r="Q1938" s="9"/>
      <c r="R1938" s="13"/>
      <c r="S1938" s="11"/>
      <c r="T1938" s="11"/>
      <c r="U1938" s="9"/>
      <c r="V1938" s="9"/>
      <c r="W1938" s="9"/>
      <c r="X1938" s="16"/>
      <c r="AF1938" s="42">
        <f>IF(BUSCAR!$C$8="FECHA NAC.",$G1938,IF(BUSCAR!$C$8="PASAPORTE EXPIRA",$J1938,IF(BUSCAR!$C$8="LICENCIA EMISION",$L1938,IF(BUSCAR!$C$8="LICENCIA EXPIRA",$M1938,""))))</f>
      </c>
      <c r="AG1938" s="42">
        <f>IF($B1938&amp;$C1938&amp;$D1938&amp;$E1938&amp;$H1938="",0,IF(AND(OR(BUSCAR!$J$5="",ISNUMBER(SEARCH(BUSCAR!$J$5,$AI1938))),OR(BUSCAR!$J$6="",ISNUMBER(SEARCH(BUSCAR!$J$6,$AI1938))),OR(BUSCAR!$J$8="",ISNUMBER(SEARCH(BUSCAR!$J$8,$AI1938))),OR(BUSCAR!$J$9="",ISNUMBER(SEARCH(BUSCAR!$J$9,$AI1938))),OR(NOT(BUSCAR!$J$2),AND(ISNUMBER($AF1938),$AF1938&gt;=BUSCAR!$J$3,$AF1938&lt;=BUSCAR!$J$4))),1,0))</f>
      </c>
      <c r="AH1938" s="42">
        <f t="shared" si="90"/>
      </c>
      <c r="AI1938" s="42">
        <f t="shared" si="91"/>
      </c>
    </row>
    <row r="1939" spans="1:35" x14ac:dyDescent="0.2">
      <c r="A1939" s="66">
        <f t="shared" si="92"/>
      </c>
      <c r="B1939" s="4"/>
      <c r="C1939" s="4"/>
      <c r="D1939" s="4"/>
      <c r="E1939" s="4"/>
      <c r="F1939" s="24"/>
      <c r="G1939" s="8"/>
      <c r="H1939" s="9"/>
      <c r="I1939" s="8"/>
      <c r="J1939" s="10"/>
      <c r="K1939" s="8"/>
      <c r="L1939" s="8"/>
      <c r="M1939" s="8"/>
      <c r="N1939" s="11"/>
      <c r="O1939" s="9"/>
      <c r="P1939" s="12"/>
      <c r="Q1939" s="9"/>
      <c r="R1939" s="13"/>
      <c r="S1939" s="11"/>
      <c r="T1939" s="11"/>
      <c r="U1939" s="9"/>
      <c r="V1939" s="9"/>
      <c r="W1939" s="9"/>
      <c r="X1939" s="16"/>
      <c r="AF1939" s="42">
        <f>IF(BUSCAR!$C$8="FECHA NAC.",$G1939,IF(BUSCAR!$C$8="PASAPORTE EXPIRA",$J1939,IF(BUSCAR!$C$8="LICENCIA EMISION",$L1939,IF(BUSCAR!$C$8="LICENCIA EXPIRA",$M1939,""))))</f>
      </c>
      <c r="AG1939" s="42">
        <f>IF($B1939&amp;$C1939&amp;$D1939&amp;$E1939&amp;$H1939="",0,IF(AND(OR(BUSCAR!$J$5="",ISNUMBER(SEARCH(BUSCAR!$J$5,$AI1939))),OR(BUSCAR!$J$6="",ISNUMBER(SEARCH(BUSCAR!$J$6,$AI1939))),OR(BUSCAR!$J$8="",ISNUMBER(SEARCH(BUSCAR!$J$8,$AI1939))),OR(BUSCAR!$J$9="",ISNUMBER(SEARCH(BUSCAR!$J$9,$AI1939))),OR(NOT(BUSCAR!$J$2),AND(ISNUMBER($AF1939),$AF1939&gt;=BUSCAR!$J$3,$AF1939&lt;=BUSCAR!$J$4))),1,0))</f>
      </c>
      <c r="AH1939" s="42">
        <f t="shared" si="90"/>
      </c>
      <c r="AI1939" s="42">
        <f t="shared" si="91"/>
      </c>
    </row>
    <row r="1940" spans="1:35" x14ac:dyDescent="0.2">
      <c r="A1940" s="66">
        <f t="shared" si="92"/>
      </c>
      <c r="B1940" s="4"/>
      <c r="C1940" s="4"/>
      <c r="D1940" s="4"/>
      <c r="E1940" s="4"/>
      <c r="F1940" s="24"/>
      <c r="G1940" s="8"/>
      <c r="H1940" s="9"/>
      <c r="I1940" s="8"/>
      <c r="J1940" s="10"/>
      <c r="K1940" s="8"/>
      <c r="L1940" s="8"/>
      <c r="M1940" s="8"/>
      <c r="N1940" s="11"/>
      <c r="O1940" s="9"/>
      <c r="P1940" s="12"/>
      <c r="Q1940" s="9"/>
      <c r="R1940" s="13"/>
      <c r="S1940" s="11"/>
      <c r="T1940" s="11"/>
      <c r="U1940" s="9"/>
      <c r="V1940" s="9"/>
      <c r="W1940" s="9"/>
      <c r="X1940" s="16"/>
      <c r="AF1940" s="42">
        <f>IF(BUSCAR!$C$8="FECHA NAC.",$G1940,IF(BUSCAR!$C$8="PASAPORTE EXPIRA",$J1940,IF(BUSCAR!$C$8="LICENCIA EMISION",$L1940,IF(BUSCAR!$C$8="LICENCIA EXPIRA",$M1940,""))))</f>
      </c>
      <c r="AG1940" s="42">
        <f>IF($B1940&amp;$C1940&amp;$D1940&amp;$E1940&amp;$H1940="",0,IF(AND(OR(BUSCAR!$J$5="",ISNUMBER(SEARCH(BUSCAR!$J$5,$AI1940))),OR(BUSCAR!$J$6="",ISNUMBER(SEARCH(BUSCAR!$J$6,$AI1940))),OR(BUSCAR!$J$8="",ISNUMBER(SEARCH(BUSCAR!$J$8,$AI1940))),OR(BUSCAR!$J$9="",ISNUMBER(SEARCH(BUSCAR!$J$9,$AI1940))),OR(NOT(BUSCAR!$J$2),AND(ISNUMBER($AF1940),$AF1940&gt;=BUSCAR!$J$3,$AF1940&lt;=BUSCAR!$J$4))),1,0))</f>
      </c>
      <c r="AH1940" s="42">
        <f t="shared" si="90"/>
      </c>
      <c r="AI1940" s="42">
        <f t="shared" si="91"/>
      </c>
    </row>
    <row r="1941" spans="1:35" x14ac:dyDescent="0.2">
      <c r="A1941" s="66">
        <f t="shared" si="92"/>
      </c>
      <c r="B1941" s="4"/>
      <c r="C1941" s="4"/>
      <c r="D1941" s="4"/>
      <c r="E1941" s="4"/>
      <c r="F1941" s="24"/>
      <c r="G1941" s="8"/>
      <c r="H1941" s="9"/>
      <c r="I1941" s="8"/>
      <c r="J1941" s="10"/>
      <c r="K1941" s="8"/>
      <c r="L1941" s="8"/>
      <c r="M1941" s="8"/>
      <c r="N1941" s="11"/>
      <c r="O1941" s="9"/>
      <c r="P1941" s="12"/>
      <c r="Q1941" s="9"/>
      <c r="R1941" s="13"/>
      <c r="S1941" s="11"/>
      <c r="T1941" s="11"/>
      <c r="U1941" s="9"/>
      <c r="V1941" s="9"/>
      <c r="W1941" s="9"/>
      <c r="X1941" s="16"/>
      <c r="AF1941" s="42">
        <f>IF(BUSCAR!$C$8="FECHA NAC.",$G1941,IF(BUSCAR!$C$8="PASAPORTE EXPIRA",$J1941,IF(BUSCAR!$C$8="LICENCIA EMISION",$L1941,IF(BUSCAR!$C$8="LICENCIA EXPIRA",$M1941,""))))</f>
      </c>
      <c r="AG1941" s="42">
        <f>IF($B1941&amp;$C1941&amp;$D1941&amp;$E1941&amp;$H1941="",0,IF(AND(OR(BUSCAR!$J$5="",ISNUMBER(SEARCH(BUSCAR!$J$5,$AI1941))),OR(BUSCAR!$J$6="",ISNUMBER(SEARCH(BUSCAR!$J$6,$AI1941))),OR(BUSCAR!$J$8="",ISNUMBER(SEARCH(BUSCAR!$J$8,$AI1941))),OR(BUSCAR!$J$9="",ISNUMBER(SEARCH(BUSCAR!$J$9,$AI1941))),OR(NOT(BUSCAR!$J$2),AND(ISNUMBER($AF1941),$AF1941&gt;=BUSCAR!$J$3,$AF1941&lt;=BUSCAR!$J$4))),1,0))</f>
      </c>
      <c r="AH1941" s="42">
        <f t="shared" si="90"/>
      </c>
      <c r="AI1941" s="42">
        <f t="shared" si="91"/>
      </c>
    </row>
    <row r="1942" spans="1:35" x14ac:dyDescent="0.2">
      <c r="A1942" s="66">
        <f t="shared" si="92"/>
      </c>
      <c r="B1942" s="4"/>
      <c r="C1942" s="4"/>
      <c r="D1942" s="4"/>
      <c r="E1942" s="4"/>
      <c r="F1942" s="24"/>
      <c r="G1942" s="8"/>
      <c r="H1942" s="9"/>
      <c r="I1942" s="8"/>
      <c r="J1942" s="10"/>
      <c r="K1942" s="8"/>
      <c r="L1942" s="8"/>
      <c r="M1942" s="8"/>
      <c r="N1942" s="11"/>
      <c r="O1942" s="9"/>
      <c r="P1942" s="12"/>
      <c r="Q1942" s="9"/>
      <c r="R1942" s="13"/>
      <c r="S1942" s="11"/>
      <c r="T1942" s="11"/>
      <c r="U1942" s="9"/>
      <c r="V1942" s="9"/>
      <c r="W1942" s="9"/>
      <c r="X1942" s="16"/>
      <c r="AF1942" s="42">
        <f>IF(BUSCAR!$C$8="FECHA NAC.",$G1942,IF(BUSCAR!$C$8="PASAPORTE EXPIRA",$J1942,IF(BUSCAR!$C$8="LICENCIA EMISION",$L1942,IF(BUSCAR!$C$8="LICENCIA EXPIRA",$M1942,""))))</f>
      </c>
      <c r="AG1942" s="42">
        <f>IF($B1942&amp;$C1942&amp;$D1942&amp;$E1942&amp;$H1942="",0,IF(AND(OR(BUSCAR!$J$5="",ISNUMBER(SEARCH(BUSCAR!$J$5,$AI1942))),OR(BUSCAR!$J$6="",ISNUMBER(SEARCH(BUSCAR!$J$6,$AI1942))),OR(BUSCAR!$J$8="",ISNUMBER(SEARCH(BUSCAR!$J$8,$AI1942))),OR(BUSCAR!$J$9="",ISNUMBER(SEARCH(BUSCAR!$J$9,$AI1942))),OR(NOT(BUSCAR!$J$2),AND(ISNUMBER($AF1942),$AF1942&gt;=BUSCAR!$J$3,$AF1942&lt;=BUSCAR!$J$4))),1,0))</f>
      </c>
      <c r="AH1942" s="42">
        <f t="shared" si="90"/>
      </c>
      <c r="AI1942" s="42">
        <f t="shared" si="91"/>
      </c>
    </row>
    <row r="1943" spans="1:35" x14ac:dyDescent="0.2">
      <c r="A1943" s="66">
        <f t="shared" si="92"/>
      </c>
      <c r="B1943" s="4"/>
      <c r="C1943" s="4"/>
      <c r="D1943" s="4"/>
      <c r="E1943" s="4"/>
      <c r="F1943" s="24"/>
      <c r="G1943" s="8"/>
      <c r="H1943" s="9"/>
      <c r="I1943" s="8"/>
      <c r="J1943" s="10"/>
      <c r="K1943" s="8"/>
      <c r="L1943" s="8"/>
      <c r="M1943" s="8"/>
      <c r="N1943" s="11"/>
      <c r="O1943" s="9"/>
      <c r="P1943" s="12"/>
      <c r="Q1943" s="9"/>
      <c r="R1943" s="13"/>
      <c r="S1943" s="11"/>
      <c r="T1943" s="11"/>
      <c r="U1943" s="9"/>
      <c r="V1943" s="9"/>
      <c r="W1943" s="9"/>
      <c r="X1943" s="16"/>
      <c r="AF1943" s="42">
        <f>IF(BUSCAR!$C$8="FECHA NAC.",$G1943,IF(BUSCAR!$C$8="PASAPORTE EXPIRA",$J1943,IF(BUSCAR!$C$8="LICENCIA EMISION",$L1943,IF(BUSCAR!$C$8="LICENCIA EXPIRA",$M1943,""))))</f>
      </c>
      <c r="AG1943" s="42">
        <f>IF($B1943&amp;$C1943&amp;$D1943&amp;$E1943&amp;$H1943="",0,IF(AND(OR(BUSCAR!$J$5="",ISNUMBER(SEARCH(BUSCAR!$J$5,$AI1943))),OR(BUSCAR!$J$6="",ISNUMBER(SEARCH(BUSCAR!$J$6,$AI1943))),OR(BUSCAR!$J$8="",ISNUMBER(SEARCH(BUSCAR!$J$8,$AI1943))),OR(BUSCAR!$J$9="",ISNUMBER(SEARCH(BUSCAR!$J$9,$AI1943))),OR(NOT(BUSCAR!$J$2),AND(ISNUMBER($AF1943),$AF1943&gt;=BUSCAR!$J$3,$AF1943&lt;=BUSCAR!$J$4))),1,0))</f>
      </c>
      <c r="AH1943" s="42">
        <f t="shared" si="90"/>
      </c>
      <c r="AI1943" s="42">
        <f t="shared" si="91"/>
      </c>
    </row>
    <row r="1944" spans="1:35" x14ac:dyDescent="0.2">
      <c r="A1944" s="66">
        <f t="shared" si="92"/>
      </c>
      <c r="B1944" s="4"/>
      <c r="C1944" s="4"/>
      <c r="D1944" s="4"/>
      <c r="E1944" s="4"/>
      <c r="F1944" s="24"/>
      <c r="G1944" s="8"/>
      <c r="H1944" s="9"/>
      <c r="I1944" s="8"/>
      <c r="J1944" s="10"/>
      <c r="K1944" s="8"/>
      <c r="L1944" s="8"/>
      <c r="M1944" s="8"/>
      <c r="N1944" s="11"/>
      <c r="O1944" s="9"/>
      <c r="P1944" s="12"/>
      <c r="Q1944" s="9"/>
      <c r="R1944" s="13"/>
      <c r="S1944" s="11"/>
      <c r="T1944" s="11"/>
      <c r="U1944" s="9"/>
      <c r="V1944" s="9"/>
      <c r="W1944" s="9"/>
      <c r="X1944" s="16"/>
      <c r="AF1944" s="42">
        <f>IF(BUSCAR!$C$8="FECHA NAC.",$G1944,IF(BUSCAR!$C$8="PASAPORTE EXPIRA",$J1944,IF(BUSCAR!$C$8="LICENCIA EMISION",$L1944,IF(BUSCAR!$C$8="LICENCIA EXPIRA",$M1944,""))))</f>
      </c>
      <c r="AG1944" s="42">
        <f>IF($B1944&amp;$C1944&amp;$D1944&amp;$E1944&amp;$H1944="",0,IF(AND(OR(BUSCAR!$J$5="",ISNUMBER(SEARCH(BUSCAR!$J$5,$AI1944))),OR(BUSCAR!$J$6="",ISNUMBER(SEARCH(BUSCAR!$J$6,$AI1944))),OR(BUSCAR!$J$8="",ISNUMBER(SEARCH(BUSCAR!$J$8,$AI1944))),OR(BUSCAR!$J$9="",ISNUMBER(SEARCH(BUSCAR!$J$9,$AI1944))),OR(NOT(BUSCAR!$J$2),AND(ISNUMBER($AF1944),$AF1944&gt;=BUSCAR!$J$3,$AF1944&lt;=BUSCAR!$J$4))),1,0))</f>
      </c>
      <c r="AH1944" s="42">
        <f t="shared" si="90"/>
      </c>
      <c r="AI1944" s="42">
        <f t="shared" si="91"/>
      </c>
    </row>
    <row r="1945" spans="1:35" x14ac:dyDescent="0.2">
      <c r="A1945" s="66">
        <f t="shared" si="92"/>
      </c>
      <c r="B1945" s="4"/>
      <c r="C1945" s="4"/>
      <c r="D1945" s="4"/>
      <c r="E1945" s="4"/>
      <c r="F1945" s="24"/>
      <c r="G1945" s="8"/>
      <c r="H1945" s="9"/>
      <c r="I1945" s="8"/>
      <c r="J1945" s="10"/>
      <c r="K1945" s="8"/>
      <c r="L1945" s="8"/>
      <c r="M1945" s="8"/>
      <c r="N1945" s="11"/>
      <c r="O1945" s="9"/>
      <c r="P1945" s="12"/>
      <c r="Q1945" s="9"/>
      <c r="R1945" s="13"/>
      <c r="S1945" s="11"/>
      <c r="T1945" s="11"/>
      <c r="U1945" s="9"/>
      <c r="V1945" s="9"/>
      <c r="W1945" s="9"/>
      <c r="X1945" s="16"/>
      <c r="AF1945" s="42">
        <f>IF(BUSCAR!$C$8="FECHA NAC.",$G1945,IF(BUSCAR!$C$8="PASAPORTE EXPIRA",$J1945,IF(BUSCAR!$C$8="LICENCIA EMISION",$L1945,IF(BUSCAR!$C$8="LICENCIA EXPIRA",$M1945,""))))</f>
      </c>
      <c r="AG1945" s="42">
        <f>IF($B1945&amp;$C1945&amp;$D1945&amp;$E1945&amp;$H1945="",0,IF(AND(OR(BUSCAR!$J$5="",ISNUMBER(SEARCH(BUSCAR!$J$5,$AI1945))),OR(BUSCAR!$J$6="",ISNUMBER(SEARCH(BUSCAR!$J$6,$AI1945))),OR(BUSCAR!$J$8="",ISNUMBER(SEARCH(BUSCAR!$J$8,$AI1945))),OR(BUSCAR!$J$9="",ISNUMBER(SEARCH(BUSCAR!$J$9,$AI1945))),OR(NOT(BUSCAR!$J$2),AND(ISNUMBER($AF1945),$AF1945&gt;=BUSCAR!$J$3,$AF1945&lt;=BUSCAR!$J$4))),1,0))</f>
      </c>
      <c r="AH1945" s="42">
        <f t="shared" si="90"/>
      </c>
      <c r="AI1945" s="42">
        <f t="shared" si="91"/>
      </c>
    </row>
    <row r="1946" spans="1:35" x14ac:dyDescent="0.2">
      <c r="A1946" s="66">
        <f t="shared" si="92"/>
      </c>
      <c r="B1946" s="4"/>
      <c r="C1946" s="4"/>
      <c r="D1946" s="4"/>
      <c r="E1946" s="4"/>
      <c r="F1946" s="24"/>
      <c r="G1946" s="8"/>
      <c r="H1946" s="9"/>
      <c r="I1946" s="8"/>
      <c r="J1946" s="10"/>
      <c r="K1946" s="8"/>
      <c r="L1946" s="8"/>
      <c r="M1946" s="8"/>
      <c r="N1946" s="11"/>
      <c r="O1946" s="9"/>
      <c r="P1946" s="12"/>
      <c r="Q1946" s="9"/>
      <c r="R1946" s="13"/>
      <c r="S1946" s="11"/>
      <c r="T1946" s="11"/>
      <c r="U1946" s="9"/>
      <c r="V1946" s="9"/>
      <c r="W1946" s="9"/>
      <c r="X1946" s="16"/>
      <c r="AF1946" s="42">
        <f>IF(BUSCAR!$C$8="FECHA NAC.",$G1946,IF(BUSCAR!$C$8="PASAPORTE EXPIRA",$J1946,IF(BUSCAR!$C$8="LICENCIA EMISION",$L1946,IF(BUSCAR!$C$8="LICENCIA EXPIRA",$M1946,""))))</f>
      </c>
      <c r="AG1946" s="42">
        <f>IF($B1946&amp;$C1946&amp;$D1946&amp;$E1946&amp;$H1946="",0,IF(AND(OR(BUSCAR!$J$5="",ISNUMBER(SEARCH(BUSCAR!$J$5,$AI1946))),OR(BUSCAR!$J$6="",ISNUMBER(SEARCH(BUSCAR!$J$6,$AI1946))),OR(BUSCAR!$J$8="",ISNUMBER(SEARCH(BUSCAR!$J$8,$AI1946))),OR(BUSCAR!$J$9="",ISNUMBER(SEARCH(BUSCAR!$J$9,$AI1946))),OR(NOT(BUSCAR!$J$2),AND(ISNUMBER($AF1946),$AF1946&gt;=BUSCAR!$J$3,$AF1946&lt;=BUSCAR!$J$4))),1,0))</f>
      </c>
      <c r="AH1946" s="42">
        <f t="shared" si="90"/>
      </c>
      <c r="AI1946" s="42">
        <f t="shared" si="91"/>
      </c>
    </row>
    <row r="1947" spans="1:35" x14ac:dyDescent="0.2">
      <c r="A1947" s="66">
        <f t="shared" si="92"/>
      </c>
      <c r="B1947" s="4"/>
      <c r="C1947" s="4"/>
      <c r="D1947" s="4"/>
      <c r="E1947" s="4"/>
      <c r="F1947" s="24"/>
      <c r="G1947" s="8"/>
      <c r="H1947" s="9"/>
      <c r="I1947" s="8"/>
      <c r="J1947" s="10"/>
      <c r="K1947" s="8"/>
      <c r="L1947" s="8"/>
      <c r="M1947" s="8"/>
      <c r="N1947" s="11"/>
      <c r="O1947" s="9"/>
      <c r="P1947" s="12"/>
      <c r="Q1947" s="9"/>
      <c r="R1947" s="13"/>
      <c r="S1947" s="11"/>
      <c r="T1947" s="11"/>
      <c r="U1947" s="9"/>
      <c r="V1947" s="9"/>
      <c r="W1947" s="9"/>
      <c r="X1947" s="16"/>
      <c r="AF1947" s="42">
        <f>IF(BUSCAR!$C$8="FECHA NAC.",$G1947,IF(BUSCAR!$C$8="PASAPORTE EXPIRA",$J1947,IF(BUSCAR!$C$8="LICENCIA EMISION",$L1947,IF(BUSCAR!$C$8="LICENCIA EXPIRA",$M1947,""))))</f>
      </c>
      <c r="AG1947" s="42">
        <f>IF($B1947&amp;$C1947&amp;$D1947&amp;$E1947&amp;$H1947="",0,IF(AND(OR(BUSCAR!$J$5="",ISNUMBER(SEARCH(BUSCAR!$J$5,$AI1947))),OR(BUSCAR!$J$6="",ISNUMBER(SEARCH(BUSCAR!$J$6,$AI1947))),OR(BUSCAR!$J$8="",ISNUMBER(SEARCH(BUSCAR!$J$8,$AI1947))),OR(BUSCAR!$J$9="",ISNUMBER(SEARCH(BUSCAR!$J$9,$AI1947))),OR(NOT(BUSCAR!$J$2),AND(ISNUMBER($AF1947),$AF1947&gt;=BUSCAR!$J$3,$AF1947&lt;=BUSCAR!$J$4))),1,0))</f>
      </c>
      <c r="AH1947" s="42">
        <f t="shared" si="90"/>
      </c>
      <c r="AI1947" s="42">
        <f t="shared" si="91"/>
      </c>
    </row>
    <row r="1948" spans="1:35" x14ac:dyDescent="0.2">
      <c r="A1948" s="66">
        <f t="shared" si="92"/>
      </c>
      <c r="B1948" s="4"/>
      <c r="C1948" s="4"/>
      <c r="D1948" s="4"/>
      <c r="E1948" s="4"/>
      <c r="F1948" s="24"/>
      <c r="G1948" s="8"/>
      <c r="H1948" s="9"/>
      <c r="I1948" s="8"/>
      <c r="J1948" s="10"/>
      <c r="K1948" s="8"/>
      <c r="L1948" s="8"/>
      <c r="M1948" s="8"/>
      <c r="N1948" s="11"/>
      <c r="O1948" s="9"/>
      <c r="P1948" s="12"/>
      <c r="Q1948" s="9"/>
      <c r="R1948" s="13"/>
      <c r="S1948" s="11"/>
      <c r="T1948" s="11"/>
      <c r="U1948" s="9"/>
      <c r="V1948" s="9"/>
      <c r="W1948" s="9"/>
      <c r="X1948" s="16"/>
      <c r="AF1948" s="42">
        <f>IF(BUSCAR!$C$8="FECHA NAC.",$G1948,IF(BUSCAR!$C$8="PASAPORTE EXPIRA",$J1948,IF(BUSCAR!$C$8="LICENCIA EMISION",$L1948,IF(BUSCAR!$C$8="LICENCIA EXPIRA",$M1948,""))))</f>
      </c>
      <c r="AG1948" s="42">
        <f>IF($B1948&amp;$C1948&amp;$D1948&amp;$E1948&amp;$H1948="",0,IF(AND(OR(BUSCAR!$J$5="",ISNUMBER(SEARCH(BUSCAR!$J$5,$AI1948))),OR(BUSCAR!$J$6="",ISNUMBER(SEARCH(BUSCAR!$J$6,$AI1948))),OR(BUSCAR!$J$8="",ISNUMBER(SEARCH(BUSCAR!$J$8,$AI1948))),OR(BUSCAR!$J$9="",ISNUMBER(SEARCH(BUSCAR!$J$9,$AI1948))),OR(NOT(BUSCAR!$J$2),AND(ISNUMBER($AF1948),$AF1948&gt;=BUSCAR!$J$3,$AF1948&lt;=BUSCAR!$J$4))),1,0))</f>
      </c>
      <c r="AH1948" s="42">
        <f t="shared" si="90"/>
      </c>
      <c r="AI1948" s="42">
        <f t="shared" si="91"/>
      </c>
    </row>
    <row r="1949" spans="1:35" x14ac:dyDescent="0.2">
      <c r="A1949" s="66">
        <f t="shared" si="92"/>
      </c>
      <c r="B1949" s="4"/>
      <c r="C1949" s="4"/>
      <c r="D1949" s="4"/>
      <c r="E1949" s="4"/>
      <c r="F1949" s="24"/>
      <c r="G1949" s="8"/>
      <c r="H1949" s="9"/>
      <c r="I1949" s="8"/>
      <c r="J1949" s="10"/>
      <c r="K1949" s="8"/>
      <c r="L1949" s="8"/>
      <c r="M1949" s="8"/>
      <c r="N1949" s="11"/>
      <c r="O1949" s="9"/>
      <c r="P1949" s="12"/>
      <c r="Q1949" s="9"/>
      <c r="R1949" s="13"/>
      <c r="S1949" s="11"/>
      <c r="T1949" s="11"/>
      <c r="U1949" s="9"/>
      <c r="V1949" s="9"/>
      <c r="W1949" s="9"/>
      <c r="X1949" s="16"/>
      <c r="AF1949" s="42">
        <f>IF(BUSCAR!$C$8="FECHA NAC.",$G1949,IF(BUSCAR!$C$8="PASAPORTE EXPIRA",$J1949,IF(BUSCAR!$C$8="LICENCIA EMISION",$L1949,IF(BUSCAR!$C$8="LICENCIA EXPIRA",$M1949,""))))</f>
      </c>
      <c r="AG1949" s="42">
        <f>IF($B1949&amp;$C1949&amp;$D1949&amp;$E1949&amp;$H1949="",0,IF(AND(OR(BUSCAR!$J$5="",ISNUMBER(SEARCH(BUSCAR!$J$5,$AI1949))),OR(BUSCAR!$J$6="",ISNUMBER(SEARCH(BUSCAR!$J$6,$AI1949))),OR(BUSCAR!$J$8="",ISNUMBER(SEARCH(BUSCAR!$J$8,$AI1949))),OR(BUSCAR!$J$9="",ISNUMBER(SEARCH(BUSCAR!$J$9,$AI1949))),OR(NOT(BUSCAR!$J$2),AND(ISNUMBER($AF1949),$AF1949&gt;=BUSCAR!$J$3,$AF1949&lt;=BUSCAR!$J$4))),1,0))</f>
      </c>
      <c r="AH1949" s="42">
        <f t="shared" si="90"/>
      </c>
      <c r="AI1949" s="42">
        <f t="shared" si="91"/>
      </c>
    </row>
    <row r="1950" spans="1:35" x14ac:dyDescent="0.2">
      <c r="A1950" s="66">
        <f t="shared" si="92"/>
      </c>
      <c r="B1950" s="4"/>
      <c r="C1950" s="4"/>
      <c r="D1950" s="4"/>
      <c r="E1950" s="4"/>
      <c r="F1950" s="24"/>
      <c r="G1950" s="8"/>
      <c r="H1950" s="9"/>
      <c r="I1950" s="8"/>
      <c r="J1950" s="10"/>
      <c r="K1950" s="8"/>
      <c r="L1950" s="8"/>
      <c r="M1950" s="8"/>
      <c r="N1950" s="11"/>
      <c r="O1950" s="9"/>
      <c r="P1950" s="12"/>
      <c r="Q1950" s="9"/>
      <c r="R1950" s="13"/>
      <c r="S1950" s="11"/>
      <c r="T1950" s="11"/>
      <c r="U1950" s="9"/>
      <c r="V1950" s="9"/>
      <c r="W1950" s="9"/>
      <c r="X1950" s="16"/>
      <c r="AF1950" s="42">
        <f>IF(BUSCAR!$C$8="FECHA NAC.",$G1950,IF(BUSCAR!$C$8="PASAPORTE EXPIRA",$J1950,IF(BUSCAR!$C$8="LICENCIA EMISION",$L1950,IF(BUSCAR!$C$8="LICENCIA EXPIRA",$M1950,""))))</f>
      </c>
      <c r="AG1950" s="42">
        <f>IF($B1950&amp;$C1950&amp;$D1950&amp;$E1950&amp;$H1950="",0,IF(AND(OR(BUSCAR!$J$5="",ISNUMBER(SEARCH(BUSCAR!$J$5,$AI1950))),OR(BUSCAR!$J$6="",ISNUMBER(SEARCH(BUSCAR!$J$6,$AI1950))),OR(BUSCAR!$J$8="",ISNUMBER(SEARCH(BUSCAR!$J$8,$AI1950))),OR(BUSCAR!$J$9="",ISNUMBER(SEARCH(BUSCAR!$J$9,$AI1950))),OR(NOT(BUSCAR!$J$2),AND(ISNUMBER($AF1950),$AF1950&gt;=BUSCAR!$J$3,$AF1950&lt;=BUSCAR!$J$4))),1,0))</f>
      </c>
      <c r="AH1950" s="42">
        <f t="shared" si="90"/>
      </c>
      <c r="AI1950" s="42">
        <f t="shared" si="91"/>
      </c>
    </row>
    <row r="1951" spans="1:35" x14ac:dyDescent="0.2">
      <c r="A1951" s="66">
        <f t="shared" si="92"/>
      </c>
      <c r="B1951" s="4"/>
      <c r="C1951" s="4"/>
      <c r="D1951" s="4"/>
      <c r="E1951" s="4"/>
      <c r="F1951" s="24"/>
      <c r="G1951" s="8"/>
      <c r="H1951" s="9"/>
      <c r="I1951" s="8"/>
      <c r="J1951" s="10"/>
      <c r="K1951" s="8"/>
      <c r="L1951" s="8"/>
      <c r="M1951" s="8"/>
      <c r="N1951" s="11"/>
      <c r="O1951" s="9"/>
      <c r="P1951" s="12"/>
      <c r="Q1951" s="9"/>
      <c r="R1951" s="13"/>
      <c r="S1951" s="11"/>
      <c r="T1951" s="11"/>
      <c r="U1951" s="9"/>
      <c r="V1951" s="9"/>
      <c r="W1951" s="9"/>
      <c r="X1951" s="16"/>
      <c r="AF1951" s="42">
        <f>IF(BUSCAR!$C$8="FECHA NAC.",$G1951,IF(BUSCAR!$C$8="PASAPORTE EXPIRA",$J1951,IF(BUSCAR!$C$8="LICENCIA EMISION",$L1951,IF(BUSCAR!$C$8="LICENCIA EXPIRA",$M1951,""))))</f>
      </c>
      <c r="AG1951" s="42">
        <f>IF($B1951&amp;$C1951&amp;$D1951&amp;$E1951&amp;$H1951="",0,IF(AND(OR(BUSCAR!$J$5="",ISNUMBER(SEARCH(BUSCAR!$J$5,$AI1951))),OR(BUSCAR!$J$6="",ISNUMBER(SEARCH(BUSCAR!$J$6,$AI1951))),OR(BUSCAR!$J$8="",ISNUMBER(SEARCH(BUSCAR!$J$8,$AI1951))),OR(BUSCAR!$J$9="",ISNUMBER(SEARCH(BUSCAR!$J$9,$AI1951))),OR(NOT(BUSCAR!$J$2),AND(ISNUMBER($AF1951),$AF1951&gt;=BUSCAR!$J$3,$AF1951&lt;=BUSCAR!$J$4))),1,0))</f>
      </c>
      <c r="AH1951" s="42">
        <f t="shared" si="90"/>
      </c>
      <c r="AI1951" s="42">
        <f t="shared" si="91"/>
      </c>
    </row>
    <row r="1952" spans="1:35" x14ac:dyDescent="0.2">
      <c r="A1952" s="66">
        <f t="shared" si="92"/>
      </c>
      <c r="B1952" s="4"/>
      <c r="C1952" s="4"/>
      <c r="D1952" s="4"/>
      <c r="E1952" s="4"/>
      <c r="F1952" s="24"/>
      <c r="G1952" s="8"/>
      <c r="H1952" s="9"/>
      <c r="I1952" s="8"/>
      <c r="J1952" s="10"/>
      <c r="K1952" s="8"/>
      <c r="L1952" s="8"/>
      <c r="M1952" s="8"/>
      <c r="N1952" s="11"/>
      <c r="O1952" s="9"/>
      <c r="P1952" s="12"/>
      <c r="Q1952" s="9"/>
      <c r="R1952" s="13"/>
      <c r="S1952" s="11"/>
      <c r="T1952" s="11"/>
      <c r="U1952" s="9"/>
      <c r="V1952" s="9"/>
      <c r="W1952" s="9"/>
      <c r="X1952" s="16"/>
      <c r="AF1952" s="42">
        <f>IF(BUSCAR!$C$8="FECHA NAC.",$G1952,IF(BUSCAR!$C$8="PASAPORTE EXPIRA",$J1952,IF(BUSCAR!$C$8="LICENCIA EMISION",$L1952,IF(BUSCAR!$C$8="LICENCIA EXPIRA",$M1952,""))))</f>
      </c>
      <c r="AG1952" s="42">
        <f>IF($B1952&amp;$C1952&amp;$D1952&amp;$E1952&amp;$H1952="",0,IF(AND(OR(BUSCAR!$J$5="",ISNUMBER(SEARCH(BUSCAR!$J$5,$AI1952))),OR(BUSCAR!$J$6="",ISNUMBER(SEARCH(BUSCAR!$J$6,$AI1952))),OR(BUSCAR!$J$8="",ISNUMBER(SEARCH(BUSCAR!$J$8,$AI1952))),OR(BUSCAR!$J$9="",ISNUMBER(SEARCH(BUSCAR!$J$9,$AI1952))),OR(NOT(BUSCAR!$J$2),AND(ISNUMBER($AF1952),$AF1952&gt;=BUSCAR!$J$3,$AF1952&lt;=BUSCAR!$J$4))),1,0))</f>
      </c>
      <c r="AH1952" s="42">
        <f t="shared" si="90"/>
      </c>
      <c r="AI1952" s="42">
        <f t="shared" si="91"/>
      </c>
    </row>
    <row r="1953" spans="1:35" x14ac:dyDescent="0.2">
      <c r="A1953" s="66">
        <f t="shared" si="92"/>
      </c>
      <c r="B1953" s="4"/>
      <c r="C1953" s="4"/>
      <c r="D1953" s="4"/>
      <c r="E1953" s="4"/>
      <c r="F1953" s="24"/>
      <c r="G1953" s="8"/>
      <c r="H1953" s="9"/>
      <c r="I1953" s="8"/>
      <c r="J1953" s="10"/>
      <c r="K1953" s="8"/>
      <c r="L1953" s="8"/>
      <c r="M1953" s="8"/>
      <c r="N1953" s="11"/>
      <c r="O1953" s="9"/>
      <c r="P1953" s="12"/>
      <c r="Q1953" s="9"/>
      <c r="R1953" s="13"/>
      <c r="S1953" s="11"/>
      <c r="T1953" s="11"/>
      <c r="U1953" s="9"/>
      <c r="V1953" s="9"/>
      <c r="W1953" s="9"/>
      <c r="X1953" s="16"/>
      <c r="AF1953" s="42">
        <f>IF(BUSCAR!$C$8="FECHA NAC.",$G1953,IF(BUSCAR!$C$8="PASAPORTE EXPIRA",$J1953,IF(BUSCAR!$C$8="LICENCIA EMISION",$L1953,IF(BUSCAR!$C$8="LICENCIA EXPIRA",$M1953,""))))</f>
      </c>
      <c r="AG1953" s="42">
        <f>IF($B1953&amp;$C1953&amp;$D1953&amp;$E1953&amp;$H1953="",0,IF(AND(OR(BUSCAR!$J$5="",ISNUMBER(SEARCH(BUSCAR!$J$5,$AI1953))),OR(BUSCAR!$J$6="",ISNUMBER(SEARCH(BUSCAR!$J$6,$AI1953))),OR(BUSCAR!$J$8="",ISNUMBER(SEARCH(BUSCAR!$J$8,$AI1953))),OR(BUSCAR!$J$9="",ISNUMBER(SEARCH(BUSCAR!$J$9,$AI1953))),OR(NOT(BUSCAR!$J$2),AND(ISNUMBER($AF1953),$AF1953&gt;=BUSCAR!$J$3,$AF1953&lt;=BUSCAR!$J$4))),1,0))</f>
      </c>
      <c r="AH1953" s="42">
        <f t="shared" si="90"/>
      </c>
      <c r="AI1953" s="42">
        <f t="shared" si="91"/>
      </c>
    </row>
    <row r="1954" spans="1:35" x14ac:dyDescent="0.2">
      <c r="A1954" s="66">
        <f t="shared" si="92"/>
      </c>
      <c r="B1954" s="4"/>
      <c r="C1954" s="4"/>
      <c r="D1954" s="4"/>
      <c r="E1954" s="4"/>
      <c r="F1954" s="24"/>
      <c r="G1954" s="8"/>
      <c r="H1954" s="9"/>
      <c r="I1954" s="8"/>
      <c r="J1954" s="10"/>
      <c r="K1954" s="8"/>
      <c r="L1954" s="8"/>
      <c r="M1954" s="8"/>
      <c r="N1954" s="11"/>
      <c r="O1954" s="9"/>
      <c r="P1954" s="12"/>
      <c r="Q1954" s="9"/>
      <c r="R1954" s="13"/>
      <c r="S1954" s="11"/>
      <c r="T1954" s="11"/>
      <c r="U1954" s="9"/>
      <c r="V1954" s="9"/>
      <c r="W1954" s="9"/>
      <c r="X1954" s="16"/>
      <c r="AF1954" s="42">
        <f>IF(BUSCAR!$C$8="FECHA NAC.",$G1954,IF(BUSCAR!$C$8="PASAPORTE EXPIRA",$J1954,IF(BUSCAR!$C$8="LICENCIA EMISION",$L1954,IF(BUSCAR!$C$8="LICENCIA EXPIRA",$M1954,""))))</f>
      </c>
      <c r="AG1954" s="42">
        <f>IF($B1954&amp;$C1954&amp;$D1954&amp;$E1954&amp;$H1954="",0,IF(AND(OR(BUSCAR!$J$5="",ISNUMBER(SEARCH(BUSCAR!$J$5,$AI1954))),OR(BUSCAR!$J$6="",ISNUMBER(SEARCH(BUSCAR!$J$6,$AI1954))),OR(BUSCAR!$J$8="",ISNUMBER(SEARCH(BUSCAR!$J$8,$AI1954))),OR(BUSCAR!$J$9="",ISNUMBER(SEARCH(BUSCAR!$J$9,$AI1954))),OR(NOT(BUSCAR!$J$2),AND(ISNUMBER($AF1954),$AF1954&gt;=BUSCAR!$J$3,$AF1954&lt;=BUSCAR!$J$4))),1,0))</f>
      </c>
      <c r="AH1954" s="42">
        <f t="shared" si="90"/>
      </c>
      <c r="AI1954" s="42">
        <f t="shared" si="91"/>
      </c>
    </row>
    <row r="1955" spans="1:35" x14ac:dyDescent="0.2">
      <c r="A1955" s="66">
        <f t="shared" si="92"/>
      </c>
      <c r="B1955" s="4"/>
      <c r="C1955" s="4"/>
      <c r="D1955" s="4"/>
      <c r="E1955" s="4"/>
      <c r="F1955" s="24"/>
      <c r="G1955" s="8"/>
      <c r="H1955" s="9"/>
      <c r="I1955" s="8"/>
      <c r="J1955" s="10"/>
      <c r="K1955" s="8"/>
      <c r="L1955" s="8"/>
      <c r="M1955" s="8"/>
      <c r="N1955" s="11"/>
      <c r="O1955" s="9"/>
      <c r="P1955" s="12"/>
      <c r="Q1955" s="9"/>
      <c r="R1955" s="13"/>
      <c r="S1955" s="11"/>
      <c r="T1955" s="11"/>
      <c r="U1955" s="9"/>
      <c r="V1955" s="9"/>
      <c r="W1955" s="9"/>
      <c r="X1955" s="16"/>
      <c r="AF1955" s="42">
        <f>IF(BUSCAR!$C$8="FECHA NAC.",$G1955,IF(BUSCAR!$C$8="PASAPORTE EXPIRA",$J1955,IF(BUSCAR!$C$8="LICENCIA EMISION",$L1955,IF(BUSCAR!$C$8="LICENCIA EXPIRA",$M1955,""))))</f>
      </c>
      <c r="AG1955" s="42">
        <f>IF($B1955&amp;$C1955&amp;$D1955&amp;$E1955&amp;$H1955="",0,IF(AND(OR(BUSCAR!$J$5="",ISNUMBER(SEARCH(BUSCAR!$J$5,$AI1955))),OR(BUSCAR!$J$6="",ISNUMBER(SEARCH(BUSCAR!$J$6,$AI1955))),OR(BUSCAR!$J$8="",ISNUMBER(SEARCH(BUSCAR!$J$8,$AI1955))),OR(BUSCAR!$J$9="",ISNUMBER(SEARCH(BUSCAR!$J$9,$AI1955))),OR(NOT(BUSCAR!$J$2),AND(ISNUMBER($AF1955),$AF1955&gt;=BUSCAR!$J$3,$AF1955&lt;=BUSCAR!$J$4))),1,0))</f>
      </c>
      <c r="AH1955" s="42">
        <f t="shared" si="90"/>
      </c>
      <c r="AI1955" s="42">
        <f t="shared" si="91"/>
      </c>
    </row>
    <row r="1956" spans="1:35" x14ac:dyDescent="0.2">
      <c r="A1956" s="66">
        <f t="shared" si="92"/>
      </c>
      <c r="B1956" s="4"/>
      <c r="C1956" s="4"/>
      <c r="D1956" s="4"/>
      <c r="E1956" s="4"/>
      <c r="F1956" s="24"/>
      <c r="G1956" s="8"/>
      <c r="H1956" s="9"/>
      <c r="I1956" s="8"/>
      <c r="J1956" s="10"/>
      <c r="K1956" s="8"/>
      <c r="L1956" s="8"/>
      <c r="M1956" s="8"/>
      <c r="N1956" s="11"/>
      <c r="O1956" s="9"/>
      <c r="P1956" s="12"/>
      <c r="Q1956" s="9"/>
      <c r="R1956" s="13"/>
      <c r="S1956" s="11"/>
      <c r="T1956" s="11"/>
      <c r="U1956" s="9"/>
      <c r="V1956" s="9"/>
      <c r="W1956" s="9"/>
      <c r="X1956" s="16"/>
      <c r="AF1956" s="42">
        <f>IF(BUSCAR!$C$8="FECHA NAC.",$G1956,IF(BUSCAR!$C$8="PASAPORTE EXPIRA",$J1956,IF(BUSCAR!$C$8="LICENCIA EMISION",$L1956,IF(BUSCAR!$C$8="LICENCIA EXPIRA",$M1956,""))))</f>
      </c>
      <c r="AG1956" s="42">
        <f>IF($B1956&amp;$C1956&amp;$D1956&amp;$E1956&amp;$H1956="",0,IF(AND(OR(BUSCAR!$J$5="",ISNUMBER(SEARCH(BUSCAR!$J$5,$AI1956))),OR(BUSCAR!$J$6="",ISNUMBER(SEARCH(BUSCAR!$J$6,$AI1956))),OR(BUSCAR!$J$8="",ISNUMBER(SEARCH(BUSCAR!$J$8,$AI1956))),OR(BUSCAR!$J$9="",ISNUMBER(SEARCH(BUSCAR!$J$9,$AI1956))),OR(NOT(BUSCAR!$J$2),AND(ISNUMBER($AF1956),$AF1956&gt;=BUSCAR!$J$3,$AF1956&lt;=BUSCAR!$J$4))),1,0))</f>
      </c>
      <c r="AH1956" s="42">
        <f t="shared" si="90"/>
      </c>
      <c r="AI1956" s="42">
        <f t="shared" si="91"/>
      </c>
    </row>
    <row r="1957" spans="1:35" x14ac:dyDescent="0.2">
      <c r="A1957" s="66">
        <f t="shared" si="92"/>
      </c>
      <c r="B1957" s="4"/>
      <c r="C1957" s="4"/>
      <c r="D1957" s="4"/>
      <c r="E1957" s="4"/>
      <c r="F1957" s="24"/>
      <c r="G1957" s="8"/>
      <c r="H1957" s="9"/>
      <c r="I1957" s="8"/>
      <c r="J1957" s="10"/>
      <c r="K1957" s="8"/>
      <c r="L1957" s="8"/>
      <c r="M1957" s="8"/>
      <c r="N1957" s="11"/>
      <c r="O1957" s="9"/>
      <c r="P1957" s="12"/>
      <c r="Q1957" s="9"/>
      <c r="R1957" s="13"/>
      <c r="S1957" s="11"/>
      <c r="T1957" s="11"/>
      <c r="U1957" s="9"/>
      <c r="V1957" s="9"/>
      <c r="W1957" s="9"/>
      <c r="X1957" s="16"/>
      <c r="AF1957" s="42">
        <f>IF(BUSCAR!$C$8="FECHA NAC.",$G1957,IF(BUSCAR!$C$8="PASAPORTE EXPIRA",$J1957,IF(BUSCAR!$C$8="LICENCIA EMISION",$L1957,IF(BUSCAR!$C$8="LICENCIA EXPIRA",$M1957,""))))</f>
      </c>
      <c r="AG1957" s="42">
        <f>IF($B1957&amp;$C1957&amp;$D1957&amp;$E1957&amp;$H1957="",0,IF(AND(OR(BUSCAR!$J$5="",ISNUMBER(SEARCH(BUSCAR!$J$5,$AI1957))),OR(BUSCAR!$J$6="",ISNUMBER(SEARCH(BUSCAR!$J$6,$AI1957))),OR(BUSCAR!$J$8="",ISNUMBER(SEARCH(BUSCAR!$J$8,$AI1957))),OR(BUSCAR!$J$9="",ISNUMBER(SEARCH(BUSCAR!$J$9,$AI1957))),OR(NOT(BUSCAR!$J$2),AND(ISNUMBER($AF1957),$AF1957&gt;=BUSCAR!$J$3,$AF1957&lt;=BUSCAR!$J$4))),1,0))</f>
      </c>
      <c r="AH1957" s="42">
        <f t="shared" si="90"/>
      </c>
      <c r="AI1957" s="42">
        <f t="shared" si="91"/>
      </c>
    </row>
    <row r="1958" spans="1:35" x14ac:dyDescent="0.2">
      <c r="A1958" s="66">
        <f t="shared" si="92"/>
      </c>
      <c r="B1958" s="4"/>
      <c r="C1958" s="4"/>
      <c r="D1958" s="4"/>
      <c r="E1958" s="4"/>
      <c r="F1958" s="24"/>
      <c r="G1958" s="8"/>
      <c r="H1958" s="9"/>
      <c r="I1958" s="8"/>
      <c r="J1958" s="10"/>
      <c r="K1958" s="8"/>
      <c r="L1958" s="8"/>
      <c r="M1958" s="8"/>
      <c r="N1958" s="11"/>
      <c r="O1958" s="9"/>
      <c r="P1958" s="12"/>
      <c r="Q1958" s="9"/>
      <c r="R1958" s="13"/>
      <c r="S1958" s="11"/>
      <c r="T1958" s="11"/>
      <c r="U1958" s="9"/>
      <c r="V1958" s="9"/>
      <c r="W1958" s="9"/>
      <c r="X1958" s="16"/>
      <c r="AF1958" s="42">
        <f>IF(BUSCAR!$C$8="FECHA NAC.",$G1958,IF(BUSCAR!$C$8="PASAPORTE EXPIRA",$J1958,IF(BUSCAR!$C$8="LICENCIA EMISION",$L1958,IF(BUSCAR!$C$8="LICENCIA EXPIRA",$M1958,""))))</f>
      </c>
      <c r="AG1958" s="42">
        <f>IF($B1958&amp;$C1958&amp;$D1958&amp;$E1958&amp;$H1958="",0,IF(AND(OR(BUSCAR!$J$5="",ISNUMBER(SEARCH(BUSCAR!$J$5,$AI1958))),OR(BUSCAR!$J$6="",ISNUMBER(SEARCH(BUSCAR!$J$6,$AI1958))),OR(BUSCAR!$J$8="",ISNUMBER(SEARCH(BUSCAR!$J$8,$AI1958))),OR(BUSCAR!$J$9="",ISNUMBER(SEARCH(BUSCAR!$J$9,$AI1958))),OR(NOT(BUSCAR!$J$2),AND(ISNUMBER($AF1958),$AF1958&gt;=BUSCAR!$J$3,$AF1958&lt;=BUSCAR!$J$4))),1,0))</f>
      </c>
      <c r="AH1958" s="42">
        <f t="shared" si="90"/>
      </c>
      <c r="AI1958" s="42">
        <f t="shared" si="91"/>
      </c>
    </row>
    <row r="1959" spans="1:35" x14ac:dyDescent="0.2">
      <c r="A1959" s="66">
        <f t="shared" si="92"/>
      </c>
      <c r="B1959" s="4"/>
      <c r="C1959" s="4"/>
      <c r="D1959" s="4"/>
      <c r="E1959" s="4"/>
      <c r="F1959" s="24"/>
      <c r="G1959" s="8"/>
      <c r="H1959" s="9"/>
      <c r="I1959" s="8"/>
      <c r="J1959" s="10"/>
      <c r="K1959" s="8"/>
      <c r="L1959" s="8"/>
      <c r="M1959" s="8"/>
      <c r="N1959" s="11"/>
      <c r="O1959" s="9"/>
      <c r="P1959" s="12"/>
      <c r="Q1959" s="9"/>
      <c r="R1959" s="13"/>
      <c r="S1959" s="11"/>
      <c r="T1959" s="11"/>
      <c r="U1959" s="9"/>
      <c r="V1959" s="9"/>
      <c r="W1959" s="9"/>
      <c r="X1959" s="16"/>
      <c r="AF1959" s="42">
        <f>IF(BUSCAR!$C$8="FECHA NAC.",$G1959,IF(BUSCAR!$C$8="PASAPORTE EXPIRA",$J1959,IF(BUSCAR!$C$8="LICENCIA EMISION",$L1959,IF(BUSCAR!$C$8="LICENCIA EXPIRA",$M1959,""))))</f>
      </c>
      <c r="AG1959" s="42">
        <f>IF($B1959&amp;$C1959&amp;$D1959&amp;$E1959&amp;$H1959="",0,IF(AND(OR(BUSCAR!$J$5="",ISNUMBER(SEARCH(BUSCAR!$J$5,$AI1959))),OR(BUSCAR!$J$6="",ISNUMBER(SEARCH(BUSCAR!$J$6,$AI1959))),OR(BUSCAR!$J$8="",ISNUMBER(SEARCH(BUSCAR!$J$8,$AI1959))),OR(BUSCAR!$J$9="",ISNUMBER(SEARCH(BUSCAR!$J$9,$AI1959))),OR(NOT(BUSCAR!$J$2),AND(ISNUMBER($AF1959),$AF1959&gt;=BUSCAR!$J$3,$AF1959&lt;=BUSCAR!$J$4))),1,0))</f>
      </c>
      <c r="AH1959" s="42">
        <f t="shared" si="90"/>
      </c>
      <c r="AI1959" s="42">
        <f t="shared" si="91"/>
      </c>
    </row>
    <row r="1960" spans="1:35" x14ac:dyDescent="0.2">
      <c r="A1960" s="66">
        <f t="shared" si="92"/>
      </c>
      <c r="B1960" s="4"/>
      <c r="C1960" s="4"/>
      <c r="D1960" s="4"/>
      <c r="E1960" s="4"/>
      <c r="F1960" s="24"/>
      <c r="G1960" s="8"/>
      <c r="H1960" s="9"/>
      <c r="I1960" s="8"/>
      <c r="J1960" s="10"/>
      <c r="K1960" s="8"/>
      <c r="L1960" s="8"/>
      <c r="M1960" s="8"/>
      <c r="N1960" s="11"/>
      <c r="O1960" s="9"/>
      <c r="P1960" s="12"/>
      <c r="Q1960" s="9"/>
      <c r="R1960" s="13"/>
      <c r="S1960" s="11"/>
      <c r="T1960" s="11"/>
      <c r="U1960" s="9"/>
      <c r="V1960" s="9"/>
      <c r="W1960" s="9"/>
      <c r="X1960" s="16"/>
      <c r="AF1960" s="42">
        <f>IF(BUSCAR!$C$8="FECHA NAC.",$G1960,IF(BUSCAR!$C$8="PASAPORTE EXPIRA",$J1960,IF(BUSCAR!$C$8="LICENCIA EMISION",$L1960,IF(BUSCAR!$C$8="LICENCIA EXPIRA",$M1960,""))))</f>
      </c>
      <c r="AG1960" s="42">
        <f>IF($B1960&amp;$C1960&amp;$D1960&amp;$E1960&amp;$H1960="",0,IF(AND(OR(BUSCAR!$J$5="",ISNUMBER(SEARCH(BUSCAR!$J$5,$AI1960))),OR(BUSCAR!$J$6="",ISNUMBER(SEARCH(BUSCAR!$J$6,$AI1960))),OR(BUSCAR!$J$8="",ISNUMBER(SEARCH(BUSCAR!$J$8,$AI1960))),OR(BUSCAR!$J$9="",ISNUMBER(SEARCH(BUSCAR!$J$9,$AI1960))),OR(NOT(BUSCAR!$J$2),AND(ISNUMBER($AF1960),$AF1960&gt;=BUSCAR!$J$3,$AF1960&lt;=BUSCAR!$J$4))),1,0))</f>
      </c>
      <c r="AH1960" s="42">
        <f t="shared" si="90"/>
      </c>
      <c r="AI1960" s="42">
        <f t="shared" si="91"/>
      </c>
    </row>
    <row r="1961" spans="1:35" x14ac:dyDescent="0.2">
      <c r="A1961" s="66">
        <f t="shared" si="92"/>
      </c>
      <c r="B1961" s="4"/>
      <c r="C1961" s="4"/>
      <c r="D1961" s="4"/>
      <c r="E1961" s="4"/>
      <c r="F1961" s="24"/>
      <c r="G1961" s="8"/>
      <c r="H1961" s="9"/>
      <c r="I1961" s="8"/>
      <c r="J1961" s="10"/>
      <c r="K1961" s="8"/>
      <c r="L1961" s="8"/>
      <c r="M1961" s="8"/>
      <c r="N1961" s="11"/>
      <c r="O1961" s="9"/>
      <c r="P1961" s="12"/>
      <c r="Q1961" s="9"/>
      <c r="R1961" s="13"/>
      <c r="S1961" s="11"/>
      <c r="T1961" s="11"/>
      <c r="U1961" s="9"/>
      <c r="V1961" s="9"/>
      <c r="W1961" s="9"/>
      <c r="X1961" s="16"/>
      <c r="AF1961" s="42">
        <f>IF(BUSCAR!$C$8="FECHA NAC.",$G1961,IF(BUSCAR!$C$8="PASAPORTE EXPIRA",$J1961,IF(BUSCAR!$C$8="LICENCIA EMISION",$L1961,IF(BUSCAR!$C$8="LICENCIA EXPIRA",$M1961,""))))</f>
      </c>
      <c r="AG1961" s="42">
        <f>IF($B1961&amp;$C1961&amp;$D1961&amp;$E1961&amp;$H1961="",0,IF(AND(OR(BUSCAR!$J$5="",ISNUMBER(SEARCH(BUSCAR!$J$5,$AI1961))),OR(BUSCAR!$J$6="",ISNUMBER(SEARCH(BUSCAR!$J$6,$AI1961))),OR(BUSCAR!$J$8="",ISNUMBER(SEARCH(BUSCAR!$J$8,$AI1961))),OR(BUSCAR!$J$9="",ISNUMBER(SEARCH(BUSCAR!$J$9,$AI1961))),OR(NOT(BUSCAR!$J$2),AND(ISNUMBER($AF1961),$AF1961&gt;=BUSCAR!$J$3,$AF1961&lt;=BUSCAR!$J$4))),1,0))</f>
      </c>
      <c r="AH1961" s="42">
        <f t="shared" si="90"/>
      </c>
      <c r="AI1961" s="42">
        <f t="shared" si="91"/>
      </c>
    </row>
    <row r="1962" spans="1:35" x14ac:dyDescent="0.2">
      <c r="A1962" s="66">
        <f t="shared" si="92"/>
      </c>
      <c r="B1962" s="4"/>
      <c r="C1962" s="4"/>
      <c r="D1962" s="4"/>
      <c r="E1962" s="4"/>
      <c r="F1962" s="24"/>
      <c r="G1962" s="8"/>
      <c r="H1962" s="9"/>
      <c r="I1962" s="8"/>
      <c r="J1962" s="10"/>
      <c r="K1962" s="8"/>
      <c r="L1962" s="8"/>
      <c r="M1962" s="8"/>
      <c r="N1962" s="11"/>
      <c r="O1962" s="9"/>
      <c r="P1962" s="12"/>
      <c r="Q1962" s="9"/>
      <c r="R1962" s="13"/>
      <c r="S1962" s="11"/>
      <c r="T1962" s="11"/>
      <c r="U1962" s="9"/>
      <c r="V1962" s="9"/>
      <c r="W1962" s="9"/>
      <c r="X1962" s="16"/>
      <c r="AF1962" s="42">
        <f>IF(BUSCAR!$C$8="FECHA NAC.",$G1962,IF(BUSCAR!$C$8="PASAPORTE EXPIRA",$J1962,IF(BUSCAR!$C$8="LICENCIA EMISION",$L1962,IF(BUSCAR!$C$8="LICENCIA EXPIRA",$M1962,""))))</f>
      </c>
      <c r="AG1962" s="42">
        <f>IF($B1962&amp;$C1962&amp;$D1962&amp;$E1962&amp;$H1962="",0,IF(AND(OR(BUSCAR!$J$5="",ISNUMBER(SEARCH(BUSCAR!$J$5,$AI1962))),OR(BUSCAR!$J$6="",ISNUMBER(SEARCH(BUSCAR!$J$6,$AI1962))),OR(BUSCAR!$J$8="",ISNUMBER(SEARCH(BUSCAR!$J$8,$AI1962))),OR(BUSCAR!$J$9="",ISNUMBER(SEARCH(BUSCAR!$J$9,$AI1962))),OR(NOT(BUSCAR!$J$2),AND(ISNUMBER($AF1962),$AF1962&gt;=BUSCAR!$J$3,$AF1962&lt;=BUSCAR!$J$4))),1,0))</f>
      </c>
      <c r="AH1962" s="42">
        <f t="shared" si="90"/>
      </c>
      <c r="AI1962" s="42">
        <f t="shared" si="91"/>
      </c>
    </row>
    <row r="1963" spans="1:35" x14ac:dyDescent="0.2">
      <c r="A1963" s="66">
        <f t="shared" si="92"/>
      </c>
      <c r="B1963" s="4"/>
      <c r="C1963" s="4"/>
      <c r="D1963" s="4"/>
      <c r="E1963" s="4"/>
      <c r="F1963" s="24"/>
      <c r="G1963" s="8"/>
      <c r="H1963" s="9"/>
      <c r="I1963" s="8"/>
      <c r="J1963" s="10"/>
      <c r="K1963" s="8"/>
      <c r="L1963" s="8"/>
      <c r="M1963" s="8"/>
      <c r="N1963" s="11"/>
      <c r="O1963" s="9"/>
      <c r="P1963" s="12"/>
      <c r="Q1963" s="9"/>
      <c r="R1963" s="13"/>
      <c r="S1963" s="11"/>
      <c r="T1963" s="11"/>
      <c r="U1963" s="9"/>
      <c r="V1963" s="9"/>
      <c r="W1963" s="9"/>
      <c r="X1963" s="16"/>
      <c r="AF1963" s="42">
        <f>IF(BUSCAR!$C$8="FECHA NAC.",$G1963,IF(BUSCAR!$C$8="PASAPORTE EXPIRA",$J1963,IF(BUSCAR!$C$8="LICENCIA EMISION",$L1963,IF(BUSCAR!$C$8="LICENCIA EXPIRA",$M1963,""))))</f>
      </c>
      <c r="AG1963" s="42">
        <f>IF($B1963&amp;$C1963&amp;$D1963&amp;$E1963&amp;$H1963="",0,IF(AND(OR(BUSCAR!$J$5="",ISNUMBER(SEARCH(BUSCAR!$J$5,$AI1963))),OR(BUSCAR!$J$6="",ISNUMBER(SEARCH(BUSCAR!$J$6,$AI1963))),OR(BUSCAR!$J$8="",ISNUMBER(SEARCH(BUSCAR!$J$8,$AI1963))),OR(BUSCAR!$J$9="",ISNUMBER(SEARCH(BUSCAR!$J$9,$AI1963))),OR(NOT(BUSCAR!$J$2),AND(ISNUMBER($AF1963),$AF1963&gt;=BUSCAR!$J$3,$AF1963&lt;=BUSCAR!$J$4))),1,0))</f>
      </c>
      <c r="AH1963" s="42">
        <f t="shared" si="90"/>
      </c>
      <c r="AI1963" s="42">
        <f t="shared" si="91"/>
      </c>
    </row>
    <row r="1964" spans="1:35" x14ac:dyDescent="0.2">
      <c r="A1964" s="66">
        <f t="shared" si="92"/>
      </c>
      <c r="B1964" s="4"/>
      <c r="C1964" s="4"/>
      <c r="D1964" s="4"/>
      <c r="E1964" s="4"/>
      <c r="F1964" s="24"/>
      <c r="G1964" s="8"/>
      <c r="H1964" s="9"/>
      <c r="I1964" s="8"/>
      <c r="J1964" s="10"/>
      <c r="K1964" s="8"/>
      <c r="L1964" s="8"/>
      <c r="M1964" s="8"/>
      <c r="N1964" s="11"/>
      <c r="O1964" s="9"/>
      <c r="P1964" s="12"/>
      <c r="Q1964" s="9"/>
      <c r="R1964" s="13"/>
      <c r="S1964" s="11"/>
      <c r="T1964" s="11"/>
      <c r="U1964" s="9"/>
      <c r="V1964" s="9"/>
      <c r="W1964" s="9"/>
      <c r="X1964" s="16"/>
      <c r="AF1964" s="42">
        <f>IF(BUSCAR!$C$8="FECHA NAC.",$G1964,IF(BUSCAR!$C$8="PASAPORTE EXPIRA",$J1964,IF(BUSCAR!$C$8="LICENCIA EMISION",$L1964,IF(BUSCAR!$C$8="LICENCIA EXPIRA",$M1964,""))))</f>
      </c>
      <c r="AG1964" s="42">
        <f>IF($B1964&amp;$C1964&amp;$D1964&amp;$E1964&amp;$H1964="",0,IF(AND(OR(BUSCAR!$J$5="",ISNUMBER(SEARCH(BUSCAR!$J$5,$AI1964))),OR(BUSCAR!$J$6="",ISNUMBER(SEARCH(BUSCAR!$J$6,$AI1964))),OR(BUSCAR!$J$8="",ISNUMBER(SEARCH(BUSCAR!$J$8,$AI1964))),OR(BUSCAR!$J$9="",ISNUMBER(SEARCH(BUSCAR!$J$9,$AI1964))),OR(NOT(BUSCAR!$J$2),AND(ISNUMBER($AF1964),$AF1964&gt;=BUSCAR!$J$3,$AF1964&lt;=BUSCAR!$J$4))),1,0))</f>
      </c>
      <c r="AH1964" s="42">
        <f t="shared" si="90"/>
      </c>
      <c r="AI1964" s="42">
        <f t="shared" si="91"/>
      </c>
    </row>
    <row r="1965" spans="1:35" x14ac:dyDescent="0.2">
      <c r="A1965" s="66">
        <f t="shared" si="92"/>
      </c>
      <c r="B1965" s="4"/>
      <c r="C1965" s="4"/>
      <c r="D1965" s="4"/>
      <c r="E1965" s="4"/>
      <c r="F1965" s="24"/>
      <c r="G1965" s="8"/>
      <c r="H1965" s="9"/>
      <c r="I1965" s="8"/>
      <c r="J1965" s="10"/>
      <c r="K1965" s="8"/>
      <c r="L1965" s="8"/>
      <c r="M1965" s="8"/>
      <c r="N1965" s="11"/>
      <c r="O1965" s="9"/>
      <c r="P1965" s="12"/>
      <c r="Q1965" s="9"/>
      <c r="R1965" s="13"/>
      <c r="S1965" s="11"/>
      <c r="T1965" s="11"/>
      <c r="U1965" s="9"/>
      <c r="V1965" s="9"/>
      <c r="W1965" s="9"/>
      <c r="X1965" s="16"/>
      <c r="AF1965" s="42">
        <f>IF(BUSCAR!$C$8="FECHA NAC.",$G1965,IF(BUSCAR!$C$8="PASAPORTE EXPIRA",$J1965,IF(BUSCAR!$C$8="LICENCIA EMISION",$L1965,IF(BUSCAR!$C$8="LICENCIA EXPIRA",$M1965,""))))</f>
      </c>
      <c r="AG1965" s="42">
        <f>IF($B1965&amp;$C1965&amp;$D1965&amp;$E1965&amp;$H1965="",0,IF(AND(OR(BUSCAR!$J$5="",ISNUMBER(SEARCH(BUSCAR!$J$5,$AI1965))),OR(BUSCAR!$J$6="",ISNUMBER(SEARCH(BUSCAR!$J$6,$AI1965))),OR(BUSCAR!$J$8="",ISNUMBER(SEARCH(BUSCAR!$J$8,$AI1965))),OR(BUSCAR!$J$9="",ISNUMBER(SEARCH(BUSCAR!$J$9,$AI1965))),OR(NOT(BUSCAR!$J$2),AND(ISNUMBER($AF1965),$AF1965&gt;=BUSCAR!$J$3,$AF1965&lt;=BUSCAR!$J$4))),1,0))</f>
      </c>
      <c r="AH1965" s="42">
        <f t="shared" si="90"/>
      </c>
      <c r="AI1965" s="42">
        <f t="shared" si="91"/>
      </c>
    </row>
    <row r="1966" spans="1:35" x14ac:dyDescent="0.2">
      <c r="A1966" s="66">
        <f t="shared" si="92"/>
      </c>
      <c r="B1966" s="4"/>
      <c r="C1966" s="4"/>
      <c r="D1966" s="4"/>
      <c r="E1966" s="4"/>
      <c r="F1966" s="24"/>
      <c r="G1966" s="8"/>
      <c r="H1966" s="9"/>
      <c r="I1966" s="8"/>
      <c r="J1966" s="10"/>
      <c r="K1966" s="8"/>
      <c r="L1966" s="8"/>
      <c r="M1966" s="8"/>
      <c r="N1966" s="11"/>
      <c r="O1966" s="9"/>
      <c r="P1966" s="12"/>
      <c r="Q1966" s="9"/>
      <c r="R1966" s="13"/>
      <c r="S1966" s="11"/>
      <c r="T1966" s="11"/>
      <c r="U1966" s="9"/>
      <c r="V1966" s="9"/>
      <c r="W1966" s="9"/>
      <c r="X1966" s="16"/>
      <c r="AF1966" s="42">
        <f>IF(BUSCAR!$C$8="FECHA NAC.",$G1966,IF(BUSCAR!$C$8="PASAPORTE EXPIRA",$J1966,IF(BUSCAR!$C$8="LICENCIA EMISION",$L1966,IF(BUSCAR!$C$8="LICENCIA EXPIRA",$M1966,""))))</f>
      </c>
      <c r="AG1966" s="42">
        <f>IF($B1966&amp;$C1966&amp;$D1966&amp;$E1966&amp;$H1966="",0,IF(AND(OR(BUSCAR!$J$5="",ISNUMBER(SEARCH(BUSCAR!$J$5,$AI1966))),OR(BUSCAR!$J$6="",ISNUMBER(SEARCH(BUSCAR!$J$6,$AI1966))),OR(BUSCAR!$J$8="",ISNUMBER(SEARCH(BUSCAR!$J$8,$AI1966))),OR(BUSCAR!$J$9="",ISNUMBER(SEARCH(BUSCAR!$J$9,$AI1966))),OR(NOT(BUSCAR!$J$2),AND(ISNUMBER($AF1966),$AF1966&gt;=BUSCAR!$J$3,$AF1966&lt;=BUSCAR!$J$4))),1,0))</f>
      </c>
      <c r="AH1966" s="42">
        <f t="shared" si="90"/>
      </c>
      <c r="AI1966" s="42">
        <f t="shared" si="91"/>
      </c>
    </row>
    <row r="1967" spans="1:35" x14ac:dyDescent="0.2">
      <c r="A1967" s="66">
        <f t="shared" si="92"/>
      </c>
      <c r="B1967" s="4"/>
      <c r="C1967" s="4"/>
      <c r="D1967" s="4"/>
      <c r="E1967" s="4"/>
      <c r="F1967" s="24"/>
      <c r="G1967" s="8"/>
      <c r="H1967" s="9"/>
      <c r="I1967" s="8"/>
      <c r="J1967" s="10"/>
      <c r="K1967" s="8"/>
      <c r="L1967" s="8"/>
      <c r="M1967" s="8"/>
      <c r="N1967" s="11"/>
      <c r="O1967" s="9"/>
      <c r="P1967" s="12"/>
      <c r="Q1967" s="9"/>
      <c r="R1967" s="13"/>
      <c r="S1967" s="11"/>
      <c r="T1967" s="11"/>
      <c r="U1967" s="9"/>
      <c r="V1967" s="9"/>
      <c r="W1967" s="9"/>
      <c r="X1967" s="16"/>
      <c r="AF1967" s="42">
        <f>IF(BUSCAR!$C$8="FECHA NAC.",$G1967,IF(BUSCAR!$C$8="PASAPORTE EXPIRA",$J1967,IF(BUSCAR!$C$8="LICENCIA EMISION",$L1967,IF(BUSCAR!$C$8="LICENCIA EXPIRA",$M1967,""))))</f>
      </c>
      <c r="AG1967" s="42">
        <f>IF($B1967&amp;$C1967&amp;$D1967&amp;$E1967&amp;$H1967="",0,IF(AND(OR(BUSCAR!$J$5="",ISNUMBER(SEARCH(BUSCAR!$J$5,$AI1967))),OR(BUSCAR!$J$6="",ISNUMBER(SEARCH(BUSCAR!$J$6,$AI1967))),OR(BUSCAR!$J$8="",ISNUMBER(SEARCH(BUSCAR!$J$8,$AI1967))),OR(BUSCAR!$J$9="",ISNUMBER(SEARCH(BUSCAR!$J$9,$AI1967))),OR(NOT(BUSCAR!$J$2),AND(ISNUMBER($AF1967),$AF1967&gt;=BUSCAR!$J$3,$AF1967&lt;=BUSCAR!$J$4))),1,0))</f>
      </c>
      <c r="AH1967" s="42">
        <f t="shared" si="90"/>
      </c>
      <c r="AI1967" s="42">
        <f t="shared" si="91"/>
      </c>
    </row>
    <row r="1968" spans="1:35" x14ac:dyDescent="0.2">
      <c r="A1968" s="66">
        <f t="shared" si="92"/>
      </c>
      <c r="B1968" s="4"/>
      <c r="C1968" s="4"/>
      <c r="D1968" s="4"/>
      <c r="E1968" s="4"/>
      <c r="F1968" s="24"/>
      <c r="G1968" s="8"/>
      <c r="H1968" s="9"/>
      <c r="I1968" s="8"/>
      <c r="J1968" s="10"/>
      <c r="K1968" s="8"/>
      <c r="L1968" s="8"/>
      <c r="M1968" s="8"/>
      <c r="N1968" s="11"/>
      <c r="O1968" s="9"/>
      <c r="P1968" s="12"/>
      <c r="Q1968" s="9"/>
      <c r="R1968" s="13"/>
      <c r="S1968" s="11"/>
      <c r="T1968" s="11"/>
      <c r="U1968" s="9"/>
      <c r="V1968" s="9"/>
      <c r="W1968" s="9"/>
      <c r="X1968" s="16"/>
      <c r="AF1968" s="42">
        <f>IF(BUSCAR!$C$8="FECHA NAC.",$G1968,IF(BUSCAR!$C$8="PASAPORTE EXPIRA",$J1968,IF(BUSCAR!$C$8="LICENCIA EMISION",$L1968,IF(BUSCAR!$C$8="LICENCIA EXPIRA",$M1968,""))))</f>
      </c>
      <c r="AG1968" s="42">
        <f>IF($B1968&amp;$C1968&amp;$D1968&amp;$E1968&amp;$H1968="",0,IF(AND(OR(BUSCAR!$J$5="",ISNUMBER(SEARCH(BUSCAR!$J$5,$AI1968))),OR(BUSCAR!$J$6="",ISNUMBER(SEARCH(BUSCAR!$J$6,$AI1968))),OR(BUSCAR!$J$8="",ISNUMBER(SEARCH(BUSCAR!$J$8,$AI1968))),OR(BUSCAR!$J$9="",ISNUMBER(SEARCH(BUSCAR!$J$9,$AI1968))),OR(NOT(BUSCAR!$J$2),AND(ISNUMBER($AF1968),$AF1968&gt;=BUSCAR!$J$3,$AF1968&lt;=BUSCAR!$J$4))),1,0))</f>
      </c>
      <c r="AH1968" s="42">
        <f t="shared" si="90"/>
      </c>
      <c r="AI1968" s="42">
        <f t="shared" si="91"/>
      </c>
    </row>
    <row r="1969" spans="1:35" x14ac:dyDescent="0.2">
      <c r="A1969" s="66">
        <f t="shared" si="92"/>
      </c>
      <c r="B1969" s="4"/>
      <c r="C1969" s="4"/>
      <c r="D1969" s="4"/>
      <c r="E1969" s="4"/>
      <c r="F1969" s="24"/>
      <c r="G1969" s="8"/>
      <c r="H1969" s="9"/>
      <c r="I1969" s="8"/>
      <c r="J1969" s="10"/>
      <c r="K1969" s="8"/>
      <c r="L1969" s="8"/>
      <c r="M1969" s="8"/>
      <c r="N1969" s="11"/>
      <c r="O1969" s="9"/>
      <c r="P1969" s="12"/>
      <c r="Q1969" s="9"/>
      <c r="R1969" s="13"/>
      <c r="S1969" s="11"/>
      <c r="T1969" s="11"/>
      <c r="U1969" s="9"/>
      <c r="V1969" s="9"/>
      <c r="W1969" s="9"/>
      <c r="X1969" s="16"/>
      <c r="AF1969" s="42">
        <f>IF(BUSCAR!$C$8="FECHA NAC.",$G1969,IF(BUSCAR!$C$8="PASAPORTE EXPIRA",$J1969,IF(BUSCAR!$C$8="LICENCIA EMISION",$L1969,IF(BUSCAR!$C$8="LICENCIA EXPIRA",$M1969,""))))</f>
      </c>
      <c r="AG1969" s="42">
        <f>IF($B1969&amp;$C1969&amp;$D1969&amp;$E1969&amp;$H1969="",0,IF(AND(OR(BUSCAR!$J$5="",ISNUMBER(SEARCH(BUSCAR!$J$5,$AI1969))),OR(BUSCAR!$J$6="",ISNUMBER(SEARCH(BUSCAR!$J$6,$AI1969))),OR(BUSCAR!$J$8="",ISNUMBER(SEARCH(BUSCAR!$J$8,$AI1969))),OR(BUSCAR!$J$9="",ISNUMBER(SEARCH(BUSCAR!$J$9,$AI1969))),OR(NOT(BUSCAR!$J$2),AND(ISNUMBER($AF1969),$AF1969&gt;=BUSCAR!$J$3,$AF1969&lt;=BUSCAR!$J$4))),1,0))</f>
      </c>
      <c r="AH1969" s="42">
        <f t="shared" si="90"/>
      </c>
      <c r="AI1969" s="42">
        <f t="shared" si="91"/>
      </c>
    </row>
    <row r="1970" spans="1:35" x14ac:dyDescent="0.2">
      <c r="A1970" s="66">
        <f t="shared" si="92"/>
      </c>
      <c r="B1970" s="4"/>
      <c r="C1970" s="4"/>
      <c r="D1970" s="4"/>
      <c r="E1970" s="4"/>
      <c r="F1970" s="24"/>
      <c r="G1970" s="8"/>
      <c r="H1970" s="9"/>
      <c r="I1970" s="8"/>
      <c r="J1970" s="10"/>
      <c r="K1970" s="8"/>
      <c r="L1970" s="8"/>
      <c r="M1970" s="8"/>
      <c r="N1970" s="11"/>
      <c r="O1970" s="9"/>
      <c r="P1970" s="12"/>
      <c r="Q1970" s="9"/>
      <c r="R1970" s="13"/>
      <c r="S1970" s="11"/>
      <c r="T1970" s="11"/>
      <c r="U1970" s="9"/>
      <c r="V1970" s="9"/>
      <c r="W1970" s="9"/>
      <c r="X1970" s="16"/>
      <c r="AF1970" s="42">
        <f>IF(BUSCAR!$C$8="FECHA NAC.",$G1970,IF(BUSCAR!$C$8="PASAPORTE EXPIRA",$J1970,IF(BUSCAR!$C$8="LICENCIA EMISION",$L1970,IF(BUSCAR!$C$8="LICENCIA EXPIRA",$M1970,""))))</f>
      </c>
      <c r="AG1970" s="42">
        <f>IF($B1970&amp;$C1970&amp;$D1970&amp;$E1970&amp;$H1970="",0,IF(AND(OR(BUSCAR!$J$5="",ISNUMBER(SEARCH(BUSCAR!$J$5,$AI1970))),OR(BUSCAR!$J$6="",ISNUMBER(SEARCH(BUSCAR!$J$6,$AI1970))),OR(BUSCAR!$J$8="",ISNUMBER(SEARCH(BUSCAR!$J$8,$AI1970))),OR(BUSCAR!$J$9="",ISNUMBER(SEARCH(BUSCAR!$J$9,$AI1970))),OR(NOT(BUSCAR!$J$2),AND(ISNUMBER($AF1970),$AF1970&gt;=BUSCAR!$J$3,$AF1970&lt;=BUSCAR!$J$4))),1,0))</f>
      </c>
      <c r="AH1970" s="42">
        <f t="shared" si="90"/>
      </c>
      <c r="AI1970" s="42">
        <f t="shared" si="91"/>
      </c>
    </row>
    <row r="1971" spans="1:35" x14ac:dyDescent="0.2">
      <c r="A1971" s="66">
        <f t="shared" si="92"/>
      </c>
      <c r="B1971" s="4"/>
      <c r="C1971" s="4"/>
      <c r="D1971" s="4"/>
      <c r="E1971" s="4"/>
      <c r="F1971" s="24"/>
      <c r="G1971" s="8"/>
      <c r="H1971" s="9"/>
      <c r="I1971" s="8"/>
      <c r="J1971" s="10"/>
      <c r="K1971" s="8"/>
      <c r="L1971" s="8"/>
      <c r="M1971" s="8"/>
      <c r="N1971" s="11"/>
      <c r="O1971" s="9"/>
      <c r="P1971" s="12"/>
      <c r="Q1971" s="9"/>
      <c r="R1971" s="13"/>
      <c r="S1971" s="11"/>
      <c r="T1971" s="11"/>
      <c r="U1971" s="9"/>
      <c r="V1971" s="9"/>
      <c r="W1971" s="9"/>
      <c r="X1971" s="16"/>
      <c r="AF1971" s="42">
        <f>IF(BUSCAR!$C$8="FECHA NAC.",$G1971,IF(BUSCAR!$C$8="PASAPORTE EXPIRA",$J1971,IF(BUSCAR!$C$8="LICENCIA EMISION",$L1971,IF(BUSCAR!$C$8="LICENCIA EXPIRA",$M1971,""))))</f>
      </c>
      <c r="AG1971" s="42">
        <f>IF($B1971&amp;$C1971&amp;$D1971&amp;$E1971&amp;$H1971="",0,IF(AND(OR(BUSCAR!$J$5="",ISNUMBER(SEARCH(BUSCAR!$J$5,$AI1971))),OR(BUSCAR!$J$6="",ISNUMBER(SEARCH(BUSCAR!$J$6,$AI1971))),OR(BUSCAR!$J$8="",ISNUMBER(SEARCH(BUSCAR!$J$8,$AI1971))),OR(BUSCAR!$J$9="",ISNUMBER(SEARCH(BUSCAR!$J$9,$AI1971))),OR(NOT(BUSCAR!$J$2),AND(ISNUMBER($AF1971),$AF1971&gt;=BUSCAR!$J$3,$AF1971&lt;=BUSCAR!$J$4))),1,0))</f>
      </c>
      <c r="AH1971" s="42">
        <f t="shared" si="90"/>
      </c>
      <c r="AI1971" s="42">
        <f t="shared" si="91"/>
      </c>
    </row>
    <row r="1972" spans="1:35" x14ac:dyDescent="0.2">
      <c r="A1972" s="66">
        <f t="shared" si="92"/>
      </c>
      <c r="B1972" s="4"/>
      <c r="C1972" s="4"/>
      <c r="D1972" s="4"/>
      <c r="E1972" s="4"/>
      <c r="F1972" s="24"/>
      <c r="G1972" s="8"/>
      <c r="H1972" s="9"/>
      <c r="I1972" s="8"/>
      <c r="J1972" s="10"/>
      <c r="K1972" s="8"/>
      <c r="L1972" s="8"/>
      <c r="M1972" s="8"/>
      <c r="N1972" s="11"/>
      <c r="O1972" s="9"/>
      <c r="P1972" s="12"/>
      <c r="Q1972" s="9"/>
      <c r="R1972" s="13"/>
      <c r="S1972" s="11"/>
      <c r="T1972" s="11"/>
      <c r="U1972" s="9"/>
      <c r="V1972" s="9"/>
      <c r="W1972" s="9"/>
      <c r="X1972" s="16"/>
      <c r="AF1972" s="42">
        <f>IF(BUSCAR!$C$8="FECHA NAC.",$G1972,IF(BUSCAR!$C$8="PASAPORTE EXPIRA",$J1972,IF(BUSCAR!$C$8="LICENCIA EMISION",$L1972,IF(BUSCAR!$C$8="LICENCIA EXPIRA",$M1972,""))))</f>
      </c>
      <c r="AG1972" s="42">
        <f>IF($B1972&amp;$C1972&amp;$D1972&amp;$E1972&amp;$H1972="",0,IF(AND(OR(BUSCAR!$J$5="",ISNUMBER(SEARCH(BUSCAR!$J$5,$AI1972))),OR(BUSCAR!$J$6="",ISNUMBER(SEARCH(BUSCAR!$J$6,$AI1972))),OR(BUSCAR!$J$8="",ISNUMBER(SEARCH(BUSCAR!$J$8,$AI1972))),OR(BUSCAR!$J$9="",ISNUMBER(SEARCH(BUSCAR!$J$9,$AI1972))),OR(NOT(BUSCAR!$J$2),AND(ISNUMBER($AF1972),$AF1972&gt;=BUSCAR!$J$3,$AF1972&lt;=BUSCAR!$J$4))),1,0))</f>
      </c>
      <c r="AH1972" s="42">
        <f t="shared" si="90"/>
      </c>
      <c r="AI1972" s="42">
        <f t="shared" si="91"/>
      </c>
    </row>
    <row r="1973" spans="1:35" x14ac:dyDescent="0.2">
      <c r="A1973" s="66">
        <f t="shared" si="92"/>
      </c>
      <c r="B1973" s="4"/>
      <c r="C1973" s="4"/>
      <c r="D1973" s="4"/>
      <c r="E1973" s="4"/>
      <c r="F1973" s="24"/>
      <c r="G1973" s="8"/>
      <c r="H1973" s="9"/>
      <c r="I1973" s="8"/>
      <c r="J1973" s="10"/>
      <c r="K1973" s="8"/>
      <c r="L1973" s="8"/>
      <c r="M1973" s="8"/>
      <c r="N1973" s="11"/>
      <c r="O1973" s="9"/>
      <c r="P1973" s="12"/>
      <c r="Q1973" s="9"/>
      <c r="R1973" s="13"/>
      <c r="S1973" s="11"/>
      <c r="T1973" s="11"/>
      <c r="U1973" s="9"/>
      <c r="V1973" s="9"/>
      <c r="W1973" s="9"/>
      <c r="X1973" s="16"/>
      <c r="AF1973" s="42">
        <f>IF(BUSCAR!$C$8="FECHA NAC.",$G1973,IF(BUSCAR!$C$8="PASAPORTE EXPIRA",$J1973,IF(BUSCAR!$C$8="LICENCIA EMISION",$L1973,IF(BUSCAR!$C$8="LICENCIA EXPIRA",$M1973,""))))</f>
      </c>
      <c r="AG1973" s="42">
        <f>IF($B1973&amp;$C1973&amp;$D1973&amp;$E1973&amp;$H1973="",0,IF(AND(OR(BUSCAR!$J$5="",ISNUMBER(SEARCH(BUSCAR!$J$5,$AI1973))),OR(BUSCAR!$J$6="",ISNUMBER(SEARCH(BUSCAR!$J$6,$AI1973))),OR(BUSCAR!$J$8="",ISNUMBER(SEARCH(BUSCAR!$J$8,$AI1973))),OR(BUSCAR!$J$9="",ISNUMBER(SEARCH(BUSCAR!$J$9,$AI1973))),OR(NOT(BUSCAR!$J$2),AND(ISNUMBER($AF1973),$AF1973&gt;=BUSCAR!$J$3,$AF1973&lt;=BUSCAR!$J$4))),1,0))</f>
      </c>
      <c r="AH1973" s="42">
        <f t="shared" si="90"/>
      </c>
      <c r="AI1973" s="42">
        <f t="shared" si="91"/>
      </c>
    </row>
    <row r="1974" spans="1:35" x14ac:dyDescent="0.2">
      <c r="A1974" s="66">
        <f t="shared" si="92"/>
      </c>
      <c r="B1974" s="4"/>
      <c r="C1974" s="4"/>
      <c r="D1974" s="4"/>
      <c r="E1974" s="4"/>
      <c r="F1974" s="24"/>
      <c r="G1974" s="8"/>
      <c r="H1974" s="9"/>
      <c r="I1974" s="8"/>
      <c r="J1974" s="10"/>
      <c r="K1974" s="8"/>
      <c r="L1974" s="8"/>
      <c r="M1974" s="8"/>
      <c r="N1974" s="11"/>
      <c r="O1974" s="9"/>
      <c r="P1974" s="12"/>
      <c r="Q1974" s="9"/>
      <c r="R1974" s="13"/>
      <c r="S1974" s="11"/>
      <c r="T1974" s="11"/>
      <c r="U1974" s="9"/>
      <c r="V1974" s="9"/>
      <c r="W1974" s="9"/>
      <c r="X1974" s="16"/>
      <c r="AF1974" s="42">
        <f>IF(BUSCAR!$C$8="FECHA NAC.",$G1974,IF(BUSCAR!$C$8="PASAPORTE EXPIRA",$J1974,IF(BUSCAR!$C$8="LICENCIA EMISION",$L1974,IF(BUSCAR!$C$8="LICENCIA EXPIRA",$M1974,""))))</f>
      </c>
      <c r="AG1974" s="42">
        <f>IF($B1974&amp;$C1974&amp;$D1974&amp;$E1974&amp;$H1974="",0,IF(AND(OR(BUSCAR!$J$5="",ISNUMBER(SEARCH(BUSCAR!$J$5,$AI1974))),OR(BUSCAR!$J$6="",ISNUMBER(SEARCH(BUSCAR!$J$6,$AI1974))),OR(BUSCAR!$J$8="",ISNUMBER(SEARCH(BUSCAR!$J$8,$AI1974))),OR(BUSCAR!$J$9="",ISNUMBER(SEARCH(BUSCAR!$J$9,$AI1974))),OR(NOT(BUSCAR!$J$2),AND(ISNUMBER($AF1974),$AF1974&gt;=BUSCAR!$J$3,$AF1974&lt;=BUSCAR!$J$4))),1,0))</f>
      </c>
      <c r="AH1974" s="42">
        <f t="shared" si="90"/>
      </c>
      <c r="AI1974" s="42">
        <f t="shared" si="91"/>
      </c>
    </row>
    <row r="1975" spans="1:35" x14ac:dyDescent="0.2">
      <c r="A1975" s="66">
        <f t="shared" si="92"/>
      </c>
      <c r="B1975" s="4"/>
      <c r="C1975" s="4"/>
      <c r="D1975" s="4"/>
      <c r="E1975" s="4"/>
      <c r="F1975" s="24"/>
      <c r="G1975" s="8"/>
      <c r="H1975" s="9"/>
      <c r="I1975" s="8"/>
      <c r="J1975" s="10"/>
      <c r="K1975" s="8"/>
      <c r="L1975" s="8"/>
      <c r="M1975" s="8"/>
      <c r="N1975" s="11"/>
      <c r="O1975" s="9"/>
      <c r="P1975" s="12"/>
      <c r="Q1975" s="9"/>
      <c r="R1975" s="13"/>
      <c r="S1975" s="11"/>
      <c r="T1975" s="11"/>
      <c r="U1975" s="9"/>
      <c r="V1975" s="9"/>
      <c r="W1975" s="9"/>
      <c r="X1975" s="16"/>
      <c r="AF1975" s="42">
        <f>IF(BUSCAR!$C$8="FECHA NAC.",$G1975,IF(BUSCAR!$C$8="PASAPORTE EXPIRA",$J1975,IF(BUSCAR!$C$8="LICENCIA EMISION",$L1975,IF(BUSCAR!$C$8="LICENCIA EXPIRA",$M1975,""))))</f>
      </c>
      <c r="AG1975" s="42">
        <f>IF($B1975&amp;$C1975&amp;$D1975&amp;$E1975&amp;$H1975="",0,IF(AND(OR(BUSCAR!$J$5="",ISNUMBER(SEARCH(BUSCAR!$J$5,$AI1975))),OR(BUSCAR!$J$6="",ISNUMBER(SEARCH(BUSCAR!$J$6,$AI1975))),OR(BUSCAR!$J$8="",ISNUMBER(SEARCH(BUSCAR!$J$8,$AI1975))),OR(BUSCAR!$J$9="",ISNUMBER(SEARCH(BUSCAR!$J$9,$AI1975))),OR(NOT(BUSCAR!$J$2),AND(ISNUMBER($AF1975),$AF1975&gt;=BUSCAR!$J$3,$AF1975&lt;=BUSCAR!$J$4))),1,0))</f>
      </c>
      <c r="AH1975" s="42">
        <f t="shared" si="90"/>
      </c>
      <c r="AI1975" s="42">
        <f t="shared" si="91"/>
      </c>
    </row>
    <row r="1976" spans="1:35" x14ac:dyDescent="0.2">
      <c r="A1976" s="66">
        <f t="shared" si="92"/>
      </c>
      <c r="B1976" s="4"/>
      <c r="C1976" s="4"/>
      <c r="D1976" s="4"/>
      <c r="E1976" s="4"/>
      <c r="F1976" s="24"/>
      <c r="G1976" s="8"/>
      <c r="H1976" s="9"/>
      <c r="I1976" s="8"/>
      <c r="J1976" s="10"/>
      <c r="K1976" s="8"/>
      <c r="L1976" s="8"/>
      <c r="M1976" s="8"/>
      <c r="N1976" s="11"/>
      <c r="O1976" s="9"/>
      <c r="P1976" s="12"/>
      <c r="Q1976" s="9"/>
      <c r="R1976" s="13"/>
      <c r="S1976" s="11"/>
      <c r="T1976" s="11"/>
      <c r="U1976" s="9"/>
      <c r="V1976" s="9"/>
      <c r="W1976" s="9"/>
      <c r="X1976" s="16"/>
      <c r="AF1976" s="42">
        <f>IF(BUSCAR!$C$8="FECHA NAC.",$G1976,IF(BUSCAR!$C$8="PASAPORTE EXPIRA",$J1976,IF(BUSCAR!$C$8="LICENCIA EMISION",$L1976,IF(BUSCAR!$C$8="LICENCIA EXPIRA",$M1976,""))))</f>
      </c>
      <c r="AG1976" s="42">
        <f>IF($B1976&amp;$C1976&amp;$D1976&amp;$E1976&amp;$H1976="",0,IF(AND(OR(BUSCAR!$J$5="",ISNUMBER(SEARCH(BUSCAR!$J$5,$AI1976))),OR(BUSCAR!$J$6="",ISNUMBER(SEARCH(BUSCAR!$J$6,$AI1976))),OR(BUSCAR!$J$8="",ISNUMBER(SEARCH(BUSCAR!$J$8,$AI1976))),OR(BUSCAR!$J$9="",ISNUMBER(SEARCH(BUSCAR!$J$9,$AI1976))),OR(NOT(BUSCAR!$J$2),AND(ISNUMBER($AF1976),$AF1976&gt;=BUSCAR!$J$3,$AF1976&lt;=BUSCAR!$J$4))),1,0))</f>
      </c>
      <c r="AH1976" s="42">
        <f t="shared" si="90"/>
      </c>
      <c r="AI1976" s="42">
        <f t="shared" si="91"/>
      </c>
    </row>
    <row r="1977" spans="1:35" x14ac:dyDescent="0.2">
      <c r="A1977" s="66">
        <f t="shared" si="92"/>
      </c>
      <c r="B1977" s="4"/>
      <c r="C1977" s="4"/>
      <c r="D1977" s="4"/>
      <c r="E1977" s="4"/>
      <c r="F1977" s="24"/>
      <c r="G1977" s="8"/>
      <c r="H1977" s="9"/>
      <c r="I1977" s="8"/>
      <c r="J1977" s="10"/>
      <c r="K1977" s="8"/>
      <c r="L1977" s="8"/>
      <c r="M1977" s="8"/>
      <c r="N1977" s="11"/>
      <c r="O1977" s="9"/>
      <c r="P1977" s="12"/>
      <c r="Q1977" s="9"/>
      <c r="R1977" s="13"/>
      <c r="S1977" s="11"/>
      <c r="T1977" s="11"/>
      <c r="U1977" s="9"/>
      <c r="V1977" s="9"/>
      <c r="W1977" s="9"/>
      <c r="X1977" s="16"/>
      <c r="AF1977" s="42">
        <f>IF(BUSCAR!$C$8="FECHA NAC.",$G1977,IF(BUSCAR!$C$8="PASAPORTE EXPIRA",$J1977,IF(BUSCAR!$C$8="LICENCIA EMISION",$L1977,IF(BUSCAR!$C$8="LICENCIA EXPIRA",$M1977,""))))</f>
      </c>
      <c r="AG1977" s="42">
        <f>IF($B1977&amp;$C1977&amp;$D1977&amp;$E1977&amp;$H1977="",0,IF(AND(OR(BUSCAR!$J$5="",ISNUMBER(SEARCH(BUSCAR!$J$5,$AI1977))),OR(BUSCAR!$J$6="",ISNUMBER(SEARCH(BUSCAR!$J$6,$AI1977))),OR(BUSCAR!$J$8="",ISNUMBER(SEARCH(BUSCAR!$J$8,$AI1977))),OR(BUSCAR!$J$9="",ISNUMBER(SEARCH(BUSCAR!$J$9,$AI1977))),OR(NOT(BUSCAR!$J$2),AND(ISNUMBER($AF1977),$AF1977&gt;=BUSCAR!$J$3,$AF1977&lt;=BUSCAR!$J$4))),1,0))</f>
      </c>
      <c r="AH1977" s="42">
        <f t="shared" si="90"/>
      </c>
      <c r="AI1977" s="42">
        <f t="shared" si="91"/>
      </c>
    </row>
    <row r="1978" spans="1:35" x14ac:dyDescent="0.2">
      <c r="A1978" s="66">
        <f t="shared" si="92"/>
      </c>
      <c r="B1978" s="4"/>
      <c r="C1978" s="4"/>
      <c r="D1978" s="4"/>
      <c r="E1978" s="4"/>
      <c r="F1978" s="24"/>
      <c r="G1978" s="8"/>
      <c r="H1978" s="9"/>
      <c r="I1978" s="8"/>
      <c r="J1978" s="10"/>
      <c r="K1978" s="8"/>
      <c r="L1978" s="8"/>
      <c r="M1978" s="8"/>
      <c r="N1978" s="11"/>
      <c r="O1978" s="9"/>
      <c r="P1978" s="12"/>
      <c r="Q1978" s="9"/>
      <c r="R1978" s="13"/>
      <c r="S1978" s="11"/>
      <c r="T1978" s="11"/>
      <c r="U1978" s="9"/>
      <c r="V1978" s="9"/>
      <c r="W1978" s="9"/>
      <c r="X1978" s="16"/>
      <c r="AF1978" s="42">
        <f>IF(BUSCAR!$C$8="FECHA NAC.",$G1978,IF(BUSCAR!$C$8="PASAPORTE EXPIRA",$J1978,IF(BUSCAR!$C$8="LICENCIA EMISION",$L1978,IF(BUSCAR!$C$8="LICENCIA EXPIRA",$M1978,""))))</f>
      </c>
      <c r="AG1978" s="42">
        <f>IF($B1978&amp;$C1978&amp;$D1978&amp;$E1978&amp;$H1978="",0,IF(AND(OR(BUSCAR!$J$5="",ISNUMBER(SEARCH(BUSCAR!$J$5,$AI1978))),OR(BUSCAR!$J$6="",ISNUMBER(SEARCH(BUSCAR!$J$6,$AI1978))),OR(BUSCAR!$J$8="",ISNUMBER(SEARCH(BUSCAR!$J$8,$AI1978))),OR(BUSCAR!$J$9="",ISNUMBER(SEARCH(BUSCAR!$J$9,$AI1978))),OR(NOT(BUSCAR!$J$2),AND(ISNUMBER($AF1978),$AF1978&gt;=BUSCAR!$J$3,$AF1978&lt;=BUSCAR!$J$4))),1,0))</f>
      </c>
      <c r="AH1978" s="42">
        <f t="shared" si="90"/>
      </c>
      <c r="AI1978" s="42">
        <f t="shared" si="91"/>
      </c>
    </row>
    <row r="1979" spans="1:35" x14ac:dyDescent="0.2">
      <c r="A1979" s="66">
        <f t="shared" si="92"/>
      </c>
      <c r="B1979" s="4"/>
      <c r="C1979" s="4"/>
      <c r="D1979" s="4"/>
      <c r="E1979" s="4"/>
      <c r="F1979" s="24"/>
      <c r="G1979" s="8"/>
      <c r="H1979" s="9"/>
      <c r="I1979" s="8"/>
      <c r="J1979" s="10"/>
      <c r="K1979" s="8"/>
      <c r="L1979" s="8"/>
      <c r="M1979" s="8"/>
      <c r="N1979" s="11"/>
      <c r="O1979" s="9"/>
      <c r="P1979" s="12"/>
      <c r="Q1979" s="9"/>
      <c r="R1979" s="13"/>
      <c r="S1979" s="11"/>
      <c r="T1979" s="11"/>
      <c r="U1979" s="9"/>
      <c r="V1979" s="9"/>
      <c r="W1979" s="9"/>
      <c r="X1979" s="16"/>
      <c r="AF1979" s="42">
        <f>IF(BUSCAR!$C$8="FECHA NAC.",$G1979,IF(BUSCAR!$C$8="PASAPORTE EXPIRA",$J1979,IF(BUSCAR!$C$8="LICENCIA EMISION",$L1979,IF(BUSCAR!$C$8="LICENCIA EXPIRA",$M1979,""))))</f>
      </c>
      <c r="AG1979" s="42">
        <f>IF($B1979&amp;$C1979&amp;$D1979&amp;$E1979&amp;$H1979="",0,IF(AND(OR(BUSCAR!$J$5="",ISNUMBER(SEARCH(BUSCAR!$J$5,$AI1979))),OR(BUSCAR!$J$6="",ISNUMBER(SEARCH(BUSCAR!$J$6,$AI1979))),OR(BUSCAR!$J$8="",ISNUMBER(SEARCH(BUSCAR!$J$8,$AI1979))),OR(BUSCAR!$J$9="",ISNUMBER(SEARCH(BUSCAR!$J$9,$AI1979))),OR(NOT(BUSCAR!$J$2),AND(ISNUMBER($AF1979),$AF1979&gt;=BUSCAR!$J$3,$AF1979&lt;=BUSCAR!$J$4))),1,0))</f>
      </c>
      <c r="AH1979" s="42">
        <f t="shared" si="90"/>
      </c>
      <c r="AI1979" s="42">
        <f t="shared" si="91"/>
      </c>
    </row>
    <row r="1980" spans="1:35" x14ac:dyDescent="0.2">
      <c r="A1980" s="66">
        <f t="shared" si="92"/>
      </c>
      <c r="B1980" s="4"/>
      <c r="C1980" s="4"/>
      <c r="D1980" s="4"/>
      <c r="E1980" s="4"/>
      <c r="F1980" s="24"/>
      <c r="G1980" s="8"/>
      <c r="H1980" s="9"/>
      <c r="I1980" s="8"/>
      <c r="J1980" s="10"/>
      <c r="K1980" s="8"/>
      <c r="L1980" s="8"/>
      <c r="M1980" s="8"/>
      <c r="N1980" s="11"/>
      <c r="O1980" s="9"/>
      <c r="P1980" s="12"/>
      <c r="Q1980" s="9"/>
      <c r="R1980" s="13"/>
      <c r="S1980" s="11"/>
      <c r="T1980" s="11"/>
      <c r="U1980" s="9"/>
      <c r="V1980" s="9"/>
      <c r="W1980" s="9"/>
      <c r="X1980" s="16"/>
      <c r="AF1980" s="42">
        <f>IF(BUSCAR!$C$8="FECHA NAC.",$G1980,IF(BUSCAR!$C$8="PASAPORTE EXPIRA",$J1980,IF(BUSCAR!$C$8="LICENCIA EMISION",$L1980,IF(BUSCAR!$C$8="LICENCIA EXPIRA",$M1980,""))))</f>
      </c>
      <c r="AG1980" s="42">
        <f>IF($B1980&amp;$C1980&amp;$D1980&amp;$E1980&amp;$H1980="",0,IF(AND(OR(BUSCAR!$J$5="",ISNUMBER(SEARCH(BUSCAR!$J$5,$AI1980))),OR(BUSCAR!$J$6="",ISNUMBER(SEARCH(BUSCAR!$J$6,$AI1980))),OR(BUSCAR!$J$8="",ISNUMBER(SEARCH(BUSCAR!$J$8,$AI1980))),OR(BUSCAR!$J$9="",ISNUMBER(SEARCH(BUSCAR!$J$9,$AI1980))),OR(NOT(BUSCAR!$J$2),AND(ISNUMBER($AF1980),$AF1980&gt;=BUSCAR!$J$3,$AF1980&lt;=BUSCAR!$J$4))),1,0))</f>
      </c>
      <c r="AH1980" s="42">
        <f t="shared" si="90"/>
      </c>
      <c r="AI1980" s="42">
        <f t="shared" si="91"/>
      </c>
    </row>
    <row r="1981" spans="1:35" x14ac:dyDescent="0.2">
      <c r="A1981" s="66">
        <f t="shared" si="92"/>
      </c>
      <c r="B1981" s="4"/>
      <c r="C1981" s="4"/>
      <c r="D1981" s="4"/>
      <c r="E1981" s="4"/>
      <c r="F1981" s="24"/>
      <c r="G1981" s="8"/>
      <c r="H1981" s="9"/>
      <c r="I1981" s="8"/>
      <c r="J1981" s="10"/>
      <c r="K1981" s="8"/>
      <c r="L1981" s="8"/>
      <c r="M1981" s="8"/>
      <c r="N1981" s="11"/>
      <c r="O1981" s="9"/>
      <c r="P1981" s="12"/>
      <c r="Q1981" s="9"/>
      <c r="R1981" s="13"/>
      <c r="S1981" s="11"/>
      <c r="T1981" s="11"/>
      <c r="U1981" s="9"/>
      <c r="V1981" s="9"/>
      <c r="W1981" s="9"/>
      <c r="X1981" s="16"/>
      <c r="AF1981" s="42">
        <f>IF(BUSCAR!$C$8="FECHA NAC.",$G1981,IF(BUSCAR!$C$8="PASAPORTE EXPIRA",$J1981,IF(BUSCAR!$C$8="LICENCIA EMISION",$L1981,IF(BUSCAR!$C$8="LICENCIA EXPIRA",$M1981,""))))</f>
      </c>
      <c r="AG1981" s="42">
        <f>IF($B1981&amp;$C1981&amp;$D1981&amp;$E1981&amp;$H1981="",0,IF(AND(OR(BUSCAR!$J$5="",ISNUMBER(SEARCH(BUSCAR!$J$5,$AI1981))),OR(BUSCAR!$J$6="",ISNUMBER(SEARCH(BUSCAR!$J$6,$AI1981))),OR(BUSCAR!$J$8="",ISNUMBER(SEARCH(BUSCAR!$J$8,$AI1981))),OR(BUSCAR!$J$9="",ISNUMBER(SEARCH(BUSCAR!$J$9,$AI1981))),OR(NOT(BUSCAR!$J$2),AND(ISNUMBER($AF1981),$AF1981&gt;=BUSCAR!$J$3,$AF1981&lt;=BUSCAR!$J$4))),1,0))</f>
      </c>
      <c r="AH1981" s="42">
        <f t="shared" si="90"/>
      </c>
      <c r="AI1981" s="42">
        <f t="shared" si="91"/>
      </c>
    </row>
    <row r="1982" spans="1:35" x14ac:dyDescent="0.2">
      <c r="A1982" s="66">
        <f t="shared" si="92"/>
      </c>
      <c r="B1982" s="4"/>
      <c r="C1982" s="4"/>
      <c r="D1982" s="4"/>
      <c r="E1982" s="4"/>
      <c r="F1982" s="24"/>
      <c r="G1982" s="8"/>
      <c r="H1982" s="9"/>
      <c r="I1982" s="8"/>
      <c r="J1982" s="10"/>
      <c r="K1982" s="8"/>
      <c r="L1982" s="8"/>
      <c r="M1982" s="8"/>
      <c r="N1982" s="11"/>
      <c r="O1982" s="9"/>
      <c r="P1982" s="12"/>
      <c r="Q1982" s="9"/>
      <c r="R1982" s="13"/>
      <c r="S1982" s="11"/>
      <c r="T1982" s="11"/>
      <c r="U1982" s="9"/>
      <c r="V1982" s="9"/>
      <c r="W1982" s="9"/>
      <c r="X1982" s="16"/>
      <c r="AF1982" s="42">
        <f>IF(BUSCAR!$C$8="FECHA NAC.",$G1982,IF(BUSCAR!$C$8="PASAPORTE EXPIRA",$J1982,IF(BUSCAR!$C$8="LICENCIA EMISION",$L1982,IF(BUSCAR!$C$8="LICENCIA EXPIRA",$M1982,""))))</f>
      </c>
      <c r="AG1982" s="42">
        <f>IF($B1982&amp;$C1982&amp;$D1982&amp;$E1982&amp;$H1982="",0,IF(AND(OR(BUSCAR!$J$5="",ISNUMBER(SEARCH(BUSCAR!$J$5,$AI1982))),OR(BUSCAR!$J$6="",ISNUMBER(SEARCH(BUSCAR!$J$6,$AI1982))),OR(BUSCAR!$J$8="",ISNUMBER(SEARCH(BUSCAR!$J$8,$AI1982))),OR(BUSCAR!$J$9="",ISNUMBER(SEARCH(BUSCAR!$J$9,$AI1982))),OR(NOT(BUSCAR!$J$2),AND(ISNUMBER($AF1982),$AF1982&gt;=BUSCAR!$J$3,$AF1982&lt;=BUSCAR!$J$4))),1,0))</f>
      </c>
      <c r="AH1982" s="42">
        <f t="shared" si="90"/>
      </c>
      <c r="AI1982" s="42">
        <f t="shared" si="91"/>
      </c>
    </row>
    <row r="1983" spans="1:35" x14ac:dyDescent="0.2">
      <c r="A1983" s="66">
        <f t="shared" si="92"/>
      </c>
      <c r="B1983" s="4"/>
      <c r="C1983" s="4"/>
      <c r="D1983" s="4"/>
      <c r="E1983" s="4"/>
      <c r="F1983" s="24"/>
      <c r="G1983" s="8"/>
      <c r="H1983" s="9"/>
      <c r="I1983" s="8"/>
      <c r="J1983" s="10"/>
      <c r="K1983" s="8"/>
      <c r="L1983" s="8"/>
      <c r="M1983" s="8"/>
      <c r="N1983" s="11"/>
      <c r="O1983" s="9"/>
      <c r="P1983" s="12"/>
      <c r="Q1983" s="9"/>
      <c r="R1983" s="13"/>
      <c r="S1983" s="11"/>
      <c r="T1983" s="11"/>
      <c r="U1983" s="9"/>
      <c r="V1983" s="9"/>
      <c r="W1983" s="9"/>
      <c r="X1983" s="16"/>
      <c r="AF1983" s="42">
        <f>IF(BUSCAR!$C$8="FECHA NAC.",$G1983,IF(BUSCAR!$C$8="PASAPORTE EXPIRA",$J1983,IF(BUSCAR!$C$8="LICENCIA EMISION",$L1983,IF(BUSCAR!$C$8="LICENCIA EXPIRA",$M1983,""))))</f>
      </c>
      <c r="AG1983" s="42">
        <f>IF($B1983&amp;$C1983&amp;$D1983&amp;$E1983&amp;$H1983="",0,IF(AND(OR(BUSCAR!$J$5="",ISNUMBER(SEARCH(BUSCAR!$J$5,$AI1983))),OR(BUSCAR!$J$6="",ISNUMBER(SEARCH(BUSCAR!$J$6,$AI1983))),OR(BUSCAR!$J$8="",ISNUMBER(SEARCH(BUSCAR!$J$8,$AI1983))),OR(BUSCAR!$J$9="",ISNUMBER(SEARCH(BUSCAR!$J$9,$AI1983))),OR(NOT(BUSCAR!$J$2),AND(ISNUMBER($AF1983),$AF1983&gt;=BUSCAR!$J$3,$AF1983&lt;=BUSCAR!$J$4))),1,0))</f>
      </c>
      <c r="AH1983" s="42">
        <f t="shared" si="90"/>
      </c>
      <c r="AI1983" s="42">
        <f t="shared" si="91"/>
      </c>
    </row>
    <row r="1984" spans="1:35" x14ac:dyDescent="0.2">
      <c r="A1984" s="66">
        <f t="shared" si="92"/>
      </c>
      <c r="B1984" s="4"/>
      <c r="C1984" s="4"/>
      <c r="D1984" s="4"/>
      <c r="E1984" s="4"/>
      <c r="F1984" s="24"/>
      <c r="G1984" s="8"/>
      <c r="H1984" s="9"/>
      <c r="I1984" s="8"/>
      <c r="J1984" s="10"/>
      <c r="K1984" s="8"/>
      <c r="L1984" s="8"/>
      <c r="M1984" s="8"/>
      <c r="N1984" s="11"/>
      <c r="O1984" s="9"/>
      <c r="P1984" s="12"/>
      <c r="Q1984" s="9"/>
      <c r="R1984" s="13"/>
      <c r="S1984" s="11"/>
      <c r="T1984" s="11"/>
      <c r="U1984" s="9"/>
      <c r="V1984" s="9"/>
      <c r="W1984" s="9"/>
      <c r="X1984" s="16"/>
      <c r="AF1984" s="42">
        <f>IF(BUSCAR!$C$8="FECHA NAC.",$G1984,IF(BUSCAR!$C$8="PASAPORTE EXPIRA",$J1984,IF(BUSCAR!$C$8="LICENCIA EMISION",$L1984,IF(BUSCAR!$C$8="LICENCIA EXPIRA",$M1984,""))))</f>
      </c>
      <c r="AG1984" s="42">
        <f>IF($B1984&amp;$C1984&amp;$D1984&amp;$E1984&amp;$H1984="",0,IF(AND(OR(BUSCAR!$J$5="",ISNUMBER(SEARCH(BUSCAR!$J$5,$AI1984))),OR(BUSCAR!$J$6="",ISNUMBER(SEARCH(BUSCAR!$J$6,$AI1984))),OR(BUSCAR!$J$8="",ISNUMBER(SEARCH(BUSCAR!$J$8,$AI1984))),OR(BUSCAR!$J$9="",ISNUMBER(SEARCH(BUSCAR!$J$9,$AI1984))),OR(NOT(BUSCAR!$J$2),AND(ISNUMBER($AF1984),$AF1984&gt;=BUSCAR!$J$3,$AF1984&lt;=BUSCAR!$J$4))),1,0))</f>
      </c>
      <c r="AH1984" s="42">
        <f t="shared" si="90"/>
      </c>
      <c r="AI1984" s="42">
        <f t="shared" si="91"/>
      </c>
    </row>
    <row r="1985" spans="1:35" x14ac:dyDescent="0.2">
      <c r="A1985" s="66">
        <f t="shared" si="92"/>
      </c>
      <c r="B1985" s="4"/>
      <c r="C1985" s="4"/>
      <c r="D1985" s="4"/>
      <c r="E1985" s="4"/>
      <c r="F1985" s="24"/>
      <c r="G1985" s="8"/>
      <c r="H1985" s="9"/>
      <c r="I1985" s="8"/>
      <c r="J1985" s="10"/>
      <c r="K1985" s="8"/>
      <c r="L1985" s="8"/>
      <c r="M1985" s="8"/>
      <c r="N1985" s="11"/>
      <c r="O1985" s="9"/>
      <c r="P1985" s="12"/>
      <c r="Q1985" s="9"/>
      <c r="R1985" s="13"/>
      <c r="S1985" s="11"/>
      <c r="T1985" s="11"/>
      <c r="U1985" s="9"/>
      <c r="V1985" s="9"/>
      <c r="W1985" s="9"/>
      <c r="X1985" s="16"/>
      <c r="AF1985" s="42">
        <f>IF(BUSCAR!$C$8="FECHA NAC.",$G1985,IF(BUSCAR!$C$8="PASAPORTE EXPIRA",$J1985,IF(BUSCAR!$C$8="LICENCIA EMISION",$L1985,IF(BUSCAR!$C$8="LICENCIA EXPIRA",$M1985,""))))</f>
      </c>
      <c r="AG1985" s="42">
        <f>IF($B1985&amp;$C1985&amp;$D1985&amp;$E1985&amp;$H1985="",0,IF(AND(OR(BUSCAR!$J$5="",ISNUMBER(SEARCH(BUSCAR!$J$5,$AI1985))),OR(BUSCAR!$J$6="",ISNUMBER(SEARCH(BUSCAR!$J$6,$AI1985))),OR(BUSCAR!$J$8="",ISNUMBER(SEARCH(BUSCAR!$J$8,$AI1985))),OR(BUSCAR!$J$9="",ISNUMBER(SEARCH(BUSCAR!$J$9,$AI1985))),OR(NOT(BUSCAR!$J$2),AND(ISNUMBER($AF1985),$AF1985&gt;=BUSCAR!$J$3,$AF1985&lt;=BUSCAR!$J$4))),1,0))</f>
      </c>
      <c r="AH1985" s="42">
        <f t="shared" si="90"/>
      </c>
      <c r="AI1985" s="42">
        <f t="shared" si="91"/>
      </c>
    </row>
    <row r="1986" spans="1:35" x14ac:dyDescent="0.2">
      <c r="A1986" s="66">
        <f t="shared" si="92"/>
      </c>
      <c r="B1986" s="4"/>
      <c r="C1986" s="4"/>
      <c r="D1986" s="4"/>
      <c r="E1986" s="4"/>
      <c r="F1986" s="24"/>
      <c r="G1986" s="8"/>
      <c r="H1986" s="9"/>
      <c r="I1986" s="8"/>
      <c r="J1986" s="10"/>
      <c r="K1986" s="8"/>
      <c r="L1986" s="8"/>
      <c r="M1986" s="8"/>
      <c r="N1986" s="11"/>
      <c r="O1986" s="9"/>
      <c r="P1986" s="12"/>
      <c r="Q1986" s="9"/>
      <c r="R1986" s="13"/>
      <c r="S1986" s="11"/>
      <c r="T1986" s="11"/>
      <c r="U1986" s="9"/>
      <c r="V1986" s="9"/>
      <c r="W1986" s="9"/>
      <c r="X1986" s="16"/>
      <c r="AF1986" s="42">
        <f>IF(BUSCAR!$C$8="FECHA NAC.",$G1986,IF(BUSCAR!$C$8="PASAPORTE EXPIRA",$J1986,IF(BUSCAR!$C$8="LICENCIA EMISION",$L1986,IF(BUSCAR!$C$8="LICENCIA EXPIRA",$M1986,""))))</f>
      </c>
      <c r="AG1986" s="42">
        <f>IF($B1986&amp;$C1986&amp;$D1986&amp;$E1986&amp;$H1986="",0,IF(AND(OR(BUSCAR!$J$5="",ISNUMBER(SEARCH(BUSCAR!$J$5,$AI1986))),OR(BUSCAR!$J$6="",ISNUMBER(SEARCH(BUSCAR!$J$6,$AI1986))),OR(BUSCAR!$J$8="",ISNUMBER(SEARCH(BUSCAR!$J$8,$AI1986))),OR(BUSCAR!$J$9="",ISNUMBER(SEARCH(BUSCAR!$J$9,$AI1986))),OR(NOT(BUSCAR!$J$2),AND(ISNUMBER($AF1986),$AF1986&gt;=BUSCAR!$J$3,$AF1986&lt;=BUSCAR!$J$4))),1,0))</f>
      </c>
      <c r="AH1986" s="42">
        <f t="shared" si="90"/>
      </c>
      <c r="AI1986" s="42">
        <f t="shared" si="91"/>
      </c>
    </row>
    <row r="1987" spans="1:35" x14ac:dyDescent="0.2">
      <c r="A1987" s="66">
        <f t="shared" si="92"/>
      </c>
      <c r="B1987" s="4"/>
      <c r="C1987" s="4"/>
      <c r="D1987" s="4"/>
      <c r="E1987" s="4"/>
      <c r="F1987" s="24"/>
      <c r="G1987" s="8"/>
      <c r="H1987" s="9"/>
      <c r="I1987" s="8"/>
      <c r="J1987" s="10"/>
      <c r="K1987" s="8"/>
      <c r="L1987" s="8"/>
      <c r="M1987" s="8"/>
      <c r="N1987" s="11"/>
      <c r="O1987" s="9"/>
      <c r="P1987" s="12"/>
      <c r="Q1987" s="9"/>
      <c r="R1987" s="13"/>
      <c r="S1987" s="11"/>
      <c r="T1987" s="11"/>
      <c r="U1987" s="9"/>
      <c r="V1987" s="9"/>
      <c r="W1987" s="9"/>
      <c r="X1987" s="16"/>
      <c r="AF1987" s="42">
        <f>IF(BUSCAR!$C$8="FECHA NAC.",$G1987,IF(BUSCAR!$C$8="PASAPORTE EXPIRA",$J1987,IF(BUSCAR!$C$8="LICENCIA EMISION",$L1987,IF(BUSCAR!$C$8="LICENCIA EXPIRA",$M1987,""))))</f>
      </c>
      <c r="AG1987" s="42">
        <f>IF($B1987&amp;$C1987&amp;$D1987&amp;$E1987&amp;$H1987="",0,IF(AND(OR(BUSCAR!$J$5="",ISNUMBER(SEARCH(BUSCAR!$J$5,$AI1987))),OR(BUSCAR!$J$6="",ISNUMBER(SEARCH(BUSCAR!$J$6,$AI1987))),OR(BUSCAR!$J$8="",ISNUMBER(SEARCH(BUSCAR!$J$8,$AI1987))),OR(BUSCAR!$J$9="",ISNUMBER(SEARCH(BUSCAR!$J$9,$AI1987))),OR(NOT(BUSCAR!$J$2),AND(ISNUMBER($AF1987),$AF1987&gt;=BUSCAR!$J$3,$AF1987&lt;=BUSCAR!$J$4))),1,0))</f>
      </c>
      <c r="AH1987" s="42">
        <f t="shared" ref="AH1987:AH2002" si="93">AH1986+AG1987</f>
      </c>
      <c r="AI1987" s="42">
        <f t="shared" ref="AI1987:AI2002" si="94">IF($B1987&amp;" "&amp;$C1987&amp;" "&amp;$D1987&amp;" "&amp;$E1987&amp;" "&amp;$H1987&amp;" "&amp;$K1987&amp;" "&amp;$R1987&amp;" "&amp;$AC1987&amp;" "&amp;$AD1987="","",SUBSTITUTE(SUBSTITUTE(SUBSTITUTE(SUBSTITUTE(SUBSTITUTE(SUBSTITUTE(SUBSTITUTE(UPPER($B1987&amp;" "&amp;$C1987&amp;" "&amp;$D1987&amp;" "&amp;$E1987&amp;" "&amp;$H1987&amp;" "&amp;$K1987&amp;" "&amp;$R1987&amp;" "&amp;$AC1987&amp;" "&amp;$AD1987),"Á","A"),"É","E"),"Í","I"),"Ó","O"),"Ú","U"),"Ü","U"),"Ñ","N"))</f>
      </c>
    </row>
    <row r="1988" spans="1:35" x14ac:dyDescent="0.2">
      <c r="A1988" s="66">
        <f t="shared" ref="A1988:A2002" si="95">A1987+1</f>
      </c>
      <c r="B1988" s="4"/>
      <c r="C1988" s="4"/>
      <c r="D1988" s="4"/>
      <c r="E1988" s="4"/>
      <c r="F1988" s="24"/>
      <c r="G1988" s="8"/>
      <c r="H1988" s="9"/>
      <c r="I1988" s="8"/>
      <c r="J1988" s="10"/>
      <c r="K1988" s="8"/>
      <c r="L1988" s="8"/>
      <c r="M1988" s="8"/>
      <c r="N1988" s="11"/>
      <c r="O1988" s="9"/>
      <c r="P1988" s="12"/>
      <c r="Q1988" s="9"/>
      <c r="R1988" s="13"/>
      <c r="S1988" s="11"/>
      <c r="T1988" s="11"/>
      <c r="U1988" s="9"/>
      <c r="V1988" s="9"/>
      <c r="W1988" s="9"/>
      <c r="X1988" s="16"/>
      <c r="AF1988" s="42">
        <f>IF(BUSCAR!$C$8="FECHA NAC.",$G1988,IF(BUSCAR!$C$8="PASAPORTE EXPIRA",$J1988,IF(BUSCAR!$C$8="LICENCIA EMISION",$L1988,IF(BUSCAR!$C$8="LICENCIA EXPIRA",$M1988,""))))</f>
      </c>
      <c r="AG1988" s="42">
        <f>IF($B1988&amp;$C1988&amp;$D1988&amp;$E1988&amp;$H1988="",0,IF(AND(OR(BUSCAR!$J$5="",ISNUMBER(SEARCH(BUSCAR!$J$5,$AI1988))),OR(BUSCAR!$J$6="",ISNUMBER(SEARCH(BUSCAR!$J$6,$AI1988))),OR(BUSCAR!$J$8="",ISNUMBER(SEARCH(BUSCAR!$J$8,$AI1988))),OR(BUSCAR!$J$9="",ISNUMBER(SEARCH(BUSCAR!$J$9,$AI1988))),OR(NOT(BUSCAR!$J$2),AND(ISNUMBER($AF1988),$AF1988&gt;=BUSCAR!$J$3,$AF1988&lt;=BUSCAR!$J$4))),1,0))</f>
      </c>
      <c r="AH1988" s="42">
        <f t="shared" si="93"/>
      </c>
      <c r="AI1988" s="42">
        <f t="shared" si="94"/>
      </c>
    </row>
    <row r="1989" spans="1:35" x14ac:dyDescent="0.2">
      <c r="A1989" s="66">
        <f t="shared" si="95"/>
      </c>
      <c r="B1989" s="4"/>
      <c r="C1989" s="4"/>
      <c r="D1989" s="4"/>
      <c r="E1989" s="4"/>
      <c r="F1989" s="24"/>
      <c r="G1989" s="8"/>
      <c r="H1989" s="9"/>
      <c r="I1989" s="8"/>
      <c r="J1989" s="10"/>
      <c r="K1989" s="8"/>
      <c r="L1989" s="8"/>
      <c r="M1989" s="8"/>
      <c r="N1989" s="11"/>
      <c r="O1989" s="9"/>
      <c r="P1989" s="12"/>
      <c r="Q1989" s="9"/>
      <c r="R1989" s="13"/>
      <c r="S1989" s="11"/>
      <c r="T1989" s="11"/>
      <c r="U1989" s="9"/>
      <c r="V1989" s="9"/>
      <c r="W1989" s="9"/>
      <c r="X1989" s="16"/>
      <c r="AF1989" s="42">
        <f>IF(BUSCAR!$C$8="FECHA NAC.",$G1989,IF(BUSCAR!$C$8="PASAPORTE EXPIRA",$J1989,IF(BUSCAR!$C$8="LICENCIA EMISION",$L1989,IF(BUSCAR!$C$8="LICENCIA EXPIRA",$M1989,""))))</f>
      </c>
      <c r="AG1989" s="42">
        <f>IF($B1989&amp;$C1989&amp;$D1989&amp;$E1989&amp;$H1989="",0,IF(AND(OR(BUSCAR!$J$5="",ISNUMBER(SEARCH(BUSCAR!$J$5,$AI1989))),OR(BUSCAR!$J$6="",ISNUMBER(SEARCH(BUSCAR!$J$6,$AI1989))),OR(BUSCAR!$J$8="",ISNUMBER(SEARCH(BUSCAR!$J$8,$AI1989))),OR(BUSCAR!$J$9="",ISNUMBER(SEARCH(BUSCAR!$J$9,$AI1989))),OR(NOT(BUSCAR!$J$2),AND(ISNUMBER($AF1989),$AF1989&gt;=BUSCAR!$J$3,$AF1989&lt;=BUSCAR!$J$4))),1,0))</f>
      </c>
      <c r="AH1989" s="42">
        <f t="shared" si="93"/>
      </c>
      <c r="AI1989" s="42">
        <f t="shared" si="94"/>
      </c>
    </row>
    <row r="1990" spans="1:35" x14ac:dyDescent="0.2">
      <c r="A1990" s="66">
        <f t="shared" si="95"/>
      </c>
      <c r="B1990" s="4"/>
      <c r="C1990" s="4"/>
      <c r="D1990" s="4"/>
      <c r="E1990" s="4"/>
      <c r="F1990" s="24"/>
      <c r="G1990" s="8"/>
      <c r="H1990" s="9"/>
      <c r="I1990" s="8"/>
      <c r="J1990" s="10"/>
      <c r="K1990" s="8"/>
      <c r="L1990" s="8"/>
      <c r="M1990" s="8"/>
      <c r="N1990" s="11"/>
      <c r="O1990" s="9"/>
      <c r="P1990" s="12"/>
      <c r="Q1990" s="9"/>
      <c r="R1990" s="13"/>
      <c r="S1990" s="11"/>
      <c r="T1990" s="11"/>
      <c r="U1990" s="9"/>
      <c r="V1990" s="9"/>
      <c r="W1990" s="9"/>
      <c r="X1990" s="16"/>
      <c r="AF1990" s="42">
        <f>IF(BUSCAR!$C$8="FECHA NAC.",$G1990,IF(BUSCAR!$C$8="PASAPORTE EXPIRA",$J1990,IF(BUSCAR!$C$8="LICENCIA EMISION",$L1990,IF(BUSCAR!$C$8="LICENCIA EXPIRA",$M1990,""))))</f>
      </c>
      <c r="AG1990" s="42">
        <f>IF($B1990&amp;$C1990&amp;$D1990&amp;$E1990&amp;$H1990="",0,IF(AND(OR(BUSCAR!$J$5="",ISNUMBER(SEARCH(BUSCAR!$J$5,$AI1990))),OR(BUSCAR!$J$6="",ISNUMBER(SEARCH(BUSCAR!$J$6,$AI1990))),OR(BUSCAR!$J$8="",ISNUMBER(SEARCH(BUSCAR!$J$8,$AI1990))),OR(BUSCAR!$J$9="",ISNUMBER(SEARCH(BUSCAR!$J$9,$AI1990))),OR(NOT(BUSCAR!$J$2),AND(ISNUMBER($AF1990),$AF1990&gt;=BUSCAR!$J$3,$AF1990&lt;=BUSCAR!$J$4))),1,0))</f>
      </c>
      <c r="AH1990" s="42">
        <f t="shared" si="93"/>
      </c>
      <c r="AI1990" s="42">
        <f t="shared" si="94"/>
      </c>
    </row>
    <row r="1991" spans="1:35" x14ac:dyDescent="0.2">
      <c r="A1991" s="66">
        <f t="shared" si="95"/>
      </c>
      <c r="B1991" s="4"/>
      <c r="C1991" s="4"/>
      <c r="D1991" s="4"/>
      <c r="E1991" s="4"/>
      <c r="F1991" s="24"/>
      <c r="G1991" s="8"/>
      <c r="H1991" s="9"/>
      <c r="I1991" s="8"/>
      <c r="J1991" s="10"/>
      <c r="K1991" s="8"/>
      <c r="L1991" s="8"/>
      <c r="M1991" s="8"/>
      <c r="N1991" s="11"/>
      <c r="O1991" s="9"/>
      <c r="P1991" s="12"/>
      <c r="Q1991" s="9"/>
      <c r="R1991" s="13"/>
      <c r="S1991" s="11"/>
      <c r="T1991" s="11"/>
      <c r="U1991" s="9"/>
      <c r="V1991" s="9"/>
      <c r="W1991" s="9"/>
      <c r="X1991" s="16"/>
      <c r="AF1991" s="42">
        <f>IF(BUSCAR!$C$8="FECHA NAC.",$G1991,IF(BUSCAR!$C$8="PASAPORTE EXPIRA",$J1991,IF(BUSCAR!$C$8="LICENCIA EMISION",$L1991,IF(BUSCAR!$C$8="LICENCIA EXPIRA",$M1991,""))))</f>
      </c>
      <c r="AG1991" s="42">
        <f>IF($B1991&amp;$C1991&amp;$D1991&amp;$E1991&amp;$H1991="",0,IF(AND(OR(BUSCAR!$J$5="",ISNUMBER(SEARCH(BUSCAR!$J$5,$AI1991))),OR(BUSCAR!$J$6="",ISNUMBER(SEARCH(BUSCAR!$J$6,$AI1991))),OR(BUSCAR!$J$8="",ISNUMBER(SEARCH(BUSCAR!$J$8,$AI1991))),OR(BUSCAR!$J$9="",ISNUMBER(SEARCH(BUSCAR!$J$9,$AI1991))),OR(NOT(BUSCAR!$J$2),AND(ISNUMBER($AF1991),$AF1991&gt;=BUSCAR!$J$3,$AF1991&lt;=BUSCAR!$J$4))),1,0))</f>
      </c>
      <c r="AH1991" s="42">
        <f t="shared" si="93"/>
      </c>
      <c r="AI1991" s="42">
        <f t="shared" si="94"/>
      </c>
    </row>
    <row r="1992" spans="1:35" x14ac:dyDescent="0.2">
      <c r="A1992" s="66">
        <f t="shared" si="95"/>
      </c>
      <c r="B1992" s="4"/>
      <c r="C1992" s="4"/>
      <c r="D1992" s="4"/>
      <c r="E1992" s="4"/>
      <c r="F1992" s="24"/>
      <c r="G1992" s="8"/>
      <c r="H1992" s="9"/>
      <c r="I1992" s="8"/>
      <c r="J1992" s="10"/>
      <c r="K1992" s="8"/>
      <c r="L1992" s="8"/>
      <c r="M1992" s="8"/>
      <c r="N1992" s="11"/>
      <c r="O1992" s="9"/>
      <c r="P1992" s="12"/>
      <c r="Q1992" s="9"/>
      <c r="R1992" s="13"/>
      <c r="S1992" s="11"/>
      <c r="T1992" s="11"/>
      <c r="U1992" s="9"/>
      <c r="V1992" s="9"/>
      <c r="W1992" s="9"/>
      <c r="X1992" s="16"/>
      <c r="AF1992" s="42">
        <f>IF(BUSCAR!$C$8="FECHA NAC.",$G1992,IF(BUSCAR!$C$8="PASAPORTE EXPIRA",$J1992,IF(BUSCAR!$C$8="LICENCIA EMISION",$L1992,IF(BUSCAR!$C$8="LICENCIA EXPIRA",$M1992,""))))</f>
      </c>
      <c r="AG1992" s="42">
        <f>IF($B1992&amp;$C1992&amp;$D1992&amp;$E1992&amp;$H1992="",0,IF(AND(OR(BUSCAR!$J$5="",ISNUMBER(SEARCH(BUSCAR!$J$5,$AI1992))),OR(BUSCAR!$J$6="",ISNUMBER(SEARCH(BUSCAR!$J$6,$AI1992))),OR(BUSCAR!$J$8="",ISNUMBER(SEARCH(BUSCAR!$J$8,$AI1992))),OR(BUSCAR!$J$9="",ISNUMBER(SEARCH(BUSCAR!$J$9,$AI1992))),OR(NOT(BUSCAR!$J$2),AND(ISNUMBER($AF1992),$AF1992&gt;=BUSCAR!$J$3,$AF1992&lt;=BUSCAR!$J$4))),1,0))</f>
      </c>
      <c r="AH1992" s="42">
        <f t="shared" si="93"/>
      </c>
      <c r="AI1992" s="42">
        <f t="shared" si="94"/>
      </c>
    </row>
    <row r="1993" spans="1:35" x14ac:dyDescent="0.2">
      <c r="A1993" s="66">
        <f t="shared" si="95"/>
      </c>
      <c r="B1993" s="4"/>
      <c r="C1993" s="4"/>
      <c r="D1993" s="4"/>
      <c r="E1993" s="4"/>
      <c r="F1993" s="24"/>
      <c r="G1993" s="8"/>
      <c r="H1993" s="9"/>
      <c r="I1993" s="8"/>
      <c r="J1993" s="10"/>
      <c r="K1993" s="8"/>
      <c r="L1993" s="8"/>
      <c r="M1993" s="8"/>
      <c r="N1993" s="11"/>
      <c r="O1993" s="9"/>
      <c r="P1993" s="12"/>
      <c r="Q1993" s="9"/>
      <c r="R1993" s="13"/>
      <c r="S1993" s="11"/>
      <c r="T1993" s="11"/>
      <c r="U1993" s="9"/>
      <c r="V1993" s="9"/>
      <c r="W1993" s="9"/>
      <c r="X1993" s="16"/>
      <c r="AF1993" s="42">
        <f>IF(BUSCAR!$C$8="FECHA NAC.",$G1993,IF(BUSCAR!$C$8="PASAPORTE EXPIRA",$J1993,IF(BUSCAR!$C$8="LICENCIA EMISION",$L1993,IF(BUSCAR!$C$8="LICENCIA EXPIRA",$M1993,""))))</f>
      </c>
      <c r="AG1993" s="42">
        <f>IF($B1993&amp;$C1993&amp;$D1993&amp;$E1993&amp;$H1993="",0,IF(AND(OR(BUSCAR!$J$5="",ISNUMBER(SEARCH(BUSCAR!$J$5,$AI1993))),OR(BUSCAR!$J$6="",ISNUMBER(SEARCH(BUSCAR!$J$6,$AI1993))),OR(BUSCAR!$J$8="",ISNUMBER(SEARCH(BUSCAR!$J$8,$AI1993))),OR(BUSCAR!$J$9="",ISNUMBER(SEARCH(BUSCAR!$J$9,$AI1993))),OR(NOT(BUSCAR!$J$2),AND(ISNUMBER($AF1993),$AF1993&gt;=BUSCAR!$J$3,$AF1993&lt;=BUSCAR!$J$4))),1,0))</f>
      </c>
      <c r="AH1993" s="42">
        <f t="shared" si="93"/>
      </c>
      <c r="AI1993" s="42">
        <f t="shared" si="94"/>
      </c>
    </row>
    <row r="1994" spans="1:35" x14ac:dyDescent="0.2">
      <c r="A1994" s="66">
        <f t="shared" si="95"/>
      </c>
      <c r="B1994" s="4"/>
      <c r="C1994" s="4"/>
      <c r="D1994" s="4"/>
      <c r="E1994" s="4"/>
      <c r="F1994" s="24"/>
      <c r="G1994" s="8"/>
      <c r="H1994" s="9"/>
      <c r="I1994" s="8"/>
      <c r="J1994" s="10"/>
      <c r="K1994" s="8"/>
      <c r="L1994" s="8"/>
      <c r="M1994" s="8"/>
      <c r="N1994" s="11"/>
      <c r="O1994" s="9"/>
      <c r="P1994" s="12"/>
      <c r="Q1994" s="9"/>
      <c r="R1994" s="13"/>
      <c r="S1994" s="11"/>
      <c r="T1994" s="11"/>
      <c r="U1994" s="9"/>
      <c r="V1994" s="9"/>
      <c r="W1994" s="9"/>
      <c r="X1994" s="16"/>
      <c r="AF1994" s="42">
        <f>IF(BUSCAR!$C$8="FECHA NAC.",$G1994,IF(BUSCAR!$C$8="PASAPORTE EXPIRA",$J1994,IF(BUSCAR!$C$8="LICENCIA EMISION",$L1994,IF(BUSCAR!$C$8="LICENCIA EXPIRA",$M1994,""))))</f>
      </c>
      <c r="AG1994" s="42">
        <f>IF($B1994&amp;$C1994&amp;$D1994&amp;$E1994&amp;$H1994="",0,IF(AND(OR(BUSCAR!$J$5="",ISNUMBER(SEARCH(BUSCAR!$J$5,$AI1994))),OR(BUSCAR!$J$6="",ISNUMBER(SEARCH(BUSCAR!$J$6,$AI1994))),OR(BUSCAR!$J$8="",ISNUMBER(SEARCH(BUSCAR!$J$8,$AI1994))),OR(BUSCAR!$J$9="",ISNUMBER(SEARCH(BUSCAR!$J$9,$AI1994))),OR(NOT(BUSCAR!$J$2),AND(ISNUMBER($AF1994),$AF1994&gt;=BUSCAR!$J$3,$AF1994&lt;=BUSCAR!$J$4))),1,0))</f>
      </c>
      <c r="AH1994" s="42">
        <f t="shared" si="93"/>
      </c>
      <c r="AI1994" s="42">
        <f t="shared" si="94"/>
      </c>
    </row>
    <row r="1995" spans="1:35" x14ac:dyDescent="0.2">
      <c r="A1995" s="66">
        <f t="shared" si="95"/>
      </c>
      <c r="B1995" s="4"/>
      <c r="C1995" s="4"/>
      <c r="D1995" s="4"/>
      <c r="E1995" s="4"/>
      <c r="F1995" s="24"/>
      <c r="G1995" s="8"/>
      <c r="H1995" s="9"/>
      <c r="I1995" s="8"/>
      <c r="J1995" s="10"/>
      <c r="K1995" s="8"/>
      <c r="L1995" s="8"/>
      <c r="M1995" s="8"/>
      <c r="N1995" s="11"/>
      <c r="O1995" s="9"/>
      <c r="P1995" s="12"/>
      <c r="Q1995" s="9"/>
      <c r="R1995" s="13"/>
      <c r="S1995" s="11"/>
      <c r="T1995" s="11"/>
      <c r="U1995" s="9"/>
      <c r="V1995" s="9"/>
      <c r="W1995" s="9"/>
      <c r="X1995" s="16"/>
      <c r="AF1995" s="42">
        <f>IF(BUSCAR!$C$8="FECHA NAC.",$G1995,IF(BUSCAR!$C$8="PASAPORTE EXPIRA",$J1995,IF(BUSCAR!$C$8="LICENCIA EMISION",$L1995,IF(BUSCAR!$C$8="LICENCIA EXPIRA",$M1995,""))))</f>
      </c>
      <c r="AG1995" s="42">
        <f>IF($B1995&amp;$C1995&amp;$D1995&amp;$E1995&amp;$H1995="",0,IF(AND(OR(BUSCAR!$J$5="",ISNUMBER(SEARCH(BUSCAR!$J$5,$AI1995))),OR(BUSCAR!$J$6="",ISNUMBER(SEARCH(BUSCAR!$J$6,$AI1995))),OR(BUSCAR!$J$8="",ISNUMBER(SEARCH(BUSCAR!$J$8,$AI1995))),OR(BUSCAR!$J$9="",ISNUMBER(SEARCH(BUSCAR!$J$9,$AI1995))),OR(NOT(BUSCAR!$J$2),AND(ISNUMBER($AF1995),$AF1995&gt;=BUSCAR!$J$3,$AF1995&lt;=BUSCAR!$J$4))),1,0))</f>
      </c>
      <c r="AH1995" s="42">
        <f t="shared" si="93"/>
      </c>
      <c r="AI1995" s="42">
        <f t="shared" si="94"/>
      </c>
    </row>
    <row r="1996" spans="1:35" x14ac:dyDescent="0.2">
      <c r="A1996" s="66">
        <f t="shared" si="95"/>
      </c>
      <c r="B1996" s="4"/>
      <c r="C1996" s="4"/>
      <c r="D1996" s="4"/>
      <c r="E1996" s="4"/>
      <c r="F1996" s="24"/>
      <c r="G1996" s="8"/>
      <c r="H1996" s="9"/>
      <c r="I1996" s="8"/>
      <c r="J1996" s="10"/>
      <c r="K1996" s="8"/>
      <c r="L1996" s="8"/>
      <c r="M1996" s="8"/>
      <c r="N1996" s="11"/>
      <c r="O1996" s="9"/>
      <c r="P1996" s="12"/>
      <c r="Q1996" s="9"/>
      <c r="R1996" s="13"/>
      <c r="S1996" s="11"/>
      <c r="T1996" s="11"/>
      <c r="U1996" s="9"/>
      <c r="V1996" s="9"/>
      <c r="W1996" s="9"/>
      <c r="X1996" s="16"/>
      <c r="AF1996" s="42">
        <f>IF(BUSCAR!$C$8="FECHA NAC.",$G1996,IF(BUSCAR!$C$8="PASAPORTE EXPIRA",$J1996,IF(BUSCAR!$C$8="LICENCIA EMISION",$L1996,IF(BUSCAR!$C$8="LICENCIA EXPIRA",$M1996,""))))</f>
      </c>
      <c r="AG1996" s="42">
        <f>IF($B1996&amp;$C1996&amp;$D1996&amp;$E1996&amp;$H1996="",0,IF(AND(OR(BUSCAR!$J$5="",ISNUMBER(SEARCH(BUSCAR!$J$5,$AI1996))),OR(BUSCAR!$J$6="",ISNUMBER(SEARCH(BUSCAR!$J$6,$AI1996))),OR(BUSCAR!$J$8="",ISNUMBER(SEARCH(BUSCAR!$J$8,$AI1996))),OR(BUSCAR!$J$9="",ISNUMBER(SEARCH(BUSCAR!$J$9,$AI1996))),OR(NOT(BUSCAR!$J$2),AND(ISNUMBER($AF1996),$AF1996&gt;=BUSCAR!$J$3,$AF1996&lt;=BUSCAR!$J$4))),1,0))</f>
      </c>
      <c r="AH1996" s="42">
        <f t="shared" si="93"/>
      </c>
      <c r="AI1996" s="42">
        <f t="shared" si="94"/>
      </c>
    </row>
    <row r="1997" spans="1:35" x14ac:dyDescent="0.2">
      <c r="A1997" s="66">
        <f t="shared" si="95"/>
      </c>
      <c r="B1997" s="4"/>
      <c r="C1997" s="4"/>
      <c r="D1997" s="4"/>
      <c r="E1997" s="4"/>
      <c r="F1997" s="24"/>
      <c r="G1997" s="8"/>
      <c r="H1997" s="9"/>
      <c r="I1997" s="8"/>
      <c r="J1997" s="10"/>
      <c r="K1997" s="8"/>
      <c r="L1997" s="8"/>
      <c r="M1997" s="8"/>
      <c r="N1997" s="11"/>
      <c r="O1997" s="9"/>
      <c r="P1997" s="12"/>
      <c r="Q1997" s="9"/>
      <c r="R1997" s="13"/>
      <c r="S1997" s="11"/>
      <c r="T1997" s="11"/>
      <c r="U1997" s="9"/>
      <c r="V1997" s="9"/>
      <c r="W1997" s="9"/>
      <c r="X1997" s="16"/>
      <c r="AF1997" s="42">
        <f>IF(BUSCAR!$C$8="FECHA NAC.",$G1997,IF(BUSCAR!$C$8="PASAPORTE EXPIRA",$J1997,IF(BUSCAR!$C$8="LICENCIA EMISION",$L1997,IF(BUSCAR!$C$8="LICENCIA EXPIRA",$M1997,""))))</f>
      </c>
      <c r="AG1997" s="42">
        <f>IF($B1997&amp;$C1997&amp;$D1997&amp;$E1997&amp;$H1997="",0,IF(AND(OR(BUSCAR!$J$5="",ISNUMBER(SEARCH(BUSCAR!$J$5,$AI1997))),OR(BUSCAR!$J$6="",ISNUMBER(SEARCH(BUSCAR!$J$6,$AI1997))),OR(BUSCAR!$J$8="",ISNUMBER(SEARCH(BUSCAR!$J$8,$AI1997))),OR(BUSCAR!$J$9="",ISNUMBER(SEARCH(BUSCAR!$J$9,$AI1997))),OR(NOT(BUSCAR!$J$2),AND(ISNUMBER($AF1997),$AF1997&gt;=BUSCAR!$J$3,$AF1997&lt;=BUSCAR!$J$4))),1,0))</f>
      </c>
      <c r="AH1997" s="42">
        <f t="shared" si="93"/>
      </c>
      <c r="AI1997" s="42">
        <f t="shared" si="94"/>
      </c>
    </row>
    <row r="1998" spans="1:35" x14ac:dyDescent="0.2">
      <c r="A1998" s="66">
        <f t="shared" si="95"/>
      </c>
      <c r="B1998" s="4"/>
      <c r="C1998" s="4"/>
      <c r="D1998" s="4"/>
      <c r="E1998" s="4"/>
      <c r="F1998" s="24"/>
      <c r="G1998" s="8"/>
      <c r="H1998" s="9"/>
      <c r="I1998" s="8"/>
      <c r="J1998" s="10"/>
      <c r="K1998" s="8"/>
      <c r="L1998" s="8"/>
      <c r="M1998" s="8"/>
      <c r="N1998" s="11"/>
      <c r="O1998" s="9"/>
      <c r="P1998" s="12"/>
      <c r="Q1998" s="9"/>
      <c r="R1998" s="13"/>
      <c r="S1998" s="11"/>
      <c r="T1998" s="11"/>
      <c r="U1998" s="9"/>
      <c r="V1998" s="9"/>
      <c r="W1998" s="9"/>
      <c r="X1998" s="16"/>
      <c r="AF1998" s="42">
        <f>IF(BUSCAR!$C$8="FECHA NAC.",$G1998,IF(BUSCAR!$C$8="PASAPORTE EXPIRA",$J1998,IF(BUSCAR!$C$8="LICENCIA EMISION",$L1998,IF(BUSCAR!$C$8="LICENCIA EXPIRA",$M1998,""))))</f>
      </c>
      <c r="AG1998" s="42">
        <f>IF($B1998&amp;$C1998&amp;$D1998&amp;$E1998&amp;$H1998="",0,IF(AND(OR(BUSCAR!$J$5="",ISNUMBER(SEARCH(BUSCAR!$J$5,$AI1998))),OR(BUSCAR!$J$6="",ISNUMBER(SEARCH(BUSCAR!$J$6,$AI1998))),OR(BUSCAR!$J$8="",ISNUMBER(SEARCH(BUSCAR!$J$8,$AI1998))),OR(BUSCAR!$J$9="",ISNUMBER(SEARCH(BUSCAR!$J$9,$AI1998))),OR(NOT(BUSCAR!$J$2),AND(ISNUMBER($AF1998),$AF1998&gt;=BUSCAR!$J$3,$AF1998&lt;=BUSCAR!$J$4))),1,0))</f>
      </c>
      <c r="AH1998" s="42">
        <f t="shared" si="93"/>
      </c>
      <c r="AI1998" s="42">
        <f t="shared" si="94"/>
      </c>
    </row>
    <row r="1999" spans="1:35" x14ac:dyDescent="0.2">
      <c r="A1999" s="66">
        <f t="shared" si="95"/>
      </c>
      <c r="B1999" s="4"/>
      <c r="C1999" s="4"/>
      <c r="D1999" s="4"/>
      <c r="E1999" s="4"/>
      <c r="F1999" s="24"/>
      <c r="G1999" s="8"/>
      <c r="H1999" s="9"/>
      <c r="I1999" s="8"/>
      <c r="J1999" s="10"/>
      <c r="K1999" s="8"/>
      <c r="L1999" s="8"/>
      <c r="M1999" s="8"/>
      <c r="N1999" s="11"/>
      <c r="O1999" s="9"/>
      <c r="P1999" s="12"/>
      <c r="Q1999" s="9"/>
      <c r="R1999" s="13"/>
      <c r="S1999" s="11"/>
      <c r="T1999" s="11"/>
      <c r="U1999" s="9"/>
      <c r="V1999" s="9"/>
      <c r="W1999" s="9"/>
      <c r="X1999" s="16"/>
      <c r="AF1999" s="42">
        <f>IF(BUSCAR!$C$8="FECHA NAC.",$G1999,IF(BUSCAR!$C$8="PASAPORTE EXPIRA",$J1999,IF(BUSCAR!$C$8="LICENCIA EMISION",$L1999,IF(BUSCAR!$C$8="LICENCIA EXPIRA",$M1999,""))))</f>
      </c>
      <c r="AG1999" s="42">
        <f>IF($B1999&amp;$C1999&amp;$D1999&amp;$E1999&amp;$H1999="",0,IF(AND(OR(BUSCAR!$J$5="",ISNUMBER(SEARCH(BUSCAR!$J$5,$AI1999))),OR(BUSCAR!$J$6="",ISNUMBER(SEARCH(BUSCAR!$J$6,$AI1999))),OR(BUSCAR!$J$8="",ISNUMBER(SEARCH(BUSCAR!$J$8,$AI1999))),OR(BUSCAR!$J$9="",ISNUMBER(SEARCH(BUSCAR!$J$9,$AI1999))),OR(NOT(BUSCAR!$J$2),AND(ISNUMBER($AF1999),$AF1999&gt;=BUSCAR!$J$3,$AF1999&lt;=BUSCAR!$J$4))),1,0))</f>
      </c>
      <c r="AH1999" s="42">
        <f t="shared" si="93"/>
      </c>
      <c r="AI1999" s="42">
        <f t="shared" si="94"/>
      </c>
    </row>
    <row r="2000" spans="1:35" x14ac:dyDescent="0.2">
      <c r="A2000" s="66">
        <f t="shared" si="95"/>
      </c>
      <c r="B2000" s="4"/>
      <c r="C2000" s="4"/>
      <c r="D2000" s="4"/>
      <c r="E2000" s="4"/>
      <c r="F2000" s="24"/>
      <c r="G2000" s="8"/>
      <c r="H2000" s="9"/>
      <c r="I2000" s="8"/>
      <c r="J2000" s="10"/>
      <c r="K2000" s="8"/>
      <c r="L2000" s="8"/>
      <c r="M2000" s="8"/>
      <c r="N2000" s="11"/>
      <c r="O2000" s="9"/>
      <c r="P2000" s="12"/>
      <c r="Q2000" s="9"/>
      <c r="R2000" s="13"/>
      <c r="S2000" s="11"/>
      <c r="T2000" s="11"/>
      <c r="U2000" s="9"/>
      <c r="V2000" s="9"/>
      <c r="W2000" s="9"/>
      <c r="X2000" s="16"/>
      <c r="AF2000" s="42">
        <f>IF(BUSCAR!$C$8="FECHA NAC.",$G2000,IF(BUSCAR!$C$8="PASAPORTE EXPIRA",$J2000,IF(BUSCAR!$C$8="LICENCIA EMISION",$L2000,IF(BUSCAR!$C$8="LICENCIA EXPIRA",$M2000,""))))</f>
      </c>
      <c r="AG2000" s="42">
        <f>IF($B2000&amp;$C2000&amp;$D2000&amp;$E2000&amp;$H2000="",0,IF(AND(OR(BUSCAR!$J$5="",ISNUMBER(SEARCH(BUSCAR!$J$5,$AI2000))),OR(BUSCAR!$J$6="",ISNUMBER(SEARCH(BUSCAR!$J$6,$AI2000))),OR(BUSCAR!$J$8="",ISNUMBER(SEARCH(BUSCAR!$J$8,$AI2000))),OR(BUSCAR!$J$9="",ISNUMBER(SEARCH(BUSCAR!$J$9,$AI2000))),OR(NOT(BUSCAR!$J$2),AND(ISNUMBER($AF2000),$AF2000&gt;=BUSCAR!$J$3,$AF2000&lt;=BUSCAR!$J$4))),1,0))</f>
      </c>
      <c r="AH2000" s="42">
        <f t="shared" si="93"/>
      </c>
      <c r="AI2000" s="42">
        <f t="shared" si="94"/>
      </c>
    </row>
    <row r="2001" spans="1:35" x14ac:dyDescent="0.2">
      <c r="A2001" s="66">
        <f t="shared" si="95"/>
      </c>
      <c r="B2001" s="4"/>
      <c r="C2001" s="4"/>
      <c r="D2001" s="4"/>
      <c r="E2001" s="4"/>
      <c r="F2001" s="24"/>
      <c r="G2001" s="8"/>
      <c r="H2001" s="9"/>
      <c r="I2001" s="8"/>
      <c r="J2001" s="10"/>
      <c r="K2001" s="8"/>
      <c r="L2001" s="8"/>
      <c r="M2001" s="8"/>
      <c r="N2001" s="11"/>
      <c r="O2001" s="9"/>
      <c r="P2001" s="12"/>
      <c r="Q2001" s="9"/>
      <c r="R2001" s="13"/>
      <c r="S2001" s="11"/>
      <c r="T2001" s="11"/>
      <c r="U2001" s="9"/>
      <c r="V2001" s="9"/>
      <c r="W2001" s="9"/>
      <c r="X2001" s="16"/>
      <c r="AF2001" s="42">
        <f>IF(BUSCAR!$C$8="FECHA NAC.",$G2001,IF(BUSCAR!$C$8="PASAPORTE EXPIRA",$J2001,IF(BUSCAR!$C$8="LICENCIA EMISION",$L2001,IF(BUSCAR!$C$8="LICENCIA EXPIRA",$M2001,""))))</f>
      </c>
      <c r="AG2001" s="42">
        <f>IF($B2001&amp;$C2001&amp;$D2001&amp;$E2001&amp;$H2001="",0,IF(AND(OR(BUSCAR!$J$5="",ISNUMBER(SEARCH(BUSCAR!$J$5,$AI2001))),OR(BUSCAR!$J$6="",ISNUMBER(SEARCH(BUSCAR!$J$6,$AI2001))),OR(BUSCAR!$J$8="",ISNUMBER(SEARCH(BUSCAR!$J$8,$AI2001))),OR(BUSCAR!$J$9="",ISNUMBER(SEARCH(BUSCAR!$J$9,$AI2001))),OR(NOT(BUSCAR!$J$2),AND(ISNUMBER($AF2001),$AF2001&gt;=BUSCAR!$J$3,$AF2001&lt;=BUSCAR!$J$4))),1,0))</f>
      </c>
      <c r="AH2001" s="42">
        <f t="shared" si="93"/>
      </c>
      <c r="AI2001" s="42">
        <f t="shared" si="94"/>
      </c>
    </row>
    <row r="2002" spans="1:35" x14ac:dyDescent="0.2">
      <c r="A2002" s="66">
        <f t="shared" si="95"/>
      </c>
      <c r="B2002" s="4"/>
      <c r="C2002" s="4"/>
      <c r="D2002" s="4"/>
      <c r="E2002" s="4"/>
      <c r="F2002" s="24"/>
      <c r="G2002" s="8"/>
      <c r="H2002" s="9"/>
      <c r="I2002" s="8"/>
      <c r="J2002" s="10"/>
      <c r="K2002" s="8"/>
      <c r="L2002" s="8"/>
      <c r="M2002" s="8"/>
      <c r="N2002" s="11"/>
      <c r="O2002" s="9"/>
      <c r="P2002" s="12"/>
      <c r="Q2002" s="9"/>
      <c r="R2002" s="13"/>
      <c r="S2002" s="11"/>
      <c r="T2002" s="11"/>
      <c r="U2002" s="9"/>
      <c r="V2002" s="9"/>
      <c r="W2002" s="9"/>
      <c r="X2002" s="16"/>
      <c r="AF2002" s="42">
        <f>IF(BUSCAR!$C$8="FECHA NAC.",$G2002,IF(BUSCAR!$C$8="PASAPORTE EXPIRA",$J2002,IF(BUSCAR!$C$8="LICENCIA EMISION",$L2002,IF(BUSCAR!$C$8="LICENCIA EXPIRA",$M2002,""))))</f>
      </c>
      <c r="AG2002" s="42">
        <f>IF($B2002&amp;$C2002&amp;$D2002&amp;$E2002&amp;$H2002="",0,IF(AND(OR(BUSCAR!$J$5="",ISNUMBER(SEARCH(BUSCAR!$J$5,$AI2002))),OR(BUSCAR!$J$6="",ISNUMBER(SEARCH(BUSCAR!$J$6,$AI2002))),OR(BUSCAR!$J$8="",ISNUMBER(SEARCH(BUSCAR!$J$8,$AI2002))),OR(BUSCAR!$J$9="",ISNUMBER(SEARCH(BUSCAR!$J$9,$AI2002))),OR(NOT(BUSCAR!$J$2),AND(ISNUMBER($AF2002),$AF2002&gt;=BUSCAR!$J$3,$AF2002&lt;=BUSCAR!$J$4))),1,0))</f>
      </c>
      <c r="AH2002" s="42">
        <f t="shared" si="93"/>
      </c>
      <c r="AI2002" s="42">
        <f t="shared" si="94"/>
      </c>
    </row>
  </sheetData>
  <sheetProtection sheet="1" objects="1" scenarios="1" formatCells="0" formatColumns="0" formatRows="0" sort="0" autoFilter="0" pivotTables="0"/>
  <autoFilter ref="A2:AD3002" xr:uid="{00000000-0009-0000-0000-000001000000}"/>
  <phoneticPr fontId="2" type="noConversion"/>
  <pageMargins left="0.75" right="0.75" top="1" bottom="1" header="0" footer="0"/>
  <pageSetup orientation="portrait" horizontalDpi="4294967292" verticalDpi="20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0E27D8-6BF3-844D-900D-F4871DDB63B7}">
  <sheetPr codeName="Hoja1">
    <tabColor rgb="FFFFBC01"/>
  </sheetPr>
  <dimension ref="A1:N60"/>
  <sheetViews>
    <sheetView topLeftCell="A16" zoomScale="132" zoomScaleNormal="132" workbookViewId="0">
      <pane xSplit="1" topLeftCell="B1" activePane="topRight" state="frozen"/>
      <selection activeCell="C5" sqref="C5:E5"/>
      <selection pane="topRight" activeCell="C35" sqref="C35"/>
    </sheetView>
  </sheetViews>
  <sheetFormatPr baseColWidth="10" defaultColWidth="0" defaultRowHeight="16" zeroHeight="1" x14ac:dyDescent="0.2"/>
  <cols>
    <col min="1" max="1" width="17.28515625" style="1" customWidth="1"/>
    <col min="2" max="2" width="17" style="2" customWidth="1"/>
    <col min="3" max="3" width="12.42578125" style="3" customWidth="1"/>
    <col min="4" max="4" width="14.42578125" style="2" customWidth="1"/>
    <col min="5" max="5" width="17.140625" style="2" customWidth="1"/>
    <col min="6" max="6" width="15" style="2" customWidth="1"/>
    <col min="7" max="7" width="16.85546875" style="2" customWidth="1"/>
    <col min="8" max="8" width="15.28515625" style="1" bestFit="1" customWidth="1"/>
    <col min="9" max="14" width="0" style="1" hidden="1" customWidth="1"/>
    <col min="15" max="16384" width="0" style="2" hidden="1"/>
  </cols>
  <sheetData>
    <row r="1" spans="1:8" s="113" customFormat="1" ht="18" x14ac:dyDescent="0.2">
      <c r="A1" s="124"/>
      <c r="B1" s="125"/>
      <c r="C1" s="126"/>
      <c r="D1" s="124"/>
      <c r="E1" s="127" t="s">
        <v>124</v>
      </c>
      <c r="F1" s="280">
        <f>MAX(CONTRATOS!$A$6:$A$2005)+1</f>
      </c>
      <c r="G1" s="128" t="s">
        <v>33</v>
      </c>
      <c r="H1" s="129">
        <f ca="1">TODAY()</f>
      </c>
    </row>
    <row r="2" spans="1:8" ht="74.25" customHeight="1" thickBot="1" x14ac:dyDescent="0.25">
      <c r="A2" s="124" t="s">
        <v>48</v>
      </c>
      <c r="B2" s="124"/>
      <c r="C2" s="126"/>
      <c r="D2" s="124"/>
      <c r="E2" s="125"/>
      <c r="F2" s="124"/>
      <c r="G2" s="124"/>
      <c r="H2" s="124"/>
    </row>
    <row r="3" spans="1:8" ht="12.75" customHeight="1" thickBot="1" x14ac:dyDescent="0.25">
      <c r="A3" s="130">
        <f>IFERROR(IF(VLOOKUP($C$3,CLIENTES!$A$3:$Y$6002,24,FALSE)="","",VLOOKUP($C$3,CLIENTES!$A$3:$Y$6002,24,FALSE)),"")</f>
      </c>
      <c r="B3" s="131"/>
      <c r="C3" s="281"/>
      <c r="D3" s="132" t="s">
        <v>48</v>
      </c>
      <c r="E3" s="133" t="s">
        <v>39</v>
      </c>
      <c r="F3" s="134">
        <f>IFERROR(IF(VLOOKUP($C$3,CLIENTES!$A$3:$Y$6002,2,FALSE)="","",VLOOKUP($C$3,CLIENTES!$A$3:$Y$6002,2,FALSE)),"")</f>
      </c>
      <c r="G3" s="134">
        <f>IFERROR(IF(VLOOKUP($C$3,CLIENTES!$A$3:$Y$6002,3,FALSE)="","",VLOOKUP($C$3,CLIENTES!$A$3:$Y$6002,3,FALSE)),"")</f>
      </c>
    </row>
    <row r="4" spans="1:8" ht="12" customHeight="1" thickBot="1" x14ac:dyDescent="0.25">
      <c r="A4" s="130">
        <f>IFERROR(IF(VLOOKUP($C$3,CLIENTES!$A$3:$Y$6002,25,FALSE)="","",VLOOKUP($C$3,CLIENTES!$A$3:$Y$6002,25,FALSE)),"")</f>
      </c>
      <c r="B4" s="135"/>
      <c r="C4" s="136" t="s">
        <v>48</v>
      </c>
      <c r="D4" s="137"/>
      <c r="E4" s="133" t="s">
        <v>36</v>
      </c>
      <c r="F4" s="138">
        <f>IFERROR(IF(VLOOKUP($C$3,CLIENTES!$A$3:$Y$6002,4,FALSE)="","",VLOOKUP($C$3,CLIENTES!$A$3:$Y$6002,4,FALSE)),"")</f>
      </c>
      <c r="G4" s="134">
        <f>IFERROR(IF(VLOOKUP($C$3,CLIENTES!$A$3:$Y$6002,5,FALSE)="","",VLOOKUP($C$3,CLIENTES!$A$3:$Y$6002,5,FALSE)),"")</f>
      </c>
    </row>
    <row r="5" spans="1:8" ht="12" customHeight="1" thickBot="1" x14ac:dyDescent="0.25">
      <c r="A5" s="130">
        <f>IFERROR(IF(VLOOKUP($C$3,CLIENTES!$A$3:$Y$6002,26,FALSE)="","",VLOOKUP($C$3,CLIENTES!$A$3:$Y$6002,26,FALSE)),"")</f>
      </c>
      <c r="B5" s="135"/>
      <c r="C5" s="136" t="s">
        <v>48</v>
      </c>
      <c r="D5" s="137" t="s">
        <v>48</v>
      </c>
      <c r="E5" s="133" t="s">
        <v>17</v>
      </c>
      <c r="F5" s="134">
        <f>IFERROR(IF(VLOOKUP($C$3,CLIENTES!$A$3:$Y$6002,6,FALSE)="","",VLOOKUP($C$3,CLIENTES!$A$3:$Y$6002,6,FALSE)),"")</f>
      </c>
      <c r="G5" s="139"/>
    </row>
    <row r="6" spans="1:8" ht="12" customHeight="1" thickBot="1" x14ac:dyDescent="0.25">
      <c r="A6" s="130">
        <f>IFERROR(IF(VLOOKUP($C$3,CLIENTES!$A$3:$Y$6002,27,FALSE)="","",VLOOKUP($C$3,CLIENTES!$A$3:$Y$6002,27,FALSE)),"")</f>
      </c>
      <c r="B6" s="140" t="s">
        <v>80</v>
      </c>
      <c r="C6" s="340"/>
      <c r="D6" s="341"/>
      <c r="E6" s="133"/>
      <c r="F6" s="336">
        <f>IFERROR(IF(VLOOKUP($C$3,CLIENTES!$A$3:$Y$6002,7,FALSE)="","",VLOOKUP($C$3,CLIENTES!$A$3:$Y$6002,7,FALSE)),"")</f>
      </c>
      <c r="G6" s="337"/>
    </row>
    <row r="7" spans="1:8" ht="12" customHeight="1" thickBot="1" x14ac:dyDescent="0.25">
      <c r="A7" s="130">
        <f>IFERROR(IF(VLOOKUP($C$3,CLIENTES!$A$3:$Y$6002,28,FALSE)="","",VLOOKUP($C$3,CLIENTES!$A$3:$Y$6002,28,FALSE)),"")</f>
      </c>
      <c r="B7" s="141" t="s">
        <v>7</v>
      </c>
      <c r="C7" s="287"/>
      <c r="D7" s="142"/>
      <c r="E7" s="133" t="s">
        <v>18</v>
      </c>
      <c r="F7" s="138">
        <f>IFERROR(IF(VLOOKUP($C$3,CLIENTES!$A$3:$Y$6002,14,FALSE)="","",VLOOKUP($C$3,CLIENTES!$A$3:$Y$6002,14,FALSE)),"")</f>
      </c>
      <c r="G7" s="118" t="s">
        <v>19</v>
      </c>
      <c r="H7" s="143"/>
    </row>
    <row r="8" spans="1:8" ht="12" customHeight="1" thickBot="1" x14ac:dyDescent="0.25">
      <c r="A8" s="144"/>
      <c r="B8" s="145" t="s">
        <v>61</v>
      </c>
      <c r="C8" s="287"/>
      <c r="D8" s="288"/>
      <c r="E8" s="133" t="s">
        <v>48</v>
      </c>
      <c r="F8" s="146">
        <f>IFERROR(IF(VLOOKUP($C$3,CLIENTES!$A$3:$Y$6002,18,FALSE)="","",VLOOKUP($C$3,CLIENTES!$A$3:$Y$6002,18,FALSE)),"")</f>
      </c>
      <c r="G8" s="147">
        <f>IFERROR(IF(VLOOKUP($C$3,CLIENTES!$A$3:$Y$6002,15,FALSE)="","",VLOOKUP($C$3,CLIENTES!$A$3:$Y$6002,15,FALSE)),"")</f>
      </c>
    </row>
    <row r="9" spans="1:8" ht="12" customHeight="1" thickBot="1" x14ac:dyDescent="0.25">
      <c r="A9" s="148">
        <f>IFERROR(IF(VLOOKUP($C$3,CLIENTES!$A$3:$Y$6002,19,FALSE)="","",VLOOKUP($C$3,CLIENTES!$A$3:$Y$6002,19,FALSE)),"")</f>
      </c>
      <c r="B9" s="145" t="s">
        <v>58</v>
      </c>
      <c r="C9" s="289"/>
      <c r="D9" s="116"/>
      <c r="E9" s="133"/>
      <c r="F9" s="149">
        <f>IFERROR(IF(VLOOKUP($C$3,CLIENTES!$A$3:$Y$6002,8,FALSE)="","",VLOOKUP($C$3,CLIENTES!$A$3:$Y$6002,8,FALSE)),"")</f>
      </c>
      <c r="G9" s="150"/>
    </row>
    <row r="10" spans="1:8" ht="12" customHeight="1" thickBot="1" x14ac:dyDescent="0.25">
      <c r="A10" s="148">
        <f>IFERROR(IF(VLOOKUP($C$3,CLIENTES!$A$3:$Y$6002,20,FALSE)="","",VLOOKUP($C$3,CLIENTES!$A$3:$Y$6002,20,FALSE)),"")</f>
      </c>
      <c r="B10" s="145" t="s">
        <v>59</v>
      </c>
      <c r="C10" s="340"/>
      <c r="D10" s="341"/>
      <c r="E10" s="133" t="s">
        <v>0</v>
      </c>
      <c r="F10" s="149">
        <f>IFERROR(IF(VLOOKUP($C$3,CLIENTES!$A$3:$Y$6002,9,FALSE)="","",VLOOKUP($C$3,CLIENTES!$A$3:$Y$6002,9,FALSE)),"")</f>
      </c>
      <c r="G10" s="150"/>
    </row>
    <row r="11" spans="1:8" ht="12" customHeight="1" thickBot="1" x14ac:dyDescent="0.25">
      <c r="A11" s="148">
        <f>IFERROR(IF(VLOOKUP($C$3,CLIENTES!$A$3:$Y$6002,21,FALSE)="","",VLOOKUP($C$3,CLIENTES!$A$3:$Y$6002,21,FALSE)),"")</f>
      </c>
      <c r="B11" s="140" t="s">
        <v>60</v>
      </c>
      <c r="C11" s="340"/>
      <c r="D11" s="341"/>
      <c r="E11" s="133"/>
      <c r="F11" s="151">
        <f>IFERROR(IF(VLOOKUP($C$3,CLIENTES!$A$3:$Y$6002,10,FALSE)="","",VLOOKUP($C$3,CLIENTES!$A$3:$Y$6002,10,FALSE)),"")</f>
      </c>
      <c r="G11" s="150"/>
    </row>
    <row r="12" spans="1:8" ht="12" customHeight="1" thickBot="1" x14ac:dyDescent="0.25">
      <c r="A12" s="148">
        <f>IFERROR(IF(VLOOKUP($C$3,CLIENTES!$A$3:$Y$6002,22,FALSE)="","",VLOOKUP($C$3,CLIENTES!$A$3:$Y$6002,22,FALSE)),"")</f>
      </c>
      <c r="B12" s="141"/>
      <c r="C12" s="287"/>
      <c r="D12" s="142"/>
      <c r="E12" s="133" t="s">
        <v>8</v>
      </c>
      <c r="F12" s="321">
        <f>IFERROR(IF(VLOOKUP($C$3,CLIENTES!$A$3:$Y$6002,11,FALSE)="","",VLOOKUP($C$3,CLIENTES!$A$3:$Y$6002,11,FALSE)),"")</f>
      </c>
      <c r="G12" s="322"/>
    </row>
    <row r="13" spans="1:8" ht="12" customHeight="1" thickBot="1" x14ac:dyDescent="0.25">
      <c r="A13" s="148">
        <f>IFERROR(IF(VLOOKUP($C$3,CLIENTES!$A$3:$Y$6002,23,FALSE)="","",VLOOKUP($C$3,CLIENTES!$A$3:$Y$6002,23,FALSE)),"")</f>
      </c>
      <c r="B13" s="145"/>
      <c r="C13" s="287"/>
      <c r="D13" s="288"/>
      <c r="E13" s="133"/>
      <c r="F13" s="149">
        <f>IFERROR(IF(VLOOKUP($C$3,CLIENTES!$A$3:$Y$6002,12,FALSE)="","",VLOOKUP($C$3,CLIENTES!$A$3:$Y$6002,12,FALSE)),"")</f>
      </c>
      <c r="G13" s="150"/>
    </row>
    <row r="14" spans="1:8" ht="12" customHeight="1" thickBot="1" x14ac:dyDescent="0.25">
      <c r="A14" s="144"/>
      <c r="B14" s="145" t="s">
        <v>58</v>
      </c>
      <c r="C14" s="287"/>
      <c r="D14" s="116"/>
      <c r="E14" s="133" t="s">
        <v>7</v>
      </c>
      <c r="F14" s="151">
        <f>IFERROR(IF(VLOOKUP($C$3,CLIENTES!$A$3:$Y$6002,13,FALSE)="","",VLOOKUP($C$3,CLIENTES!$A$3:$Y$6002,13,FALSE)),"")</f>
      </c>
      <c r="G14" s="150"/>
    </row>
    <row r="15" spans="1:8" ht="17" thickBot="1" x14ac:dyDescent="0.25">
      <c r="A15" s="148">
        <f>IFERROR(IF(VLOOKUP($C$3,CLIENTES!$A$3:$Y$6002,14,FALSE)="","",VLOOKUP($C$3,CLIENTES!$A$3:$Y$6002,14,FALSE)),"")</f>
      </c>
      <c r="B15" s="145" t="s">
        <v>59</v>
      </c>
      <c r="C15" s="340"/>
      <c r="D15" s="341"/>
      <c r="E15" s="152" t="s">
        <v>85</v>
      </c>
      <c r="F15" s="323">
        <f>IFERROR(IF(VLOOKUP($C$3,CLIENTES!$A$3:$Y$6002,19,FALSE)="","",VLOOKUP($C$3,CLIENTES!$A$3:$Y$6002,19,FALSE)),"")</f>
      </c>
      <c r="G15" s="324"/>
    </row>
    <row r="16" spans="1:8" ht="17" thickBot="1" x14ac:dyDescent="0.25">
      <c r="A16" s="153"/>
      <c r="B16" s="154"/>
      <c r="C16" s="155"/>
      <c r="D16" s="137"/>
      <c r="E16" s="145" t="s">
        <v>19</v>
      </c>
      <c r="F16" s="156">
        <f>IFERROR(IF(VLOOKUP($C$3,CLIENTES!$A$3:$Y$6002,20,FALSE)="","",VLOOKUP($C$3,CLIENTES!$A$3:$Y$6002,20,FALSE)),"")</f>
      </c>
      <c r="G16" s="119" t="s">
        <v>86</v>
      </c>
    </row>
    <row r="17" spans="1:7" ht="17" thickBot="1" x14ac:dyDescent="0.25">
      <c r="A17" s="148">
        <f>IFERROR(IF(VLOOKUP($C$3,CLIENTES!$A$3:$Y$6002,18,FALSE)="","",VLOOKUP($C$3,CLIENTES!$A$3:$Y$6002,18,FALSE)),"")</f>
      </c>
      <c r="B17" s="327" t="s">
        <v>101</v>
      </c>
      <c r="C17" s="328"/>
      <c r="D17" s="157" t="s">
        <v>49</v>
      </c>
      <c r="E17" s="145" t="s">
        <v>62</v>
      </c>
      <c r="F17" s="156">
        <f>IFERROR(IF(VLOOKUP($C$3,CLIENTES!$A$3:$Y$6002,21,FALSE)="","",VLOOKUP($C$3,CLIENTES!$A$3:$Y$6002,21,FALSE)),"")</f>
      </c>
      <c r="G17" s="158">
        <f>IFERROR(IF(VLOOKUP($C$3,CLIENTES!$A$3:$Y$6002,23,FALSE)="","",VLOOKUP($C$3,CLIENTES!$A$3:$Y$6002,23,FALSE)),"")</f>
      </c>
    </row>
    <row r="18" spans="1:7" ht="17" thickBot="1" x14ac:dyDescent="0.25">
      <c r="A18" s="159"/>
      <c r="B18" s="338"/>
      <c r="C18" s="339"/>
      <c r="D18" s="290"/>
      <c r="E18" s="145" t="s">
        <v>5</v>
      </c>
      <c r="F18" s="160">
        <f>IFERROR(IF(VLOOKUP($C$3,CLIENTES!$A$3:$Y$6002,22,FALSE)="","",VLOOKUP($C$3,CLIENTES!$A$3:$Y$6002,22,FALSE)),"")</f>
      </c>
      <c r="G18" s="120"/>
    </row>
    <row r="19" spans="1:7" ht="17" thickBot="1" x14ac:dyDescent="0.25">
      <c r="A19" s="161"/>
      <c r="B19" s="162" t="s">
        <v>102</v>
      </c>
      <c r="C19" s="325">
        <f>IF(TRIM($F$19&amp;"")&lt;&gt;"",IFERROR(IF(VLOOKUP($F$19,VEHICULOS!$A$3:$H$202,3,FALSE)="","",VLOOKUP($F$19,VEHICULOS!$A$3:$H$202,3,FALSE)),""),IF(TRIM($C$46&amp;"")="","",$C$46))</f>
      </c>
      <c r="D19" s="326"/>
      <c r="E19" s="127" t="s">
        <v>125</v>
      </c>
      <c r="F19" s="334"/>
      <c r="G19" s="335"/>
    </row>
    <row r="20" spans="1:7" ht="17" thickBot="1" x14ac:dyDescent="0.25">
      <c r="A20" s="163"/>
      <c r="B20" s="164" t="s">
        <v>28</v>
      </c>
      <c r="C20" s="325">
        <f>IF(TRIM($F$19&amp;"")&lt;&gt;"",IFERROR(IF(VLOOKUP($F$19,VEHICULOS!$A$3:$H$202,2,FALSE)="","",VLOOKUP($F$19,VEHICULOS!$A$3:$H$202,2,FALSE)),""),IF(TRIM($C$45&amp;"")="","",$C$45))</f>
      </c>
      <c r="D20" s="326"/>
      <c r="E20" s="165"/>
      <c r="F20" s="318"/>
      <c r="G20" s="318"/>
    </row>
    <row r="21" spans="1:7" ht="17" thickBot="1" x14ac:dyDescent="0.25">
      <c r="A21" s="163"/>
      <c r="B21" s="166" t="s">
        <v>77</v>
      </c>
      <c r="C21" s="325">
        <f>IF(TRIM($F$19&amp;"")&lt;&gt;"",IFERROR(IF(VLOOKUP($F$19,VEHICULOS!$A$3:$H$202,4,FALSE)="","",VLOOKUP($F$19,VEHICULOS!$A$3:$H$202,4,FALSE)),""),IF(TRIM($C$47&amp;"")="","",$C$47))</f>
      </c>
      <c r="D21" s="326"/>
      <c r="E21" s="327" t="s">
        <v>65</v>
      </c>
      <c r="F21" s="328"/>
      <c r="G21" s="167"/>
    </row>
    <row r="22" spans="1:7" ht="17" thickBot="1" x14ac:dyDescent="0.25">
      <c r="A22" s="163"/>
      <c r="B22" s="166" t="s">
        <v>38</v>
      </c>
      <c r="C22" s="325">
        <f>IF(TRIM($F$19&amp;"")&lt;&gt;"",IFERROR(IF(VLOOKUP($F$19,VEHICULOS!$A$3:$H$202,5,FALSE)="","",VLOOKUP($F$19,VEHICULOS!$A$3:$H$202,5,FALSE)),""),IF(TRIM($F$47&amp;"")="","",$F$47))</f>
      </c>
      <c r="D22" s="326"/>
      <c r="E22" s="162" t="s">
        <v>66</v>
      </c>
      <c r="F22" s="291"/>
      <c r="G22" s="167"/>
    </row>
    <row r="23" spans="1:7" ht="17" thickBot="1" x14ac:dyDescent="0.25">
      <c r="B23" s="168" t="s">
        <v>22</v>
      </c>
      <c r="C23" s="325">
        <f>IF(TRIM($F$19&amp;"")&lt;&gt;"",IFERROR(IF(VLOOKUP($F$19,VEHICULOS!$A$3:$H$202,6,FALSE)="","",VLOOKUP($F$19,VEHICULOS!$A$3:$H$202,6,FALSE)),""),IF(TRIM($C$48&amp;"")="","",$C$48))</f>
      </c>
      <c r="D23" s="326"/>
      <c r="E23" s="162" t="s">
        <v>67</v>
      </c>
      <c r="F23" s="292"/>
      <c r="G23" s="167"/>
    </row>
    <row r="24" spans="1:7" ht="17" thickBot="1" x14ac:dyDescent="0.25">
      <c r="B24" s="169" t="s">
        <v>63</v>
      </c>
      <c r="C24" s="293">
        <v>120</v>
      </c>
      <c r="D24" s="137" t="s">
        <v>48</v>
      </c>
      <c r="E24" s="137"/>
      <c r="F24" s="137"/>
      <c r="G24" s="167"/>
    </row>
    <row r="25" spans="1:7" ht="17" thickBot="1" x14ac:dyDescent="0.25">
      <c r="B25" s="166" t="s">
        <v>64</v>
      </c>
      <c r="C25" s="294">
        <v>72</v>
      </c>
      <c r="D25" s="345" t="s">
        <v>74</v>
      </c>
      <c r="E25" s="346"/>
      <c r="F25" s="346"/>
      <c r="G25" s="347"/>
    </row>
    <row r="26" spans="1:7" ht="17" thickBot="1" x14ac:dyDescent="0.25">
      <c r="B26" s="166" t="s">
        <v>9</v>
      </c>
      <c r="C26" s="282">
        <v>55000</v>
      </c>
      <c r="D26" s="348"/>
      <c r="E26" s="349"/>
      <c r="F26" s="349"/>
      <c r="G26" s="350"/>
    </row>
    <row r="27" spans="1:7" ht="17" thickBot="1" x14ac:dyDescent="0.25">
      <c r="B27" s="162" t="s">
        <v>27</v>
      </c>
      <c r="C27" s="283"/>
      <c r="D27" s="351"/>
      <c r="E27" s="352"/>
      <c r="F27" s="352"/>
      <c r="G27" s="353"/>
    </row>
    <row r="28" spans="1:7" ht="16.5" customHeight="1" thickBot="1" x14ac:dyDescent="0.25">
      <c r="A28" s="170" t="s">
        <v>48</v>
      </c>
      <c r="B28" s="162" t="s">
        <v>109</v>
      </c>
      <c r="C28" s="295"/>
      <c r="D28" s="137"/>
      <c r="E28" s="171"/>
      <c r="F28" s="317"/>
      <c r="G28" s="317"/>
    </row>
    <row r="29" spans="1:7" ht="12.75" customHeight="1" thickBot="1" x14ac:dyDescent="0.25">
      <c r="B29" s="162" t="s">
        <v>30</v>
      </c>
      <c r="C29" s="284"/>
      <c r="D29" s="172"/>
      <c r="E29" s="173">
        <f>IF(OR(C29="",C32=""),"",C29+C32)</f>
      </c>
      <c r="F29" s="117"/>
      <c r="G29" s="174"/>
    </row>
    <row r="30" spans="1:7" ht="14.25" customHeight="1" thickBot="1" x14ac:dyDescent="0.25">
      <c r="B30" s="162" t="s">
        <v>191</v>
      </c>
      <c r="C30" s="296"/>
      <c r="D30" s="175" t="s">
        <v>78</v>
      </c>
      <c r="E30" s="296"/>
      <c r="F30" s="117"/>
      <c r="G30" s="174"/>
    </row>
    <row r="31" spans="1:7" ht="12.75" customHeight="1" thickBot="1" x14ac:dyDescent="0.25">
      <c r="B31" s="162" t="s">
        <v>51</v>
      </c>
      <c r="C31" s="297"/>
      <c r="D31" s="176" t="s">
        <v>31</v>
      </c>
      <c r="E31" s="298"/>
      <c r="F31" s="117"/>
      <c r="G31" s="174"/>
    </row>
    <row r="32" spans="1:7" ht="13.5" customHeight="1" thickBot="1" x14ac:dyDescent="0.25">
      <c r="B32" s="162" t="s">
        <v>190</v>
      </c>
      <c r="C32" s="285"/>
      <c r="D32" s="137"/>
      <c r="E32" s="171"/>
      <c r="F32" s="117"/>
      <c r="G32" s="167"/>
    </row>
    <row r="33" spans="2:7" ht="17" thickBot="1" x14ac:dyDescent="0.25">
      <c r="B33" s="162" t="s">
        <v>189</v>
      </c>
      <c r="C33" s="299"/>
      <c r="D33" s="162" t="s">
        <v>16</v>
      </c>
      <c r="E33" s="177" t="s">
        <v>40</v>
      </c>
      <c r="F33" s="178"/>
      <c r="G33" s="167"/>
    </row>
    <row r="34" spans="2:7" ht="17" thickBot="1" x14ac:dyDescent="0.25">
      <c r="B34" s="162" t="s">
        <v>114</v>
      </c>
      <c r="C34" s="286"/>
      <c r="D34" s="179">
        <f>IF(C34="","",C34-N(C24)-N(C25))</f>
      </c>
      <c r="E34" s="180" t="s">
        <v>53</v>
      </c>
      <c r="F34" s="301"/>
      <c r="G34" s="167"/>
    </row>
    <row r="35" spans="2:7" ht="17" thickBot="1" x14ac:dyDescent="0.25">
      <c r="B35" s="162" t="s">
        <v>23</v>
      </c>
      <c r="C35" s="293"/>
      <c r="D35" s="181"/>
      <c r="E35" s="182" t="s">
        <v>55</v>
      </c>
      <c r="F35" s="302"/>
      <c r="G35" s="183"/>
    </row>
    <row r="36" spans="2:7" ht="17" thickBot="1" x14ac:dyDescent="0.25">
      <c r="B36" s="162" t="s">
        <v>10</v>
      </c>
      <c r="C36" s="293"/>
      <c r="D36" s="181"/>
      <c r="E36" s="182" t="s">
        <v>56</v>
      </c>
      <c r="F36" s="302"/>
      <c r="G36" s="183"/>
    </row>
    <row r="37" spans="2:7" ht="17" thickBot="1" x14ac:dyDescent="0.25">
      <c r="B37" s="162" t="s">
        <v>47</v>
      </c>
      <c r="C37" s="293">
        <v>65</v>
      </c>
      <c r="D37" s="162" t="s">
        <v>32</v>
      </c>
      <c r="E37" s="184" t="s">
        <v>54</v>
      </c>
      <c r="F37" s="302"/>
      <c r="G37" s="183"/>
    </row>
    <row r="38" spans="2:7" ht="17" thickBot="1" x14ac:dyDescent="0.25">
      <c r="B38" s="162" t="s">
        <v>79</v>
      </c>
      <c r="C38" s="300"/>
      <c r="D38" s="137" t="s">
        <v>48</v>
      </c>
      <c r="E38" s="182" t="s">
        <v>71</v>
      </c>
      <c r="F38" s="302"/>
      <c r="G38" s="183"/>
    </row>
    <row r="39" spans="2:7" ht="17" thickBot="1" x14ac:dyDescent="0.25">
      <c r="B39" s="354" t="s">
        <v>48</v>
      </c>
      <c r="C39" s="355"/>
      <c r="D39" s="183"/>
      <c r="E39" s="185" t="s">
        <v>72</v>
      </c>
      <c r="F39" s="303"/>
      <c r="G39" s="183"/>
    </row>
    <row r="40" spans="2:7" ht="17" thickBot="1" x14ac:dyDescent="0.25">
      <c r="B40" s="329"/>
      <c r="C40" s="330"/>
      <c r="D40" s="183"/>
      <c r="E40" s="186" t="s">
        <v>73</v>
      </c>
      <c r="F40" s="304"/>
      <c r="G40" s="183"/>
    </row>
    <row r="41" spans="2:7" ht="17" thickBot="1" x14ac:dyDescent="0.25">
      <c r="B41" s="162" t="s">
        <v>70</v>
      </c>
      <c r="C41" s="342"/>
      <c r="D41" s="343"/>
      <c r="E41" s="344"/>
      <c r="F41" s="183"/>
      <c r="G41" s="183"/>
    </row>
    <row r="42" spans="2:7" ht="17" thickBot="1" x14ac:dyDescent="0.25">
      <c r="B42" s="162" t="s">
        <v>43</v>
      </c>
      <c r="C42" s="319"/>
      <c r="D42" s="320"/>
      <c r="E42" s="331"/>
      <c r="F42" s="332"/>
      <c r="G42" s="333"/>
    </row>
    <row r="43" spans="2:7" ht="17" thickBot="1" x14ac:dyDescent="0.25">
      <c r="B43" s="162" t="s">
        <v>21</v>
      </c>
      <c r="C43" s="319"/>
      <c r="D43" s="320"/>
      <c r="E43" s="155"/>
      <c r="F43" s="183"/>
      <c r="G43" s="167" t="s">
        <v>48</v>
      </c>
    </row>
    <row r="44" spans="2:7" ht="17" customHeight="1" x14ac:dyDescent="0.2">
      <c r="B44" s="356" t="s">
        <v>277</v>
      </c>
      <c r="C44" s="356"/>
      <c r="D44" s="356"/>
      <c r="E44" s="356"/>
      <c r="F44" s="356"/>
      <c r="G44" s="167"/>
    </row>
    <row r="45" spans="2:7" ht="17" customHeight="1" x14ac:dyDescent="0.2">
      <c r="B45" s="162" t="s">
        <v>28</v>
      </c>
      <c r="C45" s="319"/>
      <c r="D45" s="320"/>
      <c r="E45" s="186" t="s">
        <v>177</v>
      </c>
      <c r="F45" s="305"/>
      <c r="G45" s="167"/>
    </row>
    <row r="46" spans="2:7" ht="17" customHeight="1" x14ac:dyDescent="0.2">
      <c r="B46" s="162" t="s">
        <v>171</v>
      </c>
      <c r="C46" s="319"/>
      <c r="D46" s="320"/>
      <c r="E46" s="186" t="s">
        <v>278</v>
      </c>
      <c r="F46" s="304"/>
      <c r="G46" s="167"/>
    </row>
    <row r="47" spans="2:7" ht="17" customHeight="1" x14ac:dyDescent="0.2">
      <c r="B47" s="162" t="s">
        <v>77</v>
      </c>
      <c r="C47" s="319"/>
      <c r="D47" s="320"/>
      <c r="E47" s="186" t="s">
        <v>38</v>
      </c>
      <c r="F47" s="305"/>
      <c r="G47" s="167"/>
    </row>
    <row r="48" spans="2:7" ht="17" customHeight="1" thickBot="1" x14ac:dyDescent="0.25">
      <c r="B48" s="162" t="s">
        <v>22</v>
      </c>
      <c r="C48" s="319"/>
      <c r="D48" s="320"/>
      <c r="E48" s="357">
        <f>IF(AND(TRIM($F$19&amp;"")&lt;&gt;"",TRIM($C$45&amp;$C$46&amp;$C$47&amp;$F$47&amp;$C$48&amp;"")&lt;&gt;""),"OJO: tiene CODIGO CARRO; se usan los datos de VEHICULOS","")</f>
      </c>
      <c r="F48" s="357"/>
      <c r="G48" s="167"/>
    </row>
    <row r="49" spans="2:8" ht="17" thickBot="1" x14ac:dyDescent="0.25">
      <c r="B49" s="187"/>
      <c r="C49" s="188"/>
      <c r="D49" s="174"/>
      <c r="E49" s="123"/>
      <c r="F49" s="155"/>
      <c r="G49" s="167"/>
      <c r="H49" s="143"/>
    </row>
    <row r="50" spans="2:8" ht="13.5" customHeight="1" thickBot="1" x14ac:dyDescent="0.25">
      <c r="B50" s="162" t="s">
        <v>20</v>
      </c>
      <c r="C50" s="311"/>
      <c r="D50" s="311"/>
      <c r="E50" s="311"/>
      <c r="F50" s="311"/>
      <c r="G50" s="312"/>
    </row>
    <row r="51" spans="2:8" x14ac:dyDescent="0.2">
      <c r="B51" s="154"/>
      <c r="C51" s="313"/>
      <c r="D51" s="313"/>
      <c r="E51" s="313"/>
      <c r="F51" s="313"/>
      <c r="G51" s="314"/>
    </row>
    <row r="52" spans="2:8" x14ac:dyDescent="0.2">
      <c r="B52" s="154"/>
      <c r="C52" s="315"/>
      <c r="D52" s="315"/>
      <c r="E52" s="315"/>
      <c r="F52" s="315"/>
      <c r="G52" s="316"/>
    </row>
    <row r="53" spans="2:8" ht="17" thickBot="1" x14ac:dyDescent="0.25">
      <c r="B53" s="189"/>
      <c r="C53" s="190"/>
      <c r="D53" s="191"/>
      <c r="E53" s="191"/>
      <c r="F53" s="191"/>
      <c r="G53" s="192"/>
    </row>
    <row r="54" spans="2:8" x14ac:dyDescent="0.2">
      <c r="B54" s="170"/>
      <c r="C54" s="193" t="s">
        <v>48</v>
      </c>
      <c r="D54" s="170"/>
      <c r="E54" s="170"/>
      <c r="F54" s="170"/>
      <c r="G54" s="170"/>
    </row>
    <row r="55" spans="2:8" x14ac:dyDescent="0.2">
      <c r="B55" s="170"/>
      <c r="C55" s="193"/>
      <c r="D55" s="170"/>
      <c r="E55" s="170"/>
      <c r="F55" s="170"/>
      <c r="G55" s="170"/>
    </row>
    <row r="56" spans="2:8" x14ac:dyDescent="0.2">
      <c r="B56" s="170"/>
      <c r="C56" s="193" t="s">
        <v>48</v>
      </c>
      <c r="D56" s="170"/>
      <c r="E56" s="170"/>
      <c r="F56" s="170"/>
      <c r="G56" s="170"/>
    </row>
    <row r="57" spans="2:8" hidden="1" x14ac:dyDescent="0.2">
      <c r="B57" s="170"/>
      <c r="C57" s="193"/>
      <c r="D57" s="170"/>
      <c r="E57" s="170"/>
      <c r="F57" s="170"/>
      <c r="G57" s="170"/>
    </row>
    <row r="58" spans="2:8" hidden="1" x14ac:dyDescent="0.2">
      <c r="B58" s="170"/>
      <c r="C58" s="193"/>
      <c r="D58" s="170"/>
      <c r="E58" s="170"/>
      <c r="F58" s="170"/>
      <c r="G58" s="170"/>
    </row>
    <row r="59" spans="2:8" hidden="1" x14ac:dyDescent="0.2">
      <c r="B59" s="170"/>
      <c r="C59" s="193"/>
      <c r="D59" s="170"/>
      <c r="E59" s="170"/>
      <c r="F59" s="170"/>
      <c r="G59" s="170"/>
    </row>
    <row r="60" spans="2:8" hidden="1" x14ac:dyDescent="0.2">
      <c r="B60" s="170"/>
      <c r="C60" s="193"/>
      <c r="D60" s="170"/>
      <c r="E60" s="170"/>
      <c r="F60" s="170"/>
      <c r="G60" s="170"/>
    </row>
  </sheetData>
  <sheetProtection sheet="1" objects="1" scenarios="1" formatCells="0" formatColumns="0" formatRows="0" sort="0" autoFilter="0" pivotTables="0"/>
  <mergeCells count="32">
    <mergeCell ref="C46:D46"/>
    <mergeCell ref="C47:D47"/>
    <mergeCell ref="C48:D48"/>
    <mergeCell ref="E48:F48"/>
    <mergeCell ref="C41:E41"/>
    <mergeCell ref="D25:G27"/>
    <mergeCell ref="B39:C39"/>
    <mergeCell ref="B44:F44"/>
    <mergeCell ref="C45:D45"/>
    <mergeCell ref="F6:G6"/>
    <mergeCell ref="B18:C18"/>
    <mergeCell ref="C11:D11"/>
    <mergeCell ref="C6:D6"/>
    <mergeCell ref="C10:D10"/>
    <mergeCell ref="C15:D15"/>
    <mergeCell ref="B17:C17"/>
    <mergeCell ref="C50:G52"/>
    <mergeCell ref="F28:G28"/>
    <mergeCell ref="F20:G20"/>
    <mergeCell ref="C43:D43"/>
    <mergeCell ref="F12:G12"/>
    <mergeCell ref="F15:G15"/>
    <mergeCell ref="C19:D19"/>
    <mergeCell ref="E21:F21"/>
    <mergeCell ref="C23:D23"/>
    <mergeCell ref="B40:C40"/>
    <mergeCell ref="C21:D21"/>
    <mergeCell ref="C22:D22"/>
    <mergeCell ref="E42:G42"/>
    <mergeCell ref="F19:G19"/>
    <mergeCell ref="C42:D42"/>
    <mergeCell ref="C20:D20"/>
  </mergeCells>
  <phoneticPr fontId="2" type="noConversion"/>
  <pageMargins left="0.75" right="0.75" top="1" bottom="1" header="0" footer="0"/>
  <pageSetup orientation="portrait" errors="dash" horizontalDpi="4294967292" verticalDpi="200"/>
  <headerFooter alignWithMargins="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416202-4D05-7345-8551-18BCAAC43B10}">
  <sheetPr codeName="Hoja3">
    <tabColor rgb="FFFFBC01"/>
  </sheetPr>
  <dimension ref="A1:AZ60"/>
  <sheetViews>
    <sheetView zoomScale="115" zoomScaleNormal="115" workbookViewId="0">
      <selection activeCell="AL26" sqref="AL26"/>
    </sheetView>
  </sheetViews>
  <sheetFormatPr baseColWidth="10" defaultColWidth="11.42578125" defaultRowHeight="16" x14ac:dyDescent="0.2"/>
  <cols>
    <col min="1" max="1" width="4.7109375" style="2" customWidth="1"/>
    <col min="2" max="10" width="3.7109375" style="2" customWidth="1"/>
    <col min="11" max="11" width="14.140625" style="2" customWidth="1"/>
    <col min="12" max="12" width="2.85546875" style="2" customWidth="1"/>
    <col min="13" max="13" width="7.28515625" style="2" hidden="1" customWidth="1"/>
    <col min="14" max="14" width="3" style="2" customWidth="1"/>
    <col min="15" max="15" width="2.85546875" style="2" customWidth="1"/>
    <col min="16" max="16" width="3.7109375" style="2" customWidth="1"/>
    <col min="17" max="17" width="5.85546875" style="2" customWidth="1"/>
    <col min="18" max="18" width="1.42578125" style="2" customWidth="1"/>
    <col min="19" max="21" width="3.7109375" style="2" customWidth="1"/>
    <col min="22" max="22" width="2.85546875" style="2" customWidth="1"/>
    <col min="23" max="23" width="3.7109375" style="2" customWidth="1"/>
    <col min="24" max="24" width="5.42578125" style="2" customWidth="1"/>
    <col min="25" max="25" width="8" style="2" customWidth="1"/>
    <col min="26" max="26" width="10.7109375" style="2" customWidth="1"/>
    <col min="27" max="27" width="1.7109375" style="2" customWidth="1"/>
    <col min="28" max="28" width="4.42578125" style="2" customWidth="1"/>
    <col min="29" max="172" width="3.7109375" style="2" customWidth="1"/>
    <col min="173" max="16384" width="11.42578125" style="2"/>
  </cols>
  <sheetData>
    <row r="1" spans="1:36" s="114" customFormat="1" ht="13" x14ac:dyDescent="0.15">
      <c r="A1" s="194"/>
      <c r="B1" s="194"/>
      <c r="C1" s="194"/>
      <c r="D1" s="194"/>
      <c r="E1" s="194"/>
      <c r="F1" s="194"/>
      <c r="G1" s="194"/>
      <c r="H1" s="194"/>
      <c r="I1" s="194"/>
      <c r="J1" s="194"/>
      <c r="K1" s="194"/>
      <c r="L1" s="194"/>
      <c r="M1" s="194"/>
      <c r="N1" s="194"/>
      <c r="O1" s="194"/>
      <c r="P1" s="194"/>
      <c r="Q1" s="194"/>
      <c r="R1" s="194"/>
      <c r="S1" s="194"/>
      <c r="T1" s="194"/>
      <c r="U1" s="195"/>
      <c r="V1" s="194"/>
      <c r="W1" s="194"/>
      <c r="X1" s="194"/>
      <c r="Y1" s="194"/>
      <c r="Z1" s="194"/>
    </row>
    <row r="2" spans="1:36" ht="16.5" customHeight="1" x14ac:dyDescent="0.2">
      <c r="A2" s="196"/>
      <c r="B2" s="196"/>
      <c r="C2" s="196"/>
      <c r="D2" s="196"/>
      <c r="E2" s="196"/>
      <c r="F2" s="196"/>
      <c r="G2" s="196"/>
      <c r="H2" s="196"/>
      <c r="I2" s="196"/>
      <c r="J2" s="196"/>
      <c r="K2" s="196"/>
      <c r="L2" s="196"/>
      <c r="M2" s="196" t="s">
        <v>48</v>
      </c>
      <c r="N2" s="196"/>
      <c r="O2" s="196"/>
      <c r="P2" s="196"/>
      <c r="Q2" s="196"/>
      <c r="R2" s="196"/>
      <c r="S2" s="196"/>
      <c r="T2" s="196"/>
      <c r="U2" s="196"/>
      <c r="V2" s="196"/>
      <c r="W2" s="196"/>
      <c r="X2" s="196"/>
      <c r="Y2" s="196"/>
      <c r="Z2" s="196"/>
      <c r="AA2" s="196"/>
      <c r="AB2" s="196"/>
      <c r="AC2" s="196"/>
    </row>
    <row r="3" spans="1:36" s="115" customFormat="1" ht="17.5" customHeight="1" x14ac:dyDescent="0.15">
      <c r="AD3" s="197"/>
      <c r="AE3" s="197"/>
      <c r="AF3" s="197"/>
    </row>
    <row r="4" spans="1:36" s="115" customFormat="1" ht="18" customHeight="1" x14ac:dyDescent="0.15">
      <c r="A4" s="397" t="s">
        <v>76</v>
      </c>
      <c r="B4" s="397"/>
      <c r="C4" s="397"/>
      <c r="D4" s="397"/>
      <c r="E4" s="397"/>
      <c r="F4" s="397"/>
      <c r="G4" s="397"/>
      <c r="H4" s="397"/>
      <c r="I4" s="397"/>
      <c r="J4" s="397"/>
      <c r="K4" s="397"/>
      <c r="L4" s="397"/>
      <c r="M4" s="198"/>
      <c r="N4" s="392">
        <f>IF('INGRESO DE DATOS'!$C$19="","",'INGRESO DE DATOS'!$C$19)</f>
      </c>
      <c r="O4" s="393"/>
      <c r="P4" s="393"/>
      <c r="Q4" s="393"/>
      <c r="R4" s="199"/>
      <c r="AA4" s="200"/>
      <c r="AB4" s="200"/>
      <c r="AC4" s="200"/>
      <c r="AD4" s="197"/>
      <c r="AE4" s="197"/>
      <c r="AF4" s="197"/>
    </row>
    <row r="5" spans="1:36" s="115" customFormat="1" x14ac:dyDescent="0.2">
      <c r="A5" s="201"/>
      <c r="B5" s="201"/>
      <c r="C5" s="400"/>
      <c r="D5" s="400"/>
      <c r="E5" s="202"/>
      <c r="F5" s="202"/>
      <c r="G5" s="202"/>
      <c r="H5" s="400" t="s">
        <v>34</v>
      </c>
      <c r="I5" s="400"/>
      <c r="J5" s="407">
        <f>IF('INGRESO DE DATOS'!$C$3="","",'INGRESO DE DATOS'!$C$3)</f>
      </c>
      <c r="K5" s="408"/>
      <c r="L5" s="201"/>
      <c r="M5" s="198"/>
      <c r="N5" s="393"/>
      <c r="O5" s="393"/>
      <c r="P5" s="393"/>
      <c r="Q5" s="393"/>
      <c r="R5" s="199"/>
      <c r="X5" s="380"/>
      <c r="Y5" s="380"/>
      <c r="AA5" s="200"/>
      <c r="AB5" s="200"/>
      <c r="AC5" s="200"/>
      <c r="AD5" s="197"/>
      <c r="AE5" s="197"/>
      <c r="AF5" s="197"/>
    </row>
    <row r="6" spans="1:36" s="115" customFormat="1" ht="12.75" customHeight="1" x14ac:dyDescent="0.15">
      <c r="A6" s="401" t="s">
        <v>57</v>
      </c>
      <c r="B6" s="401"/>
      <c r="C6" s="401"/>
      <c r="D6" s="398">
        <f>IF('INGRESO DE DATOS'!$C$6="","",'INGRESO DE DATOS'!$C$6)</f>
      </c>
      <c r="E6" s="399"/>
      <c r="F6" s="399"/>
      <c r="G6" s="399"/>
      <c r="H6" s="399"/>
      <c r="I6" s="399"/>
      <c r="J6" s="399"/>
      <c r="K6" s="399"/>
      <c r="L6" s="399"/>
      <c r="M6" s="201"/>
      <c r="N6" s="482">
        <f>IF('INGRESO DE DATOS'!$C$21="","",'INGRESO DE DATOS'!$C$21)</f>
      </c>
      <c r="O6" s="483"/>
      <c r="P6" s="483"/>
      <c r="Q6" s="483"/>
      <c r="T6" s="203" t="s">
        <v>48</v>
      </c>
      <c r="U6" s="203"/>
      <c r="V6" s="203"/>
      <c r="W6" s="204"/>
      <c r="X6" s="204"/>
      <c r="Y6" s="204"/>
      <c r="AA6" s="200"/>
      <c r="AB6" s="200"/>
      <c r="AC6" s="200"/>
      <c r="AD6" s="197"/>
      <c r="AE6" s="197"/>
      <c r="AF6" s="197"/>
      <c r="AG6" s="205"/>
    </row>
    <row r="7" spans="1:36" s="115" customFormat="1" ht="12" customHeight="1" x14ac:dyDescent="0.15">
      <c r="A7" s="401"/>
      <c r="B7" s="401"/>
      <c r="C7" s="401"/>
      <c r="D7" s="399"/>
      <c r="E7" s="399"/>
      <c r="F7" s="399"/>
      <c r="G7" s="399"/>
      <c r="H7" s="399"/>
      <c r="I7" s="399"/>
      <c r="J7" s="399"/>
      <c r="K7" s="399"/>
      <c r="L7" s="399"/>
      <c r="M7" s="201"/>
      <c r="N7" s="483"/>
      <c r="O7" s="483"/>
      <c r="P7" s="483"/>
      <c r="Q7" s="483"/>
      <c r="T7" s="474">
        <f>IF('INGRESO DE DATOS'!$E$31="","",'INGRESO DE DATOS'!$E$31)</f>
      </c>
      <c r="U7" s="475"/>
      <c r="V7" s="475"/>
      <c r="W7" s="475"/>
      <c r="X7" s="394">
        <f>IF('INGRESO DE DATOS'!$C$29="","",'INGRESO DE DATOS'!$C$29)</f>
      </c>
      <c r="Y7" s="395"/>
      <c r="Z7" s="472">
        <f>IF('INGRESO DE DATOS'!$C$30="","",'INGRESO DE DATOS'!$C$30)</f>
      </c>
      <c r="AA7" s="206"/>
      <c r="AB7" s="206"/>
      <c r="AC7" s="200" t="s">
        <v>48</v>
      </c>
      <c r="AD7" s="197"/>
      <c r="AE7" s="197"/>
      <c r="AF7" s="197"/>
    </row>
    <row r="8" spans="1:36" s="115" customFormat="1" ht="12.75" customHeight="1" x14ac:dyDescent="0.2">
      <c r="A8" s="207" t="s">
        <v>44</v>
      </c>
      <c r="B8" s="207"/>
      <c r="C8" s="402">
        <f>IF('INGRESO DE DATOS'!$C$7="","",'INGRESO DE DATOS'!$C$7)</f>
      </c>
      <c r="D8" s="403"/>
      <c r="E8" s="404" t="s">
        <v>58</v>
      </c>
      <c r="F8" s="404"/>
      <c r="G8" s="404"/>
      <c r="H8" s="405">
        <f>IF('INGRESO DE DATOS'!$C$9="","",'INGRESO DE DATOS'!$C$9)</f>
      </c>
      <c r="I8" s="406"/>
      <c r="J8" s="207"/>
      <c r="K8" s="207"/>
      <c r="L8" s="207"/>
      <c r="M8" s="198"/>
      <c r="N8" s="484">
        <f>IF('INGRESO DE DATOS'!$C$20="","",'INGRESO DE DATOS'!$C$20)</f>
      </c>
      <c r="O8" s="485"/>
      <c r="P8" s="485"/>
      <c r="Q8" s="485"/>
      <c r="R8" s="199"/>
      <c r="T8" s="475"/>
      <c r="U8" s="475"/>
      <c r="V8" s="475"/>
      <c r="W8" s="475"/>
      <c r="X8" s="395"/>
      <c r="Y8" s="395"/>
      <c r="Z8" s="473"/>
      <c r="AA8" s="206"/>
      <c r="AB8" s="206"/>
      <c r="AC8" s="200"/>
      <c r="AD8" s="197"/>
      <c r="AE8" s="197"/>
      <c r="AF8" s="197"/>
    </row>
    <row r="9" spans="1:36" s="115" customFormat="1" ht="24.75" customHeight="1" x14ac:dyDescent="0.2">
      <c r="A9" s="381" t="s">
        <v>59</v>
      </c>
      <c r="B9" s="381"/>
      <c r="C9" s="381"/>
      <c r="D9" s="426">
        <f>IF('INGRESO DE DATOS'!$C$10="","",'INGRESO DE DATOS'!$C$10)</f>
      </c>
      <c r="E9" s="427"/>
      <c r="F9" s="427"/>
      <c r="G9" s="427"/>
      <c r="H9" s="427"/>
      <c r="I9" s="427"/>
      <c r="J9" s="427"/>
      <c r="K9" s="427"/>
      <c r="L9" s="427"/>
      <c r="M9" s="198"/>
      <c r="N9" s="485"/>
      <c r="O9" s="485"/>
      <c r="P9" s="485"/>
      <c r="Q9" s="485"/>
      <c r="R9" s="199"/>
      <c r="S9" s="208"/>
      <c r="T9" s="476">
        <f>IF('INGRESO DE DATOS'!$C$31="","",'INGRESO DE DATOS'!$C$31)</f>
      </c>
      <c r="U9" s="477"/>
      <c r="V9" s="477"/>
      <c r="W9" s="383">
        <f>IF('INGRESO DE DATOS'!$E$29="","",'INGRESO DE DATOS'!$E$29)</f>
      </c>
      <c r="X9" s="384"/>
      <c r="Y9" s="384"/>
      <c r="Z9" s="472">
        <f>IF('INGRESO DE DATOS'!$C$30="","",'INGRESO DE DATOS'!$C$30)</f>
      </c>
      <c r="AA9" s="200"/>
      <c r="AB9" s="200"/>
      <c r="AC9" s="200"/>
      <c r="AD9" s="197"/>
      <c r="AE9" s="197"/>
      <c r="AF9" s="197"/>
      <c r="AJ9" s="196" t="s">
        <v>48</v>
      </c>
    </row>
    <row r="10" spans="1:36" s="115" customFormat="1" ht="15.75" customHeight="1" x14ac:dyDescent="0.15">
      <c r="A10" s="396">
        <f>IF('INGRESO DE DATOS'!$C$11="","",'INGRESO DE DATOS'!$C$11)</f>
      </c>
      <c r="B10" s="389"/>
      <c r="C10" s="389"/>
      <c r="D10" s="389"/>
      <c r="E10" s="389"/>
      <c r="F10" s="389"/>
      <c r="G10" s="389"/>
      <c r="H10" s="389"/>
      <c r="I10" s="389"/>
      <c r="J10" s="389"/>
      <c r="K10" s="389"/>
      <c r="L10" s="389"/>
      <c r="M10" s="389"/>
      <c r="N10" s="478">
        <f>IF('INGRESO DE DATOS'!$C$22="","",'INGRESO DE DATOS'!$C$22)</f>
      </c>
      <c r="O10" s="479"/>
      <c r="P10" s="479"/>
      <c r="Q10" s="479"/>
      <c r="R10" s="199"/>
      <c r="S10" s="208"/>
      <c r="T10" s="209"/>
      <c r="U10" s="209"/>
      <c r="V10" s="385">
        <f>IF('INGRESO DE DATOS'!$C$33="","",'INGRESO DE DATOS'!$C$33)</f>
      </c>
      <c r="W10" s="386"/>
      <c r="X10" s="386"/>
      <c r="Y10" s="210"/>
      <c r="Z10" s="473"/>
      <c r="AA10" s="211"/>
      <c r="AB10" s="211"/>
      <c r="AC10" s="200"/>
      <c r="AD10" s="197"/>
      <c r="AE10" s="197"/>
      <c r="AF10" s="197"/>
    </row>
    <row r="11" spans="1:36" s="115" customFormat="1" ht="10.5" customHeight="1" x14ac:dyDescent="0.15">
      <c r="A11" s="212" t="s">
        <v>44</v>
      </c>
      <c r="B11" s="212"/>
      <c r="C11" s="387">
        <f>IF('INGRESO DE DATOS'!$C$12="","",'INGRESO DE DATOS'!$C$12)</f>
      </c>
      <c r="D11" s="388"/>
      <c r="E11" s="389" t="s">
        <v>58</v>
      </c>
      <c r="F11" s="389"/>
      <c r="G11" s="389"/>
      <c r="H11" s="396">
        <f>IF('INGRESO DE DATOS'!$C$14="","",'INGRESO DE DATOS'!$C$14)</f>
      </c>
      <c r="I11" s="389"/>
      <c r="J11" s="451"/>
      <c r="K11" s="452"/>
      <c r="L11" s="452"/>
      <c r="M11" s="198"/>
      <c r="N11" s="486">
        <f>IF('INGRESO DE DATOS'!$C$23="","",'INGRESO DE DATOS'!$C$23)</f>
      </c>
      <c r="O11" s="487"/>
      <c r="P11" s="487"/>
      <c r="Q11" s="487"/>
      <c r="R11" s="199"/>
      <c r="S11" s="196" t="s">
        <v>48</v>
      </c>
      <c r="T11" s="213"/>
      <c r="U11" s="213"/>
      <c r="V11" s="386"/>
      <c r="W11" s="386"/>
      <c r="X11" s="386"/>
      <c r="Y11" s="213"/>
      <c r="Z11" s="213"/>
      <c r="AA11" s="200"/>
      <c r="AB11" s="200"/>
      <c r="AC11" s="200"/>
      <c r="AD11" s="197"/>
      <c r="AE11" s="197"/>
      <c r="AF11" s="197"/>
    </row>
    <row r="12" spans="1:36" s="115" customFormat="1" ht="10.5" customHeight="1" x14ac:dyDescent="0.15">
      <c r="A12" s="212"/>
      <c r="B12" s="212"/>
      <c r="C12" s="212"/>
      <c r="D12" s="212"/>
      <c r="E12" s="214"/>
      <c r="F12" s="214"/>
      <c r="G12" s="214"/>
      <c r="H12" s="214"/>
      <c r="I12" s="214"/>
      <c r="J12" s="214"/>
      <c r="K12" s="214"/>
      <c r="L12" s="214"/>
      <c r="M12" s="198"/>
      <c r="N12" s="487"/>
      <c r="O12" s="487"/>
      <c r="P12" s="487"/>
      <c r="Q12" s="487"/>
      <c r="R12" s="199"/>
      <c r="T12" s="215"/>
      <c r="U12" s="216"/>
      <c r="V12" s="386"/>
      <c r="W12" s="386"/>
      <c r="X12" s="386"/>
      <c r="Y12" s="215"/>
      <c r="Z12" s="215"/>
      <c r="AA12" s="200"/>
      <c r="AB12" s="200"/>
      <c r="AC12" s="200"/>
      <c r="AD12" s="197"/>
      <c r="AE12" s="197"/>
      <c r="AF12" s="197"/>
    </row>
    <row r="13" spans="1:36" s="115" customFormat="1" ht="14.25" customHeight="1" x14ac:dyDescent="0.15">
      <c r="A13" s="424">
        <f>IF('INGRESO DE DATOS'!$D$18="","",'INGRESO DE DATOS'!$D$18)</f>
      </c>
      <c r="B13" s="425"/>
      <c r="C13" s="425"/>
      <c r="D13" s="425"/>
      <c r="E13" s="453">
        <f>IF('INGRESO DE DATOS'!$B$18="","",'INGRESO DE DATOS'!$B$18)</f>
      </c>
      <c r="F13" s="454"/>
      <c r="G13" s="454"/>
      <c r="H13" s="454"/>
      <c r="I13" s="454"/>
      <c r="J13" s="454"/>
      <c r="K13" s="454"/>
      <c r="L13" s="454"/>
      <c r="M13" s="217"/>
      <c r="N13" s="218"/>
      <c r="O13" s="218"/>
      <c r="P13" s="218"/>
      <c r="Q13" s="218"/>
      <c r="S13" s="203"/>
      <c r="T13" s="215"/>
      <c r="U13" s="215"/>
      <c r="V13" s="480">
        <f>IF('INGRESO DE DATOS'!$D$34="","",'INGRESO DE DATOS'!$D$34)</f>
      </c>
      <c r="W13" s="481"/>
      <c r="X13" s="481"/>
      <c r="Y13" s="215"/>
      <c r="Z13" s="215"/>
      <c r="AA13" s="200"/>
      <c r="AB13" s="200"/>
      <c r="AC13" s="200"/>
      <c r="AD13" s="197"/>
      <c r="AE13" s="197"/>
      <c r="AF13" s="197"/>
    </row>
    <row r="14" spans="1:36" s="115" customFormat="1" ht="30.75" customHeight="1" x14ac:dyDescent="0.15">
      <c r="A14" s="425"/>
      <c r="B14" s="425"/>
      <c r="C14" s="425"/>
      <c r="D14" s="425"/>
      <c r="E14" s="454"/>
      <c r="F14" s="454"/>
      <c r="G14" s="454"/>
      <c r="H14" s="454"/>
      <c r="I14" s="454"/>
      <c r="J14" s="454"/>
      <c r="K14" s="454"/>
      <c r="L14" s="454"/>
      <c r="M14" s="217"/>
      <c r="N14" s="218"/>
      <c r="O14" s="362">
        <f>IF('INGRESO DE DATOS'!$C$27="","",'INGRESO DE DATOS'!$C$27)</f>
      </c>
      <c r="P14" s="363"/>
      <c r="Q14" s="363"/>
      <c r="S14" s="199" t="s">
        <v>48</v>
      </c>
      <c r="U14" s="219"/>
      <c r="V14" s="481"/>
      <c r="W14" s="481"/>
      <c r="X14" s="481"/>
      <c r="AA14" s="200"/>
      <c r="AB14" s="200"/>
      <c r="AC14" s="200"/>
      <c r="AD14" s="197"/>
      <c r="AE14" s="197"/>
      <c r="AF14" s="197"/>
    </row>
    <row r="15" spans="1:36" s="115" customFormat="1" ht="20.25" customHeight="1" x14ac:dyDescent="0.15">
      <c r="A15" s="213"/>
      <c r="B15" s="455">
        <f>IF('INGRESO DE DATOS'!$F$3="","",'INGRESO DE DATOS'!$F$3)</f>
      </c>
      <c r="C15" s="456"/>
      <c r="D15" s="456"/>
      <c r="E15" s="456"/>
      <c r="F15" s="456"/>
      <c r="G15" s="456"/>
      <c r="H15" s="456"/>
      <c r="I15" s="213"/>
      <c r="J15" s="213"/>
      <c r="K15" s="213"/>
      <c r="L15" s="213"/>
      <c r="M15" s="218"/>
      <c r="N15" s="218"/>
      <c r="O15" s="363"/>
      <c r="P15" s="363"/>
      <c r="Q15" s="363"/>
      <c r="R15" s="220"/>
      <c r="S15" s="199"/>
      <c r="U15" s="219"/>
      <c r="V15" s="359"/>
      <c r="W15" s="359"/>
      <c r="X15" s="359"/>
      <c r="Y15" s="195"/>
      <c r="AA15" s="200"/>
      <c r="AB15" s="200"/>
      <c r="AC15" s="200"/>
      <c r="AD15" s="197" t="s">
        <v>48</v>
      </c>
      <c r="AE15" s="197"/>
      <c r="AF15" s="197"/>
    </row>
    <row r="16" spans="1:36" s="115" customFormat="1" ht="5.25" customHeight="1" x14ac:dyDescent="0.15">
      <c r="A16" s="213"/>
      <c r="B16" s="456"/>
      <c r="C16" s="456"/>
      <c r="D16" s="456"/>
      <c r="E16" s="456"/>
      <c r="F16" s="456"/>
      <c r="G16" s="456"/>
      <c r="H16" s="456"/>
      <c r="I16" s="213"/>
      <c r="J16" s="213"/>
      <c r="K16" s="213"/>
      <c r="L16" s="213"/>
      <c r="O16" s="221"/>
      <c r="P16" s="221"/>
      <c r="Q16" s="221"/>
      <c r="S16" s="199" t="s">
        <v>48</v>
      </c>
      <c r="U16" s="359"/>
      <c r="V16" s="359"/>
      <c r="W16" s="359"/>
      <c r="X16" s="359"/>
      <c r="AA16" s="200"/>
      <c r="AB16" s="200"/>
      <c r="AC16" s="200"/>
      <c r="AD16" s="197"/>
      <c r="AE16" s="197"/>
      <c r="AF16" s="197"/>
    </row>
    <row r="17" spans="1:52" s="115" customFormat="1" ht="19.5" customHeight="1" x14ac:dyDescent="0.15">
      <c r="A17" s="213"/>
      <c r="B17" s="390">
        <f>IF('INGRESO DE DATOS'!$G$3="","",'INGRESO DE DATOS'!$G$3)</f>
      </c>
      <c r="C17" s="391"/>
      <c r="D17" s="391"/>
      <c r="E17" s="391"/>
      <c r="F17" s="391"/>
      <c r="G17" s="391"/>
      <c r="H17" s="391"/>
      <c r="I17" s="391"/>
      <c r="J17" s="213"/>
      <c r="K17" s="213" t="s">
        <v>68</v>
      </c>
      <c r="L17" s="213"/>
      <c r="O17" s="221"/>
      <c r="P17" s="221"/>
      <c r="Q17" s="221"/>
      <c r="R17" s="222"/>
      <c r="S17" s="199"/>
      <c r="U17" s="359"/>
      <c r="V17" s="359"/>
      <c r="W17" s="359"/>
      <c r="X17" s="359"/>
      <c r="AA17" s="200"/>
      <c r="AB17" s="200"/>
      <c r="AC17" s="200"/>
      <c r="AD17" s="197"/>
      <c r="AE17" s="197"/>
      <c r="AF17" s="197"/>
    </row>
    <row r="18" spans="1:52" s="115" customFormat="1" ht="3.75" hidden="1" customHeight="1" x14ac:dyDescent="0.15">
      <c r="A18" s="213"/>
      <c r="B18" s="223"/>
      <c r="C18" s="223"/>
      <c r="D18" s="223"/>
      <c r="E18" s="223"/>
      <c r="F18" s="223"/>
      <c r="G18" s="223"/>
      <c r="H18" s="223"/>
      <c r="I18" s="213"/>
      <c r="J18" s="213"/>
      <c r="K18" s="213"/>
      <c r="L18" s="213"/>
      <c r="P18" s="222"/>
      <c r="Q18" s="222"/>
      <c r="R18" s="222"/>
      <c r="S18" s="199" t="s">
        <v>48</v>
      </c>
      <c r="V18" s="224">
        <v>0</v>
      </c>
      <c r="W18" s="224"/>
      <c r="X18" s="224"/>
      <c r="AA18" s="200"/>
      <c r="AB18" s="200"/>
      <c r="AC18" s="200"/>
      <c r="AD18" s="197"/>
      <c r="AE18" s="197"/>
      <c r="AF18" s="197"/>
    </row>
    <row r="19" spans="1:52" s="115" customFormat="1" ht="28.75" customHeight="1" x14ac:dyDescent="0.15">
      <c r="A19" s="213"/>
      <c r="B19" s="449">
        <f>IF('INGRESO DE DATOS'!$F$4="","",'INGRESO DE DATOS'!$F$4)</f>
      </c>
      <c r="C19" s="450"/>
      <c r="D19" s="450"/>
      <c r="E19" s="450"/>
      <c r="F19" s="450"/>
      <c r="G19" s="450"/>
      <c r="H19" s="450"/>
      <c r="I19" s="213"/>
      <c r="J19" s="213"/>
      <c r="K19" s="213" t="s">
        <v>48</v>
      </c>
      <c r="L19" s="213"/>
      <c r="P19" s="199"/>
      <c r="Q19" s="199"/>
      <c r="R19" s="199"/>
      <c r="S19" s="199"/>
      <c r="T19" s="380"/>
      <c r="U19" s="380"/>
      <c r="V19" s="380"/>
      <c r="W19" s="382"/>
      <c r="X19" s="382"/>
      <c r="Y19" s="194"/>
      <c r="Z19" s="194"/>
      <c r="AA19" s="225"/>
      <c r="AB19" s="225"/>
      <c r="AC19" s="225"/>
      <c r="AD19" s="197"/>
      <c r="AE19" s="197"/>
      <c r="AF19" s="197"/>
    </row>
    <row r="20" spans="1:52" s="115" customFormat="1" ht="8.25" customHeight="1" x14ac:dyDescent="0.15">
      <c r="A20" s="213"/>
      <c r="B20" s="450"/>
      <c r="C20" s="450"/>
      <c r="D20" s="450"/>
      <c r="E20" s="450"/>
      <c r="F20" s="450"/>
      <c r="G20" s="450"/>
      <c r="H20" s="450"/>
      <c r="I20" s="213"/>
      <c r="J20" s="213"/>
      <c r="K20" s="213"/>
      <c r="L20" s="213"/>
      <c r="P20" s="199"/>
      <c r="Q20" s="199"/>
      <c r="R20" s="199"/>
      <c r="T20" s="380"/>
      <c r="U20" s="380"/>
      <c r="V20" s="380"/>
      <c r="W20" s="382"/>
      <c r="X20" s="382"/>
      <c r="Y20" s="194"/>
      <c r="Z20" s="194" t="s">
        <v>48</v>
      </c>
      <c r="AA20" s="225"/>
      <c r="AB20" s="225"/>
      <c r="AC20" s="225"/>
      <c r="AD20" s="197"/>
      <c r="AE20" s="197"/>
      <c r="AF20" s="197"/>
    </row>
    <row r="21" spans="1:52" s="115" customFormat="1" ht="22.75" customHeight="1" x14ac:dyDescent="0.15">
      <c r="A21" s="213"/>
      <c r="B21" s="447">
        <f>IF('INGRESO DE DATOS'!$G$4="","",'INGRESO DE DATOS'!$G$4)</f>
      </c>
      <c r="C21" s="448"/>
      <c r="D21" s="448"/>
      <c r="E21" s="448"/>
      <c r="F21" s="448"/>
      <c r="G21" s="448"/>
      <c r="H21" s="448"/>
      <c r="I21" s="213"/>
      <c r="J21" s="213"/>
      <c r="K21" s="213"/>
      <c r="L21" s="213"/>
      <c r="P21" s="199"/>
      <c r="Q21" s="199"/>
      <c r="R21" s="360">
        <f>IF('INGRESO DE DATOS'!$F$35="","",'INGRESO DE DATOS'!$F$35)</f>
      </c>
      <c r="S21" s="361"/>
      <c r="T21" s="361"/>
      <c r="U21" s="361"/>
      <c r="V21" s="361"/>
      <c r="W21" s="358">
        <f>IF('INGRESO DE DATOS'!$F$36="","",'INGRESO DE DATOS'!$F$36)</f>
      </c>
      <c r="X21" s="359"/>
      <c r="AA21" s="200"/>
      <c r="AB21" s="200"/>
      <c r="AC21" s="200" t="s">
        <v>75</v>
      </c>
      <c r="AD21" s="197"/>
      <c r="AE21" s="197"/>
      <c r="AF21" s="197"/>
    </row>
    <row r="22" spans="1:52" s="115" customFormat="1" ht="18" customHeight="1" x14ac:dyDescent="0.15">
      <c r="A22" s="213"/>
      <c r="B22" s="448"/>
      <c r="C22" s="448"/>
      <c r="D22" s="448"/>
      <c r="E22" s="448"/>
      <c r="F22" s="448"/>
      <c r="G22" s="448"/>
      <c r="H22" s="448"/>
      <c r="I22" s="213"/>
      <c r="J22" s="213"/>
      <c r="K22" s="213"/>
      <c r="L22" s="213"/>
      <c r="M22" s="221"/>
      <c r="N22" s="221"/>
      <c r="R22" s="361"/>
      <c r="S22" s="361"/>
      <c r="T22" s="361"/>
      <c r="U22" s="361"/>
      <c r="V22" s="361"/>
      <c r="W22" s="359"/>
      <c r="X22" s="359"/>
      <c r="AA22" s="200"/>
      <c r="AB22" s="200"/>
      <c r="AC22" s="200"/>
      <c r="AD22" s="197"/>
      <c r="AE22" s="197"/>
      <c r="AF22" s="197"/>
      <c r="AZ22" s="196" t="s">
        <v>48</v>
      </c>
    </row>
    <row r="23" spans="1:52" s="115" customFormat="1" ht="7.5" customHeight="1" x14ac:dyDescent="0.15">
      <c r="A23" s="464">
        <f>IF('INGRESO DE DATOS'!$F$5="","",'INGRESO DE DATOS'!$F$5)</f>
      </c>
      <c r="B23" s="420"/>
      <c r="C23" s="420"/>
      <c r="D23" s="420"/>
      <c r="E23" s="420"/>
      <c r="F23" s="457">
        <f>IF('INGRESO DE DATOS'!$F$6="","",'INGRESO DE DATOS'!$F$6)</f>
      </c>
      <c r="G23" s="458"/>
      <c r="H23" s="458"/>
      <c r="I23" s="458"/>
      <c r="J23" s="458"/>
      <c r="K23" s="458"/>
      <c r="L23" s="458"/>
      <c r="M23" s="221"/>
      <c r="N23" s="378">
        <f>IF('INGRESO DE DATOS'!$C$28="","",'INGRESO DE DATOS'!$C$28)</f>
      </c>
      <c r="O23" s="379"/>
      <c r="P23" s="221"/>
      <c r="R23" s="200"/>
      <c r="S23" s="200"/>
      <c r="T23" s="200"/>
      <c r="U23" s="200"/>
      <c r="V23" s="370">
        <f>IF('INGRESO DE DATOS'!$F$37="","",'INGRESO DE DATOS'!$F$37)</f>
      </c>
      <c r="W23" s="371"/>
      <c r="X23" s="371"/>
      <c r="AA23" s="200"/>
      <c r="AB23" s="200"/>
      <c r="AC23" s="200"/>
      <c r="AD23" s="197"/>
      <c r="AE23" s="197"/>
      <c r="AF23" s="197"/>
    </row>
    <row r="24" spans="1:52" s="115" customFormat="1" ht="17.25" customHeight="1" x14ac:dyDescent="0.15">
      <c r="A24" s="420"/>
      <c r="B24" s="420"/>
      <c r="C24" s="420"/>
      <c r="D24" s="420"/>
      <c r="E24" s="420"/>
      <c r="F24" s="458"/>
      <c r="G24" s="458"/>
      <c r="H24" s="458"/>
      <c r="I24" s="458"/>
      <c r="J24" s="458"/>
      <c r="K24" s="458"/>
      <c r="L24" s="458"/>
      <c r="M24" s="221"/>
      <c r="N24" s="379"/>
      <c r="O24" s="379"/>
      <c r="P24" s="221"/>
      <c r="R24" s="200"/>
      <c r="S24" s="200"/>
      <c r="T24" s="200"/>
      <c r="U24" s="200"/>
      <c r="V24" s="371"/>
      <c r="W24" s="371"/>
      <c r="X24" s="371"/>
      <c r="AA24" s="200"/>
      <c r="AB24" s="226"/>
      <c r="AC24" s="226"/>
      <c r="AD24" s="197"/>
      <c r="AE24" s="197"/>
      <c r="AF24" s="197"/>
    </row>
    <row r="25" spans="1:52" ht="9" customHeight="1" x14ac:dyDescent="0.2">
      <c r="A25" s="418">
        <f>IF('INGRESO DE DATOS'!$F$15="","",'INGRESO DE DATOS'!$F$15)</f>
      </c>
      <c r="B25" s="419"/>
      <c r="C25" s="419"/>
      <c r="D25" s="419"/>
      <c r="E25" s="419"/>
      <c r="F25" s="419"/>
      <c r="G25" s="419"/>
      <c r="H25" s="419"/>
      <c r="I25" s="419"/>
      <c r="J25" s="419"/>
      <c r="K25" s="419"/>
      <c r="L25" s="419"/>
      <c r="M25" s="196"/>
      <c r="N25" s="379"/>
      <c r="O25" s="379"/>
      <c r="P25" s="227"/>
      <c r="Q25" s="228" t="s">
        <v>48</v>
      </c>
      <c r="R25" s="200"/>
      <c r="S25" s="200"/>
      <c r="T25" s="200"/>
      <c r="U25" s="200"/>
      <c r="V25" s="368">
        <f>IF('INGRESO DE DATOS'!$F$34="","",'INGRESO DE DATOS'!$F$34)</f>
      </c>
      <c r="W25" s="369"/>
      <c r="X25" s="369"/>
      <c r="Y25" s="196"/>
      <c r="Z25" s="196"/>
      <c r="AA25" s="200"/>
      <c r="AB25" s="226"/>
      <c r="AC25" s="226"/>
      <c r="AD25" s="197"/>
      <c r="AE25" s="197"/>
      <c r="AF25" s="197"/>
    </row>
    <row r="26" spans="1:52" ht="9" customHeight="1" x14ac:dyDescent="0.2">
      <c r="A26" s="419"/>
      <c r="B26" s="419"/>
      <c r="C26" s="419"/>
      <c r="D26" s="419"/>
      <c r="E26" s="419"/>
      <c r="F26" s="419"/>
      <c r="G26" s="419"/>
      <c r="H26" s="419"/>
      <c r="I26" s="419"/>
      <c r="J26" s="419"/>
      <c r="K26" s="419"/>
      <c r="L26" s="419"/>
      <c r="M26" s="196"/>
      <c r="N26" s="196"/>
      <c r="O26" s="196"/>
      <c r="P26" s="196"/>
      <c r="Q26" s="196"/>
      <c r="R26" s="200"/>
      <c r="S26" s="200"/>
      <c r="T26" s="200"/>
      <c r="U26" s="200"/>
      <c r="V26" s="369"/>
      <c r="W26" s="369"/>
      <c r="X26" s="369"/>
      <c r="Y26" s="196"/>
      <c r="Z26" s="196"/>
      <c r="AA26" s="200"/>
      <c r="AB26" s="226"/>
      <c r="AC26" s="226"/>
      <c r="AD26" s="197"/>
      <c r="AE26" s="197"/>
      <c r="AF26" s="197"/>
    </row>
    <row r="27" spans="1:52" ht="34.25" customHeight="1" x14ac:dyDescent="0.2">
      <c r="A27" s="420"/>
      <c r="B27" s="420"/>
      <c r="C27" s="420"/>
      <c r="D27" s="420"/>
      <c r="E27" s="462">
        <f>IF('INGRESO DE DATOS'!$F$17="","",'INGRESO DE DATOS'!$F$17)</f>
      </c>
      <c r="F27" s="463"/>
      <c r="G27" s="463"/>
      <c r="H27" s="463"/>
      <c r="I27" s="469">
        <v>0</v>
      </c>
      <c r="J27" s="469"/>
      <c r="K27" s="469"/>
      <c r="L27" s="469"/>
      <c r="M27" s="196"/>
      <c r="N27" s="196"/>
      <c r="O27" s="196"/>
      <c r="P27" s="196"/>
      <c r="Q27" s="229"/>
      <c r="R27" s="196"/>
      <c r="S27" s="196"/>
      <c r="T27" s="196"/>
      <c r="U27" s="196"/>
      <c r="V27" s="376">
        <f>IF('INGRESO DE DATOS'!$C$24="","",'INGRESO DE DATOS'!$C$24)</f>
      </c>
      <c r="W27" s="377"/>
      <c r="X27" s="377"/>
      <c r="Y27" s="196"/>
      <c r="Z27" s="196"/>
      <c r="AA27" s="200"/>
      <c r="AB27" s="226"/>
      <c r="AC27" s="226"/>
      <c r="AD27" s="197"/>
      <c r="AE27" s="197"/>
      <c r="AF27" s="197"/>
    </row>
    <row r="28" spans="1:52" ht="28.75" customHeight="1" x14ac:dyDescent="0.2">
      <c r="A28" s="420"/>
      <c r="B28" s="420"/>
      <c r="C28" s="420"/>
      <c r="D28" s="420"/>
      <c r="E28" s="463"/>
      <c r="F28" s="463"/>
      <c r="G28" s="463"/>
      <c r="H28" s="463"/>
      <c r="I28" s="469"/>
      <c r="J28" s="469"/>
      <c r="K28" s="469"/>
      <c r="L28" s="469"/>
      <c r="M28" s="196"/>
      <c r="N28" s="196"/>
      <c r="O28" s="196"/>
      <c r="P28" s="196"/>
      <c r="Q28" s="196"/>
      <c r="R28" s="196"/>
      <c r="S28" s="196"/>
      <c r="T28" s="196"/>
      <c r="U28" s="230"/>
      <c r="V28" s="372">
        <f>IF('INGRESO DE DATOS'!$C$25="","",'INGRESO DE DATOS'!$C$25)</f>
      </c>
      <c r="W28" s="373"/>
      <c r="X28" s="373"/>
      <c r="Y28" s="196"/>
      <c r="Z28" s="196"/>
      <c r="AA28" s="200"/>
      <c r="AB28" s="226"/>
      <c r="AC28" s="226"/>
      <c r="AD28" s="197"/>
      <c r="AE28" s="197"/>
      <c r="AF28" s="197"/>
    </row>
    <row r="29" spans="1:52" ht="18.5" customHeight="1" x14ac:dyDescent="0.2">
      <c r="A29" s="380"/>
      <c r="B29" s="380"/>
      <c r="C29" s="380"/>
      <c r="D29" s="380"/>
      <c r="E29" s="380"/>
      <c r="F29" s="380"/>
      <c r="G29" s="380"/>
      <c r="H29" s="380"/>
      <c r="I29" s="380"/>
      <c r="J29" s="380"/>
      <c r="K29" s="380"/>
      <c r="L29" s="380"/>
      <c r="M29" s="366"/>
      <c r="N29" s="366"/>
      <c r="O29" s="366"/>
      <c r="P29" s="366"/>
      <c r="Q29" s="364">
        <f>IF('INGRESO DE DATOS'!$D$8="","",'INGRESO DE DATOS'!$D$8)</f>
      </c>
      <c r="R29" s="365"/>
      <c r="S29" s="365"/>
      <c r="T29" s="365"/>
      <c r="U29" s="367"/>
      <c r="V29" s="367"/>
      <c r="W29" s="367"/>
      <c r="X29" s="203"/>
      <c r="Y29" s="196"/>
      <c r="Z29" s="196"/>
      <c r="AA29" s="200"/>
      <c r="AB29" s="226"/>
      <c r="AC29" s="226"/>
      <c r="AD29" s="197"/>
      <c r="AE29" s="197"/>
      <c r="AF29" s="197"/>
    </row>
    <row r="30" spans="1:52" ht="8.5" customHeight="1" x14ac:dyDescent="0.2">
      <c r="A30" s="380"/>
      <c r="B30" s="380"/>
      <c r="C30" s="380"/>
      <c r="D30" s="380"/>
      <c r="E30" s="380"/>
      <c r="F30" s="380"/>
      <c r="G30" s="380"/>
      <c r="H30" s="380"/>
      <c r="I30" s="380"/>
      <c r="J30" s="380"/>
      <c r="K30" s="380"/>
      <c r="L30" s="380"/>
      <c r="M30" s="366"/>
      <c r="N30" s="366"/>
      <c r="O30" s="366"/>
      <c r="P30" s="366"/>
      <c r="Q30" s="365"/>
      <c r="R30" s="365"/>
      <c r="S30" s="365"/>
      <c r="T30" s="365"/>
      <c r="U30" s="374">
        <f>IF('INGRESO DE DATOS'!$F$40="","",'INGRESO DE DATOS'!$F$40)</f>
      </c>
      <c r="V30" s="375"/>
      <c r="W30" s="375"/>
      <c r="X30" s="375"/>
      <c r="Y30" s="196"/>
      <c r="Z30" s="196"/>
      <c r="AA30" s="200"/>
      <c r="AB30" s="226"/>
      <c r="AC30" s="226"/>
      <c r="AD30" s="197"/>
      <c r="AE30" s="197"/>
      <c r="AF30" s="197"/>
    </row>
    <row r="31" spans="1:52" ht="16.25" customHeight="1" x14ac:dyDescent="0.2">
      <c r="A31" s="465">
        <f>IF('INGRESO DE DATOS'!$A$15="","",'INGRESO DE DATOS'!$A$15)</f>
      </c>
      <c r="B31" s="466"/>
      <c r="C31" s="466"/>
      <c r="D31" s="466"/>
      <c r="E31" s="466"/>
      <c r="F31" s="466"/>
      <c r="G31" s="466"/>
      <c r="H31" s="466"/>
      <c r="I31" s="466"/>
      <c r="J31" s="466"/>
      <c r="K31" s="466"/>
      <c r="L31" s="466"/>
      <c r="M31" s="366"/>
      <c r="N31" s="366"/>
      <c r="O31" s="366"/>
      <c r="P31" s="366"/>
      <c r="Q31" s="365"/>
      <c r="R31" s="365"/>
      <c r="S31" s="365"/>
      <c r="T31" s="365"/>
      <c r="U31" s="375"/>
      <c r="V31" s="375"/>
      <c r="W31" s="375"/>
      <c r="X31" s="375"/>
      <c r="Y31" s="196"/>
      <c r="Z31" s="196"/>
      <c r="AA31" s="200"/>
      <c r="AB31" s="231"/>
      <c r="AC31" s="231"/>
      <c r="AD31" s="197"/>
      <c r="AE31" s="197"/>
      <c r="AF31" s="197"/>
    </row>
    <row r="32" spans="1:52" ht="11.25" customHeight="1" x14ac:dyDescent="0.2">
      <c r="A32" s="466"/>
      <c r="B32" s="466"/>
      <c r="C32" s="466"/>
      <c r="D32" s="466"/>
      <c r="E32" s="466"/>
      <c r="F32" s="466"/>
      <c r="G32" s="466"/>
      <c r="H32" s="466"/>
      <c r="I32" s="466"/>
      <c r="J32" s="466"/>
      <c r="K32" s="466"/>
      <c r="L32" s="466"/>
      <c r="M32" s="467">
        <f>IF('INGRESO DE DATOS'!$C$13="","",'INGRESO DE DATOS'!$C$13)</f>
      </c>
      <c r="N32" s="468"/>
      <c r="O32" s="468"/>
      <c r="P32" s="364">
        <f>IF('INGRESO DE DATOS'!$D$13="","",'INGRESO DE DATOS'!$D$13)</f>
      </c>
      <c r="Q32" s="365"/>
      <c r="R32" s="365"/>
      <c r="S32" s="232"/>
      <c r="T32" s="196"/>
      <c r="U32" s="196"/>
      <c r="V32" s="460">
        <f>IF('INGRESO DE DATOS'!$F$38="","",'INGRESO DE DATOS'!$F$38)</f>
      </c>
      <c r="W32" s="461"/>
      <c r="X32" s="461"/>
      <c r="Y32" s="196"/>
      <c r="Z32" s="196"/>
      <c r="AA32" s="200"/>
      <c r="AB32" s="231"/>
      <c r="AC32" s="231"/>
      <c r="AD32" s="197"/>
      <c r="AE32" s="197"/>
      <c r="AF32" s="197"/>
    </row>
    <row r="33" spans="1:32" ht="13.5" customHeight="1" x14ac:dyDescent="0.2">
      <c r="A33" s="446">
        <f>IF('INGRESO DE DATOS'!$G$8="","",'INGRESO DE DATOS'!$G$8)</f>
      </c>
      <c r="B33" s="380"/>
      <c r="C33" s="380"/>
      <c r="D33" s="380"/>
      <c r="E33" s="380" t="s">
        <v>6</v>
      </c>
      <c r="F33" s="380"/>
      <c r="G33" s="380"/>
      <c r="H33" s="380"/>
      <c r="I33" s="446">
        <f>IF('INGRESO DE DATOS'!$F$8="","",'INGRESO DE DATOS'!$F$8)</f>
      </c>
      <c r="J33" s="380"/>
      <c r="K33" s="380"/>
      <c r="L33" s="380"/>
      <c r="M33" s="468"/>
      <c r="N33" s="468"/>
      <c r="O33" s="468"/>
      <c r="P33" s="365"/>
      <c r="Q33" s="365"/>
      <c r="R33" s="365"/>
      <c r="S33" s="233"/>
      <c r="T33" s="196"/>
      <c r="U33" s="196"/>
      <c r="V33" s="470">
        <f>IF('INGRESO DE DATOS'!$F$39="","",'INGRESO DE DATOS'!$F$39)</f>
      </c>
      <c r="W33" s="471"/>
      <c r="X33" s="471"/>
      <c r="Y33" s="196"/>
      <c r="Z33" s="196"/>
      <c r="AA33" s="200"/>
      <c r="AB33" s="226"/>
      <c r="AC33" s="226"/>
      <c r="AD33" s="197"/>
      <c r="AE33" s="197"/>
      <c r="AF33" s="197"/>
    </row>
    <row r="34" spans="1:32" ht="9.75" customHeight="1" x14ac:dyDescent="0.2">
      <c r="A34" s="380"/>
      <c r="B34" s="380"/>
      <c r="C34" s="380"/>
      <c r="D34" s="380"/>
      <c r="E34" s="380"/>
      <c r="F34" s="380"/>
      <c r="G34" s="380"/>
      <c r="H34" s="380"/>
      <c r="I34" s="380"/>
      <c r="J34" s="380"/>
      <c r="K34" s="380"/>
      <c r="L34" s="380"/>
      <c r="M34" s="122"/>
      <c r="N34" s="122"/>
      <c r="O34" s="234"/>
      <c r="P34" s="234"/>
      <c r="Q34" s="234"/>
      <c r="R34" s="234"/>
      <c r="S34" s="235"/>
      <c r="T34" s="196"/>
      <c r="U34" s="196"/>
      <c r="V34" s="444">
        <f>IF('INGRESO DE DATOS'!$C$37="","",'INGRESO DE DATOS'!$C$37)</f>
      </c>
      <c r="W34" s="445"/>
      <c r="X34" s="445"/>
      <c r="Y34" s="196"/>
      <c r="Z34" s="196"/>
      <c r="AA34" s="200"/>
      <c r="AB34" s="226"/>
      <c r="AC34" s="226"/>
      <c r="AD34" s="197"/>
      <c r="AE34" s="197"/>
      <c r="AF34" s="197"/>
    </row>
    <row r="35" spans="1:32" x14ac:dyDescent="0.2">
      <c r="A35" s="380"/>
      <c r="B35" s="380"/>
      <c r="C35" s="380"/>
      <c r="D35" s="380"/>
      <c r="E35" s="380"/>
      <c r="F35" s="380"/>
      <c r="G35" s="380"/>
      <c r="H35" s="380"/>
      <c r="I35" s="380"/>
      <c r="J35" s="380"/>
      <c r="K35" s="380"/>
      <c r="L35" s="380"/>
      <c r="M35" s="236"/>
      <c r="N35" s="436">
        <f>IF('INGRESO DE DATOS'!$C$41="","",'INGRESO DE DATOS'!$C$41)</f>
      </c>
      <c r="O35" s="437"/>
      <c r="P35" s="437"/>
      <c r="Q35" s="437"/>
      <c r="R35" s="437"/>
      <c r="S35" s="235"/>
      <c r="T35" s="196"/>
      <c r="U35" s="196"/>
      <c r="V35" s="445"/>
      <c r="W35" s="445"/>
      <c r="X35" s="445"/>
      <c r="Y35" s="196"/>
      <c r="Z35" s="237"/>
      <c r="AA35" s="231"/>
      <c r="AB35" s="231"/>
      <c r="AC35" s="231"/>
      <c r="AD35" s="197"/>
      <c r="AE35" s="197"/>
      <c r="AF35" s="197"/>
    </row>
    <row r="36" spans="1:32" ht="12.75" customHeight="1" x14ac:dyDescent="0.2">
      <c r="A36" s="380"/>
      <c r="B36" s="380"/>
      <c r="C36" s="380"/>
      <c r="D36" s="380"/>
      <c r="E36" s="380"/>
      <c r="F36" s="380"/>
      <c r="G36" s="380"/>
      <c r="H36" s="380"/>
      <c r="I36" s="380"/>
      <c r="J36" s="380"/>
      <c r="K36" s="380"/>
      <c r="L36" s="380"/>
      <c r="M36" s="238"/>
      <c r="N36" s="437"/>
      <c r="O36" s="437"/>
      <c r="P36" s="437"/>
      <c r="Q36" s="437"/>
      <c r="R36" s="437"/>
      <c r="S36" s="196"/>
      <c r="T36" s="196"/>
      <c r="U36" s="432">
        <f>IF('INGRESO DE DATOS'!$C$26="","",'INGRESO DE DATOS'!$C$26)</f>
      </c>
      <c r="V36" s="433"/>
      <c r="W36" s="433"/>
      <c r="X36" s="433"/>
      <c r="Y36" s="411" t="s">
        <v>69</v>
      </c>
      <c r="Z36" s="196"/>
      <c r="AA36" s="231"/>
      <c r="AB36" s="231"/>
      <c r="AC36" s="231"/>
      <c r="AD36" s="197"/>
      <c r="AE36" s="197"/>
      <c r="AF36" s="197"/>
    </row>
    <row r="37" spans="1:32" ht="18.75" customHeight="1" x14ac:dyDescent="0.2">
      <c r="A37" s="196"/>
      <c r="B37" s="196"/>
      <c r="C37" s="196"/>
      <c r="D37" s="196"/>
      <c r="E37" s="196"/>
      <c r="F37" s="196"/>
      <c r="G37" s="196"/>
      <c r="H37" s="196"/>
      <c r="I37" s="196"/>
      <c r="J37" s="196"/>
      <c r="K37" s="196"/>
      <c r="L37" s="196"/>
      <c r="M37" s="238"/>
      <c r="N37" s="437"/>
      <c r="O37" s="437"/>
      <c r="P37" s="437"/>
      <c r="Q37" s="437"/>
      <c r="R37" s="437"/>
      <c r="S37" s="196"/>
      <c r="T37" s="196"/>
      <c r="U37" s="433"/>
      <c r="V37" s="433"/>
      <c r="W37" s="433"/>
      <c r="X37" s="433"/>
      <c r="Y37" s="411"/>
      <c r="Z37" s="196"/>
      <c r="AA37" s="231"/>
      <c r="AB37" s="231"/>
      <c r="AC37" s="231"/>
      <c r="AD37" s="197"/>
      <c r="AE37" s="197"/>
      <c r="AF37" s="197"/>
    </row>
    <row r="38" spans="1:32" ht="12.75" customHeight="1" x14ac:dyDescent="0.2">
      <c r="A38" s="442">
        <f>IF('INGRESO DE DATOS'!$F$9="","",'INGRESO DE DATOS'!$F$9)</f>
      </c>
      <c r="B38" s="443"/>
      <c r="C38" s="443"/>
      <c r="D38" s="443"/>
      <c r="E38" s="443"/>
      <c r="F38" s="443"/>
      <c r="G38" s="443"/>
      <c r="H38" s="440">
        <f>IF('INGRESO DE DATOS'!$F$10="","",'INGRESO DE DATOS'!$F$10)</f>
      </c>
      <c r="I38" s="441"/>
      <c r="J38" s="441"/>
      <c r="K38" s="438">
        <f>IF('INGRESO DE DATOS'!$F$11="","",'INGRESO DE DATOS'!$F$11)</f>
      </c>
      <c r="L38" s="439"/>
      <c r="M38" s="439"/>
      <c r="N38" s="437"/>
      <c r="O38" s="437"/>
      <c r="P38" s="437"/>
      <c r="Q38" s="437"/>
      <c r="R38" s="437"/>
      <c r="S38" s="196"/>
      <c r="T38" s="196" t="s">
        <v>48</v>
      </c>
      <c r="U38" s="121" t="s">
        <v>48</v>
      </c>
      <c r="V38" s="196"/>
      <c r="W38" s="196"/>
      <c r="X38" s="196"/>
      <c r="Y38" s="196"/>
      <c r="Z38" s="239"/>
      <c r="AA38" s="226"/>
      <c r="AB38" s="226"/>
      <c r="AC38" s="226"/>
      <c r="AD38" s="197"/>
      <c r="AE38" s="197"/>
      <c r="AF38" s="197"/>
    </row>
    <row r="39" spans="1:32" ht="10.5" customHeight="1" x14ac:dyDescent="0.2">
      <c r="A39" s="443"/>
      <c r="B39" s="443"/>
      <c r="C39" s="443"/>
      <c r="D39" s="443"/>
      <c r="E39" s="443"/>
      <c r="F39" s="443"/>
      <c r="G39" s="443"/>
      <c r="H39" s="441"/>
      <c r="I39" s="441"/>
      <c r="J39" s="441"/>
      <c r="K39" s="439"/>
      <c r="L39" s="439"/>
      <c r="M39" s="439"/>
      <c r="N39" s="428">
        <f>IF('INGRESO DE DATOS'!$C$42="","",'INGRESO DE DATOS'!$C$42)</f>
      </c>
      <c r="O39" s="429"/>
      <c r="P39" s="429"/>
      <c r="Q39" s="429"/>
      <c r="R39" s="429"/>
      <c r="S39" s="196"/>
      <c r="T39" s="121" t="s">
        <v>48</v>
      </c>
      <c r="U39" s="196" t="s">
        <v>48</v>
      </c>
      <c r="V39" s="196"/>
      <c r="W39" s="196"/>
      <c r="X39" s="196"/>
      <c r="Y39" s="196"/>
      <c r="Z39" s="239"/>
      <c r="AA39" s="226"/>
      <c r="AB39" s="226"/>
      <c r="AC39" s="226"/>
      <c r="AD39" s="197"/>
      <c r="AE39" s="197"/>
      <c r="AF39" s="197"/>
    </row>
    <row r="40" spans="1:32" ht="24" customHeight="1" x14ac:dyDescent="0.2">
      <c r="A40" s="420" t="s">
        <v>48</v>
      </c>
      <c r="B40" s="420"/>
      <c r="C40" s="420"/>
      <c r="D40" s="420"/>
      <c r="E40" s="196" t="s">
        <v>48</v>
      </c>
      <c r="F40" s="196" t="s">
        <v>48</v>
      </c>
      <c r="G40" s="240"/>
      <c r="H40" s="241"/>
      <c r="I40" s="241"/>
      <c r="J40" s="241"/>
      <c r="K40" s="242" t="s">
        <v>48</v>
      </c>
      <c r="L40" s="242"/>
      <c r="M40" s="243"/>
      <c r="N40" s="429"/>
      <c r="O40" s="429"/>
      <c r="P40" s="429"/>
      <c r="Q40" s="429"/>
      <c r="R40" s="429"/>
      <c r="S40" s="244"/>
      <c r="T40" s="196"/>
      <c r="U40" s="196"/>
      <c r="V40" s="196"/>
      <c r="W40" s="196"/>
      <c r="X40" s="196"/>
      <c r="Y40" s="196"/>
      <c r="Z40" s="239"/>
      <c r="AA40" s="226"/>
      <c r="AB40" s="226"/>
      <c r="AC40" s="226"/>
      <c r="AD40" s="197"/>
      <c r="AE40" s="197"/>
      <c r="AF40" s="197"/>
    </row>
    <row r="41" spans="1:32" ht="12.75" customHeight="1" x14ac:dyDescent="0.2">
      <c r="A41" s="430">
        <f>IF('INGRESO DE DATOS'!$F$12="","",'INGRESO DE DATOS'!$F$12)</f>
      </c>
      <c r="B41" s="431"/>
      <c r="C41" s="431"/>
      <c r="D41" s="431"/>
      <c r="E41" s="431"/>
      <c r="F41" s="431"/>
      <c r="G41" s="431"/>
      <c r="H41" s="418">
        <f>IF('INGRESO DE DATOS'!$F$13="","",'INGRESO DE DATOS'!$F$13)</f>
      </c>
      <c r="I41" s="419"/>
      <c r="J41" s="419"/>
      <c r="K41" s="434">
        <f>IF('INGRESO DE DATOS'!$F$14="","",'INGRESO DE DATOS'!$F$14)</f>
      </c>
      <c r="L41" s="435"/>
      <c r="M41" s="435"/>
      <c r="N41" s="245"/>
      <c r="O41" s="196"/>
      <c r="P41" s="196"/>
      <c r="Q41" s="196"/>
      <c r="R41" s="196"/>
      <c r="S41" s="196"/>
      <c r="T41" s="196"/>
      <c r="U41" s="196"/>
      <c r="V41" s="196"/>
      <c r="W41" s="196"/>
      <c r="X41" s="196"/>
      <c r="Y41" s="196"/>
      <c r="Z41" s="237"/>
      <c r="AA41" s="231"/>
      <c r="AB41" s="231"/>
      <c r="AC41" s="231"/>
      <c r="AD41" s="197"/>
      <c r="AE41" s="197"/>
      <c r="AF41" s="197"/>
    </row>
    <row r="42" spans="1:32" ht="4.5" customHeight="1" x14ac:dyDescent="0.2">
      <c r="A42" s="431"/>
      <c r="B42" s="431"/>
      <c r="C42" s="431"/>
      <c r="D42" s="431"/>
      <c r="E42" s="431"/>
      <c r="F42" s="431"/>
      <c r="G42" s="431"/>
      <c r="H42" s="419"/>
      <c r="I42" s="419"/>
      <c r="J42" s="419"/>
      <c r="K42" s="435"/>
      <c r="L42" s="435"/>
      <c r="M42" s="435"/>
      <c r="N42" s="244"/>
      <c r="O42" s="410" t="s">
        <v>48</v>
      </c>
      <c r="P42" s="410"/>
      <c r="Q42" s="410"/>
      <c r="R42" s="196"/>
      <c r="S42" s="196"/>
      <c r="T42" s="196"/>
      <c r="U42" s="196"/>
      <c r="V42" s="196"/>
      <c r="W42" s="196"/>
      <c r="X42" s="196"/>
      <c r="Y42" s="196"/>
      <c r="Z42" s="237"/>
      <c r="AA42" s="231"/>
      <c r="AB42" s="231"/>
      <c r="AC42" s="231"/>
      <c r="AD42" s="197"/>
      <c r="AE42" s="197"/>
      <c r="AF42" s="197"/>
    </row>
    <row r="43" spans="1:32" ht="6.75" customHeight="1" x14ac:dyDescent="0.2">
      <c r="A43" s="431"/>
      <c r="B43" s="431"/>
      <c r="C43" s="431"/>
      <c r="D43" s="431"/>
      <c r="E43" s="431"/>
      <c r="F43" s="431"/>
      <c r="G43" s="431"/>
      <c r="H43" s="240"/>
      <c r="I43" s="240"/>
      <c r="J43" s="242"/>
      <c r="K43" s="435"/>
      <c r="L43" s="435"/>
      <c r="M43" s="435"/>
      <c r="N43" s="196"/>
      <c r="O43" s="411" t="s">
        <v>48</v>
      </c>
      <c r="P43" s="411"/>
      <c r="Q43" s="196"/>
      <c r="R43" s="196"/>
      <c r="S43" s="196"/>
      <c r="T43" s="196"/>
      <c r="U43" s="196"/>
      <c r="V43" s="196"/>
      <c r="W43" s="196"/>
      <c r="X43" s="196"/>
      <c r="Y43" s="196"/>
      <c r="Z43" s="237"/>
      <c r="AA43" s="231"/>
      <c r="AB43" s="231"/>
      <c r="AC43" s="231"/>
      <c r="AD43" s="197"/>
      <c r="AE43" s="197"/>
      <c r="AF43" s="197"/>
    </row>
    <row r="44" spans="1:32" ht="9.75" customHeight="1" x14ac:dyDescent="0.2">
      <c r="A44" s="196"/>
      <c r="B44" s="196"/>
      <c r="C44" s="196"/>
      <c r="D44" s="196"/>
      <c r="E44" s="196"/>
      <c r="F44" s="196"/>
      <c r="G44" s="196"/>
      <c r="H44" s="196" t="s">
        <v>48</v>
      </c>
      <c r="I44" s="196"/>
      <c r="J44" s="412" t="s">
        <v>48</v>
      </c>
      <c r="K44" s="412"/>
      <c r="L44" s="412"/>
      <c r="M44" s="412"/>
      <c r="N44" s="196"/>
      <c r="O44" s="196"/>
      <c r="P44" s="410" t="s">
        <v>48</v>
      </c>
      <c r="Q44" s="410"/>
      <c r="R44" s="410"/>
      <c r="S44" s="196"/>
      <c r="T44" s="196"/>
      <c r="U44" s="196"/>
      <c r="V44" s="196"/>
      <c r="W44" s="196"/>
      <c r="X44" s="196"/>
      <c r="Y44" s="196"/>
      <c r="Z44" s="237"/>
      <c r="AA44" s="231"/>
      <c r="AB44" s="231"/>
      <c r="AC44" s="231"/>
      <c r="AD44" s="197"/>
      <c r="AE44" s="197"/>
      <c r="AF44" s="197"/>
    </row>
    <row r="45" spans="1:32" ht="15" customHeight="1" x14ac:dyDescent="0.2">
      <c r="A45" s="420" t="s">
        <v>48</v>
      </c>
      <c r="B45" s="420"/>
      <c r="C45" s="420"/>
      <c r="D45" s="420"/>
      <c r="E45" s="420"/>
      <c r="F45" s="420"/>
      <c r="G45" s="196" t="s">
        <v>48</v>
      </c>
      <c r="H45" s="196" t="s">
        <v>48</v>
      </c>
      <c r="I45" s="196"/>
      <c r="J45" s="196"/>
      <c r="K45" s="196"/>
      <c r="L45" s="196"/>
      <c r="M45" s="196"/>
      <c r="N45" s="459"/>
      <c r="O45" s="459"/>
      <c r="P45" s="459"/>
      <c r="Q45" s="459"/>
      <c r="R45" s="196"/>
      <c r="S45" s="196"/>
      <c r="T45" s="196"/>
      <c r="U45" s="196"/>
      <c r="V45" s="196"/>
      <c r="W45" s="196"/>
      <c r="X45" s="196"/>
      <c r="Y45" s="196"/>
      <c r="Z45" s="237"/>
      <c r="AA45" s="231"/>
      <c r="AB45" s="231"/>
      <c r="AC45" s="231"/>
      <c r="AD45" s="197"/>
      <c r="AE45" s="197"/>
      <c r="AF45" s="197"/>
    </row>
    <row r="46" spans="1:32" ht="15" customHeight="1" x14ac:dyDescent="0.2">
      <c r="A46" s="196"/>
      <c r="B46" s="196"/>
      <c r="C46" s="196"/>
      <c r="D46" s="196"/>
      <c r="E46" s="196"/>
      <c r="F46" s="196"/>
      <c r="G46" s="196"/>
      <c r="H46" s="196"/>
      <c r="I46" s="196"/>
      <c r="J46" s="196"/>
      <c r="K46" s="196"/>
      <c r="L46" s="196"/>
      <c r="M46" s="196"/>
      <c r="N46" s="246"/>
      <c r="O46" s="416">
        <f>IF('INGRESO DE DATOS'!$C$26="","",'INGRESO DE DATOS'!$C$26)</f>
      </c>
      <c r="P46" s="417"/>
      <c r="Q46" s="417"/>
      <c r="R46" s="380"/>
      <c r="S46" s="380"/>
      <c r="T46" s="196" t="s">
        <v>48</v>
      </c>
      <c r="U46" s="196"/>
      <c r="V46" s="196"/>
      <c r="W46" s="196"/>
      <c r="X46" s="196"/>
      <c r="Y46" s="196"/>
      <c r="Z46" s="237"/>
      <c r="AA46" s="231"/>
      <c r="AB46" s="231"/>
      <c r="AC46" s="231"/>
      <c r="AD46" s="197"/>
      <c r="AE46" s="197"/>
      <c r="AF46" s="197"/>
    </row>
    <row r="47" spans="1:32" x14ac:dyDescent="0.2">
      <c r="A47" s="196"/>
      <c r="B47" s="196"/>
      <c r="C47" s="196"/>
      <c r="D47" s="196"/>
      <c r="E47" s="196"/>
      <c r="F47" s="196"/>
      <c r="G47" s="196"/>
      <c r="H47" s="196"/>
      <c r="I47" s="196"/>
      <c r="J47" s="196"/>
      <c r="K47" s="196"/>
      <c r="L47" s="196"/>
      <c r="M47" s="196"/>
      <c r="N47" s="196"/>
      <c r="O47" s="422">
        <f>IF('INGRESO DE DATOS'!$C$25="","",'INGRESO DE DATOS'!$C$25)</f>
      </c>
      <c r="P47" s="423"/>
      <c r="Q47" s="423"/>
      <c r="R47" s="196"/>
      <c r="S47" s="196"/>
      <c r="T47" s="196"/>
      <c r="U47" s="196"/>
      <c r="V47" s="196"/>
      <c r="W47" s="196"/>
      <c r="X47" s="196"/>
      <c r="Y47" s="196"/>
      <c r="Z47" s="237"/>
      <c r="AA47" s="231"/>
      <c r="AB47" s="231"/>
      <c r="AC47" s="231"/>
      <c r="AD47" s="197"/>
      <c r="AE47" s="197"/>
      <c r="AF47" s="197"/>
    </row>
    <row r="48" spans="1:32" x14ac:dyDescent="0.2">
      <c r="A48" s="196"/>
      <c r="B48" s="196"/>
      <c r="C48" s="196"/>
      <c r="D48" s="196"/>
      <c r="E48" s="196"/>
      <c r="F48" s="196"/>
      <c r="G48" s="196"/>
      <c r="H48" s="196"/>
      <c r="I48" s="196"/>
      <c r="J48" s="196"/>
      <c r="K48" s="196"/>
      <c r="L48" s="196"/>
      <c r="M48" s="196"/>
      <c r="N48" s="196"/>
      <c r="O48" s="411"/>
      <c r="P48" s="411"/>
      <c r="Q48" s="411"/>
      <c r="R48" s="196"/>
      <c r="S48" s="196"/>
      <c r="T48" s="196"/>
      <c r="U48" s="196"/>
      <c r="V48" s="196"/>
      <c r="W48" s="196"/>
      <c r="X48" s="196"/>
      <c r="Y48" s="196"/>
      <c r="Z48" s="237"/>
      <c r="AA48" s="231"/>
      <c r="AB48" s="231"/>
      <c r="AC48" s="231"/>
      <c r="AD48" s="197"/>
      <c r="AE48" s="197"/>
      <c r="AF48" s="197"/>
    </row>
    <row r="49" spans="1:32" ht="9" customHeight="1" x14ac:dyDescent="0.2">
      <c r="A49" s="196"/>
      <c r="B49" s="196"/>
      <c r="C49" s="196"/>
      <c r="D49" s="196"/>
      <c r="E49" s="196"/>
      <c r="F49" s="196"/>
      <c r="G49" s="196"/>
      <c r="H49" s="196"/>
      <c r="I49" s="196"/>
      <c r="J49" s="196"/>
      <c r="K49" s="196"/>
      <c r="L49" s="196"/>
      <c r="M49" s="196"/>
      <c r="N49" s="196"/>
      <c r="O49" s="196"/>
      <c r="P49" s="196"/>
      <c r="Q49" s="196"/>
      <c r="R49" s="196"/>
      <c r="S49" s="196"/>
      <c r="T49" s="196"/>
      <c r="U49" s="196"/>
      <c r="V49" s="196"/>
      <c r="W49" s="196"/>
      <c r="X49" s="196"/>
      <c r="Y49" s="196"/>
      <c r="Z49" s="237"/>
      <c r="AA49" s="231"/>
      <c r="AB49" s="231"/>
      <c r="AC49" s="231"/>
      <c r="AD49" s="197"/>
      <c r="AE49" s="197"/>
      <c r="AF49" s="197"/>
    </row>
    <row r="50" spans="1:32" ht="7.5" customHeight="1" x14ac:dyDescent="0.2">
      <c r="A50" s="195"/>
      <c r="B50" s="196"/>
      <c r="C50" s="196"/>
      <c r="D50" s="196"/>
      <c r="E50" s="196"/>
      <c r="F50" s="196"/>
      <c r="G50" s="196"/>
      <c r="H50" s="196"/>
      <c r="I50" s="196"/>
      <c r="J50" s="196"/>
      <c r="K50" s="196"/>
      <c r="L50" s="196"/>
      <c r="M50" s="196"/>
      <c r="N50" s="196"/>
      <c r="O50" s="196"/>
      <c r="P50" s="196"/>
      <c r="Q50" s="196"/>
      <c r="R50" s="196"/>
      <c r="S50" s="196"/>
      <c r="T50" s="196"/>
      <c r="U50" s="196"/>
      <c r="V50" s="196"/>
      <c r="W50" s="196"/>
      <c r="X50" s="196"/>
      <c r="Y50" s="196"/>
      <c r="Z50" s="196"/>
      <c r="AA50" s="200"/>
      <c r="AB50" s="200"/>
      <c r="AC50" s="200"/>
      <c r="AD50" s="197"/>
      <c r="AE50" s="197"/>
      <c r="AF50" s="197"/>
    </row>
    <row r="51" spans="1:32" ht="7.5" customHeight="1" x14ac:dyDescent="0.2">
      <c r="A51" s="196"/>
      <c r="B51" s="196"/>
      <c r="C51" s="196"/>
      <c r="D51" s="196"/>
      <c r="E51" s="196"/>
      <c r="F51" s="196"/>
      <c r="G51" s="196"/>
      <c r="H51" s="196"/>
      <c r="I51" s="196"/>
      <c r="J51" s="196"/>
      <c r="K51" s="196"/>
      <c r="L51" s="196"/>
      <c r="M51" s="196"/>
      <c r="N51" s="196"/>
      <c r="O51" s="196"/>
      <c r="P51" s="196"/>
      <c r="Q51" s="196"/>
      <c r="R51" s="196"/>
      <c r="S51" s="196"/>
      <c r="T51" s="196"/>
      <c r="U51" s="196"/>
      <c r="V51" s="196"/>
      <c r="W51" s="196"/>
      <c r="X51" s="196"/>
      <c r="Y51" s="196"/>
      <c r="Z51" s="196"/>
      <c r="AA51" s="200"/>
      <c r="AB51" s="200"/>
      <c r="AC51" s="200"/>
      <c r="AD51" s="197"/>
      <c r="AE51" s="197"/>
      <c r="AF51" s="197"/>
    </row>
    <row r="52" spans="1:32" ht="9" hidden="1" customHeight="1" x14ac:dyDescent="0.2">
      <c r="A52" s="196"/>
      <c r="B52" s="196"/>
      <c r="C52" s="196"/>
      <c r="D52" s="196"/>
      <c r="E52" s="196"/>
      <c r="F52" s="196"/>
      <c r="G52" s="196"/>
      <c r="H52" s="196"/>
      <c r="I52" s="196"/>
      <c r="J52" s="196"/>
      <c r="K52" s="196"/>
      <c r="L52" s="196"/>
      <c r="M52" s="196"/>
      <c r="N52" s="196"/>
      <c r="O52" s="196"/>
      <c r="P52" s="196"/>
      <c r="Q52" s="196"/>
      <c r="R52" s="196"/>
      <c r="S52" s="196"/>
      <c r="T52" s="247" t="s">
        <v>48</v>
      </c>
      <c r="U52" s="247"/>
      <c r="V52" s="196"/>
      <c r="W52" s="196"/>
      <c r="X52" s="196"/>
      <c r="Y52" s="196"/>
      <c r="Z52" s="196"/>
      <c r="AA52" s="200"/>
      <c r="AB52" s="200"/>
      <c r="AC52" s="200"/>
      <c r="AD52" s="197"/>
      <c r="AE52" s="197"/>
      <c r="AF52" s="197"/>
    </row>
    <row r="53" spans="1:32" ht="3.75" customHeight="1" x14ac:dyDescent="0.2">
      <c r="A53" s="196"/>
      <c r="B53" s="196"/>
      <c r="C53" s="196"/>
      <c r="D53" s="196"/>
      <c r="E53" s="196"/>
      <c r="F53" s="196"/>
      <c r="G53" s="196"/>
      <c r="H53" s="196"/>
      <c r="I53" s="196"/>
      <c r="J53" s="196"/>
      <c r="K53" s="196"/>
      <c r="L53" s="196"/>
      <c r="M53" s="196"/>
      <c r="N53" s="196"/>
      <c r="O53" s="196"/>
      <c r="P53" s="196"/>
      <c r="Q53" s="196"/>
      <c r="R53" s="196"/>
      <c r="S53" s="196"/>
      <c r="T53" s="247"/>
      <c r="U53" s="247"/>
      <c r="V53" s="196"/>
      <c r="W53" s="196"/>
      <c r="X53" s="196"/>
      <c r="Y53" s="196"/>
      <c r="Z53" s="196"/>
      <c r="AA53" s="200"/>
      <c r="AB53" s="200"/>
      <c r="AC53" s="200"/>
      <c r="AD53" s="197"/>
      <c r="AE53" s="197"/>
      <c r="AF53" s="197"/>
    </row>
    <row r="54" spans="1:32" ht="9" hidden="1" customHeight="1" x14ac:dyDescent="0.2">
      <c r="A54" s="196"/>
      <c r="B54" s="196"/>
      <c r="C54" s="196"/>
      <c r="D54" s="196"/>
      <c r="E54" s="196"/>
      <c r="F54" s="196"/>
      <c r="G54" s="196"/>
      <c r="H54" s="196"/>
      <c r="I54" s="196"/>
      <c r="J54" s="196"/>
      <c r="K54" s="196"/>
      <c r="L54" s="196"/>
      <c r="M54" s="196"/>
      <c r="N54" s="196"/>
      <c r="O54" s="196"/>
      <c r="P54" s="196"/>
      <c r="Q54" s="196"/>
      <c r="R54" s="196"/>
      <c r="S54" s="196"/>
      <c r="T54" s="196"/>
      <c r="U54" s="196"/>
      <c r="V54" s="196"/>
      <c r="W54" s="196"/>
      <c r="X54" s="196"/>
      <c r="Y54" s="196"/>
      <c r="Z54" s="196"/>
      <c r="AA54" s="200"/>
      <c r="AB54" s="200"/>
      <c r="AC54" s="200"/>
      <c r="AD54" s="197"/>
      <c r="AE54" s="197"/>
      <c r="AF54" s="197"/>
    </row>
    <row r="55" spans="1:32" ht="15" hidden="1" customHeight="1" x14ac:dyDescent="0.2">
      <c r="A55" s="415" t="s">
        <v>48</v>
      </c>
      <c r="B55" s="415"/>
      <c r="C55" s="415"/>
      <c r="D55" s="415"/>
      <c r="E55" s="415"/>
      <c r="F55" s="415"/>
      <c r="G55" s="415"/>
      <c r="H55" s="415"/>
      <c r="I55" s="415"/>
      <c r="J55" s="415"/>
      <c r="K55" s="196"/>
      <c r="L55" s="196"/>
      <c r="M55" s="196"/>
      <c r="N55" s="196"/>
      <c r="O55" s="196"/>
      <c r="P55" s="196"/>
      <c r="Q55" s="196"/>
      <c r="R55" s="196"/>
      <c r="S55" s="196"/>
      <c r="T55" s="247"/>
      <c r="U55" s="247"/>
      <c r="V55" s="196"/>
      <c r="W55" s="196"/>
      <c r="X55" s="196"/>
      <c r="Y55" s="196"/>
      <c r="Z55" s="196"/>
      <c r="AA55" s="200"/>
      <c r="AB55" s="200"/>
      <c r="AC55" s="200"/>
      <c r="AD55" s="197"/>
      <c r="AE55" s="197"/>
      <c r="AF55" s="197"/>
    </row>
    <row r="56" spans="1:32" ht="9" customHeight="1" x14ac:dyDescent="0.2">
      <c r="A56" s="199"/>
      <c r="B56" s="199"/>
      <c r="C56" s="199"/>
      <c r="D56" s="199"/>
      <c r="E56" s="199"/>
      <c r="F56" s="199"/>
      <c r="G56" s="199"/>
      <c r="H56" s="199"/>
      <c r="I56" s="199"/>
      <c r="J56" s="199"/>
      <c r="K56" s="196"/>
      <c r="L56" s="196"/>
      <c r="M56" s="196"/>
      <c r="N56" s="196"/>
      <c r="O56" s="196"/>
      <c r="P56" s="196"/>
      <c r="Q56" s="196"/>
      <c r="R56" s="196"/>
      <c r="S56" s="196"/>
      <c r="T56" s="247"/>
      <c r="U56" s="247"/>
      <c r="V56" s="194"/>
      <c r="W56" s="194"/>
      <c r="X56" s="194"/>
      <c r="Y56" s="194"/>
      <c r="Z56" s="194"/>
      <c r="AA56" s="225"/>
      <c r="AB56" s="225"/>
      <c r="AC56" s="225"/>
      <c r="AD56" s="197"/>
      <c r="AE56" s="197"/>
      <c r="AF56" s="197"/>
    </row>
    <row r="57" spans="1:32" ht="6" customHeight="1" x14ac:dyDescent="0.2">
      <c r="A57" s="421"/>
      <c r="B57" s="421"/>
      <c r="C57" s="421"/>
      <c r="D57" s="421"/>
      <c r="E57" s="421"/>
      <c r="F57" s="421"/>
      <c r="G57" s="421"/>
      <c r="H57" s="421"/>
      <c r="I57" s="421"/>
      <c r="J57" s="421"/>
      <c r="K57" s="248"/>
      <c r="L57" s="249"/>
      <c r="M57" s="249"/>
      <c r="N57" s="196"/>
      <c r="O57" s="196"/>
      <c r="P57" s="196"/>
      <c r="Q57" s="196"/>
      <c r="R57" s="196"/>
      <c r="S57" s="196"/>
      <c r="T57" s="247"/>
      <c r="U57" s="247"/>
      <c r="V57" s="196"/>
      <c r="W57" s="196"/>
      <c r="X57" s="196"/>
      <c r="Y57" s="196"/>
      <c r="Z57" s="196"/>
      <c r="AA57" s="200"/>
      <c r="AB57" s="200"/>
      <c r="AC57" s="200"/>
      <c r="AD57" s="197"/>
      <c r="AE57" s="197"/>
      <c r="AF57" s="197"/>
    </row>
    <row r="58" spans="1:32" ht="22.25" customHeight="1" x14ac:dyDescent="0.2">
      <c r="A58" s="421"/>
      <c r="B58" s="421"/>
      <c r="C58" s="421"/>
      <c r="D58" s="421"/>
      <c r="E58" s="421"/>
      <c r="F58" s="421"/>
      <c r="G58" s="421"/>
      <c r="H58" s="421"/>
      <c r="I58" s="421"/>
      <c r="J58" s="421"/>
      <c r="K58" s="250"/>
      <c r="L58" s="250"/>
      <c r="M58" s="251"/>
      <c r="N58" s="252"/>
      <c r="O58" s="196"/>
      <c r="P58" s="196"/>
      <c r="Q58" s="196"/>
      <c r="R58" s="196"/>
      <c r="S58" s="196"/>
      <c r="T58" s="413">
        <f>IF('INGRESO DE DATOS'!$C$38="","",'INGRESO DE DATOS'!$C$38)</f>
      </c>
      <c r="U58" s="414"/>
      <c r="V58" s="196"/>
      <c r="W58" s="196"/>
      <c r="X58" s="196"/>
      <c r="Y58" s="196"/>
      <c r="Z58" s="196"/>
      <c r="AA58" s="200"/>
      <c r="AB58" s="200"/>
      <c r="AC58" s="200"/>
      <c r="AD58" s="197"/>
      <c r="AE58" s="197"/>
      <c r="AF58" s="197"/>
    </row>
    <row r="59" spans="1:32" ht="15.75" customHeight="1" x14ac:dyDescent="0.2">
      <c r="A59" s="253"/>
      <c r="B59" s="253"/>
      <c r="C59" s="253"/>
      <c r="D59" s="253"/>
      <c r="E59" s="253"/>
      <c r="F59" s="253"/>
      <c r="G59" s="253"/>
      <c r="H59" s="253"/>
      <c r="I59" s="253"/>
      <c r="J59" s="253"/>
      <c r="K59" s="250"/>
      <c r="L59" s="250"/>
      <c r="M59" s="250"/>
      <c r="N59" s="252"/>
      <c r="O59" s="196"/>
      <c r="P59" s="196"/>
      <c r="Q59" s="196"/>
      <c r="R59" s="196"/>
      <c r="S59" s="196"/>
      <c r="T59" s="414"/>
      <c r="U59" s="414"/>
      <c r="V59" s="196"/>
      <c r="W59" s="196"/>
      <c r="X59" s="196"/>
      <c r="Y59" s="196"/>
      <c r="Z59" s="196"/>
      <c r="AA59" s="200"/>
      <c r="AB59" s="200"/>
      <c r="AC59" s="200"/>
      <c r="AD59" s="197"/>
      <c r="AE59" s="197"/>
      <c r="AF59" s="197"/>
    </row>
    <row r="60" spans="1:32" ht="12.75" customHeight="1" x14ac:dyDescent="0.2">
      <c r="A60" s="254"/>
      <c r="B60" s="254"/>
      <c r="C60" s="254"/>
      <c r="D60" s="254"/>
      <c r="E60" s="254"/>
      <c r="F60" s="254"/>
      <c r="G60" s="254"/>
      <c r="H60" s="254"/>
      <c r="I60" s="254"/>
      <c r="J60" s="254"/>
      <c r="K60" s="255"/>
      <c r="L60" s="255"/>
      <c r="M60" s="255"/>
      <c r="N60" s="255"/>
      <c r="O60" s="255"/>
      <c r="P60" s="255"/>
      <c r="Q60" s="255"/>
      <c r="R60" s="255"/>
      <c r="S60" s="255"/>
      <c r="T60" s="409"/>
      <c r="U60" s="409"/>
      <c r="V60" s="255"/>
      <c r="W60" s="255"/>
      <c r="X60" s="255"/>
      <c r="Y60" s="255"/>
      <c r="Z60" s="255"/>
      <c r="AA60" s="200"/>
      <c r="AB60" s="200"/>
      <c r="AC60" s="200"/>
      <c r="AD60" s="197"/>
      <c r="AE60" s="197"/>
      <c r="AF60" s="197"/>
    </row>
  </sheetData>
  <sheetProtection sheet="1" objects="1" scenarios="1" formatCells="0" formatColumns="0" formatRows="0" sort="0" autoFilter="0" pivotTables="0"/>
  <mergeCells count="94">
    <mergeCell ref="Z7:Z8"/>
    <mergeCell ref="T7:W8"/>
    <mergeCell ref="T9:V9"/>
    <mergeCell ref="T19:V20"/>
    <mergeCell ref="N10:Q10"/>
    <mergeCell ref="V13:X14"/>
    <mergeCell ref="N6:Q7"/>
    <mergeCell ref="N8:Q9"/>
    <mergeCell ref="N11:Q12"/>
    <mergeCell ref="Z9:Z10"/>
    <mergeCell ref="A25:L26"/>
    <mergeCell ref="F23:L24"/>
    <mergeCell ref="N45:Q45"/>
    <mergeCell ref="A27:D28"/>
    <mergeCell ref="V32:X32"/>
    <mergeCell ref="E27:H28"/>
    <mergeCell ref="A23:E24"/>
    <mergeCell ref="A31:L32"/>
    <mergeCell ref="I33:L34"/>
    <mergeCell ref="E33:H34"/>
    <mergeCell ref="A29:L30"/>
    <mergeCell ref="M32:O33"/>
    <mergeCell ref="I27:L28"/>
    <mergeCell ref="V33:X33"/>
    <mergeCell ref="B21:H22"/>
    <mergeCell ref="H11:I11"/>
    <mergeCell ref="B19:H20"/>
    <mergeCell ref="J11:L11"/>
    <mergeCell ref="E13:L14"/>
    <mergeCell ref="B15:H16"/>
    <mergeCell ref="Y36:Y37"/>
    <mergeCell ref="P44:R44"/>
    <mergeCell ref="N39:R40"/>
    <mergeCell ref="A40:D40"/>
    <mergeCell ref="A41:G43"/>
    <mergeCell ref="U36:X37"/>
    <mergeCell ref="K41:M43"/>
    <mergeCell ref="N35:R38"/>
    <mergeCell ref="K38:M39"/>
    <mergeCell ref="H38:J39"/>
    <mergeCell ref="A38:G39"/>
    <mergeCell ref="A35:L36"/>
    <mergeCell ref="V34:X35"/>
    <mergeCell ref="A33:D34"/>
    <mergeCell ref="P32:R33"/>
    <mergeCell ref="J5:K5"/>
    <mergeCell ref="T60:U60"/>
    <mergeCell ref="O42:Q42"/>
    <mergeCell ref="O43:P43"/>
    <mergeCell ref="J44:M44"/>
    <mergeCell ref="T58:U59"/>
    <mergeCell ref="A55:J55"/>
    <mergeCell ref="O46:Q46"/>
    <mergeCell ref="R46:S46"/>
    <mergeCell ref="H41:J42"/>
    <mergeCell ref="A45:F45"/>
    <mergeCell ref="A57:J58"/>
    <mergeCell ref="O47:Q47"/>
    <mergeCell ref="O48:Q48"/>
    <mergeCell ref="A13:D14"/>
    <mergeCell ref="D9:L9"/>
    <mergeCell ref="A6:C7"/>
    <mergeCell ref="C8:D8"/>
    <mergeCell ref="E8:G8"/>
    <mergeCell ref="H8:I8"/>
    <mergeCell ref="C5:D5"/>
    <mergeCell ref="X5:Y5"/>
    <mergeCell ref="A9:C9"/>
    <mergeCell ref="W19:X20"/>
    <mergeCell ref="W9:Y9"/>
    <mergeCell ref="V10:X12"/>
    <mergeCell ref="U16:X17"/>
    <mergeCell ref="C11:D11"/>
    <mergeCell ref="V15:X15"/>
    <mergeCell ref="E11:G11"/>
    <mergeCell ref="B17:I17"/>
    <mergeCell ref="N4:Q5"/>
    <mergeCell ref="X7:Y8"/>
    <mergeCell ref="A10:M10"/>
    <mergeCell ref="A4:L4"/>
    <mergeCell ref="D6:L7"/>
    <mergeCell ref="H5:I5"/>
    <mergeCell ref="W21:X22"/>
    <mergeCell ref="R21:V22"/>
    <mergeCell ref="O14:Q15"/>
    <mergeCell ref="Q29:T31"/>
    <mergeCell ref="M29:P31"/>
    <mergeCell ref="U29:W29"/>
    <mergeCell ref="V25:X26"/>
    <mergeCell ref="V23:X24"/>
    <mergeCell ref="V28:X28"/>
    <mergeCell ref="U30:X31"/>
    <mergeCell ref="V27:X27"/>
    <mergeCell ref="N23:O25"/>
  </mergeCells>
  <phoneticPr fontId="2" type="noConversion"/>
  <pageMargins left="0.70866141732283472" right="0.19685039370078741" top="0.74803149606299213" bottom="0.74803149606299213" header="0.31496062992125984" footer="0.31496062992125984"/>
  <pageSetup scale="89" pageOrder="overThenDown" orientation="portrait" errors="blank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DA32DF-3600-8144-ABC9-B86C507AE4DF}">
  <sheetPr>
    <tabColor rgb="FF025AB3"/>
  </sheetPr>
  <dimension ref="A1:CG1005"/>
  <sheetViews>
    <sheetView showGridLines="0" workbookViewId="0">
      <pane xSplit="3" ySplit="5" topLeftCell="D6" activePane="bottomRight" state="frozen"/>
      <selection pane="topRight"/>
      <selection pane="bottomLeft"/>
      <selection pane="bottomRight"/>
    </sheetView>
  </sheetViews>
  <sheetFormatPr baseColWidth="10" defaultRowHeight="16" x14ac:dyDescent="0.2"/>
  <cols>
    <col min="1" max="2" width="10.85546875" customWidth="1"/>
    <col min="3" max="3" width="31.140625" customWidth="1"/>
    <col min="4" max="4" width="10.85546875" customWidth="1"/>
    <col min="5" max="5" width="28.85546875" customWidth="1"/>
    <col min="6" max="6" width="13.140625" customWidth="1"/>
    <col min="7" max="7" width="8.42578125" customWidth="1"/>
    <col min="8" max="8" width="14.42578125" customWidth="1"/>
    <col min="9" max="10" width="12" customWidth="1"/>
    <col min="11" max="12" width="13.140625" customWidth="1"/>
    <col min="13" max="13" width="24" customWidth="1"/>
    <col min="14" max="14" width="10" customWidth="1"/>
    <col min="15" max="15" width="12" customWidth="1"/>
    <col min="16" max="16" width="13" customWidth="1"/>
    <col min="17" max="17" width="18" customWidth="1"/>
    <col min="18" max="18" width="24" customWidth="1"/>
    <col min="19" max="19" width="10" customWidth="1"/>
    <col min="20" max="20" width="12" customWidth="1"/>
    <col min="21" max="21" width="13" customWidth="1"/>
    <col min="22" max="22" width="18" customWidth="1"/>
    <col min="23" max="23" width="26" customWidth="1"/>
    <col min="24" max="26" width="13" customWidth="1"/>
    <col min="27" max="27" width="14" customWidth="1"/>
    <col min="28" max="28" width="12" customWidth="1"/>
    <col min="29" max="29" width="13" customWidth="1"/>
    <col min="30" max="30" width="9" customWidth="1"/>
    <col min="31" max="31" width="16" customWidth="1"/>
    <col min="32" max="32" width="9" customWidth="1"/>
    <col min="33" max="33" width="16" customWidth="1"/>
    <col min="34" max="34" width="11" customWidth="1"/>
    <col min="35" max="36" width="12" customWidth="1"/>
    <col min="37" max="37" width="13" customWidth="1"/>
    <col min="38" max="39" width="14" customWidth="1"/>
    <col min="40" max="40" width="16" customWidth="1"/>
    <col min="41" max="41" width="13" customWidth="1"/>
    <col min="42" max="42" width="12" customWidth="1"/>
    <col min="43" max="43" width="20" customWidth="1"/>
    <col min="44" max="45" width="12" customWidth="1"/>
    <col min="46" max="46" width="24" customWidth="1"/>
    <col min="47" max="48" width="16" customWidth="1"/>
    <col min="49" max="49" width="30" customWidth="1"/>
    <col min="50" max="51" width="12" customWidth="1"/>
    <col min="52" max="52" width="20" customWidth="1"/>
    <col min="53" max="53" width="11" customWidth="1"/>
    <col min="54" max="54" width="9" customWidth="1"/>
    <col min="55" max="55" width="20" customWidth="1"/>
    <col min="56" max="56" width="13" customWidth="1"/>
    <col min="57" max="57" width="15.5703125" customWidth="1"/>
    <col min="58" max="58" width="24" customWidth="1"/>
    <col min="59" max="59" width="14.42578125" customWidth="1"/>
    <col min="60" max="60" width="12" customWidth="1"/>
    <col min="61" max="61" width="14.42578125" customWidth="1"/>
    <col min="62" max="62" width="12" customWidth="1"/>
    <col min="63" max="63" width="14.42578125" customWidth="1"/>
    <col min="64" max="66" width="13.140625" customWidth="1"/>
    <col min="67" max="67" width="14.42578125" customWidth="1"/>
    <col min="68" max="68" width="12" customWidth="1"/>
    <col min="69" max="69" width="14.42578125" customWidth="1"/>
    <col min="70" max="71" width="13.140625" customWidth="1"/>
    <col min="72" max="72" width="15.5703125" customWidth="1"/>
    <col min="73" max="73" width="14.42578125" customWidth="1"/>
    <col min="74" max="74" width="15.5703125" customWidth="1"/>
    <col min="75" max="75" width="14.42578125" customWidth="1"/>
    <col min="76" max="76" width="12" customWidth="1"/>
    <col min="77" max="77" width="13" customWidth="1"/>
    <col min="78" max="78" width="16.85546875" customWidth="1"/>
    <col min="79" max="79" width="36" customWidth="1"/>
    <col min="80" max="85" width="0" hidden="1" customWidth="1"/>
  </cols>
  <sheetData>
    <row r="1" spans="1:85" ht="33.75" customHeight="1" x14ac:dyDescent="0.2">
      <c r="B1" s="488" t="s">
        <v>143</v>
      </c>
      <c r="C1" s="307"/>
      <c r="D1" s="307"/>
      <c r="E1" s="307"/>
      <c r="F1" s="307"/>
    </row>
    <row r="2" spans="1:85" x14ac:dyDescent="0.2">
      <c r="B2" s="489" t="s">
        <v>279</v>
      </c>
      <c r="C2" s="307"/>
      <c r="D2" s="307"/>
      <c r="E2" s="307"/>
      <c r="F2" s="307"/>
      <c r="G2" s="307"/>
      <c r="H2" s="307"/>
      <c r="I2" s="307"/>
      <c r="J2" s="307"/>
      <c r="K2" s="307"/>
      <c r="L2" s="307"/>
      <c r="M2" s="307"/>
      <c r="N2" s="307"/>
      <c r="O2" s="307"/>
      <c r="P2" s="307"/>
      <c r="Q2" s="307"/>
      <c r="R2" s="307"/>
      <c r="S2" s="307"/>
      <c r="T2" s="307"/>
      <c r="U2" s="307"/>
      <c r="V2" s="307"/>
      <c r="W2" s="307"/>
      <c r="X2" s="307"/>
      <c r="Y2" s="307"/>
      <c r="Z2" s="307"/>
      <c r="AA2" s="307"/>
      <c r="AB2" s="307"/>
      <c r="AC2" s="307"/>
      <c r="AD2" s="307"/>
      <c r="AE2" s="307"/>
      <c r="AF2" s="307"/>
      <c r="AG2" s="307"/>
      <c r="AH2" s="307"/>
      <c r="AI2" s="307"/>
      <c r="AJ2" s="307"/>
      <c r="AK2" s="307"/>
      <c r="AL2" s="307"/>
      <c r="AM2" s="307"/>
      <c r="AN2" s="307"/>
      <c r="AO2" s="307"/>
      <c r="AP2" s="307"/>
      <c r="AQ2" s="307"/>
      <c r="AR2" s="307"/>
      <c r="AS2" s="307"/>
      <c r="AT2" s="307"/>
      <c r="AU2" s="307"/>
      <c r="AV2" s="307"/>
      <c r="AW2" s="307"/>
      <c r="AX2" s="307"/>
      <c r="AY2" s="307"/>
      <c r="AZ2" s="307"/>
      <c r="BA2" s="307"/>
      <c r="BB2" s="307"/>
      <c r="BC2" s="307"/>
      <c r="BD2" s="307"/>
      <c r="BE2" s="307"/>
      <c r="BF2" s="307"/>
      <c r="BG2" s="307"/>
      <c r="BH2" s="307"/>
      <c r="BI2" s="307"/>
      <c r="BJ2" s="307"/>
      <c r="BK2" s="307"/>
      <c r="BL2" s="307"/>
      <c r="BM2" s="307"/>
      <c r="BN2" s="307"/>
      <c r="BO2" s="307"/>
      <c r="BP2" s="307"/>
      <c r="BQ2" s="307"/>
      <c r="BR2" s="307"/>
      <c r="BS2" s="307"/>
      <c r="BT2" s="307"/>
      <c r="BU2" s="307"/>
      <c r="BV2" s="307"/>
      <c r="BW2" s="307"/>
      <c r="BX2" s="307"/>
      <c r="BY2" s="307"/>
      <c r="BZ2" s="307"/>
      <c r="CA2" s="307"/>
    </row>
    <row r="3" spans="1:85" ht="36" x14ac:dyDescent="0.2">
      <c r="B3" s="95">
        <f>"Pega en la FILA "&amp;(COUNT($A$6:$A$1005)+6)</f>
      </c>
      <c r="G3" s="75">
        <f>"Contratos: "&amp;COUNT($A$6:$A$1005)&amp;"   |   Cobrado: "&amp;TEXT(SUM($BT$6:$BT$1005),"#,##0.00")&amp;"   |   Utilidad: "&amp;TEXT(SUM($BW$6:$BW$1005),"#,##0.00")&amp;"   |   Debes a dueños: "&amp;TEXT(SUMIFS($BV$6:$BV$1005,$BE$6:$BE$1005,"SUBARRENDADO",$BX$6:$BX$1005,"&lt;&gt;SI"),"#,##0.00")</f>
      </c>
      <c r="BH3" s="308">
        <f>IF($A$5="","",IF(COUNTIF($A$6:$A$1005,$A$5)&gt;0,"El contrato "&amp;$A$5&amp;" ya esta archivado.",""))</f>
      </c>
      <c r="BI3" s="307"/>
      <c r="BJ3" s="307"/>
      <c r="BK3" s="307"/>
      <c r="BL3" s="307"/>
      <c r="BM3" s="307"/>
      <c r="BN3" s="307"/>
      <c r="BO3" s="307"/>
      <c r="BP3" s="307"/>
      <c r="BQ3" s="307"/>
      <c r="BR3" s="307"/>
      <c r="BS3" s="307"/>
      <c r="BT3" s="307"/>
      <c r="BU3" s="307"/>
      <c r="BV3" s="307"/>
      <c r="BW3" s="307"/>
      <c r="BX3" s="307"/>
      <c r="BY3" s="307"/>
      <c r="BZ3" s="307"/>
      <c r="CA3" s="307"/>
    </row>
    <row r="4" spans="1:85" ht="41.5" customHeight="1" x14ac:dyDescent="0.2">
      <c r="A4" s="98" t="s">
        <v>126</v>
      </c>
      <c r="B4" s="98" t="s">
        <v>144</v>
      </c>
      <c r="C4" s="98" t="s">
        <v>129</v>
      </c>
      <c r="D4" s="98" t="s">
        <v>145</v>
      </c>
      <c r="E4" s="98" t="s">
        <v>130</v>
      </c>
      <c r="F4" s="98" t="s">
        <v>127</v>
      </c>
      <c r="G4" s="98" t="s">
        <v>52</v>
      </c>
      <c r="H4" s="98" t="s">
        <v>131</v>
      </c>
      <c r="I4" s="98" t="s">
        <v>132</v>
      </c>
      <c r="J4" s="98" t="s">
        <v>133</v>
      </c>
      <c r="K4" s="98" t="s">
        <v>134</v>
      </c>
      <c r="L4" s="98" t="s">
        <v>9</v>
      </c>
      <c r="M4" s="98" t="s">
        <v>80</v>
      </c>
      <c r="N4" s="98" t="s">
        <v>238</v>
      </c>
      <c r="O4" s="98" t="s">
        <v>239</v>
      </c>
      <c r="P4" s="98" t="s">
        <v>240</v>
      </c>
      <c r="Q4" s="98" t="s">
        <v>241</v>
      </c>
      <c r="R4" s="98" t="s">
        <v>60</v>
      </c>
      <c r="S4" s="98" t="s">
        <v>242</v>
      </c>
      <c r="T4" s="98" t="s">
        <v>243</v>
      </c>
      <c r="U4" s="98" t="s">
        <v>244</v>
      </c>
      <c r="V4" s="98" t="s">
        <v>245</v>
      </c>
      <c r="W4" s="98" t="s">
        <v>246</v>
      </c>
      <c r="X4" s="98" t="s">
        <v>49</v>
      </c>
      <c r="Y4" s="98" t="s">
        <v>247</v>
      </c>
      <c r="Z4" s="98" t="s">
        <v>248</v>
      </c>
      <c r="AA4" s="98" t="s">
        <v>249</v>
      </c>
      <c r="AB4" s="98" t="s">
        <v>250</v>
      </c>
      <c r="AC4" s="98" t="s">
        <v>251</v>
      </c>
      <c r="AD4" s="98" t="s">
        <v>252</v>
      </c>
      <c r="AE4" s="98" t="s">
        <v>253</v>
      </c>
      <c r="AF4" s="98" t="s">
        <v>254</v>
      </c>
      <c r="AG4" s="98" t="s">
        <v>255</v>
      </c>
      <c r="AH4" s="98" t="s">
        <v>256</v>
      </c>
      <c r="AI4" s="98" t="s">
        <v>23</v>
      </c>
      <c r="AJ4" s="98" t="s">
        <v>10</v>
      </c>
      <c r="AK4" s="98" t="s">
        <v>257</v>
      </c>
      <c r="AL4" s="98" t="s">
        <v>258</v>
      </c>
      <c r="AM4" s="98" t="s">
        <v>259</v>
      </c>
      <c r="AN4" s="98" t="s">
        <v>260</v>
      </c>
      <c r="AO4" s="98" t="s">
        <v>261</v>
      </c>
      <c r="AP4" s="98" t="s">
        <v>262</v>
      </c>
      <c r="AQ4" s="98" t="s">
        <v>263</v>
      </c>
      <c r="AR4" s="98" t="s">
        <v>264</v>
      </c>
      <c r="AS4" s="98" t="s">
        <v>265</v>
      </c>
      <c r="AT4" s="98" t="s">
        <v>1</v>
      </c>
      <c r="AU4" s="98" t="s">
        <v>266</v>
      </c>
      <c r="AV4" s="98" t="s">
        <v>267</v>
      </c>
      <c r="AW4" s="98" t="s">
        <v>268</v>
      </c>
      <c r="AX4" s="98" t="s">
        <v>280</v>
      </c>
      <c r="AY4" s="98" t="s">
        <v>281</v>
      </c>
      <c r="AZ4" s="98" t="s">
        <v>282</v>
      </c>
      <c r="BA4" s="98" t="s">
        <v>283</v>
      </c>
      <c r="BB4" s="98" t="s">
        <v>284</v>
      </c>
      <c r="BC4" s="98" t="s">
        <v>285</v>
      </c>
      <c r="BD4" s="98" t="s">
        <v>286</v>
      </c>
      <c r="BE4" s="99" t="s">
        <v>174</v>
      </c>
      <c r="BF4" s="99" t="s">
        <v>193</v>
      </c>
      <c r="BG4" s="100" t="s">
        <v>135</v>
      </c>
      <c r="BH4" s="100" t="s">
        <v>136</v>
      </c>
      <c r="BI4" s="99" t="s">
        <v>137</v>
      </c>
      <c r="BJ4" s="99" t="s">
        <v>194</v>
      </c>
      <c r="BK4" s="99" t="s">
        <v>195</v>
      </c>
      <c r="BL4" s="99" t="s">
        <v>269</v>
      </c>
      <c r="BM4" s="100" t="s">
        <v>138</v>
      </c>
      <c r="BN4" s="99" t="s">
        <v>139</v>
      </c>
      <c r="BO4" s="100" t="s">
        <v>109</v>
      </c>
      <c r="BP4" s="99" t="s">
        <v>237</v>
      </c>
      <c r="BQ4" s="99" t="s">
        <v>196</v>
      </c>
      <c r="BR4" s="100" t="s">
        <v>197</v>
      </c>
      <c r="BS4" s="100" t="s">
        <v>198</v>
      </c>
      <c r="BT4" s="99" t="s">
        <v>140</v>
      </c>
      <c r="BU4" s="99" t="s">
        <v>202</v>
      </c>
      <c r="BV4" s="99" t="s">
        <v>175</v>
      </c>
      <c r="BW4" s="99" t="s">
        <v>176</v>
      </c>
      <c r="BX4" s="100" t="s">
        <v>287</v>
      </c>
      <c r="BY4" s="100" t="s">
        <v>288</v>
      </c>
      <c r="BZ4" s="100" t="s">
        <v>141</v>
      </c>
      <c r="CA4" s="100" t="s">
        <v>142</v>
      </c>
      <c r="CB4" s="101" t="s">
        <v>146</v>
      </c>
      <c r="CC4" s="101" t="s">
        <v>146</v>
      </c>
      <c r="CD4" s="101" t="s">
        <v>146</v>
      </c>
      <c r="CE4" s="101" t="s">
        <v>146</v>
      </c>
      <c r="CF4" s="101" t="s">
        <v>146</v>
      </c>
      <c r="CG4" s="101" t="s">
        <v>146</v>
      </c>
    </row>
    <row r="5" spans="1:85" ht="26" customHeight="1" x14ac:dyDescent="0.2">
      <c r="A5" s="91">
        <f>IF('INGRESO DE DATOS'!$F$1="","",'INGRESO DE DATOS'!$F$1)</f>
      </c>
      <c r="B5" s="91">
        <f>IF('INGRESO DE DATOS'!$C$3="","",'INGRESO DE DATOS'!$C$3)</f>
      </c>
      <c r="C5" s="90">
        <f>TRIM('INGRESO DE DATOS'!$F$3&amp;" "&amp;'INGRESO DE DATOS'!$G$3&amp;" "&amp;'INGRESO DE DATOS'!$F$4&amp;" "&amp;'INGRESO DE DATOS'!$G$4)</f>
      </c>
      <c r="D5" s="91">
        <f>IF('INGRESO DE DATOS'!$F$19="","",'INGRESO DE DATOS'!$F$19)</f>
      </c>
      <c r="E5" s="90">
        <f>TRIM('INGRESO DE DATOS'!$C$20&amp;"  "&amp;'INGRESO DE DATOS'!$C$21)</f>
      </c>
      <c r="F5" s="92">
        <f>IF('INGRESO DE DATOS'!$C$29="","",'INGRESO DE DATOS'!$C$29)</f>
      </c>
      <c r="G5" s="91">
        <f>IF('INGRESO DE DATOS'!$C$32="","",'INGRESO DE DATOS'!$C$32)</f>
      </c>
      <c r="H5" s="92">
        <f>IF('INGRESO DE DATOS'!$E$29="","",'INGRESO DE DATOS'!$E$29)</f>
      </c>
      <c r="I5" s="93">
        <f>IF('INGRESO DE DATOS'!$C$27="","",'INGRESO DE DATOS'!$C$27)</f>
      </c>
      <c r="J5" s="94">
        <f>IF('INGRESO DE DATOS'!$C$34="","",'INGRESO DE DATOS'!$C$34)</f>
      </c>
      <c r="K5" s="94">
        <f>IF(OR('INGRESO DE DATOS'!$C$34="",'INGRESO DE DATOS'!$C$32=""),"",'INGRESO DE DATOS'!$C$34*'INGRESO DE DATOS'!$C$32)</f>
      </c>
      <c r="L5" s="94">
        <f>IF('INGRESO DE DATOS'!$C$26="","",'INGRESO DE DATOS'!$C$26)</f>
      </c>
      <c r="M5" s="90">
        <f>IF(TRIM('INGRESO DE DATOS'!$C$6&amp;"")="","",'INGRESO DE DATOS'!$C$6)</f>
      </c>
      <c r="N5" s="90">
        <f>IF(TRIM('INGRESO DE DATOS'!$C$7&amp;"")="","",'INGRESO DE DATOS'!$C$7)</f>
      </c>
      <c r="O5" s="90">
        <f>IF(TRIM('INGRESO DE DATOS'!$C$8&amp;"")="","",'INGRESO DE DATOS'!$C$8)</f>
      </c>
      <c r="P5" s="94">
        <f>IF(TRIM('INGRESO DE DATOS'!$D$8&amp;"")="","",'INGRESO DE DATOS'!$D$8)</f>
      </c>
      <c r="Q5" s="90">
        <f>IF(TRIM('INGRESO DE DATOS'!$C$10&amp;"")="","",'INGRESO DE DATOS'!$C$10)</f>
      </c>
      <c r="R5" s="90">
        <f>IF(TRIM('INGRESO DE DATOS'!$C$11&amp;"")="","",'INGRESO DE DATOS'!$C$11)</f>
      </c>
      <c r="S5" s="90">
        <f>IF(TRIM('INGRESO DE DATOS'!$C$12&amp;"")="","",'INGRESO DE DATOS'!$C$12)</f>
      </c>
      <c r="T5" s="90">
        <f>IF(TRIM('INGRESO DE DATOS'!$C$13&amp;"")="","",'INGRESO DE DATOS'!$C$13)</f>
      </c>
      <c r="U5" s="94">
        <f>IF(TRIM('INGRESO DE DATOS'!$D$13&amp;"")="","",'INGRESO DE DATOS'!$D$13)</f>
      </c>
      <c r="V5" s="90">
        <f>IF(TRIM('INGRESO DE DATOS'!$C$15&amp;"")="","",'INGRESO DE DATOS'!$C$15)</f>
      </c>
      <c r="W5" s="90">
        <f>IF(TRIM('INGRESO DE DATOS'!$B$18&amp;"")="","",'INGRESO DE DATOS'!$B$18)</f>
      </c>
      <c r="X5" s="90">
        <f>IF(TRIM('INGRESO DE DATOS'!$D$18&amp;"")="","",'INGRESO DE DATOS'!$D$18)</f>
      </c>
      <c r="Y5" s="90">
        <f>IF(TRIM('INGRESO DE DATOS'!$F$22&amp;"")="","",'INGRESO DE DATOS'!$F$22)</f>
      </c>
      <c r="Z5" s="90">
        <f>IF(TRIM('INGRESO DE DATOS'!$F$23&amp;"")="","",'INGRESO DE DATOS'!$F$23)</f>
      </c>
      <c r="AA5" s="94">
        <f>IF(TRIM('INGRESO DE DATOS'!$C$24&amp;"")="","",'INGRESO DE DATOS'!$C$24)</f>
      </c>
      <c r="AB5" s="94">
        <f>IF(TRIM('INGRESO DE DATOS'!$C$25&amp;"")="","",'INGRESO DE DATOS'!$C$25)</f>
      </c>
      <c r="AC5" s="90">
        <f>IF(TRIM('INGRESO DE DATOS'!$C$28&amp;"")="","",'INGRESO DE DATOS'!$C$28)</f>
      </c>
      <c r="AD5" s="278">
        <f>IF(TRIM('INGRESO DE DATOS'!$C$30&amp;"")="","",'INGRESO DE DATOS'!$C$30)</f>
      </c>
      <c r="AE5" s="90">
        <f>IF(TRIM('INGRESO DE DATOS'!$C$31&amp;"")="","",'INGRESO DE DATOS'!$C$31)</f>
      </c>
      <c r="AF5" s="278">
        <f>IF(TRIM('INGRESO DE DATOS'!$E$30&amp;"")="","",'INGRESO DE DATOS'!$E$30)</f>
      </c>
      <c r="AG5" s="90">
        <f>IF(TRIM('INGRESO DE DATOS'!$E$31&amp;"")="","",'INGRESO DE DATOS'!$E$31)</f>
      </c>
      <c r="AH5" s="94">
        <f>IF(TRIM('INGRESO DE DATOS'!$C$33&amp;"")="","",'INGRESO DE DATOS'!$C$33)</f>
      </c>
      <c r="AI5" s="94">
        <f>IF(TRIM('INGRESO DE DATOS'!$C$35&amp;"")="","",'INGRESO DE DATOS'!$C$35)</f>
      </c>
      <c r="AJ5" s="94">
        <f>IF(TRIM('INGRESO DE DATOS'!$C$36&amp;"")="","",'INGRESO DE DATOS'!$C$36)</f>
      </c>
      <c r="AK5" s="94">
        <f>IF(TRIM('INGRESO DE DATOS'!$C$37&amp;"")="","",'INGRESO DE DATOS'!$C$37)</f>
      </c>
      <c r="AL5" s="90">
        <f>IF(TRIM('INGRESO DE DATOS'!$C$38&amp;"")="","",'INGRESO DE DATOS'!$C$38)</f>
      </c>
      <c r="AM5" s="94">
        <f>IF(TRIM('INGRESO DE DATOS'!$F$34&amp;"")="","",'INGRESO DE DATOS'!$F$34)</f>
      </c>
      <c r="AN5" s="90">
        <f>IF(TRIM('INGRESO DE DATOS'!$F$35&amp;"")="","",'INGRESO DE DATOS'!$F$35)</f>
      </c>
      <c r="AO5" s="94">
        <f>IF(TRIM('INGRESO DE DATOS'!$F$36&amp;"")="","",'INGRESO DE DATOS'!$F$36)</f>
      </c>
      <c r="AP5" s="94">
        <f>IF(TRIM('INGRESO DE DATOS'!$F$37&amp;"")="","",'INGRESO DE DATOS'!$F$37)</f>
      </c>
      <c r="AQ5" s="90">
        <f>IF(TRIM('INGRESO DE DATOS'!$F$38&amp;"")="","",'INGRESO DE DATOS'!$F$38)</f>
      </c>
      <c r="AR5" s="94">
        <f>IF(TRIM('INGRESO DE DATOS'!$F$39&amp;"")="","",'INGRESO DE DATOS'!$F$39)</f>
      </c>
      <c r="AS5" s="94">
        <f>IF(TRIM('INGRESO DE DATOS'!$F$40&amp;"")="","",'INGRESO DE DATOS'!$F$40)</f>
      </c>
      <c r="AT5" s="90">
        <f>IF(TRIM('INGRESO DE DATOS'!$C$41&amp;"")="","",'INGRESO DE DATOS'!$C$41)</f>
      </c>
      <c r="AU5" s="90">
        <f>IF(TRIM('INGRESO DE DATOS'!$C$42&amp;"")="","",'INGRESO DE DATOS'!$C$42)</f>
      </c>
      <c r="AV5" s="90">
        <f>IF(TRIM('INGRESO DE DATOS'!$C$43&amp;"")="","",'INGRESO DE DATOS'!$C$43)</f>
      </c>
      <c r="AW5" s="90">
        <f>IF(TRIM('INGRESO DE DATOS'!$C$50&amp;"")="","",'INGRESO DE DATOS'!$C$50)</f>
      </c>
      <c r="AX5" s="90">
        <f>IF(TRIM('INGRESO DE DATOS'!$C$45&amp;"")="","",'INGRESO DE DATOS'!$C$45)</f>
      </c>
      <c r="AY5" s="90">
        <f>IF(TRIM('INGRESO DE DATOS'!$C$46&amp;"")="","",'INGRESO DE DATOS'!$C$46)</f>
      </c>
      <c r="AZ5" s="90">
        <f>IF(TRIM('INGRESO DE DATOS'!$C$47&amp;"")="","",'INGRESO DE DATOS'!$C$47)</f>
      </c>
      <c r="BA5" s="90">
        <f>IF(TRIM('INGRESO DE DATOS'!$F$47&amp;"")="","",'INGRESO DE DATOS'!$F$47)</f>
      </c>
      <c r="BB5" s="90">
        <f>IF(TRIM('INGRESO DE DATOS'!$C$48&amp;"")="","",'INGRESO DE DATOS'!$C$48)</f>
      </c>
      <c r="BC5" s="90">
        <f>IF(TRIM('INGRESO DE DATOS'!$F$45&amp;"")="","",'INGRESO DE DATOS'!$F$45)</f>
      </c>
      <c r="BD5" s="94">
        <f>IF(TRIM('INGRESO DE DATOS'!$F$46&amp;"")="","",'INGRESO DE DATOS'!$F$46)</f>
      </c>
      <c r="BE5" s="102"/>
      <c r="BF5" s="102"/>
      <c r="BG5" s="102"/>
      <c r="BH5" s="102"/>
      <c r="BI5" s="102"/>
      <c r="BJ5" s="102"/>
      <c r="BK5" s="102"/>
      <c r="BL5" s="102"/>
      <c r="BM5" s="102"/>
      <c r="BN5" s="102"/>
      <c r="BO5" s="102"/>
      <c r="BP5" s="102"/>
      <c r="BQ5" s="102"/>
      <c r="BR5" s="102"/>
      <c r="BS5" s="102"/>
      <c r="BT5" s="102"/>
      <c r="BU5" s="102"/>
      <c r="BV5" s="102"/>
      <c r="BW5" s="102"/>
      <c r="BX5" s="102"/>
      <c r="BY5" s="102"/>
      <c r="BZ5" s="102"/>
      <c r="CA5" s="102"/>
      <c r="CB5" s="103"/>
      <c r="CC5" s="103">
        <v>0</v>
      </c>
      <c r="CD5" s="103"/>
      <c r="CE5" s="103">
        <v>0</v>
      </c>
      <c r="CF5" s="103"/>
      <c r="CG5" s="103">
        <v>0</v>
      </c>
    </row>
    <row r="6" spans="1:85" ht="19.5" customHeight="1" x14ac:dyDescent="0.2">
      <c r="A6" s="104"/>
      <c r="B6" s="104"/>
      <c r="C6" s="105"/>
      <c r="D6" s="104"/>
      <c r="E6" s="105"/>
      <c r="F6" s="106"/>
      <c r="G6" s="104"/>
      <c r="H6" s="106"/>
      <c r="I6" s="107"/>
      <c r="J6" s="108"/>
      <c r="K6" s="108"/>
      <c r="L6" s="108"/>
      <c r="M6" s="105"/>
      <c r="N6" s="105"/>
      <c r="O6" s="105"/>
      <c r="P6" s="108"/>
      <c r="Q6" s="105"/>
      <c r="R6" s="105"/>
      <c r="S6" s="105"/>
      <c r="T6" s="105"/>
      <c r="U6" s="108"/>
      <c r="V6" s="105"/>
      <c r="W6" s="105"/>
      <c r="X6" s="105"/>
      <c r="Y6" s="105"/>
      <c r="Z6" s="105"/>
      <c r="AA6" s="108"/>
      <c r="AB6" s="108"/>
      <c r="AC6" s="105"/>
      <c r="AD6" s="279"/>
      <c r="AE6" s="105"/>
      <c r="AF6" s="279"/>
      <c r="AG6" s="105"/>
      <c r="AH6" s="108"/>
      <c r="AI6" s="108"/>
      <c r="AJ6" s="108"/>
      <c r="AK6" s="108"/>
      <c r="AL6" s="105"/>
      <c r="AM6" s="108"/>
      <c r="AN6" s="105"/>
      <c r="AO6" s="108"/>
      <c r="AP6" s="108"/>
      <c r="AQ6" s="105"/>
      <c r="AR6" s="108"/>
      <c r="AS6" s="108"/>
      <c r="AT6" s="105"/>
      <c r="AU6" s="105"/>
      <c r="AV6" s="105"/>
      <c r="AW6" s="105"/>
      <c r="AX6" s="105"/>
      <c r="AY6" s="105"/>
      <c r="AZ6" s="105"/>
      <c r="BA6" s="105"/>
      <c r="BB6" s="105"/>
      <c r="BC6" s="105"/>
      <c r="BD6" s="108"/>
      <c r="BE6" s="83">
        <f>IF($A6="","",IF(TRIM($D6&amp;"")="",IF(TRIM($AX6&amp;$AY6&amp;$AZ6&amp;$BA6&amp;$BB6&amp;$BC6&amp;$BD6&amp;"")="","","SUBARRENDADO"),IFERROR(IF(VLOOKUP($D6,VEHICULOS!$A$3:$H$202,7,FALSE)="","",VLOOKUP($D6,VEHICULOS!$A$3:$H$202,7,FALSE)),"")))</f>
      </c>
      <c r="BF6" s="82">
        <f>IF($A6="","",IF(TRIM($BC6&amp;"")&lt;&gt;"",$BC6,IF(TRIM($D6&amp;"")="","",IFERROR(IF(VLOOKUP($D6,VEHICULOS!$A$3:$H$202,8,FALSE)="","",VLOOKUP($D6,VEHICULOS!$A$3:$H$202,8,FALSE)),""))))</f>
      </c>
      <c r="BG6" s="106"/>
      <c r="BH6" s="107"/>
      <c r="BI6" s="86">
        <f t="shared" ref="BI6:BI69" si="0">IF(OR($BH6="",$I6=""),"",$BH6-$I6)</f>
      </c>
      <c r="BJ6" s="83">
        <f t="shared" ref="BJ6:BJ69" si="1">IF(OR($BG6="",$H6=""),"",MAX(0,$BG6-$H6))</f>
      </c>
      <c r="BK6" s="85">
        <f t="shared" ref="BK6:BK69" si="2">IF($A6="","",N($BJ6)*N($J6))</f>
      </c>
      <c r="BL6" s="85">
        <f t="shared" ref="BL6:BL69" si="3">IF($A6="","",(N($AM6)+N($AS6))*(N($G6)+N($BJ6))+N($AP6))</f>
      </c>
      <c r="BM6" s="108"/>
      <c r="BN6" s="85">
        <f t="shared" ref="BN6:BN69" si="4">IF($A6="","",N($AO6))</f>
      </c>
      <c r="BO6" s="108"/>
      <c r="BP6" s="85">
        <f t="shared" ref="BP6:BP69" si="5">IF($A6="","",N($AR6))</f>
      </c>
      <c r="BQ6" s="85">
        <f t="shared" ref="BQ6:BQ69" si="6">IF($A6="","",N($K6)+N($BK6)+N($BL6)+N($BM6)+N($BN6)+N($BO6)+N($BP6))</f>
      </c>
      <c r="BR6" s="108"/>
      <c r="BS6" s="104"/>
      <c r="BT6" s="87">
        <f t="shared" ref="BT6:BT69" si="7">IF($A6="","",ROUND((N($BQ6)-N($BR6))*(1+N($BS6)/100),2))</f>
      </c>
      <c r="BU6" s="85">
        <f t="shared" ref="BU6:BU69" si="8">IF($A6="","",N($BD6))</f>
      </c>
      <c r="BV6" s="85">
        <f t="shared" ref="BV6:BV69" si="9">IF($A6="","",N($BU6)*(N($G6)+N($BJ6)))</f>
      </c>
      <c r="BW6" s="87">
        <f t="shared" ref="BW6:BW69" si="10">IF($A6="","",N($BT6)-N($BV6))</f>
      </c>
      <c r="BX6" s="104"/>
      <c r="BY6" s="106"/>
      <c r="BZ6" s="104"/>
      <c r="CA6" s="105"/>
      <c r="CB6" s="77">
        <f>IF($A6="",0,IF($B6='FICHA CLIENTE'!$C$4,1,0))</f>
      </c>
      <c r="CC6" s="77">
        <f t="shared" ref="CC6:CC69" si="11">$CC5+$CB6</f>
      </c>
      <c r="CD6" s="77">
        <f>IF($A6="",0,IF($D6='FICHA VEHICULO'!$C$4,1,0))</f>
      </c>
      <c r="CE6" s="77">
        <f t="shared" ref="CE6:CE69" si="12">$CE5+$CD6</f>
      </c>
      <c r="CF6" s="77">
        <f t="shared" ref="CF6:CF69" si="13">IF($A6="",0,IF($BG6="",1,0))</f>
      </c>
      <c r="CG6" s="77">
        <f t="shared" ref="CG6:CG69" si="14">$CG5+$CF6</f>
      </c>
    </row>
    <row r="7" spans="1:85" ht="19.5" customHeight="1" x14ac:dyDescent="0.2">
      <c r="A7" s="104"/>
      <c r="B7" s="104"/>
      <c r="C7" s="105"/>
      <c r="D7" s="104"/>
      <c r="E7" s="105"/>
      <c r="F7" s="106"/>
      <c r="G7" s="104"/>
      <c r="H7" s="106"/>
      <c r="I7" s="107"/>
      <c r="J7" s="108"/>
      <c r="K7" s="108"/>
      <c r="L7" s="108"/>
      <c r="M7" s="105"/>
      <c r="N7" s="105"/>
      <c r="O7" s="105"/>
      <c r="P7" s="108"/>
      <c r="Q7" s="105"/>
      <c r="R7" s="105"/>
      <c r="S7" s="105"/>
      <c r="T7" s="105"/>
      <c r="U7" s="108"/>
      <c r="V7" s="105"/>
      <c r="W7" s="105"/>
      <c r="X7" s="105"/>
      <c r="Y7" s="105"/>
      <c r="Z7" s="105"/>
      <c r="AA7" s="108"/>
      <c r="AB7" s="108"/>
      <c r="AC7" s="105"/>
      <c r="AD7" s="279"/>
      <c r="AE7" s="105"/>
      <c r="AF7" s="279"/>
      <c r="AG7" s="105"/>
      <c r="AH7" s="108"/>
      <c r="AI7" s="108"/>
      <c r="AJ7" s="108"/>
      <c r="AK7" s="108"/>
      <c r="AL7" s="105"/>
      <c r="AM7" s="108"/>
      <c r="AN7" s="105"/>
      <c r="AO7" s="108"/>
      <c r="AP7" s="108"/>
      <c r="AQ7" s="105"/>
      <c r="AR7" s="108"/>
      <c r="AS7" s="108"/>
      <c r="AT7" s="105"/>
      <c r="AU7" s="105"/>
      <c r="AV7" s="105"/>
      <c r="AW7" s="105"/>
      <c r="AX7" s="105"/>
      <c r="AY7" s="105"/>
      <c r="AZ7" s="105"/>
      <c r="BA7" s="105"/>
      <c r="BB7" s="105"/>
      <c r="BC7" s="105"/>
      <c r="BD7" s="108"/>
      <c r="BE7" s="83">
        <f>IF($A7="","",IF(TRIM($D7&amp;"")="",IF(TRIM($AX7&amp;$AY7&amp;$AZ7&amp;$BA7&amp;$BB7&amp;$BC7&amp;$BD7&amp;"")="","","SUBARRENDADO"),IFERROR(IF(VLOOKUP($D7,VEHICULOS!$A$3:$H$202,7,FALSE)="","",VLOOKUP($D7,VEHICULOS!$A$3:$H$202,7,FALSE)),"")))</f>
      </c>
      <c r="BF7" s="82">
        <f>IF($A7="","",IF(TRIM($BC7&amp;"")&lt;&gt;"",$BC7,IF(TRIM($D7&amp;"")="","",IFERROR(IF(VLOOKUP($D7,VEHICULOS!$A$3:$H$202,8,FALSE)="","",VLOOKUP($D7,VEHICULOS!$A$3:$H$202,8,FALSE)),""))))</f>
      </c>
      <c r="BG7" s="106"/>
      <c r="BH7" s="107"/>
      <c r="BI7" s="86">
        <f t="shared" si="0"/>
      </c>
      <c r="BJ7" s="83">
        <f t="shared" si="1"/>
      </c>
      <c r="BK7" s="85">
        <f t="shared" si="2"/>
      </c>
      <c r="BL7" s="85">
        <f t="shared" si="3"/>
      </c>
      <c r="BM7" s="108"/>
      <c r="BN7" s="85">
        <f t="shared" si="4"/>
      </c>
      <c r="BO7" s="108"/>
      <c r="BP7" s="85">
        <f t="shared" si="5"/>
      </c>
      <c r="BQ7" s="85">
        <f t="shared" si="6"/>
      </c>
      <c r="BR7" s="108"/>
      <c r="BS7" s="104"/>
      <c r="BT7" s="87">
        <f t="shared" si="7"/>
      </c>
      <c r="BU7" s="85">
        <f t="shared" si="8"/>
      </c>
      <c r="BV7" s="85">
        <f t="shared" si="9"/>
      </c>
      <c r="BW7" s="87">
        <f t="shared" si="10"/>
      </c>
      <c r="BX7" s="104"/>
      <c r="BY7" s="106"/>
      <c r="BZ7" s="104"/>
      <c r="CA7" s="105"/>
      <c r="CB7" s="77">
        <f>IF($A7="",0,IF($B7='FICHA CLIENTE'!$C$4,1,0))</f>
      </c>
      <c r="CC7" s="77">
        <f t="shared" si="11"/>
      </c>
      <c r="CD7" s="77">
        <f>IF($A7="",0,IF($D7='FICHA VEHICULO'!$C$4,1,0))</f>
      </c>
      <c r="CE7" s="77">
        <f t="shared" si="12"/>
      </c>
      <c r="CF7" s="77">
        <f t="shared" si="13"/>
      </c>
      <c r="CG7" s="77">
        <f t="shared" si="14"/>
      </c>
    </row>
    <row r="8" spans="1:85" ht="19.5" customHeight="1" x14ac:dyDescent="0.2">
      <c r="A8" s="104"/>
      <c r="B8" s="104"/>
      <c r="C8" s="105"/>
      <c r="D8" s="104"/>
      <c r="E8" s="105"/>
      <c r="F8" s="106"/>
      <c r="G8" s="104"/>
      <c r="H8" s="106"/>
      <c r="I8" s="107"/>
      <c r="J8" s="108"/>
      <c r="K8" s="108"/>
      <c r="L8" s="108"/>
      <c r="M8" s="105"/>
      <c r="N8" s="105"/>
      <c r="O8" s="105"/>
      <c r="P8" s="108"/>
      <c r="Q8" s="105"/>
      <c r="R8" s="105"/>
      <c r="S8" s="105"/>
      <c r="T8" s="105"/>
      <c r="U8" s="108"/>
      <c r="V8" s="105"/>
      <c r="W8" s="105"/>
      <c r="X8" s="105"/>
      <c r="Y8" s="105"/>
      <c r="Z8" s="105"/>
      <c r="AA8" s="108"/>
      <c r="AB8" s="108"/>
      <c r="AC8" s="105"/>
      <c r="AD8" s="279"/>
      <c r="AE8" s="105"/>
      <c r="AF8" s="279"/>
      <c r="AG8" s="105"/>
      <c r="AH8" s="108"/>
      <c r="AI8" s="108"/>
      <c r="AJ8" s="108"/>
      <c r="AK8" s="108"/>
      <c r="AL8" s="105"/>
      <c r="AM8" s="108"/>
      <c r="AN8" s="105"/>
      <c r="AO8" s="108"/>
      <c r="AP8" s="108"/>
      <c r="AQ8" s="105"/>
      <c r="AR8" s="108"/>
      <c r="AS8" s="108"/>
      <c r="AT8" s="105"/>
      <c r="AU8" s="105"/>
      <c r="AV8" s="105"/>
      <c r="AW8" s="105"/>
      <c r="AX8" s="105"/>
      <c r="AY8" s="105"/>
      <c r="AZ8" s="105"/>
      <c r="BA8" s="105"/>
      <c r="BB8" s="105"/>
      <c r="BC8" s="105"/>
      <c r="BD8" s="108"/>
      <c r="BE8" s="83">
        <f>IF($A8="","",IF(TRIM($D8&amp;"")="",IF(TRIM($AX8&amp;$AY8&amp;$AZ8&amp;$BA8&amp;$BB8&amp;$BC8&amp;$BD8&amp;"")="","","SUBARRENDADO"),IFERROR(IF(VLOOKUP($D8,VEHICULOS!$A$3:$H$202,7,FALSE)="","",VLOOKUP($D8,VEHICULOS!$A$3:$H$202,7,FALSE)),"")))</f>
      </c>
      <c r="BF8" s="82">
        <f>IF($A8="","",IF(TRIM($BC8&amp;"")&lt;&gt;"",$BC8,IF(TRIM($D8&amp;"")="","",IFERROR(IF(VLOOKUP($D8,VEHICULOS!$A$3:$H$202,8,FALSE)="","",VLOOKUP($D8,VEHICULOS!$A$3:$H$202,8,FALSE)),""))))</f>
      </c>
      <c r="BG8" s="106"/>
      <c r="BH8" s="107"/>
      <c r="BI8" s="86">
        <f t="shared" si="0"/>
      </c>
      <c r="BJ8" s="83">
        <f t="shared" si="1"/>
      </c>
      <c r="BK8" s="85">
        <f t="shared" si="2"/>
      </c>
      <c r="BL8" s="85">
        <f t="shared" si="3"/>
      </c>
      <c r="BM8" s="108"/>
      <c r="BN8" s="85">
        <f t="shared" si="4"/>
      </c>
      <c r="BO8" s="108"/>
      <c r="BP8" s="85">
        <f t="shared" si="5"/>
      </c>
      <c r="BQ8" s="85">
        <f t="shared" si="6"/>
      </c>
      <c r="BR8" s="108"/>
      <c r="BS8" s="104"/>
      <c r="BT8" s="87">
        <f t="shared" si="7"/>
      </c>
      <c r="BU8" s="85">
        <f t="shared" si="8"/>
      </c>
      <c r="BV8" s="85">
        <f t="shared" si="9"/>
      </c>
      <c r="BW8" s="87">
        <f t="shared" si="10"/>
      </c>
      <c r="BX8" s="104"/>
      <c r="BY8" s="106"/>
      <c r="BZ8" s="104"/>
      <c r="CA8" s="105"/>
      <c r="CB8" s="77">
        <f>IF($A8="",0,IF($B8='FICHA CLIENTE'!$C$4,1,0))</f>
      </c>
      <c r="CC8" s="77">
        <f t="shared" si="11"/>
      </c>
      <c r="CD8" s="77">
        <f>IF($A8="",0,IF($D8='FICHA VEHICULO'!$C$4,1,0))</f>
      </c>
      <c r="CE8" s="77">
        <f t="shared" si="12"/>
      </c>
      <c r="CF8" s="77">
        <f t="shared" si="13"/>
      </c>
      <c r="CG8" s="77">
        <f t="shared" si="14"/>
      </c>
    </row>
    <row r="9" spans="1:85" ht="19.5" customHeight="1" x14ac:dyDescent="0.2">
      <c r="A9" s="104"/>
      <c r="B9" s="104"/>
      <c r="C9" s="105"/>
      <c r="D9" s="104"/>
      <c r="E9" s="105"/>
      <c r="F9" s="106"/>
      <c r="G9" s="104"/>
      <c r="H9" s="106"/>
      <c r="I9" s="107"/>
      <c r="J9" s="108"/>
      <c r="K9" s="108"/>
      <c r="L9" s="108"/>
      <c r="M9" s="105"/>
      <c r="N9" s="105"/>
      <c r="O9" s="105"/>
      <c r="P9" s="108"/>
      <c r="Q9" s="105"/>
      <c r="R9" s="105"/>
      <c r="S9" s="105"/>
      <c r="T9" s="105"/>
      <c r="U9" s="108"/>
      <c r="V9" s="105"/>
      <c r="W9" s="105"/>
      <c r="X9" s="105"/>
      <c r="Y9" s="105"/>
      <c r="Z9" s="105"/>
      <c r="AA9" s="108"/>
      <c r="AB9" s="108"/>
      <c r="AC9" s="105"/>
      <c r="AD9" s="279"/>
      <c r="AE9" s="105"/>
      <c r="AF9" s="279"/>
      <c r="AG9" s="105"/>
      <c r="AH9" s="108"/>
      <c r="AI9" s="108"/>
      <c r="AJ9" s="108"/>
      <c r="AK9" s="108"/>
      <c r="AL9" s="105"/>
      <c r="AM9" s="108"/>
      <c r="AN9" s="105"/>
      <c r="AO9" s="108"/>
      <c r="AP9" s="108"/>
      <c r="AQ9" s="105"/>
      <c r="AR9" s="108"/>
      <c r="AS9" s="108"/>
      <c r="AT9" s="105"/>
      <c r="AU9" s="105"/>
      <c r="AV9" s="105"/>
      <c r="AW9" s="105"/>
      <c r="AX9" s="105"/>
      <c r="AY9" s="105"/>
      <c r="AZ9" s="105"/>
      <c r="BA9" s="105"/>
      <c r="BB9" s="105"/>
      <c r="BC9" s="105"/>
      <c r="BD9" s="108"/>
      <c r="BE9" s="83">
        <f>IF($A9="","",IF(TRIM($D9&amp;"")="",IF(TRIM($AX9&amp;$AY9&amp;$AZ9&amp;$BA9&amp;$BB9&amp;$BC9&amp;$BD9&amp;"")="","","SUBARRENDADO"),IFERROR(IF(VLOOKUP($D9,VEHICULOS!$A$3:$H$202,7,FALSE)="","",VLOOKUP($D9,VEHICULOS!$A$3:$H$202,7,FALSE)),"")))</f>
      </c>
      <c r="BF9" s="82">
        <f>IF($A9="","",IF(TRIM($BC9&amp;"")&lt;&gt;"",$BC9,IF(TRIM($D9&amp;"")="","",IFERROR(IF(VLOOKUP($D9,VEHICULOS!$A$3:$H$202,8,FALSE)="","",VLOOKUP($D9,VEHICULOS!$A$3:$H$202,8,FALSE)),""))))</f>
      </c>
      <c r="BG9" s="106"/>
      <c r="BH9" s="107"/>
      <c r="BI9" s="86">
        <f t="shared" si="0"/>
      </c>
      <c r="BJ9" s="83">
        <f t="shared" si="1"/>
      </c>
      <c r="BK9" s="85">
        <f t="shared" si="2"/>
      </c>
      <c r="BL9" s="85">
        <f t="shared" si="3"/>
      </c>
      <c r="BM9" s="108"/>
      <c r="BN9" s="85">
        <f t="shared" si="4"/>
      </c>
      <c r="BO9" s="108"/>
      <c r="BP9" s="85">
        <f t="shared" si="5"/>
      </c>
      <c r="BQ9" s="85">
        <f t="shared" si="6"/>
      </c>
      <c r="BR9" s="108"/>
      <c r="BS9" s="104"/>
      <c r="BT9" s="87">
        <f t="shared" si="7"/>
      </c>
      <c r="BU9" s="85">
        <f t="shared" si="8"/>
      </c>
      <c r="BV9" s="85">
        <f t="shared" si="9"/>
      </c>
      <c r="BW9" s="87">
        <f t="shared" si="10"/>
      </c>
      <c r="BX9" s="104"/>
      <c r="BY9" s="106"/>
      <c r="BZ9" s="104"/>
      <c r="CA9" s="105"/>
      <c r="CB9" s="77">
        <f>IF($A9="",0,IF($B9='FICHA CLIENTE'!$C$4,1,0))</f>
      </c>
      <c r="CC9" s="77">
        <f t="shared" si="11"/>
      </c>
      <c r="CD9" s="77">
        <f>IF($A9="",0,IF($D9='FICHA VEHICULO'!$C$4,1,0))</f>
      </c>
      <c r="CE9" s="77">
        <f t="shared" si="12"/>
      </c>
      <c r="CF9" s="77">
        <f t="shared" si="13"/>
      </c>
      <c r="CG9" s="77">
        <f t="shared" si="14"/>
      </c>
    </row>
    <row r="10" spans="1:85" ht="19.5" customHeight="1" x14ac:dyDescent="0.2">
      <c r="A10" s="104"/>
      <c r="B10" s="104"/>
      <c r="C10" s="105"/>
      <c r="D10" s="104"/>
      <c r="E10" s="105"/>
      <c r="F10" s="106"/>
      <c r="G10" s="104"/>
      <c r="H10" s="106"/>
      <c r="I10" s="107"/>
      <c r="J10" s="108"/>
      <c r="K10" s="108"/>
      <c r="L10" s="108"/>
      <c r="M10" s="105"/>
      <c r="N10" s="105"/>
      <c r="O10" s="105"/>
      <c r="P10" s="108"/>
      <c r="Q10" s="105"/>
      <c r="R10" s="105"/>
      <c r="S10" s="105"/>
      <c r="T10" s="105"/>
      <c r="U10" s="108"/>
      <c r="V10" s="105"/>
      <c r="W10" s="105"/>
      <c r="X10" s="105"/>
      <c r="Y10" s="105"/>
      <c r="Z10" s="105"/>
      <c r="AA10" s="108"/>
      <c r="AB10" s="108"/>
      <c r="AC10" s="105"/>
      <c r="AD10" s="279"/>
      <c r="AE10" s="105"/>
      <c r="AF10" s="279"/>
      <c r="AG10" s="105"/>
      <c r="AH10" s="108"/>
      <c r="AI10" s="108"/>
      <c r="AJ10" s="108"/>
      <c r="AK10" s="108"/>
      <c r="AL10" s="105"/>
      <c r="AM10" s="108"/>
      <c r="AN10" s="105"/>
      <c r="AO10" s="108"/>
      <c r="AP10" s="108"/>
      <c r="AQ10" s="105"/>
      <c r="AR10" s="108"/>
      <c r="AS10" s="108"/>
      <c r="AT10" s="105"/>
      <c r="AU10" s="105"/>
      <c r="AV10" s="105"/>
      <c r="AW10" s="105"/>
      <c r="AX10" s="105"/>
      <c r="AY10" s="105"/>
      <c r="AZ10" s="105"/>
      <c r="BA10" s="105"/>
      <c r="BB10" s="105"/>
      <c r="BC10" s="105"/>
      <c r="BD10" s="108"/>
      <c r="BE10" s="83">
        <f>IF($A10="","",IF(TRIM($D10&amp;"")="",IF(TRIM($AX10&amp;$AY10&amp;$AZ10&amp;$BA10&amp;$BB10&amp;$BC10&amp;$BD10&amp;"")="","","SUBARRENDADO"),IFERROR(IF(VLOOKUP($D10,VEHICULOS!$A$3:$H$202,7,FALSE)="","",VLOOKUP($D10,VEHICULOS!$A$3:$H$202,7,FALSE)),"")))</f>
      </c>
      <c r="BF10" s="82">
        <f>IF($A10="","",IF(TRIM($BC10&amp;"")&lt;&gt;"",$BC10,IF(TRIM($D10&amp;"")="","",IFERROR(IF(VLOOKUP($D10,VEHICULOS!$A$3:$H$202,8,FALSE)="","",VLOOKUP($D10,VEHICULOS!$A$3:$H$202,8,FALSE)),""))))</f>
      </c>
      <c r="BG10" s="106"/>
      <c r="BH10" s="107"/>
      <c r="BI10" s="86">
        <f t="shared" si="0"/>
      </c>
      <c r="BJ10" s="83">
        <f t="shared" si="1"/>
      </c>
      <c r="BK10" s="85">
        <f t="shared" si="2"/>
      </c>
      <c r="BL10" s="85">
        <f t="shared" si="3"/>
      </c>
      <c r="BM10" s="108"/>
      <c r="BN10" s="85">
        <f t="shared" si="4"/>
      </c>
      <c r="BO10" s="108"/>
      <c r="BP10" s="85">
        <f t="shared" si="5"/>
      </c>
      <c r="BQ10" s="85">
        <f t="shared" si="6"/>
      </c>
      <c r="BR10" s="108"/>
      <c r="BS10" s="104"/>
      <c r="BT10" s="87">
        <f t="shared" si="7"/>
      </c>
      <c r="BU10" s="85">
        <f t="shared" si="8"/>
      </c>
      <c r="BV10" s="85">
        <f t="shared" si="9"/>
      </c>
      <c r="BW10" s="87">
        <f t="shared" si="10"/>
      </c>
      <c r="BX10" s="104"/>
      <c r="BY10" s="106"/>
      <c r="BZ10" s="104"/>
      <c r="CA10" s="105"/>
      <c r="CB10" s="77">
        <f>IF($A10="",0,IF($B10='FICHA CLIENTE'!$C$4,1,0))</f>
      </c>
      <c r="CC10" s="77">
        <f t="shared" si="11"/>
      </c>
      <c r="CD10" s="77">
        <f>IF($A10="",0,IF($D10='FICHA VEHICULO'!$C$4,1,0))</f>
      </c>
      <c r="CE10" s="77">
        <f t="shared" si="12"/>
      </c>
      <c r="CF10" s="77">
        <f t="shared" si="13"/>
      </c>
      <c r="CG10" s="77">
        <f t="shared" si="14"/>
      </c>
    </row>
    <row r="11" spans="1:85" ht="19.5" customHeight="1" x14ac:dyDescent="0.2">
      <c r="A11" s="104"/>
      <c r="B11" s="104"/>
      <c r="C11" s="105"/>
      <c r="D11" s="104"/>
      <c r="E11" s="105"/>
      <c r="F11" s="106"/>
      <c r="G11" s="104"/>
      <c r="H11" s="106"/>
      <c r="I11" s="107"/>
      <c r="J11" s="108"/>
      <c r="K11" s="108"/>
      <c r="L11" s="108"/>
      <c r="M11" s="105"/>
      <c r="N11" s="105"/>
      <c r="O11" s="105"/>
      <c r="P11" s="108"/>
      <c r="Q11" s="105"/>
      <c r="R11" s="105"/>
      <c r="S11" s="105"/>
      <c r="T11" s="105"/>
      <c r="U11" s="108"/>
      <c r="V11" s="105"/>
      <c r="W11" s="105"/>
      <c r="X11" s="105"/>
      <c r="Y11" s="105"/>
      <c r="Z11" s="105"/>
      <c r="AA11" s="108"/>
      <c r="AB11" s="108"/>
      <c r="AC11" s="105"/>
      <c r="AD11" s="279"/>
      <c r="AE11" s="105"/>
      <c r="AF11" s="279"/>
      <c r="AG11" s="105"/>
      <c r="AH11" s="108"/>
      <c r="AI11" s="108"/>
      <c r="AJ11" s="108"/>
      <c r="AK11" s="108"/>
      <c r="AL11" s="105"/>
      <c r="AM11" s="108"/>
      <c r="AN11" s="105"/>
      <c r="AO11" s="108"/>
      <c r="AP11" s="108"/>
      <c r="AQ11" s="105"/>
      <c r="AR11" s="108"/>
      <c r="AS11" s="108"/>
      <c r="AT11" s="105"/>
      <c r="AU11" s="105"/>
      <c r="AV11" s="105"/>
      <c r="AW11" s="105"/>
      <c r="AX11" s="105"/>
      <c r="AY11" s="105"/>
      <c r="AZ11" s="105"/>
      <c r="BA11" s="105"/>
      <c r="BB11" s="105"/>
      <c r="BC11" s="105"/>
      <c r="BD11" s="108"/>
      <c r="BE11" s="83">
        <f>IF($A11="","",IF(TRIM($D11&amp;"")="",IF(TRIM($AX11&amp;$AY11&amp;$AZ11&amp;$BA11&amp;$BB11&amp;$BC11&amp;$BD11&amp;"")="","","SUBARRENDADO"),IFERROR(IF(VLOOKUP($D11,VEHICULOS!$A$3:$H$202,7,FALSE)="","",VLOOKUP($D11,VEHICULOS!$A$3:$H$202,7,FALSE)),"")))</f>
      </c>
      <c r="BF11" s="82">
        <f>IF($A11="","",IF(TRIM($BC11&amp;"")&lt;&gt;"",$BC11,IF(TRIM($D11&amp;"")="","",IFERROR(IF(VLOOKUP($D11,VEHICULOS!$A$3:$H$202,8,FALSE)="","",VLOOKUP($D11,VEHICULOS!$A$3:$H$202,8,FALSE)),""))))</f>
      </c>
      <c r="BG11" s="106"/>
      <c r="BH11" s="107"/>
      <c r="BI11" s="86">
        <f t="shared" si="0"/>
      </c>
      <c r="BJ11" s="83">
        <f t="shared" si="1"/>
      </c>
      <c r="BK11" s="85">
        <f t="shared" si="2"/>
      </c>
      <c r="BL11" s="85">
        <f t="shared" si="3"/>
      </c>
      <c r="BM11" s="108"/>
      <c r="BN11" s="85">
        <f t="shared" si="4"/>
      </c>
      <c r="BO11" s="108"/>
      <c r="BP11" s="85">
        <f t="shared" si="5"/>
      </c>
      <c r="BQ11" s="85">
        <f t="shared" si="6"/>
      </c>
      <c r="BR11" s="108"/>
      <c r="BS11" s="104"/>
      <c r="BT11" s="87">
        <f t="shared" si="7"/>
      </c>
      <c r="BU11" s="85">
        <f t="shared" si="8"/>
      </c>
      <c r="BV11" s="85">
        <f t="shared" si="9"/>
      </c>
      <c r="BW11" s="87">
        <f t="shared" si="10"/>
      </c>
      <c r="BX11" s="104"/>
      <c r="BY11" s="106"/>
      <c r="BZ11" s="104"/>
      <c r="CA11" s="105"/>
      <c r="CB11" s="77">
        <f>IF($A11="",0,IF($B11='FICHA CLIENTE'!$C$4,1,0))</f>
      </c>
      <c r="CC11" s="77">
        <f t="shared" si="11"/>
      </c>
      <c r="CD11" s="77">
        <f>IF($A11="",0,IF($D11='FICHA VEHICULO'!$C$4,1,0))</f>
      </c>
      <c r="CE11" s="77">
        <f t="shared" si="12"/>
      </c>
      <c r="CF11" s="77">
        <f t="shared" si="13"/>
      </c>
      <c r="CG11" s="77">
        <f t="shared" si="14"/>
      </c>
    </row>
    <row r="12" spans="1:85" ht="19.5" customHeight="1" x14ac:dyDescent="0.2">
      <c r="A12" s="104"/>
      <c r="B12" s="104"/>
      <c r="C12" s="105"/>
      <c r="D12" s="104"/>
      <c r="E12" s="105"/>
      <c r="F12" s="106"/>
      <c r="G12" s="104"/>
      <c r="H12" s="106"/>
      <c r="I12" s="107"/>
      <c r="J12" s="108"/>
      <c r="K12" s="108"/>
      <c r="L12" s="108"/>
      <c r="M12" s="105"/>
      <c r="N12" s="105"/>
      <c r="O12" s="105"/>
      <c r="P12" s="108"/>
      <c r="Q12" s="105"/>
      <c r="R12" s="105"/>
      <c r="S12" s="105"/>
      <c r="T12" s="105"/>
      <c r="U12" s="108"/>
      <c r="V12" s="105"/>
      <c r="W12" s="105"/>
      <c r="X12" s="105"/>
      <c r="Y12" s="105"/>
      <c r="Z12" s="105"/>
      <c r="AA12" s="108"/>
      <c r="AB12" s="108"/>
      <c r="AC12" s="105"/>
      <c r="AD12" s="279"/>
      <c r="AE12" s="105"/>
      <c r="AF12" s="279"/>
      <c r="AG12" s="105"/>
      <c r="AH12" s="108"/>
      <c r="AI12" s="108"/>
      <c r="AJ12" s="108"/>
      <c r="AK12" s="108"/>
      <c r="AL12" s="105"/>
      <c r="AM12" s="108"/>
      <c r="AN12" s="105"/>
      <c r="AO12" s="108"/>
      <c r="AP12" s="108"/>
      <c r="AQ12" s="105"/>
      <c r="AR12" s="108"/>
      <c r="AS12" s="108"/>
      <c r="AT12" s="105"/>
      <c r="AU12" s="105"/>
      <c r="AV12" s="105"/>
      <c r="AW12" s="105"/>
      <c r="AX12" s="105"/>
      <c r="AY12" s="105"/>
      <c r="AZ12" s="105"/>
      <c r="BA12" s="105"/>
      <c r="BB12" s="105"/>
      <c r="BC12" s="105"/>
      <c r="BD12" s="108"/>
      <c r="BE12" s="83">
        <f>IF($A12="","",IF(TRIM($D12&amp;"")="",IF(TRIM($AX12&amp;$AY12&amp;$AZ12&amp;$BA12&amp;$BB12&amp;$BC12&amp;$BD12&amp;"")="","","SUBARRENDADO"),IFERROR(IF(VLOOKUP($D12,VEHICULOS!$A$3:$H$202,7,FALSE)="","",VLOOKUP($D12,VEHICULOS!$A$3:$H$202,7,FALSE)),"")))</f>
      </c>
      <c r="BF12" s="82">
        <f>IF($A12="","",IF(TRIM($BC12&amp;"")&lt;&gt;"",$BC12,IF(TRIM($D12&amp;"")="","",IFERROR(IF(VLOOKUP($D12,VEHICULOS!$A$3:$H$202,8,FALSE)="","",VLOOKUP($D12,VEHICULOS!$A$3:$H$202,8,FALSE)),""))))</f>
      </c>
      <c r="BG12" s="106"/>
      <c r="BH12" s="107"/>
      <c r="BI12" s="86">
        <f t="shared" si="0"/>
      </c>
      <c r="BJ12" s="83">
        <f t="shared" si="1"/>
      </c>
      <c r="BK12" s="85">
        <f t="shared" si="2"/>
      </c>
      <c r="BL12" s="85">
        <f t="shared" si="3"/>
      </c>
      <c r="BM12" s="108"/>
      <c r="BN12" s="85">
        <f t="shared" si="4"/>
      </c>
      <c r="BO12" s="108"/>
      <c r="BP12" s="85">
        <f t="shared" si="5"/>
      </c>
      <c r="BQ12" s="85">
        <f t="shared" si="6"/>
      </c>
      <c r="BR12" s="108"/>
      <c r="BS12" s="104"/>
      <c r="BT12" s="87">
        <f t="shared" si="7"/>
      </c>
      <c r="BU12" s="85">
        <f t="shared" si="8"/>
      </c>
      <c r="BV12" s="85">
        <f t="shared" si="9"/>
      </c>
      <c r="BW12" s="87">
        <f t="shared" si="10"/>
      </c>
      <c r="BX12" s="104"/>
      <c r="BY12" s="106"/>
      <c r="BZ12" s="104"/>
      <c r="CA12" s="105"/>
      <c r="CB12" s="77">
        <f>IF($A12="",0,IF($B12='FICHA CLIENTE'!$C$4,1,0))</f>
      </c>
      <c r="CC12" s="77">
        <f t="shared" si="11"/>
      </c>
      <c r="CD12" s="77">
        <f>IF($A12="",0,IF($D12='FICHA VEHICULO'!$C$4,1,0))</f>
      </c>
      <c r="CE12" s="77">
        <f t="shared" si="12"/>
      </c>
      <c r="CF12" s="77">
        <f t="shared" si="13"/>
      </c>
      <c r="CG12" s="77">
        <f t="shared" si="14"/>
      </c>
    </row>
    <row r="13" spans="1:85" ht="19.5" customHeight="1" x14ac:dyDescent="0.2">
      <c r="A13" s="104"/>
      <c r="B13" s="104"/>
      <c r="C13" s="105"/>
      <c r="D13" s="104"/>
      <c r="E13" s="105"/>
      <c r="F13" s="106"/>
      <c r="G13" s="104"/>
      <c r="H13" s="106"/>
      <c r="I13" s="107"/>
      <c r="J13" s="108"/>
      <c r="K13" s="108"/>
      <c r="L13" s="108"/>
      <c r="M13" s="105"/>
      <c r="N13" s="105"/>
      <c r="O13" s="105"/>
      <c r="P13" s="108"/>
      <c r="Q13" s="105"/>
      <c r="R13" s="105"/>
      <c r="S13" s="105"/>
      <c r="T13" s="105"/>
      <c r="U13" s="108"/>
      <c r="V13" s="105"/>
      <c r="W13" s="105"/>
      <c r="X13" s="105"/>
      <c r="Y13" s="105"/>
      <c r="Z13" s="105"/>
      <c r="AA13" s="108"/>
      <c r="AB13" s="108"/>
      <c r="AC13" s="105"/>
      <c r="AD13" s="279"/>
      <c r="AE13" s="105"/>
      <c r="AF13" s="279"/>
      <c r="AG13" s="105"/>
      <c r="AH13" s="108"/>
      <c r="AI13" s="108"/>
      <c r="AJ13" s="108"/>
      <c r="AK13" s="108"/>
      <c r="AL13" s="105"/>
      <c r="AM13" s="108"/>
      <c r="AN13" s="105"/>
      <c r="AO13" s="108"/>
      <c r="AP13" s="108"/>
      <c r="AQ13" s="105"/>
      <c r="AR13" s="108"/>
      <c r="AS13" s="108"/>
      <c r="AT13" s="105"/>
      <c r="AU13" s="105"/>
      <c r="AV13" s="105"/>
      <c r="AW13" s="105"/>
      <c r="AX13" s="105"/>
      <c r="AY13" s="105"/>
      <c r="AZ13" s="105"/>
      <c r="BA13" s="105"/>
      <c r="BB13" s="105"/>
      <c r="BC13" s="105"/>
      <c r="BD13" s="108"/>
      <c r="BE13" s="83">
        <f>IF($A13="","",IF(TRIM($D13&amp;"")="",IF(TRIM($AX13&amp;$AY13&amp;$AZ13&amp;$BA13&amp;$BB13&amp;$BC13&amp;$BD13&amp;"")="","","SUBARRENDADO"),IFERROR(IF(VLOOKUP($D13,VEHICULOS!$A$3:$H$202,7,FALSE)="","",VLOOKUP($D13,VEHICULOS!$A$3:$H$202,7,FALSE)),"")))</f>
      </c>
      <c r="BF13" s="82">
        <f>IF($A13="","",IF(TRIM($BC13&amp;"")&lt;&gt;"",$BC13,IF(TRIM($D13&amp;"")="","",IFERROR(IF(VLOOKUP($D13,VEHICULOS!$A$3:$H$202,8,FALSE)="","",VLOOKUP($D13,VEHICULOS!$A$3:$H$202,8,FALSE)),""))))</f>
      </c>
      <c r="BG13" s="106"/>
      <c r="BH13" s="107"/>
      <c r="BI13" s="86">
        <f t="shared" si="0"/>
      </c>
      <c r="BJ13" s="83">
        <f t="shared" si="1"/>
      </c>
      <c r="BK13" s="85">
        <f t="shared" si="2"/>
      </c>
      <c r="BL13" s="85">
        <f t="shared" si="3"/>
      </c>
      <c r="BM13" s="108"/>
      <c r="BN13" s="85">
        <f t="shared" si="4"/>
      </c>
      <c r="BO13" s="108"/>
      <c r="BP13" s="85">
        <f t="shared" si="5"/>
      </c>
      <c r="BQ13" s="85">
        <f t="shared" si="6"/>
      </c>
      <c r="BR13" s="108"/>
      <c r="BS13" s="104"/>
      <c r="BT13" s="87">
        <f t="shared" si="7"/>
      </c>
      <c r="BU13" s="85">
        <f t="shared" si="8"/>
      </c>
      <c r="BV13" s="85">
        <f t="shared" si="9"/>
      </c>
      <c r="BW13" s="87">
        <f t="shared" si="10"/>
      </c>
      <c r="BX13" s="104"/>
      <c r="BY13" s="106"/>
      <c r="BZ13" s="104"/>
      <c r="CA13" s="105"/>
      <c r="CB13" s="77">
        <f>IF($A13="",0,IF($B13='FICHA CLIENTE'!$C$4,1,0))</f>
      </c>
      <c r="CC13" s="77">
        <f t="shared" si="11"/>
      </c>
      <c r="CD13" s="77">
        <f>IF($A13="",0,IF($D13='FICHA VEHICULO'!$C$4,1,0))</f>
      </c>
      <c r="CE13" s="77">
        <f t="shared" si="12"/>
      </c>
      <c r="CF13" s="77">
        <f t="shared" si="13"/>
      </c>
      <c r="CG13" s="77">
        <f t="shared" si="14"/>
      </c>
    </row>
    <row r="14" spans="1:85" ht="19.5" customHeight="1" x14ac:dyDescent="0.2">
      <c r="A14" s="104"/>
      <c r="B14" s="104"/>
      <c r="C14" s="105"/>
      <c r="D14" s="104"/>
      <c r="E14" s="105"/>
      <c r="F14" s="106"/>
      <c r="G14" s="104"/>
      <c r="H14" s="106"/>
      <c r="I14" s="107"/>
      <c r="J14" s="108"/>
      <c r="K14" s="108"/>
      <c r="L14" s="108"/>
      <c r="M14" s="105"/>
      <c r="N14" s="105"/>
      <c r="O14" s="105"/>
      <c r="P14" s="108"/>
      <c r="Q14" s="105"/>
      <c r="R14" s="105"/>
      <c r="S14" s="105"/>
      <c r="T14" s="105"/>
      <c r="U14" s="108"/>
      <c r="V14" s="105"/>
      <c r="W14" s="105"/>
      <c r="X14" s="105"/>
      <c r="Y14" s="105"/>
      <c r="Z14" s="105"/>
      <c r="AA14" s="108"/>
      <c r="AB14" s="108"/>
      <c r="AC14" s="105"/>
      <c r="AD14" s="279"/>
      <c r="AE14" s="105"/>
      <c r="AF14" s="279"/>
      <c r="AG14" s="105"/>
      <c r="AH14" s="108"/>
      <c r="AI14" s="108"/>
      <c r="AJ14" s="108"/>
      <c r="AK14" s="108"/>
      <c r="AL14" s="105"/>
      <c r="AM14" s="108"/>
      <c r="AN14" s="105"/>
      <c r="AO14" s="108"/>
      <c r="AP14" s="108"/>
      <c r="AQ14" s="105"/>
      <c r="AR14" s="108"/>
      <c r="AS14" s="108"/>
      <c r="AT14" s="105"/>
      <c r="AU14" s="105"/>
      <c r="AV14" s="105"/>
      <c r="AW14" s="105"/>
      <c r="AX14" s="105"/>
      <c r="AY14" s="105"/>
      <c r="AZ14" s="105"/>
      <c r="BA14" s="105"/>
      <c r="BB14" s="105"/>
      <c r="BC14" s="105"/>
      <c r="BD14" s="108"/>
      <c r="BE14" s="83">
        <f>IF($A14="","",IF(TRIM($D14&amp;"")="",IF(TRIM($AX14&amp;$AY14&amp;$AZ14&amp;$BA14&amp;$BB14&amp;$BC14&amp;$BD14&amp;"")="","","SUBARRENDADO"),IFERROR(IF(VLOOKUP($D14,VEHICULOS!$A$3:$H$202,7,FALSE)="","",VLOOKUP($D14,VEHICULOS!$A$3:$H$202,7,FALSE)),"")))</f>
      </c>
      <c r="BF14" s="82">
        <f>IF($A14="","",IF(TRIM($BC14&amp;"")&lt;&gt;"",$BC14,IF(TRIM($D14&amp;"")="","",IFERROR(IF(VLOOKUP($D14,VEHICULOS!$A$3:$H$202,8,FALSE)="","",VLOOKUP($D14,VEHICULOS!$A$3:$H$202,8,FALSE)),""))))</f>
      </c>
      <c r="BG14" s="106"/>
      <c r="BH14" s="107"/>
      <c r="BI14" s="86">
        <f t="shared" si="0"/>
      </c>
      <c r="BJ14" s="83">
        <f t="shared" si="1"/>
      </c>
      <c r="BK14" s="85">
        <f t="shared" si="2"/>
      </c>
      <c r="BL14" s="85">
        <f t="shared" si="3"/>
      </c>
      <c r="BM14" s="108"/>
      <c r="BN14" s="85">
        <f t="shared" si="4"/>
      </c>
      <c r="BO14" s="108"/>
      <c r="BP14" s="85">
        <f t="shared" si="5"/>
      </c>
      <c r="BQ14" s="85">
        <f t="shared" si="6"/>
      </c>
      <c r="BR14" s="108"/>
      <c r="BS14" s="104"/>
      <c r="BT14" s="87">
        <f t="shared" si="7"/>
      </c>
      <c r="BU14" s="85">
        <f t="shared" si="8"/>
      </c>
      <c r="BV14" s="85">
        <f t="shared" si="9"/>
      </c>
      <c r="BW14" s="87">
        <f t="shared" si="10"/>
      </c>
      <c r="BX14" s="104"/>
      <c r="BY14" s="106"/>
      <c r="BZ14" s="104"/>
      <c r="CA14" s="105"/>
      <c r="CB14" s="77">
        <f>IF($A14="",0,IF($B14='FICHA CLIENTE'!$C$4,1,0))</f>
      </c>
      <c r="CC14" s="77">
        <f t="shared" si="11"/>
      </c>
      <c r="CD14" s="77">
        <f>IF($A14="",0,IF($D14='FICHA VEHICULO'!$C$4,1,0))</f>
      </c>
      <c r="CE14" s="77">
        <f t="shared" si="12"/>
      </c>
      <c r="CF14" s="77">
        <f t="shared" si="13"/>
      </c>
      <c r="CG14" s="77">
        <f t="shared" si="14"/>
      </c>
    </row>
    <row r="15" spans="1:85" ht="19.5" customHeight="1" x14ac:dyDescent="0.2">
      <c r="A15" s="104"/>
      <c r="B15" s="104"/>
      <c r="C15" s="105"/>
      <c r="D15" s="104"/>
      <c r="E15" s="105"/>
      <c r="F15" s="106"/>
      <c r="G15" s="104"/>
      <c r="H15" s="106"/>
      <c r="I15" s="107"/>
      <c r="J15" s="108"/>
      <c r="K15" s="108"/>
      <c r="L15" s="108"/>
      <c r="M15" s="105"/>
      <c r="N15" s="105"/>
      <c r="O15" s="105"/>
      <c r="P15" s="108"/>
      <c r="Q15" s="105"/>
      <c r="R15" s="105"/>
      <c r="S15" s="105"/>
      <c r="T15" s="105"/>
      <c r="U15" s="108"/>
      <c r="V15" s="105"/>
      <c r="W15" s="105"/>
      <c r="X15" s="105"/>
      <c r="Y15" s="105"/>
      <c r="Z15" s="105"/>
      <c r="AA15" s="108"/>
      <c r="AB15" s="108"/>
      <c r="AC15" s="105"/>
      <c r="AD15" s="279"/>
      <c r="AE15" s="105"/>
      <c r="AF15" s="279"/>
      <c r="AG15" s="105"/>
      <c r="AH15" s="108"/>
      <c r="AI15" s="108"/>
      <c r="AJ15" s="108"/>
      <c r="AK15" s="108"/>
      <c r="AL15" s="105"/>
      <c r="AM15" s="108"/>
      <c r="AN15" s="105"/>
      <c r="AO15" s="108"/>
      <c r="AP15" s="108"/>
      <c r="AQ15" s="105"/>
      <c r="AR15" s="108"/>
      <c r="AS15" s="108"/>
      <c r="AT15" s="105"/>
      <c r="AU15" s="105"/>
      <c r="AV15" s="105"/>
      <c r="AW15" s="105"/>
      <c r="AX15" s="105"/>
      <c r="AY15" s="105"/>
      <c r="AZ15" s="105"/>
      <c r="BA15" s="105"/>
      <c r="BB15" s="105"/>
      <c r="BC15" s="105"/>
      <c r="BD15" s="108"/>
      <c r="BE15" s="83">
        <f>IF($A15="","",IF(TRIM($D15&amp;"")="",IF(TRIM($AX15&amp;$AY15&amp;$AZ15&amp;$BA15&amp;$BB15&amp;$BC15&amp;$BD15&amp;"")="","","SUBARRENDADO"),IFERROR(IF(VLOOKUP($D15,VEHICULOS!$A$3:$H$202,7,FALSE)="","",VLOOKUP($D15,VEHICULOS!$A$3:$H$202,7,FALSE)),"")))</f>
      </c>
      <c r="BF15" s="82">
        <f>IF($A15="","",IF(TRIM($BC15&amp;"")&lt;&gt;"",$BC15,IF(TRIM($D15&amp;"")="","",IFERROR(IF(VLOOKUP($D15,VEHICULOS!$A$3:$H$202,8,FALSE)="","",VLOOKUP($D15,VEHICULOS!$A$3:$H$202,8,FALSE)),""))))</f>
      </c>
      <c r="BG15" s="106"/>
      <c r="BH15" s="107"/>
      <c r="BI15" s="86">
        <f t="shared" si="0"/>
      </c>
      <c r="BJ15" s="83">
        <f t="shared" si="1"/>
      </c>
      <c r="BK15" s="85">
        <f t="shared" si="2"/>
      </c>
      <c r="BL15" s="85">
        <f t="shared" si="3"/>
      </c>
      <c r="BM15" s="108"/>
      <c r="BN15" s="85">
        <f t="shared" si="4"/>
      </c>
      <c r="BO15" s="108"/>
      <c r="BP15" s="85">
        <f t="shared" si="5"/>
      </c>
      <c r="BQ15" s="85">
        <f t="shared" si="6"/>
      </c>
      <c r="BR15" s="108"/>
      <c r="BS15" s="104"/>
      <c r="BT15" s="87">
        <f t="shared" si="7"/>
      </c>
      <c r="BU15" s="85">
        <f t="shared" si="8"/>
      </c>
      <c r="BV15" s="85">
        <f t="shared" si="9"/>
      </c>
      <c r="BW15" s="87">
        <f t="shared" si="10"/>
      </c>
      <c r="BX15" s="104"/>
      <c r="BY15" s="106"/>
      <c r="BZ15" s="104"/>
      <c r="CA15" s="105"/>
      <c r="CB15" s="77">
        <f>IF($A15="",0,IF($B15='FICHA CLIENTE'!$C$4,1,0))</f>
      </c>
      <c r="CC15" s="77">
        <f t="shared" si="11"/>
      </c>
      <c r="CD15" s="77">
        <f>IF($A15="",0,IF($D15='FICHA VEHICULO'!$C$4,1,0))</f>
      </c>
      <c r="CE15" s="77">
        <f t="shared" si="12"/>
      </c>
      <c r="CF15" s="77">
        <f t="shared" si="13"/>
      </c>
      <c r="CG15" s="77">
        <f t="shared" si="14"/>
      </c>
    </row>
    <row r="16" spans="1:85" ht="19.5" customHeight="1" x14ac:dyDescent="0.2">
      <c r="A16" s="104"/>
      <c r="B16" s="104"/>
      <c r="C16" s="105"/>
      <c r="D16" s="104"/>
      <c r="E16" s="105"/>
      <c r="F16" s="106"/>
      <c r="G16" s="104"/>
      <c r="H16" s="106"/>
      <c r="I16" s="107"/>
      <c r="J16" s="108"/>
      <c r="K16" s="108"/>
      <c r="L16" s="108"/>
      <c r="M16" s="105"/>
      <c r="N16" s="105"/>
      <c r="O16" s="105"/>
      <c r="P16" s="108"/>
      <c r="Q16" s="105"/>
      <c r="R16" s="105"/>
      <c r="S16" s="105"/>
      <c r="T16" s="105"/>
      <c r="U16" s="108"/>
      <c r="V16" s="105"/>
      <c r="W16" s="105"/>
      <c r="X16" s="105"/>
      <c r="Y16" s="105"/>
      <c r="Z16" s="105"/>
      <c r="AA16" s="108"/>
      <c r="AB16" s="108"/>
      <c r="AC16" s="105"/>
      <c r="AD16" s="279"/>
      <c r="AE16" s="105"/>
      <c r="AF16" s="279"/>
      <c r="AG16" s="105"/>
      <c r="AH16" s="108"/>
      <c r="AI16" s="108"/>
      <c r="AJ16" s="108"/>
      <c r="AK16" s="108"/>
      <c r="AL16" s="105"/>
      <c r="AM16" s="108"/>
      <c r="AN16" s="105"/>
      <c r="AO16" s="108"/>
      <c r="AP16" s="108"/>
      <c r="AQ16" s="105"/>
      <c r="AR16" s="108"/>
      <c r="AS16" s="108"/>
      <c r="AT16" s="105"/>
      <c r="AU16" s="105"/>
      <c r="AV16" s="105"/>
      <c r="AW16" s="105"/>
      <c r="AX16" s="105"/>
      <c r="AY16" s="105"/>
      <c r="AZ16" s="105"/>
      <c r="BA16" s="105"/>
      <c r="BB16" s="105"/>
      <c r="BC16" s="105"/>
      <c r="BD16" s="108"/>
      <c r="BE16" s="83">
        <f>IF($A16="","",IF(TRIM($D16&amp;"")="",IF(TRIM($AX16&amp;$AY16&amp;$AZ16&amp;$BA16&amp;$BB16&amp;$BC16&amp;$BD16&amp;"")="","","SUBARRENDADO"),IFERROR(IF(VLOOKUP($D16,VEHICULOS!$A$3:$H$202,7,FALSE)="","",VLOOKUP($D16,VEHICULOS!$A$3:$H$202,7,FALSE)),"")))</f>
      </c>
      <c r="BF16" s="82">
        <f>IF($A16="","",IF(TRIM($BC16&amp;"")&lt;&gt;"",$BC16,IF(TRIM($D16&amp;"")="","",IFERROR(IF(VLOOKUP($D16,VEHICULOS!$A$3:$H$202,8,FALSE)="","",VLOOKUP($D16,VEHICULOS!$A$3:$H$202,8,FALSE)),""))))</f>
      </c>
      <c r="BG16" s="106"/>
      <c r="BH16" s="107"/>
      <c r="BI16" s="86">
        <f t="shared" si="0"/>
      </c>
      <c r="BJ16" s="83">
        <f t="shared" si="1"/>
      </c>
      <c r="BK16" s="85">
        <f t="shared" si="2"/>
      </c>
      <c r="BL16" s="85">
        <f t="shared" si="3"/>
      </c>
      <c r="BM16" s="108"/>
      <c r="BN16" s="85">
        <f t="shared" si="4"/>
      </c>
      <c r="BO16" s="108"/>
      <c r="BP16" s="85">
        <f t="shared" si="5"/>
      </c>
      <c r="BQ16" s="85">
        <f t="shared" si="6"/>
      </c>
      <c r="BR16" s="108"/>
      <c r="BS16" s="104"/>
      <c r="BT16" s="87">
        <f t="shared" si="7"/>
      </c>
      <c r="BU16" s="85">
        <f t="shared" si="8"/>
      </c>
      <c r="BV16" s="85">
        <f t="shared" si="9"/>
      </c>
      <c r="BW16" s="87">
        <f t="shared" si="10"/>
      </c>
      <c r="BX16" s="104"/>
      <c r="BY16" s="106"/>
      <c r="BZ16" s="104"/>
      <c r="CA16" s="105"/>
      <c r="CB16" s="77">
        <f>IF($A16="",0,IF($B16='FICHA CLIENTE'!$C$4,1,0))</f>
      </c>
      <c r="CC16" s="77">
        <f t="shared" si="11"/>
      </c>
      <c r="CD16" s="77">
        <f>IF($A16="",0,IF($D16='FICHA VEHICULO'!$C$4,1,0))</f>
      </c>
      <c r="CE16" s="77">
        <f t="shared" si="12"/>
      </c>
      <c r="CF16" s="77">
        <f t="shared" si="13"/>
      </c>
      <c r="CG16" s="77">
        <f t="shared" si="14"/>
      </c>
    </row>
    <row r="17" spans="1:85" ht="19.5" customHeight="1" x14ac:dyDescent="0.2">
      <c r="A17" s="104"/>
      <c r="B17" s="104"/>
      <c r="C17" s="105"/>
      <c r="D17" s="104"/>
      <c r="E17" s="105"/>
      <c r="F17" s="106"/>
      <c r="G17" s="104"/>
      <c r="H17" s="106"/>
      <c r="I17" s="107"/>
      <c r="J17" s="108"/>
      <c r="K17" s="108"/>
      <c r="L17" s="108"/>
      <c r="M17" s="105"/>
      <c r="N17" s="105"/>
      <c r="O17" s="105"/>
      <c r="P17" s="108"/>
      <c r="Q17" s="105"/>
      <c r="R17" s="105"/>
      <c r="S17" s="105"/>
      <c r="T17" s="105"/>
      <c r="U17" s="108"/>
      <c r="V17" s="105"/>
      <c r="W17" s="105"/>
      <c r="X17" s="105"/>
      <c r="Y17" s="105"/>
      <c r="Z17" s="105"/>
      <c r="AA17" s="108"/>
      <c r="AB17" s="108"/>
      <c r="AC17" s="105"/>
      <c r="AD17" s="279"/>
      <c r="AE17" s="105"/>
      <c r="AF17" s="279"/>
      <c r="AG17" s="105"/>
      <c r="AH17" s="108"/>
      <c r="AI17" s="108"/>
      <c r="AJ17" s="108"/>
      <c r="AK17" s="108"/>
      <c r="AL17" s="105"/>
      <c r="AM17" s="108"/>
      <c r="AN17" s="105"/>
      <c r="AO17" s="108"/>
      <c r="AP17" s="108"/>
      <c r="AQ17" s="105"/>
      <c r="AR17" s="108"/>
      <c r="AS17" s="108"/>
      <c r="AT17" s="105"/>
      <c r="AU17" s="105"/>
      <c r="AV17" s="105"/>
      <c r="AW17" s="105"/>
      <c r="AX17" s="105"/>
      <c r="AY17" s="105"/>
      <c r="AZ17" s="105"/>
      <c r="BA17" s="105"/>
      <c r="BB17" s="105"/>
      <c r="BC17" s="105"/>
      <c r="BD17" s="108"/>
      <c r="BE17" s="83">
        <f>IF($A17="","",IF(TRIM($D17&amp;"")="",IF(TRIM($AX17&amp;$AY17&amp;$AZ17&amp;$BA17&amp;$BB17&amp;$BC17&amp;$BD17&amp;"")="","","SUBARRENDADO"),IFERROR(IF(VLOOKUP($D17,VEHICULOS!$A$3:$H$202,7,FALSE)="","",VLOOKUP($D17,VEHICULOS!$A$3:$H$202,7,FALSE)),"")))</f>
      </c>
      <c r="BF17" s="82">
        <f>IF($A17="","",IF(TRIM($BC17&amp;"")&lt;&gt;"",$BC17,IF(TRIM($D17&amp;"")="","",IFERROR(IF(VLOOKUP($D17,VEHICULOS!$A$3:$H$202,8,FALSE)="","",VLOOKUP($D17,VEHICULOS!$A$3:$H$202,8,FALSE)),""))))</f>
      </c>
      <c r="BG17" s="106"/>
      <c r="BH17" s="107"/>
      <c r="BI17" s="86">
        <f t="shared" si="0"/>
      </c>
      <c r="BJ17" s="83">
        <f t="shared" si="1"/>
      </c>
      <c r="BK17" s="85">
        <f t="shared" si="2"/>
      </c>
      <c r="BL17" s="85">
        <f t="shared" si="3"/>
      </c>
      <c r="BM17" s="108"/>
      <c r="BN17" s="85">
        <f t="shared" si="4"/>
      </c>
      <c r="BO17" s="108"/>
      <c r="BP17" s="85">
        <f t="shared" si="5"/>
      </c>
      <c r="BQ17" s="85">
        <f t="shared" si="6"/>
      </c>
      <c r="BR17" s="108"/>
      <c r="BS17" s="104"/>
      <c r="BT17" s="87">
        <f t="shared" si="7"/>
      </c>
      <c r="BU17" s="85">
        <f t="shared" si="8"/>
      </c>
      <c r="BV17" s="85">
        <f t="shared" si="9"/>
      </c>
      <c r="BW17" s="87">
        <f t="shared" si="10"/>
      </c>
      <c r="BX17" s="104"/>
      <c r="BY17" s="106"/>
      <c r="BZ17" s="104"/>
      <c r="CA17" s="105"/>
      <c r="CB17" s="77">
        <f>IF($A17="",0,IF($B17='FICHA CLIENTE'!$C$4,1,0))</f>
      </c>
      <c r="CC17" s="77">
        <f t="shared" si="11"/>
      </c>
      <c r="CD17" s="77">
        <f>IF($A17="",0,IF($D17='FICHA VEHICULO'!$C$4,1,0))</f>
      </c>
      <c r="CE17" s="77">
        <f t="shared" si="12"/>
      </c>
      <c r="CF17" s="77">
        <f t="shared" si="13"/>
      </c>
      <c r="CG17" s="77">
        <f t="shared" si="14"/>
      </c>
    </row>
    <row r="18" spans="1:85" ht="19.5" customHeight="1" x14ac:dyDescent="0.2">
      <c r="A18" s="104"/>
      <c r="B18" s="104"/>
      <c r="C18" s="105"/>
      <c r="D18" s="104"/>
      <c r="E18" s="105"/>
      <c r="F18" s="106"/>
      <c r="G18" s="104"/>
      <c r="H18" s="106"/>
      <c r="I18" s="107"/>
      <c r="J18" s="108"/>
      <c r="K18" s="108"/>
      <c r="L18" s="108"/>
      <c r="M18" s="105"/>
      <c r="N18" s="105"/>
      <c r="O18" s="105"/>
      <c r="P18" s="108"/>
      <c r="Q18" s="105"/>
      <c r="R18" s="105"/>
      <c r="S18" s="105"/>
      <c r="T18" s="105"/>
      <c r="U18" s="108"/>
      <c r="V18" s="105"/>
      <c r="W18" s="105"/>
      <c r="X18" s="105"/>
      <c r="Y18" s="105"/>
      <c r="Z18" s="105"/>
      <c r="AA18" s="108"/>
      <c r="AB18" s="108"/>
      <c r="AC18" s="105"/>
      <c r="AD18" s="279"/>
      <c r="AE18" s="105"/>
      <c r="AF18" s="279"/>
      <c r="AG18" s="105"/>
      <c r="AH18" s="108"/>
      <c r="AI18" s="108"/>
      <c r="AJ18" s="108"/>
      <c r="AK18" s="108"/>
      <c r="AL18" s="105"/>
      <c r="AM18" s="108"/>
      <c r="AN18" s="105"/>
      <c r="AO18" s="108"/>
      <c r="AP18" s="108"/>
      <c r="AQ18" s="105"/>
      <c r="AR18" s="108"/>
      <c r="AS18" s="108"/>
      <c r="AT18" s="105"/>
      <c r="AU18" s="105"/>
      <c r="AV18" s="105"/>
      <c r="AW18" s="105"/>
      <c r="AX18" s="105"/>
      <c r="AY18" s="105"/>
      <c r="AZ18" s="105"/>
      <c r="BA18" s="105"/>
      <c r="BB18" s="105"/>
      <c r="BC18" s="105"/>
      <c r="BD18" s="108"/>
      <c r="BE18" s="83">
        <f>IF($A18="","",IF(TRIM($D18&amp;"")="",IF(TRIM($AX18&amp;$AY18&amp;$AZ18&amp;$BA18&amp;$BB18&amp;$BC18&amp;$BD18&amp;"")="","","SUBARRENDADO"),IFERROR(IF(VLOOKUP($D18,VEHICULOS!$A$3:$H$202,7,FALSE)="","",VLOOKUP($D18,VEHICULOS!$A$3:$H$202,7,FALSE)),"")))</f>
      </c>
      <c r="BF18" s="82">
        <f>IF($A18="","",IF(TRIM($BC18&amp;"")&lt;&gt;"",$BC18,IF(TRIM($D18&amp;"")="","",IFERROR(IF(VLOOKUP($D18,VEHICULOS!$A$3:$H$202,8,FALSE)="","",VLOOKUP($D18,VEHICULOS!$A$3:$H$202,8,FALSE)),""))))</f>
      </c>
      <c r="BG18" s="106"/>
      <c r="BH18" s="107"/>
      <c r="BI18" s="86">
        <f t="shared" si="0"/>
      </c>
      <c r="BJ18" s="83">
        <f t="shared" si="1"/>
      </c>
      <c r="BK18" s="85">
        <f t="shared" si="2"/>
      </c>
      <c r="BL18" s="85">
        <f t="shared" si="3"/>
      </c>
      <c r="BM18" s="108"/>
      <c r="BN18" s="85">
        <f t="shared" si="4"/>
      </c>
      <c r="BO18" s="108"/>
      <c r="BP18" s="85">
        <f t="shared" si="5"/>
      </c>
      <c r="BQ18" s="85">
        <f t="shared" si="6"/>
      </c>
      <c r="BR18" s="108"/>
      <c r="BS18" s="104"/>
      <c r="BT18" s="87">
        <f t="shared" si="7"/>
      </c>
      <c r="BU18" s="85">
        <f t="shared" si="8"/>
      </c>
      <c r="BV18" s="85">
        <f t="shared" si="9"/>
      </c>
      <c r="BW18" s="87">
        <f t="shared" si="10"/>
      </c>
      <c r="BX18" s="104"/>
      <c r="BY18" s="106"/>
      <c r="BZ18" s="104"/>
      <c r="CA18" s="105"/>
      <c r="CB18" s="77">
        <f>IF($A18="",0,IF($B18='FICHA CLIENTE'!$C$4,1,0))</f>
      </c>
      <c r="CC18" s="77">
        <f t="shared" si="11"/>
      </c>
      <c r="CD18" s="77">
        <f>IF($A18="",0,IF($D18='FICHA VEHICULO'!$C$4,1,0))</f>
      </c>
      <c r="CE18" s="77">
        <f t="shared" si="12"/>
      </c>
      <c r="CF18" s="77">
        <f t="shared" si="13"/>
      </c>
      <c r="CG18" s="77">
        <f t="shared" si="14"/>
      </c>
    </row>
    <row r="19" spans="1:85" ht="19.5" customHeight="1" x14ac:dyDescent="0.2">
      <c r="A19" s="104"/>
      <c r="B19" s="104"/>
      <c r="C19" s="105"/>
      <c r="D19" s="104"/>
      <c r="E19" s="105"/>
      <c r="F19" s="106"/>
      <c r="G19" s="104"/>
      <c r="H19" s="106"/>
      <c r="I19" s="107"/>
      <c r="J19" s="108"/>
      <c r="K19" s="108"/>
      <c r="L19" s="108"/>
      <c r="M19" s="105"/>
      <c r="N19" s="105"/>
      <c r="O19" s="105"/>
      <c r="P19" s="108"/>
      <c r="Q19" s="105"/>
      <c r="R19" s="105"/>
      <c r="S19" s="105"/>
      <c r="T19" s="105"/>
      <c r="U19" s="108"/>
      <c r="V19" s="105"/>
      <c r="W19" s="105"/>
      <c r="X19" s="105"/>
      <c r="Y19" s="105"/>
      <c r="Z19" s="105"/>
      <c r="AA19" s="108"/>
      <c r="AB19" s="108"/>
      <c r="AC19" s="105"/>
      <c r="AD19" s="279"/>
      <c r="AE19" s="105"/>
      <c r="AF19" s="279"/>
      <c r="AG19" s="105"/>
      <c r="AH19" s="108"/>
      <c r="AI19" s="108"/>
      <c r="AJ19" s="108"/>
      <c r="AK19" s="108"/>
      <c r="AL19" s="105"/>
      <c r="AM19" s="108"/>
      <c r="AN19" s="105"/>
      <c r="AO19" s="108"/>
      <c r="AP19" s="108"/>
      <c r="AQ19" s="105"/>
      <c r="AR19" s="108"/>
      <c r="AS19" s="108"/>
      <c r="AT19" s="105"/>
      <c r="AU19" s="105"/>
      <c r="AV19" s="105"/>
      <c r="AW19" s="105"/>
      <c r="AX19" s="105"/>
      <c r="AY19" s="105"/>
      <c r="AZ19" s="105"/>
      <c r="BA19" s="105"/>
      <c r="BB19" s="105"/>
      <c r="BC19" s="105"/>
      <c r="BD19" s="108"/>
      <c r="BE19" s="83">
        <f>IF($A19="","",IF(TRIM($D19&amp;"")="",IF(TRIM($AX19&amp;$AY19&amp;$AZ19&amp;$BA19&amp;$BB19&amp;$BC19&amp;$BD19&amp;"")="","","SUBARRENDADO"),IFERROR(IF(VLOOKUP($D19,VEHICULOS!$A$3:$H$202,7,FALSE)="","",VLOOKUP($D19,VEHICULOS!$A$3:$H$202,7,FALSE)),"")))</f>
      </c>
      <c r="BF19" s="82">
        <f>IF($A19="","",IF(TRIM($BC19&amp;"")&lt;&gt;"",$BC19,IF(TRIM($D19&amp;"")="","",IFERROR(IF(VLOOKUP($D19,VEHICULOS!$A$3:$H$202,8,FALSE)="","",VLOOKUP($D19,VEHICULOS!$A$3:$H$202,8,FALSE)),""))))</f>
      </c>
      <c r="BG19" s="106"/>
      <c r="BH19" s="107"/>
      <c r="BI19" s="86">
        <f t="shared" si="0"/>
      </c>
      <c r="BJ19" s="83">
        <f t="shared" si="1"/>
      </c>
      <c r="BK19" s="85">
        <f t="shared" si="2"/>
      </c>
      <c r="BL19" s="85">
        <f t="shared" si="3"/>
      </c>
      <c r="BM19" s="108"/>
      <c r="BN19" s="85">
        <f t="shared" si="4"/>
      </c>
      <c r="BO19" s="108"/>
      <c r="BP19" s="85">
        <f t="shared" si="5"/>
      </c>
      <c r="BQ19" s="85">
        <f t="shared" si="6"/>
      </c>
      <c r="BR19" s="108"/>
      <c r="BS19" s="104"/>
      <c r="BT19" s="87">
        <f t="shared" si="7"/>
      </c>
      <c r="BU19" s="85">
        <f t="shared" si="8"/>
      </c>
      <c r="BV19" s="85">
        <f t="shared" si="9"/>
      </c>
      <c r="BW19" s="87">
        <f t="shared" si="10"/>
      </c>
      <c r="BX19" s="104"/>
      <c r="BY19" s="106"/>
      <c r="BZ19" s="104"/>
      <c r="CA19" s="105"/>
      <c r="CB19" s="77">
        <f>IF($A19="",0,IF($B19='FICHA CLIENTE'!$C$4,1,0))</f>
      </c>
      <c r="CC19" s="77">
        <f t="shared" si="11"/>
      </c>
      <c r="CD19" s="77">
        <f>IF($A19="",0,IF($D19='FICHA VEHICULO'!$C$4,1,0))</f>
      </c>
      <c r="CE19" s="77">
        <f t="shared" si="12"/>
      </c>
      <c r="CF19" s="77">
        <f t="shared" si="13"/>
      </c>
      <c r="CG19" s="77">
        <f t="shared" si="14"/>
      </c>
    </row>
    <row r="20" spans="1:85" ht="19.5" customHeight="1" x14ac:dyDescent="0.2">
      <c r="A20" s="104"/>
      <c r="B20" s="104"/>
      <c r="C20" s="105"/>
      <c r="D20" s="104"/>
      <c r="E20" s="105"/>
      <c r="F20" s="106"/>
      <c r="G20" s="104"/>
      <c r="H20" s="106"/>
      <c r="I20" s="107"/>
      <c r="J20" s="108"/>
      <c r="K20" s="108"/>
      <c r="L20" s="108"/>
      <c r="M20" s="105"/>
      <c r="N20" s="105"/>
      <c r="O20" s="105"/>
      <c r="P20" s="108"/>
      <c r="Q20" s="105"/>
      <c r="R20" s="105"/>
      <c r="S20" s="105"/>
      <c r="T20" s="105"/>
      <c r="U20" s="108"/>
      <c r="V20" s="105"/>
      <c r="W20" s="105"/>
      <c r="X20" s="105"/>
      <c r="Y20" s="105"/>
      <c r="Z20" s="105"/>
      <c r="AA20" s="108"/>
      <c r="AB20" s="108"/>
      <c r="AC20" s="105"/>
      <c r="AD20" s="279"/>
      <c r="AE20" s="105"/>
      <c r="AF20" s="279"/>
      <c r="AG20" s="105"/>
      <c r="AH20" s="108"/>
      <c r="AI20" s="108"/>
      <c r="AJ20" s="108"/>
      <c r="AK20" s="108"/>
      <c r="AL20" s="105"/>
      <c r="AM20" s="108"/>
      <c r="AN20" s="105"/>
      <c r="AO20" s="108"/>
      <c r="AP20" s="108"/>
      <c r="AQ20" s="105"/>
      <c r="AR20" s="108"/>
      <c r="AS20" s="108"/>
      <c r="AT20" s="105"/>
      <c r="AU20" s="105"/>
      <c r="AV20" s="105"/>
      <c r="AW20" s="105"/>
      <c r="AX20" s="105"/>
      <c r="AY20" s="105"/>
      <c r="AZ20" s="105"/>
      <c r="BA20" s="105"/>
      <c r="BB20" s="105"/>
      <c r="BC20" s="105"/>
      <c r="BD20" s="108"/>
      <c r="BE20" s="83">
        <f>IF($A20="","",IF(TRIM($D20&amp;"")="",IF(TRIM($AX20&amp;$AY20&amp;$AZ20&amp;$BA20&amp;$BB20&amp;$BC20&amp;$BD20&amp;"")="","","SUBARRENDADO"),IFERROR(IF(VLOOKUP($D20,VEHICULOS!$A$3:$H$202,7,FALSE)="","",VLOOKUP($D20,VEHICULOS!$A$3:$H$202,7,FALSE)),"")))</f>
      </c>
      <c r="BF20" s="82">
        <f>IF($A20="","",IF(TRIM($BC20&amp;"")&lt;&gt;"",$BC20,IF(TRIM($D20&amp;"")="","",IFERROR(IF(VLOOKUP($D20,VEHICULOS!$A$3:$H$202,8,FALSE)="","",VLOOKUP($D20,VEHICULOS!$A$3:$H$202,8,FALSE)),""))))</f>
      </c>
      <c r="BG20" s="106"/>
      <c r="BH20" s="107"/>
      <c r="BI20" s="86">
        <f t="shared" si="0"/>
      </c>
      <c r="BJ20" s="83">
        <f t="shared" si="1"/>
      </c>
      <c r="BK20" s="85">
        <f t="shared" si="2"/>
      </c>
      <c r="BL20" s="85">
        <f t="shared" si="3"/>
      </c>
      <c r="BM20" s="108"/>
      <c r="BN20" s="85">
        <f t="shared" si="4"/>
      </c>
      <c r="BO20" s="108"/>
      <c r="BP20" s="85">
        <f t="shared" si="5"/>
      </c>
      <c r="BQ20" s="85">
        <f t="shared" si="6"/>
      </c>
      <c r="BR20" s="108"/>
      <c r="BS20" s="104"/>
      <c r="BT20" s="87">
        <f t="shared" si="7"/>
      </c>
      <c r="BU20" s="85">
        <f t="shared" si="8"/>
      </c>
      <c r="BV20" s="85">
        <f t="shared" si="9"/>
      </c>
      <c r="BW20" s="87">
        <f t="shared" si="10"/>
      </c>
      <c r="BX20" s="104"/>
      <c r="BY20" s="106"/>
      <c r="BZ20" s="104"/>
      <c r="CA20" s="105"/>
      <c r="CB20" s="77">
        <f>IF($A20="",0,IF($B20='FICHA CLIENTE'!$C$4,1,0))</f>
      </c>
      <c r="CC20" s="77">
        <f t="shared" si="11"/>
      </c>
      <c r="CD20" s="77">
        <f>IF($A20="",0,IF($D20='FICHA VEHICULO'!$C$4,1,0))</f>
      </c>
      <c r="CE20" s="77">
        <f t="shared" si="12"/>
      </c>
      <c r="CF20" s="77">
        <f t="shared" si="13"/>
      </c>
      <c r="CG20" s="77">
        <f t="shared" si="14"/>
      </c>
    </row>
    <row r="21" spans="1:85" ht="19.5" customHeight="1" x14ac:dyDescent="0.2">
      <c r="A21" s="104"/>
      <c r="B21" s="104"/>
      <c r="C21" s="105"/>
      <c r="D21" s="104"/>
      <c r="E21" s="105"/>
      <c r="F21" s="106"/>
      <c r="G21" s="104"/>
      <c r="H21" s="106"/>
      <c r="I21" s="107"/>
      <c r="J21" s="108"/>
      <c r="K21" s="108"/>
      <c r="L21" s="108"/>
      <c r="M21" s="105"/>
      <c r="N21" s="105"/>
      <c r="O21" s="105"/>
      <c r="P21" s="108"/>
      <c r="Q21" s="105"/>
      <c r="R21" s="105"/>
      <c r="S21" s="105"/>
      <c r="T21" s="105"/>
      <c r="U21" s="108"/>
      <c r="V21" s="105"/>
      <c r="W21" s="105"/>
      <c r="X21" s="105"/>
      <c r="Y21" s="105"/>
      <c r="Z21" s="105"/>
      <c r="AA21" s="108"/>
      <c r="AB21" s="108"/>
      <c r="AC21" s="105"/>
      <c r="AD21" s="279"/>
      <c r="AE21" s="105"/>
      <c r="AF21" s="279"/>
      <c r="AG21" s="105"/>
      <c r="AH21" s="108"/>
      <c r="AI21" s="108"/>
      <c r="AJ21" s="108"/>
      <c r="AK21" s="108"/>
      <c r="AL21" s="105"/>
      <c r="AM21" s="108"/>
      <c r="AN21" s="105"/>
      <c r="AO21" s="108"/>
      <c r="AP21" s="108"/>
      <c r="AQ21" s="105"/>
      <c r="AR21" s="108"/>
      <c r="AS21" s="108"/>
      <c r="AT21" s="105"/>
      <c r="AU21" s="105"/>
      <c r="AV21" s="105"/>
      <c r="AW21" s="105"/>
      <c r="AX21" s="105"/>
      <c r="AY21" s="105"/>
      <c r="AZ21" s="105"/>
      <c r="BA21" s="105"/>
      <c r="BB21" s="105"/>
      <c r="BC21" s="105"/>
      <c r="BD21" s="108"/>
      <c r="BE21" s="83">
        <f>IF($A21="","",IF(TRIM($D21&amp;"")="",IF(TRIM($AX21&amp;$AY21&amp;$AZ21&amp;$BA21&amp;$BB21&amp;$BC21&amp;$BD21&amp;"")="","","SUBARRENDADO"),IFERROR(IF(VLOOKUP($D21,VEHICULOS!$A$3:$H$202,7,FALSE)="","",VLOOKUP($D21,VEHICULOS!$A$3:$H$202,7,FALSE)),"")))</f>
      </c>
      <c r="BF21" s="82">
        <f>IF($A21="","",IF(TRIM($BC21&amp;"")&lt;&gt;"",$BC21,IF(TRIM($D21&amp;"")="","",IFERROR(IF(VLOOKUP($D21,VEHICULOS!$A$3:$H$202,8,FALSE)="","",VLOOKUP($D21,VEHICULOS!$A$3:$H$202,8,FALSE)),""))))</f>
      </c>
      <c r="BG21" s="106"/>
      <c r="BH21" s="107"/>
      <c r="BI21" s="86">
        <f t="shared" si="0"/>
      </c>
      <c r="BJ21" s="83">
        <f t="shared" si="1"/>
      </c>
      <c r="BK21" s="85">
        <f t="shared" si="2"/>
      </c>
      <c r="BL21" s="85">
        <f t="shared" si="3"/>
      </c>
      <c r="BM21" s="108"/>
      <c r="BN21" s="85">
        <f t="shared" si="4"/>
      </c>
      <c r="BO21" s="108"/>
      <c r="BP21" s="85">
        <f t="shared" si="5"/>
      </c>
      <c r="BQ21" s="85">
        <f t="shared" si="6"/>
      </c>
      <c r="BR21" s="108"/>
      <c r="BS21" s="104"/>
      <c r="BT21" s="87">
        <f t="shared" si="7"/>
      </c>
      <c r="BU21" s="85">
        <f t="shared" si="8"/>
      </c>
      <c r="BV21" s="85">
        <f t="shared" si="9"/>
      </c>
      <c r="BW21" s="87">
        <f t="shared" si="10"/>
      </c>
      <c r="BX21" s="104"/>
      <c r="BY21" s="106"/>
      <c r="BZ21" s="104"/>
      <c r="CA21" s="105"/>
      <c r="CB21" s="77">
        <f>IF($A21="",0,IF($B21='FICHA CLIENTE'!$C$4,1,0))</f>
      </c>
      <c r="CC21" s="77">
        <f t="shared" si="11"/>
      </c>
      <c r="CD21" s="77">
        <f>IF($A21="",0,IF($D21='FICHA VEHICULO'!$C$4,1,0))</f>
      </c>
      <c r="CE21" s="77">
        <f t="shared" si="12"/>
      </c>
      <c r="CF21" s="77">
        <f t="shared" si="13"/>
      </c>
      <c r="CG21" s="77">
        <f t="shared" si="14"/>
      </c>
    </row>
    <row r="22" spans="1:85" ht="19.5" customHeight="1" x14ac:dyDescent="0.2">
      <c r="A22" s="104"/>
      <c r="B22" s="104"/>
      <c r="C22" s="105"/>
      <c r="D22" s="104"/>
      <c r="E22" s="105"/>
      <c r="F22" s="106"/>
      <c r="G22" s="104"/>
      <c r="H22" s="106"/>
      <c r="I22" s="107"/>
      <c r="J22" s="108"/>
      <c r="K22" s="108"/>
      <c r="L22" s="108"/>
      <c r="M22" s="105"/>
      <c r="N22" s="105"/>
      <c r="O22" s="105"/>
      <c r="P22" s="108"/>
      <c r="Q22" s="105"/>
      <c r="R22" s="105"/>
      <c r="S22" s="105"/>
      <c r="T22" s="105"/>
      <c r="U22" s="108"/>
      <c r="V22" s="105"/>
      <c r="W22" s="105"/>
      <c r="X22" s="105"/>
      <c r="Y22" s="105"/>
      <c r="Z22" s="105"/>
      <c r="AA22" s="108"/>
      <c r="AB22" s="108"/>
      <c r="AC22" s="105"/>
      <c r="AD22" s="279"/>
      <c r="AE22" s="105"/>
      <c r="AF22" s="279"/>
      <c r="AG22" s="105"/>
      <c r="AH22" s="108"/>
      <c r="AI22" s="108"/>
      <c r="AJ22" s="108"/>
      <c r="AK22" s="108"/>
      <c r="AL22" s="105"/>
      <c r="AM22" s="108"/>
      <c r="AN22" s="105"/>
      <c r="AO22" s="108"/>
      <c r="AP22" s="108"/>
      <c r="AQ22" s="105"/>
      <c r="AR22" s="108"/>
      <c r="AS22" s="108"/>
      <c r="AT22" s="105"/>
      <c r="AU22" s="105"/>
      <c r="AV22" s="105"/>
      <c r="AW22" s="105"/>
      <c r="AX22" s="105"/>
      <c r="AY22" s="105"/>
      <c r="AZ22" s="105"/>
      <c r="BA22" s="105"/>
      <c r="BB22" s="105"/>
      <c r="BC22" s="105"/>
      <c r="BD22" s="108"/>
      <c r="BE22" s="83">
        <f>IF($A22="","",IF(TRIM($D22&amp;"")="",IF(TRIM($AX22&amp;$AY22&amp;$AZ22&amp;$BA22&amp;$BB22&amp;$BC22&amp;$BD22&amp;"")="","","SUBARRENDADO"),IFERROR(IF(VLOOKUP($D22,VEHICULOS!$A$3:$H$202,7,FALSE)="","",VLOOKUP($D22,VEHICULOS!$A$3:$H$202,7,FALSE)),"")))</f>
      </c>
      <c r="BF22" s="82">
        <f>IF($A22="","",IF(TRIM($BC22&amp;"")&lt;&gt;"",$BC22,IF(TRIM($D22&amp;"")="","",IFERROR(IF(VLOOKUP($D22,VEHICULOS!$A$3:$H$202,8,FALSE)="","",VLOOKUP($D22,VEHICULOS!$A$3:$H$202,8,FALSE)),""))))</f>
      </c>
      <c r="BG22" s="106"/>
      <c r="BH22" s="107"/>
      <c r="BI22" s="86">
        <f t="shared" si="0"/>
      </c>
      <c r="BJ22" s="83">
        <f t="shared" si="1"/>
      </c>
      <c r="BK22" s="85">
        <f t="shared" si="2"/>
      </c>
      <c r="BL22" s="85">
        <f t="shared" si="3"/>
      </c>
      <c r="BM22" s="108"/>
      <c r="BN22" s="85">
        <f t="shared" si="4"/>
      </c>
      <c r="BO22" s="108"/>
      <c r="BP22" s="85">
        <f t="shared" si="5"/>
      </c>
      <c r="BQ22" s="85">
        <f t="shared" si="6"/>
      </c>
      <c r="BR22" s="108"/>
      <c r="BS22" s="104"/>
      <c r="BT22" s="87">
        <f t="shared" si="7"/>
      </c>
      <c r="BU22" s="85">
        <f t="shared" si="8"/>
      </c>
      <c r="BV22" s="85">
        <f t="shared" si="9"/>
      </c>
      <c r="BW22" s="87">
        <f t="shared" si="10"/>
      </c>
      <c r="BX22" s="104"/>
      <c r="BY22" s="106"/>
      <c r="BZ22" s="104"/>
      <c r="CA22" s="105"/>
      <c r="CB22" s="77">
        <f>IF($A22="",0,IF($B22='FICHA CLIENTE'!$C$4,1,0))</f>
      </c>
      <c r="CC22" s="77">
        <f t="shared" si="11"/>
      </c>
      <c r="CD22" s="77">
        <f>IF($A22="",0,IF($D22='FICHA VEHICULO'!$C$4,1,0))</f>
      </c>
      <c r="CE22" s="77">
        <f t="shared" si="12"/>
      </c>
      <c r="CF22" s="77">
        <f t="shared" si="13"/>
      </c>
      <c r="CG22" s="77">
        <f t="shared" si="14"/>
      </c>
    </row>
    <row r="23" spans="1:85" ht="19.5" customHeight="1" x14ac:dyDescent="0.2">
      <c r="A23" s="104"/>
      <c r="B23" s="104"/>
      <c r="C23" s="105"/>
      <c r="D23" s="104"/>
      <c r="E23" s="105"/>
      <c r="F23" s="106"/>
      <c r="G23" s="104"/>
      <c r="H23" s="106"/>
      <c r="I23" s="107"/>
      <c r="J23" s="108"/>
      <c r="K23" s="108"/>
      <c r="L23" s="108"/>
      <c r="M23" s="105"/>
      <c r="N23" s="105"/>
      <c r="O23" s="105"/>
      <c r="P23" s="108"/>
      <c r="Q23" s="105"/>
      <c r="R23" s="105"/>
      <c r="S23" s="105"/>
      <c r="T23" s="105"/>
      <c r="U23" s="108"/>
      <c r="V23" s="105"/>
      <c r="W23" s="105"/>
      <c r="X23" s="105"/>
      <c r="Y23" s="105"/>
      <c r="Z23" s="105"/>
      <c r="AA23" s="108"/>
      <c r="AB23" s="108"/>
      <c r="AC23" s="105"/>
      <c r="AD23" s="279"/>
      <c r="AE23" s="105"/>
      <c r="AF23" s="279"/>
      <c r="AG23" s="105"/>
      <c r="AH23" s="108"/>
      <c r="AI23" s="108"/>
      <c r="AJ23" s="108"/>
      <c r="AK23" s="108"/>
      <c r="AL23" s="105"/>
      <c r="AM23" s="108"/>
      <c r="AN23" s="105"/>
      <c r="AO23" s="108"/>
      <c r="AP23" s="108"/>
      <c r="AQ23" s="105"/>
      <c r="AR23" s="108"/>
      <c r="AS23" s="108"/>
      <c r="AT23" s="105"/>
      <c r="AU23" s="105"/>
      <c r="AV23" s="105"/>
      <c r="AW23" s="105"/>
      <c r="AX23" s="105"/>
      <c r="AY23" s="105"/>
      <c r="AZ23" s="105"/>
      <c r="BA23" s="105"/>
      <c r="BB23" s="105"/>
      <c r="BC23" s="105"/>
      <c r="BD23" s="108"/>
      <c r="BE23" s="83">
        <f>IF($A23="","",IF(TRIM($D23&amp;"")="",IF(TRIM($AX23&amp;$AY23&amp;$AZ23&amp;$BA23&amp;$BB23&amp;$BC23&amp;$BD23&amp;"")="","","SUBARRENDADO"),IFERROR(IF(VLOOKUP($D23,VEHICULOS!$A$3:$H$202,7,FALSE)="","",VLOOKUP($D23,VEHICULOS!$A$3:$H$202,7,FALSE)),"")))</f>
      </c>
      <c r="BF23" s="82">
        <f>IF($A23="","",IF(TRIM($BC23&amp;"")&lt;&gt;"",$BC23,IF(TRIM($D23&amp;"")="","",IFERROR(IF(VLOOKUP($D23,VEHICULOS!$A$3:$H$202,8,FALSE)="","",VLOOKUP($D23,VEHICULOS!$A$3:$H$202,8,FALSE)),""))))</f>
      </c>
      <c r="BG23" s="106"/>
      <c r="BH23" s="107"/>
      <c r="BI23" s="86">
        <f t="shared" si="0"/>
      </c>
      <c r="BJ23" s="83">
        <f t="shared" si="1"/>
      </c>
      <c r="BK23" s="85">
        <f t="shared" si="2"/>
      </c>
      <c r="BL23" s="85">
        <f t="shared" si="3"/>
      </c>
      <c r="BM23" s="108"/>
      <c r="BN23" s="85">
        <f t="shared" si="4"/>
      </c>
      <c r="BO23" s="108"/>
      <c r="BP23" s="85">
        <f t="shared" si="5"/>
      </c>
      <c r="BQ23" s="85">
        <f t="shared" si="6"/>
      </c>
      <c r="BR23" s="108"/>
      <c r="BS23" s="104"/>
      <c r="BT23" s="87">
        <f t="shared" si="7"/>
      </c>
      <c r="BU23" s="85">
        <f t="shared" si="8"/>
      </c>
      <c r="BV23" s="85">
        <f t="shared" si="9"/>
      </c>
      <c r="BW23" s="87">
        <f t="shared" si="10"/>
      </c>
      <c r="BX23" s="104"/>
      <c r="BY23" s="106"/>
      <c r="BZ23" s="104"/>
      <c r="CA23" s="105"/>
      <c r="CB23" s="77">
        <f>IF($A23="",0,IF($B23='FICHA CLIENTE'!$C$4,1,0))</f>
      </c>
      <c r="CC23" s="77">
        <f t="shared" si="11"/>
      </c>
      <c r="CD23" s="77">
        <f>IF($A23="",0,IF($D23='FICHA VEHICULO'!$C$4,1,0))</f>
      </c>
      <c r="CE23" s="77">
        <f t="shared" si="12"/>
      </c>
      <c r="CF23" s="77">
        <f t="shared" si="13"/>
      </c>
      <c r="CG23" s="77">
        <f t="shared" si="14"/>
      </c>
    </row>
    <row r="24" spans="1:85" ht="19.5" customHeight="1" x14ac:dyDescent="0.2">
      <c r="A24" s="104"/>
      <c r="B24" s="104"/>
      <c r="C24" s="105"/>
      <c r="D24" s="104"/>
      <c r="E24" s="105"/>
      <c r="F24" s="106"/>
      <c r="G24" s="104"/>
      <c r="H24" s="106"/>
      <c r="I24" s="107"/>
      <c r="J24" s="108"/>
      <c r="K24" s="108"/>
      <c r="L24" s="108"/>
      <c r="M24" s="105"/>
      <c r="N24" s="105"/>
      <c r="O24" s="105"/>
      <c r="P24" s="108"/>
      <c r="Q24" s="105"/>
      <c r="R24" s="105"/>
      <c r="S24" s="105"/>
      <c r="T24" s="105"/>
      <c r="U24" s="108"/>
      <c r="V24" s="105"/>
      <c r="W24" s="105"/>
      <c r="X24" s="105"/>
      <c r="Y24" s="105"/>
      <c r="Z24" s="105"/>
      <c r="AA24" s="108"/>
      <c r="AB24" s="108"/>
      <c r="AC24" s="105"/>
      <c r="AD24" s="279"/>
      <c r="AE24" s="105"/>
      <c r="AF24" s="279"/>
      <c r="AG24" s="105"/>
      <c r="AH24" s="108"/>
      <c r="AI24" s="108"/>
      <c r="AJ24" s="108"/>
      <c r="AK24" s="108"/>
      <c r="AL24" s="105"/>
      <c r="AM24" s="108"/>
      <c r="AN24" s="105"/>
      <c r="AO24" s="108"/>
      <c r="AP24" s="108"/>
      <c r="AQ24" s="105"/>
      <c r="AR24" s="108"/>
      <c r="AS24" s="108"/>
      <c r="AT24" s="105"/>
      <c r="AU24" s="105"/>
      <c r="AV24" s="105"/>
      <c r="AW24" s="105"/>
      <c r="AX24" s="105"/>
      <c r="AY24" s="105"/>
      <c r="AZ24" s="105"/>
      <c r="BA24" s="105"/>
      <c r="BB24" s="105"/>
      <c r="BC24" s="105"/>
      <c r="BD24" s="108"/>
      <c r="BE24" s="83">
        <f>IF($A24="","",IF(TRIM($D24&amp;"")="",IF(TRIM($AX24&amp;$AY24&amp;$AZ24&amp;$BA24&amp;$BB24&amp;$BC24&amp;$BD24&amp;"")="","","SUBARRENDADO"),IFERROR(IF(VLOOKUP($D24,VEHICULOS!$A$3:$H$202,7,FALSE)="","",VLOOKUP($D24,VEHICULOS!$A$3:$H$202,7,FALSE)),"")))</f>
      </c>
      <c r="BF24" s="82">
        <f>IF($A24="","",IF(TRIM($BC24&amp;"")&lt;&gt;"",$BC24,IF(TRIM($D24&amp;"")="","",IFERROR(IF(VLOOKUP($D24,VEHICULOS!$A$3:$H$202,8,FALSE)="","",VLOOKUP($D24,VEHICULOS!$A$3:$H$202,8,FALSE)),""))))</f>
      </c>
      <c r="BG24" s="106"/>
      <c r="BH24" s="107"/>
      <c r="BI24" s="86">
        <f t="shared" si="0"/>
      </c>
      <c r="BJ24" s="83">
        <f t="shared" si="1"/>
      </c>
      <c r="BK24" s="85">
        <f t="shared" si="2"/>
      </c>
      <c r="BL24" s="85">
        <f t="shared" si="3"/>
      </c>
      <c r="BM24" s="108"/>
      <c r="BN24" s="85">
        <f t="shared" si="4"/>
      </c>
      <c r="BO24" s="108"/>
      <c r="BP24" s="85">
        <f t="shared" si="5"/>
      </c>
      <c r="BQ24" s="85">
        <f t="shared" si="6"/>
      </c>
      <c r="BR24" s="108"/>
      <c r="BS24" s="104"/>
      <c r="BT24" s="87">
        <f t="shared" si="7"/>
      </c>
      <c r="BU24" s="85">
        <f t="shared" si="8"/>
      </c>
      <c r="BV24" s="85">
        <f t="shared" si="9"/>
      </c>
      <c r="BW24" s="87">
        <f t="shared" si="10"/>
      </c>
      <c r="BX24" s="104"/>
      <c r="BY24" s="106"/>
      <c r="BZ24" s="104"/>
      <c r="CA24" s="105"/>
      <c r="CB24" s="77">
        <f>IF($A24="",0,IF($B24='FICHA CLIENTE'!$C$4,1,0))</f>
      </c>
      <c r="CC24" s="77">
        <f t="shared" si="11"/>
      </c>
      <c r="CD24" s="77">
        <f>IF($A24="",0,IF($D24='FICHA VEHICULO'!$C$4,1,0))</f>
      </c>
      <c r="CE24" s="77">
        <f t="shared" si="12"/>
      </c>
      <c r="CF24" s="77">
        <f t="shared" si="13"/>
      </c>
      <c r="CG24" s="77">
        <f t="shared" si="14"/>
      </c>
    </row>
    <row r="25" spans="1:85" ht="19.5" customHeight="1" x14ac:dyDescent="0.2">
      <c r="A25" s="104"/>
      <c r="B25" s="104"/>
      <c r="C25" s="105"/>
      <c r="D25" s="104"/>
      <c r="E25" s="105"/>
      <c r="F25" s="106"/>
      <c r="G25" s="104"/>
      <c r="H25" s="106"/>
      <c r="I25" s="107"/>
      <c r="J25" s="108"/>
      <c r="K25" s="108"/>
      <c r="L25" s="108"/>
      <c r="M25" s="105"/>
      <c r="N25" s="105"/>
      <c r="O25" s="105"/>
      <c r="P25" s="108"/>
      <c r="Q25" s="105"/>
      <c r="R25" s="105"/>
      <c r="S25" s="105"/>
      <c r="T25" s="105"/>
      <c r="U25" s="108"/>
      <c r="V25" s="105"/>
      <c r="W25" s="105"/>
      <c r="X25" s="105"/>
      <c r="Y25" s="105"/>
      <c r="Z25" s="105"/>
      <c r="AA25" s="108"/>
      <c r="AB25" s="108"/>
      <c r="AC25" s="105"/>
      <c r="AD25" s="279"/>
      <c r="AE25" s="105"/>
      <c r="AF25" s="279"/>
      <c r="AG25" s="105"/>
      <c r="AH25" s="108"/>
      <c r="AI25" s="108"/>
      <c r="AJ25" s="108"/>
      <c r="AK25" s="108"/>
      <c r="AL25" s="105"/>
      <c r="AM25" s="108"/>
      <c r="AN25" s="105"/>
      <c r="AO25" s="108"/>
      <c r="AP25" s="108"/>
      <c r="AQ25" s="105"/>
      <c r="AR25" s="108"/>
      <c r="AS25" s="108"/>
      <c r="AT25" s="105"/>
      <c r="AU25" s="105"/>
      <c r="AV25" s="105"/>
      <c r="AW25" s="105"/>
      <c r="AX25" s="105"/>
      <c r="AY25" s="105"/>
      <c r="AZ25" s="105"/>
      <c r="BA25" s="105"/>
      <c r="BB25" s="105"/>
      <c r="BC25" s="105"/>
      <c r="BD25" s="108"/>
      <c r="BE25" s="83">
        <f>IF($A25="","",IF(TRIM($D25&amp;"")="",IF(TRIM($AX25&amp;$AY25&amp;$AZ25&amp;$BA25&amp;$BB25&amp;$BC25&amp;$BD25&amp;"")="","","SUBARRENDADO"),IFERROR(IF(VLOOKUP($D25,VEHICULOS!$A$3:$H$202,7,FALSE)="","",VLOOKUP($D25,VEHICULOS!$A$3:$H$202,7,FALSE)),"")))</f>
      </c>
      <c r="BF25" s="82">
        <f>IF($A25="","",IF(TRIM($BC25&amp;"")&lt;&gt;"",$BC25,IF(TRIM($D25&amp;"")="","",IFERROR(IF(VLOOKUP($D25,VEHICULOS!$A$3:$H$202,8,FALSE)="","",VLOOKUP($D25,VEHICULOS!$A$3:$H$202,8,FALSE)),""))))</f>
      </c>
      <c r="BG25" s="106"/>
      <c r="BH25" s="107"/>
      <c r="BI25" s="86">
        <f t="shared" si="0"/>
      </c>
      <c r="BJ25" s="83">
        <f t="shared" si="1"/>
      </c>
      <c r="BK25" s="85">
        <f t="shared" si="2"/>
      </c>
      <c r="BL25" s="85">
        <f t="shared" si="3"/>
      </c>
      <c r="BM25" s="108"/>
      <c r="BN25" s="85">
        <f t="shared" si="4"/>
      </c>
      <c r="BO25" s="108"/>
      <c r="BP25" s="85">
        <f t="shared" si="5"/>
      </c>
      <c r="BQ25" s="85">
        <f t="shared" si="6"/>
      </c>
      <c r="BR25" s="108"/>
      <c r="BS25" s="104"/>
      <c r="BT25" s="87">
        <f t="shared" si="7"/>
      </c>
      <c r="BU25" s="85">
        <f t="shared" si="8"/>
      </c>
      <c r="BV25" s="85">
        <f t="shared" si="9"/>
      </c>
      <c r="BW25" s="87">
        <f t="shared" si="10"/>
      </c>
      <c r="BX25" s="104"/>
      <c r="BY25" s="106"/>
      <c r="BZ25" s="104"/>
      <c r="CA25" s="105"/>
      <c r="CB25" s="77">
        <f>IF($A25="",0,IF($B25='FICHA CLIENTE'!$C$4,1,0))</f>
      </c>
      <c r="CC25" s="77">
        <f t="shared" si="11"/>
      </c>
      <c r="CD25" s="77">
        <f>IF($A25="",0,IF($D25='FICHA VEHICULO'!$C$4,1,0))</f>
      </c>
      <c r="CE25" s="77">
        <f t="shared" si="12"/>
      </c>
      <c r="CF25" s="77">
        <f t="shared" si="13"/>
      </c>
      <c r="CG25" s="77">
        <f t="shared" si="14"/>
      </c>
    </row>
    <row r="26" spans="1:85" ht="19.5" customHeight="1" x14ac:dyDescent="0.2">
      <c r="A26" s="104"/>
      <c r="B26" s="104"/>
      <c r="C26" s="105"/>
      <c r="D26" s="104"/>
      <c r="E26" s="105"/>
      <c r="F26" s="106"/>
      <c r="G26" s="104"/>
      <c r="H26" s="106"/>
      <c r="I26" s="107"/>
      <c r="J26" s="108"/>
      <c r="K26" s="108"/>
      <c r="L26" s="108"/>
      <c r="M26" s="105"/>
      <c r="N26" s="105"/>
      <c r="O26" s="105"/>
      <c r="P26" s="108"/>
      <c r="Q26" s="105"/>
      <c r="R26" s="105"/>
      <c r="S26" s="105"/>
      <c r="T26" s="105"/>
      <c r="U26" s="108"/>
      <c r="V26" s="105"/>
      <c r="W26" s="105"/>
      <c r="X26" s="105"/>
      <c r="Y26" s="105"/>
      <c r="Z26" s="105"/>
      <c r="AA26" s="108"/>
      <c r="AB26" s="108"/>
      <c r="AC26" s="105"/>
      <c r="AD26" s="279"/>
      <c r="AE26" s="105"/>
      <c r="AF26" s="279"/>
      <c r="AG26" s="105"/>
      <c r="AH26" s="108"/>
      <c r="AI26" s="108"/>
      <c r="AJ26" s="108"/>
      <c r="AK26" s="108"/>
      <c r="AL26" s="105"/>
      <c r="AM26" s="108"/>
      <c r="AN26" s="105"/>
      <c r="AO26" s="108"/>
      <c r="AP26" s="108"/>
      <c r="AQ26" s="105"/>
      <c r="AR26" s="108"/>
      <c r="AS26" s="108"/>
      <c r="AT26" s="105"/>
      <c r="AU26" s="105"/>
      <c r="AV26" s="105"/>
      <c r="AW26" s="105"/>
      <c r="AX26" s="105"/>
      <c r="AY26" s="105"/>
      <c r="AZ26" s="105"/>
      <c r="BA26" s="105"/>
      <c r="BB26" s="105"/>
      <c r="BC26" s="105"/>
      <c r="BD26" s="108"/>
      <c r="BE26" s="83">
        <f>IF($A26="","",IF(TRIM($D26&amp;"")="",IF(TRIM($AX26&amp;$AY26&amp;$AZ26&amp;$BA26&amp;$BB26&amp;$BC26&amp;$BD26&amp;"")="","","SUBARRENDADO"),IFERROR(IF(VLOOKUP($D26,VEHICULOS!$A$3:$H$202,7,FALSE)="","",VLOOKUP($D26,VEHICULOS!$A$3:$H$202,7,FALSE)),"")))</f>
      </c>
      <c r="BF26" s="82">
        <f>IF($A26="","",IF(TRIM($BC26&amp;"")&lt;&gt;"",$BC26,IF(TRIM($D26&amp;"")="","",IFERROR(IF(VLOOKUP($D26,VEHICULOS!$A$3:$H$202,8,FALSE)="","",VLOOKUP($D26,VEHICULOS!$A$3:$H$202,8,FALSE)),""))))</f>
      </c>
      <c r="BG26" s="106"/>
      <c r="BH26" s="107"/>
      <c r="BI26" s="86">
        <f t="shared" si="0"/>
      </c>
      <c r="BJ26" s="83">
        <f t="shared" si="1"/>
      </c>
      <c r="BK26" s="85">
        <f t="shared" si="2"/>
      </c>
      <c r="BL26" s="85">
        <f t="shared" si="3"/>
      </c>
      <c r="BM26" s="108"/>
      <c r="BN26" s="85">
        <f t="shared" si="4"/>
      </c>
      <c r="BO26" s="108"/>
      <c r="BP26" s="85">
        <f t="shared" si="5"/>
      </c>
      <c r="BQ26" s="85">
        <f t="shared" si="6"/>
      </c>
      <c r="BR26" s="108"/>
      <c r="BS26" s="104"/>
      <c r="BT26" s="87">
        <f t="shared" si="7"/>
      </c>
      <c r="BU26" s="85">
        <f t="shared" si="8"/>
      </c>
      <c r="BV26" s="85">
        <f t="shared" si="9"/>
      </c>
      <c r="BW26" s="87">
        <f t="shared" si="10"/>
      </c>
      <c r="BX26" s="104"/>
      <c r="BY26" s="106"/>
      <c r="BZ26" s="104"/>
      <c r="CA26" s="105"/>
      <c r="CB26" s="77">
        <f>IF($A26="",0,IF($B26='FICHA CLIENTE'!$C$4,1,0))</f>
      </c>
      <c r="CC26" s="77">
        <f t="shared" si="11"/>
      </c>
      <c r="CD26" s="77">
        <f>IF($A26="",0,IF($D26='FICHA VEHICULO'!$C$4,1,0))</f>
      </c>
      <c r="CE26" s="77">
        <f t="shared" si="12"/>
      </c>
      <c r="CF26" s="77">
        <f t="shared" si="13"/>
      </c>
      <c r="CG26" s="77">
        <f t="shared" si="14"/>
      </c>
    </row>
    <row r="27" spans="1:85" ht="19.5" customHeight="1" x14ac:dyDescent="0.2">
      <c r="A27" s="104"/>
      <c r="B27" s="104"/>
      <c r="C27" s="105"/>
      <c r="D27" s="104"/>
      <c r="E27" s="105"/>
      <c r="F27" s="106"/>
      <c r="G27" s="104"/>
      <c r="H27" s="106"/>
      <c r="I27" s="107"/>
      <c r="J27" s="108"/>
      <c r="K27" s="108"/>
      <c r="L27" s="108"/>
      <c r="M27" s="105"/>
      <c r="N27" s="105"/>
      <c r="O27" s="105"/>
      <c r="P27" s="108"/>
      <c r="Q27" s="105"/>
      <c r="R27" s="105"/>
      <c r="S27" s="105"/>
      <c r="T27" s="105"/>
      <c r="U27" s="108"/>
      <c r="V27" s="105"/>
      <c r="W27" s="105"/>
      <c r="X27" s="105"/>
      <c r="Y27" s="105"/>
      <c r="Z27" s="105"/>
      <c r="AA27" s="108"/>
      <c r="AB27" s="108"/>
      <c r="AC27" s="105"/>
      <c r="AD27" s="279"/>
      <c r="AE27" s="105"/>
      <c r="AF27" s="279"/>
      <c r="AG27" s="105"/>
      <c r="AH27" s="108"/>
      <c r="AI27" s="108"/>
      <c r="AJ27" s="108"/>
      <c r="AK27" s="108"/>
      <c r="AL27" s="105"/>
      <c r="AM27" s="108"/>
      <c r="AN27" s="105"/>
      <c r="AO27" s="108"/>
      <c r="AP27" s="108"/>
      <c r="AQ27" s="105"/>
      <c r="AR27" s="108"/>
      <c r="AS27" s="108"/>
      <c r="AT27" s="105"/>
      <c r="AU27" s="105"/>
      <c r="AV27" s="105"/>
      <c r="AW27" s="105"/>
      <c r="AX27" s="105"/>
      <c r="AY27" s="105"/>
      <c r="AZ27" s="105"/>
      <c r="BA27" s="105"/>
      <c r="BB27" s="105"/>
      <c r="BC27" s="105"/>
      <c r="BD27" s="108"/>
      <c r="BE27" s="83">
        <f>IF($A27="","",IF(TRIM($D27&amp;"")="",IF(TRIM($AX27&amp;$AY27&amp;$AZ27&amp;$BA27&amp;$BB27&amp;$BC27&amp;$BD27&amp;"")="","","SUBARRENDADO"),IFERROR(IF(VLOOKUP($D27,VEHICULOS!$A$3:$H$202,7,FALSE)="","",VLOOKUP($D27,VEHICULOS!$A$3:$H$202,7,FALSE)),"")))</f>
      </c>
      <c r="BF27" s="82">
        <f>IF($A27="","",IF(TRIM($BC27&amp;"")&lt;&gt;"",$BC27,IF(TRIM($D27&amp;"")="","",IFERROR(IF(VLOOKUP($D27,VEHICULOS!$A$3:$H$202,8,FALSE)="","",VLOOKUP($D27,VEHICULOS!$A$3:$H$202,8,FALSE)),""))))</f>
      </c>
      <c r="BG27" s="106"/>
      <c r="BH27" s="107"/>
      <c r="BI27" s="86">
        <f t="shared" si="0"/>
      </c>
      <c r="BJ27" s="83">
        <f t="shared" si="1"/>
      </c>
      <c r="BK27" s="85">
        <f t="shared" si="2"/>
      </c>
      <c r="BL27" s="85">
        <f t="shared" si="3"/>
      </c>
      <c r="BM27" s="108"/>
      <c r="BN27" s="85">
        <f t="shared" si="4"/>
      </c>
      <c r="BO27" s="108"/>
      <c r="BP27" s="85">
        <f t="shared" si="5"/>
      </c>
      <c r="BQ27" s="85">
        <f t="shared" si="6"/>
      </c>
      <c r="BR27" s="108"/>
      <c r="BS27" s="104"/>
      <c r="BT27" s="87">
        <f t="shared" si="7"/>
      </c>
      <c r="BU27" s="85">
        <f t="shared" si="8"/>
      </c>
      <c r="BV27" s="85">
        <f t="shared" si="9"/>
      </c>
      <c r="BW27" s="87">
        <f t="shared" si="10"/>
      </c>
      <c r="BX27" s="104"/>
      <c r="BY27" s="106"/>
      <c r="BZ27" s="104"/>
      <c r="CA27" s="105"/>
      <c r="CB27" s="77">
        <f>IF($A27="",0,IF($B27='FICHA CLIENTE'!$C$4,1,0))</f>
      </c>
      <c r="CC27" s="77">
        <f t="shared" si="11"/>
      </c>
      <c r="CD27" s="77">
        <f>IF($A27="",0,IF($D27='FICHA VEHICULO'!$C$4,1,0))</f>
      </c>
      <c r="CE27" s="77">
        <f t="shared" si="12"/>
      </c>
      <c r="CF27" s="77">
        <f t="shared" si="13"/>
      </c>
      <c r="CG27" s="77">
        <f t="shared" si="14"/>
      </c>
    </row>
    <row r="28" spans="1:85" ht="19.5" customHeight="1" x14ac:dyDescent="0.2">
      <c r="A28" s="104"/>
      <c r="B28" s="104"/>
      <c r="C28" s="105"/>
      <c r="D28" s="104"/>
      <c r="E28" s="105"/>
      <c r="F28" s="106"/>
      <c r="G28" s="104"/>
      <c r="H28" s="106"/>
      <c r="I28" s="107"/>
      <c r="J28" s="108"/>
      <c r="K28" s="108"/>
      <c r="L28" s="108"/>
      <c r="M28" s="105"/>
      <c r="N28" s="105"/>
      <c r="O28" s="105"/>
      <c r="P28" s="108"/>
      <c r="Q28" s="105"/>
      <c r="R28" s="105"/>
      <c r="S28" s="105"/>
      <c r="T28" s="105"/>
      <c r="U28" s="108"/>
      <c r="V28" s="105"/>
      <c r="W28" s="105"/>
      <c r="X28" s="105"/>
      <c r="Y28" s="105"/>
      <c r="Z28" s="105"/>
      <c r="AA28" s="108"/>
      <c r="AB28" s="108"/>
      <c r="AC28" s="105"/>
      <c r="AD28" s="279"/>
      <c r="AE28" s="105"/>
      <c r="AF28" s="279"/>
      <c r="AG28" s="105"/>
      <c r="AH28" s="108"/>
      <c r="AI28" s="108"/>
      <c r="AJ28" s="108"/>
      <c r="AK28" s="108"/>
      <c r="AL28" s="105"/>
      <c r="AM28" s="108"/>
      <c r="AN28" s="105"/>
      <c r="AO28" s="108"/>
      <c r="AP28" s="108"/>
      <c r="AQ28" s="105"/>
      <c r="AR28" s="108"/>
      <c r="AS28" s="108"/>
      <c r="AT28" s="105"/>
      <c r="AU28" s="105"/>
      <c r="AV28" s="105"/>
      <c r="AW28" s="105"/>
      <c r="AX28" s="105"/>
      <c r="AY28" s="105"/>
      <c r="AZ28" s="105"/>
      <c r="BA28" s="105"/>
      <c r="BB28" s="105"/>
      <c r="BC28" s="105"/>
      <c r="BD28" s="108"/>
      <c r="BE28" s="83">
        <f>IF($A28="","",IF(TRIM($D28&amp;"")="",IF(TRIM($AX28&amp;$AY28&amp;$AZ28&amp;$BA28&amp;$BB28&amp;$BC28&amp;$BD28&amp;"")="","","SUBARRENDADO"),IFERROR(IF(VLOOKUP($D28,VEHICULOS!$A$3:$H$202,7,FALSE)="","",VLOOKUP($D28,VEHICULOS!$A$3:$H$202,7,FALSE)),"")))</f>
      </c>
      <c r="BF28" s="82">
        <f>IF($A28="","",IF(TRIM($BC28&amp;"")&lt;&gt;"",$BC28,IF(TRIM($D28&amp;"")="","",IFERROR(IF(VLOOKUP($D28,VEHICULOS!$A$3:$H$202,8,FALSE)="","",VLOOKUP($D28,VEHICULOS!$A$3:$H$202,8,FALSE)),""))))</f>
      </c>
      <c r="BG28" s="106"/>
      <c r="BH28" s="107"/>
      <c r="BI28" s="86">
        <f t="shared" si="0"/>
      </c>
      <c r="BJ28" s="83">
        <f t="shared" si="1"/>
      </c>
      <c r="BK28" s="85">
        <f t="shared" si="2"/>
      </c>
      <c r="BL28" s="85">
        <f t="shared" si="3"/>
      </c>
      <c r="BM28" s="108"/>
      <c r="BN28" s="85">
        <f t="shared" si="4"/>
      </c>
      <c r="BO28" s="108"/>
      <c r="BP28" s="85">
        <f t="shared" si="5"/>
      </c>
      <c r="BQ28" s="85">
        <f t="shared" si="6"/>
      </c>
      <c r="BR28" s="108"/>
      <c r="BS28" s="104"/>
      <c r="BT28" s="87">
        <f t="shared" si="7"/>
      </c>
      <c r="BU28" s="85">
        <f t="shared" si="8"/>
      </c>
      <c r="BV28" s="85">
        <f t="shared" si="9"/>
      </c>
      <c r="BW28" s="87">
        <f t="shared" si="10"/>
      </c>
      <c r="BX28" s="104"/>
      <c r="BY28" s="106"/>
      <c r="BZ28" s="104"/>
      <c r="CA28" s="105"/>
      <c r="CB28" s="77">
        <f>IF($A28="",0,IF($B28='FICHA CLIENTE'!$C$4,1,0))</f>
      </c>
      <c r="CC28" s="77">
        <f t="shared" si="11"/>
      </c>
      <c r="CD28" s="77">
        <f>IF($A28="",0,IF($D28='FICHA VEHICULO'!$C$4,1,0))</f>
      </c>
      <c r="CE28" s="77">
        <f t="shared" si="12"/>
      </c>
      <c r="CF28" s="77">
        <f t="shared" si="13"/>
      </c>
      <c r="CG28" s="77">
        <f t="shared" si="14"/>
      </c>
    </row>
    <row r="29" spans="1:85" ht="19.5" customHeight="1" x14ac:dyDescent="0.2">
      <c r="A29" s="104"/>
      <c r="B29" s="104"/>
      <c r="C29" s="105"/>
      <c r="D29" s="104"/>
      <c r="E29" s="105"/>
      <c r="F29" s="106"/>
      <c r="G29" s="104"/>
      <c r="H29" s="106"/>
      <c r="I29" s="107"/>
      <c r="J29" s="108"/>
      <c r="K29" s="108"/>
      <c r="L29" s="108"/>
      <c r="M29" s="105"/>
      <c r="N29" s="105"/>
      <c r="O29" s="105"/>
      <c r="P29" s="108"/>
      <c r="Q29" s="105"/>
      <c r="R29" s="105"/>
      <c r="S29" s="105"/>
      <c r="T29" s="105"/>
      <c r="U29" s="108"/>
      <c r="V29" s="105"/>
      <c r="W29" s="105"/>
      <c r="X29" s="105"/>
      <c r="Y29" s="105"/>
      <c r="Z29" s="105"/>
      <c r="AA29" s="108"/>
      <c r="AB29" s="108"/>
      <c r="AC29" s="105"/>
      <c r="AD29" s="279"/>
      <c r="AE29" s="105"/>
      <c r="AF29" s="279"/>
      <c r="AG29" s="105"/>
      <c r="AH29" s="108"/>
      <c r="AI29" s="108"/>
      <c r="AJ29" s="108"/>
      <c r="AK29" s="108"/>
      <c r="AL29" s="105"/>
      <c r="AM29" s="108"/>
      <c r="AN29" s="105"/>
      <c r="AO29" s="108"/>
      <c r="AP29" s="108"/>
      <c r="AQ29" s="105"/>
      <c r="AR29" s="108"/>
      <c r="AS29" s="108"/>
      <c r="AT29" s="105"/>
      <c r="AU29" s="105"/>
      <c r="AV29" s="105"/>
      <c r="AW29" s="105"/>
      <c r="AX29" s="105"/>
      <c r="AY29" s="105"/>
      <c r="AZ29" s="105"/>
      <c r="BA29" s="105"/>
      <c r="BB29" s="105"/>
      <c r="BC29" s="105"/>
      <c r="BD29" s="108"/>
      <c r="BE29" s="83">
        <f>IF($A29="","",IF(TRIM($D29&amp;"")="",IF(TRIM($AX29&amp;$AY29&amp;$AZ29&amp;$BA29&amp;$BB29&amp;$BC29&amp;$BD29&amp;"")="","","SUBARRENDADO"),IFERROR(IF(VLOOKUP($D29,VEHICULOS!$A$3:$H$202,7,FALSE)="","",VLOOKUP($D29,VEHICULOS!$A$3:$H$202,7,FALSE)),"")))</f>
      </c>
      <c r="BF29" s="82">
        <f>IF($A29="","",IF(TRIM($BC29&amp;"")&lt;&gt;"",$BC29,IF(TRIM($D29&amp;"")="","",IFERROR(IF(VLOOKUP($D29,VEHICULOS!$A$3:$H$202,8,FALSE)="","",VLOOKUP($D29,VEHICULOS!$A$3:$H$202,8,FALSE)),""))))</f>
      </c>
      <c r="BG29" s="106"/>
      <c r="BH29" s="107"/>
      <c r="BI29" s="86">
        <f t="shared" si="0"/>
      </c>
      <c r="BJ29" s="83">
        <f t="shared" si="1"/>
      </c>
      <c r="BK29" s="85">
        <f t="shared" si="2"/>
      </c>
      <c r="BL29" s="85">
        <f t="shared" si="3"/>
      </c>
      <c r="BM29" s="108"/>
      <c r="BN29" s="85">
        <f t="shared" si="4"/>
      </c>
      <c r="BO29" s="108"/>
      <c r="BP29" s="85">
        <f t="shared" si="5"/>
      </c>
      <c r="BQ29" s="85">
        <f t="shared" si="6"/>
      </c>
      <c r="BR29" s="108"/>
      <c r="BS29" s="104"/>
      <c r="BT29" s="87">
        <f t="shared" si="7"/>
      </c>
      <c r="BU29" s="85">
        <f t="shared" si="8"/>
      </c>
      <c r="BV29" s="85">
        <f t="shared" si="9"/>
      </c>
      <c r="BW29" s="87">
        <f t="shared" si="10"/>
      </c>
      <c r="BX29" s="104"/>
      <c r="BY29" s="106"/>
      <c r="BZ29" s="104"/>
      <c r="CA29" s="105"/>
      <c r="CB29" s="77">
        <f>IF($A29="",0,IF($B29='FICHA CLIENTE'!$C$4,1,0))</f>
      </c>
      <c r="CC29" s="77">
        <f t="shared" si="11"/>
      </c>
      <c r="CD29" s="77">
        <f>IF($A29="",0,IF($D29='FICHA VEHICULO'!$C$4,1,0))</f>
      </c>
      <c r="CE29" s="77">
        <f t="shared" si="12"/>
      </c>
      <c r="CF29" s="77">
        <f t="shared" si="13"/>
      </c>
      <c r="CG29" s="77">
        <f t="shared" si="14"/>
      </c>
    </row>
    <row r="30" spans="1:85" ht="19.5" customHeight="1" x14ac:dyDescent="0.2">
      <c r="A30" s="104"/>
      <c r="B30" s="104"/>
      <c r="C30" s="105"/>
      <c r="D30" s="104"/>
      <c r="E30" s="105"/>
      <c r="F30" s="106"/>
      <c r="G30" s="104"/>
      <c r="H30" s="106"/>
      <c r="I30" s="107"/>
      <c r="J30" s="108"/>
      <c r="K30" s="108"/>
      <c r="L30" s="108"/>
      <c r="M30" s="105"/>
      <c r="N30" s="105"/>
      <c r="O30" s="105"/>
      <c r="P30" s="108"/>
      <c r="Q30" s="105"/>
      <c r="R30" s="105"/>
      <c r="S30" s="105"/>
      <c r="T30" s="105"/>
      <c r="U30" s="108"/>
      <c r="V30" s="105"/>
      <c r="W30" s="105"/>
      <c r="X30" s="105"/>
      <c r="Y30" s="105"/>
      <c r="Z30" s="105"/>
      <c r="AA30" s="108"/>
      <c r="AB30" s="108"/>
      <c r="AC30" s="105"/>
      <c r="AD30" s="279"/>
      <c r="AE30" s="105"/>
      <c r="AF30" s="279"/>
      <c r="AG30" s="105"/>
      <c r="AH30" s="108"/>
      <c r="AI30" s="108"/>
      <c r="AJ30" s="108"/>
      <c r="AK30" s="108"/>
      <c r="AL30" s="105"/>
      <c r="AM30" s="108"/>
      <c r="AN30" s="105"/>
      <c r="AO30" s="108"/>
      <c r="AP30" s="108"/>
      <c r="AQ30" s="105"/>
      <c r="AR30" s="108"/>
      <c r="AS30" s="108"/>
      <c r="AT30" s="105"/>
      <c r="AU30" s="105"/>
      <c r="AV30" s="105"/>
      <c r="AW30" s="105"/>
      <c r="AX30" s="105"/>
      <c r="AY30" s="105"/>
      <c r="AZ30" s="105"/>
      <c r="BA30" s="105"/>
      <c r="BB30" s="105"/>
      <c r="BC30" s="105"/>
      <c r="BD30" s="108"/>
      <c r="BE30" s="83">
        <f>IF($A30="","",IF(TRIM($D30&amp;"")="",IF(TRIM($AX30&amp;$AY30&amp;$AZ30&amp;$BA30&amp;$BB30&amp;$BC30&amp;$BD30&amp;"")="","","SUBARRENDADO"),IFERROR(IF(VLOOKUP($D30,VEHICULOS!$A$3:$H$202,7,FALSE)="","",VLOOKUP($D30,VEHICULOS!$A$3:$H$202,7,FALSE)),"")))</f>
      </c>
      <c r="BF30" s="82">
        <f>IF($A30="","",IF(TRIM($BC30&amp;"")&lt;&gt;"",$BC30,IF(TRIM($D30&amp;"")="","",IFERROR(IF(VLOOKUP($D30,VEHICULOS!$A$3:$H$202,8,FALSE)="","",VLOOKUP($D30,VEHICULOS!$A$3:$H$202,8,FALSE)),""))))</f>
      </c>
      <c r="BG30" s="106"/>
      <c r="BH30" s="107"/>
      <c r="BI30" s="86">
        <f t="shared" si="0"/>
      </c>
      <c r="BJ30" s="83">
        <f t="shared" si="1"/>
      </c>
      <c r="BK30" s="85">
        <f t="shared" si="2"/>
      </c>
      <c r="BL30" s="85">
        <f t="shared" si="3"/>
      </c>
      <c r="BM30" s="108"/>
      <c r="BN30" s="85">
        <f t="shared" si="4"/>
      </c>
      <c r="BO30" s="108"/>
      <c r="BP30" s="85">
        <f t="shared" si="5"/>
      </c>
      <c r="BQ30" s="85">
        <f t="shared" si="6"/>
      </c>
      <c r="BR30" s="108"/>
      <c r="BS30" s="104"/>
      <c r="BT30" s="87">
        <f t="shared" si="7"/>
      </c>
      <c r="BU30" s="85">
        <f t="shared" si="8"/>
      </c>
      <c r="BV30" s="85">
        <f t="shared" si="9"/>
      </c>
      <c r="BW30" s="87">
        <f t="shared" si="10"/>
      </c>
      <c r="BX30" s="104"/>
      <c r="BY30" s="106"/>
      <c r="BZ30" s="104"/>
      <c r="CA30" s="105"/>
      <c r="CB30" s="77">
        <f>IF($A30="",0,IF($B30='FICHA CLIENTE'!$C$4,1,0))</f>
      </c>
      <c r="CC30" s="77">
        <f t="shared" si="11"/>
      </c>
      <c r="CD30" s="77">
        <f>IF($A30="",0,IF($D30='FICHA VEHICULO'!$C$4,1,0))</f>
      </c>
      <c r="CE30" s="77">
        <f t="shared" si="12"/>
      </c>
      <c r="CF30" s="77">
        <f t="shared" si="13"/>
      </c>
      <c r="CG30" s="77">
        <f t="shared" si="14"/>
      </c>
    </row>
    <row r="31" spans="1:85" ht="19.5" customHeight="1" x14ac:dyDescent="0.2">
      <c r="A31" s="104"/>
      <c r="B31" s="104"/>
      <c r="C31" s="105"/>
      <c r="D31" s="104"/>
      <c r="E31" s="105"/>
      <c r="F31" s="106"/>
      <c r="G31" s="104"/>
      <c r="H31" s="106"/>
      <c r="I31" s="107"/>
      <c r="J31" s="108"/>
      <c r="K31" s="108"/>
      <c r="L31" s="108"/>
      <c r="M31" s="105"/>
      <c r="N31" s="105"/>
      <c r="O31" s="105"/>
      <c r="P31" s="108"/>
      <c r="Q31" s="105"/>
      <c r="R31" s="105"/>
      <c r="S31" s="105"/>
      <c r="T31" s="105"/>
      <c r="U31" s="108"/>
      <c r="V31" s="105"/>
      <c r="W31" s="105"/>
      <c r="X31" s="105"/>
      <c r="Y31" s="105"/>
      <c r="Z31" s="105"/>
      <c r="AA31" s="108"/>
      <c r="AB31" s="108"/>
      <c r="AC31" s="105"/>
      <c r="AD31" s="279"/>
      <c r="AE31" s="105"/>
      <c r="AF31" s="279"/>
      <c r="AG31" s="105"/>
      <c r="AH31" s="108"/>
      <c r="AI31" s="108"/>
      <c r="AJ31" s="108"/>
      <c r="AK31" s="108"/>
      <c r="AL31" s="105"/>
      <c r="AM31" s="108"/>
      <c r="AN31" s="105"/>
      <c r="AO31" s="108"/>
      <c r="AP31" s="108"/>
      <c r="AQ31" s="105"/>
      <c r="AR31" s="108"/>
      <c r="AS31" s="108"/>
      <c r="AT31" s="105"/>
      <c r="AU31" s="105"/>
      <c r="AV31" s="105"/>
      <c r="AW31" s="105"/>
      <c r="AX31" s="105"/>
      <c r="AY31" s="105"/>
      <c r="AZ31" s="105"/>
      <c r="BA31" s="105"/>
      <c r="BB31" s="105"/>
      <c r="BC31" s="105"/>
      <c r="BD31" s="108"/>
      <c r="BE31" s="83">
        <f>IF($A31="","",IF(TRIM($D31&amp;"")="",IF(TRIM($AX31&amp;$AY31&amp;$AZ31&amp;$BA31&amp;$BB31&amp;$BC31&amp;$BD31&amp;"")="","","SUBARRENDADO"),IFERROR(IF(VLOOKUP($D31,VEHICULOS!$A$3:$H$202,7,FALSE)="","",VLOOKUP($D31,VEHICULOS!$A$3:$H$202,7,FALSE)),"")))</f>
      </c>
      <c r="BF31" s="82">
        <f>IF($A31="","",IF(TRIM($BC31&amp;"")&lt;&gt;"",$BC31,IF(TRIM($D31&amp;"")="","",IFERROR(IF(VLOOKUP($D31,VEHICULOS!$A$3:$H$202,8,FALSE)="","",VLOOKUP($D31,VEHICULOS!$A$3:$H$202,8,FALSE)),""))))</f>
      </c>
      <c r="BG31" s="106"/>
      <c r="BH31" s="107"/>
      <c r="BI31" s="86">
        <f t="shared" si="0"/>
      </c>
      <c r="BJ31" s="83">
        <f t="shared" si="1"/>
      </c>
      <c r="BK31" s="85">
        <f t="shared" si="2"/>
      </c>
      <c r="BL31" s="85">
        <f t="shared" si="3"/>
      </c>
      <c r="BM31" s="108"/>
      <c r="BN31" s="85">
        <f t="shared" si="4"/>
      </c>
      <c r="BO31" s="108"/>
      <c r="BP31" s="85">
        <f t="shared" si="5"/>
      </c>
      <c r="BQ31" s="85">
        <f t="shared" si="6"/>
      </c>
      <c r="BR31" s="108"/>
      <c r="BS31" s="104"/>
      <c r="BT31" s="87">
        <f t="shared" si="7"/>
      </c>
      <c r="BU31" s="85">
        <f t="shared" si="8"/>
      </c>
      <c r="BV31" s="85">
        <f t="shared" si="9"/>
      </c>
      <c r="BW31" s="87">
        <f t="shared" si="10"/>
      </c>
      <c r="BX31" s="104"/>
      <c r="BY31" s="106"/>
      <c r="BZ31" s="104"/>
      <c r="CA31" s="105"/>
      <c r="CB31" s="77">
        <f>IF($A31="",0,IF($B31='FICHA CLIENTE'!$C$4,1,0))</f>
      </c>
      <c r="CC31" s="77">
        <f t="shared" si="11"/>
      </c>
      <c r="CD31" s="77">
        <f>IF($A31="",0,IF($D31='FICHA VEHICULO'!$C$4,1,0))</f>
      </c>
      <c r="CE31" s="77">
        <f t="shared" si="12"/>
      </c>
      <c r="CF31" s="77">
        <f t="shared" si="13"/>
      </c>
      <c r="CG31" s="77">
        <f t="shared" si="14"/>
      </c>
    </row>
    <row r="32" spans="1:85" ht="19.5" customHeight="1" x14ac:dyDescent="0.2">
      <c r="A32" s="104"/>
      <c r="B32" s="104"/>
      <c r="C32" s="105"/>
      <c r="D32" s="104"/>
      <c r="E32" s="105"/>
      <c r="F32" s="106"/>
      <c r="G32" s="104"/>
      <c r="H32" s="106"/>
      <c r="I32" s="107"/>
      <c r="J32" s="108"/>
      <c r="K32" s="108"/>
      <c r="L32" s="108"/>
      <c r="M32" s="105"/>
      <c r="N32" s="105"/>
      <c r="O32" s="105"/>
      <c r="P32" s="108"/>
      <c r="Q32" s="105"/>
      <c r="R32" s="105"/>
      <c r="S32" s="105"/>
      <c r="T32" s="105"/>
      <c r="U32" s="108"/>
      <c r="V32" s="105"/>
      <c r="W32" s="105"/>
      <c r="X32" s="105"/>
      <c r="Y32" s="105"/>
      <c r="Z32" s="105"/>
      <c r="AA32" s="108"/>
      <c r="AB32" s="108"/>
      <c r="AC32" s="105"/>
      <c r="AD32" s="279"/>
      <c r="AE32" s="105"/>
      <c r="AF32" s="279"/>
      <c r="AG32" s="105"/>
      <c r="AH32" s="108"/>
      <c r="AI32" s="108"/>
      <c r="AJ32" s="108"/>
      <c r="AK32" s="108"/>
      <c r="AL32" s="105"/>
      <c r="AM32" s="108"/>
      <c r="AN32" s="105"/>
      <c r="AO32" s="108"/>
      <c r="AP32" s="108"/>
      <c r="AQ32" s="105"/>
      <c r="AR32" s="108"/>
      <c r="AS32" s="108"/>
      <c r="AT32" s="105"/>
      <c r="AU32" s="105"/>
      <c r="AV32" s="105"/>
      <c r="AW32" s="105"/>
      <c r="AX32" s="105"/>
      <c r="AY32" s="105"/>
      <c r="AZ32" s="105"/>
      <c r="BA32" s="105"/>
      <c r="BB32" s="105"/>
      <c r="BC32" s="105"/>
      <c r="BD32" s="108"/>
      <c r="BE32" s="83">
        <f>IF($A32="","",IF(TRIM($D32&amp;"")="",IF(TRIM($AX32&amp;$AY32&amp;$AZ32&amp;$BA32&amp;$BB32&amp;$BC32&amp;$BD32&amp;"")="","","SUBARRENDADO"),IFERROR(IF(VLOOKUP($D32,VEHICULOS!$A$3:$H$202,7,FALSE)="","",VLOOKUP($D32,VEHICULOS!$A$3:$H$202,7,FALSE)),"")))</f>
      </c>
      <c r="BF32" s="82">
        <f>IF($A32="","",IF(TRIM($BC32&amp;"")&lt;&gt;"",$BC32,IF(TRIM($D32&amp;"")="","",IFERROR(IF(VLOOKUP($D32,VEHICULOS!$A$3:$H$202,8,FALSE)="","",VLOOKUP($D32,VEHICULOS!$A$3:$H$202,8,FALSE)),""))))</f>
      </c>
      <c r="BG32" s="106"/>
      <c r="BH32" s="107"/>
      <c r="BI32" s="86">
        <f t="shared" si="0"/>
      </c>
      <c r="BJ32" s="83">
        <f t="shared" si="1"/>
      </c>
      <c r="BK32" s="85">
        <f t="shared" si="2"/>
      </c>
      <c r="BL32" s="85">
        <f t="shared" si="3"/>
      </c>
      <c r="BM32" s="108"/>
      <c r="BN32" s="85">
        <f t="shared" si="4"/>
      </c>
      <c r="BO32" s="108"/>
      <c r="BP32" s="85">
        <f t="shared" si="5"/>
      </c>
      <c r="BQ32" s="85">
        <f t="shared" si="6"/>
      </c>
      <c r="BR32" s="108"/>
      <c r="BS32" s="104"/>
      <c r="BT32" s="87">
        <f t="shared" si="7"/>
      </c>
      <c r="BU32" s="85">
        <f t="shared" si="8"/>
      </c>
      <c r="BV32" s="85">
        <f t="shared" si="9"/>
      </c>
      <c r="BW32" s="87">
        <f t="shared" si="10"/>
      </c>
      <c r="BX32" s="104"/>
      <c r="BY32" s="106"/>
      <c r="BZ32" s="104"/>
      <c r="CA32" s="105"/>
      <c r="CB32" s="77">
        <f>IF($A32="",0,IF($B32='FICHA CLIENTE'!$C$4,1,0))</f>
      </c>
      <c r="CC32" s="77">
        <f t="shared" si="11"/>
      </c>
      <c r="CD32" s="77">
        <f>IF($A32="",0,IF($D32='FICHA VEHICULO'!$C$4,1,0))</f>
      </c>
      <c r="CE32" s="77">
        <f t="shared" si="12"/>
      </c>
      <c r="CF32" s="77">
        <f t="shared" si="13"/>
      </c>
      <c r="CG32" s="77">
        <f t="shared" si="14"/>
      </c>
    </row>
    <row r="33" spans="1:85" ht="19.5" customHeight="1" x14ac:dyDescent="0.2">
      <c r="A33" s="104"/>
      <c r="B33" s="104"/>
      <c r="C33" s="105"/>
      <c r="D33" s="104"/>
      <c r="E33" s="105"/>
      <c r="F33" s="106"/>
      <c r="G33" s="104"/>
      <c r="H33" s="106"/>
      <c r="I33" s="107"/>
      <c r="J33" s="108"/>
      <c r="K33" s="108"/>
      <c r="L33" s="108"/>
      <c r="M33" s="105"/>
      <c r="N33" s="105"/>
      <c r="O33" s="105"/>
      <c r="P33" s="108"/>
      <c r="Q33" s="105"/>
      <c r="R33" s="105"/>
      <c r="S33" s="105"/>
      <c r="T33" s="105"/>
      <c r="U33" s="108"/>
      <c r="V33" s="105"/>
      <c r="W33" s="105"/>
      <c r="X33" s="105"/>
      <c r="Y33" s="105"/>
      <c r="Z33" s="105"/>
      <c r="AA33" s="108"/>
      <c r="AB33" s="108"/>
      <c r="AC33" s="105"/>
      <c r="AD33" s="279"/>
      <c r="AE33" s="105"/>
      <c r="AF33" s="279"/>
      <c r="AG33" s="105"/>
      <c r="AH33" s="108"/>
      <c r="AI33" s="108"/>
      <c r="AJ33" s="108"/>
      <c r="AK33" s="108"/>
      <c r="AL33" s="105"/>
      <c r="AM33" s="108"/>
      <c r="AN33" s="105"/>
      <c r="AO33" s="108"/>
      <c r="AP33" s="108"/>
      <c r="AQ33" s="105"/>
      <c r="AR33" s="108"/>
      <c r="AS33" s="108"/>
      <c r="AT33" s="105"/>
      <c r="AU33" s="105"/>
      <c r="AV33" s="105"/>
      <c r="AW33" s="105"/>
      <c r="AX33" s="105"/>
      <c r="AY33" s="105"/>
      <c r="AZ33" s="105"/>
      <c r="BA33" s="105"/>
      <c r="BB33" s="105"/>
      <c r="BC33" s="105"/>
      <c r="BD33" s="108"/>
      <c r="BE33" s="83">
        <f>IF($A33="","",IF(TRIM($D33&amp;"")="",IF(TRIM($AX33&amp;$AY33&amp;$AZ33&amp;$BA33&amp;$BB33&amp;$BC33&amp;$BD33&amp;"")="","","SUBARRENDADO"),IFERROR(IF(VLOOKUP($D33,VEHICULOS!$A$3:$H$202,7,FALSE)="","",VLOOKUP($D33,VEHICULOS!$A$3:$H$202,7,FALSE)),"")))</f>
      </c>
      <c r="BF33" s="82">
        <f>IF($A33="","",IF(TRIM($BC33&amp;"")&lt;&gt;"",$BC33,IF(TRIM($D33&amp;"")="","",IFERROR(IF(VLOOKUP($D33,VEHICULOS!$A$3:$H$202,8,FALSE)="","",VLOOKUP($D33,VEHICULOS!$A$3:$H$202,8,FALSE)),""))))</f>
      </c>
      <c r="BG33" s="106"/>
      <c r="BH33" s="107"/>
      <c r="BI33" s="86">
        <f t="shared" si="0"/>
      </c>
      <c r="BJ33" s="83">
        <f t="shared" si="1"/>
      </c>
      <c r="BK33" s="85">
        <f t="shared" si="2"/>
      </c>
      <c r="BL33" s="85">
        <f t="shared" si="3"/>
      </c>
      <c r="BM33" s="108"/>
      <c r="BN33" s="85">
        <f t="shared" si="4"/>
      </c>
      <c r="BO33" s="108"/>
      <c r="BP33" s="85">
        <f t="shared" si="5"/>
      </c>
      <c r="BQ33" s="85">
        <f t="shared" si="6"/>
      </c>
      <c r="BR33" s="108"/>
      <c r="BS33" s="104"/>
      <c r="BT33" s="87">
        <f t="shared" si="7"/>
      </c>
      <c r="BU33" s="85">
        <f t="shared" si="8"/>
      </c>
      <c r="BV33" s="85">
        <f t="shared" si="9"/>
      </c>
      <c r="BW33" s="87">
        <f t="shared" si="10"/>
      </c>
      <c r="BX33" s="104"/>
      <c r="BY33" s="106"/>
      <c r="BZ33" s="104"/>
      <c r="CA33" s="105"/>
      <c r="CB33" s="77">
        <f>IF($A33="",0,IF($B33='FICHA CLIENTE'!$C$4,1,0))</f>
      </c>
      <c r="CC33" s="77">
        <f t="shared" si="11"/>
      </c>
      <c r="CD33" s="77">
        <f>IF($A33="",0,IF($D33='FICHA VEHICULO'!$C$4,1,0))</f>
      </c>
      <c r="CE33" s="77">
        <f t="shared" si="12"/>
      </c>
      <c r="CF33" s="77">
        <f t="shared" si="13"/>
      </c>
      <c r="CG33" s="77">
        <f t="shared" si="14"/>
      </c>
    </row>
    <row r="34" spans="1:85" ht="19.5" customHeight="1" x14ac:dyDescent="0.2">
      <c r="A34" s="104"/>
      <c r="B34" s="104"/>
      <c r="C34" s="105"/>
      <c r="D34" s="104"/>
      <c r="E34" s="105"/>
      <c r="F34" s="106"/>
      <c r="G34" s="104"/>
      <c r="H34" s="106"/>
      <c r="I34" s="107"/>
      <c r="J34" s="108"/>
      <c r="K34" s="108"/>
      <c r="L34" s="108"/>
      <c r="M34" s="105"/>
      <c r="N34" s="105"/>
      <c r="O34" s="105"/>
      <c r="P34" s="108"/>
      <c r="Q34" s="105"/>
      <c r="R34" s="105"/>
      <c r="S34" s="105"/>
      <c r="T34" s="105"/>
      <c r="U34" s="108"/>
      <c r="V34" s="105"/>
      <c r="W34" s="105"/>
      <c r="X34" s="105"/>
      <c r="Y34" s="105"/>
      <c r="Z34" s="105"/>
      <c r="AA34" s="108"/>
      <c r="AB34" s="108"/>
      <c r="AC34" s="105"/>
      <c r="AD34" s="279"/>
      <c r="AE34" s="105"/>
      <c r="AF34" s="279"/>
      <c r="AG34" s="105"/>
      <c r="AH34" s="108"/>
      <c r="AI34" s="108"/>
      <c r="AJ34" s="108"/>
      <c r="AK34" s="108"/>
      <c r="AL34" s="105"/>
      <c r="AM34" s="108"/>
      <c r="AN34" s="105"/>
      <c r="AO34" s="108"/>
      <c r="AP34" s="108"/>
      <c r="AQ34" s="105"/>
      <c r="AR34" s="108"/>
      <c r="AS34" s="108"/>
      <c r="AT34" s="105"/>
      <c r="AU34" s="105"/>
      <c r="AV34" s="105"/>
      <c r="AW34" s="105"/>
      <c r="AX34" s="105"/>
      <c r="AY34" s="105"/>
      <c r="AZ34" s="105"/>
      <c r="BA34" s="105"/>
      <c r="BB34" s="105"/>
      <c r="BC34" s="105"/>
      <c r="BD34" s="108"/>
      <c r="BE34" s="83">
        <f>IF($A34="","",IF(TRIM($D34&amp;"")="",IF(TRIM($AX34&amp;$AY34&amp;$AZ34&amp;$BA34&amp;$BB34&amp;$BC34&amp;$BD34&amp;"")="","","SUBARRENDADO"),IFERROR(IF(VLOOKUP($D34,VEHICULOS!$A$3:$H$202,7,FALSE)="","",VLOOKUP($D34,VEHICULOS!$A$3:$H$202,7,FALSE)),"")))</f>
      </c>
      <c r="BF34" s="82">
        <f>IF($A34="","",IF(TRIM($BC34&amp;"")&lt;&gt;"",$BC34,IF(TRIM($D34&amp;"")="","",IFERROR(IF(VLOOKUP($D34,VEHICULOS!$A$3:$H$202,8,FALSE)="","",VLOOKUP($D34,VEHICULOS!$A$3:$H$202,8,FALSE)),""))))</f>
      </c>
      <c r="BG34" s="106"/>
      <c r="BH34" s="107"/>
      <c r="BI34" s="86">
        <f t="shared" si="0"/>
      </c>
      <c r="BJ34" s="83">
        <f t="shared" si="1"/>
      </c>
      <c r="BK34" s="85">
        <f t="shared" si="2"/>
      </c>
      <c r="BL34" s="85">
        <f t="shared" si="3"/>
      </c>
      <c r="BM34" s="108"/>
      <c r="BN34" s="85">
        <f t="shared" si="4"/>
      </c>
      <c r="BO34" s="108"/>
      <c r="BP34" s="85">
        <f t="shared" si="5"/>
      </c>
      <c r="BQ34" s="85">
        <f t="shared" si="6"/>
      </c>
      <c r="BR34" s="108"/>
      <c r="BS34" s="104"/>
      <c r="BT34" s="87">
        <f t="shared" si="7"/>
      </c>
      <c r="BU34" s="85">
        <f t="shared" si="8"/>
      </c>
      <c r="BV34" s="85">
        <f t="shared" si="9"/>
      </c>
      <c r="BW34" s="87">
        <f t="shared" si="10"/>
      </c>
      <c r="BX34" s="104"/>
      <c r="BY34" s="106"/>
      <c r="BZ34" s="104"/>
      <c r="CA34" s="105"/>
      <c r="CB34" s="77">
        <f>IF($A34="",0,IF($B34='FICHA CLIENTE'!$C$4,1,0))</f>
      </c>
      <c r="CC34" s="77">
        <f t="shared" si="11"/>
      </c>
      <c r="CD34" s="77">
        <f>IF($A34="",0,IF($D34='FICHA VEHICULO'!$C$4,1,0))</f>
      </c>
      <c r="CE34" s="77">
        <f t="shared" si="12"/>
      </c>
      <c r="CF34" s="77">
        <f t="shared" si="13"/>
      </c>
      <c r="CG34" s="77">
        <f t="shared" si="14"/>
      </c>
    </row>
    <row r="35" spans="1:85" ht="19.5" customHeight="1" x14ac:dyDescent="0.2">
      <c r="A35" s="104"/>
      <c r="B35" s="104"/>
      <c r="C35" s="105"/>
      <c r="D35" s="104"/>
      <c r="E35" s="105"/>
      <c r="F35" s="106"/>
      <c r="G35" s="104"/>
      <c r="H35" s="106"/>
      <c r="I35" s="107"/>
      <c r="J35" s="108"/>
      <c r="K35" s="108"/>
      <c r="L35" s="108"/>
      <c r="M35" s="105"/>
      <c r="N35" s="105"/>
      <c r="O35" s="105"/>
      <c r="P35" s="108"/>
      <c r="Q35" s="105"/>
      <c r="R35" s="105"/>
      <c r="S35" s="105"/>
      <c r="T35" s="105"/>
      <c r="U35" s="108"/>
      <c r="V35" s="105"/>
      <c r="W35" s="105"/>
      <c r="X35" s="105"/>
      <c r="Y35" s="105"/>
      <c r="Z35" s="105"/>
      <c r="AA35" s="108"/>
      <c r="AB35" s="108"/>
      <c r="AC35" s="105"/>
      <c r="AD35" s="279"/>
      <c r="AE35" s="105"/>
      <c r="AF35" s="279"/>
      <c r="AG35" s="105"/>
      <c r="AH35" s="108"/>
      <c r="AI35" s="108"/>
      <c r="AJ35" s="108"/>
      <c r="AK35" s="108"/>
      <c r="AL35" s="105"/>
      <c r="AM35" s="108"/>
      <c r="AN35" s="105"/>
      <c r="AO35" s="108"/>
      <c r="AP35" s="108"/>
      <c r="AQ35" s="105"/>
      <c r="AR35" s="108"/>
      <c r="AS35" s="108"/>
      <c r="AT35" s="105"/>
      <c r="AU35" s="105"/>
      <c r="AV35" s="105"/>
      <c r="AW35" s="105"/>
      <c r="AX35" s="105"/>
      <c r="AY35" s="105"/>
      <c r="AZ35" s="105"/>
      <c r="BA35" s="105"/>
      <c r="BB35" s="105"/>
      <c r="BC35" s="105"/>
      <c r="BD35" s="108"/>
      <c r="BE35" s="83">
        <f>IF($A35="","",IF(TRIM($D35&amp;"")="",IF(TRIM($AX35&amp;$AY35&amp;$AZ35&amp;$BA35&amp;$BB35&amp;$BC35&amp;$BD35&amp;"")="","","SUBARRENDADO"),IFERROR(IF(VLOOKUP($D35,VEHICULOS!$A$3:$H$202,7,FALSE)="","",VLOOKUP($D35,VEHICULOS!$A$3:$H$202,7,FALSE)),"")))</f>
      </c>
      <c r="BF35" s="82">
        <f>IF($A35="","",IF(TRIM($BC35&amp;"")&lt;&gt;"",$BC35,IF(TRIM($D35&amp;"")="","",IFERROR(IF(VLOOKUP($D35,VEHICULOS!$A$3:$H$202,8,FALSE)="","",VLOOKUP($D35,VEHICULOS!$A$3:$H$202,8,FALSE)),""))))</f>
      </c>
      <c r="BG35" s="106"/>
      <c r="BH35" s="107"/>
      <c r="BI35" s="86">
        <f t="shared" si="0"/>
      </c>
      <c r="BJ35" s="83">
        <f t="shared" si="1"/>
      </c>
      <c r="BK35" s="85">
        <f t="shared" si="2"/>
      </c>
      <c r="BL35" s="85">
        <f t="shared" si="3"/>
      </c>
      <c r="BM35" s="108"/>
      <c r="BN35" s="85">
        <f t="shared" si="4"/>
      </c>
      <c r="BO35" s="108"/>
      <c r="BP35" s="85">
        <f t="shared" si="5"/>
      </c>
      <c r="BQ35" s="85">
        <f t="shared" si="6"/>
      </c>
      <c r="BR35" s="108"/>
      <c r="BS35" s="104"/>
      <c r="BT35" s="87">
        <f t="shared" si="7"/>
      </c>
      <c r="BU35" s="85">
        <f t="shared" si="8"/>
      </c>
      <c r="BV35" s="85">
        <f t="shared" si="9"/>
      </c>
      <c r="BW35" s="87">
        <f t="shared" si="10"/>
      </c>
      <c r="BX35" s="104"/>
      <c r="BY35" s="106"/>
      <c r="BZ35" s="104"/>
      <c r="CA35" s="105"/>
      <c r="CB35" s="77">
        <f>IF($A35="",0,IF($B35='FICHA CLIENTE'!$C$4,1,0))</f>
      </c>
      <c r="CC35" s="77">
        <f t="shared" si="11"/>
      </c>
      <c r="CD35" s="77">
        <f>IF($A35="",0,IF($D35='FICHA VEHICULO'!$C$4,1,0))</f>
      </c>
      <c r="CE35" s="77">
        <f t="shared" si="12"/>
      </c>
      <c r="CF35" s="77">
        <f t="shared" si="13"/>
      </c>
      <c r="CG35" s="77">
        <f t="shared" si="14"/>
      </c>
    </row>
    <row r="36" spans="1:85" ht="19.5" customHeight="1" x14ac:dyDescent="0.2">
      <c r="A36" s="104"/>
      <c r="B36" s="104"/>
      <c r="C36" s="105"/>
      <c r="D36" s="104"/>
      <c r="E36" s="105"/>
      <c r="F36" s="106"/>
      <c r="G36" s="104"/>
      <c r="H36" s="106"/>
      <c r="I36" s="107"/>
      <c r="J36" s="108"/>
      <c r="K36" s="108"/>
      <c r="L36" s="108"/>
      <c r="M36" s="105"/>
      <c r="N36" s="105"/>
      <c r="O36" s="105"/>
      <c r="P36" s="108"/>
      <c r="Q36" s="105"/>
      <c r="R36" s="105"/>
      <c r="S36" s="105"/>
      <c r="T36" s="105"/>
      <c r="U36" s="108"/>
      <c r="V36" s="105"/>
      <c r="W36" s="105"/>
      <c r="X36" s="105"/>
      <c r="Y36" s="105"/>
      <c r="Z36" s="105"/>
      <c r="AA36" s="108"/>
      <c r="AB36" s="108"/>
      <c r="AC36" s="105"/>
      <c r="AD36" s="279"/>
      <c r="AE36" s="105"/>
      <c r="AF36" s="279"/>
      <c r="AG36" s="105"/>
      <c r="AH36" s="108"/>
      <c r="AI36" s="108"/>
      <c r="AJ36" s="108"/>
      <c r="AK36" s="108"/>
      <c r="AL36" s="105"/>
      <c r="AM36" s="108"/>
      <c r="AN36" s="105"/>
      <c r="AO36" s="108"/>
      <c r="AP36" s="108"/>
      <c r="AQ36" s="105"/>
      <c r="AR36" s="108"/>
      <c r="AS36" s="108"/>
      <c r="AT36" s="105"/>
      <c r="AU36" s="105"/>
      <c r="AV36" s="105"/>
      <c r="AW36" s="105"/>
      <c r="AX36" s="105"/>
      <c r="AY36" s="105"/>
      <c r="AZ36" s="105"/>
      <c r="BA36" s="105"/>
      <c r="BB36" s="105"/>
      <c r="BC36" s="105"/>
      <c r="BD36" s="108"/>
      <c r="BE36" s="83">
        <f>IF($A36="","",IF(TRIM($D36&amp;"")="",IF(TRIM($AX36&amp;$AY36&amp;$AZ36&amp;$BA36&amp;$BB36&amp;$BC36&amp;$BD36&amp;"")="","","SUBARRENDADO"),IFERROR(IF(VLOOKUP($D36,VEHICULOS!$A$3:$H$202,7,FALSE)="","",VLOOKUP($D36,VEHICULOS!$A$3:$H$202,7,FALSE)),"")))</f>
      </c>
      <c r="BF36" s="82">
        <f>IF($A36="","",IF(TRIM($BC36&amp;"")&lt;&gt;"",$BC36,IF(TRIM($D36&amp;"")="","",IFERROR(IF(VLOOKUP($D36,VEHICULOS!$A$3:$H$202,8,FALSE)="","",VLOOKUP($D36,VEHICULOS!$A$3:$H$202,8,FALSE)),""))))</f>
      </c>
      <c r="BG36" s="106"/>
      <c r="BH36" s="107"/>
      <c r="BI36" s="86">
        <f t="shared" si="0"/>
      </c>
      <c r="BJ36" s="83">
        <f t="shared" si="1"/>
      </c>
      <c r="BK36" s="85">
        <f t="shared" si="2"/>
      </c>
      <c r="BL36" s="85">
        <f t="shared" si="3"/>
      </c>
      <c r="BM36" s="108"/>
      <c r="BN36" s="85">
        <f t="shared" si="4"/>
      </c>
      <c r="BO36" s="108"/>
      <c r="BP36" s="85">
        <f t="shared" si="5"/>
      </c>
      <c r="BQ36" s="85">
        <f t="shared" si="6"/>
      </c>
      <c r="BR36" s="108"/>
      <c r="BS36" s="104"/>
      <c r="BT36" s="87">
        <f t="shared" si="7"/>
      </c>
      <c r="BU36" s="85">
        <f t="shared" si="8"/>
      </c>
      <c r="BV36" s="85">
        <f t="shared" si="9"/>
      </c>
      <c r="BW36" s="87">
        <f t="shared" si="10"/>
      </c>
      <c r="BX36" s="104"/>
      <c r="BY36" s="106"/>
      <c r="BZ36" s="104"/>
      <c r="CA36" s="105"/>
      <c r="CB36" s="77">
        <f>IF($A36="",0,IF($B36='FICHA CLIENTE'!$C$4,1,0))</f>
      </c>
      <c r="CC36" s="77">
        <f t="shared" si="11"/>
      </c>
      <c r="CD36" s="77">
        <f>IF($A36="",0,IF($D36='FICHA VEHICULO'!$C$4,1,0))</f>
      </c>
      <c r="CE36" s="77">
        <f t="shared" si="12"/>
      </c>
      <c r="CF36" s="77">
        <f t="shared" si="13"/>
      </c>
      <c r="CG36" s="77">
        <f t="shared" si="14"/>
      </c>
    </row>
    <row r="37" spans="1:85" ht="19.5" customHeight="1" x14ac:dyDescent="0.2">
      <c r="A37" s="104"/>
      <c r="B37" s="104"/>
      <c r="C37" s="105"/>
      <c r="D37" s="104"/>
      <c r="E37" s="105"/>
      <c r="F37" s="106"/>
      <c r="G37" s="104"/>
      <c r="H37" s="106"/>
      <c r="I37" s="107"/>
      <c r="J37" s="108"/>
      <c r="K37" s="108"/>
      <c r="L37" s="108"/>
      <c r="M37" s="105"/>
      <c r="N37" s="105"/>
      <c r="O37" s="105"/>
      <c r="P37" s="108"/>
      <c r="Q37" s="105"/>
      <c r="R37" s="105"/>
      <c r="S37" s="105"/>
      <c r="T37" s="105"/>
      <c r="U37" s="108"/>
      <c r="V37" s="105"/>
      <c r="W37" s="105"/>
      <c r="X37" s="105"/>
      <c r="Y37" s="105"/>
      <c r="Z37" s="105"/>
      <c r="AA37" s="108"/>
      <c r="AB37" s="108"/>
      <c r="AC37" s="105"/>
      <c r="AD37" s="279"/>
      <c r="AE37" s="105"/>
      <c r="AF37" s="279"/>
      <c r="AG37" s="105"/>
      <c r="AH37" s="108"/>
      <c r="AI37" s="108"/>
      <c r="AJ37" s="108"/>
      <c r="AK37" s="108"/>
      <c r="AL37" s="105"/>
      <c r="AM37" s="108"/>
      <c r="AN37" s="105"/>
      <c r="AO37" s="108"/>
      <c r="AP37" s="108"/>
      <c r="AQ37" s="105"/>
      <c r="AR37" s="108"/>
      <c r="AS37" s="108"/>
      <c r="AT37" s="105"/>
      <c r="AU37" s="105"/>
      <c r="AV37" s="105"/>
      <c r="AW37" s="105"/>
      <c r="AX37" s="105"/>
      <c r="AY37" s="105"/>
      <c r="AZ37" s="105"/>
      <c r="BA37" s="105"/>
      <c r="BB37" s="105"/>
      <c r="BC37" s="105"/>
      <c r="BD37" s="108"/>
      <c r="BE37" s="83">
        <f>IF($A37="","",IF(TRIM($D37&amp;"")="",IF(TRIM($AX37&amp;$AY37&amp;$AZ37&amp;$BA37&amp;$BB37&amp;$BC37&amp;$BD37&amp;"")="","","SUBARRENDADO"),IFERROR(IF(VLOOKUP($D37,VEHICULOS!$A$3:$H$202,7,FALSE)="","",VLOOKUP($D37,VEHICULOS!$A$3:$H$202,7,FALSE)),"")))</f>
      </c>
      <c r="BF37" s="82">
        <f>IF($A37="","",IF(TRIM($BC37&amp;"")&lt;&gt;"",$BC37,IF(TRIM($D37&amp;"")="","",IFERROR(IF(VLOOKUP($D37,VEHICULOS!$A$3:$H$202,8,FALSE)="","",VLOOKUP($D37,VEHICULOS!$A$3:$H$202,8,FALSE)),""))))</f>
      </c>
      <c r="BG37" s="106"/>
      <c r="BH37" s="107"/>
      <c r="BI37" s="86">
        <f t="shared" si="0"/>
      </c>
      <c r="BJ37" s="83">
        <f t="shared" si="1"/>
      </c>
      <c r="BK37" s="85">
        <f t="shared" si="2"/>
      </c>
      <c r="BL37" s="85">
        <f t="shared" si="3"/>
      </c>
      <c r="BM37" s="108"/>
      <c r="BN37" s="85">
        <f t="shared" si="4"/>
      </c>
      <c r="BO37" s="108"/>
      <c r="BP37" s="85">
        <f t="shared" si="5"/>
      </c>
      <c r="BQ37" s="85">
        <f t="shared" si="6"/>
      </c>
      <c r="BR37" s="108"/>
      <c r="BS37" s="104"/>
      <c r="BT37" s="87">
        <f t="shared" si="7"/>
      </c>
      <c r="BU37" s="85">
        <f t="shared" si="8"/>
      </c>
      <c r="BV37" s="85">
        <f t="shared" si="9"/>
      </c>
      <c r="BW37" s="87">
        <f t="shared" si="10"/>
      </c>
      <c r="BX37" s="104"/>
      <c r="BY37" s="106"/>
      <c r="BZ37" s="104"/>
      <c r="CA37" s="105"/>
      <c r="CB37" s="77">
        <f>IF($A37="",0,IF($B37='FICHA CLIENTE'!$C$4,1,0))</f>
      </c>
      <c r="CC37" s="77">
        <f t="shared" si="11"/>
      </c>
      <c r="CD37" s="77">
        <f>IF($A37="",0,IF($D37='FICHA VEHICULO'!$C$4,1,0))</f>
      </c>
      <c r="CE37" s="77">
        <f t="shared" si="12"/>
      </c>
      <c r="CF37" s="77">
        <f t="shared" si="13"/>
      </c>
      <c r="CG37" s="77">
        <f t="shared" si="14"/>
      </c>
    </row>
    <row r="38" spans="1:85" ht="19.5" customHeight="1" x14ac:dyDescent="0.2">
      <c r="A38" s="104"/>
      <c r="B38" s="104"/>
      <c r="C38" s="105"/>
      <c r="D38" s="104"/>
      <c r="E38" s="105"/>
      <c r="F38" s="106"/>
      <c r="G38" s="104"/>
      <c r="H38" s="106"/>
      <c r="I38" s="107"/>
      <c r="J38" s="108"/>
      <c r="K38" s="108"/>
      <c r="L38" s="108"/>
      <c r="M38" s="105"/>
      <c r="N38" s="105"/>
      <c r="O38" s="105"/>
      <c r="P38" s="108"/>
      <c r="Q38" s="105"/>
      <c r="R38" s="105"/>
      <c r="S38" s="105"/>
      <c r="T38" s="105"/>
      <c r="U38" s="108"/>
      <c r="V38" s="105"/>
      <c r="W38" s="105"/>
      <c r="X38" s="105"/>
      <c r="Y38" s="105"/>
      <c r="Z38" s="105"/>
      <c r="AA38" s="108"/>
      <c r="AB38" s="108"/>
      <c r="AC38" s="105"/>
      <c r="AD38" s="279"/>
      <c r="AE38" s="105"/>
      <c r="AF38" s="279"/>
      <c r="AG38" s="105"/>
      <c r="AH38" s="108"/>
      <c r="AI38" s="108"/>
      <c r="AJ38" s="108"/>
      <c r="AK38" s="108"/>
      <c r="AL38" s="105"/>
      <c r="AM38" s="108"/>
      <c r="AN38" s="105"/>
      <c r="AO38" s="108"/>
      <c r="AP38" s="108"/>
      <c r="AQ38" s="105"/>
      <c r="AR38" s="108"/>
      <c r="AS38" s="108"/>
      <c r="AT38" s="105"/>
      <c r="AU38" s="105"/>
      <c r="AV38" s="105"/>
      <c r="AW38" s="105"/>
      <c r="AX38" s="105"/>
      <c r="AY38" s="105"/>
      <c r="AZ38" s="105"/>
      <c r="BA38" s="105"/>
      <c r="BB38" s="105"/>
      <c r="BC38" s="105"/>
      <c r="BD38" s="108"/>
      <c r="BE38" s="83">
        <f>IF($A38="","",IF(TRIM($D38&amp;"")="",IF(TRIM($AX38&amp;$AY38&amp;$AZ38&amp;$BA38&amp;$BB38&amp;$BC38&amp;$BD38&amp;"")="","","SUBARRENDADO"),IFERROR(IF(VLOOKUP($D38,VEHICULOS!$A$3:$H$202,7,FALSE)="","",VLOOKUP($D38,VEHICULOS!$A$3:$H$202,7,FALSE)),"")))</f>
      </c>
      <c r="BF38" s="82">
        <f>IF($A38="","",IF(TRIM($BC38&amp;"")&lt;&gt;"",$BC38,IF(TRIM($D38&amp;"")="","",IFERROR(IF(VLOOKUP($D38,VEHICULOS!$A$3:$H$202,8,FALSE)="","",VLOOKUP($D38,VEHICULOS!$A$3:$H$202,8,FALSE)),""))))</f>
      </c>
      <c r="BG38" s="106"/>
      <c r="BH38" s="107"/>
      <c r="BI38" s="86">
        <f t="shared" si="0"/>
      </c>
      <c r="BJ38" s="83">
        <f t="shared" si="1"/>
      </c>
      <c r="BK38" s="85">
        <f t="shared" si="2"/>
      </c>
      <c r="BL38" s="85">
        <f t="shared" si="3"/>
      </c>
      <c r="BM38" s="108"/>
      <c r="BN38" s="85">
        <f t="shared" si="4"/>
      </c>
      <c r="BO38" s="108"/>
      <c r="BP38" s="85">
        <f t="shared" si="5"/>
      </c>
      <c r="BQ38" s="85">
        <f t="shared" si="6"/>
      </c>
      <c r="BR38" s="108"/>
      <c r="BS38" s="104"/>
      <c r="BT38" s="87">
        <f t="shared" si="7"/>
      </c>
      <c r="BU38" s="85">
        <f t="shared" si="8"/>
      </c>
      <c r="BV38" s="85">
        <f t="shared" si="9"/>
      </c>
      <c r="BW38" s="87">
        <f t="shared" si="10"/>
      </c>
      <c r="BX38" s="104"/>
      <c r="BY38" s="106"/>
      <c r="BZ38" s="104"/>
      <c r="CA38" s="105"/>
      <c r="CB38" s="77">
        <f>IF($A38="",0,IF($B38='FICHA CLIENTE'!$C$4,1,0))</f>
      </c>
      <c r="CC38" s="77">
        <f t="shared" si="11"/>
      </c>
      <c r="CD38" s="77">
        <f>IF($A38="",0,IF($D38='FICHA VEHICULO'!$C$4,1,0))</f>
      </c>
      <c r="CE38" s="77">
        <f t="shared" si="12"/>
      </c>
      <c r="CF38" s="77">
        <f t="shared" si="13"/>
      </c>
      <c r="CG38" s="77">
        <f t="shared" si="14"/>
      </c>
    </row>
    <row r="39" spans="1:85" ht="19.5" customHeight="1" x14ac:dyDescent="0.2">
      <c r="A39" s="104"/>
      <c r="B39" s="104"/>
      <c r="C39" s="105"/>
      <c r="D39" s="104"/>
      <c r="E39" s="105"/>
      <c r="F39" s="106"/>
      <c r="G39" s="104"/>
      <c r="H39" s="106"/>
      <c r="I39" s="107"/>
      <c r="J39" s="108"/>
      <c r="K39" s="108"/>
      <c r="L39" s="108"/>
      <c r="M39" s="105"/>
      <c r="N39" s="105"/>
      <c r="O39" s="105"/>
      <c r="P39" s="108"/>
      <c r="Q39" s="105"/>
      <c r="R39" s="105"/>
      <c r="S39" s="105"/>
      <c r="T39" s="105"/>
      <c r="U39" s="108"/>
      <c r="V39" s="105"/>
      <c r="W39" s="105"/>
      <c r="X39" s="105"/>
      <c r="Y39" s="105"/>
      <c r="Z39" s="105"/>
      <c r="AA39" s="108"/>
      <c r="AB39" s="108"/>
      <c r="AC39" s="105"/>
      <c r="AD39" s="279"/>
      <c r="AE39" s="105"/>
      <c r="AF39" s="279"/>
      <c r="AG39" s="105"/>
      <c r="AH39" s="108"/>
      <c r="AI39" s="108"/>
      <c r="AJ39" s="108"/>
      <c r="AK39" s="108"/>
      <c r="AL39" s="105"/>
      <c r="AM39" s="108"/>
      <c r="AN39" s="105"/>
      <c r="AO39" s="108"/>
      <c r="AP39" s="108"/>
      <c r="AQ39" s="105"/>
      <c r="AR39" s="108"/>
      <c r="AS39" s="108"/>
      <c r="AT39" s="105"/>
      <c r="AU39" s="105"/>
      <c r="AV39" s="105"/>
      <c r="AW39" s="105"/>
      <c r="AX39" s="105"/>
      <c r="AY39" s="105"/>
      <c r="AZ39" s="105"/>
      <c r="BA39" s="105"/>
      <c r="BB39" s="105"/>
      <c r="BC39" s="105"/>
      <c r="BD39" s="108"/>
      <c r="BE39" s="83">
        <f>IF($A39="","",IF(TRIM($D39&amp;"")="",IF(TRIM($AX39&amp;$AY39&amp;$AZ39&amp;$BA39&amp;$BB39&amp;$BC39&amp;$BD39&amp;"")="","","SUBARRENDADO"),IFERROR(IF(VLOOKUP($D39,VEHICULOS!$A$3:$H$202,7,FALSE)="","",VLOOKUP($D39,VEHICULOS!$A$3:$H$202,7,FALSE)),"")))</f>
      </c>
      <c r="BF39" s="82">
        <f>IF($A39="","",IF(TRIM($BC39&amp;"")&lt;&gt;"",$BC39,IF(TRIM($D39&amp;"")="","",IFERROR(IF(VLOOKUP($D39,VEHICULOS!$A$3:$H$202,8,FALSE)="","",VLOOKUP($D39,VEHICULOS!$A$3:$H$202,8,FALSE)),""))))</f>
      </c>
      <c r="BG39" s="106"/>
      <c r="BH39" s="107"/>
      <c r="BI39" s="86">
        <f t="shared" si="0"/>
      </c>
      <c r="BJ39" s="83">
        <f t="shared" si="1"/>
      </c>
      <c r="BK39" s="85">
        <f t="shared" si="2"/>
      </c>
      <c r="BL39" s="85">
        <f t="shared" si="3"/>
      </c>
      <c r="BM39" s="108"/>
      <c r="BN39" s="85">
        <f t="shared" si="4"/>
      </c>
      <c r="BO39" s="108"/>
      <c r="BP39" s="85">
        <f t="shared" si="5"/>
      </c>
      <c r="BQ39" s="85">
        <f t="shared" si="6"/>
      </c>
      <c r="BR39" s="108"/>
      <c r="BS39" s="104"/>
      <c r="BT39" s="87">
        <f t="shared" si="7"/>
      </c>
      <c r="BU39" s="85">
        <f t="shared" si="8"/>
      </c>
      <c r="BV39" s="85">
        <f t="shared" si="9"/>
      </c>
      <c r="BW39" s="87">
        <f t="shared" si="10"/>
      </c>
      <c r="BX39" s="104"/>
      <c r="BY39" s="106"/>
      <c r="BZ39" s="104"/>
      <c r="CA39" s="105"/>
      <c r="CB39" s="77">
        <f>IF($A39="",0,IF($B39='FICHA CLIENTE'!$C$4,1,0))</f>
      </c>
      <c r="CC39" s="77">
        <f t="shared" si="11"/>
      </c>
      <c r="CD39" s="77">
        <f>IF($A39="",0,IF($D39='FICHA VEHICULO'!$C$4,1,0))</f>
      </c>
      <c r="CE39" s="77">
        <f t="shared" si="12"/>
      </c>
      <c r="CF39" s="77">
        <f t="shared" si="13"/>
      </c>
      <c r="CG39" s="77">
        <f t="shared" si="14"/>
      </c>
    </row>
    <row r="40" spans="1:85" ht="19.5" customHeight="1" x14ac:dyDescent="0.2">
      <c r="A40" s="104"/>
      <c r="B40" s="104"/>
      <c r="C40" s="105"/>
      <c r="D40" s="104"/>
      <c r="E40" s="105"/>
      <c r="F40" s="106"/>
      <c r="G40" s="104"/>
      <c r="H40" s="106"/>
      <c r="I40" s="107"/>
      <c r="J40" s="108"/>
      <c r="K40" s="108"/>
      <c r="L40" s="108"/>
      <c r="M40" s="105"/>
      <c r="N40" s="105"/>
      <c r="O40" s="105"/>
      <c r="P40" s="108"/>
      <c r="Q40" s="105"/>
      <c r="R40" s="105"/>
      <c r="S40" s="105"/>
      <c r="T40" s="105"/>
      <c r="U40" s="108"/>
      <c r="V40" s="105"/>
      <c r="W40" s="105"/>
      <c r="X40" s="105"/>
      <c r="Y40" s="105"/>
      <c r="Z40" s="105"/>
      <c r="AA40" s="108"/>
      <c r="AB40" s="108"/>
      <c r="AC40" s="105"/>
      <c r="AD40" s="279"/>
      <c r="AE40" s="105"/>
      <c r="AF40" s="279"/>
      <c r="AG40" s="105"/>
      <c r="AH40" s="108"/>
      <c r="AI40" s="108"/>
      <c r="AJ40" s="108"/>
      <c r="AK40" s="108"/>
      <c r="AL40" s="105"/>
      <c r="AM40" s="108"/>
      <c r="AN40" s="105"/>
      <c r="AO40" s="108"/>
      <c r="AP40" s="108"/>
      <c r="AQ40" s="105"/>
      <c r="AR40" s="108"/>
      <c r="AS40" s="108"/>
      <c r="AT40" s="105"/>
      <c r="AU40" s="105"/>
      <c r="AV40" s="105"/>
      <c r="AW40" s="105"/>
      <c r="AX40" s="105"/>
      <c r="AY40" s="105"/>
      <c r="AZ40" s="105"/>
      <c r="BA40" s="105"/>
      <c r="BB40" s="105"/>
      <c r="BC40" s="105"/>
      <c r="BD40" s="108"/>
      <c r="BE40" s="83">
        <f>IF($A40="","",IF(TRIM($D40&amp;"")="",IF(TRIM($AX40&amp;$AY40&amp;$AZ40&amp;$BA40&amp;$BB40&amp;$BC40&amp;$BD40&amp;"")="","","SUBARRENDADO"),IFERROR(IF(VLOOKUP($D40,VEHICULOS!$A$3:$H$202,7,FALSE)="","",VLOOKUP($D40,VEHICULOS!$A$3:$H$202,7,FALSE)),"")))</f>
      </c>
      <c r="BF40" s="82">
        <f>IF($A40="","",IF(TRIM($BC40&amp;"")&lt;&gt;"",$BC40,IF(TRIM($D40&amp;"")="","",IFERROR(IF(VLOOKUP($D40,VEHICULOS!$A$3:$H$202,8,FALSE)="","",VLOOKUP($D40,VEHICULOS!$A$3:$H$202,8,FALSE)),""))))</f>
      </c>
      <c r="BG40" s="106"/>
      <c r="BH40" s="107"/>
      <c r="BI40" s="86">
        <f t="shared" si="0"/>
      </c>
      <c r="BJ40" s="83">
        <f t="shared" si="1"/>
      </c>
      <c r="BK40" s="85">
        <f t="shared" si="2"/>
      </c>
      <c r="BL40" s="85">
        <f t="shared" si="3"/>
      </c>
      <c r="BM40" s="108"/>
      <c r="BN40" s="85">
        <f t="shared" si="4"/>
      </c>
      <c r="BO40" s="108"/>
      <c r="BP40" s="85">
        <f t="shared" si="5"/>
      </c>
      <c r="BQ40" s="85">
        <f t="shared" si="6"/>
      </c>
      <c r="BR40" s="108"/>
      <c r="BS40" s="104"/>
      <c r="BT40" s="87">
        <f t="shared" si="7"/>
      </c>
      <c r="BU40" s="85">
        <f t="shared" si="8"/>
      </c>
      <c r="BV40" s="85">
        <f t="shared" si="9"/>
      </c>
      <c r="BW40" s="87">
        <f t="shared" si="10"/>
      </c>
      <c r="BX40" s="104"/>
      <c r="BY40" s="106"/>
      <c r="BZ40" s="104"/>
      <c r="CA40" s="105"/>
      <c r="CB40" s="77">
        <f>IF($A40="",0,IF($B40='FICHA CLIENTE'!$C$4,1,0))</f>
      </c>
      <c r="CC40" s="77">
        <f t="shared" si="11"/>
      </c>
      <c r="CD40" s="77">
        <f>IF($A40="",0,IF($D40='FICHA VEHICULO'!$C$4,1,0))</f>
      </c>
      <c r="CE40" s="77">
        <f t="shared" si="12"/>
      </c>
      <c r="CF40" s="77">
        <f t="shared" si="13"/>
      </c>
      <c r="CG40" s="77">
        <f t="shared" si="14"/>
      </c>
    </row>
    <row r="41" spans="1:85" ht="19.5" customHeight="1" x14ac:dyDescent="0.2">
      <c r="A41" s="104"/>
      <c r="B41" s="104"/>
      <c r="C41" s="105"/>
      <c r="D41" s="104"/>
      <c r="E41" s="105"/>
      <c r="F41" s="106"/>
      <c r="G41" s="104"/>
      <c r="H41" s="106"/>
      <c r="I41" s="107"/>
      <c r="J41" s="108"/>
      <c r="K41" s="108"/>
      <c r="L41" s="108"/>
      <c r="M41" s="105"/>
      <c r="N41" s="105"/>
      <c r="O41" s="105"/>
      <c r="P41" s="108"/>
      <c r="Q41" s="105"/>
      <c r="R41" s="105"/>
      <c r="S41" s="105"/>
      <c r="T41" s="105"/>
      <c r="U41" s="108"/>
      <c r="V41" s="105"/>
      <c r="W41" s="105"/>
      <c r="X41" s="105"/>
      <c r="Y41" s="105"/>
      <c r="Z41" s="105"/>
      <c r="AA41" s="108"/>
      <c r="AB41" s="108"/>
      <c r="AC41" s="105"/>
      <c r="AD41" s="279"/>
      <c r="AE41" s="105"/>
      <c r="AF41" s="279"/>
      <c r="AG41" s="105"/>
      <c r="AH41" s="108"/>
      <c r="AI41" s="108"/>
      <c r="AJ41" s="108"/>
      <c r="AK41" s="108"/>
      <c r="AL41" s="105"/>
      <c r="AM41" s="108"/>
      <c r="AN41" s="105"/>
      <c r="AO41" s="108"/>
      <c r="AP41" s="108"/>
      <c r="AQ41" s="105"/>
      <c r="AR41" s="108"/>
      <c r="AS41" s="108"/>
      <c r="AT41" s="105"/>
      <c r="AU41" s="105"/>
      <c r="AV41" s="105"/>
      <c r="AW41" s="105"/>
      <c r="AX41" s="105"/>
      <c r="AY41" s="105"/>
      <c r="AZ41" s="105"/>
      <c r="BA41" s="105"/>
      <c r="BB41" s="105"/>
      <c r="BC41" s="105"/>
      <c r="BD41" s="108"/>
      <c r="BE41" s="83">
        <f>IF($A41="","",IF(TRIM($D41&amp;"")="",IF(TRIM($AX41&amp;$AY41&amp;$AZ41&amp;$BA41&amp;$BB41&amp;$BC41&amp;$BD41&amp;"")="","","SUBARRENDADO"),IFERROR(IF(VLOOKUP($D41,VEHICULOS!$A$3:$H$202,7,FALSE)="","",VLOOKUP($D41,VEHICULOS!$A$3:$H$202,7,FALSE)),"")))</f>
      </c>
      <c r="BF41" s="82">
        <f>IF($A41="","",IF(TRIM($BC41&amp;"")&lt;&gt;"",$BC41,IF(TRIM($D41&amp;"")="","",IFERROR(IF(VLOOKUP($D41,VEHICULOS!$A$3:$H$202,8,FALSE)="","",VLOOKUP($D41,VEHICULOS!$A$3:$H$202,8,FALSE)),""))))</f>
      </c>
      <c r="BG41" s="106"/>
      <c r="BH41" s="107"/>
      <c r="BI41" s="86">
        <f t="shared" si="0"/>
      </c>
      <c r="BJ41" s="83">
        <f t="shared" si="1"/>
      </c>
      <c r="BK41" s="85">
        <f t="shared" si="2"/>
      </c>
      <c r="BL41" s="85">
        <f t="shared" si="3"/>
      </c>
      <c r="BM41" s="108"/>
      <c r="BN41" s="85">
        <f t="shared" si="4"/>
      </c>
      <c r="BO41" s="108"/>
      <c r="BP41" s="85">
        <f t="shared" si="5"/>
      </c>
      <c r="BQ41" s="85">
        <f t="shared" si="6"/>
      </c>
      <c r="BR41" s="108"/>
      <c r="BS41" s="104"/>
      <c r="BT41" s="87">
        <f t="shared" si="7"/>
      </c>
      <c r="BU41" s="85">
        <f t="shared" si="8"/>
      </c>
      <c r="BV41" s="85">
        <f t="shared" si="9"/>
      </c>
      <c r="BW41" s="87">
        <f t="shared" si="10"/>
      </c>
      <c r="BX41" s="104"/>
      <c r="BY41" s="106"/>
      <c r="BZ41" s="104"/>
      <c r="CA41" s="105"/>
      <c r="CB41" s="77">
        <f>IF($A41="",0,IF($B41='FICHA CLIENTE'!$C$4,1,0))</f>
      </c>
      <c r="CC41" s="77">
        <f t="shared" si="11"/>
      </c>
      <c r="CD41" s="77">
        <f>IF($A41="",0,IF($D41='FICHA VEHICULO'!$C$4,1,0))</f>
      </c>
      <c r="CE41" s="77">
        <f t="shared" si="12"/>
      </c>
      <c r="CF41" s="77">
        <f t="shared" si="13"/>
      </c>
      <c r="CG41" s="77">
        <f t="shared" si="14"/>
      </c>
    </row>
    <row r="42" spans="1:85" ht="19.5" customHeight="1" x14ac:dyDescent="0.2">
      <c r="A42" s="104"/>
      <c r="B42" s="104"/>
      <c r="C42" s="105"/>
      <c r="D42" s="104"/>
      <c r="E42" s="105"/>
      <c r="F42" s="106"/>
      <c r="G42" s="104"/>
      <c r="H42" s="106"/>
      <c r="I42" s="107"/>
      <c r="J42" s="108"/>
      <c r="K42" s="108"/>
      <c r="L42" s="108"/>
      <c r="M42" s="105"/>
      <c r="N42" s="105"/>
      <c r="O42" s="105"/>
      <c r="P42" s="108"/>
      <c r="Q42" s="105"/>
      <c r="R42" s="105"/>
      <c r="S42" s="105"/>
      <c r="T42" s="105"/>
      <c r="U42" s="108"/>
      <c r="V42" s="105"/>
      <c r="W42" s="105"/>
      <c r="X42" s="105"/>
      <c r="Y42" s="105"/>
      <c r="Z42" s="105"/>
      <c r="AA42" s="108"/>
      <c r="AB42" s="108"/>
      <c r="AC42" s="105"/>
      <c r="AD42" s="279"/>
      <c r="AE42" s="105"/>
      <c r="AF42" s="279"/>
      <c r="AG42" s="105"/>
      <c r="AH42" s="108"/>
      <c r="AI42" s="108"/>
      <c r="AJ42" s="108"/>
      <c r="AK42" s="108"/>
      <c r="AL42" s="105"/>
      <c r="AM42" s="108"/>
      <c r="AN42" s="105"/>
      <c r="AO42" s="108"/>
      <c r="AP42" s="108"/>
      <c r="AQ42" s="105"/>
      <c r="AR42" s="108"/>
      <c r="AS42" s="108"/>
      <c r="AT42" s="105"/>
      <c r="AU42" s="105"/>
      <c r="AV42" s="105"/>
      <c r="AW42" s="105"/>
      <c r="AX42" s="105"/>
      <c r="AY42" s="105"/>
      <c r="AZ42" s="105"/>
      <c r="BA42" s="105"/>
      <c r="BB42" s="105"/>
      <c r="BC42" s="105"/>
      <c r="BD42" s="108"/>
      <c r="BE42" s="83">
        <f>IF($A42="","",IF(TRIM($D42&amp;"")="",IF(TRIM($AX42&amp;$AY42&amp;$AZ42&amp;$BA42&amp;$BB42&amp;$BC42&amp;$BD42&amp;"")="","","SUBARRENDADO"),IFERROR(IF(VLOOKUP($D42,VEHICULOS!$A$3:$H$202,7,FALSE)="","",VLOOKUP($D42,VEHICULOS!$A$3:$H$202,7,FALSE)),"")))</f>
      </c>
      <c r="BF42" s="82">
        <f>IF($A42="","",IF(TRIM($BC42&amp;"")&lt;&gt;"",$BC42,IF(TRIM($D42&amp;"")="","",IFERROR(IF(VLOOKUP($D42,VEHICULOS!$A$3:$H$202,8,FALSE)="","",VLOOKUP($D42,VEHICULOS!$A$3:$H$202,8,FALSE)),""))))</f>
      </c>
      <c r="BG42" s="106"/>
      <c r="BH42" s="107"/>
      <c r="BI42" s="86">
        <f t="shared" si="0"/>
      </c>
      <c r="BJ42" s="83">
        <f t="shared" si="1"/>
      </c>
      <c r="BK42" s="85">
        <f t="shared" si="2"/>
      </c>
      <c r="BL42" s="85">
        <f t="shared" si="3"/>
      </c>
      <c r="BM42" s="108"/>
      <c r="BN42" s="85">
        <f t="shared" si="4"/>
      </c>
      <c r="BO42" s="108"/>
      <c r="BP42" s="85">
        <f t="shared" si="5"/>
      </c>
      <c r="BQ42" s="85">
        <f t="shared" si="6"/>
      </c>
      <c r="BR42" s="108"/>
      <c r="BS42" s="104"/>
      <c r="BT42" s="87">
        <f t="shared" si="7"/>
      </c>
      <c r="BU42" s="85">
        <f t="shared" si="8"/>
      </c>
      <c r="BV42" s="85">
        <f t="shared" si="9"/>
      </c>
      <c r="BW42" s="87">
        <f t="shared" si="10"/>
      </c>
      <c r="BX42" s="104"/>
      <c r="BY42" s="106"/>
      <c r="BZ42" s="104"/>
      <c r="CA42" s="105"/>
      <c r="CB42" s="77">
        <f>IF($A42="",0,IF($B42='FICHA CLIENTE'!$C$4,1,0))</f>
      </c>
      <c r="CC42" s="77">
        <f t="shared" si="11"/>
      </c>
      <c r="CD42" s="77">
        <f>IF($A42="",0,IF($D42='FICHA VEHICULO'!$C$4,1,0))</f>
      </c>
      <c r="CE42" s="77">
        <f t="shared" si="12"/>
      </c>
      <c r="CF42" s="77">
        <f t="shared" si="13"/>
      </c>
      <c r="CG42" s="77">
        <f t="shared" si="14"/>
      </c>
    </row>
    <row r="43" spans="1:85" ht="19.5" customHeight="1" x14ac:dyDescent="0.2">
      <c r="A43" s="104"/>
      <c r="B43" s="104"/>
      <c r="C43" s="105"/>
      <c r="D43" s="104"/>
      <c r="E43" s="105"/>
      <c r="F43" s="106"/>
      <c r="G43" s="104"/>
      <c r="H43" s="106"/>
      <c r="I43" s="107"/>
      <c r="J43" s="108"/>
      <c r="K43" s="108"/>
      <c r="L43" s="108"/>
      <c r="M43" s="105"/>
      <c r="N43" s="105"/>
      <c r="O43" s="105"/>
      <c r="P43" s="108"/>
      <c r="Q43" s="105"/>
      <c r="R43" s="105"/>
      <c r="S43" s="105"/>
      <c r="T43" s="105"/>
      <c r="U43" s="108"/>
      <c r="V43" s="105"/>
      <c r="W43" s="105"/>
      <c r="X43" s="105"/>
      <c r="Y43" s="105"/>
      <c r="Z43" s="105"/>
      <c r="AA43" s="108"/>
      <c r="AB43" s="108"/>
      <c r="AC43" s="105"/>
      <c r="AD43" s="279"/>
      <c r="AE43" s="105"/>
      <c r="AF43" s="279"/>
      <c r="AG43" s="105"/>
      <c r="AH43" s="108"/>
      <c r="AI43" s="108"/>
      <c r="AJ43" s="108"/>
      <c r="AK43" s="108"/>
      <c r="AL43" s="105"/>
      <c r="AM43" s="108"/>
      <c r="AN43" s="105"/>
      <c r="AO43" s="108"/>
      <c r="AP43" s="108"/>
      <c r="AQ43" s="105"/>
      <c r="AR43" s="108"/>
      <c r="AS43" s="108"/>
      <c r="AT43" s="105"/>
      <c r="AU43" s="105"/>
      <c r="AV43" s="105"/>
      <c r="AW43" s="105"/>
      <c r="AX43" s="105"/>
      <c r="AY43" s="105"/>
      <c r="AZ43" s="105"/>
      <c r="BA43" s="105"/>
      <c r="BB43" s="105"/>
      <c r="BC43" s="105"/>
      <c r="BD43" s="108"/>
      <c r="BE43" s="83">
        <f>IF($A43="","",IF(TRIM($D43&amp;"")="",IF(TRIM($AX43&amp;$AY43&amp;$AZ43&amp;$BA43&amp;$BB43&amp;$BC43&amp;$BD43&amp;"")="","","SUBARRENDADO"),IFERROR(IF(VLOOKUP($D43,VEHICULOS!$A$3:$H$202,7,FALSE)="","",VLOOKUP($D43,VEHICULOS!$A$3:$H$202,7,FALSE)),"")))</f>
      </c>
      <c r="BF43" s="82">
        <f>IF($A43="","",IF(TRIM($BC43&amp;"")&lt;&gt;"",$BC43,IF(TRIM($D43&amp;"")="","",IFERROR(IF(VLOOKUP($D43,VEHICULOS!$A$3:$H$202,8,FALSE)="","",VLOOKUP($D43,VEHICULOS!$A$3:$H$202,8,FALSE)),""))))</f>
      </c>
      <c r="BG43" s="106"/>
      <c r="BH43" s="107"/>
      <c r="BI43" s="86">
        <f t="shared" si="0"/>
      </c>
      <c r="BJ43" s="83">
        <f t="shared" si="1"/>
      </c>
      <c r="BK43" s="85">
        <f t="shared" si="2"/>
      </c>
      <c r="BL43" s="85">
        <f t="shared" si="3"/>
      </c>
      <c r="BM43" s="108"/>
      <c r="BN43" s="85">
        <f t="shared" si="4"/>
      </c>
      <c r="BO43" s="108"/>
      <c r="BP43" s="85">
        <f t="shared" si="5"/>
      </c>
      <c r="BQ43" s="85">
        <f t="shared" si="6"/>
      </c>
      <c r="BR43" s="108"/>
      <c r="BS43" s="104"/>
      <c r="BT43" s="87">
        <f t="shared" si="7"/>
      </c>
      <c r="BU43" s="85">
        <f t="shared" si="8"/>
      </c>
      <c r="BV43" s="85">
        <f t="shared" si="9"/>
      </c>
      <c r="BW43" s="87">
        <f t="shared" si="10"/>
      </c>
      <c r="BX43" s="104"/>
      <c r="BY43" s="106"/>
      <c r="BZ43" s="104"/>
      <c r="CA43" s="105"/>
      <c r="CB43" s="77">
        <f>IF($A43="",0,IF($B43='FICHA CLIENTE'!$C$4,1,0))</f>
      </c>
      <c r="CC43" s="77">
        <f t="shared" si="11"/>
      </c>
      <c r="CD43" s="77">
        <f>IF($A43="",0,IF($D43='FICHA VEHICULO'!$C$4,1,0))</f>
      </c>
      <c r="CE43" s="77">
        <f t="shared" si="12"/>
      </c>
      <c r="CF43" s="77">
        <f t="shared" si="13"/>
      </c>
      <c r="CG43" s="77">
        <f t="shared" si="14"/>
      </c>
    </row>
    <row r="44" spans="1:85" ht="19.5" customHeight="1" x14ac:dyDescent="0.2">
      <c r="A44" s="104"/>
      <c r="B44" s="104"/>
      <c r="C44" s="105"/>
      <c r="D44" s="104"/>
      <c r="E44" s="105"/>
      <c r="F44" s="106"/>
      <c r="G44" s="104"/>
      <c r="H44" s="106"/>
      <c r="I44" s="107"/>
      <c r="J44" s="108"/>
      <c r="K44" s="108"/>
      <c r="L44" s="108"/>
      <c r="M44" s="105"/>
      <c r="N44" s="105"/>
      <c r="O44" s="105"/>
      <c r="P44" s="108"/>
      <c r="Q44" s="105"/>
      <c r="R44" s="105"/>
      <c r="S44" s="105"/>
      <c r="T44" s="105"/>
      <c r="U44" s="108"/>
      <c r="V44" s="105"/>
      <c r="W44" s="105"/>
      <c r="X44" s="105"/>
      <c r="Y44" s="105"/>
      <c r="Z44" s="105"/>
      <c r="AA44" s="108"/>
      <c r="AB44" s="108"/>
      <c r="AC44" s="105"/>
      <c r="AD44" s="279"/>
      <c r="AE44" s="105"/>
      <c r="AF44" s="279"/>
      <c r="AG44" s="105"/>
      <c r="AH44" s="108"/>
      <c r="AI44" s="108"/>
      <c r="AJ44" s="108"/>
      <c r="AK44" s="108"/>
      <c r="AL44" s="105"/>
      <c r="AM44" s="108"/>
      <c r="AN44" s="105"/>
      <c r="AO44" s="108"/>
      <c r="AP44" s="108"/>
      <c r="AQ44" s="105"/>
      <c r="AR44" s="108"/>
      <c r="AS44" s="108"/>
      <c r="AT44" s="105"/>
      <c r="AU44" s="105"/>
      <c r="AV44" s="105"/>
      <c r="AW44" s="105"/>
      <c r="AX44" s="105"/>
      <c r="AY44" s="105"/>
      <c r="AZ44" s="105"/>
      <c r="BA44" s="105"/>
      <c r="BB44" s="105"/>
      <c r="BC44" s="105"/>
      <c r="BD44" s="108"/>
      <c r="BE44" s="83">
        <f>IF($A44="","",IF(TRIM($D44&amp;"")="",IF(TRIM($AX44&amp;$AY44&amp;$AZ44&amp;$BA44&amp;$BB44&amp;$BC44&amp;$BD44&amp;"")="","","SUBARRENDADO"),IFERROR(IF(VLOOKUP($D44,VEHICULOS!$A$3:$H$202,7,FALSE)="","",VLOOKUP($D44,VEHICULOS!$A$3:$H$202,7,FALSE)),"")))</f>
      </c>
      <c r="BF44" s="82">
        <f>IF($A44="","",IF(TRIM($BC44&amp;"")&lt;&gt;"",$BC44,IF(TRIM($D44&amp;"")="","",IFERROR(IF(VLOOKUP($D44,VEHICULOS!$A$3:$H$202,8,FALSE)="","",VLOOKUP($D44,VEHICULOS!$A$3:$H$202,8,FALSE)),""))))</f>
      </c>
      <c r="BG44" s="106"/>
      <c r="BH44" s="107"/>
      <c r="BI44" s="86">
        <f t="shared" si="0"/>
      </c>
      <c r="BJ44" s="83">
        <f t="shared" si="1"/>
      </c>
      <c r="BK44" s="85">
        <f t="shared" si="2"/>
      </c>
      <c r="BL44" s="85">
        <f t="shared" si="3"/>
      </c>
      <c r="BM44" s="108"/>
      <c r="BN44" s="85">
        <f t="shared" si="4"/>
      </c>
      <c r="BO44" s="108"/>
      <c r="BP44" s="85">
        <f t="shared" si="5"/>
      </c>
      <c r="BQ44" s="85">
        <f t="shared" si="6"/>
      </c>
      <c r="BR44" s="108"/>
      <c r="BS44" s="104"/>
      <c r="BT44" s="87">
        <f t="shared" si="7"/>
      </c>
      <c r="BU44" s="85">
        <f t="shared" si="8"/>
      </c>
      <c r="BV44" s="85">
        <f t="shared" si="9"/>
      </c>
      <c r="BW44" s="87">
        <f t="shared" si="10"/>
      </c>
      <c r="BX44" s="104"/>
      <c r="BY44" s="106"/>
      <c r="BZ44" s="104"/>
      <c r="CA44" s="105"/>
      <c r="CB44" s="77">
        <f>IF($A44="",0,IF($B44='FICHA CLIENTE'!$C$4,1,0))</f>
      </c>
      <c r="CC44" s="77">
        <f t="shared" si="11"/>
      </c>
      <c r="CD44" s="77">
        <f>IF($A44="",0,IF($D44='FICHA VEHICULO'!$C$4,1,0))</f>
      </c>
      <c r="CE44" s="77">
        <f t="shared" si="12"/>
      </c>
      <c r="CF44" s="77">
        <f t="shared" si="13"/>
      </c>
      <c r="CG44" s="77">
        <f t="shared" si="14"/>
      </c>
    </row>
    <row r="45" spans="1:85" ht="19.5" customHeight="1" x14ac:dyDescent="0.2">
      <c r="A45" s="104"/>
      <c r="B45" s="104"/>
      <c r="C45" s="105"/>
      <c r="D45" s="104"/>
      <c r="E45" s="105"/>
      <c r="F45" s="106"/>
      <c r="G45" s="104"/>
      <c r="H45" s="106"/>
      <c r="I45" s="107"/>
      <c r="J45" s="108"/>
      <c r="K45" s="108"/>
      <c r="L45" s="108"/>
      <c r="M45" s="105"/>
      <c r="N45" s="105"/>
      <c r="O45" s="105"/>
      <c r="P45" s="108"/>
      <c r="Q45" s="105"/>
      <c r="R45" s="105"/>
      <c r="S45" s="105"/>
      <c r="T45" s="105"/>
      <c r="U45" s="108"/>
      <c r="V45" s="105"/>
      <c r="W45" s="105"/>
      <c r="X45" s="105"/>
      <c r="Y45" s="105"/>
      <c r="Z45" s="105"/>
      <c r="AA45" s="108"/>
      <c r="AB45" s="108"/>
      <c r="AC45" s="105"/>
      <c r="AD45" s="279"/>
      <c r="AE45" s="105"/>
      <c r="AF45" s="279"/>
      <c r="AG45" s="105"/>
      <c r="AH45" s="108"/>
      <c r="AI45" s="108"/>
      <c r="AJ45" s="108"/>
      <c r="AK45" s="108"/>
      <c r="AL45" s="105"/>
      <c r="AM45" s="108"/>
      <c r="AN45" s="105"/>
      <c r="AO45" s="108"/>
      <c r="AP45" s="108"/>
      <c r="AQ45" s="105"/>
      <c r="AR45" s="108"/>
      <c r="AS45" s="108"/>
      <c r="AT45" s="105"/>
      <c r="AU45" s="105"/>
      <c r="AV45" s="105"/>
      <c r="AW45" s="105"/>
      <c r="AX45" s="105"/>
      <c r="AY45" s="105"/>
      <c r="AZ45" s="105"/>
      <c r="BA45" s="105"/>
      <c r="BB45" s="105"/>
      <c r="BC45" s="105"/>
      <c r="BD45" s="108"/>
      <c r="BE45" s="83">
        <f>IF($A45="","",IF(TRIM($D45&amp;"")="",IF(TRIM($AX45&amp;$AY45&amp;$AZ45&amp;$BA45&amp;$BB45&amp;$BC45&amp;$BD45&amp;"")="","","SUBARRENDADO"),IFERROR(IF(VLOOKUP($D45,VEHICULOS!$A$3:$H$202,7,FALSE)="","",VLOOKUP($D45,VEHICULOS!$A$3:$H$202,7,FALSE)),"")))</f>
      </c>
      <c r="BF45" s="82">
        <f>IF($A45="","",IF(TRIM($BC45&amp;"")&lt;&gt;"",$BC45,IF(TRIM($D45&amp;"")="","",IFERROR(IF(VLOOKUP($D45,VEHICULOS!$A$3:$H$202,8,FALSE)="","",VLOOKUP($D45,VEHICULOS!$A$3:$H$202,8,FALSE)),""))))</f>
      </c>
      <c r="BG45" s="106"/>
      <c r="BH45" s="107"/>
      <c r="BI45" s="86">
        <f t="shared" si="0"/>
      </c>
      <c r="BJ45" s="83">
        <f t="shared" si="1"/>
      </c>
      <c r="BK45" s="85">
        <f t="shared" si="2"/>
      </c>
      <c r="BL45" s="85">
        <f t="shared" si="3"/>
      </c>
      <c r="BM45" s="108"/>
      <c r="BN45" s="85">
        <f t="shared" si="4"/>
      </c>
      <c r="BO45" s="108"/>
      <c r="BP45" s="85">
        <f t="shared" si="5"/>
      </c>
      <c r="BQ45" s="85">
        <f t="shared" si="6"/>
      </c>
      <c r="BR45" s="108"/>
      <c r="BS45" s="104"/>
      <c r="BT45" s="87">
        <f t="shared" si="7"/>
      </c>
      <c r="BU45" s="85">
        <f t="shared" si="8"/>
      </c>
      <c r="BV45" s="85">
        <f t="shared" si="9"/>
      </c>
      <c r="BW45" s="87">
        <f t="shared" si="10"/>
      </c>
      <c r="BX45" s="104"/>
      <c r="BY45" s="106"/>
      <c r="BZ45" s="104"/>
      <c r="CA45" s="105"/>
      <c r="CB45" s="77">
        <f>IF($A45="",0,IF($B45='FICHA CLIENTE'!$C$4,1,0))</f>
      </c>
      <c r="CC45" s="77">
        <f t="shared" si="11"/>
      </c>
      <c r="CD45" s="77">
        <f>IF($A45="",0,IF($D45='FICHA VEHICULO'!$C$4,1,0))</f>
      </c>
      <c r="CE45" s="77">
        <f t="shared" si="12"/>
      </c>
      <c r="CF45" s="77">
        <f t="shared" si="13"/>
      </c>
      <c r="CG45" s="77">
        <f t="shared" si="14"/>
      </c>
    </row>
    <row r="46" spans="1:85" ht="19.5" customHeight="1" x14ac:dyDescent="0.2">
      <c r="A46" s="104"/>
      <c r="B46" s="104"/>
      <c r="C46" s="105"/>
      <c r="D46" s="104"/>
      <c r="E46" s="105"/>
      <c r="F46" s="106"/>
      <c r="G46" s="104"/>
      <c r="H46" s="106"/>
      <c r="I46" s="107"/>
      <c r="J46" s="108"/>
      <c r="K46" s="108"/>
      <c r="L46" s="108"/>
      <c r="M46" s="105"/>
      <c r="N46" s="105"/>
      <c r="O46" s="105"/>
      <c r="P46" s="108"/>
      <c r="Q46" s="105"/>
      <c r="R46" s="105"/>
      <c r="S46" s="105"/>
      <c r="T46" s="105"/>
      <c r="U46" s="108"/>
      <c r="V46" s="105"/>
      <c r="W46" s="105"/>
      <c r="X46" s="105"/>
      <c r="Y46" s="105"/>
      <c r="Z46" s="105"/>
      <c r="AA46" s="108"/>
      <c r="AB46" s="108"/>
      <c r="AC46" s="105"/>
      <c r="AD46" s="279"/>
      <c r="AE46" s="105"/>
      <c r="AF46" s="279"/>
      <c r="AG46" s="105"/>
      <c r="AH46" s="108"/>
      <c r="AI46" s="108"/>
      <c r="AJ46" s="108"/>
      <c r="AK46" s="108"/>
      <c r="AL46" s="105"/>
      <c r="AM46" s="108"/>
      <c r="AN46" s="105"/>
      <c r="AO46" s="108"/>
      <c r="AP46" s="108"/>
      <c r="AQ46" s="105"/>
      <c r="AR46" s="108"/>
      <c r="AS46" s="108"/>
      <c r="AT46" s="105"/>
      <c r="AU46" s="105"/>
      <c r="AV46" s="105"/>
      <c r="AW46" s="105"/>
      <c r="AX46" s="105"/>
      <c r="AY46" s="105"/>
      <c r="AZ46" s="105"/>
      <c r="BA46" s="105"/>
      <c r="BB46" s="105"/>
      <c r="BC46" s="105"/>
      <c r="BD46" s="108"/>
      <c r="BE46" s="83">
        <f>IF($A46="","",IF(TRIM($D46&amp;"")="",IF(TRIM($AX46&amp;$AY46&amp;$AZ46&amp;$BA46&amp;$BB46&amp;$BC46&amp;$BD46&amp;"")="","","SUBARRENDADO"),IFERROR(IF(VLOOKUP($D46,VEHICULOS!$A$3:$H$202,7,FALSE)="","",VLOOKUP($D46,VEHICULOS!$A$3:$H$202,7,FALSE)),"")))</f>
      </c>
      <c r="BF46" s="82">
        <f>IF($A46="","",IF(TRIM($BC46&amp;"")&lt;&gt;"",$BC46,IF(TRIM($D46&amp;"")="","",IFERROR(IF(VLOOKUP($D46,VEHICULOS!$A$3:$H$202,8,FALSE)="","",VLOOKUP($D46,VEHICULOS!$A$3:$H$202,8,FALSE)),""))))</f>
      </c>
      <c r="BG46" s="106"/>
      <c r="BH46" s="107"/>
      <c r="BI46" s="86">
        <f t="shared" si="0"/>
      </c>
      <c r="BJ46" s="83">
        <f t="shared" si="1"/>
      </c>
      <c r="BK46" s="85">
        <f t="shared" si="2"/>
      </c>
      <c r="BL46" s="85">
        <f t="shared" si="3"/>
      </c>
      <c r="BM46" s="108"/>
      <c r="BN46" s="85">
        <f t="shared" si="4"/>
      </c>
      <c r="BO46" s="108"/>
      <c r="BP46" s="85">
        <f t="shared" si="5"/>
      </c>
      <c r="BQ46" s="85">
        <f t="shared" si="6"/>
      </c>
      <c r="BR46" s="108"/>
      <c r="BS46" s="104"/>
      <c r="BT46" s="87">
        <f t="shared" si="7"/>
      </c>
      <c r="BU46" s="85">
        <f t="shared" si="8"/>
      </c>
      <c r="BV46" s="85">
        <f t="shared" si="9"/>
      </c>
      <c r="BW46" s="87">
        <f t="shared" si="10"/>
      </c>
      <c r="BX46" s="104"/>
      <c r="BY46" s="106"/>
      <c r="BZ46" s="104"/>
      <c r="CA46" s="105"/>
      <c r="CB46" s="77">
        <f>IF($A46="",0,IF($B46='FICHA CLIENTE'!$C$4,1,0))</f>
      </c>
      <c r="CC46" s="77">
        <f t="shared" si="11"/>
      </c>
      <c r="CD46" s="77">
        <f>IF($A46="",0,IF($D46='FICHA VEHICULO'!$C$4,1,0))</f>
      </c>
      <c r="CE46" s="77">
        <f t="shared" si="12"/>
      </c>
      <c r="CF46" s="77">
        <f t="shared" si="13"/>
      </c>
      <c r="CG46" s="77">
        <f t="shared" si="14"/>
      </c>
    </row>
    <row r="47" spans="1:85" ht="19.5" customHeight="1" x14ac:dyDescent="0.2">
      <c r="A47" s="104"/>
      <c r="B47" s="104"/>
      <c r="C47" s="105"/>
      <c r="D47" s="104"/>
      <c r="E47" s="105"/>
      <c r="F47" s="106"/>
      <c r="G47" s="104"/>
      <c r="H47" s="106"/>
      <c r="I47" s="107"/>
      <c r="J47" s="108"/>
      <c r="K47" s="108"/>
      <c r="L47" s="108"/>
      <c r="M47" s="105"/>
      <c r="N47" s="105"/>
      <c r="O47" s="105"/>
      <c r="P47" s="108"/>
      <c r="Q47" s="105"/>
      <c r="R47" s="105"/>
      <c r="S47" s="105"/>
      <c r="T47" s="105"/>
      <c r="U47" s="108"/>
      <c r="V47" s="105"/>
      <c r="W47" s="105"/>
      <c r="X47" s="105"/>
      <c r="Y47" s="105"/>
      <c r="Z47" s="105"/>
      <c r="AA47" s="108"/>
      <c r="AB47" s="108"/>
      <c r="AC47" s="105"/>
      <c r="AD47" s="279"/>
      <c r="AE47" s="105"/>
      <c r="AF47" s="279"/>
      <c r="AG47" s="105"/>
      <c r="AH47" s="108"/>
      <c r="AI47" s="108"/>
      <c r="AJ47" s="108"/>
      <c r="AK47" s="108"/>
      <c r="AL47" s="105"/>
      <c r="AM47" s="108"/>
      <c r="AN47" s="105"/>
      <c r="AO47" s="108"/>
      <c r="AP47" s="108"/>
      <c r="AQ47" s="105"/>
      <c r="AR47" s="108"/>
      <c r="AS47" s="108"/>
      <c r="AT47" s="105"/>
      <c r="AU47" s="105"/>
      <c r="AV47" s="105"/>
      <c r="AW47" s="105"/>
      <c r="AX47" s="105"/>
      <c r="AY47" s="105"/>
      <c r="AZ47" s="105"/>
      <c r="BA47" s="105"/>
      <c r="BB47" s="105"/>
      <c r="BC47" s="105"/>
      <c r="BD47" s="108"/>
      <c r="BE47" s="83">
        <f>IF($A47="","",IF(TRIM($D47&amp;"")="",IF(TRIM($AX47&amp;$AY47&amp;$AZ47&amp;$BA47&amp;$BB47&amp;$BC47&amp;$BD47&amp;"")="","","SUBARRENDADO"),IFERROR(IF(VLOOKUP($D47,VEHICULOS!$A$3:$H$202,7,FALSE)="","",VLOOKUP($D47,VEHICULOS!$A$3:$H$202,7,FALSE)),"")))</f>
      </c>
      <c r="BF47" s="82">
        <f>IF($A47="","",IF(TRIM($BC47&amp;"")&lt;&gt;"",$BC47,IF(TRIM($D47&amp;"")="","",IFERROR(IF(VLOOKUP($D47,VEHICULOS!$A$3:$H$202,8,FALSE)="","",VLOOKUP($D47,VEHICULOS!$A$3:$H$202,8,FALSE)),""))))</f>
      </c>
      <c r="BG47" s="106"/>
      <c r="BH47" s="107"/>
      <c r="BI47" s="86">
        <f t="shared" si="0"/>
      </c>
      <c r="BJ47" s="83">
        <f t="shared" si="1"/>
      </c>
      <c r="BK47" s="85">
        <f t="shared" si="2"/>
      </c>
      <c r="BL47" s="85">
        <f t="shared" si="3"/>
      </c>
      <c r="BM47" s="108"/>
      <c r="BN47" s="85">
        <f t="shared" si="4"/>
      </c>
      <c r="BO47" s="108"/>
      <c r="BP47" s="85">
        <f t="shared" si="5"/>
      </c>
      <c r="BQ47" s="85">
        <f t="shared" si="6"/>
      </c>
      <c r="BR47" s="108"/>
      <c r="BS47" s="104"/>
      <c r="BT47" s="87">
        <f t="shared" si="7"/>
      </c>
      <c r="BU47" s="85">
        <f t="shared" si="8"/>
      </c>
      <c r="BV47" s="85">
        <f t="shared" si="9"/>
      </c>
      <c r="BW47" s="87">
        <f t="shared" si="10"/>
      </c>
      <c r="BX47" s="104"/>
      <c r="BY47" s="106"/>
      <c r="BZ47" s="104"/>
      <c r="CA47" s="105"/>
      <c r="CB47" s="77">
        <f>IF($A47="",0,IF($B47='FICHA CLIENTE'!$C$4,1,0))</f>
      </c>
      <c r="CC47" s="77">
        <f t="shared" si="11"/>
      </c>
      <c r="CD47" s="77">
        <f>IF($A47="",0,IF($D47='FICHA VEHICULO'!$C$4,1,0))</f>
      </c>
      <c r="CE47" s="77">
        <f t="shared" si="12"/>
      </c>
      <c r="CF47" s="77">
        <f t="shared" si="13"/>
      </c>
      <c r="CG47" s="77">
        <f t="shared" si="14"/>
      </c>
    </row>
    <row r="48" spans="1:85" ht="19.5" customHeight="1" x14ac:dyDescent="0.2">
      <c r="A48" s="104"/>
      <c r="B48" s="104"/>
      <c r="C48" s="105"/>
      <c r="D48" s="104"/>
      <c r="E48" s="105"/>
      <c r="F48" s="106"/>
      <c r="G48" s="104"/>
      <c r="H48" s="106"/>
      <c r="I48" s="107"/>
      <c r="J48" s="108"/>
      <c r="K48" s="108"/>
      <c r="L48" s="108"/>
      <c r="M48" s="105"/>
      <c r="N48" s="105"/>
      <c r="O48" s="105"/>
      <c r="P48" s="108"/>
      <c r="Q48" s="105"/>
      <c r="R48" s="105"/>
      <c r="S48" s="105"/>
      <c r="T48" s="105"/>
      <c r="U48" s="108"/>
      <c r="V48" s="105"/>
      <c r="W48" s="105"/>
      <c r="X48" s="105"/>
      <c r="Y48" s="105"/>
      <c r="Z48" s="105"/>
      <c r="AA48" s="108"/>
      <c r="AB48" s="108"/>
      <c r="AC48" s="105"/>
      <c r="AD48" s="279"/>
      <c r="AE48" s="105"/>
      <c r="AF48" s="279"/>
      <c r="AG48" s="105"/>
      <c r="AH48" s="108"/>
      <c r="AI48" s="108"/>
      <c r="AJ48" s="108"/>
      <c r="AK48" s="108"/>
      <c r="AL48" s="105"/>
      <c r="AM48" s="108"/>
      <c r="AN48" s="105"/>
      <c r="AO48" s="108"/>
      <c r="AP48" s="108"/>
      <c r="AQ48" s="105"/>
      <c r="AR48" s="108"/>
      <c r="AS48" s="108"/>
      <c r="AT48" s="105"/>
      <c r="AU48" s="105"/>
      <c r="AV48" s="105"/>
      <c r="AW48" s="105"/>
      <c r="AX48" s="105"/>
      <c r="AY48" s="105"/>
      <c r="AZ48" s="105"/>
      <c r="BA48" s="105"/>
      <c r="BB48" s="105"/>
      <c r="BC48" s="105"/>
      <c r="BD48" s="108"/>
      <c r="BE48" s="83">
        <f>IF($A48="","",IF(TRIM($D48&amp;"")="",IF(TRIM($AX48&amp;$AY48&amp;$AZ48&amp;$BA48&amp;$BB48&amp;$BC48&amp;$BD48&amp;"")="","","SUBARRENDADO"),IFERROR(IF(VLOOKUP($D48,VEHICULOS!$A$3:$H$202,7,FALSE)="","",VLOOKUP($D48,VEHICULOS!$A$3:$H$202,7,FALSE)),"")))</f>
      </c>
      <c r="BF48" s="82">
        <f>IF($A48="","",IF(TRIM($BC48&amp;"")&lt;&gt;"",$BC48,IF(TRIM($D48&amp;"")="","",IFERROR(IF(VLOOKUP($D48,VEHICULOS!$A$3:$H$202,8,FALSE)="","",VLOOKUP($D48,VEHICULOS!$A$3:$H$202,8,FALSE)),""))))</f>
      </c>
      <c r="BG48" s="106"/>
      <c r="BH48" s="107"/>
      <c r="BI48" s="86">
        <f t="shared" si="0"/>
      </c>
      <c r="BJ48" s="83">
        <f t="shared" si="1"/>
      </c>
      <c r="BK48" s="85">
        <f t="shared" si="2"/>
      </c>
      <c r="BL48" s="85">
        <f t="shared" si="3"/>
      </c>
      <c r="BM48" s="108"/>
      <c r="BN48" s="85">
        <f t="shared" si="4"/>
      </c>
      <c r="BO48" s="108"/>
      <c r="BP48" s="85">
        <f t="shared" si="5"/>
      </c>
      <c r="BQ48" s="85">
        <f t="shared" si="6"/>
      </c>
      <c r="BR48" s="108"/>
      <c r="BS48" s="104"/>
      <c r="BT48" s="87">
        <f t="shared" si="7"/>
      </c>
      <c r="BU48" s="85">
        <f t="shared" si="8"/>
      </c>
      <c r="BV48" s="85">
        <f t="shared" si="9"/>
      </c>
      <c r="BW48" s="87">
        <f t="shared" si="10"/>
      </c>
      <c r="BX48" s="104"/>
      <c r="BY48" s="106"/>
      <c r="BZ48" s="104"/>
      <c r="CA48" s="105"/>
      <c r="CB48" s="77">
        <f>IF($A48="",0,IF($B48='FICHA CLIENTE'!$C$4,1,0))</f>
      </c>
      <c r="CC48" s="77">
        <f t="shared" si="11"/>
      </c>
      <c r="CD48" s="77">
        <f>IF($A48="",0,IF($D48='FICHA VEHICULO'!$C$4,1,0))</f>
      </c>
      <c r="CE48" s="77">
        <f t="shared" si="12"/>
      </c>
      <c r="CF48" s="77">
        <f t="shared" si="13"/>
      </c>
      <c r="CG48" s="77">
        <f t="shared" si="14"/>
      </c>
    </row>
    <row r="49" spans="1:85" ht="19.5" customHeight="1" x14ac:dyDescent="0.2">
      <c r="A49" s="104"/>
      <c r="B49" s="104"/>
      <c r="C49" s="105"/>
      <c r="D49" s="104"/>
      <c r="E49" s="105"/>
      <c r="F49" s="106"/>
      <c r="G49" s="104"/>
      <c r="H49" s="106"/>
      <c r="I49" s="107"/>
      <c r="J49" s="108"/>
      <c r="K49" s="108"/>
      <c r="L49" s="108"/>
      <c r="M49" s="105"/>
      <c r="N49" s="105"/>
      <c r="O49" s="105"/>
      <c r="P49" s="108"/>
      <c r="Q49" s="105"/>
      <c r="R49" s="105"/>
      <c r="S49" s="105"/>
      <c r="T49" s="105"/>
      <c r="U49" s="108"/>
      <c r="V49" s="105"/>
      <c r="W49" s="105"/>
      <c r="X49" s="105"/>
      <c r="Y49" s="105"/>
      <c r="Z49" s="105"/>
      <c r="AA49" s="108"/>
      <c r="AB49" s="108"/>
      <c r="AC49" s="105"/>
      <c r="AD49" s="279"/>
      <c r="AE49" s="105"/>
      <c r="AF49" s="279"/>
      <c r="AG49" s="105"/>
      <c r="AH49" s="108"/>
      <c r="AI49" s="108"/>
      <c r="AJ49" s="108"/>
      <c r="AK49" s="108"/>
      <c r="AL49" s="105"/>
      <c r="AM49" s="108"/>
      <c r="AN49" s="105"/>
      <c r="AO49" s="108"/>
      <c r="AP49" s="108"/>
      <c r="AQ49" s="105"/>
      <c r="AR49" s="108"/>
      <c r="AS49" s="108"/>
      <c r="AT49" s="105"/>
      <c r="AU49" s="105"/>
      <c r="AV49" s="105"/>
      <c r="AW49" s="105"/>
      <c r="AX49" s="105"/>
      <c r="AY49" s="105"/>
      <c r="AZ49" s="105"/>
      <c r="BA49" s="105"/>
      <c r="BB49" s="105"/>
      <c r="BC49" s="105"/>
      <c r="BD49" s="108"/>
      <c r="BE49" s="83">
        <f>IF($A49="","",IF(TRIM($D49&amp;"")="",IF(TRIM($AX49&amp;$AY49&amp;$AZ49&amp;$BA49&amp;$BB49&amp;$BC49&amp;$BD49&amp;"")="","","SUBARRENDADO"),IFERROR(IF(VLOOKUP($D49,VEHICULOS!$A$3:$H$202,7,FALSE)="","",VLOOKUP($D49,VEHICULOS!$A$3:$H$202,7,FALSE)),"")))</f>
      </c>
      <c r="BF49" s="82">
        <f>IF($A49="","",IF(TRIM($BC49&amp;"")&lt;&gt;"",$BC49,IF(TRIM($D49&amp;"")="","",IFERROR(IF(VLOOKUP($D49,VEHICULOS!$A$3:$H$202,8,FALSE)="","",VLOOKUP($D49,VEHICULOS!$A$3:$H$202,8,FALSE)),""))))</f>
      </c>
      <c r="BG49" s="106"/>
      <c r="BH49" s="107"/>
      <c r="BI49" s="86">
        <f t="shared" si="0"/>
      </c>
      <c r="BJ49" s="83">
        <f t="shared" si="1"/>
      </c>
      <c r="BK49" s="85">
        <f t="shared" si="2"/>
      </c>
      <c r="BL49" s="85">
        <f t="shared" si="3"/>
      </c>
      <c r="BM49" s="108"/>
      <c r="BN49" s="85">
        <f t="shared" si="4"/>
      </c>
      <c r="BO49" s="108"/>
      <c r="BP49" s="85">
        <f t="shared" si="5"/>
      </c>
      <c r="BQ49" s="85">
        <f t="shared" si="6"/>
      </c>
      <c r="BR49" s="108"/>
      <c r="BS49" s="104"/>
      <c r="BT49" s="87">
        <f t="shared" si="7"/>
      </c>
      <c r="BU49" s="85">
        <f t="shared" si="8"/>
      </c>
      <c r="BV49" s="85">
        <f t="shared" si="9"/>
      </c>
      <c r="BW49" s="87">
        <f t="shared" si="10"/>
      </c>
      <c r="BX49" s="104"/>
      <c r="BY49" s="106"/>
      <c r="BZ49" s="104"/>
      <c r="CA49" s="105"/>
      <c r="CB49" s="77">
        <f>IF($A49="",0,IF($B49='FICHA CLIENTE'!$C$4,1,0))</f>
      </c>
      <c r="CC49" s="77">
        <f t="shared" si="11"/>
      </c>
      <c r="CD49" s="77">
        <f>IF($A49="",0,IF($D49='FICHA VEHICULO'!$C$4,1,0))</f>
      </c>
      <c r="CE49" s="77">
        <f t="shared" si="12"/>
      </c>
      <c r="CF49" s="77">
        <f t="shared" si="13"/>
      </c>
      <c r="CG49" s="77">
        <f t="shared" si="14"/>
      </c>
    </row>
    <row r="50" spans="1:85" ht="19.5" customHeight="1" x14ac:dyDescent="0.2">
      <c r="A50" s="104"/>
      <c r="B50" s="104"/>
      <c r="C50" s="105"/>
      <c r="D50" s="104"/>
      <c r="E50" s="105"/>
      <c r="F50" s="106"/>
      <c r="G50" s="104"/>
      <c r="H50" s="106"/>
      <c r="I50" s="107"/>
      <c r="J50" s="108"/>
      <c r="K50" s="108"/>
      <c r="L50" s="108"/>
      <c r="M50" s="105"/>
      <c r="N50" s="105"/>
      <c r="O50" s="105"/>
      <c r="P50" s="108"/>
      <c r="Q50" s="105"/>
      <c r="R50" s="105"/>
      <c r="S50" s="105"/>
      <c r="T50" s="105"/>
      <c r="U50" s="108"/>
      <c r="V50" s="105"/>
      <c r="W50" s="105"/>
      <c r="X50" s="105"/>
      <c r="Y50" s="105"/>
      <c r="Z50" s="105"/>
      <c r="AA50" s="108"/>
      <c r="AB50" s="108"/>
      <c r="AC50" s="105"/>
      <c r="AD50" s="279"/>
      <c r="AE50" s="105"/>
      <c r="AF50" s="279"/>
      <c r="AG50" s="105"/>
      <c r="AH50" s="108"/>
      <c r="AI50" s="108"/>
      <c r="AJ50" s="108"/>
      <c r="AK50" s="108"/>
      <c r="AL50" s="105"/>
      <c r="AM50" s="108"/>
      <c r="AN50" s="105"/>
      <c r="AO50" s="108"/>
      <c r="AP50" s="108"/>
      <c r="AQ50" s="105"/>
      <c r="AR50" s="108"/>
      <c r="AS50" s="108"/>
      <c r="AT50" s="105"/>
      <c r="AU50" s="105"/>
      <c r="AV50" s="105"/>
      <c r="AW50" s="105"/>
      <c r="AX50" s="105"/>
      <c r="AY50" s="105"/>
      <c r="AZ50" s="105"/>
      <c r="BA50" s="105"/>
      <c r="BB50" s="105"/>
      <c r="BC50" s="105"/>
      <c r="BD50" s="108"/>
      <c r="BE50" s="83">
        <f>IF($A50="","",IF(TRIM($D50&amp;"")="",IF(TRIM($AX50&amp;$AY50&amp;$AZ50&amp;$BA50&amp;$BB50&amp;$BC50&amp;$BD50&amp;"")="","","SUBARRENDADO"),IFERROR(IF(VLOOKUP($D50,VEHICULOS!$A$3:$H$202,7,FALSE)="","",VLOOKUP($D50,VEHICULOS!$A$3:$H$202,7,FALSE)),"")))</f>
      </c>
      <c r="BF50" s="82">
        <f>IF($A50="","",IF(TRIM($BC50&amp;"")&lt;&gt;"",$BC50,IF(TRIM($D50&amp;"")="","",IFERROR(IF(VLOOKUP($D50,VEHICULOS!$A$3:$H$202,8,FALSE)="","",VLOOKUP($D50,VEHICULOS!$A$3:$H$202,8,FALSE)),""))))</f>
      </c>
      <c r="BG50" s="106"/>
      <c r="BH50" s="107"/>
      <c r="BI50" s="86">
        <f t="shared" si="0"/>
      </c>
      <c r="BJ50" s="83">
        <f t="shared" si="1"/>
      </c>
      <c r="BK50" s="85">
        <f t="shared" si="2"/>
      </c>
      <c r="BL50" s="85">
        <f t="shared" si="3"/>
      </c>
      <c r="BM50" s="108"/>
      <c r="BN50" s="85">
        <f t="shared" si="4"/>
      </c>
      <c r="BO50" s="108"/>
      <c r="BP50" s="85">
        <f t="shared" si="5"/>
      </c>
      <c r="BQ50" s="85">
        <f t="shared" si="6"/>
      </c>
      <c r="BR50" s="108"/>
      <c r="BS50" s="104"/>
      <c r="BT50" s="87">
        <f t="shared" si="7"/>
      </c>
      <c r="BU50" s="85">
        <f t="shared" si="8"/>
      </c>
      <c r="BV50" s="85">
        <f t="shared" si="9"/>
      </c>
      <c r="BW50" s="87">
        <f t="shared" si="10"/>
      </c>
      <c r="BX50" s="104"/>
      <c r="BY50" s="106"/>
      <c r="BZ50" s="104"/>
      <c r="CA50" s="105"/>
      <c r="CB50" s="77">
        <f>IF($A50="",0,IF($B50='FICHA CLIENTE'!$C$4,1,0))</f>
      </c>
      <c r="CC50" s="77">
        <f t="shared" si="11"/>
      </c>
      <c r="CD50" s="77">
        <f>IF($A50="",0,IF($D50='FICHA VEHICULO'!$C$4,1,0))</f>
      </c>
      <c r="CE50" s="77">
        <f t="shared" si="12"/>
      </c>
      <c r="CF50" s="77">
        <f t="shared" si="13"/>
      </c>
      <c r="CG50" s="77">
        <f t="shared" si="14"/>
      </c>
    </row>
    <row r="51" spans="1:85" ht="19.5" customHeight="1" x14ac:dyDescent="0.2">
      <c r="A51" s="104"/>
      <c r="B51" s="104"/>
      <c r="C51" s="105"/>
      <c r="D51" s="104"/>
      <c r="E51" s="105"/>
      <c r="F51" s="106"/>
      <c r="G51" s="104"/>
      <c r="H51" s="106"/>
      <c r="I51" s="107"/>
      <c r="J51" s="108"/>
      <c r="K51" s="108"/>
      <c r="L51" s="108"/>
      <c r="M51" s="105"/>
      <c r="N51" s="105"/>
      <c r="O51" s="105"/>
      <c r="P51" s="108"/>
      <c r="Q51" s="105"/>
      <c r="R51" s="105"/>
      <c r="S51" s="105"/>
      <c r="T51" s="105"/>
      <c r="U51" s="108"/>
      <c r="V51" s="105"/>
      <c r="W51" s="105"/>
      <c r="X51" s="105"/>
      <c r="Y51" s="105"/>
      <c r="Z51" s="105"/>
      <c r="AA51" s="108"/>
      <c r="AB51" s="108"/>
      <c r="AC51" s="105"/>
      <c r="AD51" s="279"/>
      <c r="AE51" s="105"/>
      <c r="AF51" s="279"/>
      <c r="AG51" s="105"/>
      <c r="AH51" s="108"/>
      <c r="AI51" s="108"/>
      <c r="AJ51" s="108"/>
      <c r="AK51" s="108"/>
      <c r="AL51" s="105"/>
      <c r="AM51" s="108"/>
      <c r="AN51" s="105"/>
      <c r="AO51" s="108"/>
      <c r="AP51" s="108"/>
      <c r="AQ51" s="105"/>
      <c r="AR51" s="108"/>
      <c r="AS51" s="108"/>
      <c r="AT51" s="105"/>
      <c r="AU51" s="105"/>
      <c r="AV51" s="105"/>
      <c r="AW51" s="105"/>
      <c r="AX51" s="105"/>
      <c r="AY51" s="105"/>
      <c r="AZ51" s="105"/>
      <c r="BA51" s="105"/>
      <c r="BB51" s="105"/>
      <c r="BC51" s="105"/>
      <c r="BD51" s="108"/>
      <c r="BE51" s="83">
        <f>IF($A51="","",IF(TRIM($D51&amp;"")="",IF(TRIM($AX51&amp;$AY51&amp;$AZ51&amp;$BA51&amp;$BB51&amp;$BC51&amp;$BD51&amp;"")="","","SUBARRENDADO"),IFERROR(IF(VLOOKUP($D51,VEHICULOS!$A$3:$H$202,7,FALSE)="","",VLOOKUP($D51,VEHICULOS!$A$3:$H$202,7,FALSE)),"")))</f>
      </c>
      <c r="BF51" s="82">
        <f>IF($A51="","",IF(TRIM($BC51&amp;"")&lt;&gt;"",$BC51,IF(TRIM($D51&amp;"")="","",IFERROR(IF(VLOOKUP($D51,VEHICULOS!$A$3:$H$202,8,FALSE)="","",VLOOKUP($D51,VEHICULOS!$A$3:$H$202,8,FALSE)),""))))</f>
      </c>
      <c r="BG51" s="106"/>
      <c r="BH51" s="107"/>
      <c r="BI51" s="86">
        <f t="shared" si="0"/>
      </c>
      <c r="BJ51" s="83">
        <f t="shared" si="1"/>
      </c>
      <c r="BK51" s="85">
        <f t="shared" si="2"/>
      </c>
      <c r="BL51" s="85">
        <f t="shared" si="3"/>
      </c>
      <c r="BM51" s="108"/>
      <c r="BN51" s="85">
        <f t="shared" si="4"/>
      </c>
      <c r="BO51" s="108"/>
      <c r="BP51" s="85">
        <f t="shared" si="5"/>
      </c>
      <c r="BQ51" s="85">
        <f t="shared" si="6"/>
      </c>
      <c r="BR51" s="108"/>
      <c r="BS51" s="104"/>
      <c r="BT51" s="87">
        <f t="shared" si="7"/>
      </c>
      <c r="BU51" s="85">
        <f t="shared" si="8"/>
      </c>
      <c r="BV51" s="85">
        <f t="shared" si="9"/>
      </c>
      <c r="BW51" s="87">
        <f t="shared" si="10"/>
      </c>
      <c r="BX51" s="104"/>
      <c r="BY51" s="106"/>
      <c r="BZ51" s="104"/>
      <c r="CA51" s="105"/>
      <c r="CB51" s="77">
        <f>IF($A51="",0,IF($B51='FICHA CLIENTE'!$C$4,1,0))</f>
      </c>
      <c r="CC51" s="77">
        <f t="shared" si="11"/>
      </c>
      <c r="CD51" s="77">
        <f>IF($A51="",0,IF($D51='FICHA VEHICULO'!$C$4,1,0))</f>
      </c>
      <c r="CE51" s="77">
        <f t="shared" si="12"/>
      </c>
      <c r="CF51" s="77">
        <f t="shared" si="13"/>
      </c>
      <c r="CG51" s="77">
        <f t="shared" si="14"/>
      </c>
    </row>
    <row r="52" spans="1:85" ht="19.5" customHeight="1" x14ac:dyDescent="0.2">
      <c r="A52" s="104"/>
      <c r="B52" s="104"/>
      <c r="C52" s="105"/>
      <c r="D52" s="104"/>
      <c r="E52" s="105"/>
      <c r="F52" s="106"/>
      <c r="G52" s="104"/>
      <c r="H52" s="106"/>
      <c r="I52" s="107"/>
      <c r="J52" s="108"/>
      <c r="K52" s="108"/>
      <c r="L52" s="108"/>
      <c r="M52" s="105"/>
      <c r="N52" s="105"/>
      <c r="O52" s="105"/>
      <c r="P52" s="108"/>
      <c r="Q52" s="105"/>
      <c r="R52" s="105"/>
      <c r="S52" s="105"/>
      <c r="T52" s="105"/>
      <c r="U52" s="108"/>
      <c r="V52" s="105"/>
      <c r="W52" s="105"/>
      <c r="X52" s="105"/>
      <c r="Y52" s="105"/>
      <c r="Z52" s="105"/>
      <c r="AA52" s="108"/>
      <c r="AB52" s="108"/>
      <c r="AC52" s="105"/>
      <c r="AD52" s="279"/>
      <c r="AE52" s="105"/>
      <c r="AF52" s="279"/>
      <c r="AG52" s="105"/>
      <c r="AH52" s="108"/>
      <c r="AI52" s="108"/>
      <c r="AJ52" s="108"/>
      <c r="AK52" s="108"/>
      <c r="AL52" s="105"/>
      <c r="AM52" s="108"/>
      <c r="AN52" s="105"/>
      <c r="AO52" s="108"/>
      <c r="AP52" s="108"/>
      <c r="AQ52" s="105"/>
      <c r="AR52" s="108"/>
      <c r="AS52" s="108"/>
      <c r="AT52" s="105"/>
      <c r="AU52" s="105"/>
      <c r="AV52" s="105"/>
      <c r="AW52" s="105"/>
      <c r="AX52" s="105"/>
      <c r="AY52" s="105"/>
      <c r="AZ52" s="105"/>
      <c r="BA52" s="105"/>
      <c r="BB52" s="105"/>
      <c r="BC52" s="105"/>
      <c r="BD52" s="108"/>
      <c r="BE52" s="83">
        <f>IF($A52="","",IF(TRIM($D52&amp;"")="",IF(TRIM($AX52&amp;$AY52&amp;$AZ52&amp;$BA52&amp;$BB52&amp;$BC52&amp;$BD52&amp;"")="","","SUBARRENDADO"),IFERROR(IF(VLOOKUP($D52,VEHICULOS!$A$3:$H$202,7,FALSE)="","",VLOOKUP($D52,VEHICULOS!$A$3:$H$202,7,FALSE)),"")))</f>
      </c>
      <c r="BF52" s="82">
        <f>IF($A52="","",IF(TRIM($BC52&amp;"")&lt;&gt;"",$BC52,IF(TRIM($D52&amp;"")="","",IFERROR(IF(VLOOKUP($D52,VEHICULOS!$A$3:$H$202,8,FALSE)="","",VLOOKUP($D52,VEHICULOS!$A$3:$H$202,8,FALSE)),""))))</f>
      </c>
      <c r="BG52" s="106"/>
      <c r="BH52" s="107"/>
      <c r="BI52" s="86">
        <f t="shared" si="0"/>
      </c>
      <c r="BJ52" s="83">
        <f t="shared" si="1"/>
      </c>
      <c r="BK52" s="85">
        <f t="shared" si="2"/>
      </c>
      <c r="BL52" s="85">
        <f t="shared" si="3"/>
      </c>
      <c r="BM52" s="108"/>
      <c r="BN52" s="85">
        <f t="shared" si="4"/>
      </c>
      <c r="BO52" s="108"/>
      <c r="BP52" s="85">
        <f t="shared" si="5"/>
      </c>
      <c r="BQ52" s="85">
        <f t="shared" si="6"/>
      </c>
      <c r="BR52" s="108"/>
      <c r="BS52" s="104"/>
      <c r="BT52" s="87">
        <f t="shared" si="7"/>
      </c>
      <c r="BU52" s="85">
        <f t="shared" si="8"/>
      </c>
      <c r="BV52" s="85">
        <f t="shared" si="9"/>
      </c>
      <c r="BW52" s="87">
        <f t="shared" si="10"/>
      </c>
      <c r="BX52" s="104"/>
      <c r="BY52" s="106"/>
      <c r="BZ52" s="104"/>
      <c r="CA52" s="105"/>
      <c r="CB52" s="77">
        <f>IF($A52="",0,IF($B52='FICHA CLIENTE'!$C$4,1,0))</f>
      </c>
      <c r="CC52" s="77">
        <f t="shared" si="11"/>
      </c>
      <c r="CD52" s="77">
        <f>IF($A52="",0,IF($D52='FICHA VEHICULO'!$C$4,1,0))</f>
      </c>
      <c r="CE52" s="77">
        <f t="shared" si="12"/>
      </c>
      <c r="CF52" s="77">
        <f t="shared" si="13"/>
      </c>
      <c r="CG52" s="77">
        <f t="shared" si="14"/>
      </c>
    </row>
    <row r="53" spans="1:85" ht="19.5" customHeight="1" x14ac:dyDescent="0.2">
      <c r="A53" s="104"/>
      <c r="B53" s="104"/>
      <c r="C53" s="105"/>
      <c r="D53" s="104"/>
      <c r="E53" s="105"/>
      <c r="F53" s="106"/>
      <c r="G53" s="104"/>
      <c r="H53" s="106"/>
      <c r="I53" s="107"/>
      <c r="J53" s="108"/>
      <c r="K53" s="108"/>
      <c r="L53" s="108"/>
      <c r="M53" s="105"/>
      <c r="N53" s="105"/>
      <c r="O53" s="105"/>
      <c r="P53" s="108"/>
      <c r="Q53" s="105"/>
      <c r="R53" s="105"/>
      <c r="S53" s="105"/>
      <c r="T53" s="105"/>
      <c r="U53" s="108"/>
      <c r="V53" s="105"/>
      <c r="W53" s="105"/>
      <c r="X53" s="105"/>
      <c r="Y53" s="105"/>
      <c r="Z53" s="105"/>
      <c r="AA53" s="108"/>
      <c r="AB53" s="108"/>
      <c r="AC53" s="105"/>
      <c r="AD53" s="279"/>
      <c r="AE53" s="105"/>
      <c r="AF53" s="279"/>
      <c r="AG53" s="105"/>
      <c r="AH53" s="108"/>
      <c r="AI53" s="108"/>
      <c r="AJ53" s="108"/>
      <c r="AK53" s="108"/>
      <c r="AL53" s="105"/>
      <c r="AM53" s="108"/>
      <c r="AN53" s="105"/>
      <c r="AO53" s="108"/>
      <c r="AP53" s="108"/>
      <c r="AQ53" s="105"/>
      <c r="AR53" s="108"/>
      <c r="AS53" s="108"/>
      <c r="AT53" s="105"/>
      <c r="AU53" s="105"/>
      <c r="AV53" s="105"/>
      <c r="AW53" s="105"/>
      <c r="AX53" s="105"/>
      <c r="AY53" s="105"/>
      <c r="AZ53" s="105"/>
      <c r="BA53" s="105"/>
      <c r="BB53" s="105"/>
      <c r="BC53" s="105"/>
      <c r="BD53" s="108"/>
      <c r="BE53" s="83">
        <f>IF($A53="","",IF(TRIM($D53&amp;"")="",IF(TRIM($AX53&amp;$AY53&amp;$AZ53&amp;$BA53&amp;$BB53&amp;$BC53&amp;$BD53&amp;"")="","","SUBARRENDADO"),IFERROR(IF(VLOOKUP($D53,VEHICULOS!$A$3:$H$202,7,FALSE)="","",VLOOKUP($D53,VEHICULOS!$A$3:$H$202,7,FALSE)),"")))</f>
      </c>
      <c r="BF53" s="82">
        <f>IF($A53="","",IF(TRIM($BC53&amp;"")&lt;&gt;"",$BC53,IF(TRIM($D53&amp;"")="","",IFERROR(IF(VLOOKUP($D53,VEHICULOS!$A$3:$H$202,8,FALSE)="","",VLOOKUP($D53,VEHICULOS!$A$3:$H$202,8,FALSE)),""))))</f>
      </c>
      <c r="BG53" s="106"/>
      <c r="BH53" s="107"/>
      <c r="BI53" s="86">
        <f t="shared" si="0"/>
      </c>
      <c r="BJ53" s="83">
        <f t="shared" si="1"/>
      </c>
      <c r="BK53" s="85">
        <f t="shared" si="2"/>
      </c>
      <c r="BL53" s="85">
        <f t="shared" si="3"/>
      </c>
      <c r="BM53" s="108"/>
      <c r="BN53" s="85">
        <f t="shared" si="4"/>
      </c>
      <c r="BO53" s="108"/>
      <c r="BP53" s="85">
        <f t="shared" si="5"/>
      </c>
      <c r="BQ53" s="85">
        <f t="shared" si="6"/>
      </c>
      <c r="BR53" s="108"/>
      <c r="BS53" s="104"/>
      <c r="BT53" s="87">
        <f t="shared" si="7"/>
      </c>
      <c r="BU53" s="85">
        <f t="shared" si="8"/>
      </c>
      <c r="BV53" s="85">
        <f t="shared" si="9"/>
      </c>
      <c r="BW53" s="87">
        <f t="shared" si="10"/>
      </c>
      <c r="BX53" s="104"/>
      <c r="BY53" s="106"/>
      <c r="BZ53" s="104"/>
      <c r="CA53" s="105"/>
      <c r="CB53" s="77">
        <f>IF($A53="",0,IF($B53='FICHA CLIENTE'!$C$4,1,0))</f>
      </c>
      <c r="CC53" s="77">
        <f t="shared" si="11"/>
      </c>
      <c r="CD53" s="77">
        <f>IF($A53="",0,IF($D53='FICHA VEHICULO'!$C$4,1,0))</f>
      </c>
      <c r="CE53" s="77">
        <f t="shared" si="12"/>
      </c>
      <c r="CF53" s="77">
        <f t="shared" si="13"/>
      </c>
      <c r="CG53" s="77">
        <f t="shared" si="14"/>
      </c>
    </row>
    <row r="54" spans="1:85" ht="19.5" customHeight="1" x14ac:dyDescent="0.2">
      <c r="A54" s="104"/>
      <c r="B54" s="104"/>
      <c r="C54" s="105"/>
      <c r="D54" s="104"/>
      <c r="E54" s="105"/>
      <c r="F54" s="106"/>
      <c r="G54" s="104"/>
      <c r="H54" s="106"/>
      <c r="I54" s="107"/>
      <c r="J54" s="108"/>
      <c r="K54" s="108"/>
      <c r="L54" s="108"/>
      <c r="M54" s="105"/>
      <c r="N54" s="105"/>
      <c r="O54" s="105"/>
      <c r="P54" s="108"/>
      <c r="Q54" s="105"/>
      <c r="R54" s="105"/>
      <c r="S54" s="105"/>
      <c r="T54" s="105"/>
      <c r="U54" s="108"/>
      <c r="V54" s="105"/>
      <c r="W54" s="105"/>
      <c r="X54" s="105"/>
      <c r="Y54" s="105"/>
      <c r="Z54" s="105"/>
      <c r="AA54" s="108"/>
      <c r="AB54" s="108"/>
      <c r="AC54" s="105"/>
      <c r="AD54" s="279"/>
      <c r="AE54" s="105"/>
      <c r="AF54" s="279"/>
      <c r="AG54" s="105"/>
      <c r="AH54" s="108"/>
      <c r="AI54" s="108"/>
      <c r="AJ54" s="108"/>
      <c r="AK54" s="108"/>
      <c r="AL54" s="105"/>
      <c r="AM54" s="108"/>
      <c r="AN54" s="105"/>
      <c r="AO54" s="108"/>
      <c r="AP54" s="108"/>
      <c r="AQ54" s="105"/>
      <c r="AR54" s="108"/>
      <c r="AS54" s="108"/>
      <c r="AT54" s="105"/>
      <c r="AU54" s="105"/>
      <c r="AV54" s="105"/>
      <c r="AW54" s="105"/>
      <c r="AX54" s="105"/>
      <c r="AY54" s="105"/>
      <c r="AZ54" s="105"/>
      <c r="BA54" s="105"/>
      <c r="BB54" s="105"/>
      <c r="BC54" s="105"/>
      <c r="BD54" s="108"/>
      <c r="BE54" s="83">
        <f>IF($A54="","",IF(TRIM($D54&amp;"")="",IF(TRIM($AX54&amp;$AY54&amp;$AZ54&amp;$BA54&amp;$BB54&amp;$BC54&amp;$BD54&amp;"")="","","SUBARRENDADO"),IFERROR(IF(VLOOKUP($D54,VEHICULOS!$A$3:$H$202,7,FALSE)="","",VLOOKUP($D54,VEHICULOS!$A$3:$H$202,7,FALSE)),"")))</f>
      </c>
      <c r="BF54" s="82">
        <f>IF($A54="","",IF(TRIM($BC54&amp;"")&lt;&gt;"",$BC54,IF(TRIM($D54&amp;"")="","",IFERROR(IF(VLOOKUP($D54,VEHICULOS!$A$3:$H$202,8,FALSE)="","",VLOOKUP($D54,VEHICULOS!$A$3:$H$202,8,FALSE)),""))))</f>
      </c>
      <c r="BG54" s="106"/>
      <c r="BH54" s="107"/>
      <c r="BI54" s="86">
        <f t="shared" si="0"/>
      </c>
      <c r="BJ54" s="83">
        <f t="shared" si="1"/>
      </c>
      <c r="BK54" s="85">
        <f t="shared" si="2"/>
      </c>
      <c r="BL54" s="85">
        <f t="shared" si="3"/>
      </c>
      <c r="BM54" s="108"/>
      <c r="BN54" s="85">
        <f t="shared" si="4"/>
      </c>
      <c r="BO54" s="108"/>
      <c r="BP54" s="85">
        <f t="shared" si="5"/>
      </c>
      <c r="BQ54" s="85">
        <f t="shared" si="6"/>
      </c>
      <c r="BR54" s="108"/>
      <c r="BS54" s="104"/>
      <c r="BT54" s="87">
        <f t="shared" si="7"/>
      </c>
      <c r="BU54" s="85">
        <f t="shared" si="8"/>
      </c>
      <c r="BV54" s="85">
        <f t="shared" si="9"/>
      </c>
      <c r="BW54" s="87">
        <f t="shared" si="10"/>
      </c>
      <c r="BX54" s="104"/>
      <c r="BY54" s="106"/>
      <c r="BZ54" s="104"/>
      <c r="CA54" s="105"/>
      <c r="CB54" s="77">
        <f>IF($A54="",0,IF($B54='FICHA CLIENTE'!$C$4,1,0))</f>
      </c>
      <c r="CC54" s="77">
        <f t="shared" si="11"/>
      </c>
      <c r="CD54" s="77">
        <f>IF($A54="",0,IF($D54='FICHA VEHICULO'!$C$4,1,0))</f>
      </c>
      <c r="CE54" s="77">
        <f t="shared" si="12"/>
      </c>
      <c r="CF54" s="77">
        <f t="shared" si="13"/>
      </c>
      <c r="CG54" s="77">
        <f t="shared" si="14"/>
      </c>
    </row>
    <row r="55" spans="1:85" ht="19.5" customHeight="1" x14ac:dyDescent="0.2">
      <c r="A55" s="104"/>
      <c r="B55" s="104"/>
      <c r="C55" s="105"/>
      <c r="D55" s="104"/>
      <c r="E55" s="105"/>
      <c r="F55" s="106"/>
      <c r="G55" s="104"/>
      <c r="H55" s="106"/>
      <c r="I55" s="107"/>
      <c r="J55" s="108"/>
      <c r="K55" s="108"/>
      <c r="L55" s="108"/>
      <c r="M55" s="105"/>
      <c r="N55" s="105"/>
      <c r="O55" s="105"/>
      <c r="P55" s="108"/>
      <c r="Q55" s="105"/>
      <c r="R55" s="105"/>
      <c r="S55" s="105"/>
      <c r="T55" s="105"/>
      <c r="U55" s="108"/>
      <c r="V55" s="105"/>
      <c r="W55" s="105"/>
      <c r="X55" s="105"/>
      <c r="Y55" s="105"/>
      <c r="Z55" s="105"/>
      <c r="AA55" s="108"/>
      <c r="AB55" s="108"/>
      <c r="AC55" s="105"/>
      <c r="AD55" s="279"/>
      <c r="AE55" s="105"/>
      <c r="AF55" s="279"/>
      <c r="AG55" s="105"/>
      <c r="AH55" s="108"/>
      <c r="AI55" s="108"/>
      <c r="AJ55" s="108"/>
      <c r="AK55" s="108"/>
      <c r="AL55" s="105"/>
      <c r="AM55" s="108"/>
      <c r="AN55" s="105"/>
      <c r="AO55" s="108"/>
      <c r="AP55" s="108"/>
      <c r="AQ55" s="105"/>
      <c r="AR55" s="108"/>
      <c r="AS55" s="108"/>
      <c r="AT55" s="105"/>
      <c r="AU55" s="105"/>
      <c r="AV55" s="105"/>
      <c r="AW55" s="105"/>
      <c r="AX55" s="105"/>
      <c r="AY55" s="105"/>
      <c r="AZ55" s="105"/>
      <c r="BA55" s="105"/>
      <c r="BB55" s="105"/>
      <c r="BC55" s="105"/>
      <c r="BD55" s="108"/>
      <c r="BE55" s="83">
        <f>IF($A55="","",IF(TRIM($D55&amp;"")="",IF(TRIM($AX55&amp;$AY55&amp;$AZ55&amp;$BA55&amp;$BB55&amp;$BC55&amp;$BD55&amp;"")="","","SUBARRENDADO"),IFERROR(IF(VLOOKUP($D55,VEHICULOS!$A$3:$H$202,7,FALSE)="","",VLOOKUP($D55,VEHICULOS!$A$3:$H$202,7,FALSE)),"")))</f>
      </c>
      <c r="BF55" s="82">
        <f>IF($A55="","",IF(TRIM($BC55&amp;"")&lt;&gt;"",$BC55,IF(TRIM($D55&amp;"")="","",IFERROR(IF(VLOOKUP($D55,VEHICULOS!$A$3:$H$202,8,FALSE)="","",VLOOKUP($D55,VEHICULOS!$A$3:$H$202,8,FALSE)),""))))</f>
      </c>
      <c r="BG55" s="106"/>
      <c r="BH55" s="107"/>
      <c r="BI55" s="86">
        <f t="shared" si="0"/>
      </c>
      <c r="BJ55" s="83">
        <f t="shared" si="1"/>
      </c>
      <c r="BK55" s="85">
        <f t="shared" si="2"/>
      </c>
      <c r="BL55" s="85">
        <f t="shared" si="3"/>
      </c>
      <c r="BM55" s="108"/>
      <c r="BN55" s="85">
        <f t="shared" si="4"/>
      </c>
      <c r="BO55" s="108"/>
      <c r="BP55" s="85">
        <f t="shared" si="5"/>
      </c>
      <c r="BQ55" s="85">
        <f t="shared" si="6"/>
      </c>
      <c r="BR55" s="108"/>
      <c r="BS55" s="104"/>
      <c r="BT55" s="87">
        <f t="shared" si="7"/>
      </c>
      <c r="BU55" s="85">
        <f t="shared" si="8"/>
      </c>
      <c r="BV55" s="85">
        <f t="shared" si="9"/>
      </c>
      <c r="BW55" s="87">
        <f t="shared" si="10"/>
      </c>
      <c r="BX55" s="104"/>
      <c r="BY55" s="106"/>
      <c r="BZ55" s="104"/>
      <c r="CA55" s="105"/>
      <c r="CB55" s="77">
        <f>IF($A55="",0,IF($B55='FICHA CLIENTE'!$C$4,1,0))</f>
      </c>
      <c r="CC55" s="77">
        <f t="shared" si="11"/>
      </c>
      <c r="CD55" s="77">
        <f>IF($A55="",0,IF($D55='FICHA VEHICULO'!$C$4,1,0))</f>
      </c>
      <c r="CE55" s="77">
        <f t="shared" si="12"/>
      </c>
      <c r="CF55" s="77">
        <f t="shared" si="13"/>
      </c>
      <c r="CG55" s="77">
        <f t="shared" si="14"/>
      </c>
    </row>
    <row r="56" spans="1:85" ht="19.5" customHeight="1" x14ac:dyDescent="0.2">
      <c r="A56" s="104"/>
      <c r="B56" s="104"/>
      <c r="C56" s="105"/>
      <c r="D56" s="104"/>
      <c r="E56" s="105"/>
      <c r="F56" s="106"/>
      <c r="G56" s="104"/>
      <c r="H56" s="106"/>
      <c r="I56" s="107"/>
      <c r="J56" s="108"/>
      <c r="K56" s="108"/>
      <c r="L56" s="108"/>
      <c r="M56" s="105"/>
      <c r="N56" s="105"/>
      <c r="O56" s="105"/>
      <c r="P56" s="108"/>
      <c r="Q56" s="105"/>
      <c r="R56" s="105"/>
      <c r="S56" s="105"/>
      <c r="T56" s="105"/>
      <c r="U56" s="108"/>
      <c r="V56" s="105"/>
      <c r="W56" s="105"/>
      <c r="X56" s="105"/>
      <c r="Y56" s="105"/>
      <c r="Z56" s="105"/>
      <c r="AA56" s="108"/>
      <c r="AB56" s="108"/>
      <c r="AC56" s="105"/>
      <c r="AD56" s="279"/>
      <c r="AE56" s="105"/>
      <c r="AF56" s="279"/>
      <c r="AG56" s="105"/>
      <c r="AH56" s="108"/>
      <c r="AI56" s="108"/>
      <c r="AJ56" s="108"/>
      <c r="AK56" s="108"/>
      <c r="AL56" s="105"/>
      <c r="AM56" s="108"/>
      <c r="AN56" s="105"/>
      <c r="AO56" s="108"/>
      <c r="AP56" s="108"/>
      <c r="AQ56" s="105"/>
      <c r="AR56" s="108"/>
      <c r="AS56" s="108"/>
      <c r="AT56" s="105"/>
      <c r="AU56" s="105"/>
      <c r="AV56" s="105"/>
      <c r="AW56" s="105"/>
      <c r="AX56" s="105"/>
      <c r="AY56" s="105"/>
      <c r="AZ56" s="105"/>
      <c r="BA56" s="105"/>
      <c r="BB56" s="105"/>
      <c r="BC56" s="105"/>
      <c r="BD56" s="108"/>
      <c r="BE56" s="83">
        <f>IF($A56="","",IF(TRIM($D56&amp;"")="",IF(TRIM($AX56&amp;$AY56&amp;$AZ56&amp;$BA56&amp;$BB56&amp;$BC56&amp;$BD56&amp;"")="","","SUBARRENDADO"),IFERROR(IF(VLOOKUP($D56,VEHICULOS!$A$3:$H$202,7,FALSE)="","",VLOOKUP($D56,VEHICULOS!$A$3:$H$202,7,FALSE)),"")))</f>
      </c>
      <c r="BF56" s="82">
        <f>IF($A56="","",IF(TRIM($BC56&amp;"")&lt;&gt;"",$BC56,IF(TRIM($D56&amp;"")="","",IFERROR(IF(VLOOKUP($D56,VEHICULOS!$A$3:$H$202,8,FALSE)="","",VLOOKUP($D56,VEHICULOS!$A$3:$H$202,8,FALSE)),""))))</f>
      </c>
      <c r="BG56" s="106"/>
      <c r="BH56" s="107"/>
      <c r="BI56" s="86">
        <f t="shared" si="0"/>
      </c>
      <c r="BJ56" s="83">
        <f t="shared" si="1"/>
      </c>
      <c r="BK56" s="85">
        <f t="shared" si="2"/>
      </c>
      <c r="BL56" s="85">
        <f t="shared" si="3"/>
      </c>
      <c r="BM56" s="108"/>
      <c r="BN56" s="85">
        <f t="shared" si="4"/>
      </c>
      <c r="BO56" s="108"/>
      <c r="BP56" s="85">
        <f t="shared" si="5"/>
      </c>
      <c r="BQ56" s="85">
        <f t="shared" si="6"/>
      </c>
      <c r="BR56" s="108"/>
      <c r="BS56" s="104"/>
      <c r="BT56" s="87">
        <f t="shared" si="7"/>
      </c>
      <c r="BU56" s="85">
        <f t="shared" si="8"/>
      </c>
      <c r="BV56" s="85">
        <f t="shared" si="9"/>
      </c>
      <c r="BW56" s="87">
        <f t="shared" si="10"/>
      </c>
      <c r="BX56" s="104"/>
      <c r="BY56" s="106"/>
      <c r="BZ56" s="104"/>
      <c r="CA56" s="105"/>
      <c r="CB56" s="77">
        <f>IF($A56="",0,IF($B56='FICHA CLIENTE'!$C$4,1,0))</f>
      </c>
      <c r="CC56" s="77">
        <f t="shared" si="11"/>
      </c>
      <c r="CD56" s="77">
        <f>IF($A56="",0,IF($D56='FICHA VEHICULO'!$C$4,1,0))</f>
      </c>
      <c r="CE56" s="77">
        <f t="shared" si="12"/>
      </c>
      <c r="CF56" s="77">
        <f t="shared" si="13"/>
      </c>
      <c r="CG56" s="77">
        <f t="shared" si="14"/>
      </c>
    </row>
    <row r="57" spans="1:85" ht="19.5" customHeight="1" x14ac:dyDescent="0.2">
      <c r="A57" s="104"/>
      <c r="B57" s="104"/>
      <c r="C57" s="105"/>
      <c r="D57" s="104"/>
      <c r="E57" s="105"/>
      <c r="F57" s="106"/>
      <c r="G57" s="104"/>
      <c r="H57" s="106"/>
      <c r="I57" s="107"/>
      <c r="J57" s="108"/>
      <c r="K57" s="108"/>
      <c r="L57" s="108"/>
      <c r="M57" s="105"/>
      <c r="N57" s="105"/>
      <c r="O57" s="105"/>
      <c r="P57" s="108"/>
      <c r="Q57" s="105"/>
      <c r="R57" s="105"/>
      <c r="S57" s="105"/>
      <c r="T57" s="105"/>
      <c r="U57" s="108"/>
      <c r="V57" s="105"/>
      <c r="W57" s="105"/>
      <c r="X57" s="105"/>
      <c r="Y57" s="105"/>
      <c r="Z57" s="105"/>
      <c r="AA57" s="108"/>
      <c r="AB57" s="108"/>
      <c r="AC57" s="105"/>
      <c r="AD57" s="279"/>
      <c r="AE57" s="105"/>
      <c r="AF57" s="279"/>
      <c r="AG57" s="105"/>
      <c r="AH57" s="108"/>
      <c r="AI57" s="108"/>
      <c r="AJ57" s="108"/>
      <c r="AK57" s="108"/>
      <c r="AL57" s="105"/>
      <c r="AM57" s="108"/>
      <c r="AN57" s="105"/>
      <c r="AO57" s="108"/>
      <c r="AP57" s="108"/>
      <c r="AQ57" s="105"/>
      <c r="AR57" s="108"/>
      <c r="AS57" s="108"/>
      <c r="AT57" s="105"/>
      <c r="AU57" s="105"/>
      <c r="AV57" s="105"/>
      <c r="AW57" s="105"/>
      <c r="AX57" s="105"/>
      <c r="AY57" s="105"/>
      <c r="AZ57" s="105"/>
      <c r="BA57" s="105"/>
      <c r="BB57" s="105"/>
      <c r="BC57" s="105"/>
      <c r="BD57" s="108"/>
      <c r="BE57" s="83">
        <f>IF($A57="","",IF(TRIM($D57&amp;"")="",IF(TRIM($AX57&amp;$AY57&amp;$AZ57&amp;$BA57&amp;$BB57&amp;$BC57&amp;$BD57&amp;"")="","","SUBARRENDADO"),IFERROR(IF(VLOOKUP($D57,VEHICULOS!$A$3:$H$202,7,FALSE)="","",VLOOKUP($D57,VEHICULOS!$A$3:$H$202,7,FALSE)),"")))</f>
      </c>
      <c r="BF57" s="82">
        <f>IF($A57="","",IF(TRIM($BC57&amp;"")&lt;&gt;"",$BC57,IF(TRIM($D57&amp;"")="","",IFERROR(IF(VLOOKUP($D57,VEHICULOS!$A$3:$H$202,8,FALSE)="","",VLOOKUP($D57,VEHICULOS!$A$3:$H$202,8,FALSE)),""))))</f>
      </c>
      <c r="BG57" s="106"/>
      <c r="BH57" s="107"/>
      <c r="BI57" s="86">
        <f t="shared" si="0"/>
      </c>
      <c r="BJ57" s="83">
        <f t="shared" si="1"/>
      </c>
      <c r="BK57" s="85">
        <f t="shared" si="2"/>
      </c>
      <c r="BL57" s="85">
        <f t="shared" si="3"/>
      </c>
      <c r="BM57" s="108"/>
      <c r="BN57" s="85">
        <f t="shared" si="4"/>
      </c>
      <c r="BO57" s="108"/>
      <c r="BP57" s="85">
        <f t="shared" si="5"/>
      </c>
      <c r="BQ57" s="85">
        <f t="shared" si="6"/>
      </c>
      <c r="BR57" s="108"/>
      <c r="BS57" s="104"/>
      <c r="BT57" s="87">
        <f t="shared" si="7"/>
      </c>
      <c r="BU57" s="85">
        <f t="shared" si="8"/>
      </c>
      <c r="BV57" s="85">
        <f t="shared" si="9"/>
      </c>
      <c r="BW57" s="87">
        <f t="shared" si="10"/>
      </c>
      <c r="BX57" s="104"/>
      <c r="BY57" s="106"/>
      <c r="BZ57" s="104"/>
      <c r="CA57" s="105"/>
      <c r="CB57" s="77">
        <f>IF($A57="",0,IF($B57='FICHA CLIENTE'!$C$4,1,0))</f>
      </c>
      <c r="CC57" s="77">
        <f t="shared" si="11"/>
      </c>
      <c r="CD57" s="77">
        <f>IF($A57="",0,IF($D57='FICHA VEHICULO'!$C$4,1,0))</f>
      </c>
      <c r="CE57" s="77">
        <f t="shared" si="12"/>
      </c>
      <c r="CF57" s="77">
        <f t="shared" si="13"/>
      </c>
      <c r="CG57" s="77">
        <f t="shared" si="14"/>
      </c>
    </row>
    <row r="58" spans="1:85" ht="19.5" customHeight="1" x14ac:dyDescent="0.2">
      <c r="A58" s="104"/>
      <c r="B58" s="104"/>
      <c r="C58" s="105"/>
      <c r="D58" s="104"/>
      <c r="E58" s="105"/>
      <c r="F58" s="106"/>
      <c r="G58" s="104"/>
      <c r="H58" s="106"/>
      <c r="I58" s="107"/>
      <c r="J58" s="108"/>
      <c r="K58" s="108"/>
      <c r="L58" s="108"/>
      <c r="M58" s="105"/>
      <c r="N58" s="105"/>
      <c r="O58" s="105"/>
      <c r="P58" s="108"/>
      <c r="Q58" s="105"/>
      <c r="R58" s="105"/>
      <c r="S58" s="105"/>
      <c r="T58" s="105"/>
      <c r="U58" s="108"/>
      <c r="V58" s="105"/>
      <c r="W58" s="105"/>
      <c r="X58" s="105"/>
      <c r="Y58" s="105"/>
      <c r="Z58" s="105"/>
      <c r="AA58" s="108"/>
      <c r="AB58" s="108"/>
      <c r="AC58" s="105"/>
      <c r="AD58" s="279"/>
      <c r="AE58" s="105"/>
      <c r="AF58" s="279"/>
      <c r="AG58" s="105"/>
      <c r="AH58" s="108"/>
      <c r="AI58" s="108"/>
      <c r="AJ58" s="108"/>
      <c r="AK58" s="108"/>
      <c r="AL58" s="105"/>
      <c r="AM58" s="108"/>
      <c r="AN58" s="105"/>
      <c r="AO58" s="108"/>
      <c r="AP58" s="108"/>
      <c r="AQ58" s="105"/>
      <c r="AR58" s="108"/>
      <c r="AS58" s="108"/>
      <c r="AT58" s="105"/>
      <c r="AU58" s="105"/>
      <c r="AV58" s="105"/>
      <c r="AW58" s="105"/>
      <c r="AX58" s="105"/>
      <c r="AY58" s="105"/>
      <c r="AZ58" s="105"/>
      <c r="BA58" s="105"/>
      <c r="BB58" s="105"/>
      <c r="BC58" s="105"/>
      <c r="BD58" s="108"/>
      <c r="BE58" s="83">
        <f>IF($A58="","",IF(TRIM($D58&amp;"")="",IF(TRIM($AX58&amp;$AY58&amp;$AZ58&amp;$BA58&amp;$BB58&amp;$BC58&amp;$BD58&amp;"")="","","SUBARRENDADO"),IFERROR(IF(VLOOKUP($D58,VEHICULOS!$A$3:$H$202,7,FALSE)="","",VLOOKUP($D58,VEHICULOS!$A$3:$H$202,7,FALSE)),"")))</f>
      </c>
      <c r="BF58" s="82">
        <f>IF($A58="","",IF(TRIM($BC58&amp;"")&lt;&gt;"",$BC58,IF(TRIM($D58&amp;"")="","",IFERROR(IF(VLOOKUP($D58,VEHICULOS!$A$3:$H$202,8,FALSE)="","",VLOOKUP($D58,VEHICULOS!$A$3:$H$202,8,FALSE)),""))))</f>
      </c>
      <c r="BG58" s="106"/>
      <c r="BH58" s="107"/>
      <c r="BI58" s="86">
        <f t="shared" si="0"/>
      </c>
      <c r="BJ58" s="83">
        <f t="shared" si="1"/>
      </c>
      <c r="BK58" s="85">
        <f t="shared" si="2"/>
      </c>
      <c r="BL58" s="85">
        <f t="shared" si="3"/>
      </c>
      <c r="BM58" s="108"/>
      <c r="BN58" s="85">
        <f t="shared" si="4"/>
      </c>
      <c r="BO58" s="108"/>
      <c r="BP58" s="85">
        <f t="shared" si="5"/>
      </c>
      <c r="BQ58" s="85">
        <f t="shared" si="6"/>
      </c>
      <c r="BR58" s="108"/>
      <c r="BS58" s="104"/>
      <c r="BT58" s="87">
        <f t="shared" si="7"/>
      </c>
      <c r="BU58" s="85">
        <f t="shared" si="8"/>
      </c>
      <c r="BV58" s="85">
        <f t="shared" si="9"/>
      </c>
      <c r="BW58" s="87">
        <f t="shared" si="10"/>
      </c>
      <c r="BX58" s="104"/>
      <c r="BY58" s="106"/>
      <c r="BZ58" s="104"/>
      <c r="CA58" s="105"/>
      <c r="CB58" s="77">
        <f>IF($A58="",0,IF($B58='FICHA CLIENTE'!$C$4,1,0))</f>
      </c>
      <c r="CC58" s="77">
        <f t="shared" si="11"/>
      </c>
      <c r="CD58" s="77">
        <f>IF($A58="",0,IF($D58='FICHA VEHICULO'!$C$4,1,0))</f>
      </c>
      <c r="CE58" s="77">
        <f t="shared" si="12"/>
      </c>
      <c r="CF58" s="77">
        <f t="shared" si="13"/>
      </c>
      <c r="CG58" s="77">
        <f t="shared" si="14"/>
      </c>
    </row>
    <row r="59" spans="1:85" ht="19.5" customHeight="1" x14ac:dyDescent="0.2">
      <c r="A59" s="104"/>
      <c r="B59" s="104"/>
      <c r="C59" s="105"/>
      <c r="D59" s="104"/>
      <c r="E59" s="105"/>
      <c r="F59" s="106"/>
      <c r="G59" s="104"/>
      <c r="H59" s="106"/>
      <c r="I59" s="107"/>
      <c r="J59" s="108"/>
      <c r="K59" s="108"/>
      <c r="L59" s="108"/>
      <c r="M59" s="105"/>
      <c r="N59" s="105"/>
      <c r="O59" s="105"/>
      <c r="P59" s="108"/>
      <c r="Q59" s="105"/>
      <c r="R59" s="105"/>
      <c r="S59" s="105"/>
      <c r="T59" s="105"/>
      <c r="U59" s="108"/>
      <c r="V59" s="105"/>
      <c r="W59" s="105"/>
      <c r="X59" s="105"/>
      <c r="Y59" s="105"/>
      <c r="Z59" s="105"/>
      <c r="AA59" s="108"/>
      <c r="AB59" s="108"/>
      <c r="AC59" s="105"/>
      <c r="AD59" s="279"/>
      <c r="AE59" s="105"/>
      <c r="AF59" s="279"/>
      <c r="AG59" s="105"/>
      <c r="AH59" s="108"/>
      <c r="AI59" s="108"/>
      <c r="AJ59" s="108"/>
      <c r="AK59" s="108"/>
      <c r="AL59" s="105"/>
      <c r="AM59" s="108"/>
      <c r="AN59" s="105"/>
      <c r="AO59" s="108"/>
      <c r="AP59" s="108"/>
      <c r="AQ59" s="105"/>
      <c r="AR59" s="108"/>
      <c r="AS59" s="108"/>
      <c r="AT59" s="105"/>
      <c r="AU59" s="105"/>
      <c r="AV59" s="105"/>
      <c r="AW59" s="105"/>
      <c r="AX59" s="105"/>
      <c r="AY59" s="105"/>
      <c r="AZ59" s="105"/>
      <c r="BA59" s="105"/>
      <c r="BB59" s="105"/>
      <c r="BC59" s="105"/>
      <c r="BD59" s="108"/>
      <c r="BE59" s="83">
        <f>IF($A59="","",IF(TRIM($D59&amp;"")="",IF(TRIM($AX59&amp;$AY59&amp;$AZ59&amp;$BA59&amp;$BB59&amp;$BC59&amp;$BD59&amp;"")="","","SUBARRENDADO"),IFERROR(IF(VLOOKUP($D59,VEHICULOS!$A$3:$H$202,7,FALSE)="","",VLOOKUP($D59,VEHICULOS!$A$3:$H$202,7,FALSE)),"")))</f>
      </c>
      <c r="BF59" s="82">
        <f>IF($A59="","",IF(TRIM($BC59&amp;"")&lt;&gt;"",$BC59,IF(TRIM($D59&amp;"")="","",IFERROR(IF(VLOOKUP($D59,VEHICULOS!$A$3:$H$202,8,FALSE)="","",VLOOKUP($D59,VEHICULOS!$A$3:$H$202,8,FALSE)),""))))</f>
      </c>
      <c r="BG59" s="106"/>
      <c r="BH59" s="107"/>
      <c r="BI59" s="86">
        <f t="shared" si="0"/>
      </c>
      <c r="BJ59" s="83">
        <f t="shared" si="1"/>
      </c>
      <c r="BK59" s="85">
        <f t="shared" si="2"/>
      </c>
      <c r="BL59" s="85">
        <f t="shared" si="3"/>
      </c>
      <c r="BM59" s="108"/>
      <c r="BN59" s="85">
        <f t="shared" si="4"/>
      </c>
      <c r="BO59" s="108"/>
      <c r="BP59" s="85">
        <f t="shared" si="5"/>
      </c>
      <c r="BQ59" s="85">
        <f t="shared" si="6"/>
      </c>
      <c r="BR59" s="108"/>
      <c r="BS59" s="104"/>
      <c r="BT59" s="87">
        <f t="shared" si="7"/>
      </c>
      <c r="BU59" s="85">
        <f t="shared" si="8"/>
      </c>
      <c r="BV59" s="85">
        <f t="shared" si="9"/>
      </c>
      <c r="BW59" s="87">
        <f t="shared" si="10"/>
      </c>
      <c r="BX59" s="104"/>
      <c r="BY59" s="106"/>
      <c r="BZ59" s="104"/>
      <c r="CA59" s="105"/>
      <c r="CB59" s="77">
        <f>IF($A59="",0,IF($B59='FICHA CLIENTE'!$C$4,1,0))</f>
      </c>
      <c r="CC59" s="77">
        <f t="shared" si="11"/>
      </c>
      <c r="CD59" s="77">
        <f>IF($A59="",0,IF($D59='FICHA VEHICULO'!$C$4,1,0))</f>
      </c>
      <c r="CE59" s="77">
        <f t="shared" si="12"/>
      </c>
      <c r="CF59" s="77">
        <f t="shared" si="13"/>
      </c>
      <c r="CG59" s="77">
        <f t="shared" si="14"/>
      </c>
    </row>
    <row r="60" spans="1:85" ht="19.5" customHeight="1" x14ac:dyDescent="0.2">
      <c r="A60" s="104"/>
      <c r="B60" s="104"/>
      <c r="C60" s="105"/>
      <c r="D60" s="104"/>
      <c r="E60" s="105"/>
      <c r="F60" s="106"/>
      <c r="G60" s="104"/>
      <c r="H60" s="106"/>
      <c r="I60" s="107"/>
      <c r="J60" s="108"/>
      <c r="K60" s="108"/>
      <c r="L60" s="108"/>
      <c r="M60" s="105"/>
      <c r="N60" s="105"/>
      <c r="O60" s="105"/>
      <c r="P60" s="108"/>
      <c r="Q60" s="105"/>
      <c r="R60" s="105"/>
      <c r="S60" s="105"/>
      <c r="T60" s="105"/>
      <c r="U60" s="108"/>
      <c r="V60" s="105"/>
      <c r="W60" s="105"/>
      <c r="X60" s="105"/>
      <c r="Y60" s="105"/>
      <c r="Z60" s="105"/>
      <c r="AA60" s="108"/>
      <c r="AB60" s="108"/>
      <c r="AC60" s="105"/>
      <c r="AD60" s="279"/>
      <c r="AE60" s="105"/>
      <c r="AF60" s="279"/>
      <c r="AG60" s="105"/>
      <c r="AH60" s="108"/>
      <c r="AI60" s="108"/>
      <c r="AJ60" s="108"/>
      <c r="AK60" s="108"/>
      <c r="AL60" s="105"/>
      <c r="AM60" s="108"/>
      <c r="AN60" s="105"/>
      <c r="AO60" s="108"/>
      <c r="AP60" s="108"/>
      <c r="AQ60" s="105"/>
      <c r="AR60" s="108"/>
      <c r="AS60" s="108"/>
      <c r="AT60" s="105"/>
      <c r="AU60" s="105"/>
      <c r="AV60" s="105"/>
      <c r="AW60" s="105"/>
      <c r="AX60" s="105"/>
      <c r="AY60" s="105"/>
      <c r="AZ60" s="105"/>
      <c r="BA60" s="105"/>
      <c r="BB60" s="105"/>
      <c r="BC60" s="105"/>
      <c r="BD60" s="108"/>
      <c r="BE60" s="83">
        <f>IF($A60="","",IF(TRIM($D60&amp;"")="",IF(TRIM($AX60&amp;$AY60&amp;$AZ60&amp;$BA60&amp;$BB60&amp;$BC60&amp;$BD60&amp;"")="","","SUBARRENDADO"),IFERROR(IF(VLOOKUP($D60,VEHICULOS!$A$3:$H$202,7,FALSE)="","",VLOOKUP($D60,VEHICULOS!$A$3:$H$202,7,FALSE)),"")))</f>
      </c>
      <c r="BF60" s="82">
        <f>IF($A60="","",IF(TRIM($BC60&amp;"")&lt;&gt;"",$BC60,IF(TRIM($D60&amp;"")="","",IFERROR(IF(VLOOKUP($D60,VEHICULOS!$A$3:$H$202,8,FALSE)="","",VLOOKUP($D60,VEHICULOS!$A$3:$H$202,8,FALSE)),""))))</f>
      </c>
      <c r="BG60" s="106"/>
      <c r="BH60" s="107"/>
      <c r="BI60" s="86">
        <f t="shared" si="0"/>
      </c>
      <c r="BJ60" s="83">
        <f t="shared" si="1"/>
      </c>
      <c r="BK60" s="85">
        <f t="shared" si="2"/>
      </c>
      <c r="BL60" s="85">
        <f t="shared" si="3"/>
      </c>
      <c r="BM60" s="108"/>
      <c r="BN60" s="85">
        <f t="shared" si="4"/>
      </c>
      <c r="BO60" s="108"/>
      <c r="BP60" s="85">
        <f t="shared" si="5"/>
      </c>
      <c r="BQ60" s="85">
        <f t="shared" si="6"/>
      </c>
      <c r="BR60" s="108"/>
      <c r="BS60" s="104"/>
      <c r="BT60" s="87">
        <f t="shared" si="7"/>
      </c>
      <c r="BU60" s="85">
        <f t="shared" si="8"/>
      </c>
      <c r="BV60" s="85">
        <f t="shared" si="9"/>
      </c>
      <c r="BW60" s="87">
        <f t="shared" si="10"/>
      </c>
      <c r="BX60" s="104"/>
      <c r="BY60" s="106"/>
      <c r="BZ60" s="104"/>
      <c r="CA60" s="105"/>
      <c r="CB60" s="77">
        <f>IF($A60="",0,IF($B60='FICHA CLIENTE'!$C$4,1,0))</f>
      </c>
      <c r="CC60" s="77">
        <f t="shared" si="11"/>
      </c>
      <c r="CD60" s="77">
        <f>IF($A60="",0,IF($D60='FICHA VEHICULO'!$C$4,1,0))</f>
      </c>
      <c r="CE60" s="77">
        <f t="shared" si="12"/>
      </c>
      <c r="CF60" s="77">
        <f t="shared" si="13"/>
      </c>
      <c r="CG60" s="77">
        <f t="shared" si="14"/>
      </c>
    </row>
    <row r="61" spans="1:85" ht="19.5" customHeight="1" x14ac:dyDescent="0.2">
      <c r="A61" s="104"/>
      <c r="B61" s="104"/>
      <c r="C61" s="105"/>
      <c r="D61" s="104"/>
      <c r="E61" s="105"/>
      <c r="F61" s="106"/>
      <c r="G61" s="104"/>
      <c r="H61" s="106"/>
      <c r="I61" s="107"/>
      <c r="J61" s="108"/>
      <c r="K61" s="108"/>
      <c r="L61" s="108"/>
      <c r="M61" s="105"/>
      <c r="N61" s="105"/>
      <c r="O61" s="105"/>
      <c r="P61" s="108"/>
      <c r="Q61" s="105"/>
      <c r="R61" s="105"/>
      <c r="S61" s="105"/>
      <c r="T61" s="105"/>
      <c r="U61" s="108"/>
      <c r="V61" s="105"/>
      <c r="W61" s="105"/>
      <c r="X61" s="105"/>
      <c r="Y61" s="105"/>
      <c r="Z61" s="105"/>
      <c r="AA61" s="108"/>
      <c r="AB61" s="108"/>
      <c r="AC61" s="105"/>
      <c r="AD61" s="279"/>
      <c r="AE61" s="105"/>
      <c r="AF61" s="279"/>
      <c r="AG61" s="105"/>
      <c r="AH61" s="108"/>
      <c r="AI61" s="108"/>
      <c r="AJ61" s="108"/>
      <c r="AK61" s="108"/>
      <c r="AL61" s="105"/>
      <c r="AM61" s="108"/>
      <c r="AN61" s="105"/>
      <c r="AO61" s="108"/>
      <c r="AP61" s="108"/>
      <c r="AQ61" s="105"/>
      <c r="AR61" s="108"/>
      <c r="AS61" s="108"/>
      <c r="AT61" s="105"/>
      <c r="AU61" s="105"/>
      <c r="AV61" s="105"/>
      <c r="AW61" s="105"/>
      <c r="AX61" s="105"/>
      <c r="AY61" s="105"/>
      <c r="AZ61" s="105"/>
      <c r="BA61" s="105"/>
      <c r="BB61" s="105"/>
      <c r="BC61" s="105"/>
      <c r="BD61" s="108"/>
      <c r="BE61" s="83">
        <f>IF($A61="","",IF(TRIM($D61&amp;"")="",IF(TRIM($AX61&amp;$AY61&amp;$AZ61&amp;$BA61&amp;$BB61&amp;$BC61&amp;$BD61&amp;"")="","","SUBARRENDADO"),IFERROR(IF(VLOOKUP($D61,VEHICULOS!$A$3:$H$202,7,FALSE)="","",VLOOKUP($D61,VEHICULOS!$A$3:$H$202,7,FALSE)),"")))</f>
      </c>
      <c r="BF61" s="82">
        <f>IF($A61="","",IF(TRIM($BC61&amp;"")&lt;&gt;"",$BC61,IF(TRIM($D61&amp;"")="","",IFERROR(IF(VLOOKUP($D61,VEHICULOS!$A$3:$H$202,8,FALSE)="","",VLOOKUP($D61,VEHICULOS!$A$3:$H$202,8,FALSE)),""))))</f>
      </c>
      <c r="BG61" s="106"/>
      <c r="BH61" s="107"/>
      <c r="BI61" s="86">
        <f t="shared" si="0"/>
      </c>
      <c r="BJ61" s="83">
        <f t="shared" si="1"/>
      </c>
      <c r="BK61" s="85">
        <f t="shared" si="2"/>
      </c>
      <c r="BL61" s="85">
        <f t="shared" si="3"/>
      </c>
      <c r="BM61" s="108"/>
      <c r="BN61" s="85">
        <f t="shared" si="4"/>
      </c>
      <c r="BO61" s="108"/>
      <c r="BP61" s="85">
        <f t="shared" si="5"/>
      </c>
      <c r="BQ61" s="85">
        <f t="shared" si="6"/>
      </c>
      <c r="BR61" s="108"/>
      <c r="BS61" s="104"/>
      <c r="BT61" s="87">
        <f t="shared" si="7"/>
      </c>
      <c r="BU61" s="85">
        <f t="shared" si="8"/>
      </c>
      <c r="BV61" s="85">
        <f t="shared" si="9"/>
      </c>
      <c r="BW61" s="87">
        <f t="shared" si="10"/>
      </c>
      <c r="BX61" s="104"/>
      <c r="BY61" s="106"/>
      <c r="BZ61" s="104"/>
      <c r="CA61" s="105"/>
      <c r="CB61" s="77">
        <f>IF($A61="",0,IF($B61='FICHA CLIENTE'!$C$4,1,0))</f>
      </c>
      <c r="CC61" s="77">
        <f t="shared" si="11"/>
      </c>
      <c r="CD61" s="77">
        <f>IF($A61="",0,IF($D61='FICHA VEHICULO'!$C$4,1,0))</f>
      </c>
      <c r="CE61" s="77">
        <f t="shared" si="12"/>
      </c>
      <c r="CF61" s="77">
        <f t="shared" si="13"/>
      </c>
      <c r="CG61" s="77">
        <f t="shared" si="14"/>
      </c>
    </row>
    <row r="62" spans="1:85" ht="19.5" customHeight="1" x14ac:dyDescent="0.2">
      <c r="A62" s="104"/>
      <c r="B62" s="104"/>
      <c r="C62" s="105"/>
      <c r="D62" s="104"/>
      <c r="E62" s="105"/>
      <c r="F62" s="106"/>
      <c r="G62" s="104"/>
      <c r="H62" s="106"/>
      <c r="I62" s="107"/>
      <c r="J62" s="108"/>
      <c r="K62" s="108"/>
      <c r="L62" s="108"/>
      <c r="M62" s="105"/>
      <c r="N62" s="105"/>
      <c r="O62" s="105"/>
      <c r="P62" s="108"/>
      <c r="Q62" s="105"/>
      <c r="R62" s="105"/>
      <c r="S62" s="105"/>
      <c r="T62" s="105"/>
      <c r="U62" s="108"/>
      <c r="V62" s="105"/>
      <c r="W62" s="105"/>
      <c r="X62" s="105"/>
      <c r="Y62" s="105"/>
      <c r="Z62" s="105"/>
      <c r="AA62" s="108"/>
      <c r="AB62" s="108"/>
      <c r="AC62" s="105"/>
      <c r="AD62" s="279"/>
      <c r="AE62" s="105"/>
      <c r="AF62" s="279"/>
      <c r="AG62" s="105"/>
      <c r="AH62" s="108"/>
      <c r="AI62" s="108"/>
      <c r="AJ62" s="108"/>
      <c r="AK62" s="108"/>
      <c r="AL62" s="105"/>
      <c r="AM62" s="108"/>
      <c r="AN62" s="105"/>
      <c r="AO62" s="108"/>
      <c r="AP62" s="108"/>
      <c r="AQ62" s="105"/>
      <c r="AR62" s="108"/>
      <c r="AS62" s="108"/>
      <c r="AT62" s="105"/>
      <c r="AU62" s="105"/>
      <c r="AV62" s="105"/>
      <c r="AW62" s="105"/>
      <c r="AX62" s="105"/>
      <c r="AY62" s="105"/>
      <c r="AZ62" s="105"/>
      <c r="BA62" s="105"/>
      <c r="BB62" s="105"/>
      <c r="BC62" s="105"/>
      <c r="BD62" s="108"/>
      <c r="BE62" s="83">
        <f>IF($A62="","",IF(TRIM($D62&amp;"")="",IF(TRIM($AX62&amp;$AY62&amp;$AZ62&amp;$BA62&amp;$BB62&amp;$BC62&amp;$BD62&amp;"")="","","SUBARRENDADO"),IFERROR(IF(VLOOKUP($D62,VEHICULOS!$A$3:$H$202,7,FALSE)="","",VLOOKUP($D62,VEHICULOS!$A$3:$H$202,7,FALSE)),"")))</f>
      </c>
      <c r="BF62" s="82">
        <f>IF($A62="","",IF(TRIM($BC62&amp;"")&lt;&gt;"",$BC62,IF(TRIM($D62&amp;"")="","",IFERROR(IF(VLOOKUP($D62,VEHICULOS!$A$3:$H$202,8,FALSE)="","",VLOOKUP($D62,VEHICULOS!$A$3:$H$202,8,FALSE)),""))))</f>
      </c>
      <c r="BG62" s="106"/>
      <c r="BH62" s="107"/>
      <c r="BI62" s="86">
        <f t="shared" si="0"/>
      </c>
      <c r="BJ62" s="83">
        <f t="shared" si="1"/>
      </c>
      <c r="BK62" s="85">
        <f t="shared" si="2"/>
      </c>
      <c r="BL62" s="85">
        <f t="shared" si="3"/>
      </c>
      <c r="BM62" s="108"/>
      <c r="BN62" s="85">
        <f t="shared" si="4"/>
      </c>
      <c r="BO62" s="108"/>
      <c r="BP62" s="85">
        <f t="shared" si="5"/>
      </c>
      <c r="BQ62" s="85">
        <f t="shared" si="6"/>
      </c>
      <c r="BR62" s="108"/>
      <c r="BS62" s="104"/>
      <c r="BT62" s="87">
        <f t="shared" si="7"/>
      </c>
      <c r="BU62" s="85">
        <f t="shared" si="8"/>
      </c>
      <c r="BV62" s="85">
        <f t="shared" si="9"/>
      </c>
      <c r="BW62" s="87">
        <f t="shared" si="10"/>
      </c>
      <c r="BX62" s="104"/>
      <c r="BY62" s="106"/>
      <c r="BZ62" s="104"/>
      <c r="CA62" s="105"/>
      <c r="CB62" s="77">
        <f>IF($A62="",0,IF($B62='FICHA CLIENTE'!$C$4,1,0))</f>
      </c>
      <c r="CC62" s="77">
        <f t="shared" si="11"/>
      </c>
      <c r="CD62" s="77">
        <f>IF($A62="",0,IF($D62='FICHA VEHICULO'!$C$4,1,0))</f>
      </c>
      <c r="CE62" s="77">
        <f t="shared" si="12"/>
      </c>
      <c r="CF62" s="77">
        <f t="shared" si="13"/>
      </c>
      <c r="CG62" s="77">
        <f t="shared" si="14"/>
      </c>
    </row>
    <row r="63" spans="1:85" ht="19.5" customHeight="1" x14ac:dyDescent="0.2">
      <c r="A63" s="104"/>
      <c r="B63" s="104"/>
      <c r="C63" s="105"/>
      <c r="D63" s="104"/>
      <c r="E63" s="105"/>
      <c r="F63" s="106"/>
      <c r="G63" s="104"/>
      <c r="H63" s="106"/>
      <c r="I63" s="107"/>
      <c r="J63" s="108"/>
      <c r="K63" s="108"/>
      <c r="L63" s="108"/>
      <c r="M63" s="105"/>
      <c r="N63" s="105"/>
      <c r="O63" s="105"/>
      <c r="P63" s="108"/>
      <c r="Q63" s="105"/>
      <c r="R63" s="105"/>
      <c r="S63" s="105"/>
      <c r="T63" s="105"/>
      <c r="U63" s="108"/>
      <c r="V63" s="105"/>
      <c r="W63" s="105"/>
      <c r="X63" s="105"/>
      <c r="Y63" s="105"/>
      <c r="Z63" s="105"/>
      <c r="AA63" s="108"/>
      <c r="AB63" s="108"/>
      <c r="AC63" s="105"/>
      <c r="AD63" s="279"/>
      <c r="AE63" s="105"/>
      <c r="AF63" s="279"/>
      <c r="AG63" s="105"/>
      <c r="AH63" s="108"/>
      <c r="AI63" s="108"/>
      <c r="AJ63" s="108"/>
      <c r="AK63" s="108"/>
      <c r="AL63" s="105"/>
      <c r="AM63" s="108"/>
      <c r="AN63" s="105"/>
      <c r="AO63" s="108"/>
      <c r="AP63" s="108"/>
      <c r="AQ63" s="105"/>
      <c r="AR63" s="108"/>
      <c r="AS63" s="108"/>
      <c r="AT63" s="105"/>
      <c r="AU63" s="105"/>
      <c r="AV63" s="105"/>
      <c r="AW63" s="105"/>
      <c r="AX63" s="105"/>
      <c r="AY63" s="105"/>
      <c r="AZ63" s="105"/>
      <c r="BA63" s="105"/>
      <c r="BB63" s="105"/>
      <c r="BC63" s="105"/>
      <c r="BD63" s="108"/>
      <c r="BE63" s="83">
        <f>IF($A63="","",IF(TRIM($D63&amp;"")="",IF(TRIM($AX63&amp;$AY63&amp;$AZ63&amp;$BA63&amp;$BB63&amp;$BC63&amp;$BD63&amp;"")="","","SUBARRENDADO"),IFERROR(IF(VLOOKUP($D63,VEHICULOS!$A$3:$H$202,7,FALSE)="","",VLOOKUP($D63,VEHICULOS!$A$3:$H$202,7,FALSE)),"")))</f>
      </c>
      <c r="BF63" s="82">
        <f>IF($A63="","",IF(TRIM($BC63&amp;"")&lt;&gt;"",$BC63,IF(TRIM($D63&amp;"")="","",IFERROR(IF(VLOOKUP($D63,VEHICULOS!$A$3:$H$202,8,FALSE)="","",VLOOKUP($D63,VEHICULOS!$A$3:$H$202,8,FALSE)),""))))</f>
      </c>
      <c r="BG63" s="106"/>
      <c r="BH63" s="107"/>
      <c r="BI63" s="86">
        <f t="shared" si="0"/>
      </c>
      <c r="BJ63" s="83">
        <f t="shared" si="1"/>
      </c>
      <c r="BK63" s="85">
        <f t="shared" si="2"/>
      </c>
      <c r="BL63" s="85">
        <f t="shared" si="3"/>
      </c>
      <c r="BM63" s="108"/>
      <c r="BN63" s="85">
        <f t="shared" si="4"/>
      </c>
      <c r="BO63" s="108"/>
      <c r="BP63" s="85">
        <f t="shared" si="5"/>
      </c>
      <c r="BQ63" s="85">
        <f t="shared" si="6"/>
      </c>
      <c r="BR63" s="108"/>
      <c r="BS63" s="104"/>
      <c r="BT63" s="87">
        <f t="shared" si="7"/>
      </c>
      <c r="BU63" s="85">
        <f t="shared" si="8"/>
      </c>
      <c r="BV63" s="85">
        <f t="shared" si="9"/>
      </c>
      <c r="BW63" s="87">
        <f t="shared" si="10"/>
      </c>
      <c r="BX63" s="104"/>
      <c r="BY63" s="106"/>
      <c r="BZ63" s="104"/>
      <c r="CA63" s="105"/>
      <c r="CB63" s="77">
        <f>IF($A63="",0,IF($B63='FICHA CLIENTE'!$C$4,1,0))</f>
      </c>
      <c r="CC63" s="77">
        <f t="shared" si="11"/>
      </c>
      <c r="CD63" s="77">
        <f>IF($A63="",0,IF($D63='FICHA VEHICULO'!$C$4,1,0))</f>
      </c>
      <c r="CE63" s="77">
        <f t="shared" si="12"/>
      </c>
      <c r="CF63" s="77">
        <f t="shared" si="13"/>
      </c>
      <c r="CG63" s="77">
        <f t="shared" si="14"/>
      </c>
    </row>
    <row r="64" spans="1:85" ht="19.5" customHeight="1" x14ac:dyDescent="0.2">
      <c r="A64" s="104"/>
      <c r="B64" s="104"/>
      <c r="C64" s="105"/>
      <c r="D64" s="104"/>
      <c r="E64" s="105"/>
      <c r="F64" s="106"/>
      <c r="G64" s="104"/>
      <c r="H64" s="106"/>
      <c r="I64" s="107"/>
      <c r="J64" s="108"/>
      <c r="K64" s="108"/>
      <c r="L64" s="108"/>
      <c r="M64" s="105"/>
      <c r="N64" s="105"/>
      <c r="O64" s="105"/>
      <c r="P64" s="108"/>
      <c r="Q64" s="105"/>
      <c r="R64" s="105"/>
      <c r="S64" s="105"/>
      <c r="T64" s="105"/>
      <c r="U64" s="108"/>
      <c r="V64" s="105"/>
      <c r="W64" s="105"/>
      <c r="X64" s="105"/>
      <c r="Y64" s="105"/>
      <c r="Z64" s="105"/>
      <c r="AA64" s="108"/>
      <c r="AB64" s="108"/>
      <c r="AC64" s="105"/>
      <c r="AD64" s="279"/>
      <c r="AE64" s="105"/>
      <c r="AF64" s="279"/>
      <c r="AG64" s="105"/>
      <c r="AH64" s="108"/>
      <c r="AI64" s="108"/>
      <c r="AJ64" s="108"/>
      <c r="AK64" s="108"/>
      <c r="AL64" s="105"/>
      <c r="AM64" s="108"/>
      <c r="AN64" s="105"/>
      <c r="AO64" s="108"/>
      <c r="AP64" s="108"/>
      <c r="AQ64" s="105"/>
      <c r="AR64" s="108"/>
      <c r="AS64" s="108"/>
      <c r="AT64" s="105"/>
      <c r="AU64" s="105"/>
      <c r="AV64" s="105"/>
      <c r="AW64" s="105"/>
      <c r="AX64" s="105"/>
      <c r="AY64" s="105"/>
      <c r="AZ64" s="105"/>
      <c r="BA64" s="105"/>
      <c r="BB64" s="105"/>
      <c r="BC64" s="105"/>
      <c r="BD64" s="108"/>
      <c r="BE64" s="83">
        <f>IF($A64="","",IF(TRIM($D64&amp;"")="",IF(TRIM($AX64&amp;$AY64&amp;$AZ64&amp;$BA64&amp;$BB64&amp;$BC64&amp;$BD64&amp;"")="","","SUBARRENDADO"),IFERROR(IF(VLOOKUP($D64,VEHICULOS!$A$3:$H$202,7,FALSE)="","",VLOOKUP($D64,VEHICULOS!$A$3:$H$202,7,FALSE)),"")))</f>
      </c>
      <c r="BF64" s="82">
        <f>IF($A64="","",IF(TRIM($BC64&amp;"")&lt;&gt;"",$BC64,IF(TRIM($D64&amp;"")="","",IFERROR(IF(VLOOKUP($D64,VEHICULOS!$A$3:$H$202,8,FALSE)="","",VLOOKUP($D64,VEHICULOS!$A$3:$H$202,8,FALSE)),""))))</f>
      </c>
      <c r="BG64" s="106"/>
      <c r="BH64" s="107"/>
      <c r="BI64" s="86">
        <f t="shared" si="0"/>
      </c>
      <c r="BJ64" s="83">
        <f t="shared" si="1"/>
      </c>
      <c r="BK64" s="85">
        <f t="shared" si="2"/>
      </c>
      <c r="BL64" s="85">
        <f t="shared" si="3"/>
      </c>
      <c r="BM64" s="108"/>
      <c r="BN64" s="85">
        <f t="shared" si="4"/>
      </c>
      <c r="BO64" s="108"/>
      <c r="BP64" s="85">
        <f t="shared" si="5"/>
      </c>
      <c r="BQ64" s="85">
        <f t="shared" si="6"/>
      </c>
      <c r="BR64" s="108"/>
      <c r="BS64" s="104"/>
      <c r="BT64" s="87">
        <f t="shared" si="7"/>
      </c>
      <c r="BU64" s="85">
        <f t="shared" si="8"/>
      </c>
      <c r="BV64" s="85">
        <f t="shared" si="9"/>
      </c>
      <c r="BW64" s="87">
        <f t="shared" si="10"/>
      </c>
      <c r="BX64" s="104"/>
      <c r="BY64" s="106"/>
      <c r="BZ64" s="104"/>
      <c r="CA64" s="105"/>
      <c r="CB64" s="77">
        <f>IF($A64="",0,IF($B64='FICHA CLIENTE'!$C$4,1,0))</f>
      </c>
      <c r="CC64" s="77">
        <f t="shared" si="11"/>
      </c>
      <c r="CD64" s="77">
        <f>IF($A64="",0,IF($D64='FICHA VEHICULO'!$C$4,1,0))</f>
      </c>
      <c r="CE64" s="77">
        <f t="shared" si="12"/>
      </c>
      <c r="CF64" s="77">
        <f t="shared" si="13"/>
      </c>
      <c r="CG64" s="77">
        <f t="shared" si="14"/>
      </c>
    </row>
    <row r="65" spans="1:85" ht="19.5" customHeight="1" x14ac:dyDescent="0.2">
      <c r="A65" s="104"/>
      <c r="B65" s="104"/>
      <c r="C65" s="105"/>
      <c r="D65" s="104"/>
      <c r="E65" s="105"/>
      <c r="F65" s="106"/>
      <c r="G65" s="104"/>
      <c r="H65" s="106"/>
      <c r="I65" s="107"/>
      <c r="J65" s="108"/>
      <c r="K65" s="108"/>
      <c r="L65" s="108"/>
      <c r="M65" s="105"/>
      <c r="N65" s="105"/>
      <c r="O65" s="105"/>
      <c r="P65" s="108"/>
      <c r="Q65" s="105"/>
      <c r="R65" s="105"/>
      <c r="S65" s="105"/>
      <c r="T65" s="105"/>
      <c r="U65" s="108"/>
      <c r="V65" s="105"/>
      <c r="W65" s="105"/>
      <c r="X65" s="105"/>
      <c r="Y65" s="105"/>
      <c r="Z65" s="105"/>
      <c r="AA65" s="108"/>
      <c r="AB65" s="108"/>
      <c r="AC65" s="105"/>
      <c r="AD65" s="279"/>
      <c r="AE65" s="105"/>
      <c r="AF65" s="279"/>
      <c r="AG65" s="105"/>
      <c r="AH65" s="108"/>
      <c r="AI65" s="108"/>
      <c r="AJ65" s="108"/>
      <c r="AK65" s="108"/>
      <c r="AL65" s="105"/>
      <c r="AM65" s="108"/>
      <c r="AN65" s="105"/>
      <c r="AO65" s="108"/>
      <c r="AP65" s="108"/>
      <c r="AQ65" s="105"/>
      <c r="AR65" s="108"/>
      <c r="AS65" s="108"/>
      <c r="AT65" s="105"/>
      <c r="AU65" s="105"/>
      <c r="AV65" s="105"/>
      <c r="AW65" s="105"/>
      <c r="AX65" s="105"/>
      <c r="AY65" s="105"/>
      <c r="AZ65" s="105"/>
      <c r="BA65" s="105"/>
      <c r="BB65" s="105"/>
      <c r="BC65" s="105"/>
      <c r="BD65" s="108"/>
      <c r="BE65" s="83">
        <f>IF($A65="","",IF(TRIM($D65&amp;"")="",IF(TRIM($AX65&amp;$AY65&amp;$AZ65&amp;$BA65&amp;$BB65&amp;$BC65&amp;$BD65&amp;"")="","","SUBARRENDADO"),IFERROR(IF(VLOOKUP($D65,VEHICULOS!$A$3:$H$202,7,FALSE)="","",VLOOKUP($D65,VEHICULOS!$A$3:$H$202,7,FALSE)),"")))</f>
      </c>
      <c r="BF65" s="82">
        <f>IF($A65="","",IF(TRIM($BC65&amp;"")&lt;&gt;"",$BC65,IF(TRIM($D65&amp;"")="","",IFERROR(IF(VLOOKUP($D65,VEHICULOS!$A$3:$H$202,8,FALSE)="","",VLOOKUP($D65,VEHICULOS!$A$3:$H$202,8,FALSE)),""))))</f>
      </c>
      <c r="BG65" s="106"/>
      <c r="BH65" s="107"/>
      <c r="BI65" s="86">
        <f t="shared" si="0"/>
      </c>
      <c r="BJ65" s="83">
        <f t="shared" si="1"/>
      </c>
      <c r="BK65" s="85">
        <f t="shared" si="2"/>
      </c>
      <c r="BL65" s="85">
        <f t="shared" si="3"/>
      </c>
      <c r="BM65" s="108"/>
      <c r="BN65" s="85">
        <f t="shared" si="4"/>
      </c>
      <c r="BO65" s="108"/>
      <c r="BP65" s="85">
        <f t="shared" si="5"/>
      </c>
      <c r="BQ65" s="85">
        <f t="shared" si="6"/>
      </c>
      <c r="BR65" s="108"/>
      <c r="BS65" s="104"/>
      <c r="BT65" s="87">
        <f t="shared" si="7"/>
      </c>
      <c r="BU65" s="85">
        <f t="shared" si="8"/>
      </c>
      <c r="BV65" s="85">
        <f t="shared" si="9"/>
      </c>
      <c r="BW65" s="87">
        <f t="shared" si="10"/>
      </c>
      <c r="BX65" s="104"/>
      <c r="BY65" s="106"/>
      <c r="BZ65" s="104"/>
      <c r="CA65" s="105"/>
      <c r="CB65" s="77">
        <f>IF($A65="",0,IF($B65='FICHA CLIENTE'!$C$4,1,0))</f>
      </c>
      <c r="CC65" s="77">
        <f t="shared" si="11"/>
      </c>
      <c r="CD65" s="77">
        <f>IF($A65="",0,IF($D65='FICHA VEHICULO'!$C$4,1,0))</f>
      </c>
      <c r="CE65" s="77">
        <f t="shared" si="12"/>
      </c>
      <c r="CF65" s="77">
        <f t="shared" si="13"/>
      </c>
      <c r="CG65" s="77">
        <f t="shared" si="14"/>
      </c>
    </row>
    <row r="66" spans="1:85" ht="19.5" customHeight="1" x14ac:dyDescent="0.2">
      <c r="A66" s="104"/>
      <c r="B66" s="104"/>
      <c r="C66" s="105"/>
      <c r="D66" s="104"/>
      <c r="E66" s="105"/>
      <c r="F66" s="106"/>
      <c r="G66" s="104"/>
      <c r="H66" s="106"/>
      <c r="I66" s="107"/>
      <c r="J66" s="108"/>
      <c r="K66" s="108"/>
      <c r="L66" s="108"/>
      <c r="M66" s="105"/>
      <c r="N66" s="105"/>
      <c r="O66" s="105"/>
      <c r="P66" s="108"/>
      <c r="Q66" s="105"/>
      <c r="R66" s="105"/>
      <c r="S66" s="105"/>
      <c r="T66" s="105"/>
      <c r="U66" s="108"/>
      <c r="V66" s="105"/>
      <c r="W66" s="105"/>
      <c r="X66" s="105"/>
      <c r="Y66" s="105"/>
      <c r="Z66" s="105"/>
      <c r="AA66" s="108"/>
      <c r="AB66" s="108"/>
      <c r="AC66" s="105"/>
      <c r="AD66" s="279"/>
      <c r="AE66" s="105"/>
      <c r="AF66" s="279"/>
      <c r="AG66" s="105"/>
      <c r="AH66" s="108"/>
      <c r="AI66" s="108"/>
      <c r="AJ66" s="108"/>
      <c r="AK66" s="108"/>
      <c r="AL66" s="105"/>
      <c r="AM66" s="108"/>
      <c r="AN66" s="105"/>
      <c r="AO66" s="108"/>
      <c r="AP66" s="108"/>
      <c r="AQ66" s="105"/>
      <c r="AR66" s="108"/>
      <c r="AS66" s="108"/>
      <c r="AT66" s="105"/>
      <c r="AU66" s="105"/>
      <c r="AV66" s="105"/>
      <c r="AW66" s="105"/>
      <c r="AX66" s="105"/>
      <c r="AY66" s="105"/>
      <c r="AZ66" s="105"/>
      <c r="BA66" s="105"/>
      <c r="BB66" s="105"/>
      <c r="BC66" s="105"/>
      <c r="BD66" s="108"/>
      <c r="BE66" s="83">
        <f>IF($A66="","",IF(TRIM($D66&amp;"")="",IF(TRIM($AX66&amp;$AY66&amp;$AZ66&amp;$BA66&amp;$BB66&amp;$BC66&amp;$BD66&amp;"")="","","SUBARRENDADO"),IFERROR(IF(VLOOKUP($D66,VEHICULOS!$A$3:$H$202,7,FALSE)="","",VLOOKUP($D66,VEHICULOS!$A$3:$H$202,7,FALSE)),"")))</f>
      </c>
      <c r="BF66" s="82">
        <f>IF($A66="","",IF(TRIM($BC66&amp;"")&lt;&gt;"",$BC66,IF(TRIM($D66&amp;"")="","",IFERROR(IF(VLOOKUP($D66,VEHICULOS!$A$3:$H$202,8,FALSE)="","",VLOOKUP($D66,VEHICULOS!$A$3:$H$202,8,FALSE)),""))))</f>
      </c>
      <c r="BG66" s="106"/>
      <c r="BH66" s="107"/>
      <c r="BI66" s="86">
        <f t="shared" si="0"/>
      </c>
      <c r="BJ66" s="83">
        <f t="shared" si="1"/>
      </c>
      <c r="BK66" s="85">
        <f t="shared" si="2"/>
      </c>
      <c r="BL66" s="85">
        <f t="shared" si="3"/>
      </c>
      <c r="BM66" s="108"/>
      <c r="BN66" s="85">
        <f t="shared" si="4"/>
      </c>
      <c r="BO66" s="108"/>
      <c r="BP66" s="85">
        <f t="shared" si="5"/>
      </c>
      <c r="BQ66" s="85">
        <f t="shared" si="6"/>
      </c>
      <c r="BR66" s="108"/>
      <c r="BS66" s="104"/>
      <c r="BT66" s="87">
        <f t="shared" si="7"/>
      </c>
      <c r="BU66" s="85">
        <f t="shared" si="8"/>
      </c>
      <c r="BV66" s="85">
        <f t="shared" si="9"/>
      </c>
      <c r="BW66" s="87">
        <f t="shared" si="10"/>
      </c>
      <c r="BX66" s="104"/>
      <c r="BY66" s="106"/>
      <c r="BZ66" s="104"/>
      <c r="CA66" s="105"/>
      <c r="CB66" s="77">
        <f>IF($A66="",0,IF($B66='FICHA CLIENTE'!$C$4,1,0))</f>
      </c>
      <c r="CC66" s="77">
        <f t="shared" si="11"/>
      </c>
      <c r="CD66" s="77">
        <f>IF($A66="",0,IF($D66='FICHA VEHICULO'!$C$4,1,0))</f>
      </c>
      <c r="CE66" s="77">
        <f t="shared" si="12"/>
      </c>
      <c r="CF66" s="77">
        <f t="shared" si="13"/>
      </c>
      <c r="CG66" s="77">
        <f t="shared" si="14"/>
      </c>
    </row>
    <row r="67" spans="1:85" ht="19.5" customHeight="1" x14ac:dyDescent="0.2">
      <c r="A67" s="104"/>
      <c r="B67" s="104"/>
      <c r="C67" s="105"/>
      <c r="D67" s="104"/>
      <c r="E67" s="105"/>
      <c r="F67" s="106"/>
      <c r="G67" s="104"/>
      <c r="H67" s="106"/>
      <c r="I67" s="107"/>
      <c r="J67" s="108"/>
      <c r="K67" s="108"/>
      <c r="L67" s="108"/>
      <c r="M67" s="105"/>
      <c r="N67" s="105"/>
      <c r="O67" s="105"/>
      <c r="P67" s="108"/>
      <c r="Q67" s="105"/>
      <c r="R67" s="105"/>
      <c r="S67" s="105"/>
      <c r="T67" s="105"/>
      <c r="U67" s="108"/>
      <c r="V67" s="105"/>
      <c r="W67" s="105"/>
      <c r="X67" s="105"/>
      <c r="Y67" s="105"/>
      <c r="Z67" s="105"/>
      <c r="AA67" s="108"/>
      <c r="AB67" s="108"/>
      <c r="AC67" s="105"/>
      <c r="AD67" s="279"/>
      <c r="AE67" s="105"/>
      <c r="AF67" s="279"/>
      <c r="AG67" s="105"/>
      <c r="AH67" s="108"/>
      <c r="AI67" s="108"/>
      <c r="AJ67" s="108"/>
      <c r="AK67" s="108"/>
      <c r="AL67" s="105"/>
      <c r="AM67" s="108"/>
      <c r="AN67" s="105"/>
      <c r="AO67" s="108"/>
      <c r="AP67" s="108"/>
      <c r="AQ67" s="105"/>
      <c r="AR67" s="108"/>
      <c r="AS67" s="108"/>
      <c r="AT67" s="105"/>
      <c r="AU67" s="105"/>
      <c r="AV67" s="105"/>
      <c r="AW67" s="105"/>
      <c r="AX67" s="105"/>
      <c r="AY67" s="105"/>
      <c r="AZ67" s="105"/>
      <c r="BA67" s="105"/>
      <c r="BB67" s="105"/>
      <c r="BC67" s="105"/>
      <c r="BD67" s="108"/>
      <c r="BE67" s="83">
        <f>IF($A67="","",IF(TRIM($D67&amp;"")="",IF(TRIM($AX67&amp;$AY67&amp;$AZ67&amp;$BA67&amp;$BB67&amp;$BC67&amp;$BD67&amp;"")="","","SUBARRENDADO"),IFERROR(IF(VLOOKUP($D67,VEHICULOS!$A$3:$H$202,7,FALSE)="","",VLOOKUP($D67,VEHICULOS!$A$3:$H$202,7,FALSE)),"")))</f>
      </c>
      <c r="BF67" s="82">
        <f>IF($A67="","",IF(TRIM($BC67&amp;"")&lt;&gt;"",$BC67,IF(TRIM($D67&amp;"")="","",IFERROR(IF(VLOOKUP($D67,VEHICULOS!$A$3:$H$202,8,FALSE)="","",VLOOKUP($D67,VEHICULOS!$A$3:$H$202,8,FALSE)),""))))</f>
      </c>
      <c r="BG67" s="106"/>
      <c r="BH67" s="107"/>
      <c r="BI67" s="86">
        <f t="shared" si="0"/>
      </c>
      <c r="BJ67" s="83">
        <f t="shared" si="1"/>
      </c>
      <c r="BK67" s="85">
        <f t="shared" si="2"/>
      </c>
      <c r="BL67" s="85">
        <f t="shared" si="3"/>
      </c>
      <c r="BM67" s="108"/>
      <c r="BN67" s="85">
        <f t="shared" si="4"/>
      </c>
      <c r="BO67" s="108"/>
      <c r="BP67" s="85">
        <f t="shared" si="5"/>
      </c>
      <c r="BQ67" s="85">
        <f t="shared" si="6"/>
      </c>
      <c r="BR67" s="108"/>
      <c r="BS67" s="104"/>
      <c r="BT67" s="87">
        <f t="shared" si="7"/>
      </c>
      <c r="BU67" s="85">
        <f t="shared" si="8"/>
      </c>
      <c r="BV67" s="85">
        <f t="shared" si="9"/>
      </c>
      <c r="BW67" s="87">
        <f t="shared" si="10"/>
      </c>
      <c r="BX67" s="104"/>
      <c r="BY67" s="106"/>
      <c r="BZ67" s="104"/>
      <c r="CA67" s="105"/>
      <c r="CB67" s="77">
        <f>IF($A67="",0,IF($B67='FICHA CLIENTE'!$C$4,1,0))</f>
      </c>
      <c r="CC67" s="77">
        <f t="shared" si="11"/>
      </c>
      <c r="CD67" s="77">
        <f>IF($A67="",0,IF($D67='FICHA VEHICULO'!$C$4,1,0))</f>
      </c>
      <c r="CE67" s="77">
        <f t="shared" si="12"/>
      </c>
      <c r="CF67" s="77">
        <f t="shared" si="13"/>
      </c>
      <c r="CG67" s="77">
        <f t="shared" si="14"/>
      </c>
    </row>
    <row r="68" spans="1:85" ht="19.5" customHeight="1" x14ac:dyDescent="0.2">
      <c r="A68" s="104"/>
      <c r="B68" s="104"/>
      <c r="C68" s="105"/>
      <c r="D68" s="104"/>
      <c r="E68" s="105"/>
      <c r="F68" s="106"/>
      <c r="G68" s="104"/>
      <c r="H68" s="106"/>
      <c r="I68" s="107"/>
      <c r="J68" s="108"/>
      <c r="K68" s="108"/>
      <c r="L68" s="108"/>
      <c r="M68" s="105"/>
      <c r="N68" s="105"/>
      <c r="O68" s="105"/>
      <c r="P68" s="108"/>
      <c r="Q68" s="105"/>
      <c r="R68" s="105"/>
      <c r="S68" s="105"/>
      <c r="T68" s="105"/>
      <c r="U68" s="108"/>
      <c r="V68" s="105"/>
      <c r="W68" s="105"/>
      <c r="X68" s="105"/>
      <c r="Y68" s="105"/>
      <c r="Z68" s="105"/>
      <c r="AA68" s="108"/>
      <c r="AB68" s="108"/>
      <c r="AC68" s="105"/>
      <c r="AD68" s="279"/>
      <c r="AE68" s="105"/>
      <c r="AF68" s="279"/>
      <c r="AG68" s="105"/>
      <c r="AH68" s="108"/>
      <c r="AI68" s="108"/>
      <c r="AJ68" s="108"/>
      <c r="AK68" s="108"/>
      <c r="AL68" s="105"/>
      <c r="AM68" s="108"/>
      <c r="AN68" s="105"/>
      <c r="AO68" s="108"/>
      <c r="AP68" s="108"/>
      <c r="AQ68" s="105"/>
      <c r="AR68" s="108"/>
      <c r="AS68" s="108"/>
      <c r="AT68" s="105"/>
      <c r="AU68" s="105"/>
      <c r="AV68" s="105"/>
      <c r="AW68" s="105"/>
      <c r="AX68" s="105"/>
      <c r="AY68" s="105"/>
      <c r="AZ68" s="105"/>
      <c r="BA68" s="105"/>
      <c r="BB68" s="105"/>
      <c r="BC68" s="105"/>
      <c r="BD68" s="108"/>
      <c r="BE68" s="83">
        <f>IF($A68="","",IF(TRIM($D68&amp;"")="",IF(TRIM($AX68&amp;$AY68&amp;$AZ68&amp;$BA68&amp;$BB68&amp;$BC68&amp;$BD68&amp;"")="","","SUBARRENDADO"),IFERROR(IF(VLOOKUP($D68,VEHICULOS!$A$3:$H$202,7,FALSE)="","",VLOOKUP($D68,VEHICULOS!$A$3:$H$202,7,FALSE)),"")))</f>
      </c>
      <c r="BF68" s="82">
        <f>IF($A68="","",IF(TRIM($BC68&amp;"")&lt;&gt;"",$BC68,IF(TRIM($D68&amp;"")="","",IFERROR(IF(VLOOKUP($D68,VEHICULOS!$A$3:$H$202,8,FALSE)="","",VLOOKUP($D68,VEHICULOS!$A$3:$H$202,8,FALSE)),""))))</f>
      </c>
      <c r="BG68" s="106"/>
      <c r="BH68" s="107"/>
      <c r="BI68" s="86">
        <f t="shared" si="0"/>
      </c>
      <c r="BJ68" s="83">
        <f t="shared" si="1"/>
      </c>
      <c r="BK68" s="85">
        <f t="shared" si="2"/>
      </c>
      <c r="BL68" s="85">
        <f t="shared" si="3"/>
      </c>
      <c r="BM68" s="108"/>
      <c r="BN68" s="85">
        <f t="shared" si="4"/>
      </c>
      <c r="BO68" s="108"/>
      <c r="BP68" s="85">
        <f t="shared" si="5"/>
      </c>
      <c r="BQ68" s="85">
        <f t="shared" si="6"/>
      </c>
      <c r="BR68" s="108"/>
      <c r="BS68" s="104"/>
      <c r="BT68" s="87">
        <f t="shared" si="7"/>
      </c>
      <c r="BU68" s="85">
        <f t="shared" si="8"/>
      </c>
      <c r="BV68" s="85">
        <f t="shared" si="9"/>
      </c>
      <c r="BW68" s="87">
        <f t="shared" si="10"/>
      </c>
      <c r="BX68" s="104"/>
      <c r="BY68" s="106"/>
      <c r="BZ68" s="104"/>
      <c r="CA68" s="105"/>
      <c r="CB68" s="77">
        <f>IF($A68="",0,IF($B68='FICHA CLIENTE'!$C$4,1,0))</f>
      </c>
      <c r="CC68" s="77">
        <f t="shared" si="11"/>
      </c>
      <c r="CD68" s="77">
        <f>IF($A68="",0,IF($D68='FICHA VEHICULO'!$C$4,1,0))</f>
      </c>
      <c r="CE68" s="77">
        <f t="shared" si="12"/>
      </c>
      <c r="CF68" s="77">
        <f t="shared" si="13"/>
      </c>
      <c r="CG68" s="77">
        <f t="shared" si="14"/>
      </c>
    </row>
    <row r="69" spans="1:85" ht="19.5" customHeight="1" x14ac:dyDescent="0.2">
      <c r="A69" s="104"/>
      <c r="B69" s="104"/>
      <c r="C69" s="105"/>
      <c r="D69" s="104"/>
      <c r="E69" s="105"/>
      <c r="F69" s="106"/>
      <c r="G69" s="104"/>
      <c r="H69" s="106"/>
      <c r="I69" s="107"/>
      <c r="J69" s="108"/>
      <c r="K69" s="108"/>
      <c r="L69" s="108"/>
      <c r="M69" s="105"/>
      <c r="N69" s="105"/>
      <c r="O69" s="105"/>
      <c r="P69" s="108"/>
      <c r="Q69" s="105"/>
      <c r="R69" s="105"/>
      <c r="S69" s="105"/>
      <c r="T69" s="105"/>
      <c r="U69" s="108"/>
      <c r="V69" s="105"/>
      <c r="W69" s="105"/>
      <c r="X69" s="105"/>
      <c r="Y69" s="105"/>
      <c r="Z69" s="105"/>
      <c r="AA69" s="108"/>
      <c r="AB69" s="108"/>
      <c r="AC69" s="105"/>
      <c r="AD69" s="279"/>
      <c r="AE69" s="105"/>
      <c r="AF69" s="279"/>
      <c r="AG69" s="105"/>
      <c r="AH69" s="108"/>
      <c r="AI69" s="108"/>
      <c r="AJ69" s="108"/>
      <c r="AK69" s="108"/>
      <c r="AL69" s="105"/>
      <c r="AM69" s="108"/>
      <c r="AN69" s="105"/>
      <c r="AO69" s="108"/>
      <c r="AP69" s="108"/>
      <c r="AQ69" s="105"/>
      <c r="AR69" s="108"/>
      <c r="AS69" s="108"/>
      <c r="AT69" s="105"/>
      <c r="AU69" s="105"/>
      <c r="AV69" s="105"/>
      <c r="AW69" s="105"/>
      <c r="AX69" s="105"/>
      <c r="AY69" s="105"/>
      <c r="AZ69" s="105"/>
      <c r="BA69" s="105"/>
      <c r="BB69" s="105"/>
      <c r="BC69" s="105"/>
      <c r="BD69" s="108"/>
      <c r="BE69" s="83">
        <f>IF($A69="","",IF(TRIM($D69&amp;"")="",IF(TRIM($AX69&amp;$AY69&amp;$AZ69&amp;$BA69&amp;$BB69&amp;$BC69&amp;$BD69&amp;"")="","","SUBARRENDADO"),IFERROR(IF(VLOOKUP($D69,VEHICULOS!$A$3:$H$202,7,FALSE)="","",VLOOKUP($D69,VEHICULOS!$A$3:$H$202,7,FALSE)),"")))</f>
      </c>
      <c r="BF69" s="82">
        <f>IF($A69="","",IF(TRIM($BC69&amp;"")&lt;&gt;"",$BC69,IF(TRIM($D69&amp;"")="","",IFERROR(IF(VLOOKUP($D69,VEHICULOS!$A$3:$H$202,8,FALSE)="","",VLOOKUP($D69,VEHICULOS!$A$3:$H$202,8,FALSE)),""))))</f>
      </c>
      <c r="BG69" s="106"/>
      <c r="BH69" s="107"/>
      <c r="BI69" s="86">
        <f t="shared" si="0"/>
      </c>
      <c r="BJ69" s="83">
        <f t="shared" si="1"/>
      </c>
      <c r="BK69" s="85">
        <f t="shared" si="2"/>
      </c>
      <c r="BL69" s="85">
        <f t="shared" si="3"/>
      </c>
      <c r="BM69" s="108"/>
      <c r="BN69" s="85">
        <f t="shared" si="4"/>
      </c>
      <c r="BO69" s="108"/>
      <c r="BP69" s="85">
        <f t="shared" si="5"/>
      </c>
      <c r="BQ69" s="85">
        <f t="shared" si="6"/>
      </c>
      <c r="BR69" s="108"/>
      <c r="BS69" s="104"/>
      <c r="BT69" s="87">
        <f t="shared" si="7"/>
      </c>
      <c r="BU69" s="85">
        <f t="shared" si="8"/>
      </c>
      <c r="BV69" s="85">
        <f t="shared" si="9"/>
      </c>
      <c r="BW69" s="87">
        <f t="shared" si="10"/>
      </c>
      <c r="BX69" s="104"/>
      <c r="BY69" s="106"/>
      <c r="BZ69" s="104"/>
      <c r="CA69" s="105"/>
      <c r="CB69" s="77">
        <f>IF($A69="",0,IF($B69='FICHA CLIENTE'!$C$4,1,0))</f>
      </c>
      <c r="CC69" s="77">
        <f t="shared" si="11"/>
      </c>
      <c r="CD69" s="77">
        <f>IF($A69="",0,IF($D69='FICHA VEHICULO'!$C$4,1,0))</f>
      </c>
      <c r="CE69" s="77">
        <f t="shared" si="12"/>
      </c>
      <c r="CF69" s="77">
        <f t="shared" si="13"/>
      </c>
      <c r="CG69" s="77">
        <f t="shared" si="14"/>
      </c>
    </row>
    <row r="70" spans="1:85" ht="19.5" customHeight="1" x14ac:dyDescent="0.2">
      <c r="A70" s="104"/>
      <c r="B70" s="104"/>
      <c r="C70" s="105"/>
      <c r="D70" s="104"/>
      <c r="E70" s="105"/>
      <c r="F70" s="106"/>
      <c r="G70" s="104"/>
      <c r="H70" s="106"/>
      <c r="I70" s="107"/>
      <c r="J70" s="108"/>
      <c r="K70" s="108"/>
      <c r="L70" s="108"/>
      <c r="M70" s="105"/>
      <c r="N70" s="105"/>
      <c r="O70" s="105"/>
      <c r="P70" s="108"/>
      <c r="Q70" s="105"/>
      <c r="R70" s="105"/>
      <c r="S70" s="105"/>
      <c r="T70" s="105"/>
      <c r="U70" s="108"/>
      <c r="V70" s="105"/>
      <c r="W70" s="105"/>
      <c r="X70" s="105"/>
      <c r="Y70" s="105"/>
      <c r="Z70" s="105"/>
      <c r="AA70" s="108"/>
      <c r="AB70" s="108"/>
      <c r="AC70" s="105"/>
      <c r="AD70" s="279"/>
      <c r="AE70" s="105"/>
      <c r="AF70" s="279"/>
      <c r="AG70" s="105"/>
      <c r="AH70" s="108"/>
      <c r="AI70" s="108"/>
      <c r="AJ70" s="108"/>
      <c r="AK70" s="108"/>
      <c r="AL70" s="105"/>
      <c r="AM70" s="108"/>
      <c r="AN70" s="105"/>
      <c r="AO70" s="108"/>
      <c r="AP70" s="108"/>
      <c r="AQ70" s="105"/>
      <c r="AR70" s="108"/>
      <c r="AS70" s="108"/>
      <c r="AT70" s="105"/>
      <c r="AU70" s="105"/>
      <c r="AV70" s="105"/>
      <c r="AW70" s="105"/>
      <c r="AX70" s="105"/>
      <c r="AY70" s="105"/>
      <c r="AZ70" s="105"/>
      <c r="BA70" s="105"/>
      <c r="BB70" s="105"/>
      <c r="BC70" s="105"/>
      <c r="BD70" s="108"/>
      <c r="BE70" s="83">
        <f>IF($A70="","",IF(TRIM($D70&amp;"")="",IF(TRIM($AX70&amp;$AY70&amp;$AZ70&amp;$BA70&amp;$BB70&amp;$BC70&amp;$BD70&amp;"")="","","SUBARRENDADO"),IFERROR(IF(VLOOKUP($D70,VEHICULOS!$A$3:$H$202,7,FALSE)="","",VLOOKUP($D70,VEHICULOS!$A$3:$H$202,7,FALSE)),"")))</f>
      </c>
      <c r="BF70" s="82">
        <f>IF($A70="","",IF(TRIM($BC70&amp;"")&lt;&gt;"",$BC70,IF(TRIM($D70&amp;"")="","",IFERROR(IF(VLOOKUP($D70,VEHICULOS!$A$3:$H$202,8,FALSE)="","",VLOOKUP($D70,VEHICULOS!$A$3:$H$202,8,FALSE)),""))))</f>
      </c>
      <c r="BG70" s="106"/>
      <c r="BH70" s="107"/>
      <c r="BI70" s="86">
        <f t="shared" ref="BI70:BI133" si="15">IF(OR($BH70="",$I70=""),"",$BH70-$I70)</f>
      </c>
      <c r="BJ70" s="83">
        <f t="shared" ref="BJ70:BJ133" si="16">IF(OR($BG70="",$H70=""),"",MAX(0,$BG70-$H70))</f>
      </c>
      <c r="BK70" s="85">
        <f t="shared" ref="BK70:BK133" si="17">IF($A70="","",N($BJ70)*N($J70))</f>
      </c>
      <c r="BL70" s="85">
        <f t="shared" ref="BL70:BL133" si="18">IF($A70="","",(N($AM70)+N($AS70))*(N($G70)+N($BJ70))+N($AP70))</f>
      </c>
      <c r="BM70" s="108"/>
      <c r="BN70" s="85">
        <f t="shared" ref="BN70:BN133" si="19">IF($A70="","",N($AO70))</f>
      </c>
      <c r="BO70" s="108"/>
      <c r="BP70" s="85">
        <f t="shared" ref="BP70:BP133" si="20">IF($A70="","",N($AR70))</f>
      </c>
      <c r="BQ70" s="85">
        <f t="shared" ref="BQ70:BQ133" si="21">IF($A70="","",N($K70)+N($BK70)+N($BL70)+N($BM70)+N($BN70)+N($BO70)+N($BP70))</f>
      </c>
      <c r="BR70" s="108"/>
      <c r="BS70" s="104"/>
      <c r="BT70" s="87">
        <f t="shared" ref="BT70:BT133" si="22">IF($A70="","",ROUND((N($BQ70)-N($BR70))*(1+N($BS70)/100),2))</f>
      </c>
      <c r="BU70" s="85">
        <f t="shared" ref="BU70:BU133" si="23">IF($A70="","",N($BD70))</f>
      </c>
      <c r="BV70" s="85">
        <f t="shared" ref="BV70:BV133" si="24">IF($A70="","",N($BU70)*(N($G70)+N($BJ70)))</f>
      </c>
      <c r="BW70" s="87">
        <f t="shared" ref="BW70:BW133" si="25">IF($A70="","",N($BT70)-N($BV70))</f>
      </c>
      <c r="BX70" s="104"/>
      <c r="BY70" s="106"/>
      <c r="BZ70" s="104"/>
      <c r="CA70" s="105"/>
      <c r="CB70" s="77">
        <f>IF($A70="",0,IF($B70='FICHA CLIENTE'!$C$4,1,0))</f>
      </c>
      <c r="CC70" s="77">
        <f t="shared" ref="CC70:CC133" si="26">$CC69+$CB70</f>
      </c>
      <c r="CD70" s="77">
        <f>IF($A70="",0,IF($D70='FICHA VEHICULO'!$C$4,1,0))</f>
      </c>
      <c r="CE70" s="77">
        <f t="shared" ref="CE70:CE133" si="27">$CE69+$CD70</f>
      </c>
      <c r="CF70" s="77">
        <f t="shared" ref="CF70:CF133" si="28">IF($A70="",0,IF($BG70="",1,0))</f>
      </c>
      <c r="CG70" s="77">
        <f t="shared" ref="CG70:CG133" si="29">$CG69+$CF70</f>
      </c>
    </row>
    <row r="71" spans="1:85" ht="19.5" customHeight="1" x14ac:dyDescent="0.2">
      <c r="A71" s="104"/>
      <c r="B71" s="104"/>
      <c r="C71" s="105"/>
      <c r="D71" s="104"/>
      <c r="E71" s="105"/>
      <c r="F71" s="106"/>
      <c r="G71" s="104"/>
      <c r="H71" s="106"/>
      <c r="I71" s="107"/>
      <c r="J71" s="108"/>
      <c r="K71" s="108"/>
      <c r="L71" s="108"/>
      <c r="M71" s="105"/>
      <c r="N71" s="105"/>
      <c r="O71" s="105"/>
      <c r="P71" s="108"/>
      <c r="Q71" s="105"/>
      <c r="R71" s="105"/>
      <c r="S71" s="105"/>
      <c r="T71" s="105"/>
      <c r="U71" s="108"/>
      <c r="V71" s="105"/>
      <c r="W71" s="105"/>
      <c r="X71" s="105"/>
      <c r="Y71" s="105"/>
      <c r="Z71" s="105"/>
      <c r="AA71" s="108"/>
      <c r="AB71" s="108"/>
      <c r="AC71" s="105"/>
      <c r="AD71" s="279"/>
      <c r="AE71" s="105"/>
      <c r="AF71" s="279"/>
      <c r="AG71" s="105"/>
      <c r="AH71" s="108"/>
      <c r="AI71" s="108"/>
      <c r="AJ71" s="108"/>
      <c r="AK71" s="108"/>
      <c r="AL71" s="105"/>
      <c r="AM71" s="108"/>
      <c r="AN71" s="105"/>
      <c r="AO71" s="108"/>
      <c r="AP71" s="108"/>
      <c r="AQ71" s="105"/>
      <c r="AR71" s="108"/>
      <c r="AS71" s="108"/>
      <c r="AT71" s="105"/>
      <c r="AU71" s="105"/>
      <c r="AV71" s="105"/>
      <c r="AW71" s="105"/>
      <c r="AX71" s="105"/>
      <c r="AY71" s="105"/>
      <c r="AZ71" s="105"/>
      <c r="BA71" s="105"/>
      <c r="BB71" s="105"/>
      <c r="BC71" s="105"/>
      <c r="BD71" s="108"/>
      <c r="BE71" s="83">
        <f>IF($A71="","",IF(TRIM($D71&amp;"")="",IF(TRIM($AX71&amp;$AY71&amp;$AZ71&amp;$BA71&amp;$BB71&amp;$BC71&amp;$BD71&amp;"")="","","SUBARRENDADO"),IFERROR(IF(VLOOKUP($D71,VEHICULOS!$A$3:$H$202,7,FALSE)="","",VLOOKUP($D71,VEHICULOS!$A$3:$H$202,7,FALSE)),"")))</f>
      </c>
      <c r="BF71" s="82">
        <f>IF($A71="","",IF(TRIM($BC71&amp;"")&lt;&gt;"",$BC71,IF(TRIM($D71&amp;"")="","",IFERROR(IF(VLOOKUP($D71,VEHICULOS!$A$3:$H$202,8,FALSE)="","",VLOOKUP($D71,VEHICULOS!$A$3:$H$202,8,FALSE)),""))))</f>
      </c>
      <c r="BG71" s="106"/>
      <c r="BH71" s="107"/>
      <c r="BI71" s="86">
        <f t="shared" si="15"/>
      </c>
      <c r="BJ71" s="83">
        <f t="shared" si="16"/>
      </c>
      <c r="BK71" s="85">
        <f t="shared" si="17"/>
      </c>
      <c r="BL71" s="85">
        <f t="shared" si="18"/>
      </c>
      <c r="BM71" s="108"/>
      <c r="BN71" s="85">
        <f t="shared" si="19"/>
      </c>
      <c r="BO71" s="108"/>
      <c r="BP71" s="85">
        <f t="shared" si="20"/>
      </c>
      <c r="BQ71" s="85">
        <f t="shared" si="21"/>
      </c>
      <c r="BR71" s="108"/>
      <c r="BS71" s="104"/>
      <c r="BT71" s="87">
        <f t="shared" si="22"/>
      </c>
      <c r="BU71" s="85">
        <f t="shared" si="23"/>
      </c>
      <c r="BV71" s="85">
        <f t="shared" si="24"/>
      </c>
      <c r="BW71" s="87">
        <f t="shared" si="25"/>
      </c>
      <c r="BX71" s="104"/>
      <c r="BY71" s="106"/>
      <c r="BZ71" s="104"/>
      <c r="CA71" s="105"/>
      <c r="CB71" s="77">
        <f>IF($A71="",0,IF($B71='FICHA CLIENTE'!$C$4,1,0))</f>
      </c>
      <c r="CC71" s="77">
        <f t="shared" si="26"/>
      </c>
      <c r="CD71" s="77">
        <f>IF($A71="",0,IF($D71='FICHA VEHICULO'!$C$4,1,0))</f>
      </c>
      <c r="CE71" s="77">
        <f t="shared" si="27"/>
      </c>
      <c r="CF71" s="77">
        <f t="shared" si="28"/>
      </c>
      <c r="CG71" s="77">
        <f t="shared" si="29"/>
      </c>
    </row>
    <row r="72" spans="1:85" ht="19.5" customHeight="1" x14ac:dyDescent="0.2">
      <c r="A72" s="104"/>
      <c r="B72" s="104"/>
      <c r="C72" s="105"/>
      <c r="D72" s="104"/>
      <c r="E72" s="105"/>
      <c r="F72" s="106"/>
      <c r="G72" s="104"/>
      <c r="H72" s="106"/>
      <c r="I72" s="107"/>
      <c r="J72" s="108"/>
      <c r="K72" s="108"/>
      <c r="L72" s="108"/>
      <c r="M72" s="105"/>
      <c r="N72" s="105"/>
      <c r="O72" s="105"/>
      <c r="P72" s="108"/>
      <c r="Q72" s="105"/>
      <c r="R72" s="105"/>
      <c r="S72" s="105"/>
      <c r="T72" s="105"/>
      <c r="U72" s="108"/>
      <c r="V72" s="105"/>
      <c r="W72" s="105"/>
      <c r="X72" s="105"/>
      <c r="Y72" s="105"/>
      <c r="Z72" s="105"/>
      <c r="AA72" s="108"/>
      <c r="AB72" s="108"/>
      <c r="AC72" s="105"/>
      <c r="AD72" s="279"/>
      <c r="AE72" s="105"/>
      <c r="AF72" s="279"/>
      <c r="AG72" s="105"/>
      <c r="AH72" s="108"/>
      <c r="AI72" s="108"/>
      <c r="AJ72" s="108"/>
      <c r="AK72" s="108"/>
      <c r="AL72" s="105"/>
      <c r="AM72" s="108"/>
      <c r="AN72" s="105"/>
      <c r="AO72" s="108"/>
      <c r="AP72" s="108"/>
      <c r="AQ72" s="105"/>
      <c r="AR72" s="108"/>
      <c r="AS72" s="108"/>
      <c r="AT72" s="105"/>
      <c r="AU72" s="105"/>
      <c r="AV72" s="105"/>
      <c r="AW72" s="105"/>
      <c r="AX72" s="105"/>
      <c r="AY72" s="105"/>
      <c r="AZ72" s="105"/>
      <c r="BA72" s="105"/>
      <c r="BB72" s="105"/>
      <c r="BC72" s="105"/>
      <c r="BD72" s="108"/>
      <c r="BE72" s="83">
        <f>IF($A72="","",IF(TRIM($D72&amp;"")="",IF(TRIM($AX72&amp;$AY72&amp;$AZ72&amp;$BA72&amp;$BB72&amp;$BC72&amp;$BD72&amp;"")="","","SUBARRENDADO"),IFERROR(IF(VLOOKUP($D72,VEHICULOS!$A$3:$H$202,7,FALSE)="","",VLOOKUP($D72,VEHICULOS!$A$3:$H$202,7,FALSE)),"")))</f>
      </c>
      <c r="BF72" s="82">
        <f>IF($A72="","",IF(TRIM($BC72&amp;"")&lt;&gt;"",$BC72,IF(TRIM($D72&amp;"")="","",IFERROR(IF(VLOOKUP($D72,VEHICULOS!$A$3:$H$202,8,FALSE)="","",VLOOKUP($D72,VEHICULOS!$A$3:$H$202,8,FALSE)),""))))</f>
      </c>
      <c r="BG72" s="106"/>
      <c r="BH72" s="107"/>
      <c r="BI72" s="86">
        <f t="shared" si="15"/>
      </c>
      <c r="BJ72" s="83">
        <f t="shared" si="16"/>
      </c>
      <c r="BK72" s="85">
        <f t="shared" si="17"/>
      </c>
      <c r="BL72" s="85">
        <f t="shared" si="18"/>
      </c>
      <c r="BM72" s="108"/>
      <c r="BN72" s="85">
        <f t="shared" si="19"/>
      </c>
      <c r="BO72" s="108"/>
      <c r="BP72" s="85">
        <f t="shared" si="20"/>
      </c>
      <c r="BQ72" s="85">
        <f t="shared" si="21"/>
      </c>
      <c r="BR72" s="108"/>
      <c r="BS72" s="104"/>
      <c r="BT72" s="87">
        <f t="shared" si="22"/>
      </c>
      <c r="BU72" s="85">
        <f t="shared" si="23"/>
      </c>
      <c r="BV72" s="85">
        <f t="shared" si="24"/>
      </c>
      <c r="BW72" s="87">
        <f t="shared" si="25"/>
      </c>
      <c r="BX72" s="104"/>
      <c r="BY72" s="106"/>
      <c r="BZ72" s="104"/>
      <c r="CA72" s="105"/>
      <c r="CB72" s="77">
        <f>IF($A72="",0,IF($B72='FICHA CLIENTE'!$C$4,1,0))</f>
      </c>
      <c r="CC72" s="77">
        <f t="shared" si="26"/>
      </c>
      <c r="CD72" s="77">
        <f>IF($A72="",0,IF($D72='FICHA VEHICULO'!$C$4,1,0))</f>
      </c>
      <c r="CE72" s="77">
        <f t="shared" si="27"/>
      </c>
      <c r="CF72" s="77">
        <f t="shared" si="28"/>
      </c>
      <c r="CG72" s="77">
        <f t="shared" si="29"/>
      </c>
    </row>
    <row r="73" spans="1:85" ht="19.5" customHeight="1" x14ac:dyDescent="0.2">
      <c r="A73" s="104"/>
      <c r="B73" s="104"/>
      <c r="C73" s="105"/>
      <c r="D73" s="104"/>
      <c r="E73" s="105"/>
      <c r="F73" s="106"/>
      <c r="G73" s="104"/>
      <c r="H73" s="106"/>
      <c r="I73" s="107"/>
      <c r="J73" s="108"/>
      <c r="K73" s="108"/>
      <c r="L73" s="108"/>
      <c r="M73" s="105"/>
      <c r="N73" s="105"/>
      <c r="O73" s="105"/>
      <c r="P73" s="108"/>
      <c r="Q73" s="105"/>
      <c r="R73" s="105"/>
      <c r="S73" s="105"/>
      <c r="T73" s="105"/>
      <c r="U73" s="108"/>
      <c r="V73" s="105"/>
      <c r="W73" s="105"/>
      <c r="X73" s="105"/>
      <c r="Y73" s="105"/>
      <c r="Z73" s="105"/>
      <c r="AA73" s="108"/>
      <c r="AB73" s="108"/>
      <c r="AC73" s="105"/>
      <c r="AD73" s="279"/>
      <c r="AE73" s="105"/>
      <c r="AF73" s="279"/>
      <c r="AG73" s="105"/>
      <c r="AH73" s="108"/>
      <c r="AI73" s="108"/>
      <c r="AJ73" s="108"/>
      <c r="AK73" s="108"/>
      <c r="AL73" s="105"/>
      <c r="AM73" s="108"/>
      <c r="AN73" s="105"/>
      <c r="AO73" s="108"/>
      <c r="AP73" s="108"/>
      <c r="AQ73" s="105"/>
      <c r="AR73" s="108"/>
      <c r="AS73" s="108"/>
      <c r="AT73" s="105"/>
      <c r="AU73" s="105"/>
      <c r="AV73" s="105"/>
      <c r="AW73" s="105"/>
      <c r="AX73" s="105"/>
      <c r="AY73" s="105"/>
      <c r="AZ73" s="105"/>
      <c r="BA73" s="105"/>
      <c r="BB73" s="105"/>
      <c r="BC73" s="105"/>
      <c r="BD73" s="108"/>
      <c r="BE73" s="83">
        <f>IF($A73="","",IF(TRIM($D73&amp;"")="",IF(TRIM($AX73&amp;$AY73&amp;$AZ73&amp;$BA73&amp;$BB73&amp;$BC73&amp;$BD73&amp;"")="","","SUBARRENDADO"),IFERROR(IF(VLOOKUP($D73,VEHICULOS!$A$3:$H$202,7,FALSE)="","",VLOOKUP($D73,VEHICULOS!$A$3:$H$202,7,FALSE)),"")))</f>
      </c>
      <c r="BF73" s="82">
        <f>IF($A73="","",IF(TRIM($BC73&amp;"")&lt;&gt;"",$BC73,IF(TRIM($D73&amp;"")="","",IFERROR(IF(VLOOKUP($D73,VEHICULOS!$A$3:$H$202,8,FALSE)="","",VLOOKUP($D73,VEHICULOS!$A$3:$H$202,8,FALSE)),""))))</f>
      </c>
      <c r="BG73" s="106"/>
      <c r="BH73" s="107"/>
      <c r="BI73" s="86">
        <f t="shared" si="15"/>
      </c>
      <c r="BJ73" s="83">
        <f t="shared" si="16"/>
      </c>
      <c r="BK73" s="85">
        <f t="shared" si="17"/>
      </c>
      <c r="BL73" s="85">
        <f t="shared" si="18"/>
      </c>
      <c r="BM73" s="108"/>
      <c r="BN73" s="85">
        <f t="shared" si="19"/>
      </c>
      <c r="BO73" s="108"/>
      <c r="BP73" s="85">
        <f t="shared" si="20"/>
      </c>
      <c r="BQ73" s="85">
        <f t="shared" si="21"/>
      </c>
      <c r="BR73" s="108"/>
      <c r="BS73" s="104"/>
      <c r="BT73" s="87">
        <f t="shared" si="22"/>
      </c>
      <c r="BU73" s="85">
        <f t="shared" si="23"/>
      </c>
      <c r="BV73" s="85">
        <f t="shared" si="24"/>
      </c>
      <c r="BW73" s="87">
        <f t="shared" si="25"/>
      </c>
      <c r="BX73" s="104"/>
      <c r="BY73" s="106"/>
      <c r="BZ73" s="104"/>
      <c r="CA73" s="105"/>
      <c r="CB73" s="77">
        <f>IF($A73="",0,IF($B73='FICHA CLIENTE'!$C$4,1,0))</f>
      </c>
      <c r="CC73" s="77">
        <f t="shared" si="26"/>
      </c>
      <c r="CD73" s="77">
        <f>IF($A73="",0,IF($D73='FICHA VEHICULO'!$C$4,1,0))</f>
      </c>
      <c r="CE73" s="77">
        <f t="shared" si="27"/>
      </c>
      <c r="CF73" s="77">
        <f t="shared" si="28"/>
      </c>
      <c r="CG73" s="77">
        <f t="shared" si="29"/>
      </c>
    </row>
    <row r="74" spans="1:85" ht="19.5" customHeight="1" x14ac:dyDescent="0.2">
      <c r="A74" s="104"/>
      <c r="B74" s="104"/>
      <c r="C74" s="105"/>
      <c r="D74" s="104"/>
      <c r="E74" s="105"/>
      <c r="F74" s="106"/>
      <c r="G74" s="104"/>
      <c r="H74" s="106"/>
      <c r="I74" s="107"/>
      <c r="J74" s="108"/>
      <c r="K74" s="108"/>
      <c r="L74" s="108"/>
      <c r="M74" s="105"/>
      <c r="N74" s="105"/>
      <c r="O74" s="105"/>
      <c r="P74" s="108"/>
      <c r="Q74" s="105"/>
      <c r="R74" s="105"/>
      <c r="S74" s="105"/>
      <c r="T74" s="105"/>
      <c r="U74" s="108"/>
      <c r="V74" s="105"/>
      <c r="W74" s="105"/>
      <c r="X74" s="105"/>
      <c r="Y74" s="105"/>
      <c r="Z74" s="105"/>
      <c r="AA74" s="108"/>
      <c r="AB74" s="108"/>
      <c r="AC74" s="105"/>
      <c r="AD74" s="279"/>
      <c r="AE74" s="105"/>
      <c r="AF74" s="279"/>
      <c r="AG74" s="105"/>
      <c r="AH74" s="108"/>
      <c r="AI74" s="108"/>
      <c r="AJ74" s="108"/>
      <c r="AK74" s="108"/>
      <c r="AL74" s="105"/>
      <c r="AM74" s="108"/>
      <c r="AN74" s="105"/>
      <c r="AO74" s="108"/>
      <c r="AP74" s="108"/>
      <c r="AQ74" s="105"/>
      <c r="AR74" s="108"/>
      <c r="AS74" s="108"/>
      <c r="AT74" s="105"/>
      <c r="AU74" s="105"/>
      <c r="AV74" s="105"/>
      <c r="AW74" s="105"/>
      <c r="AX74" s="105"/>
      <c r="AY74" s="105"/>
      <c r="AZ74" s="105"/>
      <c r="BA74" s="105"/>
      <c r="BB74" s="105"/>
      <c r="BC74" s="105"/>
      <c r="BD74" s="108"/>
      <c r="BE74" s="83">
        <f>IF($A74="","",IF(TRIM($D74&amp;"")="",IF(TRIM($AX74&amp;$AY74&amp;$AZ74&amp;$BA74&amp;$BB74&amp;$BC74&amp;$BD74&amp;"")="","","SUBARRENDADO"),IFERROR(IF(VLOOKUP($D74,VEHICULOS!$A$3:$H$202,7,FALSE)="","",VLOOKUP($D74,VEHICULOS!$A$3:$H$202,7,FALSE)),"")))</f>
      </c>
      <c r="BF74" s="82">
        <f>IF($A74="","",IF(TRIM($BC74&amp;"")&lt;&gt;"",$BC74,IF(TRIM($D74&amp;"")="","",IFERROR(IF(VLOOKUP($D74,VEHICULOS!$A$3:$H$202,8,FALSE)="","",VLOOKUP($D74,VEHICULOS!$A$3:$H$202,8,FALSE)),""))))</f>
      </c>
      <c r="BG74" s="106"/>
      <c r="BH74" s="107"/>
      <c r="BI74" s="86">
        <f t="shared" si="15"/>
      </c>
      <c r="BJ74" s="83">
        <f t="shared" si="16"/>
      </c>
      <c r="BK74" s="85">
        <f t="shared" si="17"/>
      </c>
      <c r="BL74" s="85">
        <f t="shared" si="18"/>
      </c>
      <c r="BM74" s="108"/>
      <c r="BN74" s="85">
        <f t="shared" si="19"/>
      </c>
      <c r="BO74" s="108"/>
      <c r="BP74" s="85">
        <f t="shared" si="20"/>
      </c>
      <c r="BQ74" s="85">
        <f t="shared" si="21"/>
      </c>
      <c r="BR74" s="108"/>
      <c r="BS74" s="104"/>
      <c r="BT74" s="87">
        <f t="shared" si="22"/>
      </c>
      <c r="BU74" s="85">
        <f t="shared" si="23"/>
      </c>
      <c r="BV74" s="85">
        <f t="shared" si="24"/>
      </c>
      <c r="BW74" s="87">
        <f t="shared" si="25"/>
      </c>
      <c r="BX74" s="104"/>
      <c r="BY74" s="106"/>
      <c r="BZ74" s="104"/>
      <c r="CA74" s="105"/>
      <c r="CB74" s="77">
        <f>IF($A74="",0,IF($B74='FICHA CLIENTE'!$C$4,1,0))</f>
      </c>
      <c r="CC74" s="77">
        <f t="shared" si="26"/>
      </c>
      <c r="CD74" s="77">
        <f>IF($A74="",0,IF($D74='FICHA VEHICULO'!$C$4,1,0))</f>
      </c>
      <c r="CE74" s="77">
        <f t="shared" si="27"/>
      </c>
      <c r="CF74" s="77">
        <f t="shared" si="28"/>
      </c>
      <c r="CG74" s="77">
        <f t="shared" si="29"/>
      </c>
    </row>
    <row r="75" spans="1:85" ht="19.5" customHeight="1" x14ac:dyDescent="0.2">
      <c r="A75" s="104"/>
      <c r="B75" s="104"/>
      <c r="C75" s="105"/>
      <c r="D75" s="104"/>
      <c r="E75" s="105"/>
      <c r="F75" s="106"/>
      <c r="G75" s="104"/>
      <c r="H75" s="106"/>
      <c r="I75" s="107"/>
      <c r="J75" s="108"/>
      <c r="K75" s="108"/>
      <c r="L75" s="108"/>
      <c r="M75" s="105"/>
      <c r="N75" s="105"/>
      <c r="O75" s="105"/>
      <c r="P75" s="108"/>
      <c r="Q75" s="105"/>
      <c r="R75" s="105"/>
      <c r="S75" s="105"/>
      <c r="T75" s="105"/>
      <c r="U75" s="108"/>
      <c r="V75" s="105"/>
      <c r="W75" s="105"/>
      <c r="X75" s="105"/>
      <c r="Y75" s="105"/>
      <c r="Z75" s="105"/>
      <c r="AA75" s="108"/>
      <c r="AB75" s="108"/>
      <c r="AC75" s="105"/>
      <c r="AD75" s="279"/>
      <c r="AE75" s="105"/>
      <c r="AF75" s="279"/>
      <c r="AG75" s="105"/>
      <c r="AH75" s="108"/>
      <c r="AI75" s="108"/>
      <c r="AJ75" s="108"/>
      <c r="AK75" s="108"/>
      <c r="AL75" s="105"/>
      <c r="AM75" s="108"/>
      <c r="AN75" s="105"/>
      <c r="AO75" s="108"/>
      <c r="AP75" s="108"/>
      <c r="AQ75" s="105"/>
      <c r="AR75" s="108"/>
      <c r="AS75" s="108"/>
      <c r="AT75" s="105"/>
      <c r="AU75" s="105"/>
      <c r="AV75" s="105"/>
      <c r="AW75" s="105"/>
      <c r="AX75" s="105"/>
      <c r="AY75" s="105"/>
      <c r="AZ75" s="105"/>
      <c r="BA75" s="105"/>
      <c r="BB75" s="105"/>
      <c r="BC75" s="105"/>
      <c r="BD75" s="108"/>
      <c r="BE75" s="83">
        <f>IF($A75="","",IF(TRIM($D75&amp;"")="",IF(TRIM($AX75&amp;$AY75&amp;$AZ75&amp;$BA75&amp;$BB75&amp;$BC75&amp;$BD75&amp;"")="","","SUBARRENDADO"),IFERROR(IF(VLOOKUP($D75,VEHICULOS!$A$3:$H$202,7,FALSE)="","",VLOOKUP($D75,VEHICULOS!$A$3:$H$202,7,FALSE)),"")))</f>
      </c>
      <c r="BF75" s="82">
        <f>IF($A75="","",IF(TRIM($BC75&amp;"")&lt;&gt;"",$BC75,IF(TRIM($D75&amp;"")="","",IFERROR(IF(VLOOKUP($D75,VEHICULOS!$A$3:$H$202,8,FALSE)="","",VLOOKUP($D75,VEHICULOS!$A$3:$H$202,8,FALSE)),""))))</f>
      </c>
      <c r="BG75" s="106"/>
      <c r="BH75" s="107"/>
      <c r="BI75" s="86">
        <f t="shared" si="15"/>
      </c>
      <c r="BJ75" s="83">
        <f t="shared" si="16"/>
      </c>
      <c r="BK75" s="85">
        <f t="shared" si="17"/>
      </c>
      <c r="BL75" s="85">
        <f t="shared" si="18"/>
      </c>
      <c r="BM75" s="108"/>
      <c r="BN75" s="85">
        <f t="shared" si="19"/>
      </c>
      <c r="BO75" s="108"/>
      <c r="BP75" s="85">
        <f t="shared" si="20"/>
      </c>
      <c r="BQ75" s="85">
        <f t="shared" si="21"/>
      </c>
      <c r="BR75" s="108"/>
      <c r="BS75" s="104"/>
      <c r="BT75" s="87">
        <f t="shared" si="22"/>
      </c>
      <c r="BU75" s="85">
        <f t="shared" si="23"/>
      </c>
      <c r="BV75" s="85">
        <f t="shared" si="24"/>
      </c>
      <c r="BW75" s="87">
        <f t="shared" si="25"/>
      </c>
      <c r="BX75" s="104"/>
      <c r="BY75" s="106"/>
      <c r="BZ75" s="104"/>
      <c r="CA75" s="105"/>
      <c r="CB75" s="77">
        <f>IF($A75="",0,IF($B75='FICHA CLIENTE'!$C$4,1,0))</f>
      </c>
      <c r="CC75" s="77">
        <f t="shared" si="26"/>
      </c>
      <c r="CD75" s="77">
        <f>IF($A75="",0,IF($D75='FICHA VEHICULO'!$C$4,1,0))</f>
      </c>
      <c r="CE75" s="77">
        <f t="shared" si="27"/>
      </c>
      <c r="CF75" s="77">
        <f t="shared" si="28"/>
      </c>
      <c r="CG75" s="77">
        <f t="shared" si="29"/>
      </c>
    </row>
    <row r="76" spans="1:85" ht="19.5" customHeight="1" x14ac:dyDescent="0.2">
      <c r="A76" s="104"/>
      <c r="B76" s="104"/>
      <c r="C76" s="105"/>
      <c r="D76" s="104"/>
      <c r="E76" s="105"/>
      <c r="F76" s="106"/>
      <c r="G76" s="104"/>
      <c r="H76" s="106"/>
      <c r="I76" s="107"/>
      <c r="J76" s="108"/>
      <c r="K76" s="108"/>
      <c r="L76" s="108"/>
      <c r="M76" s="105"/>
      <c r="N76" s="105"/>
      <c r="O76" s="105"/>
      <c r="P76" s="108"/>
      <c r="Q76" s="105"/>
      <c r="R76" s="105"/>
      <c r="S76" s="105"/>
      <c r="T76" s="105"/>
      <c r="U76" s="108"/>
      <c r="V76" s="105"/>
      <c r="W76" s="105"/>
      <c r="X76" s="105"/>
      <c r="Y76" s="105"/>
      <c r="Z76" s="105"/>
      <c r="AA76" s="108"/>
      <c r="AB76" s="108"/>
      <c r="AC76" s="105"/>
      <c r="AD76" s="279"/>
      <c r="AE76" s="105"/>
      <c r="AF76" s="279"/>
      <c r="AG76" s="105"/>
      <c r="AH76" s="108"/>
      <c r="AI76" s="108"/>
      <c r="AJ76" s="108"/>
      <c r="AK76" s="108"/>
      <c r="AL76" s="105"/>
      <c r="AM76" s="108"/>
      <c r="AN76" s="105"/>
      <c r="AO76" s="108"/>
      <c r="AP76" s="108"/>
      <c r="AQ76" s="105"/>
      <c r="AR76" s="108"/>
      <c r="AS76" s="108"/>
      <c r="AT76" s="105"/>
      <c r="AU76" s="105"/>
      <c r="AV76" s="105"/>
      <c r="AW76" s="105"/>
      <c r="AX76" s="105"/>
      <c r="AY76" s="105"/>
      <c r="AZ76" s="105"/>
      <c r="BA76" s="105"/>
      <c r="BB76" s="105"/>
      <c r="BC76" s="105"/>
      <c r="BD76" s="108"/>
      <c r="BE76" s="83">
        <f>IF($A76="","",IF(TRIM($D76&amp;"")="",IF(TRIM($AX76&amp;$AY76&amp;$AZ76&amp;$BA76&amp;$BB76&amp;$BC76&amp;$BD76&amp;"")="","","SUBARRENDADO"),IFERROR(IF(VLOOKUP($D76,VEHICULOS!$A$3:$H$202,7,FALSE)="","",VLOOKUP($D76,VEHICULOS!$A$3:$H$202,7,FALSE)),"")))</f>
      </c>
      <c r="BF76" s="82">
        <f>IF($A76="","",IF(TRIM($BC76&amp;"")&lt;&gt;"",$BC76,IF(TRIM($D76&amp;"")="","",IFERROR(IF(VLOOKUP($D76,VEHICULOS!$A$3:$H$202,8,FALSE)="","",VLOOKUP($D76,VEHICULOS!$A$3:$H$202,8,FALSE)),""))))</f>
      </c>
      <c r="BG76" s="106"/>
      <c r="BH76" s="107"/>
      <c r="BI76" s="86">
        <f t="shared" si="15"/>
      </c>
      <c r="BJ76" s="83">
        <f t="shared" si="16"/>
      </c>
      <c r="BK76" s="85">
        <f t="shared" si="17"/>
      </c>
      <c r="BL76" s="85">
        <f t="shared" si="18"/>
      </c>
      <c r="BM76" s="108"/>
      <c r="BN76" s="85">
        <f t="shared" si="19"/>
      </c>
      <c r="BO76" s="108"/>
      <c r="BP76" s="85">
        <f t="shared" si="20"/>
      </c>
      <c r="BQ76" s="85">
        <f t="shared" si="21"/>
      </c>
      <c r="BR76" s="108"/>
      <c r="BS76" s="104"/>
      <c r="BT76" s="87">
        <f t="shared" si="22"/>
      </c>
      <c r="BU76" s="85">
        <f t="shared" si="23"/>
      </c>
      <c r="BV76" s="85">
        <f t="shared" si="24"/>
      </c>
      <c r="BW76" s="87">
        <f t="shared" si="25"/>
      </c>
      <c r="BX76" s="104"/>
      <c r="BY76" s="106"/>
      <c r="BZ76" s="104"/>
      <c r="CA76" s="105"/>
      <c r="CB76" s="77">
        <f>IF($A76="",0,IF($B76='FICHA CLIENTE'!$C$4,1,0))</f>
      </c>
      <c r="CC76" s="77">
        <f t="shared" si="26"/>
      </c>
      <c r="CD76" s="77">
        <f>IF($A76="",0,IF($D76='FICHA VEHICULO'!$C$4,1,0))</f>
      </c>
      <c r="CE76" s="77">
        <f t="shared" si="27"/>
      </c>
      <c r="CF76" s="77">
        <f t="shared" si="28"/>
      </c>
      <c r="CG76" s="77">
        <f t="shared" si="29"/>
      </c>
    </row>
    <row r="77" spans="1:85" ht="19.5" customHeight="1" x14ac:dyDescent="0.2">
      <c r="A77" s="104"/>
      <c r="B77" s="104"/>
      <c r="C77" s="105"/>
      <c r="D77" s="104"/>
      <c r="E77" s="105"/>
      <c r="F77" s="106"/>
      <c r="G77" s="104"/>
      <c r="H77" s="106"/>
      <c r="I77" s="107"/>
      <c r="J77" s="108"/>
      <c r="K77" s="108"/>
      <c r="L77" s="108"/>
      <c r="M77" s="105"/>
      <c r="N77" s="105"/>
      <c r="O77" s="105"/>
      <c r="P77" s="108"/>
      <c r="Q77" s="105"/>
      <c r="R77" s="105"/>
      <c r="S77" s="105"/>
      <c r="T77" s="105"/>
      <c r="U77" s="108"/>
      <c r="V77" s="105"/>
      <c r="W77" s="105"/>
      <c r="X77" s="105"/>
      <c r="Y77" s="105"/>
      <c r="Z77" s="105"/>
      <c r="AA77" s="108"/>
      <c r="AB77" s="108"/>
      <c r="AC77" s="105"/>
      <c r="AD77" s="279"/>
      <c r="AE77" s="105"/>
      <c r="AF77" s="279"/>
      <c r="AG77" s="105"/>
      <c r="AH77" s="108"/>
      <c r="AI77" s="108"/>
      <c r="AJ77" s="108"/>
      <c r="AK77" s="108"/>
      <c r="AL77" s="105"/>
      <c r="AM77" s="108"/>
      <c r="AN77" s="105"/>
      <c r="AO77" s="108"/>
      <c r="AP77" s="108"/>
      <c r="AQ77" s="105"/>
      <c r="AR77" s="108"/>
      <c r="AS77" s="108"/>
      <c r="AT77" s="105"/>
      <c r="AU77" s="105"/>
      <c r="AV77" s="105"/>
      <c r="AW77" s="105"/>
      <c r="AX77" s="105"/>
      <c r="AY77" s="105"/>
      <c r="AZ77" s="105"/>
      <c r="BA77" s="105"/>
      <c r="BB77" s="105"/>
      <c r="BC77" s="105"/>
      <c r="BD77" s="108"/>
      <c r="BE77" s="83">
        <f>IF($A77="","",IF(TRIM($D77&amp;"")="",IF(TRIM($AX77&amp;$AY77&amp;$AZ77&amp;$BA77&amp;$BB77&amp;$BC77&amp;$BD77&amp;"")="","","SUBARRENDADO"),IFERROR(IF(VLOOKUP($D77,VEHICULOS!$A$3:$H$202,7,FALSE)="","",VLOOKUP($D77,VEHICULOS!$A$3:$H$202,7,FALSE)),"")))</f>
      </c>
      <c r="BF77" s="82">
        <f>IF($A77="","",IF(TRIM($BC77&amp;"")&lt;&gt;"",$BC77,IF(TRIM($D77&amp;"")="","",IFERROR(IF(VLOOKUP($D77,VEHICULOS!$A$3:$H$202,8,FALSE)="","",VLOOKUP($D77,VEHICULOS!$A$3:$H$202,8,FALSE)),""))))</f>
      </c>
      <c r="BG77" s="106"/>
      <c r="BH77" s="107"/>
      <c r="BI77" s="86">
        <f t="shared" si="15"/>
      </c>
      <c r="BJ77" s="83">
        <f t="shared" si="16"/>
      </c>
      <c r="BK77" s="85">
        <f t="shared" si="17"/>
      </c>
      <c r="BL77" s="85">
        <f t="shared" si="18"/>
      </c>
      <c r="BM77" s="108"/>
      <c r="BN77" s="85">
        <f t="shared" si="19"/>
      </c>
      <c r="BO77" s="108"/>
      <c r="BP77" s="85">
        <f t="shared" si="20"/>
      </c>
      <c r="BQ77" s="85">
        <f t="shared" si="21"/>
      </c>
      <c r="BR77" s="108"/>
      <c r="BS77" s="104"/>
      <c r="BT77" s="87">
        <f t="shared" si="22"/>
      </c>
      <c r="BU77" s="85">
        <f t="shared" si="23"/>
      </c>
      <c r="BV77" s="85">
        <f t="shared" si="24"/>
      </c>
      <c r="BW77" s="87">
        <f t="shared" si="25"/>
      </c>
      <c r="BX77" s="104"/>
      <c r="BY77" s="106"/>
      <c r="BZ77" s="104"/>
      <c r="CA77" s="105"/>
      <c r="CB77" s="77">
        <f>IF($A77="",0,IF($B77='FICHA CLIENTE'!$C$4,1,0))</f>
      </c>
      <c r="CC77" s="77">
        <f t="shared" si="26"/>
      </c>
      <c r="CD77" s="77">
        <f>IF($A77="",0,IF($D77='FICHA VEHICULO'!$C$4,1,0))</f>
      </c>
      <c r="CE77" s="77">
        <f t="shared" si="27"/>
      </c>
      <c r="CF77" s="77">
        <f t="shared" si="28"/>
      </c>
      <c r="CG77" s="77">
        <f t="shared" si="29"/>
      </c>
    </row>
    <row r="78" spans="1:85" ht="19.5" customHeight="1" x14ac:dyDescent="0.2">
      <c r="A78" s="104"/>
      <c r="B78" s="104"/>
      <c r="C78" s="105"/>
      <c r="D78" s="104"/>
      <c r="E78" s="105"/>
      <c r="F78" s="106"/>
      <c r="G78" s="104"/>
      <c r="H78" s="106"/>
      <c r="I78" s="107"/>
      <c r="J78" s="108"/>
      <c r="K78" s="108"/>
      <c r="L78" s="108"/>
      <c r="M78" s="105"/>
      <c r="N78" s="105"/>
      <c r="O78" s="105"/>
      <c r="P78" s="108"/>
      <c r="Q78" s="105"/>
      <c r="R78" s="105"/>
      <c r="S78" s="105"/>
      <c r="T78" s="105"/>
      <c r="U78" s="108"/>
      <c r="V78" s="105"/>
      <c r="W78" s="105"/>
      <c r="X78" s="105"/>
      <c r="Y78" s="105"/>
      <c r="Z78" s="105"/>
      <c r="AA78" s="108"/>
      <c r="AB78" s="108"/>
      <c r="AC78" s="105"/>
      <c r="AD78" s="279"/>
      <c r="AE78" s="105"/>
      <c r="AF78" s="279"/>
      <c r="AG78" s="105"/>
      <c r="AH78" s="108"/>
      <c r="AI78" s="108"/>
      <c r="AJ78" s="108"/>
      <c r="AK78" s="108"/>
      <c r="AL78" s="105"/>
      <c r="AM78" s="108"/>
      <c r="AN78" s="105"/>
      <c r="AO78" s="108"/>
      <c r="AP78" s="108"/>
      <c r="AQ78" s="105"/>
      <c r="AR78" s="108"/>
      <c r="AS78" s="108"/>
      <c r="AT78" s="105"/>
      <c r="AU78" s="105"/>
      <c r="AV78" s="105"/>
      <c r="AW78" s="105"/>
      <c r="AX78" s="105"/>
      <c r="AY78" s="105"/>
      <c r="AZ78" s="105"/>
      <c r="BA78" s="105"/>
      <c r="BB78" s="105"/>
      <c r="BC78" s="105"/>
      <c r="BD78" s="108"/>
      <c r="BE78" s="83">
        <f>IF($A78="","",IF(TRIM($D78&amp;"")="",IF(TRIM($AX78&amp;$AY78&amp;$AZ78&amp;$BA78&amp;$BB78&amp;$BC78&amp;$BD78&amp;"")="","","SUBARRENDADO"),IFERROR(IF(VLOOKUP($D78,VEHICULOS!$A$3:$H$202,7,FALSE)="","",VLOOKUP($D78,VEHICULOS!$A$3:$H$202,7,FALSE)),"")))</f>
      </c>
      <c r="BF78" s="82">
        <f>IF($A78="","",IF(TRIM($BC78&amp;"")&lt;&gt;"",$BC78,IF(TRIM($D78&amp;"")="","",IFERROR(IF(VLOOKUP($D78,VEHICULOS!$A$3:$H$202,8,FALSE)="","",VLOOKUP($D78,VEHICULOS!$A$3:$H$202,8,FALSE)),""))))</f>
      </c>
      <c r="BG78" s="106"/>
      <c r="BH78" s="107"/>
      <c r="BI78" s="86">
        <f t="shared" si="15"/>
      </c>
      <c r="BJ78" s="83">
        <f t="shared" si="16"/>
      </c>
      <c r="BK78" s="85">
        <f t="shared" si="17"/>
      </c>
      <c r="BL78" s="85">
        <f t="shared" si="18"/>
      </c>
      <c r="BM78" s="108"/>
      <c r="BN78" s="85">
        <f t="shared" si="19"/>
      </c>
      <c r="BO78" s="108"/>
      <c r="BP78" s="85">
        <f t="shared" si="20"/>
      </c>
      <c r="BQ78" s="85">
        <f t="shared" si="21"/>
      </c>
      <c r="BR78" s="108"/>
      <c r="BS78" s="104"/>
      <c r="BT78" s="87">
        <f t="shared" si="22"/>
      </c>
      <c r="BU78" s="85">
        <f t="shared" si="23"/>
      </c>
      <c r="BV78" s="85">
        <f t="shared" si="24"/>
      </c>
      <c r="BW78" s="87">
        <f t="shared" si="25"/>
      </c>
      <c r="BX78" s="104"/>
      <c r="BY78" s="106"/>
      <c r="BZ78" s="104"/>
      <c r="CA78" s="105"/>
      <c r="CB78" s="77">
        <f>IF($A78="",0,IF($B78='FICHA CLIENTE'!$C$4,1,0))</f>
      </c>
      <c r="CC78" s="77">
        <f t="shared" si="26"/>
      </c>
      <c r="CD78" s="77">
        <f>IF($A78="",0,IF($D78='FICHA VEHICULO'!$C$4,1,0))</f>
      </c>
      <c r="CE78" s="77">
        <f t="shared" si="27"/>
      </c>
      <c r="CF78" s="77">
        <f t="shared" si="28"/>
      </c>
      <c r="CG78" s="77">
        <f t="shared" si="29"/>
      </c>
    </row>
    <row r="79" spans="1:85" ht="19.5" customHeight="1" x14ac:dyDescent="0.2">
      <c r="A79" s="104"/>
      <c r="B79" s="104"/>
      <c r="C79" s="105"/>
      <c r="D79" s="104"/>
      <c r="E79" s="105"/>
      <c r="F79" s="106"/>
      <c r="G79" s="104"/>
      <c r="H79" s="106"/>
      <c r="I79" s="107"/>
      <c r="J79" s="108"/>
      <c r="K79" s="108"/>
      <c r="L79" s="108"/>
      <c r="M79" s="105"/>
      <c r="N79" s="105"/>
      <c r="O79" s="105"/>
      <c r="P79" s="108"/>
      <c r="Q79" s="105"/>
      <c r="R79" s="105"/>
      <c r="S79" s="105"/>
      <c r="T79" s="105"/>
      <c r="U79" s="108"/>
      <c r="V79" s="105"/>
      <c r="W79" s="105"/>
      <c r="X79" s="105"/>
      <c r="Y79" s="105"/>
      <c r="Z79" s="105"/>
      <c r="AA79" s="108"/>
      <c r="AB79" s="108"/>
      <c r="AC79" s="105"/>
      <c r="AD79" s="279"/>
      <c r="AE79" s="105"/>
      <c r="AF79" s="279"/>
      <c r="AG79" s="105"/>
      <c r="AH79" s="108"/>
      <c r="AI79" s="108"/>
      <c r="AJ79" s="108"/>
      <c r="AK79" s="108"/>
      <c r="AL79" s="105"/>
      <c r="AM79" s="108"/>
      <c r="AN79" s="105"/>
      <c r="AO79" s="108"/>
      <c r="AP79" s="108"/>
      <c r="AQ79" s="105"/>
      <c r="AR79" s="108"/>
      <c r="AS79" s="108"/>
      <c r="AT79" s="105"/>
      <c r="AU79" s="105"/>
      <c r="AV79" s="105"/>
      <c r="AW79" s="105"/>
      <c r="AX79" s="105"/>
      <c r="AY79" s="105"/>
      <c r="AZ79" s="105"/>
      <c r="BA79" s="105"/>
      <c r="BB79" s="105"/>
      <c r="BC79" s="105"/>
      <c r="BD79" s="108"/>
      <c r="BE79" s="83">
        <f>IF($A79="","",IF(TRIM($D79&amp;"")="",IF(TRIM($AX79&amp;$AY79&amp;$AZ79&amp;$BA79&amp;$BB79&amp;$BC79&amp;$BD79&amp;"")="","","SUBARRENDADO"),IFERROR(IF(VLOOKUP($D79,VEHICULOS!$A$3:$H$202,7,FALSE)="","",VLOOKUP($D79,VEHICULOS!$A$3:$H$202,7,FALSE)),"")))</f>
      </c>
      <c r="BF79" s="82">
        <f>IF($A79="","",IF(TRIM($BC79&amp;"")&lt;&gt;"",$BC79,IF(TRIM($D79&amp;"")="","",IFERROR(IF(VLOOKUP($D79,VEHICULOS!$A$3:$H$202,8,FALSE)="","",VLOOKUP($D79,VEHICULOS!$A$3:$H$202,8,FALSE)),""))))</f>
      </c>
      <c r="BG79" s="106"/>
      <c r="BH79" s="107"/>
      <c r="BI79" s="86">
        <f t="shared" si="15"/>
      </c>
      <c r="BJ79" s="83">
        <f t="shared" si="16"/>
      </c>
      <c r="BK79" s="85">
        <f t="shared" si="17"/>
      </c>
      <c r="BL79" s="85">
        <f t="shared" si="18"/>
      </c>
      <c r="BM79" s="108"/>
      <c r="BN79" s="85">
        <f t="shared" si="19"/>
      </c>
      <c r="BO79" s="108"/>
      <c r="BP79" s="85">
        <f t="shared" si="20"/>
      </c>
      <c r="BQ79" s="85">
        <f t="shared" si="21"/>
      </c>
      <c r="BR79" s="108"/>
      <c r="BS79" s="104"/>
      <c r="BT79" s="87">
        <f t="shared" si="22"/>
      </c>
      <c r="BU79" s="85">
        <f t="shared" si="23"/>
      </c>
      <c r="BV79" s="85">
        <f t="shared" si="24"/>
      </c>
      <c r="BW79" s="87">
        <f t="shared" si="25"/>
      </c>
      <c r="BX79" s="104"/>
      <c r="BY79" s="106"/>
      <c r="BZ79" s="104"/>
      <c r="CA79" s="105"/>
      <c r="CB79" s="77">
        <f>IF($A79="",0,IF($B79='FICHA CLIENTE'!$C$4,1,0))</f>
      </c>
      <c r="CC79" s="77">
        <f t="shared" si="26"/>
      </c>
      <c r="CD79" s="77">
        <f>IF($A79="",0,IF($D79='FICHA VEHICULO'!$C$4,1,0))</f>
      </c>
      <c r="CE79" s="77">
        <f t="shared" si="27"/>
      </c>
      <c r="CF79" s="77">
        <f t="shared" si="28"/>
      </c>
      <c r="CG79" s="77">
        <f t="shared" si="29"/>
      </c>
    </row>
    <row r="80" spans="1:85" ht="19.5" customHeight="1" x14ac:dyDescent="0.2">
      <c r="A80" s="104"/>
      <c r="B80" s="104"/>
      <c r="C80" s="105"/>
      <c r="D80" s="104"/>
      <c r="E80" s="105"/>
      <c r="F80" s="106"/>
      <c r="G80" s="104"/>
      <c r="H80" s="106"/>
      <c r="I80" s="107"/>
      <c r="J80" s="108"/>
      <c r="K80" s="108"/>
      <c r="L80" s="108"/>
      <c r="M80" s="105"/>
      <c r="N80" s="105"/>
      <c r="O80" s="105"/>
      <c r="P80" s="108"/>
      <c r="Q80" s="105"/>
      <c r="R80" s="105"/>
      <c r="S80" s="105"/>
      <c r="T80" s="105"/>
      <c r="U80" s="108"/>
      <c r="V80" s="105"/>
      <c r="W80" s="105"/>
      <c r="X80" s="105"/>
      <c r="Y80" s="105"/>
      <c r="Z80" s="105"/>
      <c r="AA80" s="108"/>
      <c r="AB80" s="108"/>
      <c r="AC80" s="105"/>
      <c r="AD80" s="279"/>
      <c r="AE80" s="105"/>
      <c r="AF80" s="279"/>
      <c r="AG80" s="105"/>
      <c r="AH80" s="108"/>
      <c r="AI80" s="108"/>
      <c r="AJ80" s="108"/>
      <c r="AK80" s="108"/>
      <c r="AL80" s="105"/>
      <c r="AM80" s="108"/>
      <c r="AN80" s="105"/>
      <c r="AO80" s="108"/>
      <c r="AP80" s="108"/>
      <c r="AQ80" s="105"/>
      <c r="AR80" s="108"/>
      <c r="AS80" s="108"/>
      <c r="AT80" s="105"/>
      <c r="AU80" s="105"/>
      <c r="AV80" s="105"/>
      <c r="AW80" s="105"/>
      <c r="AX80" s="105"/>
      <c r="AY80" s="105"/>
      <c r="AZ80" s="105"/>
      <c r="BA80" s="105"/>
      <c r="BB80" s="105"/>
      <c r="BC80" s="105"/>
      <c r="BD80" s="108"/>
      <c r="BE80" s="83">
        <f>IF($A80="","",IF(TRIM($D80&amp;"")="",IF(TRIM($AX80&amp;$AY80&amp;$AZ80&amp;$BA80&amp;$BB80&amp;$BC80&amp;$BD80&amp;"")="","","SUBARRENDADO"),IFERROR(IF(VLOOKUP($D80,VEHICULOS!$A$3:$H$202,7,FALSE)="","",VLOOKUP($D80,VEHICULOS!$A$3:$H$202,7,FALSE)),"")))</f>
      </c>
      <c r="BF80" s="82">
        <f>IF($A80="","",IF(TRIM($BC80&amp;"")&lt;&gt;"",$BC80,IF(TRIM($D80&amp;"")="","",IFERROR(IF(VLOOKUP($D80,VEHICULOS!$A$3:$H$202,8,FALSE)="","",VLOOKUP($D80,VEHICULOS!$A$3:$H$202,8,FALSE)),""))))</f>
      </c>
      <c r="BG80" s="106"/>
      <c r="BH80" s="107"/>
      <c r="BI80" s="86">
        <f t="shared" si="15"/>
      </c>
      <c r="BJ80" s="83">
        <f t="shared" si="16"/>
      </c>
      <c r="BK80" s="85">
        <f t="shared" si="17"/>
      </c>
      <c r="BL80" s="85">
        <f t="shared" si="18"/>
      </c>
      <c r="BM80" s="108"/>
      <c r="BN80" s="85">
        <f t="shared" si="19"/>
      </c>
      <c r="BO80" s="108"/>
      <c r="BP80" s="85">
        <f t="shared" si="20"/>
      </c>
      <c r="BQ80" s="85">
        <f t="shared" si="21"/>
      </c>
      <c r="BR80" s="108"/>
      <c r="BS80" s="104"/>
      <c r="BT80" s="87">
        <f t="shared" si="22"/>
      </c>
      <c r="BU80" s="85">
        <f t="shared" si="23"/>
      </c>
      <c r="BV80" s="85">
        <f t="shared" si="24"/>
      </c>
      <c r="BW80" s="87">
        <f t="shared" si="25"/>
      </c>
      <c r="BX80" s="104"/>
      <c r="BY80" s="106"/>
      <c r="BZ80" s="104"/>
      <c r="CA80" s="105"/>
      <c r="CB80" s="77">
        <f>IF($A80="",0,IF($B80='FICHA CLIENTE'!$C$4,1,0))</f>
      </c>
      <c r="CC80" s="77">
        <f t="shared" si="26"/>
      </c>
      <c r="CD80" s="77">
        <f>IF($A80="",0,IF($D80='FICHA VEHICULO'!$C$4,1,0))</f>
      </c>
      <c r="CE80" s="77">
        <f t="shared" si="27"/>
      </c>
      <c r="CF80" s="77">
        <f t="shared" si="28"/>
      </c>
      <c r="CG80" s="77">
        <f t="shared" si="29"/>
      </c>
    </row>
    <row r="81" spans="1:85" ht="19.5" customHeight="1" x14ac:dyDescent="0.2">
      <c r="A81" s="104"/>
      <c r="B81" s="104"/>
      <c r="C81" s="105"/>
      <c r="D81" s="104"/>
      <c r="E81" s="105"/>
      <c r="F81" s="106"/>
      <c r="G81" s="104"/>
      <c r="H81" s="106"/>
      <c r="I81" s="107"/>
      <c r="J81" s="108"/>
      <c r="K81" s="108"/>
      <c r="L81" s="108"/>
      <c r="M81" s="105"/>
      <c r="N81" s="105"/>
      <c r="O81" s="105"/>
      <c r="P81" s="108"/>
      <c r="Q81" s="105"/>
      <c r="R81" s="105"/>
      <c r="S81" s="105"/>
      <c r="T81" s="105"/>
      <c r="U81" s="108"/>
      <c r="V81" s="105"/>
      <c r="W81" s="105"/>
      <c r="X81" s="105"/>
      <c r="Y81" s="105"/>
      <c r="Z81" s="105"/>
      <c r="AA81" s="108"/>
      <c r="AB81" s="108"/>
      <c r="AC81" s="105"/>
      <c r="AD81" s="279"/>
      <c r="AE81" s="105"/>
      <c r="AF81" s="279"/>
      <c r="AG81" s="105"/>
      <c r="AH81" s="108"/>
      <c r="AI81" s="108"/>
      <c r="AJ81" s="108"/>
      <c r="AK81" s="108"/>
      <c r="AL81" s="105"/>
      <c r="AM81" s="108"/>
      <c r="AN81" s="105"/>
      <c r="AO81" s="108"/>
      <c r="AP81" s="108"/>
      <c r="AQ81" s="105"/>
      <c r="AR81" s="108"/>
      <c r="AS81" s="108"/>
      <c r="AT81" s="105"/>
      <c r="AU81" s="105"/>
      <c r="AV81" s="105"/>
      <c r="AW81" s="105"/>
      <c r="AX81" s="105"/>
      <c r="AY81" s="105"/>
      <c r="AZ81" s="105"/>
      <c r="BA81" s="105"/>
      <c r="BB81" s="105"/>
      <c r="BC81" s="105"/>
      <c r="BD81" s="108"/>
      <c r="BE81" s="83">
        <f>IF($A81="","",IF(TRIM($D81&amp;"")="",IF(TRIM($AX81&amp;$AY81&amp;$AZ81&amp;$BA81&amp;$BB81&amp;$BC81&amp;$BD81&amp;"")="","","SUBARRENDADO"),IFERROR(IF(VLOOKUP($D81,VEHICULOS!$A$3:$H$202,7,FALSE)="","",VLOOKUP($D81,VEHICULOS!$A$3:$H$202,7,FALSE)),"")))</f>
      </c>
      <c r="BF81" s="82">
        <f>IF($A81="","",IF(TRIM($BC81&amp;"")&lt;&gt;"",$BC81,IF(TRIM($D81&amp;"")="","",IFERROR(IF(VLOOKUP($D81,VEHICULOS!$A$3:$H$202,8,FALSE)="","",VLOOKUP($D81,VEHICULOS!$A$3:$H$202,8,FALSE)),""))))</f>
      </c>
      <c r="BG81" s="106"/>
      <c r="BH81" s="107"/>
      <c r="BI81" s="86">
        <f t="shared" si="15"/>
      </c>
      <c r="BJ81" s="83">
        <f t="shared" si="16"/>
      </c>
      <c r="BK81" s="85">
        <f t="shared" si="17"/>
      </c>
      <c r="BL81" s="85">
        <f t="shared" si="18"/>
      </c>
      <c r="BM81" s="108"/>
      <c r="BN81" s="85">
        <f t="shared" si="19"/>
      </c>
      <c r="BO81" s="108"/>
      <c r="BP81" s="85">
        <f t="shared" si="20"/>
      </c>
      <c r="BQ81" s="85">
        <f t="shared" si="21"/>
      </c>
      <c r="BR81" s="108"/>
      <c r="BS81" s="104"/>
      <c r="BT81" s="87">
        <f t="shared" si="22"/>
      </c>
      <c r="BU81" s="85">
        <f t="shared" si="23"/>
      </c>
      <c r="BV81" s="85">
        <f t="shared" si="24"/>
      </c>
      <c r="BW81" s="87">
        <f t="shared" si="25"/>
      </c>
      <c r="BX81" s="104"/>
      <c r="BY81" s="106"/>
      <c r="BZ81" s="104"/>
      <c r="CA81" s="105"/>
      <c r="CB81" s="77">
        <f>IF($A81="",0,IF($B81='FICHA CLIENTE'!$C$4,1,0))</f>
      </c>
      <c r="CC81" s="77">
        <f t="shared" si="26"/>
      </c>
      <c r="CD81" s="77">
        <f>IF($A81="",0,IF($D81='FICHA VEHICULO'!$C$4,1,0))</f>
      </c>
      <c r="CE81" s="77">
        <f t="shared" si="27"/>
      </c>
      <c r="CF81" s="77">
        <f t="shared" si="28"/>
      </c>
      <c r="CG81" s="77">
        <f t="shared" si="29"/>
      </c>
    </row>
    <row r="82" spans="1:85" ht="19.5" customHeight="1" x14ac:dyDescent="0.2">
      <c r="A82" s="104"/>
      <c r="B82" s="104"/>
      <c r="C82" s="105"/>
      <c r="D82" s="104"/>
      <c r="E82" s="105"/>
      <c r="F82" s="106"/>
      <c r="G82" s="104"/>
      <c r="H82" s="106"/>
      <c r="I82" s="107"/>
      <c r="J82" s="108"/>
      <c r="K82" s="108"/>
      <c r="L82" s="108"/>
      <c r="M82" s="105"/>
      <c r="N82" s="105"/>
      <c r="O82" s="105"/>
      <c r="P82" s="108"/>
      <c r="Q82" s="105"/>
      <c r="R82" s="105"/>
      <c r="S82" s="105"/>
      <c r="T82" s="105"/>
      <c r="U82" s="108"/>
      <c r="V82" s="105"/>
      <c r="W82" s="105"/>
      <c r="X82" s="105"/>
      <c r="Y82" s="105"/>
      <c r="Z82" s="105"/>
      <c r="AA82" s="108"/>
      <c r="AB82" s="108"/>
      <c r="AC82" s="105"/>
      <c r="AD82" s="279"/>
      <c r="AE82" s="105"/>
      <c r="AF82" s="279"/>
      <c r="AG82" s="105"/>
      <c r="AH82" s="108"/>
      <c r="AI82" s="108"/>
      <c r="AJ82" s="108"/>
      <c r="AK82" s="108"/>
      <c r="AL82" s="105"/>
      <c r="AM82" s="108"/>
      <c r="AN82" s="105"/>
      <c r="AO82" s="108"/>
      <c r="AP82" s="108"/>
      <c r="AQ82" s="105"/>
      <c r="AR82" s="108"/>
      <c r="AS82" s="108"/>
      <c r="AT82" s="105"/>
      <c r="AU82" s="105"/>
      <c r="AV82" s="105"/>
      <c r="AW82" s="105"/>
      <c r="AX82" s="105"/>
      <c r="AY82" s="105"/>
      <c r="AZ82" s="105"/>
      <c r="BA82" s="105"/>
      <c r="BB82" s="105"/>
      <c r="BC82" s="105"/>
      <c r="BD82" s="108"/>
      <c r="BE82" s="83">
        <f>IF($A82="","",IF(TRIM($D82&amp;"")="",IF(TRIM($AX82&amp;$AY82&amp;$AZ82&amp;$BA82&amp;$BB82&amp;$BC82&amp;$BD82&amp;"")="","","SUBARRENDADO"),IFERROR(IF(VLOOKUP($D82,VEHICULOS!$A$3:$H$202,7,FALSE)="","",VLOOKUP($D82,VEHICULOS!$A$3:$H$202,7,FALSE)),"")))</f>
      </c>
      <c r="BF82" s="82">
        <f>IF($A82="","",IF(TRIM($BC82&amp;"")&lt;&gt;"",$BC82,IF(TRIM($D82&amp;"")="","",IFERROR(IF(VLOOKUP($D82,VEHICULOS!$A$3:$H$202,8,FALSE)="","",VLOOKUP($D82,VEHICULOS!$A$3:$H$202,8,FALSE)),""))))</f>
      </c>
      <c r="BG82" s="106"/>
      <c r="BH82" s="107"/>
      <c r="BI82" s="86">
        <f t="shared" si="15"/>
      </c>
      <c r="BJ82" s="83">
        <f t="shared" si="16"/>
      </c>
      <c r="BK82" s="85">
        <f t="shared" si="17"/>
      </c>
      <c r="BL82" s="85">
        <f t="shared" si="18"/>
      </c>
      <c r="BM82" s="108"/>
      <c r="BN82" s="85">
        <f t="shared" si="19"/>
      </c>
      <c r="BO82" s="108"/>
      <c r="BP82" s="85">
        <f t="shared" si="20"/>
      </c>
      <c r="BQ82" s="85">
        <f t="shared" si="21"/>
      </c>
      <c r="BR82" s="108"/>
      <c r="BS82" s="104"/>
      <c r="BT82" s="87">
        <f t="shared" si="22"/>
      </c>
      <c r="BU82" s="85">
        <f t="shared" si="23"/>
      </c>
      <c r="BV82" s="85">
        <f t="shared" si="24"/>
      </c>
      <c r="BW82" s="87">
        <f t="shared" si="25"/>
      </c>
      <c r="BX82" s="104"/>
      <c r="BY82" s="106"/>
      <c r="BZ82" s="104"/>
      <c r="CA82" s="105"/>
      <c r="CB82" s="77">
        <f>IF($A82="",0,IF($B82='FICHA CLIENTE'!$C$4,1,0))</f>
      </c>
      <c r="CC82" s="77">
        <f t="shared" si="26"/>
      </c>
      <c r="CD82" s="77">
        <f>IF($A82="",0,IF($D82='FICHA VEHICULO'!$C$4,1,0))</f>
      </c>
      <c r="CE82" s="77">
        <f t="shared" si="27"/>
      </c>
      <c r="CF82" s="77">
        <f t="shared" si="28"/>
      </c>
      <c r="CG82" s="77">
        <f t="shared" si="29"/>
      </c>
    </row>
    <row r="83" spans="1:85" ht="19.5" customHeight="1" x14ac:dyDescent="0.2">
      <c r="A83" s="104"/>
      <c r="B83" s="104"/>
      <c r="C83" s="105"/>
      <c r="D83" s="104"/>
      <c r="E83" s="105"/>
      <c r="F83" s="106"/>
      <c r="G83" s="104"/>
      <c r="H83" s="106"/>
      <c r="I83" s="107"/>
      <c r="J83" s="108"/>
      <c r="K83" s="108"/>
      <c r="L83" s="108"/>
      <c r="M83" s="105"/>
      <c r="N83" s="105"/>
      <c r="O83" s="105"/>
      <c r="P83" s="108"/>
      <c r="Q83" s="105"/>
      <c r="R83" s="105"/>
      <c r="S83" s="105"/>
      <c r="T83" s="105"/>
      <c r="U83" s="108"/>
      <c r="V83" s="105"/>
      <c r="W83" s="105"/>
      <c r="X83" s="105"/>
      <c r="Y83" s="105"/>
      <c r="Z83" s="105"/>
      <c r="AA83" s="108"/>
      <c r="AB83" s="108"/>
      <c r="AC83" s="105"/>
      <c r="AD83" s="279"/>
      <c r="AE83" s="105"/>
      <c r="AF83" s="279"/>
      <c r="AG83" s="105"/>
      <c r="AH83" s="108"/>
      <c r="AI83" s="108"/>
      <c r="AJ83" s="108"/>
      <c r="AK83" s="108"/>
      <c r="AL83" s="105"/>
      <c r="AM83" s="108"/>
      <c r="AN83" s="105"/>
      <c r="AO83" s="108"/>
      <c r="AP83" s="108"/>
      <c r="AQ83" s="105"/>
      <c r="AR83" s="108"/>
      <c r="AS83" s="108"/>
      <c r="AT83" s="105"/>
      <c r="AU83" s="105"/>
      <c r="AV83" s="105"/>
      <c r="AW83" s="105"/>
      <c r="AX83" s="105"/>
      <c r="AY83" s="105"/>
      <c r="AZ83" s="105"/>
      <c r="BA83" s="105"/>
      <c r="BB83" s="105"/>
      <c r="BC83" s="105"/>
      <c r="BD83" s="108"/>
      <c r="BE83" s="83">
        <f>IF($A83="","",IF(TRIM($D83&amp;"")="",IF(TRIM($AX83&amp;$AY83&amp;$AZ83&amp;$BA83&amp;$BB83&amp;$BC83&amp;$BD83&amp;"")="","","SUBARRENDADO"),IFERROR(IF(VLOOKUP($D83,VEHICULOS!$A$3:$H$202,7,FALSE)="","",VLOOKUP($D83,VEHICULOS!$A$3:$H$202,7,FALSE)),"")))</f>
      </c>
      <c r="BF83" s="82">
        <f>IF($A83="","",IF(TRIM($BC83&amp;"")&lt;&gt;"",$BC83,IF(TRIM($D83&amp;"")="","",IFERROR(IF(VLOOKUP($D83,VEHICULOS!$A$3:$H$202,8,FALSE)="","",VLOOKUP($D83,VEHICULOS!$A$3:$H$202,8,FALSE)),""))))</f>
      </c>
      <c r="BG83" s="106"/>
      <c r="BH83" s="107"/>
      <c r="BI83" s="86">
        <f t="shared" si="15"/>
      </c>
      <c r="BJ83" s="83">
        <f t="shared" si="16"/>
      </c>
      <c r="BK83" s="85">
        <f t="shared" si="17"/>
      </c>
      <c r="BL83" s="85">
        <f t="shared" si="18"/>
      </c>
      <c r="BM83" s="108"/>
      <c r="BN83" s="85">
        <f t="shared" si="19"/>
      </c>
      <c r="BO83" s="108"/>
      <c r="BP83" s="85">
        <f t="shared" si="20"/>
      </c>
      <c r="BQ83" s="85">
        <f t="shared" si="21"/>
      </c>
      <c r="BR83" s="108"/>
      <c r="BS83" s="104"/>
      <c r="BT83" s="87">
        <f t="shared" si="22"/>
      </c>
      <c r="BU83" s="85">
        <f t="shared" si="23"/>
      </c>
      <c r="BV83" s="85">
        <f t="shared" si="24"/>
      </c>
      <c r="BW83" s="87">
        <f t="shared" si="25"/>
      </c>
      <c r="BX83" s="104"/>
      <c r="BY83" s="106"/>
      <c r="BZ83" s="104"/>
      <c r="CA83" s="105"/>
      <c r="CB83" s="77">
        <f>IF($A83="",0,IF($B83='FICHA CLIENTE'!$C$4,1,0))</f>
      </c>
      <c r="CC83" s="77">
        <f t="shared" si="26"/>
      </c>
      <c r="CD83" s="77">
        <f>IF($A83="",0,IF($D83='FICHA VEHICULO'!$C$4,1,0))</f>
      </c>
      <c r="CE83" s="77">
        <f t="shared" si="27"/>
      </c>
      <c r="CF83" s="77">
        <f t="shared" si="28"/>
      </c>
      <c r="CG83" s="77">
        <f t="shared" si="29"/>
      </c>
    </row>
    <row r="84" spans="1:85" ht="19.5" customHeight="1" x14ac:dyDescent="0.2">
      <c r="A84" s="104"/>
      <c r="B84" s="104"/>
      <c r="C84" s="105"/>
      <c r="D84" s="104"/>
      <c r="E84" s="105"/>
      <c r="F84" s="106"/>
      <c r="G84" s="104"/>
      <c r="H84" s="106"/>
      <c r="I84" s="107"/>
      <c r="J84" s="108"/>
      <c r="K84" s="108"/>
      <c r="L84" s="108"/>
      <c r="M84" s="105"/>
      <c r="N84" s="105"/>
      <c r="O84" s="105"/>
      <c r="P84" s="108"/>
      <c r="Q84" s="105"/>
      <c r="R84" s="105"/>
      <c r="S84" s="105"/>
      <c r="T84" s="105"/>
      <c r="U84" s="108"/>
      <c r="V84" s="105"/>
      <c r="W84" s="105"/>
      <c r="X84" s="105"/>
      <c r="Y84" s="105"/>
      <c r="Z84" s="105"/>
      <c r="AA84" s="108"/>
      <c r="AB84" s="108"/>
      <c r="AC84" s="105"/>
      <c r="AD84" s="279"/>
      <c r="AE84" s="105"/>
      <c r="AF84" s="279"/>
      <c r="AG84" s="105"/>
      <c r="AH84" s="108"/>
      <c r="AI84" s="108"/>
      <c r="AJ84" s="108"/>
      <c r="AK84" s="108"/>
      <c r="AL84" s="105"/>
      <c r="AM84" s="108"/>
      <c r="AN84" s="105"/>
      <c r="AO84" s="108"/>
      <c r="AP84" s="108"/>
      <c r="AQ84" s="105"/>
      <c r="AR84" s="108"/>
      <c r="AS84" s="108"/>
      <c r="AT84" s="105"/>
      <c r="AU84" s="105"/>
      <c r="AV84" s="105"/>
      <c r="AW84" s="105"/>
      <c r="AX84" s="105"/>
      <c r="AY84" s="105"/>
      <c r="AZ84" s="105"/>
      <c r="BA84" s="105"/>
      <c r="BB84" s="105"/>
      <c r="BC84" s="105"/>
      <c r="BD84" s="108"/>
      <c r="BE84" s="83">
        <f>IF($A84="","",IF(TRIM($D84&amp;"")="",IF(TRIM($AX84&amp;$AY84&amp;$AZ84&amp;$BA84&amp;$BB84&amp;$BC84&amp;$BD84&amp;"")="","","SUBARRENDADO"),IFERROR(IF(VLOOKUP($D84,VEHICULOS!$A$3:$H$202,7,FALSE)="","",VLOOKUP($D84,VEHICULOS!$A$3:$H$202,7,FALSE)),"")))</f>
      </c>
      <c r="BF84" s="82">
        <f>IF($A84="","",IF(TRIM($BC84&amp;"")&lt;&gt;"",$BC84,IF(TRIM($D84&amp;"")="","",IFERROR(IF(VLOOKUP($D84,VEHICULOS!$A$3:$H$202,8,FALSE)="","",VLOOKUP($D84,VEHICULOS!$A$3:$H$202,8,FALSE)),""))))</f>
      </c>
      <c r="BG84" s="106"/>
      <c r="BH84" s="107"/>
      <c r="BI84" s="86">
        <f t="shared" si="15"/>
      </c>
      <c r="BJ84" s="83">
        <f t="shared" si="16"/>
      </c>
      <c r="BK84" s="85">
        <f t="shared" si="17"/>
      </c>
      <c r="BL84" s="85">
        <f t="shared" si="18"/>
      </c>
      <c r="BM84" s="108"/>
      <c r="BN84" s="85">
        <f t="shared" si="19"/>
      </c>
      <c r="BO84" s="108"/>
      <c r="BP84" s="85">
        <f t="shared" si="20"/>
      </c>
      <c r="BQ84" s="85">
        <f t="shared" si="21"/>
      </c>
      <c r="BR84" s="108"/>
      <c r="BS84" s="104"/>
      <c r="BT84" s="87">
        <f t="shared" si="22"/>
      </c>
      <c r="BU84" s="85">
        <f t="shared" si="23"/>
      </c>
      <c r="BV84" s="85">
        <f t="shared" si="24"/>
      </c>
      <c r="BW84" s="87">
        <f t="shared" si="25"/>
      </c>
      <c r="BX84" s="104"/>
      <c r="BY84" s="106"/>
      <c r="BZ84" s="104"/>
      <c r="CA84" s="105"/>
      <c r="CB84" s="77">
        <f>IF($A84="",0,IF($B84='FICHA CLIENTE'!$C$4,1,0))</f>
      </c>
      <c r="CC84" s="77">
        <f t="shared" si="26"/>
      </c>
      <c r="CD84" s="77">
        <f>IF($A84="",0,IF($D84='FICHA VEHICULO'!$C$4,1,0))</f>
      </c>
      <c r="CE84" s="77">
        <f t="shared" si="27"/>
      </c>
      <c r="CF84" s="77">
        <f t="shared" si="28"/>
      </c>
      <c r="CG84" s="77">
        <f t="shared" si="29"/>
      </c>
    </row>
    <row r="85" spans="1:85" ht="19.5" customHeight="1" x14ac:dyDescent="0.2">
      <c r="A85" s="104"/>
      <c r="B85" s="104"/>
      <c r="C85" s="105"/>
      <c r="D85" s="104"/>
      <c r="E85" s="105"/>
      <c r="F85" s="106"/>
      <c r="G85" s="104"/>
      <c r="H85" s="106"/>
      <c r="I85" s="107"/>
      <c r="J85" s="108"/>
      <c r="K85" s="108"/>
      <c r="L85" s="108"/>
      <c r="M85" s="105"/>
      <c r="N85" s="105"/>
      <c r="O85" s="105"/>
      <c r="P85" s="108"/>
      <c r="Q85" s="105"/>
      <c r="R85" s="105"/>
      <c r="S85" s="105"/>
      <c r="T85" s="105"/>
      <c r="U85" s="108"/>
      <c r="V85" s="105"/>
      <c r="W85" s="105"/>
      <c r="X85" s="105"/>
      <c r="Y85" s="105"/>
      <c r="Z85" s="105"/>
      <c r="AA85" s="108"/>
      <c r="AB85" s="108"/>
      <c r="AC85" s="105"/>
      <c r="AD85" s="279"/>
      <c r="AE85" s="105"/>
      <c r="AF85" s="279"/>
      <c r="AG85" s="105"/>
      <c r="AH85" s="108"/>
      <c r="AI85" s="108"/>
      <c r="AJ85" s="108"/>
      <c r="AK85" s="108"/>
      <c r="AL85" s="105"/>
      <c r="AM85" s="108"/>
      <c r="AN85" s="105"/>
      <c r="AO85" s="108"/>
      <c r="AP85" s="108"/>
      <c r="AQ85" s="105"/>
      <c r="AR85" s="108"/>
      <c r="AS85" s="108"/>
      <c r="AT85" s="105"/>
      <c r="AU85" s="105"/>
      <c r="AV85" s="105"/>
      <c r="AW85" s="105"/>
      <c r="AX85" s="105"/>
      <c r="AY85" s="105"/>
      <c r="AZ85" s="105"/>
      <c r="BA85" s="105"/>
      <c r="BB85" s="105"/>
      <c r="BC85" s="105"/>
      <c r="BD85" s="108"/>
      <c r="BE85" s="83">
        <f>IF($A85="","",IF(TRIM($D85&amp;"")="",IF(TRIM($AX85&amp;$AY85&amp;$AZ85&amp;$BA85&amp;$BB85&amp;$BC85&amp;$BD85&amp;"")="","","SUBARRENDADO"),IFERROR(IF(VLOOKUP($D85,VEHICULOS!$A$3:$H$202,7,FALSE)="","",VLOOKUP($D85,VEHICULOS!$A$3:$H$202,7,FALSE)),"")))</f>
      </c>
      <c r="BF85" s="82">
        <f>IF($A85="","",IF(TRIM($BC85&amp;"")&lt;&gt;"",$BC85,IF(TRIM($D85&amp;"")="","",IFERROR(IF(VLOOKUP($D85,VEHICULOS!$A$3:$H$202,8,FALSE)="","",VLOOKUP($D85,VEHICULOS!$A$3:$H$202,8,FALSE)),""))))</f>
      </c>
      <c r="BG85" s="106"/>
      <c r="BH85" s="107"/>
      <c r="BI85" s="86">
        <f t="shared" si="15"/>
      </c>
      <c r="BJ85" s="83">
        <f t="shared" si="16"/>
      </c>
      <c r="BK85" s="85">
        <f t="shared" si="17"/>
      </c>
      <c r="BL85" s="85">
        <f t="shared" si="18"/>
      </c>
      <c r="BM85" s="108"/>
      <c r="BN85" s="85">
        <f t="shared" si="19"/>
      </c>
      <c r="BO85" s="108"/>
      <c r="BP85" s="85">
        <f t="shared" si="20"/>
      </c>
      <c r="BQ85" s="85">
        <f t="shared" si="21"/>
      </c>
      <c r="BR85" s="108"/>
      <c r="BS85" s="104"/>
      <c r="BT85" s="87">
        <f t="shared" si="22"/>
      </c>
      <c r="BU85" s="85">
        <f t="shared" si="23"/>
      </c>
      <c r="BV85" s="85">
        <f t="shared" si="24"/>
      </c>
      <c r="BW85" s="87">
        <f t="shared" si="25"/>
      </c>
      <c r="BX85" s="104"/>
      <c r="BY85" s="106"/>
      <c r="BZ85" s="104"/>
      <c r="CA85" s="105"/>
      <c r="CB85" s="77">
        <f>IF($A85="",0,IF($B85='FICHA CLIENTE'!$C$4,1,0))</f>
      </c>
      <c r="CC85" s="77">
        <f t="shared" si="26"/>
      </c>
      <c r="CD85" s="77">
        <f>IF($A85="",0,IF($D85='FICHA VEHICULO'!$C$4,1,0))</f>
      </c>
      <c r="CE85" s="77">
        <f t="shared" si="27"/>
      </c>
      <c r="CF85" s="77">
        <f t="shared" si="28"/>
      </c>
      <c r="CG85" s="77">
        <f t="shared" si="29"/>
      </c>
    </row>
    <row r="86" spans="1:85" ht="19.5" customHeight="1" x14ac:dyDescent="0.2">
      <c r="A86" s="104"/>
      <c r="B86" s="104"/>
      <c r="C86" s="105"/>
      <c r="D86" s="104"/>
      <c r="E86" s="105"/>
      <c r="F86" s="106"/>
      <c r="G86" s="104"/>
      <c r="H86" s="106"/>
      <c r="I86" s="107"/>
      <c r="J86" s="108"/>
      <c r="K86" s="108"/>
      <c r="L86" s="108"/>
      <c r="M86" s="105"/>
      <c r="N86" s="105"/>
      <c r="O86" s="105"/>
      <c r="P86" s="108"/>
      <c r="Q86" s="105"/>
      <c r="R86" s="105"/>
      <c r="S86" s="105"/>
      <c r="T86" s="105"/>
      <c r="U86" s="108"/>
      <c r="V86" s="105"/>
      <c r="W86" s="105"/>
      <c r="X86" s="105"/>
      <c r="Y86" s="105"/>
      <c r="Z86" s="105"/>
      <c r="AA86" s="108"/>
      <c r="AB86" s="108"/>
      <c r="AC86" s="105"/>
      <c r="AD86" s="279"/>
      <c r="AE86" s="105"/>
      <c r="AF86" s="279"/>
      <c r="AG86" s="105"/>
      <c r="AH86" s="108"/>
      <c r="AI86" s="108"/>
      <c r="AJ86" s="108"/>
      <c r="AK86" s="108"/>
      <c r="AL86" s="105"/>
      <c r="AM86" s="108"/>
      <c r="AN86" s="105"/>
      <c r="AO86" s="108"/>
      <c r="AP86" s="108"/>
      <c r="AQ86" s="105"/>
      <c r="AR86" s="108"/>
      <c r="AS86" s="108"/>
      <c r="AT86" s="105"/>
      <c r="AU86" s="105"/>
      <c r="AV86" s="105"/>
      <c r="AW86" s="105"/>
      <c r="AX86" s="105"/>
      <c r="AY86" s="105"/>
      <c r="AZ86" s="105"/>
      <c r="BA86" s="105"/>
      <c r="BB86" s="105"/>
      <c r="BC86" s="105"/>
      <c r="BD86" s="108"/>
      <c r="BE86" s="83">
        <f>IF($A86="","",IF(TRIM($D86&amp;"")="",IF(TRIM($AX86&amp;$AY86&amp;$AZ86&amp;$BA86&amp;$BB86&amp;$BC86&amp;$BD86&amp;"")="","","SUBARRENDADO"),IFERROR(IF(VLOOKUP($D86,VEHICULOS!$A$3:$H$202,7,FALSE)="","",VLOOKUP($D86,VEHICULOS!$A$3:$H$202,7,FALSE)),"")))</f>
      </c>
      <c r="BF86" s="82">
        <f>IF($A86="","",IF(TRIM($BC86&amp;"")&lt;&gt;"",$BC86,IF(TRIM($D86&amp;"")="","",IFERROR(IF(VLOOKUP($D86,VEHICULOS!$A$3:$H$202,8,FALSE)="","",VLOOKUP($D86,VEHICULOS!$A$3:$H$202,8,FALSE)),""))))</f>
      </c>
      <c r="BG86" s="106"/>
      <c r="BH86" s="107"/>
      <c r="BI86" s="86">
        <f t="shared" si="15"/>
      </c>
      <c r="BJ86" s="83">
        <f t="shared" si="16"/>
      </c>
      <c r="BK86" s="85">
        <f t="shared" si="17"/>
      </c>
      <c r="BL86" s="85">
        <f t="shared" si="18"/>
      </c>
      <c r="BM86" s="108"/>
      <c r="BN86" s="85">
        <f t="shared" si="19"/>
      </c>
      <c r="BO86" s="108"/>
      <c r="BP86" s="85">
        <f t="shared" si="20"/>
      </c>
      <c r="BQ86" s="85">
        <f t="shared" si="21"/>
      </c>
      <c r="BR86" s="108"/>
      <c r="BS86" s="104"/>
      <c r="BT86" s="87">
        <f t="shared" si="22"/>
      </c>
      <c r="BU86" s="85">
        <f t="shared" si="23"/>
      </c>
      <c r="BV86" s="85">
        <f t="shared" si="24"/>
      </c>
      <c r="BW86" s="87">
        <f t="shared" si="25"/>
      </c>
      <c r="BX86" s="104"/>
      <c r="BY86" s="106"/>
      <c r="BZ86" s="104"/>
      <c r="CA86" s="105"/>
      <c r="CB86" s="77">
        <f>IF($A86="",0,IF($B86='FICHA CLIENTE'!$C$4,1,0))</f>
      </c>
      <c r="CC86" s="77">
        <f t="shared" si="26"/>
      </c>
      <c r="CD86" s="77">
        <f>IF($A86="",0,IF($D86='FICHA VEHICULO'!$C$4,1,0))</f>
      </c>
      <c r="CE86" s="77">
        <f t="shared" si="27"/>
      </c>
      <c r="CF86" s="77">
        <f t="shared" si="28"/>
      </c>
      <c r="CG86" s="77">
        <f t="shared" si="29"/>
      </c>
    </row>
    <row r="87" spans="1:85" ht="19.5" customHeight="1" x14ac:dyDescent="0.2">
      <c r="A87" s="104"/>
      <c r="B87" s="104"/>
      <c r="C87" s="105"/>
      <c r="D87" s="104"/>
      <c r="E87" s="105"/>
      <c r="F87" s="106"/>
      <c r="G87" s="104"/>
      <c r="H87" s="106"/>
      <c r="I87" s="107"/>
      <c r="J87" s="108"/>
      <c r="K87" s="108"/>
      <c r="L87" s="108"/>
      <c r="M87" s="105"/>
      <c r="N87" s="105"/>
      <c r="O87" s="105"/>
      <c r="P87" s="108"/>
      <c r="Q87" s="105"/>
      <c r="R87" s="105"/>
      <c r="S87" s="105"/>
      <c r="T87" s="105"/>
      <c r="U87" s="108"/>
      <c r="V87" s="105"/>
      <c r="W87" s="105"/>
      <c r="X87" s="105"/>
      <c r="Y87" s="105"/>
      <c r="Z87" s="105"/>
      <c r="AA87" s="108"/>
      <c r="AB87" s="108"/>
      <c r="AC87" s="105"/>
      <c r="AD87" s="279"/>
      <c r="AE87" s="105"/>
      <c r="AF87" s="279"/>
      <c r="AG87" s="105"/>
      <c r="AH87" s="108"/>
      <c r="AI87" s="108"/>
      <c r="AJ87" s="108"/>
      <c r="AK87" s="108"/>
      <c r="AL87" s="105"/>
      <c r="AM87" s="108"/>
      <c r="AN87" s="105"/>
      <c r="AO87" s="108"/>
      <c r="AP87" s="108"/>
      <c r="AQ87" s="105"/>
      <c r="AR87" s="108"/>
      <c r="AS87" s="108"/>
      <c r="AT87" s="105"/>
      <c r="AU87" s="105"/>
      <c r="AV87" s="105"/>
      <c r="AW87" s="105"/>
      <c r="AX87" s="105"/>
      <c r="AY87" s="105"/>
      <c r="AZ87" s="105"/>
      <c r="BA87" s="105"/>
      <c r="BB87" s="105"/>
      <c r="BC87" s="105"/>
      <c r="BD87" s="108"/>
      <c r="BE87" s="83">
        <f>IF($A87="","",IF(TRIM($D87&amp;"")="",IF(TRIM($AX87&amp;$AY87&amp;$AZ87&amp;$BA87&amp;$BB87&amp;$BC87&amp;$BD87&amp;"")="","","SUBARRENDADO"),IFERROR(IF(VLOOKUP($D87,VEHICULOS!$A$3:$H$202,7,FALSE)="","",VLOOKUP($D87,VEHICULOS!$A$3:$H$202,7,FALSE)),"")))</f>
      </c>
      <c r="BF87" s="82">
        <f>IF($A87="","",IF(TRIM($BC87&amp;"")&lt;&gt;"",$BC87,IF(TRIM($D87&amp;"")="","",IFERROR(IF(VLOOKUP($D87,VEHICULOS!$A$3:$H$202,8,FALSE)="","",VLOOKUP($D87,VEHICULOS!$A$3:$H$202,8,FALSE)),""))))</f>
      </c>
      <c r="BG87" s="106"/>
      <c r="BH87" s="107"/>
      <c r="BI87" s="86">
        <f t="shared" si="15"/>
      </c>
      <c r="BJ87" s="83">
        <f t="shared" si="16"/>
      </c>
      <c r="BK87" s="85">
        <f t="shared" si="17"/>
      </c>
      <c r="BL87" s="85">
        <f t="shared" si="18"/>
      </c>
      <c r="BM87" s="108"/>
      <c r="BN87" s="85">
        <f t="shared" si="19"/>
      </c>
      <c r="BO87" s="108"/>
      <c r="BP87" s="85">
        <f t="shared" si="20"/>
      </c>
      <c r="BQ87" s="85">
        <f t="shared" si="21"/>
      </c>
      <c r="BR87" s="108"/>
      <c r="BS87" s="104"/>
      <c r="BT87" s="87">
        <f t="shared" si="22"/>
      </c>
      <c r="BU87" s="85">
        <f t="shared" si="23"/>
      </c>
      <c r="BV87" s="85">
        <f t="shared" si="24"/>
      </c>
      <c r="BW87" s="87">
        <f t="shared" si="25"/>
      </c>
      <c r="BX87" s="104"/>
      <c r="BY87" s="106"/>
      <c r="BZ87" s="104"/>
      <c r="CA87" s="105"/>
      <c r="CB87" s="77">
        <f>IF($A87="",0,IF($B87='FICHA CLIENTE'!$C$4,1,0))</f>
      </c>
      <c r="CC87" s="77">
        <f t="shared" si="26"/>
      </c>
      <c r="CD87" s="77">
        <f>IF($A87="",0,IF($D87='FICHA VEHICULO'!$C$4,1,0))</f>
      </c>
      <c r="CE87" s="77">
        <f t="shared" si="27"/>
      </c>
      <c r="CF87" s="77">
        <f t="shared" si="28"/>
      </c>
      <c r="CG87" s="77">
        <f t="shared" si="29"/>
      </c>
    </row>
    <row r="88" spans="1:85" ht="19.5" customHeight="1" x14ac:dyDescent="0.2">
      <c r="A88" s="104"/>
      <c r="B88" s="104"/>
      <c r="C88" s="105"/>
      <c r="D88" s="104"/>
      <c r="E88" s="105"/>
      <c r="F88" s="106"/>
      <c r="G88" s="104"/>
      <c r="H88" s="106"/>
      <c r="I88" s="107"/>
      <c r="J88" s="108"/>
      <c r="K88" s="108"/>
      <c r="L88" s="108"/>
      <c r="M88" s="105"/>
      <c r="N88" s="105"/>
      <c r="O88" s="105"/>
      <c r="P88" s="108"/>
      <c r="Q88" s="105"/>
      <c r="R88" s="105"/>
      <c r="S88" s="105"/>
      <c r="T88" s="105"/>
      <c r="U88" s="108"/>
      <c r="V88" s="105"/>
      <c r="W88" s="105"/>
      <c r="X88" s="105"/>
      <c r="Y88" s="105"/>
      <c r="Z88" s="105"/>
      <c r="AA88" s="108"/>
      <c r="AB88" s="108"/>
      <c r="AC88" s="105"/>
      <c r="AD88" s="279"/>
      <c r="AE88" s="105"/>
      <c r="AF88" s="279"/>
      <c r="AG88" s="105"/>
      <c r="AH88" s="108"/>
      <c r="AI88" s="108"/>
      <c r="AJ88" s="108"/>
      <c r="AK88" s="108"/>
      <c r="AL88" s="105"/>
      <c r="AM88" s="108"/>
      <c r="AN88" s="105"/>
      <c r="AO88" s="108"/>
      <c r="AP88" s="108"/>
      <c r="AQ88" s="105"/>
      <c r="AR88" s="108"/>
      <c r="AS88" s="108"/>
      <c r="AT88" s="105"/>
      <c r="AU88" s="105"/>
      <c r="AV88" s="105"/>
      <c r="AW88" s="105"/>
      <c r="AX88" s="105"/>
      <c r="AY88" s="105"/>
      <c r="AZ88" s="105"/>
      <c r="BA88" s="105"/>
      <c r="BB88" s="105"/>
      <c r="BC88" s="105"/>
      <c r="BD88" s="108"/>
      <c r="BE88" s="83">
        <f>IF($A88="","",IF(TRIM($D88&amp;"")="",IF(TRIM($AX88&amp;$AY88&amp;$AZ88&amp;$BA88&amp;$BB88&amp;$BC88&amp;$BD88&amp;"")="","","SUBARRENDADO"),IFERROR(IF(VLOOKUP($D88,VEHICULOS!$A$3:$H$202,7,FALSE)="","",VLOOKUP($D88,VEHICULOS!$A$3:$H$202,7,FALSE)),"")))</f>
      </c>
      <c r="BF88" s="82">
        <f>IF($A88="","",IF(TRIM($BC88&amp;"")&lt;&gt;"",$BC88,IF(TRIM($D88&amp;"")="","",IFERROR(IF(VLOOKUP($D88,VEHICULOS!$A$3:$H$202,8,FALSE)="","",VLOOKUP($D88,VEHICULOS!$A$3:$H$202,8,FALSE)),""))))</f>
      </c>
      <c r="BG88" s="106"/>
      <c r="BH88" s="107"/>
      <c r="BI88" s="86">
        <f t="shared" si="15"/>
      </c>
      <c r="BJ88" s="83">
        <f t="shared" si="16"/>
      </c>
      <c r="BK88" s="85">
        <f t="shared" si="17"/>
      </c>
      <c r="BL88" s="85">
        <f t="shared" si="18"/>
      </c>
      <c r="BM88" s="108"/>
      <c r="BN88" s="85">
        <f t="shared" si="19"/>
      </c>
      <c r="BO88" s="108"/>
      <c r="BP88" s="85">
        <f t="shared" si="20"/>
      </c>
      <c r="BQ88" s="85">
        <f t="shared" si="21"/>
      </c>
      <c r="BR88" s="108"/>
      <c r="BS88" s="104"/>
      <c r="BT88" s="87">
        <f t="shared" si="22"/>
      </c>
      <c r="BU88" s="85">
        <f t="shared" si="23"/>
      </c>
      <c r="BV88" s="85">
        <f t="shared" si="24"/>
      </c>
      <c r="BW88" s="87">
        <f t="shared" si="25"/>
      </c>
      <c r="BX88" s="104"/>
      <c r="BY88" s="106"/>
      <c r="BZ88" s="104"/>
      <c r="CA88" s="105"/>
      <c r="CB88" s="77">
        <f>IF($A88="",0,IF($B88='FICHA CLIENTE'!$C$4,1,0))</f>
      </c>
      <c r="CC88" s="77">
        <f t="shared" si="26"/>
      </c>
      <c r="CD88" s="77">
        <f>IF($A88="",0,IF($D88='FICHA VEHICULO'!$C$4,1,0))</f>
      </c>
      <c r="CE88" s="77">
        <f t="shared" si="27"/>
      </c>
      <c r="CF88" s="77">
        <f t="shared" si="28"/>
      </c>
      <c r="CG88" s="77">
        <f t="shared" si="29"/>
      </c>
    </row>
    <row r="89" spans="1:85" ht="19.5" customHeight="1" x14ac:dyDescent="0.2">
      <c r="A89" s="104"/>
      <c r="B89" s="104"/>
      <c r="C89" s="105"/>
      <c r="D89" s="104"/>
      <c r="E89" s="105"/>
      <c r="F89" s="106"/>
      <c r="G89" s="104"/>
      <c r="H89" s="106"/>
      <c r="I89" s="107"/>
      <c r="J89" s="108"/>
      <c r="K89" s="108"/>
      <c r="L89" s="108"/>
      <c r="M89" s="105"/>
      <c r="N89" s="105"/>
      <c r="O89" s="105"/>
      <c r="P89" s="108"/>
      <c r="Q89" s="105"/>
      <c r="R89" s="105"/>
      <c r="S89" s="105"/>
      <c r="T89" s="105"/>
      <c r="U89" s="108"/>
      <c r="V89" s="105"/>
      <c r="W89" s="105"/>
      <c r="X89" s="105"/>
      <c r="Y89" s="105"/>
      <c r="Z89" s="105"/>
      <c r="AA89" s="108"/>
      <c r="AB89" s="108"/>
      <c r="AC89" s="105"/>
      <c r="AD89" s="279"/>
      <c r="AE89" s="105"/>
      <c r="AF89" s="279"/>
      <c r="AG89" s="105"/>
      <c r="AH89" s="108"/>
      <c r="AI89" s="108"/>
      <c r="AJ89" s="108"/>
      <c r="AK89" s="108"/>
      <c r="AL89" s="105"/>
      <c r="AM89" s="108"/>
      <c r="AN89" s="105"/>
      <c r="AO89" s="108"/>
      <c r="AP89" s="108"/>
      <c r="AQ89" s="105"/>
      <c r="AR89" s="108"/>
      <c r="AS89" s="108"/>
      <c r="AT89" s="105"/>
      <c r="AU89" s="105"/>
      <c r="AV89" s="105"/>
      <c r="AW89" s="105"/>
      <c r="AX89" s="105"/>
      <c r="AY89" s="105"/>
      <c r="AZ89" s="105"/>
      <c r="BA89" s="105"/>
      <c r="BB89" s="105"/>
      <c r="BC89" s="105"/>
      <c r="BD89" s="108"/>
      <c r="BE89" s="83">
        <f>IF($A89="","",IF(TRIM($D89&amp;"")="",IF(TRIM($AX89&amp;$AY89&amp;$AZ89&amp;$BA89&amp;$BB89&amp;$BC89&amp;$BD89&amp;"")="","","SUBARRENDADO"),IFERROR(IF(VLOOKUP($D89,VEHICULOS!$A$3:$H$202,7,FALSE)="","",VLOOKUP($D89,VEHICULOS!$A$3:$H$202,7,FALSE)),"")))</f>
      </c>
      <c r="BF89" s="82">
        <f>IF($A89="","",IF(TRIM($BC89&amp;"")&lt;&gt;"",$BC89,IF(TRIM($D89&amp;"")="","",IFERROR(IF(VLOOKUP($D89,VEHICULOS!$A$3:$H$202,8,FALSE)="","",VLOOKUP($D89,VEHICULOS!$A$3:$H$202,8,FALSE)),""))))</f>
      </c>
      <c r="BG89" s="106"/>
      <c r="BH89" s="107"/>
      <c r="BI89" s="86">
        <f t="shared" si="15"/>
      </c>
      <c r="BJ89" s="83">
        <f t="shared" si="16"/>
      </c>
      <c r="BK89" s="85">
        <f t="shared" si="17"/>
      </c>
      <c r="BL89" s="85">
        <f t="shared" si="18"/>
      </c>
      <c r="BM89" s="108"/>
      <c r="BN89" s="85">
        <f t="shared" si="19"/>
      </c>
      <c r="BO89" s="108"/>
      <c r="BP89" s="85">
        <f t="shared" si="20"/>
      </c>
      <c r="BQ89" s="85">
        <f t="shared" si="21"/>
      </c>
      <c r="BR89" s="108"/>
      <c r="BS89" s="104"/>
      <c r="BT89" s="87">
        <f t="shared" si="22"/>
      </c>
      <c r="BU89" s="85">
        <f t="shared" si="23"/>
      </c>
      <c r="BV89" s="85">
        <f t="shared" si="24"/>
      </c>
      <c r="BW89" s="87">
        <f t="shared" si="25"/>
      </c>
      <c r="BX89" s="104"/>
      <c r="BY89" s="106"/>
      <c r="BZ89" s="104"/>
      <c r="CA89" s="105"/>
      <c r="CB89" s="77">
        <f>IF($A89="",0,IF($B89='FICHA CLIENTE'!$C$4,1,0))</f>
      </c>
      <c r="CC89" s="77">
        <f t="shared" si="26"/>
      </c>
      <c r="CD89" s="77">
        <f>IF($A89="",0,IF($D89='FICHA VEHICULO'!$C$4,1,0))</f>
      </c>
      <c r="CE89" s="77">
        <f t="shared" si="27"/>
      </c>
      <c r="CF89" s="77">
        <f t="shared" si="28"/>
      </c>
      <c r="CG89" s="77">
        <f t="shared" si="29"/>
      </c>
    </row>
    <row r="90" spans="1:85" ht="19.5" customHeight="1" x14ac:dyDescent="0.2">
      <c r="A90" s="104"/>
      <c r="B90" s="104"/>
      <c r="C90" s="105"/>
      <c r="D90" s="104"/>
      <c r="E90" s="105"/>
      <c r="F90" s="106"/>
      <c r="G90" s="104"/>
      <c r="H90" s="106"/>
      <c r="I90" s="107"/>
      <c r="J90" s="108"/>
      <c r="K90" s="108"/>
      <c r="L90" s="108"/>
      <c r="M90" s="105"/>
      <c r="N90" s="105"/>
      <c r="O90" s="105"/>
      <c r="P90" s="108"/>
      <c r="Q90" s="105"/>
      <c r="R90" s="105"/>
      <c r="S90" s="105"/>
      <c r="T90" s="105"/>
      <c r="U90" s="108"/>
      <c r="V90" s="105"/>
      <c r="W90" s="105"/>
      <c r="X90" s="105"/>
      <c r="Y90" s="105"/>
      <c r="Z90" s="105"/>
      <c r="AA90" s="108"/>
      <c r="AB90" s="108"/>
      <c r="AC90" s="105"/>
      <c r="AD90" s="279"/>
      <c r="AE90" s="105"/>
      <c r="AF90" s="279"/>
      <c r="AG90" s="105"/>
      <c r="AH90" s="108"/>
      <c r="AI90" s="108"/>
      <c r="AJ90" s="108"/>
      <c r="AK90" s="108"/>
      <c r="AL90" s="105"/>
      <c r="AM90" s="108"/>
      <c r="AN90" s="105"/>
      <c r="AO90" s="108"/>
      <c r="AP90" s="108"/>
      <c r="AQ90" s="105"/>
      <c r="AR90" s="108"/>
      <c r="AS90" s="108"/>
      <c r="AT90" s="105"/>
      <c r="AU90" s="105"/>
      <c r="AV90" s="105"/>
      <c r="AW90" s="105"/>
      <c r="AX90" s="105"/>
      <c r="AY90" s="105"/>
      <c r="AZ90" s="105"/>
      <c r="BA90" s="105"/>
      <c r="BB90" s="105"/>
      <c r="BC90" s="105"/>
      <c r="BD90" s="108"/>
      <c r="BE90" s="83">
        <f>IF($A90="","",IF(TRIM($D90&amp;"")="",IF(TRIM($AX90&amp;$AY90&amp;$AZ90&amp;$BA90&amp;$BB90&amp;$BC90&amp;$BD90&amp;"")="","","SUBARRENDADO"),IFERROR(IF(VLOOKUP($D90,VEHICULOS!$A$3:$H$202,7,FALSE)="","",VLOOKUP($D90,VEHICULOS!$A$3:$H$202,7,FALSE)),"")))</f>
      </c>
      <c r="BF90" s="82">
        <f>IF($A90="","",IF(TRIM($BC90&amp;"")&lt;&gt;"",$BC90,IF(TRIM($D90&amp;"")="","",IFERROR(IF(VLOOKUP($D90,VEHICULOS!$A$3:$H$202,8,FALSE)="","",VLOOKUP($D90,VEHICULOS!$A$3:$H$202,8,FALSE)),""))))</f>
      </c>
      <c r="BG90" s="106"/>
      <c r="BH90" s="107"/>
      <c r="BI90" s="86">
        <f t="shared" si="15"/>
      </c>
      <c r="BJ90" s="83">
        <f t="shared" si="16"/>
      </c>
      <c r="BK90" s="85">
        <f t="shared" si="17"/>
      </c>
      <c r="BL90" s="85">
        <f t="shared" si="18"/>
      </c>
      <c r="BM90" s="108"/>
      <c r="BN90" s="85">
        <f t="shared" si="19"/>
      </c>
      <c r="BO90" s="108"/>
      <c r="BP90" s="85">
        <f t="shared" si="20"/>
      </c>
      <c r="BQ90" s="85">
        <f t="shared" si="21"/>
      </c>
      <c r="BR90" s="108"/>
      <c r="BS90" s="104"/>
      <c r="BT90" s="87">
        <f t="shared" si="22"/>
      </c>
      <c r="BU90" s="85">
        <f t="shared" si="23"/>
      </c>
      <c r="BV90" s="85">
        <f t="shared" si="24"/>
      </c>
      <c r="BW90" s="87">
        <f t="shared" si="25"/>
      </c>
      <c r="BX90" s="104"/>
      <c r="BY90" s="106"/>
      <c r="BZ90" s="104"/>
      <c r="CA90" s="105"/>
      <c r="CB90" s="77">
        <f>IF($A90="",0,IF($B90='FICHA CLIENTE'!$C$4,1,0))</f>
      </c>
      <c r="CC90" s="77">
        <f t="shared" si="26"/>
      </c>
      <c r="CD90" s="77">
        <f>IF($A90="",0,IF($D90='FICHA VEHICULO'!$C$4,1,0))</f>
      </c>
      <c r="CE90" s="77">
        <f t="shared" si="27"/>
      </c>
      <c r="CF90" s="77">
        <f t="shared" si="28"/>
      </c>
      <c r="CG90" s="77">
        <f t="shared" si="29"/>
      </c>
    </row>
    <row r="91" spans="1:85" ht="19.5" customHeight="1" x14ac:dyDescent="0.2">
      <c r="A91" s="104"/>
      <c r="B91" s="104"/>
      <c r="C91" s="105"/>
      <c r="D91" s="104"/>
      <c r="E91" s="105"/>
      <c r="F91" s="106"/>
      <c r="G91" s="104"/>
      <c r="H91" s="106"/>
      <c r="I91" s="107"/>
      <c r="J91" s="108"/>
      <c r="K91" s="108"/>
      <c r="L91" s="108"/>
      <c r="M91" s="105"/>
      <c r="N91" s="105"/>
      <c r="O91" s="105"/>
      <c r="P91" s="108"/>
      <c r="Q91" s="105"/>
      <c r="R91" s="105"/>
      <c r="S91" s="105"/>
      <c r="T91" s="105"/>
      <c r="U91" s="108"/>
      <c r="V91" s="105"/>
      <c r="W91" s="105"/>
      <c r="X91" s="105"/>
      <c r="Y91" s="105"/>
      <c r="Z91" s="105"/>
      <c r="AA91" s="108"/>
      <c r="AB91" s="108"/>
      <c r="AC91" s="105"/>
      <c r="AD91" s="279"/>
      <c r="AE91" s="105"/>
      <c r="AF91" s="279"/>
      <c r="AG91" s="105"/>
      <c r="AH91" s="108"/>
      <c r="AI91" s="108"/>
      <c r="AJ91" s="108"/>
      <c r="AK91" s="108"/>
      <c r="AL91" s="105"/>
      <c r="AM91" s="108"/>
      <c r="AN91" s="105"/>
      <c r="AO91" s="108"/>
      <c r="AP91" s="108"/>
      <c r="AQ91" s="105"/>
      <c r="AR91" s="108"/>
      <c r="AS91" s="108"/>
      <c r="AT91" s="105"/>
      <c r="AU91" s="105"/>
      <c r="AV91" s="105"/>
      <c r="AW91" s="105"/>
      <c r="AX91" s="105"/>
      <c r="AY91" s="105"/>
      <c r="AZ91" s="105"/>
      <c r="BA91" s="105"/>
      <c r="BB91" s="105"/>
      <c r="BC91" s="105"/>
      <c r="BD91" s="108"/>
      <c r="BE91" s="83">
        <f>IF($A91="","",IF(TRIM($D91&amp;"")="",IF(TRIM($AX91&amp;$AY91&amp;$AZ91&amp;$BA91&amp;$BB91&amp;$BC91&amp;$BD91&amp;"")="","","SUBARRENDADO"),IFERROR(IF(VLOOKUP($D91,VEHICULOS!$A$3:$H$202,7,FALSE)="","",VLOOKUP($D91,VEHICULOS!$A$3:$H$202,7,FALSE)),"")))</f>
      </c>
      <c r="BF91" s="82">
        <f>IF($A91="","",IF(TRIM($BC91&amp;"")&lt;&gt;"",$BC91,IF(TRIM($D91&amp;"")="","",IFERROR(IF(VLOOKUP($D91,VEHICULOS!$A$3:$H$202,8,FALSE)="","",VLOOKUP($D91,VEHICULOS!$A$3:$H$202,8,FALSE)),""))))</f>
      </c>
      <c r="BG91" s="106"/>
      <c r="BH91" s="107"/>
      <c r="BI91" s="86">
        <f t="shared" si="15"/>
      </c>
      <c r="BJ91" s="83">
        <f t="shared" si="16"/>
      </c>
      <c r="BK91" s="85">
        <f t="shared" si="17"/>
      </c>
      <c r="BL91" s="85">
        <f t="shared" si="18"/>
      </c>
      <c r="BM91" s="108"/>
      <c r="BN91" s="85">
        <f t="shared" si="19"/>
      </c>
      <c r="BO91" s="108"/>
      <c r="BP91" s="85">
        <f t="shared" si="20"/>
      </c>
      <c r="BQ91" s="85">
        <f t="shared" si="21"/>
      </c>
      <c r="BR91" s="108"/>
      <c r="BS91" s="104"/>
      <c r="BT91" s="87">
        <f t="shared" si="22"/>
      </c>
      <c r="BU91" s="85">
        <f t="shared" si="23"/>
      </c>
      <c r="BV91" s="85">
        <f t="shared" si="24"/>
      </c>
      <c r="BW91" s="87">
        <f t="shared" si="25"/>
      </c>
      <c r="BX91" s="104"/>
      <c r="BY91" s="106"/>
      <c r="BZ91" s="104"/>
      <c r="CA91" s="105"/>
      <c r="CB91" s="77">
        <f>IF($A91="",0,IF($B91='FICHA CLIENTE'!$C$4,1,0))</f>
      </c>
      <c r="CC91" s="77">
        <f t="shared" si="26"/>
      </c>
      <c r="CD91" s="77">
        <f>IF($A91="",0,IF($D91='FICHA VEHICULO'!$C$4,1,0))</f>
      </c>
      <c r="CE91" s="77">
        <f t="shared" si="27"/>
      </c>
      <c r="CF91" s="77">
        <f t="shared" si="28"/>
      </c>
      <c r="CG91" s="77">
        <f t="shared" si="29"/>
      </c>
    </row>
    <row r="92" spans="1:85" ht="19.5" customHeight="1" x14ac:dyDescent="0.2">
      <c r="A92" s="104"/>
      <c r="B92" s="104"/>
      <c r="C92" s="105"/>
      <c r="D92" s="104"/>
      <c r="E92" s="105"/>
      <c r="F92" s="106"/>
      <c r="G92" s="104"/>
      <c r="H92" s="106"/>
      <c r="I92" s="107"/>
      <c r="J92" s="108"/>
      <c r="K92" s="108"/>
      <c r="L92" s="108"/>
      <c r="M92" s="105"/>
      <c r="N92" s="105"/>
      <c r="O92" s="105"/>
      <c r="P92" s="108"/>
      <c r="Q92" s="105"/>
      <c r="R92" s="105"/>
      <c r="S92" s="105"/>
      <c r="T92" s="105"/>
      <c r="U92" s="108"/>
      <c r="V92" s="105"/>
      <c r="W92" s="105"/>
      <c r="X92" s="105"/>
      <c r="Y92" s="105"/>
      <c r="Z92" s="105"/>
      <c r="AA92" s="108"/>
      <c r="AB92" s="108"/>
      <c r="AC92" s="105"/>
      <c r="AD92" s="279"/>
      <c r="AE92" s="105"/>
      <c r="AF92" s="279"/>
      <c r="AG92" s="105"/>
      <c r="AH92" s="108"/>
      <c r="AI92" s="108"/>
      <c r="AJ92" s="108"/>
      <c r="AK92" s="108"/>
      <c r="AL92" s="105"/>
      <c r="AM92" s="108"/>
      <c r="AN92" s="105"/>
      <c r="AO92" s="108"/>
      <c r="AP92" s="108"/>
      <c r="AQ92" s="105"/>
      <c r="AR92" s="108"/>
      <c r="AS92" s="108"/>
      <c r="AT92" s="105"/>
      <c r="AU92" s="105"/>
      <c r="AV92" s="105"/>
      <c r="AW92" s="105"/>
      <c r="AX92" s="105"/>
      <c r="AY92" s="105"/>
      <c r="AZ92" s="105"/>
      <c r="BA92" s="105"/>
      <c r="BB92" s="105"/>
      <c r="BC92" s="105"/>
      <c r="BD92" s="108"/>
      <c r="BE92" s="83">
        <f>IF($A92="","",IF(TRIM($D92&amp;"")="",IF(TRIM($AX92&amp;$AY92&amp;$AZ92&amp;$BA92&amp;$BB92&amp;$BC92&amp;$BD92&amp;"")="","","SUBARRENDADO"),IFERROR(IF(VLOOKUP($D92,VEHICULOS!$A$3:$H$202,7,FALSE)="","",VLOOKUP($D92,VEHICULOS!$A$3:$H$202,7,FALSE)),"")))</f>
      </c>
      <c r="BF92" s="82">
        <f>IF($A92="","",IF(TRIM($BC92&amp;"")&lt;&gt;"",$BC92,IF(TRIM($D92&amp;"")="","",IFERROR(IF(VLOOKUP($D92,VEHICULOS!$A$3:$H$202,8,FALSE)="","",VLOOKUP($D92,VEHICULOS!$A$3:$H$202,8,FALSE)),""))))</f>
      </c>
      <c r="BG92" s="106"/>
      <c r="BH92" s="107"/>
      <c r="BI92" s="86">
        <f t="shared" si="15"/>
      </c>
      <c r="BJ92" s="83">
        <f t="shared" si="16"/>
      </c>
      <c r="BK92" s="85">
        <f t="shared" si="17"/>
      </c>
      <c r="BL92" s="85">
        <f t="shared" si="18"/>
      </c>
      <c r="BM92" s="108"/>
      <c r="BN92" s="85">
        <f t="shared" si="19"/>
      </c>
      <c r="BO92" s="108"/>
      <c r="BP92" s="85">
        <f t="shared" si="20"/>
      </c>
      <c r="BQ92" s="85">
        <f t="shared" si="21"/>
      </c>
      <c r="BR92" s="108"/>
      <c r="BS92" s="104"/>
      <c r="BT92" s="87">
        <f t="shared" si="22"/>
      </c>
      <c r="BU92" s="85">
        <f t="shared" si="23"/>
      </c>
      <c r="BV92" s="85">
        <f t="shared" si="24"/>
      </c>
      <c r="BW92" s="87">
        <f t="shared" si="25"/>
      </c>
      <c r="BX92" s="104"/>
      <c r="BY92" s="106"/>
      <c r="BZ92" s="104"/>
      <c r="CA92" s="105"/>
      <c r="CB92" s="77">
        <f>IF($A92="",0,IF($B92='FICHA CLIENTE'!$C$4,1,0))</f>
      </c>
      <c r="CC92" s="77">
        <f t="shared" si="26"/>
      </c>
      <c r="CD92" s="77">
        <f>IF($A92="",0,IF($D92='FICHA VEHICULO'!$C$4,1,0))</f>
      </c>
      <c r="CE92" s="77">
        <f t="shared" si="27"/>
      </c>
      <c r="CF92" s="77">
        <f t="shared" si="28"/>
      </c>
      <c r="CG92" s="77">
        <f t="shared" si="29"/>
      </c>
    </row>
    <row r="93" spans="1:85" ht="19.5" customHeight="1" x14ac:dyDescent="0.2">
      <c r="A93" s="104"/>
      <c r="B93" s="104"/>
      <c r="C93" s="105"/>
      <c r="D93" s="104"/>
      <c r="E93" s="105"/>
      <c r="F93" s="106"/>
      <c r="G93" s="104"/>
      <c r="H93" s="106"/>
      <c r="I93" s="107"/>
      <c r="J93" s="108"/>
      <c r="K93" s="108"/>
      <c r="L93" s="108"/>
      <c r="M93" s="105"/>
      <c r="N93" s="105"/>
      <c r="O93" s="105"/>
      <c r="P93" s="108"/>
      <c r="Q93" s="105"/>
      <c r="R93" s="105"/>
      <c r="S93" s="105"/>
      <c r="T93" s="105"/>
      <c r="U93" s="108"/>
      <c r="V93" s="105"/>
      <c r="W93" s="105"/>
      <c r="X93" s="105"/>
      <c r="Y93" s="105"/>
      <c r="Z93" s="105"/>
      <c r="AA93" s="108"/>
      <c r="AB93" s="108"/>
      <c r="AC93" s="105"/>
      <c r="AD93" s="279"/>
      <c r="AE93" s="105"/>
      <c r="AF93" s="279"/>
      <c r="AG93" s="105"/>
      <c r="AH93" s="108"/>
      <c r="AI93" s="108"/>
      <c r="AJ93" s="108"/>
      <c r="AK93" s="108"/>
      <c r="AL93" s="105"/>
      <c r="AM93" s="108"/>
      <c r="AN93" s="105"/>
      <c r="AO93" s="108"/>
      <c r="AP93" s="108"/>
      <c r="AQ93" s="105"/>
      <c r="AR93" s="108"/>
      <c r="AS93" s="108"/>
      <c r="AT93" s="105"/>
      <c r="AU93" s="105"/>
      <c r="AV93" s="105"/>
      <c r="AW93" s="105"/>
      <c r="AX93" s="105"/>
      <c r="AY93" s="105"/>
      <c r="AZ93" s="105"/>
      <c r="BA93" s="105"/>
      <c r="BB93" s="105"/>
      <c r="BC93" s="105"/>
      <c r="BD93" s="108"/>
      <c r="BE93" s="83">
        <f>IF($A93="","",IF(TRIM($D93&amp;"")="",IF(TRIM($AX93&amp;$AY93&amp;$AZ93&amp;$BA93&amp;$BB93&amp;$BC93&amp;$BD93&amp;"")="","","SUBARRENDADO"),IFERROR(IF(VLOOKUP($D93,VEHICULOS!$A$3:$H$202,7,FALSE)="","",VLOOKUP($D93,VEHICULOS!$A$3:$H$202,7,FALSE)),"")))</f>
      </c>
      <c r="BF93" s="82">
        <f>IF($A93="","",IF(TRIM($BC93&amp;"")&lt;&gt;"",$BC93,IF(TRIM($D93&amp;"")="","",IFERROR(IF(VLOOKUP($D93,VEHICULOS!$A$3:$H$202,8,FALSE)="","",VLOOKUP($D93,VEHICULOS!$A$3:$H$202,8,FALSE)),""))))</f>
      </c>
      <c r="BG93" s="106"/>
      <c r="BH93" s="107"/>
      <c r="BI93" s="86">
        <f t="shared" si="15"/>
      </c>
      <c r="BJ93" s="83">
        <f t="shared" si="16"/>
      </c>
      <c r="BK93" s="85">
        <f t="shared" si="17"/>
      </c>
      <c r="BL93" s="85">
        <f t="shared" si="18"/>
      </c>
      <c r="BM93" s="108"/>
      <c r="BN93" s="85">
        <f t="shared" si="19"/>
      </c>
      <c r="BO93" s="108"/>
      <c r="BP93" s="85">
        <f t="shared" si="20"/>
      </c>
      <c r="BQ93" s="85">
        <f t="shared" si="21"/>
      </c>
      <c r="BR93" s="108"/>
      <c r="BS93" s="104"/>
      <c r="BT93" s="87">
        <f t="shared" si="22"/>
      </c>
      <c r="BU93" s="85">
        <f t="shared" si="23"/>
      </c>
      <c r="BV93" s="85">
        <f t="shared" si="24"/>
      </c>
      <c r="BW93" s="87">
        <f t="shared" si="25"/>
      </c>
      <c r="BX93" s="104"/>
      <c r="BY93" s="106"/>
      <c r="BZ93" s="104"/>
      <c r="CA93" s="105"/>
      <c r="CB93" s="77">
        <f>IF($A93="",0,IF($B93='FICHA CLIENTE'!$C$4,1,0))</f>
      </c>
      <c r="CC93" s="77">
        <f t="shared" si="26"/>
      </c>
      <c r="CD93" s="77">
        <f>IF($A93="",0,IF($D93='FICHA VEHICULO'!$C$4,1,0))</f>
      </c>
      <c r="CE93" s="77">
        <f t="shared" si="27"/>
      </c>
      <c r="CF93" s="77">
        <f t="shared" si="28"/>
      </c>
      <c r="CG93" s="77">
        <f t="shared" si="29"/>
      </c>
    </row>
    <row r="94" spans="1:85" ht="19.5" customHeight="1" x14ac:dyDescent="0.2">
      <c r="A94" s="104"/>
      <c r="B94" s="104"/>
      <c r="C94" s="105"/>
      <c r="D94" s="104"/>
      <c r="E94" s="105"/>
      <c r="F94" s="106"/>
      <c r="G94" s="104"/>
      <c r="H94" s="106"/>
      <c r="I94" s="107"/>
      <c r="J94" s="108"/>
      <c r="K94" s="108"/>
      <c r="L94" s="108"/>
      <c r="M94" s="105"/>
      <c r="N94" s="105"/>
      <c r="O94" s="105"/>
      <c r="P94" s="108"/>
      <c r="Q94" s="105"/>
      <c r="R94" s="105"/>
      <c r="S94" s="105"/>
      <c r="T94" s="105"/>
      <c r="U94" s="108"/>
      <c r="V94" s="105"/>
      <c r="W94" s="105"/>
      <c r="X94" s="105"/>
      <c r="Y94" s="105"/>
      <c r="Z94" s="105"/>
      <c r="AA94" s="108"/>
      <c r="AB94" s="108"/>
      <c r="AC94" s="105"/>
      <c r="AD94" s="279"/>
      <c r="AE94" s="105"/>
      <c r="AF94" s="279"/>
      <c r="AG94" s="105"/>
      <c r="AH94" s="108"/>
      <c r="AI94" s="108"/>
      <c r="AJ94" s="108"/>
      <c r="AK94" s="108"/>
      <c r="AL94" s="105"/>
      <c r="AM94" s="108"/>
      <c r="AN94" s="105"/>
      <c r="AO94" s="108"/>
      <c r="AP94" s="108"/>
      <c r="AQ94" s="105"/>
      <c r="AR94" s="108"/>
      <c r="AS94" s="108"/>
      <c r="AT94" s="105"/>
      <c r="AU94" s="105"/>
      <c r="AV94" s="105"/>
      <c r="AW94" s="105"/>
      <c r="AX94" s="105"/>
      <c r="AY94" s="105"/>
      <c r="AZ94" s="105"/>
      <c r="BA94" s="105"/>
      <c r="BB94" s="105"/>
      <c r="BC94" s="105"/>
      <c r="BD94" s="108"/>
      <c r="BE94" s="83">
        <f>IF($A94="","",IF(TRIM($D94&amp;"")="",IF(TRIM($AX94&amp;$AY94&amp;$AZ94&amp;$BA94&amp;$BB94&amp;$BC94&amp;$BD94&amp;"")="","","SUBARRENDADO"),IFERROR(IF(VLOOKUP($D94,VEHICULOS!$A$3:$H$202,7,FALSE)="","",VLOOKUP($D94,VEHICULOS!$A$3:$H$202,7,FALSE)),"")))</f>
      </c>
      <c r="BF94" s="82">
        <f>IF($A94="","",IF(TRIM($BC94&amp;"")&lt;&gt;"",$BC94,IF(TRIM($D94&amp;"")="","",IFERROR(IF(VLOOKUP($D94,VEHICULOS!$A$3:$H$202,8,FALSE)="","",VLOOKUP($D94,VEHICULOS!$A$3:$H$202,8,FALSE)),""))))</f>
      </c>
      <c r="BG94" s="106"/>
      <c r="BH94" s="107"/>
      <c r="BI94" s="86">
        <f t="shared" si="15"/>
      </c>
      <c r="BJ94" s="83">
        <f t="shared" si="16"/>
      </c>
      <c r="BK94" s="85">
        <f t="shared" si="17"/>
      </c>
      <c r="BL94" s="85">
        <f t="shared" si="18"/>
      </c>
      <c r="BM94" s="108"/>
      <c r="BN94" s="85">
        <f t="shared" si="19"/>
      </c>
      <c r="BO94" s="108"/>
      <c r="BP94" s="85">
        <f t="shared" si="20"/>
      </c>
      <c r="BQ94" s="85">
        <f t="shared" si="21"/>
      </c>
      <c r="BR94" s="108"/>
      <c r="BS94" s="104"/>
      <c r="BT94" s="87">
        <f t="shared" si="22"/>
      </c>
      <c r="BU94" s="85">
        <f t="shared" si="23"/>
      </c>
      <c r="BV94" s="85">
        <f t="shared" si="24"/>
      </c>
      <c r="BW94" s="87">
        <f t="shared" si="25"/>
      </c>
      <c r="BX94" s="104"/>
      <c r="BY94" s="106"/>
      <c r="BZ94" s="104"/>
      <c r="CA94" s="105"/>
      <c r="CB94" s="77">
        <f>IF($A94="",0,IF($B94='FICHA CLIENTE'!$C$4,1,0))</f>
      </c>
      <c r="CC94" s="77">
        <f t="shared" si="26"/>
      </c>
      <c r="CD94" s="77">
        <f>IF($A94="",0,IF($D94='FICHA VEHICULO'!$C$4,1,0))</f>
      </c>
      <c r="CE94" s="77">
        <f t="shared" si="27"/>
      </c>
      <c r="CF94" s="77">
        <f t="shared" si="28"/>
      </c>
      <c r="CG94" s="77">
        <f t="shared" si="29"/>
      </c>
    </row>
    <row r="95" spans="1:85" ht="19.5" customHeight="1" x14ac:dyDescent="0.2">
      <c r="A95" s="104"/>
      <c r="B95" s="104"/>
      <c r="C95" s="105"/>
      <c r="D95" s="104"/>
      <c r="E95" s="105"/>
      <c r="F95" s="106"/>
      <c r="G95" s="104"/>
      <c r="H95" s="106"/>
      <c r="I95" s="107"/>
      <c r="J95" s="108"/>
      <c r="K95" s="108"/>
      <c r="L95" s="108"/>
      <c r="M95" s="105"/>
      <c r="N95" s="105"/>
      <c r="O95" s="105"/>
      <c r="P95" s="108"/>
      <c r="Q95" s="105"/>
      <c r="R95" s="105"/>
      <c r="S95" s="105"/>
      <c r="T95" s="105"/>
      <c r="U95" s="108"/>
      <c r="V95" s="105"/>
      <c r="W95" s="105"/>
      <c r="X95" s="105"/>
      <c r="Y95" s="105"/>
      <c r="Z95" s="105"/>
      <c r="AA95" s="108"/>
      <c r="AB95" s="108"/>
      <c r="AC95" s="105"/>
      <c r="AD95" s="279"/>
      <c r="AE95" s="105"/>
      <c r="AF95" s="279"/>
      <c r="AG95" s="105"/>
      <c r="AH95" s="108"/>
      <c r="AI95" s="108"/>
      <c r="AJ95" s="108"/>
      <c r="AK95" s="108"/>
      <c r="AL95" s="105"/>
      <c r="AM95" s="108"/>
      <c r="AN95" s="105"/>
      <c r="AO95" s="108"/>
      <c r="AP95" s="108"/>
      <c r="AQ95" s="105"/>
      <c r="AR95" s="108"/>
      <c r="AS95" s="108"/>
      <c r="AT95" s="105"/>
      <c r="AU95" s="105"/>
      <c r="AV95" s="105"/>
      <c r="AW95" s="105"/>
      <c r="AX95" s="105"/>
      <c r="AY95" s="105"/>
      <c r="AZ95" s="105"/>
      <c r="BA95" s="105"/>
      <c r="BB95" s="105"/>
      <c r="BC95" s="105"/>
      <c r="BD95" s="108"/>
      <c r="BE95" s="83">
        <f>IF($A95="","",IF(TRIM($D95&amp;"")="",IF(TRIM($AX95&amp;$AY95&amp;$AZ95&amp;$BA95&amp;$BB95&amp;$BC95&amp;$BD95&amp;"")="","","SUBARRENDADO"),IFERROR(IF(VLOOKUP($D95,VEHICULOS!$A$3:$H$202,7,FALSE)="","",VLOOKUP($D95,VEHICULOS!$A$3:$H$202,7,FALSE)),"")))</f>
      </c>
      <c r="BF95" s="82">
        <f>IF($A95="","",IF(TRIM($BC95&amp;"")&lt;&gt;"",$BC95,IF(TRIM($D95&amp;"")="","",IFERROR(IF(VLOOKUP($D95,VEHICULOS!$A$3:$H$202,8,FALSE)="","",VLOOKUP($D95,VEHICULOS!$A$3:$H$202,8,FALSE)),""))))</f>
      </c>
      <c r="BG95" s="106"/>
      <c r="BH95" s="107"/>
      <c r="BI95" s="86">
        <f t="shared" si="15"/>
      </c>
      <c r="BJ95" s="83">
        <f t="shared" si="16"/>
      </c>
      <c r="BK95" s="85">
        <f t="shared" si="17"/>
      </c>
      <c r="BL95" s="85">
        <f t="shared" si="18"/>
      </c>
      <c r="BM95" s="108"/>
      <c r="BN95" s="85">
        <f t="shared" si="19"/>
      </c>
      <c r="BO95" s="108"/>
      <c r="BP95" s="85">
        <f t="shared" si="20"/>
      </c>
      <c r="BQ95" s="85">
        <f t="shared" si="21"/>
      </c>
      <c r="BR95" s="108"/>
      <c r="BS95" s="104"/>
      <c r="BT95" s="87">
        <f t="shared" si="22"/>
      </c>
      <c r="BU95" s="85">
        <f t="shared" si="23"/>
      </c>
      <c r="BV95" s="85">
        <f t="shared" si="24"/>
      </c>
      <c r="BW95" s="87">
        <f t="shared" si="25"/>
      </c>
      <c r="BX95" s="104"/>
      <c r="BY95" s="106"/>
      <c r="BZ95" s="104"/>
      <c r="CA95" s="105"/>
      <c r="CB95" s="77">
        <f>IF($A95="",0,IF($B95='FICHA CLIENTE'!$C$4,1,0))</f>
      </c>
      <c r="CC95" s="77">
        <f t="shared" si="26"/>
      </c>
      <c r="CD95" s="77">
        <f>IF($A95="",0,IF($D95='FICHA VEHICULO'!$C$4,1,0))</f>
      </c>
      <c r="CE95" s="77">
        <f t="shared" si="27"/>
      </c>
      <c r="CF95" s="77">
        <f t="shared" si="28"/>
      </c>
      <c r="CG95" s="77">
        <f t="shared" si="29"/>
      </c>
    </row>
    <row r="96" spans="1:85" ht="19.5" customHeight="1" x14ac:dyDescent="0.2">
      <c r="A96" s="104"/>
      <c r="B96" s="104"/>
      <c r="C96" s="105"/>
      <c r="D96" s="104"/>
      <c r="E96" s="105"/>
      <c r="F96" s="106"/>
      <c r="G96" s="104"/>
      <c r="H96" s="106"/>
      <c r="I96" s="107"/>
      <c r="J96" s="108"/>
      <c r="K96" s="108"/>
      <c r="L96" s="108"/>
      <c r="M96" s="105"/>
      <c r="N96" s="105"/>
      <c r="O96" s="105"/>
      <c r="P96" s="108"/>
      <c r="Q96" s="105"/>
      <c r="R96" s="105"/>
      <c r="S96" s="105"/>
      <c r="T96" s="105"/>
      <c r="U96" s="108"/>
      <c r="V96" s="105"/>
      <c r="W96" s="105"/>
      <c r="X96" s="105"/>
      <c r="Y96" s="105"/>
      <c r="Z96" s="105"/>
      <c r="AA96" s="108"/>
      <c r="AB96" s="108"/>
      <c r="AC96" s="105"/>
      <c r="AD96" s="279"/>
      <c r="AE96" s="105"/>
      <c r="AF96" s="279"/>
      <c r="AG96" s="105"/>
      <c r="AH96" s="108"/>
      <c r="AI96" s="108"/>
      <c r="AJ96" s="108"/>
      <c r="AK96" s="108"/>
      <c r="AL96" s="105"/>
      <c r="AM96" s="108"/>
      <c r="AN96" s="105"/>
      <c r="AO96" s="108"/>
      <c r="AP96" s="108"/>
      <c r="AQ96" s="105"/>
      <c r="AR96" s="108"/>
      <c r="AS96" s="108"/>
      <c r="AT96" s="105"/>
      <c r="AU96" s="105"/>
      <c r="AV96" s="105"/>
      <c r="AW96" s="105"/>
      <c r="AX96" s="105"/>
      <c r="AY96" s="105"/>
      <c r="AZ96" s="105"/>
      <c r="BA96" s="105"/>
      <c r="BB96" s="105"/>
      <c r="BC96" s="105"/>
      <c r="BD96" s="108"/>
      <c r="BE96" s="83">
        <f>IF($A96="","",IF(TRIM($D96&amp;"")="",IF(TRIM($AX96&amp;$AY96&amp;$AZ96&amp;$BA96&amp;$BB96&amp;$BC96&amp;$BD96&amp;"")="","","SUBARRENDADO"),IFERROR(IF(VLOOKUP($D96,VEHICULOS!$A$3:$H$202,7,FALSE)="","",VLOOKUP($D96,VEHICULOS!$A$3:$H$202,7,FALSE)),"")))</f>
      </c>
      <c r="BF96" s="82">
        <f>IF($A96="","",IF(TRIM($BC96&amp;"")&lt;&gt;"",$BC96,IF(TRIM($D96&amp;"")="","",IFERROR(IF(VLOOKUP($D96,VEHICULOS!$A$3:$H$202,8,FALSE)="","",VLOOKUP($D96,VEHICULOS!$A$3:$H$202,8,FALSE)),""))))</f>
      </c>
      <c r="BG96" s="106"/>
      <c r="BH96" s="107"/>
      <c r="BI96" s="86">
        <f t="shared" si="15"/>
      </c>
      <c r="BJ96" s="83">
        <f t="shared" si="16"/>
      </c>
      <c r="BK96" s="85">
        <f t="shared" si="17"/>
      </c>
      <c r="BL96" s="85">
        <f t="shared" si="18"/>
      </c>
      <c r="BM96" s="108"/>
      <c r="BN96" s="85">
        <f t="shared" si="19"/>
      </c>
      <c r="BO96" s="108"/>
      <c r="BP96" s="85">
        <f t="shared" si="20"/>
      </c>
      <c r="BQ96" s="85">
        <f t="shared" si="21"/>
      </c>
      <c r="BR96" s="108"/>
      <c r="BS96" s="104"/>
      <c r="BT96" s="87">
        <f t="shared" si="22"/>
      </c>
      <c r="BU96" s="85">
        <f t="shared" si="23"/>
      </c>
      <c r="BV96" s="85">
        <f t="shared" si="24"/>
      </c>
      <c r="BW96" s="87">
        <f t="shared" si="25"/>
      </c>
      <c r="BX96" s="104"/>
      <c r="BY96" s="106"/>
      <c r="BZ96" s="104"/>
      <c r="CA96" s="105"/>
      <c r="CB96" s="77">
        <f>IF($A96="",0,IF($B96='FICHA CLIENTE'!$C$4,1,0))</f>
      </c>
      <c r="CC96" s="77">
        <f t="shared" si="26"/>
      </c>
      <c r="CD96" s="77">
        <f>IF($A96="",0,IF($D96='FICHA VEHICULO'!$C$4,1,0))</f>
      </c>
      <c r="CE96" s="77">
        <f t="shared" si="27"/>
      </c>
      <c r="CF96" s="77">
        <f t="shared" si="28"/>
      </c>
      <c r="CG96" s="77">
        <f t="shared" si="29"/>
      </c>
    </row>
    <row r="97" spans="1:85" ht="19.5" customHeight="1" x14ac:dyDescent="0.2">
      <c r="A97" s="104"/>
      <c r="B97" s="104"/>
      <c r="C97" s="105"/>
      <c r="D97" s="104"/>
      <c r="E97" s="105"/>
      <c r="F97" s="106"/>
      <c r="G97" s="104"/>
      <c r="H97" s="106"/>
      <c r="I97" s="107"/>
      <c r="J97" s="108"/>
      <c r="K97" s="108"/>
      <c r="L97" s="108"/>
      <c r="M97" s="105"/>
      <c r="N97" s="105"/>
      <c r="O97" s="105"/>
      <c r="P97" s="108"/>
      <c r="Q97" s="105"/>
      <c r="R97" s="105"/>
      <c r="S97" s="105"/>
      <c r="T97" s="105"/>
      <c r="U97" s="108"/>
      <c r="V97" s="105"/>
      <c r="W97" s="105"/>
      <c r="X97" s="105"/>
      <c r="Y97" s="105"/>
      <c r="Z97" s="105"/>
      <c r="AA97" s="108"/>
      <c r="AB97" s="108"/>
      <c r="AC97" s="105"/>
      <c r="AD97" s="279"/>
      <c r="AE97" s="105"/>
      <c r="AF97" s="279"/>
      <c r="AG97" s="105"/>
      <c r="AH97" s="108"/>
      <c r="AI97" s="108"/>
      <c r="AJ97" s="108"/>
      <c r="AK97" s="108"/>
      <c r="AL97" s="105"/>
      <c r="AM97" s="108"/>
      <c r="AN97" s="105"/>
      <c r="AO97" s="108"/>
      <c r="AP97" s="108"/>
      <c r="AQ97" s="105"/>
      <c r="AR97" s="108"/>
      <c r="AS97" s="108"/>
      <c r="AT97" s="105"/>
      <c r="AU97" s="105"/>
      <c r="AV97" s="105"/>
      <c r="AW97" s="105"/>
      <c r="AX97" s="105"/>
      <c r="AY97" s="105"/>
      <c r="AZ97" s="105"/>
      <c r="BA97" s="105"/>
      <c r="BB97" s="105"/>
      <c r="BC97" s="105"/>
      <c r="BD97" s="108"/>
      <c r="BE97" s="83">
        <f>IF($A97="","",IF(TRIM($D97&amp;"")="",IF(TRIM($AX97&amp;$AY97&amp;$AZ97&amp;$BA97&amp;$BB97&amp;$BC97&amp;$BD97&amp;"")="","","SUBARRENDADO"),IFERROR(IF(VLOOKUP($D97,VEHICULOS!$A$3:$H$202,7,FALSE)="","",VLOOKUP($D97,VEHICULOS!$A$3:$H$202,7,FALSE)),"")))</f>
      </c>
      <c r="BF97" s="82">
        <f>IF($A97="","",IF(TRIM($BC97&amp;"")&lt;&gt;"",$BC97,IF(TRIM($D97&amp;"")="","",IFERROR(IF(VLOOKUP($D97,VEHICULOS!$A$3:$H$202,8,FALSE)="","",VLOOKUP($D97,VEHICULOS!$A$3:$H$202,8,FALSE)),""))))</f>
      </c>
      <c r="BG97" s="106"/>
      <c r="BH97" s="107"/>
      <c r="BI97" s="86">
        <f t="shared" si="15"/>
      </c>
      <c r="BJ97" s="83">
        <f t="shared" si="16"/>
      </c>
      <c r="BK97" s="85">
        <f t="shared" si="17"/>
      </c>
      <c r="BL97" s="85">
        <f t="shared" si="18"/>
      </c>
      <c r="BM97" s="108"/>
      <c r="BN97" s="85">
        <f t="shared" si="19"/>
      </c>
      <c r="BO97" s="108"/>
      <c r="BP97" s="85">
        <f t="shared" si="20"/>
      </c>
      <c r="BQ97" s="85">
        <f t="shared" si="21"/>
      </c>
      <c r="BR97" s="108"/>
      <c r="BS97" s="104"/>
      <c r="BT97" s="87">
        <f t="shared" si="22"/>
      </c>
      <c r="BU97" s="85">
        <f t="shared" si="23"/>
      </c>
      <c r="BV97" s="85">
        <f t="shared" si="24"/>
      </c>
      <c r="BW97" s="87">
        <f t="shared" si="25"/>
      </c>
      <c r="BX97" s="104"/>
      <c r="BY97" s="106"/>
      <c r="BZ97" s="104"/>
      <c r="CA97" s="105"/>
      <c r="CB97" s="77">
        <f>IF($A97="",0,IF($B97='FICHA CLIENTE'!$C$4,1,0))</f>
      </c>
      <c r="CC97" s="77">
        <f t="shared" si="26"/>
      </c>
      <c r="CD97" s="77">
        <f>IF($A97="",0,IF($D97='FICHA VEHICULO'!$C$4,1,0))</f>
      </c>
      <c r="CE97" s="77">
        <f t="shared" si="27"/>
      </c>
      <c r="CF97" s="77">
        <f t="shared" si="28"/>
      </c>
      <c r="CG97" s="77">
        <f t="shared" si="29"/>
      </c>
    </row>
    <row r="98" spans="1:85" ht="19.5" customHeight="1" x14ac:dyDescent="0.2">
      <c r="A98" s="104"/>
      <c r="B98" s="104"/>
      <c r="C98" s="105"/>
      <c r="D98" s="104"/>
      <c r="E98" s="105"/>
      <c r="F98" s="106"/>
      <c r="G98" s="104"/>
      <c r="H98" s="106"/>
      <c r="I98" s="107"/>
      <c r="J98" s="108"/>
      <c r="K98" s="108"/>
      <c r="L98" s="108"/>
      <c r="M98" s="105"/>
      <c r="N98" s="105"/>
      <c r="O98" s="105"/>
      <c r="P98" s="108"/>
      <c r="Q98" s="105"/>
      <c r="R98" s="105"/>
      <c r="S98" s="105"/>
      <c r="T98" s="105"/>
      <c r="U98" s="108"/>
      <c r="V98" s="105"/>
      <c r="W98" s="105"/>
      <c r="X98" s="105"/>
      <c r="Y98" s="105"/>
      <c r="Z98" s="105"/>
      <c r="AA98" s="108"/>
      <c r="AB98" s="108"/>
      <c r="AC98" s="105"/>
      <c r="AD98" s="279"/>
      <c r="AE98" s="105"/>
      <c r="AF98" s="279"/>
      <c r="AG98" s="105"/>
      <c r="AH98" s="108"/>
      <c r="AI98" s="108"/>
      <c r="AJ98" s="108"/>
      <c r="AK98" s="108"/>
      <c r="AL98" s="105"/>
      <c r="AM98" s="108"/>
      <c r="AN98" s="105"/>
      <c r="AO98" s="108"/>
      <c r="AP98" s="108"/>
      <c r="AQ98" s="105"/>
      <c r="AR98" s="108"/>
      <c r="AS98" s="108"/>
      <c r="AT98" s="105"/>
      <c r="AU98" s="105"/>
      <c r="AV98" s="105"/>
      <c r="AW98" s="105"/>
      <c r="AX98" s="105"/>
      <c r="AY98" s="105"/>
      <c r="AZ98" s="105"/>
      <c r="BA98" s="105"/>
      <c r="BB98" s="105"/>
      <c r="BC98" s="105"/>
      <c r="BD98" s="108"/>
      <c r="BE98" s="83">
        <f>IF($A98="","",IF(TRIM($D98&amp;"")="",IF(TRIM($AX98&amp;$AY98&amp;$AZ98&amp;$BA98&amp;$BB98&amp;$BC98&amp;$BD98&amp;"")="","","SUBARRENDADO"),IFERROR(IF(VLOOKUP($D98,VEHICULOS!$A$3:$H$202,7,FALSE)="","",VLOOKUP($D98,VEHICULOS!$A$3:$H$202,7,FALSE)),"")))</f>
      </c>
      <c r="BF98" s="82">
        <f>IF($A98="","",IF(TRIM($BC98&amp;"")&lt;&gt;"",$BC98,IF(TRIM($D98&amp;"")="","",IFERROR(IF(VLOOKUP($D98,VEHICULOS!$A$3:$H$202,8,FALSE)="","",VLOOKUP($D98,VEHICULOS!$A$3:$H$202,8,FALSE)),""))))</f>
      </c>
      <c r="BG98" s="106"/>
      <c r="BH98" s="107"/>
      <c r="BI98" s="86">
        <f t="shared" si="15"/>
      </c>
      <c r="BJ98" s="83">
        <f t="shared" si="16"/>
      </c>
      <c r="BK98" s="85">
        <f t="shared" si="17"/>
      </c>
      <c r="BL98" s="85">
        <f t="shared" si="18"/>
      </c>
      <c r="BM98" s="108"/>
      <c r="BN98" s="85">
        <f t="shared" si="19"/>
      </c>
      <c r="BO98" s="108"/>
      <c r="BP98" s="85">
        <f t="shared" si="20"/>
      </c>
      <c r="BQ98" s="85">
        <f t="shared" si="21"/>
      </c>
      <c r="BR98" s="108"/>
      <c r="BS98" s="104"/>
      <c r="BT98" s="87">
        <f t="shared" si="22"/>
      </c>
      <c r="BU98" s="85">
        <f t="shared" si="23"/>
      </c>
      <c r="BV98" s="85">
        <f t="shared" si="24"/>
      </c>
      <c r="BW98" s="87">
        <f t="shared" si="25"/>
      </c>
      <c r="BX98" s="104"/>
      <c r="BY98" s="106"/>
      <c r="BZ98" s="104"/>
      <c r="CA98" s="105"/>
      <c r="CB98" s="77">
        <f>IF($A98="",0,IF($B98='FICHA CLIENTE'!$C$4,1,0))</f>
      </c>
      <c r="CC98" s="77">
        <f t="shared" si="26"/>
      </c>
      <c r="CD98" s="77">
        <f>IF($A98="",0,IF($D98='FICHA VEHICULO'!$C$4,1,0))</f>
      </c>
      <c r="CE98" s="77">
        <f t="shared" si="27"/>
      </c>
      <c r="CF98" s="77">
        <f t="shared" si="28"/>
      </c>
      <c r="CG98" s="77">
        <f t="shared" si="29"/>
      </c>
    </row>
    <row r="99" spans="1:85" ht="19.5" customHeight="1" x14ac:dyDescent="0.2">
      <c r="A99" s="104"/>
      <c r="B99" s="104"/>
      <c r="C99" s="105"/>
      <c r="D99" s="104"/>
      <c r="E99" s="105"/>
      <c r="F99" s="106"/>
      <c r="G99" s="104"/>
      <c r="H99" s="106"/>
      <c r="I99" s="107"/>
      <c r="J99" s="108"/>
      <c r="K99" s="108"/>
      <c r="L99" s="108"/>
      <c r="M99" s="105"/>
      <c r="N99" s="105"/>
      <c r="O99" s="105"/>
      <c r="P99" s="108"/>
      <c r="Q99" s="105"/>
      <c r="R99" s="105"/>
      <c r="S99" s="105"/>
      <c r="T99" s="105"/>
      <c r="U99" s="108"/>
      <c r="V99" s="105"/>
      <c r="W99" s="105"/>
      <c r="X99" s="105"/>
      <c r="Y99" s="105"/>
      <c r="Z99" s="105"/>
      <c r="AA99" s="108"/>
      <c r="AB99" s="108"/>
      <c r="AC99" s="105"/>
      <c r="AD99" s="279"/>
      <c r="AE99" s="105"/>
      <c r="AF99" s="279"/>
      <c r="AG99" s="105"/>
      <c r="AH99" s="108"/>
      <c r="AI99" s="108"/>
      <c r="AJ99" s="108"/>
      <c r="AK99" s="108"/>
      <c r="AL99" s="105"/>
      <c r="AM99" s="108"/>
      <c r="AN99" s="105"/>
      <c r="AO99" s="108"/>
      <c r="AP99" s="108"/>
      <c r="AQ99" s="105"/>
      <c r="AR99" s="108"/>
      <c r="AS99" s="108"/>
      <c r="AT99" s="105"/>
      <c r="AU99" s="105"/>
      <c r="AV99" s="105"/>
      <c r="AW99" s="105"/>
      <c r="AX99" s="105"/>
      <c r="AY99" s="105"/>
      <c r="AZ99" s="105"/>
      <c r="BA99" s="105"/>
      <c r="BB99" s="105"/>
      <c r="BC99" s="105"/>
      <c r="BD99" s="108"/>
      <c r="BE99" s="83">
        <f>IF($A99="","",IF(TRIM($D99&amp;"")="",IF(TRIM($AX99&amp;$AY99&amp;$AZ99&amp;$BA99&amp;$BB99&amp;$BC99&amp;$BD99&amp;"")="","","SUBARRENDADO"),IFERROR(IF(VLOOKUP($D99,VEHICULOS!$A$3:$H$202,7,FALSE)="","",VLOOKUP($D99,VEHICULOS!$A$3:$H$202,7,FALSE)),"")))</f>
      </c>
      <c r="BF99" s="82">
        <f>IF($A99="","",IF(TRIM($BC99&amp;"")&lt;&gt;"",$BC99,IF(TRIM($D99&amp;"")="","",IFERROR(IF(VLOOKUP($D99,VEHICULOS!$A$3:$H$202,8,FALSE)="","",VLOOKUP($D99,VEHICULOS!$A$3:$H$202,8,FALSE)),""))))</f>
      </c>
      <c r="BG99" s="106"/>
      <c r="BH99" s="107"/>
      <c r="BI99" s="86">
        <f t="shared" si="15"/>
      </c>
      <c r="BJ99" s="83">
        <f t="shared" si="16"/>
      </c>
      <c r="BK99" s="85">
        <f t="shared" si="17"/>
      </c>
      <c r="BL99" s="85">
        <f t="shared" si="18"/>
      </c>
      <c r="BM99" s="108"/>
      <c r="BN99" s="85">
        <f t="shared" si="19"/>
      </c>
      <c r="BO99" s="108"/>
      <c r="BP99" s="85">
        <f t="shared" si="20"/>
      </c>
      <c r="BQ99" s="85">
        <f t="shared" si="21"/>
      </c>
      <c r="BR99" s="108"/>
      <c r="BS99" s="104"/>
      <c r="BT99" s="87">
        <f t="shared" si="22"/>
      </c>
      <c r="BU99" s="85">
        <f t="shared" si="23"/>
      </c>
      <c r="BV99" s="85">
        <f t="shared" si="24"/>
      </c>
      <c r="BW99" s="87">
        <f t="shared" si="25"/>
      </c>
      <c r="BX99" s="104"/>
      <c r="BY99" s="106"/>
      <c r="BZ99" s="104"/>
      <c r="CA99" s="105"/>
      <c r="CB99" s="77">
        <f>IF($A99="",0,IF($B99='FICHA CLIENTE'!$C$4,1,0))</f>
      </c>
      <c r="CC99" s="77">
        <f t="shared" si="26"/>
      </c>
      <c r="CD99" s="77">
        <f>IF($A99="",0,IF($D99='FICHA VEHICULO'!$C$4,1,0))</f>
      </c>
      <c r="CE99" s="77">
        <f t="shared" si="27"/>
      </c>
      <c r="CF99" s="77">
        <f t="shared" si="28"/>
      </c>
      <c r="CG99" s="77">
        <f t="shared" si="29"/>
      </c>
    </row>
    <row r="100" spans="1:85" ht="19.5" customHeight="1" x14ac:dyDescent="0.2">
      <c r="A100" s="104"/>
      <c r="B100" s="104"/>
      <c r="C100" s="105"/>
      <c r="D100" s="104"/>
      <c r="E100" s="105"/>
      <c r="F100" s="106"/>
      <c r="G100" s="104"/>
      <c r="H100" s="106"/>
      <c r="I100" s="107"/>
      <c r="J100" s="108"/>
      <c r="K100" s="108"/>
      <c r="L100" s="108"/>
      <c r="M100" s="105"/>
      <c r="N100" s="105"/>
      <c r="O100" s="105"/>
      <c r="P100" s="108"/>
      <c r="Q100" s="105"/>
      <c r="R100" s="105"/>
      <c r="S100" s="105"/>
      <c r="T100" s="105"/>
      <c r="U100" s="108"/>
      <c r="V100" s="105"/>
      <c r="W100" s="105"/>
      <c r="X100" s="105"/>
      <c r="Y100" s="105"/>
      <c r="Z100" s="105"/>
      <c r="AA100" s="108"/>
      <c r="AB100" s="108"/>
      <c r="AC100" s="105"/>
      <c r="AD100" s="279"/>
      <c r="AE100" s="105"/>
      <c r="AF100" s="279"/>
      <c r="AG100" s="105"/>
      <c r="AH100" s="108"/>
      <c r="AI100" s="108"/>
      <c r="AJ100" s="108"/>
      <c r="AK100" s="108"/>
      <c r="AL100" s="105"/>
      <c r="AM100" s="108"/>
      <c r="AN100" s="105"/>
      <c r="AO100" s="108"/>
      <c r="AP100" s="108"/>
      <c r="AQ100" s="105"/>
      <c r="AR100" s="108"/>
      <c r="AS100" s="108"/>
      <c r="AT100" s="105"/>
      <c r="AU100" s="105"/>
      <c r="AV100" s="105"/>
      <c r="AW100" s="105"/>
      <c r="AX100" s="105"/>
      <c r="AY100" s="105"/>
      <c r="AZ100" s="105"/>
      <c r="BA100" s="105"/>
      <c r="BB100" s="105"/>
      <c r="BC100" s="105"/>
      <c r="BD100" s="108"/>
      <c r="BE100" s="83">
        <f>IF($A100="","",IF(TRIM($D100&amp;"")="",IF(TRIM($AX100&amp;$AY100&amp;$AZ100&amp;$BA100&amp;$BB100&amp;$BC100&amp;$BD100&amp;"")="","","SUBARRENDADO"),IFERROR(IF(VLOOKUP($D100,VEHICULOS!$A$3:$H$202,7,FALSE)="","",VLOOKUP($D100,VEHICULOS!$A$3:$H$202,7,FALSE)),"")))</f>
      </c>
      <c r="BF100" s="82">
        <f>IF($A100="","",IF(TRIM($BC100&amp;"")&lt;&gt;"",$BC100,IF(TRIM($D100&amp;"")="","",IFERROR(IF(VLOOKUP($D100,VEHICULOS!$A$3:$H$202,8,FALSE)="","",VLOOKUP($D100,VEHICULOS!$A$3:$H$202,8,FALSE)),""))))</f>
      </c>
      <c r="BG100" s="106"/>
      <c r="BH100" s="107"/>
      <c r="BI100" s="86">
        <f t="shared" si="15"/>
      </c>
      <c r="BJ100" s="83">
        <f t="shared" si="16"/>
      </c>
      <c r="BK100" s="85">
        <f t="shared" si="17"/>
      </c>
      <c r="BL100" s="85">
        <f t="shared" si="18"/>
      </c>
      <c r="BM100" s="108"/>
      <c r="BN100" s="85">
        <f t="shared" si="19"/>
      </c>
      <c r="BO100" s="108"/>
      <c r="BP100" s="85">
        <f t="shared" si="20"/>
      </c>
      <c r="BQ100" s="85">
        <f t="shared" si="21"/>
      </c>
      <c r="BR100" s="108"/>
      <c r="BS100" s="104"/>
      <c r="BT100" s="87">
        <f t="shared" si="22"/>
      </c>
      <c r="BU100" s="85">
        <f t="shared" si="23"/>
      </c>
      <c r="BV100" s="85">
        <f t="shared" si="24"/>
      </c>
      <c r="BW100" s="87">
        <f t="shared" si="25"/>
      </c>
      <c r="BX100" s="104"/>
      <c r="BY100" s="106"/>
      <c r="BZ100" s="104"/>
      <c r="CA100" s="105"/>
      <c r="CB100" s="77">
        <f>IF($A100="",0,IF($B100='FICHA CLIENTE'!$C$4,1,0))</f>
      </c>
      <c r="CC100" s="77">
        <f t="shared" si="26"/>
      </c>
      <c r="CD100" s="77">
        <f>IF($A100="",0,IF($D100='FICHA VEHICULO'!$C$4,1,0))</f>
      </c>
      <c r="CE100" s="77">
        <f t="shared" si="27"/>
      </c>
      <c r="CF100" s="77">
        <f t="shared" si="28"/>
      </c>
      <c r="CG100" s="77">
        <f t="shared" si="29"/>
      </c>
    </row>
    <row r="101" spans="1:85" ht="19.5" customHeight="1" x14ac:dyDescent="0.2">
      <c r="A101" s="104"/>
      <c r="B101" s="104"/>
      <c r="C101" s="105"/>
      <c r="D101" s="104"/>
      <c r="E101" s="105"/>
      <c r="F101" s="106"/>
      <c r="G101" s="104"/>
      <c r="H101" s="106"/>
      <c r="I101" s="107"/>
      <c r="J101" s="108"/>
      <c r="K101" s="108"/>
      <c r="L101" s="108"/>
      <c r="M101" s="105"/>
      <c r="N101" s="105"/>
      <c r="O101" s="105"/>
      <c r="P101" s="108"/>
      <c r="Q101" s="105"/>
      <c r="R101" s="105"/>
      <c r="S101" s="105"/>
      <c r="T101" s="105"/>
      <c r="U101" s="108"/>
      <c r="V101" s="105"/>
      <c r="W101" s="105"/>
      <c r="X101" s="105"/>
      <c r="Y101" s="105"/>
      <c r="Z101" s="105"/>
      <c r="AA101" s="108"/>
      <c r="AB101" s="108"/>
      <c r="AC101" s="105"/>
      <c r="AD101" s="279"/>
      <c r="AE101" s="105"/>
      <c r="AF101" s="279"/>
      <c r="AG101" s="105"/>
      <c r="AH101" s="108"/>
      <c r="AI101" s="108"/>
      <c r="AJ101" s="108"/>
      <c r="AK101" s="108"/>
      <c r="AL101" s="105"/>
      <c r="AM101" s="108"/>
      <c r="AN101" s="105"/>
      <c r="AO101" s="108"/>
      <c r="AP101" s="108"/>
      <c r="AQ101" s="105"/>
      <c r="AR101" s="108"/>
      <c r="AS101" s="108"/>
      <c r="AT101" s="105"/>
      <c r="AU101" s="105"/>
      <c r="AV101" s="105"/>
      <c r="AW101" s="105"/>
      <c r="AX101" s="105"/>
      <c r="AY101" s="105"/>
      <c r="AZ101" s="105"/>
      <c r="BA101" s="105"/>
      <c r="BB101" s="105"/>
      <c r="BC101" s="105"/>
      <c r="BD101" s="108"/>
      <c r="BE101" s="83">
        <f>IF($A101="","",IF(TRIM($D101&amp;"")="",IF(TRIM($AX101&amp;$AY101&amp;$AZ101&amp;$BA101&amp;$BB101&amp;$BC101&amp;$BD101&amp;"")="","","SUBARRENDADO"),IFERROR(IF(VLOOKUP($D101,VEHICULOS!$A$3:$H$202,7,FALSE)="","",VLOOKUP($D101,VEHICULOS!$A$3:$H$202,7,FALSE)),"")))</f>
      </c>
      <c r="BF101" s="82">
        <f>IF($A101="","",IF(TRIM($BC101&amp;"")&lt;&gt;"",$BC101,IF(TRIM($D101&amp;"")="","",IFERROR(IF(VLOOKUP($D101,VEHICULOS!$A$3:$H$202,8,FALSE)="","",VLOOKUP($D101,VEHICULOS!$A$3:$H$202,8,FALSE)),""))))</f>
      </c>
      <c r="BG101" s="106"/>
      <c r="BH101" s="107"/>
      <c r="BI101" s="86">
        <f t="shared" si="15"/>
      </c>
      <c r="BJ101" s="83">
        <f t="shared" si="16"/>
      </c>
      <c r="BK101" s="85">
        <f t="shared" si="17"/>
      </c>
      <c r="BL101" s="85">
        <f t="shared" si="18"/>
      </c>
      <c r="BM101" s="108"/>
      <c r="BN101" s="85">
        <f t="shared" si="19"/>
      </c>
      <c r="BO101" s="108"/>
      <c r="BP101" s="85">
        <f t="shared" si="20"/>
      </c>
      <c r="BQ101" s="85">
        <f t="shared" si="21"/>
      </c>
      <c r="BR101" s="108"/>
      <c r="BS101" s="104"/>
      <c r="BT101" s="87">
        <f t="shared" si="22"/>
      </c>
      <c r="BU101" s="85">
        <f t="shared" si="23"/>
      </c>
      <c r="BV101" s="85">
        <f t="shared" si="24"/>
      </c>
      <c r="BW101" s="87">
        <f t="shared" si="25"/>
      </c>
      <c r="BX101" s="104"/>
      <c r="BY101" s="106"/>
      <c r="BZ101" s="104"/>
      <c r="CA101" s="105"/>
      <c r="CB101" s="77">
        <f>IF($A101="",0,IF($B101='FICHA CLIENTE'!$C$4,1,0))</f>
      </c>
      <c r="CC101" s="77">
        <f t="shared" si="26"/>
      </c>
      <c r="CD101" s="77">
        <f>IF($A101="",0,IF($D101='FICHA VEHICULO'!$C$4,1,0))</f>
      </c>
      <c r="CE101" s="77">
        <f t="shared" si="27"/>
      </c>
      <c r="CF101" s="77">
        <f t="shared" si="28"/>
      </c>
      <c r="CG101" s="77">
        <f t="shared" si="29"/>
      </c>
    </row>
    <row r="102" spans="1:85" ht="19.5" customHeight="1" x14ac:dyDescent="0.2">
      <c r="A102" s="104"/>
      <c r="B102" s="104"/>
      <c r="C102" s="105"/>
      <c r="D102" s="104"/>
      <c r="E102" s="105"/>
      <c r="F102" s="106"/>
      <c r="G102" s="104"/>
      <c r="H102" s="106"/>
      <c r="I102" s="107"/>
      <c r="J102" s="108"/>
      <c r="K102" s="108"/>
      <c r="L102" s="108"/>
      <c r="M102" s="105"/>
      <c r="N102" s="105"/>
      <c r="O102" s="105"/>
      <c r="P102" s="108"/>
      <c r="Q102" s="105"/>
      <c r="R102" s="105"/>
      <c r="S102" s="105"/>
      <c r="T102" s="105"/>
      <c r="U102" s="108"/>
      <c r="V102" s="105"/>
      <c r="W102" s="105"/>
      <c r="X102" s="105"/>
      <c r="Y102" s="105"/>
      <c r="Z102" s="105"/>
      <c r="AA102" s="108"/>
      <c r="AB102" s="108"/>
      <c r="AC102" s="105"/>
      <c r="AD102" s="279"/>
      <c r="AE102" s="105"/>
      <c r="AF102" s="279"/>
      <c r="AG102" s="105"/>
      <c r="AH102" s="108"/>
      <c r="AI102" s="108"/>
      <c r="AJ102" s="108"/>
      <c r="AK102" s="108"/>
      <c r="AL102" s="105"/>
      <c r="AM102" s="108"/>
      <c r="AN102" s="105"/>
      <c r="AO102" s="108"/>
      <c r="AP102" s="108"/>
      <c r="AQ102" s="105"/>
      <c r="AR102" s="108"/>
      <c r="AS102" s="108"/>
      <c r="AT102" s="105"/>
      <c r="AU102" s="105"/>
      <c r="AV102" s="105"/>
      <c r="AW102" s="105"/>
      <c r="AX102" s="105"/>
      <c r="AY102" s="105"/>
      <c r="AZ102" s="105"/>
      <c r="BA102" s="105"/>
      <c r="BB102" s="105"/>
      <c r="BC102" s="105"/>
      <c r="BD102" s="108"/>
      <c r="BE102" s="83">
        <f>IF($A102="","",IF(TRIM($D102&amp;"")="",IF(TRIM($AX102&amp;$AY102&amp;$AZ102&amp;$BA102&amp;$BB102&amp;$BC102&amp;$BD102&amp;"")="","","SUBARRENDADO"),IFERROR(IF(VLOOKUP($D102,VEHICULOS!$A$3:$H$202,7,FALSE)="","",VLOOKUP($D102,VEHICULOS!$A$3:$H$202,7,FALSE)),"")))</f>
      </c>
      <c r="BF102" s="82">
        <f>IF($A102="","",IF(TRIM($BC102&amp;"")&lt;&gt;"",$BC102,IF(TRIM($D102&amp;"")="","",IFERROR(IF(VLOOKUP($D102,VEHICULOS!$A$3:$H$202,8,FALSE)="","",VLOOKUP($D102,VEHICULOS!$A$3:$H$202,8,FALSE)),""))))</f>
      </c>
      <c r="BG102" s="106"/>
      <c r="BH102" s="107"/>
      <c r="BI102" s="86">
        <f t="shared" si="15"/>
      </c>
      <c r="BJ102" s="83">
        <f t="shared" si="16"/>
      </c>
      <c r="BK102" s="85">
        <f t="shared" si="17"/>
      </c>
      <c r="BL102" s="85">
        <f t="shared" si="18"/>
      </c>
      <c r="BM102" s="108"/>
      <c r="BN102" s="85">
        <f t="shared" si="19"/>
      </c>
      <c r="BO102" s="108"/>
      <c r="BP102" s="85">
        <f t="shared" si="20"/>
      </c>
      <c r="BQ102" s="85">
        <f t="shared" si="21"/>
      </c>
      <c r="BR102" s="108"/>
      <c r="BS102" s="104"/>
      <c r="BT102" s="87">
        <f t="shared" si="22"/>
      </c>
      <c r="BU102" s="85">
        <f t="shared" si="23"/>
      </c>
      <c r="BV102" s="85">
        <f t="shared" si="24"/>
      </c>
      <c r="BW102" s="87">
        <f t="shared" si="25"/>
      </c>
      <c r="BX102" s="104"/>
      <c r="BY102" s="106"/>
      <c r="BZ102" s="104"/>
      <c r="CA102" s="105"/>
      <c r="CB102" s="77">
        <f>IF($A102="",0,IF($B102='FICHA CLIENTE'!$C$4,1,0))</f>
      </c>
      <c r="CC102" s="77">
        <f t="shared" si="26"/>
      </c>
      <c r="CD102" s="77">
        <f>IF($A102="",0,IF($D102='FICHA VEHICULO'!$C$4,1,0))</f>
      </c>
      <c r="CE102" s="77">
        <f t="shared" si="27"/>
      </c>
      <c r="CF102" s="77">
        <f t="shared" si="28"/>
      </c>
      <c r="CG102" s="77">
        <f t="shared" si="29"/>
      </c>
    </row>
    <row r="103" spans="1:85" ht="19.5" customHeight="1" x14ac:dyDescent="0.2">
      <c r="A103" s="104"/>
      <c r="B103" s="104"/>
      <c r="C103" s="105"/>
      <c r="D103" s="104"/>
      <c r="E103" s="105"/>
      <c r="F103" s="106"/>
      <c r="G103" s="104"/>
      <c r="H103" s="106"/>
      <c r="I103" s="107"/>
      <c r="J103" s="108"/>
      <c r="K103" s="108"/>
      <c r="L103" s="108"/>
      <c r="M103" s="105"/>
      <c r="N103" s="105"/>
      <c r="O103" s="105"/>
      <c r="P103" s="108"/>
      <c r="Q103" s="105"/>
      <c r="R103" s="105"/>
      <c r="S103" s="105"/>
      <c r="T103" s="105"/>
      <c r="U103" s="108"/>
      <c r="V103" s="105"/>
      <c r="W103" s="105"/>
      <c r="X103" s="105"/>
      <c r="Y103" s="105"/>
      <c r="Z103" s="105"/>
      <c r="AA103" s="108"/>
      <c r="AB103" s="108"/>
      <c r="AC103" s="105"/>
      <c r="AD103" s="279"/>
      <c r="AE103" s="105"/>
      <c r="AF103" s="279"/>
      <c r="AG103" s="105"/>
      <c r="AH103" s="108"/>
      <c r="AI103" s="108"/>
      <c r="AJ103" s="108"/>
      <c r="AK103" s="108"/>
      <c r="AL103" s="105"/>
      <c r="AM103" s="108"/>
      <c r="AN103" s="105"/>
      <c r="AO103" s="108"/>
      <c r="AP103" s="108"/>
      <c r="AQ103" s="105"/>
      <c r="AR103" s="108"/>
      <c r="AS103" s="108"/>
      <c r="AT103" s="105"/>
      <c r="AU103" s="105"/>
      <c r="AV103" s="105"/>
      <c r="AW103" s="105"/>
      <c r="AX103" s="105"/>
      <c r="AY103" s="105"/>
      <c r="AZ103" s="105"/>
      <c r="BA103" s="105"/>
      <c r="BB103" s="105"/>
      <c r="BC103" s="105"/>
      <c r="BD103" s="108"/>
      <c r="BE103" s="83">
        <f>IF($A103="","",IF(TRIM($D103&amp;"")="",IF(TRIM($AX103&amp;$AY103&amp;$AZ103&amp;$BA103&amp;$BB103&amp;$BC103&amp;$BD103&amp;"")="","","SUBARRENDADO"),IFERROR(IF(VLOOKUP($D103,VEHICULOS!$A$3:$H$202,7,FALSE)="","",VLOOKUP($D103,VEHICULOS!$A$3:$H$202,7,FALSE)),"")))</f>
      </c>
      <c r="BF103" s="82">
        <f>IF($A103="","",IF(TRIM($BC103&amp;"")&lt;&gt;"",$BC103,IF(TRIM($D103&amp;"")="","",IFERROR(IF(VLOOKUP($D103,VEHICULOS!$A$3:$H$202,8,FALSE)="","",VLOOKUP($D103,VEHICULOS!$A$3:$H$202,8,FALSE)),""))))</f>
      </c>
      <c r="BG103" s="106"/>
      <c r="BH103" s="107"/>
      <c r="BI103" s="86">
        <f t="shared" si="15"/>
      </c>
      <c r="BJ103" s="83">
        <f t="shared" si="16"/>
      </c>
      <c r="BK103" s="85">
        <f t="shared" si="17"/>
      </c>
      <c r="BL103" s="85">
        <f t="shared" si="18"/>
      </c>
      <c r="BM103" s="108"/>
      <c r="BN103" s="85">
        <f t="shared" si="19"/>
      </c>
      <c r="BO103" s="108"/>
      <c r="BP103" s="85">
        <f t="shared" si="20"/>
      </c>
      <c r="BQ103" s="85">
        <f t="shared" si="21"/>
      </c>
      <c r="BR103" s="108"/>
      <c r="BS103" s="104"/>
      <c r="BT103" s="87">
        <f t="shared" si="22"/>
      </c>
      <c r="BU103" s="85">
        <f t="shared" si="23"/>
      </c>
      <c r="BV103" s="85">
        <f t="shared" si="24"/>
      </c>
      <c r="BW103" s="87">
        <f t="shared" si="25"/>
      </c>
      <c r="BX103" s="104"/>
      <c r="BY103" s="106"/>
      <c r="BZ103" s="104"/>
      <c r="CA103" s="105"/>
      <c r="CB103" s="77">
        <f>IF($A103="",0,IF($B103='FICHA CLIENTE'!$C$4,1,0))</f>
      </c>
      <c r="CC103" s="77">
        <f t="shared" si="26"/>
      </c>
      <c r="CD103" s="77">
        <f>IF($A103="",0,IF($D103='FICHA VEHICULO'!$C$4,1,0))</f>
      </c>
      <c r="CE103" s="77">
        <f t="shared" si="27"/>
      </c>
      <c r="CF103" s="77">
        <f t="shared" si="28"/>
      </c>
      <c r="CG103" s="77">
        <f t="shared" si="29"/>
      </c>
    </row>
    <row r="104" spans="1:85" ht="19.5" customHeight="1" x14ac:dyDescent="0.2">
      <c r="A104" s="104"/>
      <c r="B104" s="104"/>
      <c r="C104" s="105"/>
      <c r="D104" s="104"/>
      <c r="E104" s="105"/>
      <c r="F104" s="106"/>
      <c r="G104" s="104"/>
      <c r="H104" s="106"/>
      <c r="I104" s="107"/>
      <c r="J104" s="108"/>
      <c r="K104" s="108"/>
      <c r="L104" s="108"/>
      <c r="M104" s="105"/>
      <c r="N104" s="105"/>
      <c r="O104" s="105"/>
      <c r="P104" s="108"/>
      <c r="Q104" s="105"/>
      <c r="R104" s="105"/>
      <c r="S104" s="105"/>
      <c r="T104" s="105"/>
      <c r="U104" s="108"/>
      <c r="V104" s="105"/>
      <c r="W104" s="105"/>
      <c r="X104" s="105"/>
      <c r="Y104" s="105"/>
      <c r="Z104" s="105"/>
      <c r="AA104" s="108"/>
      <c r="AB104" s="108"/>
      <c r="AC104" s="105"/>
      <c r="AD104" s="279"/>
      <c r="AE104" s="105"/>
      <c r="AF104" s="279"/>
      <c r="AG104" s="105"/>
      <c r="AH104" s="108"/>
      <c r="AI104" s="108"/>
      <c r="AJ104" s="108"/>
      <c r="AK104" s="108"/>
      <c r="AL104" s="105"/>
      <c r="AM104" s="108"/>
      <c r="AN104" s="105"/>
      <c r="AO104" s="108"/>
      <c r="AP104" s="108"/>
      <c r="AQ104" s="105"/>
      <c r="AR104" s="108"/>
      <c r="AS104" s="108"/>
      <c r="AT104" s="105"/>
      <c r="AU104" s="105"/>
      <c r="AV104" s="105"/>
      <c r="AW104" s="105"/>
      <c r="AX104" s="105"/>
      <c r="AY104" s="105"/>
      <c r="AZ104" s="105"/>
      <c r="BA104" s="105"/>
      <c r="BB104" s="105"/>
      <c r="BC104" s="105"/>
      <c r="BD104" s="108"/>
      <c r="BE104" s="83">
        <f>IF($A104="","",IF(TRIM($D104&amp;"")="",IF(TRIM($AX104&amp;$AY104&amp;$AZ104&amp;$BA104&amp;$BB104&amp;$BC104&amp;$BD104&amp;"")="","","SUBARRENDADO"),IFERROR(IF(VLOOKUP($D104,VEHICULOS!$A$3:$H$202,7,FALSE)="","",VLOOKUP($D104,VEHICULOS!$A$3:$H$202,7,FALSE)),"")))</f>
      </c>
      <c r="BF104" s="82">
        <f>IF($A104="","",IF(TRIM($BC104&amp;"")&lt;&gt;"",$BC104,IF(TRIM($D104&amp;"")="","",IFERROR(IF(VLOOKUP($D104,VEHICULOS!$A$3:$H$202,8,FALSE)="","",VLOOKUP($D104,VEHICULOS!$A$3:$H$202,8,FALSE)),""))))</f>
      </c>
      <c r="BG104" s="106"/>
      <c r="BH104" s="107"/>
      <c r="BI104" s="86">
        <f t="shared" si="15"/>
      </c>
      <c r="BJ104" s="83">
        <f t="shared" si="16"/>
      </c>
      <c r="BK104" s="85">
        <f t="shared" si="17"/>
      </c>
      <c r="BL104" s="85">
        <f t="shared" si="18"/>
      </c>
      <c r="BM104" s="108"/>
      <c r="BN104" s="85">
        <f t="shared" si="19"/>
      </c>
      <c r="BO104" s="108"/>
      <c r="BP104" s="85">
        <f t="shared" si="20"/>
      </c>
      <c r="BQ104" s="85">
        <f t="shared" si="21"/>
      </c>
      <c r="BR104" s="108"/>
      <c r="BS104" s="104"/>
      <c r="BT104" s="87">
        <f t="shared" si="22"/>
      </c>
      <c r="BU104" s="85">
        <f t="shared" si="23"/>
      </c>
      <c r="BV104" s="85">
        <f t="shared" si="24"/>
      </c>
      <c r="BW104" s="87">
        <f t="shared" si="25"/>
      </c>
      <c r="BX104" s="104"/>
      <c r="BY104" s="106"/>
      <c r="BZ104" s="104"/>
      <c r="CA104" s="105"/>
      <c r="CB104" s="77">
        <f>IF($A104="",0,IF($B104='FICHA CLIENTE'!$C$4,1,0))</f>
      </c>
      <c r="CC104" s="77">
        <f t="shared" si="26"/>
      </c>
      <c r="CD104" s="77">
        <f>IF($A104="",0,IF($D104='FICHA VEHICULO'!$C$4,1,0))</f>
      </c>
      <c r="CE104" s="77">
        <f t="shared" si="27"/>
      </c>
      <c r="CF104" s="77">
        <f t="shared" si="28"/>
      </c>
      <c r="CG104" s="77">
        <f t="shared" si="29"/>
      </c>
    </row>
    <row r="105" spans="1:85" ht="19.5" customHeight="1" x14ac:dyDescent="0.2">
      <c r="A105" s="104"/>
      <c r="B105" s="104"/>
      <c r="C105" s="105"/>
      <c r="D105" s="104"/>
      <c r="E105" s="105"/>
      <c r="F105" s="106"/>
      <c r="G105" s="104"/>
      <c r="H105" s="106"/>
      <c r="I105" s="107"/>
      <c r="J105" s="108"/>
      <c r="K105" s="108"/>
      <c r="L105" s="108"/>
      <c r="M105" s="105"/>
      <c r="N105" s="105"/>
      <c r="O105" s="105"/>
      <c r="P105" s="108"/>
      <c r="Q105" s="105"/>
      <c r="R105" s="105"/>
      <c r="S105" s="105"/>
      <c r="T105" s="105"/>
      <c r="U105" s="108"/>
      <c r="V105" s="105"/>
      <c r="W105" s="105"/>
      <c r="X105" s="105"/>
      <c r="Y105" s="105"/>
      <c r="Z105" s="105"/>
      <c r="AA105" s="108"/>
      <c r="AB105" s="108"/>
      <c r="AC105" s="105"/>
      <c r="AD105" s="279"/>
      <c r="AE105" s="105"/>
      <c r="AF105" s="279"/>
      <c r="AG105" s="105"/>
      <c r="AH105" s="108"/>
      <c r="AI105" s="108"/>
      <c r="AJ105" s="108"/>
      <c r="AK105" s="108"/>
      <c r="AL105" s="105"/>
      <c r="AM105" s="108"/>
      <c r="AN105" s="105"/>
      <c r="AO105" s="108"/>
      <c r="AP105" s="108"/>
      <c r="AQ105" s="105"/>
      <c r="AR105" s="108"/>
      <c r="AS105" s="108"/>
      <c r="AT105" s="105"/>
      <c r="AU105" s="105"/>
      <c r="AV105" s="105"/>
      <c r="AW105" s="105"/>
      <c r="AX105" s="105"/>
      <c r="AY105" s="105"/>
      <c r="AZ105" s="105"/>
      <c r="BA105" s="105"/>
      <c r="BB105" s="105"/>
      <c r="BC105" s="105"/>
      <c r="BD105" s="108"/>
      <c r="BE105" s="83">
        <f>IF($A105="","",IF(TRIM($D105&amp;"")="",IF(TRIM($AX105&amp;$AY105&amp;$AZ105&amp;$BA105&amp;$BB105&amp;$BC105&amp;$BD105&amp;"")="","","SUBARRENDADO"),IFERROR(IF(VLOOKUP($D105,VEHICULOS!$A$3:$H$202,7,FALSE)="","",VLOOKUP($D105,VEHICULOS!$A$3:$H$202,7,FALSE)),"")))</f>
      </c>
      <c r="BF105" s="82">
        <f>IF($A105="","",IF(TRIM($BC105&amp;"")&lt;&gt;"",$BC105,IF(TRIM($D105&amp;"")="","",IFERROR(IF(VLOOKUP($D105,VEHICULOS!$A$3:$H$202,8,FALSE)="","",VLOOKUP($D105,VEHICULOS!$A$3:$H$202,8,FALSE)),""))))</f>
      </c>
      <c r="BG105" s="106"/>
      <c r="BH105" s="107"/>
      <c r="BI105" s="86">
        <f t="shared" si="15"/>
      </c>
      <c r="BJ105" s="83">
        <f t="shared" si="16"/>
      </c>
      <c r="BK105" s="85">
        <f t="shared" si="17"/>
      </c>
      <c r="BL105" s="85">
        <f t="shared" si="18"/>
      </c>
      <c r="BM105" s="108"/>
      <c r="BN105" s="85">
        <f t="shared" si="19"/>
      </c>
      <c r="BO105" s="108"/>
      <c r="BP105" s="85">
        <f t="shared" si="20"/>
      </c>
      <c r="BQ105" s="85">
        <f t="shared" si="21"/>
      </c>
      <c r="BR105" s="108"/>
      <c r="BS105" s="104"/>
      <c r="BT105" s="87">
        <f t="shared" si="22"/>
      </c>
      <c r="BU105" s="85">
        <f t="shared" si="23"/>
      </c>
      <c r="BV105" s="85">
        <f t="shared" si="24"/>
      </c>
      <c r="BW105" s="87">
        <f t="shared" si="25"/>
      </c>
      <c r="BX105" s="104"/>
      <c r="BY105" s="106"/>
      <c r="BZ105" s="104"/>
      <c r="CA105" s="105"/>
      <c r="CB105" s="77">
        <f>IF($A105="",0,IF($B105='FICHA CLIENTE'!$C$4,1,0))</f>
      </c>
      <c r="CC105" s="77">
        <f t="shared" si="26"/>
      </c>
      <c r="CD105" s="77">
        <f>IF($A105="",0,IF($D105='FICHA VEHICULO'!$C$4,1,0))</f>
      </c>
      <c r="CE105" s="77">
        <f t="shared" si="27"/>
      </c>
      <c r="CF105" s="77">
        <f t="shared" si="28"/>
      </c>
      <c r="CG105" s="77">
        <f t="shared" si="29"/>
      </c>
    </row>
    <row r="106" spans="1:85" ht="19.5" customHeight="1" x14ac:dyDescent="0.2">
      <c r="A106" s="104"/>
      <c r="B106" s="104"/>
      <c r="C106" s="105"/>
      <c r="D106" s="104"/>
      <c r="E106" s="105"/>
      <c r="F106" s="106"/>
      <c r="G106" s="104"/>
      <c r="H106" s="106"/>
      <c r="I106" s="107"/>
      <c r="J106" s="108"/>
      <c r="K106" s="108"/>
      <c r="L106" s="108"/>
      <c r="M106" s="105"/>
      <c r="N106" s="105"/>
      <c r="O106" s="105"/>
      <c r="P106" s="108"/>
      <c r="Q106" s="105"/>
      <c r="R106" s="105"/>
      <c r="S106" s="105"/>
      <c r="T106" s="105"/>
      <c r="U106" s="108"/>
      <c r="V106" s="105"/>
      <c r="W106" s="105"/>
      <c r="X106" s="105"/>
      <c r="Y106" s="105"/>
      <c r="Z106" s="105"/>
      <c r="AA106" s="108"/>
      <c r="AB106" s="108"/>
      <c r="AC106" s="105"/>
      <c r="AD106" s="279"/>
      <c r="AE106" s="105"/>
      <c r="AF106" s="279"/>
      <c r="AG106" s="105"/>
      <c r="AH106" s="108"/>
      <c r="AI106" s="108"/>
      <c r="AJ106" s="108"/>
      <c r="AK106" s="108"/>
      <c r="AL106" s="105"/>
      <c r="AM106" s="108"/>
      <c r="AN106" s="105"/>
      <c r="AO106" s="108"/>
      <c r="AP106" s="108"/>
      <c r="AQ106" s="105"/>
      <c r="AR106" s="108"/>
      <c r="AS106" s="108"/>
      <c r="AT106" s="105"/>
      <c r="AU106" s="105"/>
      <c r="AV106" s="105"/>
      <c r="AW106" s="105"/>
      <c r="AX106" s="105"/>
      <c r="AY106" s="105"/>
      <c r="AZ106" s="105"/>
      <c r="BA106" s="105"/>
      <c r="BB106" s="105"/>
      <c r="BC106" s="105"/>
      <c r="BD106" s="108"/>
      <c r="BE106" s="83">
        <f>IF($A106="","",IF(TRIM($D106&amp;"")="",IF(TRIM($AX106&amp;$AY106&amp;$AZ106&amp;$BA106&amp;$BB106&amp;$BC106&amp;$BD106&amp;"")="","","SUBARRENDADO"),IFERROR(IF(VLOOKUP($D106,VEHICULOS!$A$3:$H$202,7,FALSE)="","",VLOOKUP($D106,VEHICULOS!$A$3:$H$202,7,FALSE)),"")))</f>
      </c>
      <c r="BF106" s="82">
        <f>IF($A106="","",IF(TRIM($BC106&amp;"")&lt;&gt;"",$BC106,IF(TRIM($D106&amp;"")="","",IFERROR(IF(VLOOKUP($D106,VEHICULOS!$A$3:$H$202,8,FALSE)="","",VLOOKUP($D106,VEHICULOS!$A$3:$H$202,8,FALSE)),""))))</f>
      </c>
      <c r="BG106" s="106"/>
      <c r="BH106" s="107"/>
      <c r="BI106" s="86">
        <f t="shared" si="15"/>
      </c>
      <c r="BJ106" s="83">
        <f t="shared" si="16"/>
      </c>
      <c r="BK106" s="85">
        <f t="shared" si="17"/>
      </c>
      <c r="BL106" s="85">
        <f t="shared" si="18"/>
      </c>
      <c r="BM106" s="108"/>
      <c r="BN106" s="85">
        <f t="shared" si="19"/>
      </c>
      <c r="BO106" s="108"/>
      <c r="BP106" s="85">
        <f t="shared" si="20"/>
      </c>
      <c r="BQ106" s="85">
        <f t="shared" si="21"/>
      </c>
      <c r="BR106" s="108"/>
      <c r="BS106" s="104"/>
      <c r="BT106" s="87">
        <f t="shared" si="22"/>
      </c>
      <c r="BU106" s="85">
        <f t="shared" si="23"/>
      </c>
      <c r="BV106" s="85">
        <f t="shared" si="24"/>
      </c>
      <c r="BW106" s="87">
        <f t="shared" si="25"/>
      </c>
      <c r="BX106" s="104"/>
      <c r="BY106" s="106"/>
      <c r="BZ106" s="104"/>
      <c r="CA106" s="105"/>
      <c r="CB106" s="77">
        <f>IF($A106="",0,IF($B106='FICHA CLIENTE'!$C$4,1,0))</f>
      </c>
      <c r="CC106" s="77">
        <f t="shared" si="26"/>
      </c>
      <c r="CD106" s="77">
        <f>IF($A106="",0,IF($D106='FICHA VEHICULO'!$C$4,1,0))</f>
      </c>
      <c r="CE106" s="77">
        <f t="shared" si="27"/>
      </c>
      <c r="CF106" s="77">
        <f t="shared" si="28"/>
      </c>
      <c r="CG106" s="77">
        <f t="shared" si="29"/>
      </c>
    </row>
    <row r="107" spans="1:85" ht="19.5" customHeight="1" x14ac:dyDescent="0.2">
      <c r="A107" s="104"/>
      <c r="B107" s="104"/>
      <c r="C107" s="105"/>
      <c r="D107" s="104"/>
      <c r="E107" s="105"/>
      <c r="F107" s="106"/>
      <c r="G107" s="104"/>
      <c r="H107" s="106"/>
      <c r="I107" s="107"/>
      <c r="J107" s="108"/>
      <c r="K107" s="108"/>
      <c r="L107" s="108"/>
      <c r="M107" s="105"/>
      <c r="N107" s="105"/>
      <c r="O107" s="105"/>
      <c r="P107" s="108"/>
      <c r="Q107" s="105"/>
      <c r="R107" s="105"/>
      <c r="S107" s="105"/>
      <c r="T107" s="105"/>
      <c r="U107" s="108"/>
      <c r="V107" s="105"/>
      <c r="W107" s="105"/>
      <c r="X107" s="105"/>
      <c r="Y107" s="105"/>
      <c r="Z107" s="105"/>
      <c r="AA107" s="108"/>
      <c r="AB107" s="108"/>
      <c r="AC107" s="105"/>
      <c r="AD107" s="279"/>
      <c r="AE107" s="105"/>
      <c r="AF107" s="279"/>
      <c r="AG107" s="105"/>
      <c r="AH107" s="108"/>
      <c r="AI107" s="108"/>
      <c r="AJ107" s="108"/>
      <c r="AK107" s="108"/>
      <c r="AL107" s="105"/>
      <c r="AM107" s="108"/>
      <c r="AN107" s="105"/>
      <c r="AO107" s="108"/>
      <c r="AP107" s="108"/>
      <c r="AQ107" s="105"/>
      <c r="AR107" s="108"/>
      <c r="AS107" s="108"/>
      <c r="AT107" s="105"/>
      <c r="AU107" s="105"/>
      <c r="AV107" s="105"/>
      <c r="AW107" s="105"/>
      <c r="AX107" s="105"/>
      <c r="AY107" s="105"/>
      <c r="AZ107" s="105"/>
      <c r="BA107" s="105"/>
      <c r="BB107" s="105"/>
      <c r="BC107" s="105"/>
      <c r="BD107" s="108"/>
      <c r="BE107" s="83">
        <f>IF($A107="","",IF(TRIM($D107&amp;"")="",IF(TRIM($AX107&amp;$AY107&amp;$AZ107&amp;$BA107&amp;$BB107&amp;$BC107&amp;$BD107&amp;"")="","","SUBARRENDADO"),IFERROR(IF(VLOOKUP($D107,VEHICULOS!$A$3:$H$202,7,FALSE)="","",VLOOKUP($D107,VEHICULOS!$A$3:$H$202,7,FALSE)),"")))</f>
      </c>
      <c r="BF107" s="82">
        <f>IF($A107="","",IF(TRIM($BC107&amp;"")&lt;&gt;"",$BC107,IF(TRIM($D107&amp;"")="","",IFERROR(IF(VLOOKUP($D107,VEHICULOS!$A$3:$H$202,8,FALSE)="","",VLOOKUP($D107,VEHICULOS!$A$3:$H$202,8,FALSE)),""))))</f>
      </c>
      <c r="BG107" s="106"/>
      <c r="BH107" s="107"/>
      <c r="BI107" s="86">
        <f t="shared" si="15"/>
      </c>
      <c r="BJ107" s="83">
        <f t="shared" si="16"/>
      </c>
      <c r="BK107" s="85">
        <f t="shared" si="17"/>
      </c>
      <c r="BL107" s="85">
        <f t="shared" si="18"/>
      </c>
      <c r="BM107" s="108"/>
      <c r="BN107" s="85">
        <f t="shared" si="19"/>
      </c>
      <c r="BO107" s="108"/>
      <c r="BP107" s="85">
        <f t="shared" si="20"/>
      </c>
      <c r="BQ107" s="85">
        <f t="shared" si="21"/>
      </c>
      <c r="BR107" s="108"/>
      <c r="BS107" s="104"/>
      <c r="BT107" s="87">
        <f t="shared" si="22"/>
      </c>
      <c r="BU107" s="85">
        <f t="shared" si="23"/>
      </c>
      <c r="BV107" s="85">
        <f t="shared" si="24"/>
      </c>
      <c r="BW107" s="87">
        <f t="shared" si="25"/>
      </c>
      <c r="BX107" s="104"/>
      <c r="BY107" s="106"/>
      <c r="BZ107" s="104"/>
      <c r="CA107" s="105"/>
      <c r="CB107" s="77">
        <f>IF($A107="",0,IF($B107='FICHA CLIENTE'!$C$4,1,0))</f>
      </c>
      <c r="CC107" s="77">
        <f t="shared" si="26"/>
      </c>
      <c r="CD107" s="77">
        <f>IF($A107="",0,IF($D107='FICHA VEHICULO'!$C$4,1,0))</f>
      </c>
      <c r="CE107" s="77">
        <f t="shared" si="27"/>
      </c>
      <c r="CF107" s="77">
        <f t="shared" si="28"/>
      </c>
      <c r="CG107" s="77">
        <f t="shared" si="29"/>
      </c>
    </row>
    <row r="108" spans="1:85" ht="19.5" customHeight="1" x14ac:dyDescent="0.2">
      <c r="A108" s="104"/>
      <c r="B108" s="104"/>
      <c r="C108" s="105"/>
      <c r="D108" s="104"/>
      <c r="E108" s="105"/>
      <c r="F108" s="106"/>
      <c r="G108" s="104"/>
      <c r="H108" s="106"/>
      <c r="I108" s="107"/>
      <c r="J108" s="108"/>
      <c r="K108" s="108"/>
      <c r="L108" s="108"/>
      <c r="M108" s="105"/>
      <c r="N108" s="105"/>
      <c r="O108" s="105"/>
      <c r="P108" s="108"/>
      <c r="Q108" s="105"/>
      <c r="R108" s="105"/>
      <c r="S108" s="105"/>
      <c r="T108" s="105"/>
      <c r="U108" s="108"/>
      <c r="V108" s="105"/>
      <c r="W108" s="105"/>
      <c r="X108" s="105"/>
      <c r="Y108" s="105"/>
      <c r="Z108" s="105"/>
      <c r="AA108" s="108"/>
      <c r="AB108" s="108"/>
      <c r="AC108" s="105"/>
      <c r="AD108" s="279"/>
      <c r="AE108" s="105"/>
      <c r="AF108" s="279"/>
      <c r="AG108" s="105"/>
      <c r="AH108" s="108"/>
      <c r="AI108" s="108"/>
      <c r="AJ108" s="108"/>
      <c r="AK108" s="108"/>
      <c r="AL108" s="105"/>
      <c r="AM108" s="108"/>
      <c r="AN108" s="105"/>
      <c r="AO108" s="108"/>
      <c r="AP108" s="108"/>
      <c r="AQ108" s="105"/>
      <c r="AR108" s="108"/>
      <c r="AS108" s="108"/>
      <c r="AT108" s="105"/>
      <c r="AU108" s="105"/>
      <c r="AV108" s="105"/>
      <c r="AW108" s="105"/>
      <c r="AX108" s="105"/>
      <c r="AY108" s="105"/>
      <c r="AZ108" s="105"/>
      <c r="BA108" s="105"/>
      <c r="BB108" s="105"/>
      <c r="BC108" s="105"/>
      <c r="BD108" s="108"/>
      <c r="BE108" s="83">
        <f>IF($A108="","",IF(TRIM($D108&amp;"")="",IF(TRIM($AX108&amp;$AY108&amp;$AZ108&amp;$BA108&amp;$BB108&amp;$BC108&amp;$BD108&amp;"")="","","SUBARRENDADO"),IFERROR(IF(VLOOKUP($D108,VEHICULOS!$A$3:$H$202,7,FALSE)="","",VLOOKUP($D108,VEHICULOS!$A$3:$H$202,7,FALSE)),"")))</f>
      </c>
      <c r="BF108" s="82">
        <f>IF($A108="","",IF(TRIM($BC108&amp;"")&lt;&gt;"",$BC108,IF(TRIM($D108&amp;"")="","",IFERROR(IF(VLOOKUP($D108,VEHICULOS!$A$3:$H$202,8,FALSE)="","",VLOOKUP($D108,VEHICULOS!$A$3:$H$202,8,FALSE)),""))))</f>
      </c>
      <c r="BG108" s="106"/>
      <c r="BH108" s="107"/>
      <c r="BI108" s="86">
        <f t="shared" si="15"/>
      </c>
      <c r="BJ108" s="83">
        <f t="shared" si="16"/>
      </c>
      <c r="BK108" s="85">
        <f t="shared" si="17"/>
      </c>
      <c r="BL108" s="85">
        <f t="shared" si="18"/>
      </c>
      <c r="BM108" s="108"/>
      <c r="BN108" s="85">
        <f t="shared" si="19"/>
      </c>
      <c r="BO108" s="108"/>
      <c r="BP108" s="85">
        <f t="shared" si="20"/>
      </c>
      <c r="BQ108" s="85">
        <f t="shared" si="21"/>
      </c>
      <c r="BR108" s="108"/>
      <c r="BS108" s="104"/>
      <c r="BT108" s="87">
        <f t="shared" si="22"/>
      </c>
      <c r="BU108" s="85">
        <f t="shared" si="23"/>
      </c>
      <c r="BV108" s="85">
        <f t="shared" si="24"/>
      </c>
      <c r="BW108" s="87">
        <f t="shared" si="25"/>
      </c>
      <c r="BX108" s="104"/>
      <c r="BY108" s="106"/>
      <c r="BZ108" s="104"/>
      <c r="CA108" s="105"/>
      <c r="CB108" s="77">
        <f>IF($A108="",0,IF($B108='FICHA CLIENTE'!$C$4,1,0))</f>
      </c>
      <c r="CC108" s="77">
        <f t="shared" si="26"/>
      </c>
      <c r="CD108" s="77">
        <f>IF($A108="",0,IF($D108='FICHA VEHICULO'!$C$4,1,0))</f>
      </c>
      <c r="CE108" s="77">
        <f t="shared" si="27"/>
      </c>
      <c r="CF108" s="77">
        <f t="shared" si="28"/>
      </c>
      <c r="CG108" s="77">
        <f t="shared" si="29"/>
      </c>
    </row>
    <row r="109" spans="1:85" ht="19.5" customHeight="1" x14ac:dyDescent="0.2">
      <c r="A109" s="104"/>
      <c r="B109" s="104"/>
      <c r="C109" s="105"/>
      <c r="D109" s="104"/>
      <c r="E109" s="105"/>
      <c r="F109" s="106"/>
      <c r="G109" s="104"/>
      <c r="H109" s="106"/>
      <c r="I109" s="107"/>
      <c r="J109" s="108"/>
      <c r="K109" s="108"/>
      <c r="L109" s="108"/>
      <c r="M109" s="105"/>
      <c r="N109" s="105"/>
      <c r="O109" s="105"/>
      <c r="P109" s="108"/>
      <c r="Q109" s="105"/>
      <c r="R109" s="105"/>
      <c r="S109" s="105"/>
      <c r="T109" s="105"/>
      <c r="U109" s="108"/>
      <c r="V109" s="105"/>
      <c r="W109" s="105"/>
      <c r="X109" s="105"/>
      <c r="Y109" s="105"/>
      <c r="Z109" s="105"/>
      <c r="AA109" s="108"/>
      <c r="AB109" s="108"/>
      <c r="AC109" s="105"/>
      <c r="AD109" s="279"/>
      <c r="AE109" s="105"/>
      <c r="AF109" s="279"/>
      <c r="AG109" s="105"/>
      <c r="AH109" s="108"/>
      <c r="AI109" s="108"/>
      <c r="AJ109" s="108"/>
      <c r="AK109" s="108"/>
      <c r="AL109" s="105"/>
      <c r="AM109" s="108"/>
      <c r="AN109" s="105"/>
      <c r="AO109" s="108"/>
      <c r="AP109" s="108"/>
      <c r="AQ109" s="105"/>
      <c r="AR109" s="108"/>
      <c r="AS109" s="108"/>
      <c r="AT109" s="105"/>
      <c r="AU109" s="105"/>
      <c r="AV109" s="105"/>
      <c r="AW109" s="105"/>
      <c r="AX109" s="105"/>
      <c r="AY109" s="105"/>
      <c r="AZ109" s="105"/>
      <c r="BA109" s="105"/>
      <c r="BB109" s="105"/>
      <c r="BC109" s="105"/>
      <c r="BD109" s="108"/>
      <c r="BE109" s="83">
        <f>IF($A109="","",IF(TRIM($D109&amp;"")="",IF(TRIM($AX109&amp;$AY109&amp;$AZ109&amp;$BA109&amp;$BB109&amp;$BC109&amp;$BD109&amp;"")="","","SUBARRENDADO"),IFERROR(IF(VLOOKUP($D109,VEHICULOS!$A$3:$H$202,7,FALSE)="","",VLOOKUP($D109,VEHICULOS!$A$3:$H$202,7,FALSE)),"")))</f>
      </c>
      <c r="BF109" s="82">
        <f>IF($A109="","",IF(TRIM($BC109&amp;"")&lt;&gt;"",$BC109,IF(TRIM($D109&amp;"")="","",IFERROR(IF(VLOOKUP($D109,VEHICULOS!$A$3:$H$202,8,FALSE)="","",VLOOKUP($D109,VEHICULOS!$A$3:$H$202,8,FALSE)),""))))</f>
      </c>
      <c r="BG109" s="106"/>
      <c r="BH109" s="107"/>
      <c r="BI109" s="86">
        <f t="shared" si="15"/>
      </c>
      <c r="BJ109" s="83">
        <f t="shared" si="16"/>
      </c>
      <c r="BK109" s="85">
        <f t="shared" si="17"/>
      </c>
      <c r="BL109" s="85">
        <f t="shared" si="18"/>
      </c>
      <c r="BM109" s="108"/>
      <c r="BN109" s="85">
        <f t="shared" si="19"/>
      </c>
      <c r="BO109" s="108"/>
      <c r="BP109" s="85">
        <f t="shared" si="20"/>
      </c>
      <c r="BQ109" s="85">
        <f t="shared" si="21"/>
      </c>
      <c r="BR109" s="108"/>
      <c r="BS109" s="104"/>
      <c r="BT109" s="87">
        <f t="shared" si="22"/>
      </c>
      <c r="BU109" s="85">
        <f t="shared" si="23"/>
      </c>
      <c r="BV109" s="85">
        <f t="shared" si="24"/>
      </c>
      <c r="BW109" s="87">
        <f t="shared" si="25"/>
      </c>
      <c r="BX109" s="104"/>
      <c r="BY109" s="106"/>
      <c r="BZ109" s="104"/>
      <c r="CA109" s="105"/>
      <c r="CB109" s="77">
        <f>IF($A109="",0,IF($B109='FICHA CLIENTE'!$C$4,1,0))</f>
      </c>
      <c r="CC109" s="77">
        <f t="shared" si="26"/>
      </c>
      <c r="CD109" s="77">
        <f>IF($A109="",0,IF($D109='FICHA VEHICULO'!$C$4,1,0))</f>
      </c>
      <c r="CE109" s="77">
        <f t="shared" si="27"/>
      </c>
      <c r="CF109" s="77">
        <f t="shared" si="28"/>
      </c>
      <c r="CG109" s="77">
        <f t="shared" si="29"/>
      </c>
    </row>
    <row r="110" spans="1:85" ht="19.5" customHeight="1" x14ac:dyDescent="0.2">
      <c r="A110" s="104"/>
      <c r="B110" s="104"/>
      <c r="C110" s="105"/>
      <c r="D110" s="104"/>
      <c r="E110" s="105"/>
      <c r="F110" s="106"/>
      <c r="G110" s="104"/>
      <c r="H110" s="106"/>
      <c r="I110" s="107"/>
      <c r="J110" s="108"/>
      <c r="K110" s="108"/>
      <c r="L110" s="108"/>
      <c r="M110" s="105"/>
      <c r="N110" s="105"/>
      <c r="O110" s="105"/>
      <c r="P110" s="108"/>
      <c r="Q110" s="105"/>
      <c r="R110" s="105"/>
      <c r="S110" s="105"/>
      <c r="T110" s="105"/>
      <c r="U110" s="108"/>
      <c r="V110" s="105"/>
      <c r="W110" s="105"/>
      <c r="X110" s="105"/>
      <c r="Y110" s="105"/>
      <c r="Z110" s="105"/>
      <c r="AA110" s="108"/>
      <c r="AB110" s="108"/>
      <c r="AC110" s="105"/>
      <c r="AD110" s="279"/>
      <c r="AE110" s="105"/>
      <c r="AF110" s="279"/>
      <c r="AG110" s="105"/>
      <c r="AH110" s="108"/>
      <c r="AI110" s="108"/>
      <c r="AJ110" s="108"/>
      <c r="AK110" s="108"/>
      <c r="AL110" s="105"/>
      <c r="AM110" s="108"/>
      <c r="AN110" s="105"/>
      <c r="AO110" s="108"/>
      <c r="AP110" s="108"/>
      <c r="AQ110" s="105"/>
      <c r="AR110" s="108"/>
      <c r="AS110" s="108"/>
      <c r="AT110" s="105"/>
      <c r="AU110" s="105"/>
      <c r="AV110" s="105"/>
      <c r="AW110" s="105"/>
      <c r="AX110" s="105"/>
      <c r="AY110" s="105"/>
      <c r="AZ110" s="105"/>
      <c r="BA110" s="105"/>
      <c r="BB110" s="105"/>
      <c r="BC110" s="105"/>
      <c r="BD110" s="108"/>
      <c r="BE110" s="83">
        <f>IF($A110="","",IF(TRIM($D110&amp;"")="",IF(TRIM($AX110&amp;$AY110&amp;$AZ110&amp;$BA110&amp;$BB110&amp;$BC110&amp;$BD110&amp;"")="","","SUBARRENDADO"),IFERROR(IF(VLOOKUP($D110,VEHICULOS!$A$3:$H$202,7,FALSE)="","",VLOOKUP($D110,VEHICULOS!$A$3:$H$202,7,FALSE)),"")))</f>
      </c>
      <c r="BF110" s="82">
        <f>IF($A110="","",IF(TRIM($BC110&amp;"")&lt;&gt;"",$BC110,IF(TRIM($D110&amp;"")="","",IFERROR(IF(VLOOKUP($D110,VEHICULOS!$A$3:$H$202,8,FALSE)="","",VLOOKUP($D110,VEHICULOS!$A$3:$H$202,8,FALSE)),""))))</f>
      </c>
      <c r="BG110" s="106"/>
      <c r="BH110" s="107"/>
      <c r="BI110" s="86">
        <f t="shared" si="15"/>
      </c>
      <c r="BJ110" s="83">
        <f t="shared" si="16"/>
      </c>
      <c r="BK110" s="85">
        <f t="shared" si="17"/>
      </c>
      <c r="BL110" s="85">
        <f t="shared" si="18"/>
      </c>
      <c r="BM110" s="108"/>
      <c r="BN110" s="85">
        <f t="shared" si="19"/>
      </c>
      <c r="BO110" s="108"/>
      <c r="BP110" s="85">
        <f t="shared" si="20"/>
      </c>
      <c r="BQ110" s="85">
        <f t="shared" si="21"/>
      </c>
      <c r="BR110" s="108"/>
      <c r="BS110" s="104"/>
      <c r="BT110" s="87">
        <f t="shared" si="22"/>
      </c>
      <c r="BU110" s="85">
        <f t="shared" si="23"/>
      </c>
      <c r="BV110" s="85">
        <f t="shared" si="24"/>
      </c>
      <c r="BW110" s="87">
        <f t="shared" si="25"/>
      </c>
      <c r="BX110" s="104"/>
      <c r="BY110" s="106"/>
      <c r="BZ110" s="104"/>
      <c r="CA110" s="105"/>
      <c r="CB110" s="77">
        <f>IF($A110="",0,IF($B110='FICHA CLIENTE'!$C$4,1,0))</f>
      </c>
      <c r="CC110" s="77">
        <f t="shared" si="26"/>
      </c>
      <c r="CD110" s="77">
        <f>IF($A110="",0,IF($D110='FICHA VEHICULO'!$C$4,1,0))</f>
      </c>
      <c r="CE110" s="77">
        <f t="shared" si="27"/>
      </c>
      <c r="CF110" s="77">
        <f t="shared" si="28"/>
      </c>
      <c r="CG110" s="77">
        <f t="shared" si="29"/>
      </c>
    </row>
    <row r="111" spans="1:85" ht="19.5" customHeight="1" x14ac:dyDescent="0.2">
      <c r="A111" s="104"/>
      <c r="B111" s="104"/>
      <c r="C111" s="105"/>
      <c r="D111" s="104"/>
      <c r="E111" s="105"/>
      <c r="F111" s="106"/>
      <c r="G111" s="104"/>
      <c r="H111" s="106"/>
      <c r="I111" s="107"/>
      <c r="J111" s="108"/>
      <c r="K111" s="108"/>
      <c r="L111" s="108"/>
      <c r="M111" s="105"/>
      <c r="N111" s="105"/>
      <c r="O111" s="105"/>
      <c r="P111" s="108"/>
      <c r="Q111" s="105"/>
      <c r="R111" s="105"/>
      <c r="S111" s="105"/>
      <c r="T111" s="105"/>
      <c r="U111" s="108"/>
      <c r="V111" s="105"/>
      <c r="W111" s="105"/>
      <c r="X111" s="105"/>
      <c r="Y111" s="105"/>
      <c r="Z111" s="105"/>
      <c r="AA111" s="108"/>
      <c r="AB111" s="108"/>
      <c r="AC111" s="105"/>
      <c r="AD111" s="279"/>
      <c r="AE111" s="105"/>
      <c r="AF111" s="279"/>
      <c r="AG111" s="105"/>
      <c r="AH111" s="108"/>
      <c r="AI111" s="108"/>
      <c r="AJ111" s="108"/>
      <c r="AK111" s="108"/>
      <c r="AL111" s="105"/>
      <c r="AM111" s="108"/>
      <c r="AN111" s="105"/>
      <c r="AO111" s="108"/>
      <c r="AP111" s="108"/>
      <c r="AQ111" s="105"/>
      <c r="AR111" s="108"/>
      <c r="AS111" s="108"/>
      <c r="AT111" s="105"/>
      <c r="AU111" s="105"/>
      <c r="AV111" s="105"/>
      <c r="AW111" s="105"/>
      <c r="AX111" s="105"/>
      <c r="AY111" s="105"/>
      <c r="AZ111" s="105"/>
      <c r="BA111" s="105"/>
      <c r="BB111" s="105"/>
      <c r="BC111" s="105"/>
      <c r="BD111" s="108"/>
      <c r="BE111" s="83">
        <f>IF($A111="","",IF(TRIM($D111&amp;"")="",IF(TRIM($AX111&amp;$AY111&amp;$AZ111&amp;$BA111&amp;$BB111&amp;$BC111&amp;$BD111&amp;"")="","","SUBARRENDADO"),IFERROR(IF(VLOOKUP($D111,VEHICULOS!$A$3:$H$202,7,FALSE)="","",VLOOKUP($D111,VEHICULOS!$A$3:$H$202,7,FALSE)),"")))</f>
      </c>
      <c r="BF111" s="82">
        <f>IF($A111="","",IF(TRIM($BC111&amp;"")&lt;&gt;"",$BC111,IF(TRIM($D111&amp;"")="","",IFERROR(IF(VLOOKUP($D111,VEHICULOS!$A$3:$H$202,8,FALSE)="","",VLOOKUP($D111,VEHICULOS!$A$3:$H$202,8,FALSE)),""))))</f>
      </c>
      <c r="BG111" s="106"/>
      <c r="BH111" s="107"/>
      <c r="BI111" s="86">
        <f t="shared" si="15"/>
      </c>
      <c r="BJ111" s="83">
        <f t="shared" si="16"/>
      </c>
      <c r="BK111" s="85">
        <f t="shared" si="17"/>
      </c>
      <c r="BL111" s="85">
        <f t="shared" si="18"/>
      </c>
      <c r="BM111" s="108"/>
      <c r="BN111" s="85">
        <f t="shared" si="19"/>
      </c>
      <c r="BO111" s="108"/>
      <c r="BP111" s="85">
        <f t="shared" si="20"/>
      </c>
      <c r="BQ111" s="85">
        <f t="shared" si="21"/>
      </c>
      <c r="BR111" s="108"/>
      <c r="BS111" s="104"/>
      <c r="BT111" s="87">
        <f t="shared" si="22"/>
      </c>
      <c r="BU111" s="85">
        <f t="shared" si="23"/>
      </c>
      <c r="BV111" s="85">
        <f t="shared" si="24"/>
      </c>
      <c r="BW111" s="87">
        <f t="shared" si="25"/>
      </c>
      <c r="BX111" s="104"/>
      <c r="BY111" s="106"/>
      <c r="BZ111" s="104"/>
      <c r="CA111" s="105"/>
      <c r="CB111" s="77">
        <f>IF($A111="",0,IF($B111='FICHA CLIENTE'!$C$4,1,0))</f>
      </c>
      <c r="CC111" s="77">
        <f t="shared" si="26"/>
      </c>
      <c r="CD111" s="77">
        <f>IF($A111="",0,IF($D111='FICHA VEHICULO'!$C$4,1,0))</f>
      </c>
      <c r="CE111" s="77">
        <f t="shared" si="27"/>
      </c>
      <c r="CF111" s="77">
        <f t="shared" si="28"/>
      </c>
      <c r="CG111" s="77">
        <f t="shared" si="29"/>
      </c>
    </row>
    <row r="112" spans="1:85" ht="19.5" customHeight="1" x14ac:dyDescent="0.2">
      <c r="A112" s="104"/>
      <c r="B112" s="104"/>
      <c r="C112" s="105"/>
      <c r="D112" s="104"/>
      <c r="E112" s="105"/>
      <c r="F112" s="106"/>
      <c r="G112" s="104"/>
      <c r="H112" s="106"/>
      <c r="I112" s="107"/>
      <c r="J112" s="108"/>
      <c r="K112" s="108"/>
      <c r="L112" s="108"/>
      <c r="M112" s="105"/>
      <c r="N112" s="105"/>
      <c r="O112" s="105"/>
      <c r="P112" s="108"/>
      <c r="Q112" s="105"/>
      <c r="R112" s="105"/>
      <c r="S112" s="105"/>
      <c r="T112" s="105"/>
      <c r="U112" s="108"/>
      <c r="V112" s="105"/>
      <c r="W112" s="105"/>
      <c r="X112" s="105"/>
      <c r="Y112" s="105"/>
      <c r="Z112" s="105"/>
      <c r="AA112" s="108"/>
      <c r="AB112" s="108"/>
      <c r="AC112" s="105"/>
      <c r="AD112" s="279"/>
      <c r="AE112" s="105"/>
      <c r="AF112" s="279"/>
      <c r="AG112" s="105"/>
      <c r="AH112" s="108"/>
      <c r="AI112" s="108"/>
      <c r="AJ112" s="108"/>
      <c r="AK112" s="108"/>
      <c r="AL112" s="105"/>
      <c r="AM112" s="108"/>
      <c r="AN112" s="105"/>
      <c r="AO112" s="108"/>
      <c r="AP112" s="108"/>
      <c r="AQ112" s="105"/>
      <c r="AR112" s="108"/>
      <c r="AS112" s="108"/>
      <c r="AT112" s="105"/>
      <c r="AU112" s="105"/>
      <c r="AV112" s="105"/>
      <c r="AW112" s="105"/>
      <c r="AX112" s="105"/>
      <c r="AY112" s="105"/>
      <c r="AZ112" s="105"/>
      <c r="BA112" s="105"/>
      <c r="BB112" s="105"/>
      <c r="BC112" s="105"/>
      <c r="BD112" s="108"/>
      <c r="BE112" s="83">
        <f>IF($A112="","",IF(TRIM($D112&amp;"")="",IF(TRIM($AX112&amp;$AY112&amp;$AZ112&amp;$BA112&amp;$BB112&amp;$BC112&amp;$BD112&amp;"")="","","SUBARRENDADO"),IFERROR(IF(VLOOKUP($D112,VEHICULOS!$A$3:$H$202,7,FALSE)="","",VLOOKUP($D112,VEHICULOS!$A$3:$H$202,7,FALSE)),"")))</f>
      </c>
      <c r="BF112" s="82">
        <f>IF($A112="","",IF(TRIM($BC112&amp;"")&lt;&gt;"",$BC112,IF(TRIM($D112&amp;"")="","",IFERROR(IF(VLOOKUP($D112,VEHICULOS!$A$3:$H$202,8,FALSE)="","",VLOOKUP($D112,VEHICULOS!$A$3:$H$202,8,FALSE)),""))))</f>
      </c>
      <c r="BG112" s="106"/>
      <c r="BH112" s="107"/>
      <c r="BI112" s="86">
        <f t="shared" si="15"/>
      </c>
      <c r="BJ112" s="83">
        <f t="shared" si="16"/>
      </c>
      <c r="BK112" s="85">
        <f t="shared" si="17"/>
      </c>
      <c r="BL112" s="85">
        <f t="shared" si="18"/>
      </c>
      <c r="BM112" s="108"/>
      <c r="BN112" s="85">
        <f t="shared" si="19"/>
      </c>
      <c r="BO112" s="108"/>
      <c r="BP112" s="85">
        <f t="shared" si="20"/>
      </c>
      <c r="BQ112" s="85">
        <f t="shared" si="21"/>
      </c>
      <c r="BR112" s="108"/>
      <c r="BS112" s="104"/>
      <c r="BT112" s="87">
        <f t="shared" si="22"/>
      </c>
      <c r="BU112" s="85">
        <f t="shared" si="23"/>
      </c>
      <c r="BV112" s="85">
        <f t="shared" si="24"/>
      </c>
      <c r="BW112" s="87">
        <f t="shared" si="25"/>
      </c>
      <c r="BX112" s="104"/>
      <c r="BY112" s="106"/>
      <c r="BZ112" s="104"/>
      <c r="CA112" s="105"/>
      <c r="CB112" s="77">
        <f>IF($A112="",0,IF($B112='FICHA CLIENTE'!$C$4,1,0))</f>
      </c>
      <c r="CC112" s="77">
        <f t="shared" si="26"/>
      </c>
      <c r="CD112" s="77">
        <f>IF($A112="",0,IF($D112='FICHA VEHICULO'!$C$4,1,0))</f>
      </c>
      <c r="CE112" s="77">
        <f t="shared" si="27"/>
      </c>
      <c r="CF112" s="77">
        <f t="shared" si="28"/>
      </c>
      <c r="CG112" s="77">
        <f t="shared" si="29"/>
      </c>
    </row>
    <row r="113" spans="1:85" ht="19.5" customHeight="1" x14ac:dyDescent="0.2">
      <c r="A113" s="104"/>
      <c r="B113" s="104"/>
      <c r="C113" s="105"/>
      <c r="D113" s="104"/>
      <c r="E113" s="105"/>
      <c r="F113" s="106"/>
      <c r="G113" s="104"/>
      <c r="H113" s="106"/>
      <c r="I113" s="107"/>
      <c r="J113" s="108"/>
      <c r="K113" s="108"/>
      <c r="L113" s="108"/>
      <c r="M113" s="105"/>
      <c r="N113" s="105"/>
      <c r="O113" s="105"/>
      <c r="P113" s="108"/>
      <c r="Q113" s="105"/>
      <c r="R113" s="105"/>
      <c r="S113" s="105"/>
      <c r="T113" s="105"/>
      <c r="U113" s="108"/>
      <c r="V113" s="105"/>
      <c r="W113" s="105"/>
      <c r="X113" s="105"/>
      <c r="Y113" s="105"/>
      <c r="Z113" s="105"/>
      <c r="AA113" s="108"/>
      <c r="AB113" s="108"/>
      <c r="AC113" s="105"/>
      <c r="AD113" s="279"/>
      <c r="AE113" s="105"/>
      <c r="AF113" s="279"/>
      <c r="AG113" s="105"/>
      <c r="AH113" s="108"/>
      <c r="AI113" s="108"/>
      <c r="AJ113" s="108"/>
      <c r="AK113" s="108"/>
      <c r="AL113" s="105"/>
      <c r="AM113" s="108"/>
      <c r="AN113" s="105"/>
      <c r="AO113" s="108"/>
      <c r="AP113" s="108"/>
      <c r="AQ113" s="105"/>
      <c r="AR113" s="108"/>
      <c r="AS113" s="108"/>
      <c r="AT113" s="105"/>
      <c r="AU113" s="105"/>
      <c r="AV113" s="105"/>
      <c r="AW113" s="105"/>
      <c r="AX113" s="105"/>
      <c r="AY113" s="105"/>
      <c r="AZ113" s="105"/>
      <c r="BA113" s="105"/>
      <c r="BB113" s="105"/>
      <c r="BC113" s="105"/>
      <c r="BD113" s="108"/>
      <c r="BE113" s="83">
        <f>IF($A113="","",IF(TRIM($D113&amp;"")="",IF(TRIM($AX113&amp;$AY113&amp;$AZ113&amp;$BA113&amp;$BB113&amp;$BC113&amp;$BD113&amp;"")="","","SUBARRENDADO"),IFERROR(IF(VLOOKUP($D113,VEHICULOS!$A$3:$H$202,7,FALSE)="","",VLOOKUP($D113,VEHICULOS!$A$3:$H$202,7,FALSE)),"")))</f>
      </c>
      <c r="BF113" s="82">
        <f>IF($A113="","",IF(TRIM($BC113&amp;"")&lt;&gt;"",$BC113,IF(TRIM($D113&amp;"")="","",IFERROR(IF(VLOOKUP($D113,VEHICULOS!$A$3:$H$202,8,FALSE)="","",VLOOKUP($D113,VEHICULOS!$A$3:$H$202,8,FALSE)),""))))</f>
      </c>
      <c r="BG113" s="106"/>
      <c r="BH113" s="107"/>
      <c r="BI113" s="86">
        <f t="shared" si="15"/>
      </c>
      <c r="BJ113" s="83">
        <f t="shared" si="16"/>
      </c>
      <c r="BK113" s="85">
        <f t="shared" si="17"/>
      </c>
      <c r="BL113" s="85">
        <f t="shared" si="18"/>
      </c>
      <c r="BM113" s="108"/>
      <c r="BN113" s="85">
        <f t="shared" si="19"/>
      </c>
      <c r="BO113" s="108"/>
      <c r="BP113" s="85">
        <f t="shared" si="20"/>
      </c>
      <c r="BQ113" s="85">
        <f t="shared" si="21"/>
      </c>
      <c r="BR113" s="108"/>
      <c r="BS113" s="104"/>
      <c r="BT113" s="87">
        <f t="shared" si="22"/>
      </c>
      <c r="BU113" s="85">
        <f t="shared" si="23"/>
      </c>
      <c r="BV113" s="85">
        <f t="shared" si="24"/>
      </c>
      <c r="BW113" s="87">
        <f t="shared" si="25"/>
      </c>
      <c r="BX113" s="104"/>
      <c r="BY113" s="106"/>
      <c r="BZ113" s="104"/>
      <c r="CA113" s="105"/>
      <c r="CB113" s="77">
        <f>IF($A113="",0,IF($B113='FICHA CLIENTE'!$C$4,1,0))</f>
      </c>
      <c r="CC113" s="77">
        <f t="shared" si="26"/>
      </c>
      <c r="CD113" s="77">
        <f>IF($A113="",0,IF($D113='FICHA VEHICULO'!$C$4,1,0))</f>
      </c>
      <c r="CE113" s="77">
        <f t="shared" si="27"/>
      </c>
      <c r="CF113" s="77">
        <f t="shared" si="28"/>
      </c>
      <c r="CG113" s="77">
        <f t="shared" si="29"/>
      </c>
    </row>
    <row r="114" spans="1:85" ht="19.5" customHeight="1" x14ac:dyDescent="0.2">
      <c r="A114" s="104"/>
      <c r="B114" s="104"/>
      <c r="C114" s="105"/>
      <c r="D114" s="104"/>
      <c r="E114" s="105"/>
      <c r="F114" s="106"/>
      <c r="G114" s="104"/>
      <c r="H114" s="106"/>
      <c r="I114" s="107"/>
      <c r="J114" s="108"/>
      <c r="K114" s="108"/>
      <c r="L114" s="108"/>
      <c r="M114" s="105"/>
      <c r="N114" s="105"/>
      <c r="O114" s="105"/>
      <c r="P114" s="108"/>
      <c r="Q114" s="105"/>
      <c r="R114" s="105"/>
      <c r="S114" s="105"/>
      <c r="T114" s="105"/>
      <c r="U114" s="108"/>
      <c r="V114" s="105"/>
      <c r="W114" s="105"/>
      <c r="X114" s="105"/>
      <c r="Y114" s="105"/>
      <c r="Z114" s="105"/>
      <c r="AA114" s="108"/>
      <c r="AB114" s="108"/>
      <c r="AC114" s="105"/>
      <c r="AD114" s="279"/>
      <c r="AE114" s="105"/>
      <c r="AF114" s="279"/>
      <c r="AG114" s="105"/>
      <c r="AH114" s="108"/>
      <c r="AI114" s="108"/>
      <c r="AJ114" s="108"/>
      <c r="AK114" s="108"/>
      <c r="AL114" s="105"/>
      <c r="AM114" s="108"/>
      <c r="AN114" s="105"/>
      <c r="AO114" s="108"/>
      <c r="AP114" s="108"/>
      <c r="AQ114" s="105"/>
      <c r="AR114" s="108"/>
      <c r="AS114" s="108"/>
      <c r="AT114" s="105"/>
      <c r="AU114" s="105"/>
      <c r="AV114" s="105"/>
      <c r="AW114" s="105"/>
      <c r="AX114" s="105"/>
      <c r="AY114" s="105"/>
      <c r="AZ114" s="105"/>
      <c r="BA114" s="105"/>
      <c r="BB114" s="105"/>
      <c r="BC114" s="105"/>
      <c r="BD114" s="108"/>
      <c r="BE114" s="83">
        <f>IF($A114="","",IF(TRIM($D114&amp;"")="",IF(TRIM($AX114&amp;$AY114&amp;$AZ114&amp;$BA114&amp;$BB114&amp;$BC114&amp;$BD114&amp;"")="","","SUBARRENDADO"),IFERROR(IF(VLOOKUP($D114,VEHICULOS!$A$3:$H$202,7,FALSE)="","",VLOOKUP($D114,VEHICULOS!$A$3:$H$202,7,FALSE)),"")))</f>
      </c>
      <c r="BF114" s="82">
        <f>IF($A114="","",IF(TRIM($BC114&amp;"")&lt;&gt;"",$BC114,IF(TRIM($D114&amp;"")="","",IFERROR(IF(VLOOKUP($D114,VEHICULOS!$A$3:$H$202,8,FALSE)="","",VLOOKUP($D114,VEHICULOS!$A$3:$H$202,8,FALSE)),""))))</f>
      </c>
      <c r="BG114" s="106"/>
      <c r="BH114" s="107"/>
      <c r="BI114" s="86">
        <f t="shared" si="15"/>
      </c>
      <c r="BJ114" s="83">
        <f t="shared" si="16"/>
      </c>
      <c r="BK114" s="85">
        <f t="shared" si="17"/>
      </c>
      <c r="BL114" s="85">
        <f t="shared" si="18"/>
      </c>
      <c r="BM114" s="108"/>
      <c r="BN114" s="85">
        <f t="shared" si="19"/>
      </c>
      <c r="BO114" s="108"/>
      <c r="BP114" s="85">
        <f t="shared" si="20"/>
      </c>
      <c r="BQ114" s="85">
        <f t="shared" si="21"/>
      </c>
      <c r="BR114" s="108"/>
      <c r="BS114" s="104"/>
      <c r="BT114" s="87">
        <f t="shared" si="22"/>
      </c>
      <c r="BU114" s="85">
        <f t="shared" si="23"/>
      </c>
      <c r="BV114" s="85">
        <f t="shared" si="24"/>
      </c>
      <c r="BW114" s="87">
        <f t="shared" si="25"/>
      </c>
      <c r="BX114" s="104"/>
      <c r="BY114" s="106"/>
      <c r="BZ114" s="104"/>
      <c r="CA114" s="105"/>
      <c r="CB114" s="77">
        <f>IF($A114="",0,IF($B114='FICHA CLIENTE'!$C$4,1,0))</f>
      </c>
      <c r="CC114" s="77">
        <f t="shared" si="26"/>
      </c>
      <c r="CD114" s="77">
        <f>IF($A114="",0,IF($D114='FICHA VEHICULO'!$C$4,1,0))</f>
      </c>
      <c r="CE114" s="77">
        <f t="shared" si="27"/>
      </c>
      <c r="CF114" s="77">
        <f t="shared" si="28"/>
      </c>
      <c r="CG114" s="77">
        <f t="shared" si="29"/>
      </c>
    </row>
    <row r="115" spans="1:85" ht="19.5" customHeight="1" x14ac:dyDescent="0.2">
      <c r="A115" s="104"/>
      <c r="B115" s="104"/>
      <c r="C115" s="105"/>
      <c r="D115" s="104"/>
      <c r="E115" s="105"/>
      <c r="F115" s="106"/>
      <c r="G115" s="104"/>
      <c r="H115" s="106"/>
      <c r="I115" s="107"/>
      <c r="J115" s="108"/>
      <c r="K115" s="108"/>
      <c r="L115" s="108"/>
      <c r="M115" s="105"/>
      <c r="N115" s="105"/>
      <c r="O115" s="105"/>
      <c r="P115" s="108"/>
      <c r="Q115" s="105"/>
      <c r="R115" s="105"/>
      <c r="S115" s="105"/>
      <c r="T115" s="105"/>
      <c r="U115" s="108"/>
      <c r="V115" s="105"/>
      <c r="W115" s="105"/>
      <c r="X115" s="105"/>
      <c r="Y115" s="105"/>
      <c r="Z115" s="105"/>
      <c r="AA115" s="108"/>
      <c r="AB115" s="108"/>
      <c r="AC115" s="105"/>
      <c r="AD115" s="279"/>
      <c r="AE115" s="105"/>
      <c r="AF115" s="279"/>
      <c r="AG115" s="105"/>
      <c r="AH115" s="108"/>
      <c r="AI115" s="108"/>
      <c r="AJ115" s="108"/>
      <c r="AK115" s="108"/>
      <c r="AL115" s="105"/>
      <c r="AM115" s="108"/>
      <c r="AN115" s="105"/>
      <c r="AO115" s="108"/>
      <c r="AP115" s="108"/>
      <c r="AQ115" s="105"/>
      <c r="AR115" s="108"/>
      <c r="AS115" s="108"/>
      <c r="AT115" s="105"/>
      <c r="AU115" s="105"/>
      <c r="AV115" s="105"/>
      <c r="AW115" s="105"/>
      <c r="AX115" s="105"/>
      <c r="AY115" s="105"/>
      <c r="AZ115" s="105"/>
      <c r="BA115" s="105"/>
      <c r="BB115" s="105"/>
      <c r="BC115" s="105"/>
      <c r="BD115" s="108"/>
      <c r="BE115" s="83">
        <f>IF($A115="","",IF(TRIM($D115&amp;"")="",IF(TRIM($AX115&amp;$AY115&amp;$AZ115&amp;$BA115&amp;$BB115&amp;$BC115&amp;$BD115&amp;"")="","","SUBARRENDADO"),IFERROR(IF(VLOOKUP($D115,VEHICULOS!$A$3:$H$202,7,FALSE)="","",VLOOKUP($D115,VEHICULOS!$A$3:$H$202,7,FALSE)),"")))</f>
      </c>
      <c r="BF115" s="82">
        <f>IF($A115="","",IF(TRIM($BC115&amp;"")&lt;&gt;"",$BC115,IF(TRIM($D115&amp;"")="","",IFERROR(IF(VLOOKUP($D115,VEHICULOS!$A$3:$H$202,8,FALSE)="","",VLOOKUP($D115,VEHICULOS!$A$3:$H$202,8,FALSE)),""))))</f>
      </c>
      <c r="BG115" s="106"/>
      <c r="BH115" s="107"/>
      <c r="BI115" s="86">
        <f t="shared" si="15"/>
      </c>
      <c r="BJ115" s="83">
        <f t="shared" si="16"/>
      </c>
      <c r="BK115" s="85">
        <f t="shared" si="17"/>
      </c>
      <c r="BL115" s="85">
        <f t="shared" si="18"/>
      </c>
      <c r="BM115" s="108"/>
      <c r="BN115" s="85">
        <f t="shared" si="19"/>
      </c>
      <c r="BO115" s="108"/>
      <c r="BP115" s="85">
        <f t="shared" si="20"/>
      </c>
      <c r="BQ115" s="85">
        <f t="shared" si="21"/>
      </c>
      <c r="BR115" s="108"/>
      <c r="BS115" s="104"/>
      <c r="BT115" s="87">
        <f t="shared" si="22"/>
      </c>
      <c r="BU115" s="85">
        <f t="shared" si="23"/>
      </c>
      <c r="BV115" s="85">
        <f t="shared" si="24"/>
      </c>
      <c r="BW115" s="87">
        <f t="shared" si="25"/>
      </c>
      <c r="BX115" s="104"/>
      <c r="BY115" s="106"/>
      <c r="BZ115" s="104"/>
      <c r="CA115" s="105"/>
      <c r="CB115" s="77">
        <f>IF($A115="",0,IF($B115='FICHA CLIENTE'!$C$4,1,0))</f>
      </c>
      <c r="CC115" s="77">
        <f t="shared" si="26"/>
      </c>
      <c r="CD115" s="77">
        <f>IF($A115="",0,IF($D115='FICHA VEHICULO'!$C$4,1,0))</f>
      </c>
      <c r="CE115" s="77">
        <f t="shared" si="27"/>
      </c>
      <c r="CF115" s="77">
        <f t="shared" si="28"/>
      </c>
      <c r="CG115" s="77">
        <f t="shared" si="29"/>
      </c>
    </row>
    <row r="116" spans="1:85" ht="19.5" customHeight="1" x14ac:dyDescent="0.2">
      <c r="A116" s="104"/>
      <c r="B116" s="104"/>
      <c r="C116" s="105"/>
      <c r="D116" s="104"/>
      <c r="E116" s="105"/>
      <c r="F116" s="106"/>
      <c r="G116" s="104"/>
      <c r="H116" s="106"/>
      <c r="I116" s="107"/>
      <c r="J116" s="108"/>
      <c r="K116" s="108"/>
      <c r="L116" s="108"/>
      <c r="M116" s="105"/>
      <c r="N116" s="105"/>
      <c r="O116" s="105"/>
      <c r="P116" s="108"/>
      <c r="Q116" s="105"/>
      <c r="R116" s="105"/>
      <c r="S116" s="105"/>
      <c r="T116" s="105"/>
      <c r="U116" s="108"/>
      <c r="V116" s="105"/>
      <c r="W116" s="105"/>
      <c r="X116" s="105"/>
      <c r="Y116" s="105"/>
      <c r="Z116" s="105"/>
      <c r="AA116" s="108"/>
      <c r="AB116" s="108"/>
      <c r="AC116" s="105"/>
      <c r="AD116" s="279"/>
      <c r="AE116" s="105"/>
      <c r="AF116" s="279"/>
      <c r="AG116" s="105"/>
      <c r="AH116" s="108"/>
      <c r="AI116" s="108"/>
      <c r="AJ116" s="108"/>
      <c r="AK116" s="108"/>
      <c r="AL116" s="105"/>
      <c r="AM116" s="108"/>
      <c r="AN116" s="105"/>
      <c r="AO116" s="108"/>
      <c r="AP116" s="108"/>
      <c r="AQ116" s="105"/>
      <c r="AR116" s="108"/>
      <c r="AS116" s="108"/>
      <c r="AT116" s="105"/>
      <c r="AU116" s="105"/>
      <c r="AV116" s="105"/>
      <c r="AW116" s="105"/>
      <c r="AX116" s="105"/>
      <c r="AY116" s="105"/>
      <c r="AZ116" s="105"/>
      <c r="BA116" s="105"/>
      <c r="BB116" s="105"/>
      <c r="BC116" s="105"/>
      <c r="BD116" s="108"/>
      <c r="BE116" s="83">
        <f>IF($A116="","",IF(TRIM($D116&amp;"")="",IF(TRIM($AX116&amp;$AY116&amp;$AZ116&amp;$BA116&amp;$BB116&amp;$BC116&amp;$BD116&amp;"")="","","SUBARRENDADO"),IFERROR(IF(VLOOKUP($D116,VEHICULOS!$A$3:$H$202,7,FALSE)="","",VLOOKUP($D116,VEHICULOS!$A$3:$H$202,7,FALSE)),"")))</f>
      </c>
      <c r="BF116" s="82">
        <f>IF($A116="","",IF(TRIM($BC116&amp;"")&lt;&gt;"",$BC116,IF(TRIM($D116&amp;"")="","",IFERROR(IF(VLOOKUP($D116,VEHICULOS!$A$3:$H$202,8,FALSE)="","",VLOOKUP($D116,VEHICULOS!$A$3:$H$202,8,FALSE)),""))))</f>
      </c>
      <c r="BG116" s="106"/>
      <c r="BH116" s="107"/>
      <c r="BI116" s="86">
        <f t="shared" si="15"/>
      </c>
      <c r="BJ116" s="83">
        <f t="shared" si="16"/>
      </c>
      <c r="BK116" s="85">
        <f t="shared" si="17"/>
      </c>
      <c r="BL116" s="85">
        <f t="shared" si="18"/>
      </c>
      <c r="BM116" s="108"/>
      <c r="BN116" s="85">
        <f t="shared" si="19"/>
      </c>
      <c r="BO116" s="108"/>
      <c r="BP116" s="85">
        <f t="shared" si="20"/>
      </c>
      <c r="BQ116" s="85">
        <f t="shared" si="21"/>
      </c>
      <c r="BR116" s="108"/>
      <c r="BS116" s="104"/>
      <c r="BT116" s="87">
        <f t="shared" si="22"/>
      </c>
      <c r="BU116" s="85">
        <f t="shared" si="23"/>
      </c>
      <c r="BV116" s="85">
        <f t="shared" si="24"/>
      </c>
      <c r="BW116" s="87">
        <f t="shared" si="25"/>
      </c>
      <c r="BX116" s="104"/>
      <c r="BY116" s="106"/>
      <c r="BZ116" s="104"/>
      <c r="CA116" s="105"/>
      <c r="CB116" s="77">
        <f>IF($A116="",0,IF($B116='FICHA CLIENTE'!$C$4,1,0))</f>
      </c>
      <c r="CC116" s="77">
        <f t="shared" si="26"/>
      </c>
      <c r="CD116" s="77">
        <f>IF($A116="",0,IF($D116='FICHA VEHICULO'!$C$4,1,0))</f>
      </c>
      <c r="CE116" s="77">
        <f t="shared" si="27"/>
      </c>
      <c r="CF116" s="77">
        <f t="shared" si="28"/>
      </c>
      <c r="CG116" s="77">
        <f t="shared" si="29"/>
      </c>
    </row>
    <row r="117" spans="1:85" ht="19.5" customHeight="1" x14ac:dyDescent="0.2">
      <c r="A117" s="104"/>
      <c r="B117" s="104"/>
      <c r="C117" s="105"/>
      <c r="D117" s="104"/>
      <c r="E117" s="105"/>
      <c r="F117" s="106"/>
      <c r="G117" s="104"/>
      <c r="H117" s="106"/>
      <c r="I117" s="107"/>
      <c r="J117" s="108"/>
      <c r="K117" s="108"/>
      <c r="L117" s="108"/>
      <c r="M117" s="105"/>
      <c r="N117" s="105"/>
      <c r="O117" s="105"/>
      <c r="P117" s="108"/>
      <c r="Q117" s="105"/>
      <c r="R117" s="105"/>
      <c r="S117" s="105"/>
      <c r="T117" s="105"/>
      <c r="U117" s="108"/>
      <c r="V117" s="105"/>
      <c r="W117" s="105"/>
      <c r="X117" s="105"/>
      <c r="Y117" s="105"/>
      <c r="Z117" s="105"/>
      <c r="AA117" s="108"/>
      <c r="AB117" s="108"/>
      <c r="AC117" s="105"/>
      <c r="AD117" s="279"/>
      <c r="AE117" s="105"/>
      <c r="AF117" s="279"/>
      <c r="AG117" s="105"/>
      <c r="AH117" s="108"/>
      <c r="AI117" s="108"/>
      <c r="AJ117" s="108"/>
      <c r="AK117" s="108"/>
      <c r="AL117" s="105"/>
      <c r="AM117" s="108"/>
      <c r="AN117" s="105"/>
      <c r="AO117" s="108"/>
      <c r="AP117" s="108"/>
      <c r="AQ117" s="105"/>
      <c r="AR117" s="108"/>
      <c r="AS117" s="108"/>
      <c r="AT117" s="105"/>
      <c r="AU117" s="105"/>
      <c r="AV117" s="105"/>
      <c r="AW117" s="105"/>
      <c r="AX117" s="105"/>
      <c r="AY117" s="105"/>
      <c r="AZ117" s="105"/>
      <c r="BA117" s="105"/>
      <c r="BB117" s="105"/>
      <c r="BC117" s="105"/>
      <c r="BD117" s="108"/>
      <c r="BE117" s="83">
        <f>IF($A117="","",IF(TRIM($D117&amp;"")="",IF(TRIM($AX117&amp;$AY117&amp;$AZ117&amp;$BA117&amp;$BB117&amp;$BC117&amp;$BD117&amp;"")="","","SUBARRENDADO"),IFERROR(IF(VLOOKUP($D117,VEHICULOS!$A$3:$H$202,7,FALSE)="","",VLOOKUP($D117,VEHICULOS!$A$3:$H$202,7,FALSE)),"")))</f>
      </c>
      <c r="BF117" s="82">
        <f>IF($A117="","",IF(TRIM($BC117&amp;"")&lt;&gt;"",$BC117,IF(TRIM($D117&amp;"")="","",IFERROR(IF(VLOOKUP($D117,VEHICULOS!$A$3:$H$202,8,FALSE)="","",VLOOKUP($D117,VEHICULOS!$A$3:$H$202,8,FALSE)),""))))</f>
      </c>
      <c r="BG117" s="106"/>
      <c r="BH117" s="107"/>
      <c r="BI117" s="86">
        <f t="shared" si="15"/>
      </c>
      <c r="BJ117" s="83">
        <f t="shared" si="16"/>
      </c>
      <c r="BK117" s="85">
        <f t="shared" si="17"/>
      </c>
      <c r="BL117" s="85">
        <f t="shared" si="18"/>
      </c>
      <c r="BM117" s="108"/>
      <c r="BN117" s="85">
        <f t="shared" si="19"/>
      </c>
      <c r="BO117" s="108"/>
      <c r="BP117" s="85">
        <f t="shared" si="20"/>
      </c>
      <c r="BQ117" s="85">
        <f t="shared" si="21"/>
      </c>
      <c r="BR117" s="108"/>
      <c r="BS117" s="104"/>
      <c r="BT117" s="87">
        <f t="shared" si="22"/>
      </c>
      <c r="BU117" s="85">
        <f t="shared" si="23"/>
      </c>
      <c r="BV117" s="85">
        <f t="shared" si="24"/>
      </c>
      <c r="BW117" s="87">
        <f t="shared" si="25"/>
      </c>
      <c r="BX117" s="104"/>
      <c r="BY117" s="106"/>
      <c r="BZ117" s="104"/>
      <c r="CA117" s="105"/>
      <c r="CB117" s="77">
        <f>IF($A117="",0,IF($B117='FICHA CLIENTE'!$C$4,1,0))</f>
      </c>
      <c r="CC117" s="77">
        <f t="shared" si="26"/>
      </c>
      <c r="CD117" s="77">
        <f>IF($A117="",0,IF($D117='FICHA VEHICULO'!$C$4,1,0))</f>
      </c>
      <c r="CE117" s="77">
        <f t="shared" si="27"/>
      </c>
      <c r="CF117" s="77">
        <f t="shared" si="28"/>
      </c>
      <c r="CG117" s="77">
        <f t="shared" si="29"/>
      </c>
    </row>
    <row r="118" spans="1:85" ht="19.5" customHeight="1" x14ac:dyDescent="0.2">
      <c r="A118" s="104"/>
      <c r="B118" s="104"/>
      <c r="C118" s="105"/>
      <c r="D118" s="104"/>
      <c r="E118" s="105"/>
      <c r="F118" s="106"/>
      <c r="G118" s="104"/>
      <c r="H118" s="106"/>
      <c r="I118" s="107"/>
      <c r="J118" s="108"/>
      <c r="K118" s="108"/>
      <c r="L118" s="108"/>
      <c r="M118" s="105"/>
      <c r="N118" s="105"/>
      <c r="O118" s="105"/>
      <c r="P118" s="108"/>
      <c r="Q118" s="105"/>
      <c r="R118" s="105"/>
      <c r="S118" s="105"/>
      <c r="T118" s="105"/>
      <c r="U118" s="108"/>
      <c r="V118" s="105"/>
      <c r="W118" s="105"/>
      <c r="X118" s="105"/>
      <c r="Y118" s="105"/>
      <c r="Z118" s="105"/>
      <c r="AA118" s="108"/>
      <c r="AB118" s="108"/>
      <c r="AC118" s="105"/>
      <c r="AD118" s="279"/>
      <c r="AE118" s="105"/>
      <c r="AF118" s="279"/>
      <c r="AG118" s="105"/>
      <c r="AH118" s="108"/>
      <c r="AI118" s="108"/>
      <c r="AJ118" s="108"/>
      <c r="AK118" s="108"/>
      <c r="AL118" s="105"/>
      <c r="AM118" s="108"/>
      <c r="AN118" s="105"/>
      <c r="AO118" s="108"/>
      <c r="AP118" s="108"/>
      <c r="AQ118" s="105"/>
      <c r="AR118" s="108"/>
      <c r="AS118" s="108"/>
      <c r="AT118" s="105"/>
      <c r="AU118" s="105"/>
      <c r="AV118" s="105"/>
      <c r="AW118" s="105"/>
      <c r="AX118" s="105"/>
      <c r="AY118" s="105"/>
      <c r="AZ118" s="105"/>
      <c r="BA118" s="105"/>
      <c r="BB118" s="105"/>
      <c r="BC118" s="105"/>
      <c r="BD118" s="108"/>
      <c r="BE118" s="83">
        <f>IF($A118="","",IF(TRIM($D118&amp;"")="",IF(TRIM($AX118&amp;$AY118&amp;$AZ118&amp;$BA118&amp;$BB118&amp;$BC118&amp;$BD118&amp;"")="","","SUBARRENDADO"),IFERROR(IF(VLOOKUP($D118,VEHICULOS!$A$3:$H$202,7,FALSE)="","",VLOOKUP($D118,VEHICULOS!$A$3:$H$202,7,FALSE)),"")))</f>
      </c>
      <c r="BF118" s="82">
        <f>IF($A118="","",IF(TRIM($BC118&amp;"")&lt;&gt;"",$BC118,IF(TRIM($D118&amp;"")="","",IFERROR(IF(VLOOKUP($D118,VEHICULOS!$A$3:$H$202,8,FALSE)="","",VLOOKUP($D118,VEHICULOS!$A$3:$H$202,8,FALSE)),""))))</f>
      </c>
      <c r="BG118" s="106"/>
      <c r="BH118" s="107"/>
      <c r="BI118" s="86">
        <f t="shared" si="15"/>
      </c>
      <c r="BJ118" s="83">
        <f t="shared" si="16"/>
      </c>
      <c r="BK118" s="85">
        <f t="shared" si="17"/>
      </c>
      <c r="BL118" s="85">
        <f t="shared" si="18"/>
      </c>
      <c r="BM118" s="108"/>
      <c r="BN118" s="85">
        <f t="shared" si="19"/>
      </c>
      <c r="BO118" s="108"/>
      <c r="BP118" s="85">
        <f t="shared" si="20"/>
      </c>
      <c r="BQ118" s="85">
        <f t="shared" si="21"/>
      </c>
      <c r="BR118" s="108"/>
      <c r="BS118" s="104"/>
      <c r="BT118" s="87">
        <f t="shared" si="22"/>
      </c>
      <c r="BU118" s="85">
        <f t="shared" si="23"/>
      </c>
      <c r="BV118" s="85">
        <f t="shared" si="24"/>
      </c>
      <c r="BW118" s="87">
        <f t="shared" si="25"/>
      </c>
      <c r="BX118" s="104"/>
      <c r="BY118" s="106"/>
      <c r="BZ118" s="104"/>
      <c r="CA118" s="105"/>
      <c r="CB118" s="77">
        <f>IF($A118="",0,IF($B118='FICHA CLIENTE'!$C$4,1,0))</f>
      </c>
      <c r="CC118" s="77">
        <f t="shared" si="26"/>
      </c>
      <c r="CD118" s="77">
        <f>IF($A118="",0,IF($D118='FICHA VEHICULO'!$C$4,1,0))</f>
      </c>
      <c r="CE118" s="77">
        <f t="shared" si="27"/>
      </c>
      <c r="CF118" s="77">
        <f t="shared" si="28"/>
      </c>
      <c r="CG118" s="77">
        <f t="shared" si="29"/>
      </c>
    </row>
    <row r="119" spans="1:85" ht="19.5" customHeight="1" x14ac:dyDescent="0.2">
      <c r="A119" s="104"/>
      <c r="B119" s="104"/>
      <c r="C119" s="105"/>
      <c r="D119" s="104"/>
      <c r="E119" s="105"/>
      <c r="F119" s="106"/>
      <c r="G119" s="104"/>
      <c r="H119" s="106"/>
      <c r="I119" s="107"/>
      <c r="J119" s="108"/>
      <c r="K119" s="108"/>
      <c r="L119" s="108"/>
      <c r="M119" s="105"/>
      <c r="N119" s="105"/>
      <c r="O119" s="105"/>
      <c r="P119" s="108"/>
      <c r="Q119" s="105"/>
      <c r="R119" s="105"/>
      <c r="S119" s="105"/>
      <c r="T119" s="105"/>
      <c r="U119" s="108"/>
      <c r="V119" s="105"/>
      <c r="W119" s="105"/>
      <c r="X119" s="105"/>
      <c r="Y119" s="105"/>
      <c r="Z119" s="105"/>
      <c r="AA119" s="108"/>
      <c r="AB119" s="108"/>
      <c r="AC119" s="105"/>
      <c r="AD119" s="279"/>
      <c r="AE119" s="105"/>
      <c r="AF119" s="279"/>
      <c r="AG119" s="105"/>
      <c r="AH119" s="108"/>
      <c r="AI119" s="108"/>
      <c r="AJ119" s="108"/>
      <c r="AK119" s="108"/>
      <c r="AL119" s="105"/>
      <c r="AM119" s="108"/>
      <c r="AN119" s="105"/>
      <c r="AO119" s="108"/>
      <c r="AP119" s="108"/>
      <c r="AQ119" s="105"/>
      <c r="AR119" s="108"/>
      <c r="AS119" s="108"/>
      <c r="AT119" s="105"/>
      <c r="AU119" s="105"/>
      <c r="AV119" s="105"/>
      <c r="AW119" s="105"/>
      <c r="AX119" s="105"/>
      <c r="AY119" s="105"/>
      <c r="AZ119" s="105"/>
      <c r="BA119" s="105"/>
      <c r="BB119" s="105"/>
      <c r="BC119" s="105"/>
      <c r="BD119" s="108"/>
      <c r="BE119" s="83">
        <f>IF($A119="","",IF(TRIM($D119&amp;"")="",IF(TRIM($AX119&amp;$AY119&amp;$AZ119&amp;$BA119&amp;$BB119&amp;$BC119&amp;$BD119&amp;"")="","","SUBARRENDADO"),IFERROR(IF(VLOOKUP($D119,VEHICULOS!$A$3:$H$202,7,FALSE)="","",VLOOKUP($D119,VEHICULOS!$A$3:$H$202,7,FALSE)),"")))</f>
      </c>
      <c r="BF119" s="82">
        <f>IF($A119="","",IF(TRIM($BC119&amp;"")&lt;&gt;"",$BC119,IF(TRIM($D119&amp;"")="","",IFERROR(IF(VLOOKUP($D119,VEHICULOS!$A$3:$H$202,8,FALSE)="","",VLOOKUP($D119,VEHICULOS!$A$3:$H$202,8,FALSE)),""))))</f>
      </c>
      <c r="BG119" s="106"/>
      <c r="BH119" s="107"/>
      <c r="BI119" s="86">
        <f t="shared" si="15"/>
      </c>
      <c r="BJ119" s="83">
        <f t="shared" si="16"/>
      </c>
      <c r="BK119" s="85">
        <f t="shared" si="17"/>
      </c>
      <c r="BL119" s="85">
        <f t="shared" si="18"/>
      </c>
      <c r="BM119" s="108"/>
      <c r="BN119" s="85">
        <f t="shared" si="19"/>
      </c>
      <c r="BO119" s="108"/>
      <c r="BP119" s="85">
        <f t="shared" si="20"/>
      </c>
      <c r="BQ119" s="85">
        <f t="shared" si="21"/>
      </c>
      <c r="BR119" s="108"/>
      <c r="BS119" s="104"/>
      <c r="BT119" s="87">
        <f t="shared" si="22"/>
      </c>
      <c r="BU119" s="85">
        <f t="shared" si="23"/>
      </c>
      <c r="BV119" s="85">
        <f t="shared" si="24"/>
      </c>
      <c r="BW119" s="87">
        <f t="shared" si="25"/>
      </c>
      <c r="BX119" s="104"/>
      <c r="BY119" s="106"/>
      <c r="BZ119" s="104"/>
      <c r="CA119" s="105"/>
      <c r="CB119" s="77">
        <f>IF($A119="",0,IF($B119='FICHA CLIENTE'!$C$4,1,0))</f>
      </c>
      <c r="CC119" s="77">
        <f t="shared" si="26"/>
      </c>
      <c r="CD119" s="77">
        <f>IF($A119="",0,IF($D119='FICHA VEHICULO'!$C$4,1,0))</f>
      </c>
      <c r="CE119" s="77">
        <f t="shared" si="27"/>
      </c>
      <c r="CF119" s="77">
        <f t="shared" si="28"/>
      </c>
      <c r="CG119" s="77">
        <f t="shared" si="29"/>
      </c>
    </row>
    <row r="120" spans="1:85" ht="19.5" customHeight="1" x14ac:dyDescent="0.2">
      <c r="A120" s="104"/>
      <c r="B120" s="104"/>
      <c r="C120" s="105"/>
      <c r="D120" s="104"/>
      <c r="E120" s="105"/>
      <c r="F120" s="106"/>
      <c r="G120" s="104"/>
      <c r="H120" s="106"/>
      <c r="I120" s="107"/>
      <c r="J120" s="108"/>
      <c r="K120" s="108"/>
      <c r="L120" s="108"/>
      <c r="M120" s="105"/>
      <c r="N120" s="105"/>
      <c r="O120" s="105"/>
      <c r="P120" s="108"/>
      <c r="Q120" s="105"/>
      <c r="R120" s="105"/>
      <c r="S120" s="105"/>
      <c r="T120" s="105"/>
      <c r="U120" s="108"/>
      <c r="V120" s="105"/>
      <c r="W120" s="105"/>
      <c r="X120" s="105"/>
      <c r="Y120" s="105"/>
      <c r="Z120" s="105"/>
      <c r="AA120" s="108"/>
      <c r="AB120" s="108"/>
      <c r="AC120" s="105"/>
      <c r="AD120" s="279"/>
      <c r="AE120" s="105"/>
      <c r="AF120" s="279"/>
      <c r="AG120" s="105"/>
      <c r="AH120" s="108"/>
      <c r="AI120" s="108"/>
      <c r="AJ120" s="108"/>
      <c r="AK120" s="108"/>
      <c r="AL120" s="105"/>
      <c r="AM120" s="108"/>
      <c r="AN120" s="105"/>
      <c r="AO120" s="108"/>
      <c r="AP120" s="108"/>
      <c r="AQ120" s="105"/>
      <c r="AR120" s="108"/>
      <c r="AS120" s="108"/>
      <c r="AT120" s="105"/>
      <c r="AU120" s="105"/>
      <c r="AV120" s="105"/>
      <c r="AW120" s="105"/>
      <c r="AX120" s="105"/>
      <c r="AY120" s="105"/>
      <c r="AZ120" s="105"/>
      <c r="BA120" s="105"/>
      <c r="BB120" s="105"/>
      <c r="BC120" s="105"/>
      <c r="BD120" s="108"/>
      <c r="BE120" s="83">
        <f>IF($A120="","",IF(TRIM($D120&amp;"")="",IF(TRIM($AX120&amp;$AY120&amp;$AZ120&amp;$BA120&amp;$BB120&amp;$BC120&amp;$BD120&amp;"")="","","SUBARRENDADO"),IFERROR(IF(VLOOKUP($D120,VEHICULOS!$A$3:$H$202,7,FALSE)="","",VLOOKUP($D120,VEHICULOS!$A$3:$H$202,7,FALSE)),"")))</f>
      </c>
      <c r="BF120" s="82">
        <f>IF($A120="","",IF(TRIM($BC120&amp;"")&lt;&gt;"",$BC120,IF(TRIM($D120&amp;"")="","",IFERROR(IF(VLOOKUP($D120,VEHICULOS!$A$3:$H$202,8,FALSE)="","",VLOOKUP($D120,VEHICULOS!$A$3:$H$202,8,FALSE)),""))))</f>
      </c>
      <c r="BG120" s="106"/>
      <c r="BH120" s="107"/>
      <c r="BI120" s="86">
        <f t="shared" si="15"/>
      </c>
      <c r="BJ120" s="83">
        <f t="shared" si="16"/>
      </c>
      <c r="BK120" s="85">
        <f t="shared" si="17"/>
      </c>
      <c r="BL120" s="85">
        <f t="shared" si="18"/>
      </c>
      <c r="BM120" s="108"/>
      <c r="BN120" s="85">
        <f t="shared" si="19"/>
      </c>
      <c r="BO120" s="108"/>
      <c r="BP120" s="85">
        <f t="shared" si="20"/>
      </c>
      <c r="BQ120" s="85">
        <f t="shared" si="21"/>
      </c>
      <c r="BR120" s="108"/>
      <c r="BS120" s="104"/>
      <c r="BT120" s="87">
        <f t="shared" si="22"/>
      </c>
      <c r="BU120" s="85">
        <f t="shared" si="23"/>
      </c>
      <c r="BV120" s="85">
        <f t="shared" si="24"/>
      </c>
      <c r="BW120" s="87">
        <f t="shared" si="25"/>
      </c>
      <c r="BX120" s="104"/>
      <c r="BY120" s="106"/>
      <c r="BZ120" s="104"/>
      <c r="CA120" s="105"/>
      <c r="CB120" s="77">
        <f>IF($A120="",0,IF($B120='FICHA CLIENTE'!$C$4,1,0))</f>
      </c>
      <c r="CC120" s="77">
        <f t="shared" si="26"/>
      </c>
      <c r="CD120" s="77">
        <f>IF($A120="",0,IF($D120='FICHA VEHICULO'!$C$4,1,0))</f>
      </c>
      <c r="CE120" s="77">
        <f t="shared" si="27"/>
      </c>
      <c r="CF120" s="77">
        <f t="shared" si="28"/>
      </c>
      <c r="CG120" s="77">
        <f t="shared" si="29"/>
      </c>
    </row>
    <row r="121" spans="1:85" ht="19.5" customHeight="1" x14ac:dyDescent="0.2">
      <c r="A121" s="104"/>
      <c r="B121" s="104"/>
      <c r="C121" s="105"/>
      <c r="D121" s="104"/>
      <c r="E121" s="105"/>
      <c r="F121" s="106"/>
      <c r="G121" s="104"/>
      <c r="H121" s="106"/>
      <c r="I121" s="107"/>
      <c r="J121" s="108"/>
      <c r="K121" s="108"/>
      <c r="L121" s="108"/>
      <c r="M121" s="105"/>
      <c r="N121" s="105"/>
      <c r="O121" s="105"/>
      <c r="P121" s="108"/>
      <c r="Q121" s="105"/>
      <c r="R121" s="105"/>
      <c r="S121" s="105"/>
      <c r="T121" s="105"/>
      <c r="U121" s="108"/>
      <c r="V121" s="105"/>
      <c r="W121" s="105"/>
      <c r="X121" s="105"/>
      <c r="Y121" s="105"/>
      <c r="Z121" s="105"/>
      <c r="AA121" s="108"/>
      <c r="AB121" s="108"/>
      <c r="AC121" s="105"/>
      <c r="AD121" s="279"/>
      <c r="AE121" s="105"/>
      <c r="AF121" s="279"/>
      <c r="AG121" s="105"/>
      <c r="AH121" s="108"/>
      <c r="AI121" s="108"/>
      <c r="AJ121" s="108"/>
      <c r="AK121" s="108"/>
      <c r="AL121" s="105"/>
      <c r="AM121" s="108"/>
      <c r="AN121" s="105"/>
      <c r="AO121" s="108"/>
      <c r="AP121" s="108"/>
      <c r="AQ121" s="105"/>
      <c r="AR121" s="108"/>
      <c r="AS121" s="108"/>
      <c r="AT121" s="105"/>
      <c r="AU121" s="105"/>
      <c r="AV121" s="105"/>
      <c r="AW121" s="105"/>
      <c r="AX121" s="105"/>
      <c r="AY121" s="105"/>
      <c r="AZ121" s="105"/>
      <c r="BA121" s="105"/>
      <c r="BB121" s="105"/>
      <c r="BC121" s="105"/>
      <c r="BD121" s="108"/>
      <c r="BE121" s="83">
        <f>IF($A121="","",IF(TRIM($D121&amp;"")="",IF(TRIM($AX121&amp;$AY121&amp;$AZ121&amp;$BA121&amp;$BB121&amp;$BC121&amp;$BD121&amp;"")="","","SUBARRENDADO"),IFERROR(IF(VLOOKUP($D121,VEHICULOS!$A$3:$H$202,7,FALSE)="","",VLOOKUP($D121,VEHICULOS!$A$3:$H$202,7,FALSE)),"")))</f>
      </c>
      <c r="BF121" s="82">
        <f>IF($A121="","",IF(TRIM($BC121&amp;"")&lt;&gt;"",$BC121,IF(TRIM($D121&amp;"")="","",IFERROR(IF(VLOOKUP($D121,VEHICULOS!$A$3:$H$202,8,FALSE)="","",VLOOKUP($D121,VEHICULOS!$A$3:$H$202,8,FALSE)),""))))</f>
      </c>
      <c r="BG121" s="106"/>
      <c r="BH121" s="107"/>
      <c r="BI121" s="86">
        <f t="shared" si="15"/>
      </c>
      <c r="BJ121" s="83">
        <f t="shared" si="16"/>
      </c>
      <c r="BK121" s="85">
        <f t="shared" si="17"/>
      </c>
      <c r="BL121" s="85">
        <f t="shared" si="18"/>
      </c>
      <c r="BM121" s="108"/>
      <c r="BN121" s="85">
        <f t="shared" si="19"/>
      </c>
      <c r="BO121" s="108"/>
      <c r="BP121" s="85">
        <f t="shared" si="20"/>
      </c>
      <c r="BQ121" s="85">
        <f t="shared" si="21"/>
      </c>
      <c r="BR121" s="108"/>
      <c r="BS121" s="104"/>
      <c r="BT121" s="87">
        <f t="shared" si="22"/>
      </c>
      <c r="BU121" s="85">
        <f t="shared" si="23"/>
      </c>
      <c r="BV121" s="85">
        <f t="shared" si="24"/>
      </c>
      <c r="BW121" s="87">
        <f t="shared" si="25"/>
      </c>
      <c r="BX121" s="104"/>
      <c r="BY121" s="106"/>
      <c r="BZ121" s="104"/>
      <c r="CA121" s="105"/>
      <c r="CB121" s="77">
        <f>IF($A121="",0,IF($B121='FICHA CLIENTE'!$C$4,1,0))</f>
      </c>
      <c r="CC121" s="77">
        <f t="shared" si="26"/>
      </c>
      <c r="CD121" s="77">
        <f>IF($A121="",0,IF($D121='FICHA VEHICULO'!$C$4,1,0))</f>
      </c>
      <c r="CE121" s="77">
        <f t="shared" si="27"/>
      </c>
      <c r="CF121" s="77">
        <f t="shared" si="28"/>
      </c>
      <c r="CG121" s="77">
        <f t="shared" si="29"/>
      </c>
    </row>
    <row r="122" spans="1:85" ht="19.5" customHeight="1" x14ac:dyDescent="0.2">
      <c r="A122" s="104"/>
      <c r="B122" s="104"/>
      <c r="C122" s="105"/>
      <c r="D122" s="104"/>
      <c r="E122" s="105"/>
      <c r="F122" s="106"/>
      <c r="G122" s="104"/>
      <c r="H122" s="106"/>
      <c r="I122" s="107"/>
      <c r="J122" s="108"/>
      <c r="K122" s="108"/>
      <c r="L122" s="108"/>
      <c r="M122" s="105"/>
      <c r="N122" s="105"/>
      <c r="O122" s="105"/>
      <c r="P122" s="108"/>
      <c r="Q122" s="105"/>
      <c r="R122" s="105"/>
      <c r="S122" s="105"/>
      <c r="T122" s="105"/>
      <c r="U122" s="108"/>
      <c r="V122" s="105"/>
      <c r="W122" s="105"/>
      <c r="X122" s="105"/>
      <c r="Y122" s="105"/>
      <c r="Z122" s="105"/>
      <c r="AA122" s="108"/>
      <c r="AB122" s="108"/>
      <c r="AC122" s="105"/>
      <c r="AD122" s="279"/>
      <c r="AE122" s="105"/>
      <c r="AF122" s="279"/>
      <c r="AG122" s="105"/>
      <c r="AH122" s="108"/>
      <c r="AI122" s="108"/>
      <c r="AJ122" s="108"/>
      <c r="AK122" s="108"/>
      <c r="AL122" s="105"/>
      <c r="AM122" s="108"/>
      <c r="AN122" s="105"/>
      <c r="AO122" s="108"/>
      <c r="AP122" s="108"/>
      <c r="AQ122" s="105"/>
      <c r="AR122" s="108"/>
      <c r="AS122" s="108"/>
      <c r="AT122" s="105"/>
      <c r="AU122" s="105"/>
      <c r="AV122" s="105"/>
      <c r="AW122" s="105"/>
      <c r="AX122" s="105"/>
      <c r="AY122" s="105"/>
      <c r="AZ122" s="105"/>
      <c r="BA122" s="105"/>
      <c r="BB122" s="105"/>
      <c r="BC122" s="105"/>
      <c r="BD122" s="108"/>
      <c r="BE122" s="83">
        <f>IF($A122="","",IF(TRIM($D122&amp;"")="",IF(TRIM($AX122&amp;$AY122&amp;$AZ122&amp;$BA122&amp;$BB122&amp;$BC122&amp;$BD122&amp;"")="","","SUBARRENDADO"),IFERROR(IF(VLOOKUP($D122,VEHICULOS!$A$3:$H$202,7,FALSE)="","",VLOOKUP($D122,VEHICULOS!$A$3:$H$202,7,FALSE)),"")))</f>
      </c>
      <c r="BF122" s="82">
        <f>IF($A122="","",IF(TRIM($BC122&amp;"")&lt;&gt;"",$BC122,IF(TRIM($D122&amp;"")="","",IFERROR(IF(VLOOKUP($D122,VEHICULOS!$A$3:$H$202,8,FALSE)="","",VLOOKUP($D122,VEHICULOS!$A$3:$H$202,8,FALSE)),""))))</f>
      </c>
      <c r="BG122" s="106"/>
      <c r="BH122" s="107"/>
      <c r="BI122" s="86">
        <f t="shared" si="15"/>
      </c>
      <c r="BJ122" s="83">
        <f t="shared" si="16"/>
      </c>
      <c r="BK122" s="85">
        <f t="shared" si="17"/>
      </c>
      <c r="BL122" s="85">
        <f t="shared" si="18"/>
      </c>
      <c r="BM122" s="108"/>
      <c r="BN122" s="85">
        <f t="shared" si="19"/>
      </c>
      <c r="BO122" s="108"/>
      <c r="BP122" s="85">
        <f t="shared" si="20"/>
      </c>
      <c r="BQ122" s="85">
        <f t="shared" si="21"/>
      </c>
      <c r="BR122" s="108"/>
      <c r="BS122" s="104"/>
      <c r="BT122" s="87">
        <f t="shared" si="22"/>
      </c>
      <c r="BU122" s="85">
        <f t="shared" si="23"/>
      </c>
      <c r="BV122" s="85">
        <f t="shared" si="24"/>
      </c>
      <c r="BW122" s="87">
        <f t="shared" si="25"/>
      </c>
      <c r="BX122" s="104"/>
      <c r="BY122" s="106"/>
      <c r="BZ122" s="104"/>
      <c r="CA122" s="105"/>
      <c r="CB122" s="77">
        <f>IF($A122="",0,IF($B122='FICHA CLIENTE'!$C$4,1,0))</f>
      </c>
      <c r="CC122" s="77">
        <f t="shared" si="26"/>
      </c>
      <c r="CD122" s="77">
        <f>IF($A122="",0,IF($D122='FICHA VEHICULO'!$C$4,1,0))</f>
      </c>
      <c r="CE122" s="77">
        <f t="shared" si="27"/>
      </c>
      <c r="CF122" s="77">
        <f t="shared" si="28"/>
      </c>
      <c r="CG122" s="77">
        <f t="shared" si="29"/>
      </c>
    </row>
    <row r="123" spans="1:85" ht="19.5" customHeight="1" x14ac:dyDescent="0.2">
      <c r="A123" s="104"/>
      <c r="B123" s="104"/>
      <c r="C123" s="105"/>
      <c r="D123" s="104"/>
      <c r="E123" s="105"/>
      <c r="F123" s="106"/>
      <c r="G123" s="104"/>
      <c r="H123" s="106"/>
      <c r="I123" s="107"/>
      <c r="J123" s="108"/>
      <c r="K123" s="108"/>
      <c r="L123" s="108"/>
      <c r="M123" s="105"/>
      <c r="N123" s="105"/>
      <c r="O123" s="105"/>
      <c r="P123" s="108"/>
      <c r="Q123" s="105"/>
      <c r="R123" s="105"/>
      <c r="S123" s="105"/>
      <c r="T123" s="105"/>
      <c r="U123" s="108"/>
      <c r="V123" s="105"/>
      <c r="W123" s="105"/>
      <c r="X123" s="105"/>
      <c r="Y123" s="105"/>
      <c r="Z123" s="105"/>
      <c r="AA123" s="108"/>
      <c r="AB123" s="108"/>
      <c r="AC123" s="105"/>
      <c r="AD123" s="279"/>
      <c r="AE123" s="105"/>
      <c r="AF123" s="279"/>
      <c r="AG123" s="105"/>
      <c r="AH123" s="108"/>
      <c r="AI123" s="108"/>
      <c r="AJ123" s="108"/>
      <c r="AK123" s="108"/>
      <c r="AL123" s="105"/>
      <c r="AM123" s="108"/>
      <c r="AN123" s="105"/>
      <c r="AO123" s="108"/>
      <c r="AP123" s="108"/>
      <c r="AQ123" s="105"/>
      <c r="AR123" s="108"/>
      <c r="AS123" s="108"/>
      <c r="AT123" s="105"/>
      <c r="AU123" s="105"/>
      <c r="AV123" s="105"/>
      <c r="AW123" s="105"/>
      <c r="AX123" s="105"/>
      <c r="AY123" s="105"/>
      <c r="AZ123" s="105"/>
      <c r="BA123" s="105"/>
      <c r="BB123" s="105"/>
      <c r="BC123" s="105"/>
      <c r="BD123" s="108"/>
      <c r="BE123" s="83">
        <f>IF($A123="","",IF(TRIM($D123&amp;"")="",IF(TRIM($AX123&amp;$AY123&amp;$AZ123&amp;$BA123&amp;$BB123&amp;$BC123&amp;$BD123&amp;"")="","","SUBARRENDADO"),IFERROR(IF(VLOOKUP($D123,VEHICULOS!$A$3:$H$202,7,FALSE)="","",VLOOKUP($D123,VEHICULOS!$A$3:$H$202,7,FALSE)),"")))</f>
      </c>
      <c r="BF123" s="82">
        <f>IF($A123="","",IF(TRIM($BC123&amp;"")&lt;&gt;"",$BC123,IF(TRIM($D123&amp;"")="","",IFERROR(IF(VLOOKUP($D123,VEHICULOS!$A$3:$H$202,8,FALSE)="","",VLOOKUP($D123,VEHICULOS!$A$3:$H$202,8,FALSE)),""))))</f>
      </c>
      <c r="BG123" s="106"/>
      <c r="BH123" s="107"/>
      <c r="BI123" s="86">
        <f t="shared" si="15"/>
      </c>
      <c r="BJ123" s="83">
        <f t="shared" si="16"/>
      </c>
      <c r="BK123" s="85">
        <f t="shared" si="17"/>
      </c>
      <c r="BL123" s="85">
        <f t="shared" si="18"/>
      </c>
      <c r="BM123" s="108"/>
      <c r="BN123" s="85">
        <f t="shared" si="19"/>
      </c>
      <c r="BO123" s="108"/>
      <c r="BP123" s="85">
        <f t="shared" si="20"/>
      </c>
      <c r="BQ123" s="85">
        <f t="shared" si="21"/>
      </c>
      <c r="BR123" s="108"/>
      <c r="BS123" s="104"/>
      <c r="BT123" s="87">
        <f t="shared" si="22"/>
      </c>
      <c r="BU123" s="85">
        <f t="shared" si="23"/>
      </c>
      <c r="BV123" s="85">
        <f t="shared" si="24"/>
      </c>
      <c r="BW123" s="87">
        <f t="shared" si="25"/>
      </c>
      <c r="BX123" s="104"/>
      <c r="BY123" s="106"/>
      <c r="BZ123" s="104"/>
      <c r="CA123" s="105"/>
      <c r="CB123" s="77">
        <f>IF($A123="",0,IF($B123='FICHA CLIENTE'!$C$4,1,0))</f>
      </c>
      <c r="CC123" s="77">
        <f t="shared" si="26"/>
      </c>
      <c r="CD123" s="77">
        <f>IF($A123="",0,IF($D123='FICHA VEHICULO'!$C$4,1,0))</f>
      </c>
      <c r="CE123" s="77">
        <f t="shared" si="27"/>
      </c>
      <c r="CF123" s="77">
        <f t="shared" si="28"/>
      </c>
      <c r="CG123" s="77">
        <f t="shared" si="29"/>
      </c>
    </row>
    <row r="124" spans="1:85" ht="19.5" customHeight="1" x14ac:dyDescent="0.2">
      <c r="A124" s="104"/>
      <c r="B124" s="104"/>
      <c r="C124" s="105"/>
      <c r="D124" s="104"/>
      <c r="E124" s="105"/>
      <c r="F124" s="106"/>
      <c r="G124" s="104"/>
      <c r="H124" s="106"/>
      <c r="I124" s="107"/>
      <c r="J124" s="108"/>
      <c r="K124" s="108"/>
      <c r="L124" s="108"/>
      <c r="M124" s="105"/>
      <c r="N124" s="105"/>
      <c r="O124" s="105"/>
      <c r="P124" s="108"/>
      <c r="Q124" s="105"/>
      <c r="R124" s="105"/>
      <c r="S124" s="105"/>
      <c r="T124" s="105"/>
      <c r="U124" s="108"/>
      <c r="V124" s="105"/>
      <c r="W124" s="105"/>
      <c r="X124" s="105"/>
      <c r="Y124" s="105"/>
      <c r="Z124" s="105"/>
      <c r="AA124" s="108"/>
      <c r="AB124" s="108"/>
      <c r="AC124" s="105"/>
      <c r="AD124" s="279"/>
      <c r="AE124" s="105"/>
      <c r="AF124" s="279"/>
      <c r="AG124" s="105"/>
      <c r="AH124" s="108"/>
      <c r="AI124" s="108"/>
      <c r="AJ124" s="108"/>
      <c r="AK124" s="108"/>
      <c r="AL124" s="105"/>
      <c r="AM124" s="108"/>
      <c r="AN124" s="105"/>
      <c r="AO124" s="108"/>
      <c r="AP124" s="108"/>
      <c r="AQ124" s="105"/>
      <c r="AR124" s="108"/>
      <c r="AS124" s="108"/>
      <c r="AT124" s="105"/>
      <c r="AU124" s="105"/>
      <c r="AV124" s="105"/>
      <c r="AW124" s="105"/>
      <c r="AX124" s="105"/>
      <c r="AY124" s="105"/>
      <c r="AZ124" s="105"/>
      <c r="BA124" s="105"/>
      <c r="BB124" s="105"/>
      <c r="BC124" s="105"/>
      <c r="BD124" s="108"/>
      <c r="BE124" s="83">
        <f>IF($A124="","",IF(TRIM($D124&amp;"")="",IF(TRIM($AX124&amp;$AY124&amp;$AZ124&amp;$BA124&amp;$BB124&amp;$BC124&amp;$BD124&amp;"")="","","SUBARRENDADO"),IFERROR(IF(VLOOKUP($D124,VEHICULOS!$A$3:$H$202,7,FALSE)="","",VLOOKUP($D124,VEHICULOS!$A$3:$H$202,7,FALSE)),"")))</f>
      </c>
      <c r="BF124" s="82">
        <f>IF($A124="","",IF(TRIM($BC124&amp;"")&lt;&gt;"",$BC124,IF(TRIM($D124&amp;"")="","",IFERROR(IF(VLOOKUP($D124,VEHICULOS!$A$3:$H$202,8,FALSE)="","",VLOOKUP($D124,VEHICULOS!$A$3:$H$202,8,FALSE)),""))))</f>
      </c>
      <c r="BG124" s="106"/>
      <c r="BH124" s="107"/>
      <c r="BI124" s="86">
        <f t="shared" si="15"/>
      </c>
      <c r="BJ124" s="83">
        <f t="shared" si="16"/>
      </c>
      <c r="BK124" s="85">
        <f t="shared" si="17"/>
      </c>
      <c r="BL124" s="85">
        <f t="shared" si="18"/>
      </c>
      <c r="BM124" s="108"/>
      <c r="BN124" s="85">
        <f t="shared" si="19"/>
      </c>
      <c r="BO124" s="108"/>
      <c r="BP124" s="85">
        <f t="shared" si="20"/>
      </c>
      <c r="BQ124" s="85">
        <f t="shared" si="21"/>
      </c>
      <c r="BR124" s="108"/>
      <c r="BS124" s="104"/>
      <c r="BT124" s="87">
        <f t="shared" si="22"/>
      </c>
      <c r="BU124" s="85">
        <f t="shared" si="23"/>
      </c>
      <c r="BV124" s="85">
        <f t="shared" si="24"/>
      </c>
      <c r="BW124" s="87">
        <f t="shared" si="25"/>
      </c>
      <c r="BX124" s="104"/>
      <c r="BY124" s="106"/>
      <c r="BZ124" s="104"/>
      <c r="CA124" s="105"/>
      <c r="CB124" s="77">
        <f>IF($A124="",0,IF($B124='FICHA CLIENTE'!$C$4,1,0))</f>
      </c>
      <c r="CC124" s="77">
        <f t="shared" si="26"/>
      </c>
      <c r="CD124" s="77">
        <f>IF($A124="",0,IF($D124='FICHA VEHICULO'!$C$4,1,0))</f>
      </c>
      <c r="CE124" s="77">
        <f t="shared" si="27"/>
      </c>
      <c r="CF124" s="77">
        <f t="shared" si="28"/>
      </c>
      <c r="CG124" s="77">
        <f t="shared" si="29"/>
      </c>
    </row>
    <row r="125" spans="1:85" ht="19.5" customHeight="1" x14ac:dyDescent="0.2">
      <c r="A125" s="104"/>
      <c r="B125" s="104"/>
      <c r="C125" s="105"/>
      <c r="D125" s="104"/>
      <c r="E125" s="105"/>
      <c r="F125" s="106"/>
      <c r="G125" s="104"/>
      <c r="H125" s="106"/>
      <c r="I125" s="107"/>
      <c r="J125" s="108"/>
      <c r="K125" s="108"/>
      <c r="L125" s="108"/>
      <c r="M125" s="105"/>
      <c r="N125" s="105"/>
      <c r="O125" s="105"/>
      <c r="P125" s="108"/>
      <c r="Q125" s="105"/>
      <c r="R125" s="105"/>
      <c r="S125" s="105"/>
      <c r="T125" s="105"/>
      <c r="U125" s="108"/>
      <c r="V125" s="105"/>
      <c r="W125" s="105"/>
      <c r="X125" s="105"/>
      <c r="Y125" s="105"/>
      <c r="Z125" s="105"/>
      <c r="AA125" s="108"/>
      <c r="AB125" s="108"/>
      <c r="AC125" s="105"/>
      <c r="AD125" s="279"/>
      <c r="AE125" s="105"/>
      <c r="AF125" s="279"/>
      <c r="AG125" s="105"/>
      <c r="AH125" s="108"/>
      <c r="AI125" s="108"/>
      <c r="AJ125" s="108"/>
      <c r="AK125" s="108"/>
      <c r="AL125" s="105"/>
      <c r="AM125" s="108"/>
      <c r="AN125" s="105"/>
      <c r="AO125" s="108"/>
      <c r="AP125" s="108"/>
      <c r="AQ125" s="105"/>
      <c r="AR125" s="108"/>
      <c r="AS125" s="108"/>
      <c r="AT125" s="105"/>
      <c r="AU125" s="105"/>
      <c r="AV125" s="105"/>
      <c r="AW125" s="105"/>
      <c r="AX125" s="105"/>
      <c r="AY125" s="105"/>
      <c r="AZ125" s="105"/>
      <c r="BA125" s="105"/>
      <c r="BB125" s="105"/>
      <c r="BC125" s="105"/>
      <c r="BD125" s="108"/>
      <c r="BE125" s="83">
        <f>IF($A125="","",IF(TRIM($D125&amp;"")="",IF(TRIM($AX125&amp;$AY125&amp;$AZ125&amp;$BA125&amp;$BB125&amp;$BC125&amp;$BD125&amp;"")="","","SUBARRENDADO"),IFERROR(IF(VLOOKUP($D125,VEHICULOS!$A$3:$H$202,7,FALSE)="","",VLOOKUP($D125,VEHICULOS!$A$3:$H$202,7,FALSE)),"")))</f>
      </c>
      <c r="BF125" s="82">
        <f>IF($A125="","",IF(TRIM($BC125&amp;"")&lt;&gt;"",$BC125,IF(TRIM($D125&amp;"")="","",IFERROR(IF(VLOOKUP($D125,VEHICULOS!$A$3:$H$202,8,FALSE)="","",VLOOKUP($D125,VEHICULOS!$A$3:$H$202,8,FALSE)),""))))</f>
      </c>
      <c r="BG125" s="106"/>
      <c r="BH125" s="107"/>
      <c r="BI125" s="86">
        <f t="shared" si="15"/>
      </c>
      <c r="BJ125" s="83">
        <f t="shared" si="16"/>
      </c>
      <c r="BK125" s="85">
        <f t="shared" si="17"/>
      </c>
      <c r="BL125" s="85">
        <f t="shared" si="18"/>
      </c>
      <c r="BM125" s="108"/>
      <c r="BN125" s="85">
        <f t="shared" si="19"/>
      </c>
      <c r="BO125" s="108"/>
      <c r="BP125" s="85">
        <f t="shared" si="20"/>
      </c>
      <c r="BQ125" s="85">
        <f t="shared" si="21"/>
      </c>
      <c r="BR125" s="108"/>
      <c r="BS125" s="104"/>
      <c r="BT125" s="87">
        <f t="shared" si="22"/>
      </c>
      <c r="BU125" s="85">
        <f t="shared" si="23"/>
      </c>
      <c r="BV125" s="85">
        <f t="shared" si="24"/>
      </c>
      <c r="BW125" s="87">
        <f t="shared" si="25"/>
      </c>
      <c r="BX125" s="104"/>
      <c r="BY125" s="106"/>
      <c r="BZ125" s="104"/>
      <c r="CA125" s="105"/>
      <c r="CB125" s="77">
        <f>IF($A125="",0,IF($B125='FICHA CLIENTE'!$C$4,1,0))</f>
      </c>
      <c r="CC125" s="77">
        <f t="shared" si="26"/>
      </c>
      <c r="CD125" s="77">
        <f>IF($A125="",0,IF($D125='FICHA VEHICULO'!$C$4,1,0))</f>
      </c>
      <c r="CE125" s="77">
        <f t="shared" si="27"/>
      </c>
      <c r="CF125" s="77">
        <f t="shared" si="28"/>
      </c>
      <c r="CG125" s="77">
        <f t="shared" si="29"/>
      </c>
    </row>
    <row r="126" spans="1:85" ht="19.5" customHeight="1" x14ac:dyDescent="0.2">
      <c r="A126" s="104"/>
      <c r="B126" s="104"/>
      <c r="C126" s="105"/>
      <c r="D126" s="104"/>
      <c r="E126" s="105"/>
      <c r="F126" s="106"/>
      <c r="G126" s="104"/>
      <c r="H126" s="106"/>
      <c r="I126" s="107"/>
      <c r="J126" s="108"/>
      <c r="K126" s="108"/>
      <c r="L126" s="108"/>
      <c r="M126" s="105"/>
      <c r="N126" s="105"/>
      <c r="O126" s="105"/>
      <c r="P126" s="108"/>
      <c r="Q126" s="105"/>
      <c r="R126" s="105"/>
      <c r="S126" s="105"/>
      <c r="T126" s="105"/>
      <c r="U126" s="108"/>
      <c r="V126" s="105"/>
      <c r="W126" s="105"/>
      <c r="X126" s="105"/>
      <c r="Y126" s="105"/>
      <c r="Z126" s="105"/>
      <c r="AA126" s="108"/>
      <c r="AB126" s="108"/>
      <c r="AC126" s="105"/>
      <c r="AD126" s="279"/>
      <c r="AE126" s="105"/>
      <c r="AF126" s="279"/>
      <c r="AG126" s="105"/>
      <c r="AH126" s="108"/>
      <c r="AI126" s="108"/>
      <c r="AJ126" s="108"/>
      <c r="AK126" s="108"/>
      <c r="AL126" s="105"/>
      <c r="AM126" s="108"/>
      <c r="AN126" s="105"/>
      <c r="AO126" s="108"/>
      <c r="AP126" s="108"/>
      <c r="AQ126" s="105"/>
      <c r="AR126" s="108"/>
      <c r="AS126" s="108"/>
      <c r="AT126" s="105"/>
      <c r="AU126" s="105"/>
      <c r="AV126" s="105"/>
      <c r="AW126" s="105"/>
      <c r="AX126" s="105"/>
      <c r="AY126" s="105"/>
      <c r="AZ126" s="105"/>
      <c r="BA126" s="105"/>
      <c r="BB126" s="105"/>
      <c r="BC126" s="105"/>
      <c r="BD126" s="108"/>
      <c r="BE126" s="83">
        <f>IF($A126="","",IF(TRIM($D126&amp;"")="",IF(TRIM($AX126&amp;$AY126&amp;$AZ126&amp;$BA126&amp;$BB126&amp;$BC126&amp;$BD126&amp;"")="","","SUBARRENDADO"),IFERROR(IF(VLOOKUP($D126,VEHICULOS!$A$3:$H$202,7,FALSE)="","",VLOOKUP($D126,VEHICULOS!$A$3:$H$202,7,FALSE)),"")))</f>
      </c>
      <c r="BF126" s="82">
        <f>IF($A126="","",IF(TRIM($BC126&amp;"")&lt;&gt;"",$BC126,IF(TRIM($D126&amp;"")="","",IFERROR(IF(VLOOKUP($D126,VEHICULOS!$A$3:$H$202,8,FALSE)="","",VLOOKUP($D126,VEHICULOS!$A$3:$H$202,8,FALSE)),""))))</f>
      </c>
      <c r="BG126" s="106"/>
      <c r="BH126" s="107"/>
      <c r="BI126" s="86">
        <f t="shared" si="15"/>
      </c>
      <c r="BJ126" s="83">
        <f t="shared" si="16"/>
      </c>
      <c r="BK126" s="85">
        <f t="shared" si="17"/>
      </c>
      <c r="BL126" s="85">
        <f t="shared" si="18"/>
      </c>
      <c r="BM126" s="108"/>
      <c r="BN126" s="85">
        <f t="shared" si="19"/>
      </c>
      <c r="BO126" s="108"/>
      <c r="BP126" s="85">
        <f t="shared" si="20"/>
      </c>
      <c r="BQ126" s="85">
        <f t="shared" si="21"/>
      </c>
      <c r="BR126" s="108"/>
      <c r="BS126" s="104"/>
      <c r="BT126" s="87">
        <f t="shared" si="22"/>
      </c>
      <c r="BU126" s="85">
        <f t="shared" si="23"/>
      </c>
      <c r="BV126" s="85">
        <f t="shared" si="24"/>
      </c>
      <c r="BW126" s="87">
        <f t="shared" si="25"/>
      </c>
      <c r="BX126" s="104"/>
      <c r="BY126" s="106"/>
      <c r="BZ126" s="104"/>
      <c r="CA126" s="105"/>
      <c r="CB126" s="77">
        <f>IF($A126="",0,IF($B126='FICHA CLIENTE'!$C$4,1,0))</f>
      </c>
      <c r="CC126" s="77">
        <f t="shared" si="26"/>
      </c>
      <c r="CD126" s="77">
        <f>IF($A126="",0,IF($D126='FICHA VEHICULO'!$C$4,1,0))</f>
      </c>
      <c r="CE126" s="77">
        <f t="shared" si="27"/>
      </c>
      <c r="CF126" s="77">
        <f t="shared" si="28"/>
      </c>
      <c r="CG126" s="77">
        <f t="shared" si="29"/>
      </c>
    </row>
    <row r="127" spans="1:85" ht="19.5" customHeight="1" x14ac:dyDescent="0.2">
      <c r="A127" s="104"/>
      <c r="B127" s="104"/>
      <c r="C127" s="105"/>
      <c r="D127" s="104"/>
      <c r="E127" s="105"/>
      <c r="F127" s="106"/>
      <c r="G127" s="104"/>
      <c r="H127" s="106"/>
      <c r="I127" s="107"/>
      <c r="J127" s="108"/>
      <c r="K127" s="108"/>
      <c r="L127" s="108"/>
      <c r="M127" s="105"/>
      <c r="N127" s="105"/>
      <c r="O127" s="105"/>
      <c r="P127" s="108"/>
      <c r="Q127" s="105"/>
      <c r="R127" s="105"/>
      <c r="S127" s="105"/>
      <c r="T127" s="105"/>
      <c r="U127" s="108"/>
      <c r="V127" s="105"/>
      <c r="W127" s="105"/>
      <c r="X127" s="105"/>
      <c r="Y127" s="105"/>
      <c r="Z127" s="105"/>
      <c r="AA127" s="108"/>
      <c r="AB127" s="108"/>
      <c r="AC127" s="105"/>
      <c r="AD127" s="279"/>
      <c r="AE127" s="105"/>
      <c r="AF127" s="279"/>
      <c r="AG127" s="105"/>
      <c r="AH127" s="108"/>
      <c r="AI127" s="108"/>
      <c r="AJ127" s="108"/>
      <c r="AK127" s="108"/>
      <c r="AL127" s="105"/>
      <c r="AM127" s="108"/>
      <c r="AN127" s="105"/>
      <c r="AO127" s="108"/>
      <c r="AP127" s="108"/>
      <c r="AQ127" s="105"/>
      <c r="AR127" s="108"/>
      <c r="AS127" s="108"/>
      <c r="AT127" s="105"/>
      <c r="AU127" s="105"/>
      <c r="AV127" s="105"/>
      <c r="AW127" s="105"/>
      <c r="AX127" s="105"/>
      <c r="AY127" s="105"/>
      <c r="AZ127" s="105"/>
      <c r="BA127" s="105"/>
      <c r="BB127" s="105"/>
      <c r="BC127" s="105"/>
      <c r="BD127" s="108"/>
      <c r="BE127" s="83">
        <f>IF($A127="","",IF(TRIM($D127&amp;"")="",IF(TRIM($AX127&amp;$AY127&amp;$AZ127&amp;$BA127&amp;$BB127&amp;$BC127&amp;$BD127&amp;"")="","","SUBARRENDADO"),IFERROR(IF(VLOOKUP($D127,VEHICULOS!$A$3:$H$202,7,FALSE)="","",VLOOKUP($D127,VEHICULOS!$A$3:$H$202,7,FALSE)),"")))</f>
      </c>
      <c r="BF127" s="82">
        <f>IF($A127="","",IF(TRIM($BC127&amp;"")&lt;&gt;"",$BC127,IF(TRIM($D127&amp;"")="","",IFERROR(IF(VLOOKUP($D127,VEHICULOS!$A$3:$H$202,8,FALSE)="","",VLOOKUP($D127,VEHICULOS!$A$3:$H$202,8,FALSE)),""))))</f>
      </c>
      <c r="BG127" s="106"/>
      <c r="BH127" s="107"/>
      <c r="BI127" s="86">
        <f t="shared" si="15"/>
      </c>
      <c r="BJ127" s="83">
        <f t="shared" si="16"/>
      </c>
      <c r="BK127" s="85">
        <f t="shared" si="17"/>
      </c>
      <c r="BL127" s="85">
        <f t="shared" si="18"/>
      </c>
      <c r="BM127" s="108"/>
      <c r="BN127" s="85">
        <f t="shared" si="19"/>
      </c>
      <c r="BO127" s="108"/>
      <c r="BP127" s="85">
        <f t="shared" si="20"/>
      </c>
      <c r="BQ127" s="85">
        <f t="shared" si="21"/>
      </c>
      <c r="BR127" s="108"/>
      <c r="BS127" s="104"/>
      <c r="BT127" s="87">
        <f t="shared" si="22"/>
      </c>
      <c r="BU127" s="85">
        <f t="shared" si="23"/>
      </c>
      <c r="BV127" s="85">
        <f t="shared" si="24"/>
      </c>
      <c r="BW127" s="87">
        <f t="shared" si="25"/>
      </c>
      <c r="BX127" s="104"/>
      <c r="BY127" s="106"/>
      <c r="BZ127" s="104"/>
      <c r="CA127" s="105"/>
      <c r="CB127" s="77">
        <f>IF($A127="",0,IF($B127='FICHA CLIENTE'!$C$4,1,0))</f>
      </c>
      <c r="CC127" s="77">
        <f t="shared" si="26"/>
      </c>
      <c r="CD127" s="77">
        <f>IF($A127="",0,IF($D127='FICHA VEHICULO'!$C$4,1,0))</f>
      </c>
      <c r="CE127" s="77">
        <f t="shared" si="27"/>
      </c>
      <c r="CF127" s="77">
        <f t="shared" si="28"/>
      </c>
      <c r="CG127" s="77">
        <f t="shared" si="29"/>
      </c>
    </row>
    <row r="128" spans="1:85" ht="19.5" customHeight="1" x14ac:dyDescent="0.2">
      <c r="A128" s="104"/>
      <c r="B128" s="104"/>
      <c r="C128" s="105"/>
      <c r="D128" s="104"/>
      <c r="E128" s="105"/>
      <c r="F128" s="106"/>
      <c r="G128" s="104"/>
      <c r="H128" s="106"/>
      <c r="I128" s="107"/>
      <c r="J128" s="108"/>
      <c r="K128" s="108"/>
      <c r="L128" s="108"/>
      <c r="M128" s="105"/>
      <c r="N128" s="105"/>
      <c r="O128" s="105"/>
      <c r="P128" s="108"/>
      <c r="Q128" s="105"/>
      <c r="R128" s="105"/>
      <c r="S128" s="105"/>
      <c r="T128" s="105"/>
      <c r="U128" s="108"/>
      <c r="V128" s="105"/>
      <c r="W128" s="105"/>
      <c r="X128" s="105"/>
      <c r="Y128" s="105"/>
      <c r="Z128" s="105"/>
      <c r="AA128" s="108"/>
      <c r="AB128" s="108"/>
      <c r="AC128" s="105"/>
      <c r="AD128" s="279"/>
      <c r="AE128" s="105"/>
      <c r="AF128" s="279"/>
      <c r="AG128" s="105"/>
      <c r="AH128" s="108"/>
      <c r="AI128" s="108"/>
      <c r="AJ128" s="108"/>
      <c r="AK128" s="108"/>
      <c r="AL128" s="105"/>
      <c r="AM128" s="108"/>
      <c r="AN128" s="105"/>
      <c r="AO128" s="108"/>
      <c r="AP128" s="108"/>
      <c r="AQ128" s="105"/>
      <c r="AR128" s="108"/>
      <c r="AS128" s="108"/>
      <c r="AT128" s="105"/>
      <c r="AU128" s="105"/>
      <c r="AV128" s="105"/>
      <c r="AW128" s="105"/>
      <c r="AX128" s="105"/>
      <c r="AY128" s="105"/>
      <c r="AZ128" s="105"/>
      <c r="BA128" s="105"/>
      <c r="BB128" s="105"/>
      <c r="BC128" s="105"/>
      <c r="BD128" s="108"/>
      <c r="BE128" s="83">
        <f>IF($A128="","",IF(TRIM($D128&amp;"")="",IF(TRIM($AX128&amp;$AY128&amp;$AZ128&amp;$BA128&amp;$BB128&amp;$BC128&amp;$BD128&amp;"")="","","SUBARRENDADO"),IFERROR(IF(VLOOKUP($D128,VEHICULOS!$A$3:$H$202,7,FALSE)="","",VLOOKUP($D128,VEHICULOS!$A$3:$H$202,7,FALSE)),"")))</f>
      </c>
      <c r="BF128" s="82">
        <f>IF($A128="","",IF(TRIM($BC128&amp;"")&lt;&gt;"",$BC128,IF(TRIM($D128&amp;"")="","",IFERROR(IF(VLOOKUP($D128,VEHICULOS!$A$3:$H$202,8,FALSE)="","",VLOOKUP($D128,VEHICULOS!$A$3:$H$202,8,FALSE)),""))))</f>
      </c>
      <c r="BG128" s="106"/>
      <c r="BH128" s="107"/>
      <c r="BI128" s="86">
        <f t="shared" si="15"/>
      </c>
      <c r="BJ128" s="83">
        <f t="shared" si="16"/>
      </c>
      <c r="BK128" s="85">
        <f t="shared" si="17"/>
      </c>
      <c r="BL128" s="85">
        <f t="shared" si="18"/>
      </c>
      <c r="BM128" s="108"/>
      <c r="BN128" s="85">
        <f t="shared" si="19"/>
      </c>
      <c r="BO128" s="108"/>
      <c r="BP128" s="85">
        <f t="shared" si="20"/>
      </c>
      <c r="BQ128" s="85">
        <f t="shared" si="21"/>
      </c>
      <c r="BR128" s="108"/>
      <c r="BS128" s="104"/>
      <c r="BT128" s="87">
        <f t="shared" si="22"/>
      </c>
      <c r="BU128" s="85">
        <f t="shared" si="23"/>
      </c>
      <c r="BV128" s="85">
        <f t="shared" si="24"/>
      </c>
      <c r="BW128" s="87">
        <f t="shared" si="25"/>
      </c>
      <c r="BX128" s="104"/>
      <c r="BY128" s="106"/>
      <c r="BZ128" s="104"/>
      <c r="CA128" s="105"/>
      <c r="CB128" s="77">
        <f>IF($A128="",0,IF($B128='FICHA CLIENTE'!$C$4,1,0))</f>
      </c>
      <c r="CC128" s="77">
        <f t="shared" si="26"/>
      </c>
      <c r="CD128" s="77">
        <f>IF($A128="",0,IF($D128='FICHA VEHICULO'!$C$4,1,0))</f>
      </c>
      <c r="CE128" s="77">
        <f t="shared" si="27"/>
      </c>
      <c r="CF128" s="77">
        <f t="shared" si="28"/>
      </c>
      <c r="CG128" s="77">
        <f t="shared" si="29"/>
      </c>
    </row>
    <row r="129" spans="1:85" ht="19.5" customHeight="1" x14ac:dyDescent="0.2">
      <c r="A129" s="104"/>
      <c r="B129" s="104"/>
      <c r="C129" s="105"/>
      <c r="D129" s="104"/>
      <c r="E129" s="105"/>
      <c r="F129" s="106"/>
      <c r="G129" s="104"/>
      <c r="H129" s="106"/>
      <c r="I129" s="107"/>
      <c r="J129" s="108"/>
      <c r="K129" s="108"/>
      <c r="L129" s="108"/>
      <c r="M129" s="105"/>
      <c r="N129" s="105"/>
      <c r="O129" s="105"/>
      <c r="P129" s="108"/>
      <c r="Q129" s="105"/>
      <c r="R129" s="105"/>
      <c r="S129" s="105"/>
      <c r="T129" s="105"/>
      <c r="U129" s="108"/>
      <c r="V129" s="105"/>
      <c r="W129" s="105"/>
      <c r="X129" s="105"/>
      <c r="Y129" s="105"/>
      <c r="Z129" s="105"/>
      <c r="AA129" s="108"/>
      <c r="AB129" s="108"/>
      <c r="AC129" s="105"/>
      <c r="AD129" s="279"/>
      <c r="AE129" s="105"/>
      <c r="AF129" s="279"/>
      <c r="AG129" s="105"/>
      <c r="AH129" s="108"/>
      <c r="AI129" s="108"/>
      <c r="AJ129" s="108"/>
      <c r="AK129" s="108"/>
      <c r="AL129" s="105"/>
      <c r="AM129" s="108"/>
      <c r="AN129" s="105"/>
      <c r="AO129" s="108"/>
      <c r="AP129" s="108"/>
      <c r="AQ129" s="105"/>
      <c r="AR129" s="108"/>
      <c r="AS129" s="108"/>
      <c r="AT129" s="105"/>
      <c r="AU129" s="105"/>
      <c r="AV129" s="105"/>
      <c r="AW129" s="105"/>
      <c r="AX129" s="105"/>
      <c r="AY129" s="105"/>
      <c r="AZ129" s="105"/>
      <c r="BA129" s="105"/>
      <c r="BB129" s="105"/>
      <c r="BC129" s="105"/>
      <c r="BD129" s="108"/>
      <c r="BE129" s="83">
        <f>IF($A129="","",IF(TRIM($D129&amp;"")="",IF(TRIM($AX129&amp;$AY129&amp;$AZ129&amp;$BA129&amp;$BB129&amp;$BC129&amp;$BD129&amp;"")="","","SUBARRENDADO"),IFERROR(IF(VLOOKUP($D129,VEHICULOS!$A$3:$H$202,7,FALSE)="","",VLOOKUP($D129,VEHICULOS!$A$3:$H$202,7,FALSE)),"")))</f>
      </c>
      <c r="BF129" s="82">
        <f>IF($A129="","",IF(TRIM($BC129&amp;"")&lt;&gt;"",$BC129,IF(TRIM($D129&amp;"")="","",IFERROR(IF(VLOOKUP($D129,VEHICULOS!$A$3:$H$202,8,FALSE)="","",VLOOKUP($D129,VEHICULOS!$A$3:$H$202,8,FALSE)),""))))</f>
      </c>
      <c r="BG129" s="106"/>
      <c r="BH129" s="107"/>
      <c r="BI129" s="86">
        <f t="shared" si="15"/>
      </c>
      <c r="BJ129" s="83">
        <f t="shared" si="16"/>
      </c>
      <c r="BK129" s="85">
        <f t="shared" si="17"/>
      </c>
      <c r="BL129" s="85">
        <f t="shared" si="18"/>
      </c>
      <c r="BM129" s="108"/>
      <c r="BN129" s="85">
        <f t="shared" si="19"/>
      </c>
      <c r="BO129" s="108"/>
      <c r="BP129" s="85">
        <f t="shared" si="20"/>
      </c>
      <c r="BQ129" s="85">
        <f t="shared" si="21"/>
      </c>
      <c r="BR129" s="108"/>
      <c r="BS129" s="104"/>
      <c r="BT129" s="87">
        <f t="shared" si="22"/>
      </c>
      <c r="BU129" s="85">
        <f t="shared" si="23"/>
      </c>
      <c r="BV129" s="85">
        <f t="shared" si="24"/>
      </c>
      <c r="BW129" s="87">
        <f t="shared" si="25"/>
      </c>
      <c r="BX129" s="104"/>
      <c r="BY129" s="106"/>
      <c r="BZ129" s="104"/>
      <c r="CA129" s="105"/>
      <c r="CB129" s="77">
        <f>IF($A129="",0,IF($B129='FICHA CLIENTE'!$C$4,1,0))</f>
      </c>
      <c r="CC129" s="77">
        <f t="shared" si="26"/>
      </c>
      <c r="CD129" s="77">
        <f>IF($A129="",0,IF($D129='FICHA VEHICULO'!$C$4,1,0))</f>
      </c>
      <c r="CE129" s="77">
        <f t="shared" si="27"/>
      </c>
      <c r="CF129" s="77">
        <f t="shared" si="28"/>
      </c>
      <c r="CG129" s="77">
        <f t="shared" si="29"/>
      </c>
    </row>
    <row r="130" spans="1:85" ht="19.5" customHeight="1" x14ac:dyDescent="0.2">
      <c r="A130" s="104"/>
      <c r="B130" s="104"/>
      <c r="C130" s="105"/>
      <c r="D130" s="104"/>
      <c r="E130" s="105"/>
      <c r="F130" s="106"/>
      <c r="G130" s="104"/>
      <c r="H130" s="106"/>
      <c r="I130" s="107"/>
      <c r="J130" s="108"/>
      <c r="K130" s="108"/>
      <c r="L130" s="108"/>
      <c r="M130" s="105"/>
      <c r="N130" s="105"/>
      <c r="O130" s="105"/>
      <c r="P130" s="108"/>
      <c r="Q130" s="105"/>
      <c r="R130" s="105"/>
      <c r="S130" s="105"/>
      <c r="T130" s="105"/>
      <c r="U130" s="108"/>
      <c r="V130" s="105"/>
      <c r="W130" s="105"/>
      <c r="X130" s="105"/>
      <c r="Y130" s="105"/>
      <c r="Z130" s="105"/>
      <c r="AA130" s="108"/>
      <c r="AB130" s="108"/>
      <c r="AC130" s="105"/>
      <c r="AD130" s="279"/>
      <c r="AE130" s="105"/>
      <c r="AF130" s="279"/>
      <c r="AG130" s="105"/>
      <c r="AH130" s="108"/>
      <c r="AI130" s="108"/>
      <c r="AJ130" s="108"/>
      <c r="AK130" s="108"/>
      <c r="AL130" s="105"/>
      <c r="AM130" s="108"/>
      <c r="AN130" s="105"/>
      <c r="AO130" s="108"/>
      <c r="AP130" s="108"/>
      <c r="AQ130" s="105"/>
      <c r="AR130" s="108"/>
      <c r="AS130" s="108"/>
      <c r="AT130" s="105"/>
      <c r="AU130" s="105"/>
      <c r="AV130" s="105"/>
      <c r="AW130" s="105"/>
      <c r="AX130" s="105"/>
      <c r="AY130" s="105"/>
      <c r="AZ130" s="105"/>
      <c r="BA130" s="105"/>
      <c r="BB130" s="105"/>
      <c r="BC130" s="105"/>
      <c r="BD130" s="108"/>
      <c r="BE130" s="83">
        <f>IF($A130="","",IF(TRIM($D130&amp;"")="",IF(TRIM($AX130&amp;$AY130&amp;$AZ130&amp;$BA130&amp;$BB130&amp;$BC130&amp;$BD130&amp;"")="","","SUBARRENDADO"),IFERROR(IF(VLOOKUP($D130,VEHICULOS!$A$3:$H$202,7,FALSE)="","",VLOOKUP($D130,VEHICULOS!$A$3:$H$202,7,FALSE)),"")))</f>
      </c>
      <c r="BF130" s="82">
        <f>IF($A130="","",IF(TRIM($BC130&amp;"")&lt;&gt;"",$BC130,IF(TRIM($D130&amp;"")="","",IFERROR(IF(VLOOKUP($D130,VEHICULOS!$A$3:$H$202,8,FALSE)="","",VLOOKUP($D130,VEHICULOS!$A$3:$H$202,8,FALSE)),""))))</f>
      </c>
      <c r="BG130" s="106"/>
      <c r="BH130" s="107"/>
      <c r="BI130" s="86">
        <f t="shared" si="15"/>
      </c>
      <c r="BJ130" s="83">
        <f t="shared" si="16"/>
      </c>
      <c r="BK130" s="85">
        <f t="shared" si="17"/>
      </c>
      <c r="BL130" s="85">
        <f t="shared" si="18"/>
      </c>
      <c r="BM130" s="108"/>
      <c r="BN130" s="85">
        <f t="shared" si="19"/>
      </c>
      <c r="BO130" s="108"/>
      <c r="BP130" s="85">
        <f t="shared" si="20"/>
      </c>
      <c r="BQ130" s="85">
        <f t="shared" si="21"/>
      </c>
      <c r="BR130" s="108"/>
      <c r="BS130" s="104"/>
      <c r="BT130" s="87">
        <f t="shared" si="22"/>
      </c>
      <c r="BU130" s="85">
        <f t="shared" si="23"/>
      </c>
      <c r="BV130" s="85">
        <f t="shared" si="24"/>
      </c>
      <c r="BW130" s="87">
        <f t="shared" si="25"/>
      </c>
      <c r="BX130" s="104"/>
      <c r="BY130" s="106"/>
      <c r="BZ130" s="104"/>
      <c r="CA130" s="105"/>
      <c r="CB130" s="77">
        <f>IF($A130="",0,IF($B130='FICHA CLIENTE'!$C$4,1,0))</f>
      </c>
      <c r="CC130" s="77">
        <f t="shared" si="26"/>
      </c>
      <c r="CD130" s="77">
        <f>IF($A130="",0,IF($D130='FICHA VEHICULO'!$C$4,1,0))</f>
      </c>
      <c r="CE130" s="77">
        <f t="shared" si="27"/>
      </c>
      <c r="CF130" s="77">
        <f t="shared" si="28"/>
      </c>
      <c r="CG130" s="77">
        <f t="shared" si="29"/>
      </c>
    </row>
    <row r="131" spans="1:85" ht="19.5" customHeight="1" x14ac:dyDescent="0.2">
      <c r="A131" s="104"/>
      <c r="B131" s="104"/>
      <c r="C131" s="105"/>
      <c r="D131" s="104"/>
      <c r="E131" s="105"/>
      <c r="F131" s="106"/>
      <c r="G131" s="104"/>
      <c r="H131" s="106"/>
      <c r="I131" s="107"/>
      <c r="J131" s="108"/>
      <c r="K131" s="108"/>
      <c r="L131" s="108"/>
      <c r="M131" s="105"/>
      <c r="N131" s="105"/>
      <c r="O131" s="105"/>
      <c r="P131" s="108"/>
      <c r="Q131" s="105"/>
      <c r="R131" s="105"/>
      <c r="S131" s="105"/>
      <c r="T131" s="105"/>
      <c r="U131" s="108"/>
      <c r="V131" s="105"/>
      <c r="W131" s="105"/>
      <c r="X131" s="105"/>
      <c r="Y131" s="105"/>
      <c r="Z131" s="105"/>
      <c r="AA131" s="108"/>
      <c r="AB131" s="108"/>
      <c r="AC131" s="105"/>
      <c r="AD131" s="279"/>
      <c r="AE131" s="105"/>
      <c r="AF131" s="279"/>
      <c r="AG131" s="105"/>
      <c r="AH131" s="108"/>
      <c r="AI131" s="108"/>
      <c r="AJ131" s="108"/>
      <c r="AK131" s="108"/>
      <c r="AL131" s="105"/>
      <c r="AM131" s="108"/>
      <c r="AN131" s="105"/>
      <c r="AO131" s="108"/>
      <c r="AP131" s="108"/>
      <c r="AQ131" s="105"/>
      <c r="AR131" s="108"/>
      <c r="AS131" s="108"/>
      <c r="AT131" s="105"/>
      <c r="AU131" s="105"/>
      <c r="AV131" s="105"/>
      <c r="AW131" s="105"/>
      <c r="AX131" s="105"/>
      <c r="AY131" s="105"/>
      <c r="AZ131" s="105"/>
      <c r="BA131" s="105"/>
      <c r="BB131" s="105"/>
      <c r="BC131" s="105"/>
      <c r="BD131" s="108"/>
      <c r="BE131" s="83">
        <f>IF($A131="","",IF(TRIM($D131&amp;"")="",IF(TRIM($AX131&amp;$AY131&amp;$AZ131&amp;$BA131&amp;$BB131&amp;$BC131&amp;$BD131&amp;"")="","","SUBARRENDADO"),IFERROR(IF(VLOOKUP($D131,VEHICULOS!$A$3:$H$202,7,FALSE)="","",VLOOKUP($D131,VEHICULOS!$A$3:$H$202,7,FALSE)),"")))</f>
      </c>
      <c r="BF131" s="82">
        <f>IF($A131="","",IF(TRIM($BC131&amp;"")&lt;&gt;"",$BC131,IF(TRIM($D131&amp;"")="","",IFERROR(IF(VLOOKUP($D131,VEHICULOS!$A$3:$H$202,8,FALSE)="","",VLOOKUP($D131,VEHICULOS!$A$3:$H$202,8,FALSE)),""))))</f>
      </c>
      <c r="BG131" s="106"/>
      <c r="BH131" s="107"/>
      <c r="BI131" s="86">
        <f t="shared" si="15"/>
      </c>
      <c r="BJ131" s="83">
        <f t="shared" si="16"/>
      </c>
      <c r="BK131" s="85">
        <f t="shared" si="17"/>
      </c>
      <c r="BL131" s="85">
        <f t="shared" si="18"/>
      </c>
      <c r="BM131" s="108"/>
      <c r="BN131" s="85">
        <f t="shared" si="19"/>
      </c>
      <c r="BO131" s="108"/>
      <c r="BP131" s="85">
        <f t="shared" si="20"/>
      </c>
      <c r="BQ131" s="85">
        <f t="shared" si="21"/>
      </c>
      <c r="BR131" s="108"/>
      <c r="BS131" s="104"/>
      <c r="BT131" s="87">
        <f t="shared" si="22"/>
      </c>
      <c r="BU131" s="85">
        <f t="shared" si="23"/>
      </c>
      <c r="BV131" s="85">
        <f t="shared" si="24"/>
      </c>
      <c r="BW131" s="87">
        <f t="shared" si="25"/>
      </c>
      <c r="BX131" s="104"/>
      <c r="BY131" s="106"/>
      <c r="BZ131" s="104"/>
      <c r="CA131" s="105"/>
      <c r="CB131" s="77">
        <f>IF($A131="",0,IF($B131='FICHA CLIENTE'!$C$4,1,0))</f>
      </c>
      <c r="CC131" s="77">
        <f t="shared" si="26"/>
      </c>
      <c r="CD131" s="77">
        <f>IF($A131="",0,IF($D131='FICHA VEHICULO'!$C$4,1,0))</f>
      </c>
      <c r="CE131" s="77">
        <f t="shared" si="27"/>
      </c>
      <c r="CF131" s="77">
        <f t="shared" si="28"/>
      </c>
      <c r="CG131" s="77">
        <f t="shared" si="29"/>
      </c>
    </row>
    <row r="132" spans="1:85" ht="19.5" customHeight="1" x14ac:dyDescent="0.2">
      <c r="A132" s="104"/>
      <c r="B132" s="104"/>
      <c r="C132" s="105"/>
      <c r="D132" s="104"/>
      <c r="E132" s="105"/>
      <c r="F132" s="106"/>
      <c r="G132" s="104"/>
      <c r="H132" s="106"/>
      <c r="I132" s="107"/>
      <c r="J132" s="108"/>
      <c r="K132" s="108"/>
      <c r="L132" s="108"/>
      <c r="M132" s="105"/>
      <c r="N132" s="105"/>
      <c r="O132" s="105"/>
      <c r="P132" s="108"/>
      <c r="Q132" s="105"/>
      <c r="R132" s="105"/>
      <c r="S132" s="105"/>
      <c r="T132" s="105"/>
      <c r="U132" s="108"/>
      <c r="V132" s="105"/>
      <c r="W132" s="105"/>
      <c r="X132" s="105"/>
      <c r="Y132" s="105"/>
      <c r="Z132" s="105"/>
      <c r="AA132" s="108"/>
      <c r="AB132" s="108"/>
      <c r="AC132" s="105"/>
      <c r="AD132" s="279"/>
      <c r="AE132" s="105"/>
      <c r="AF132" s="279"/>
      <c r="AG132" s="105"/>
      <c r="AH132" s="108"/>
      <c r="AI132" s="108"/>
      <c r="AJ132" s="108"/>
      <c r="AK132" s="108"/>
      <c r="AL132" s="105"/>
      <c r="AM132" s="108"/>
      <c r="AN132" s="105"/>
      <c r="AO132" s="108"/>
      <c r="AP132" s="108"/>
      <c r="AQ132" s="105"/>
      <c r="AR132" s="108"/>
      <c r="AS132" s="108"/>
      <c r="AT132" s="105"/>
      <c r="AU132" s="105"/>
      <c r="AV132" s="105"/>
      <c r="AW132" s="105"/>
      <c r="AX132" s="105"/>
      <c r="AY132" s="105"/>
      <c r="AZ132" s="105"/>
      <c r="BA132" s="105"/>
      <c r="BB132" s="105"/>
      <c r="BC132" s="105"/>
      <c r="BD132" s="108"/>
      <c r="BE132" s="83">
        <f>IF($A132="","",IF(TRIM($D132&amp;"")="",IF(TRIM($AX132&amp;$AY132&amp;$AZ132&amp;$BA132&amp;$BB132&amp;$BC132&amp;$BD132&amp;"")="","","SUBARRENDADO"),IFERROR(IF(VLOOKUP($D132,VEHICULOS!$A$3:$H$202,7,FALSE)="","",VLOOKUP($D132,VEHICULOS!$A$3:$H$202,7,FALSE)),"")))</f>
      </c>
      <c r="BF132" s="82">
        <f>IF($A132="","",IF(TRIM($BC132&amp;"")&lt;&gt;"",$BC132,IF(TRIM($D132&amp;"")="","",IFERROR(IF(VLOOKUP($D132,VEHICULOS!$A$3:$H$202,8,FALSE)="","",VLOOKUP($D132,VEHICULOS!$A$3:$H$202,8,FALSE)),""))))</f>
      </c>
      <c r="BG132" s="106"/>
      <c r="BH132" s="107"/>
      <c r="BI132" s="86">
        <f t="shared" si="15"/>
      </c>
      <c r="BJ132" s="83">
        <f t="shared" si="16"/>
      </c>
      <c r="BK132" s="85">
        <f t="shared" si="17"/>
      </c>
      <c r="BL132" s="85">
        <f t="shared" si="18"/>
      </c>
      <c r="BM132" s="108"/>
      <c r="BN132" s="85">
        <f t="shared" si="19"/>
      </c>
      <c r="BO132" s="108"/>
      <c r="BP132" s="85">
        <f t="shared" si="20"/>
      </c>
      <c r="BQ132" s="85">
        <f t="shared" si="21"/>
      </c>
      <c r="BR132" s="108"/>
      <c r="BS132" s="104"/>
      <c r="BT132" s="87">
        <f t="shared" si="22"/>
      </c>
      <c r="BU132" s="85">
        <f t="shared" si="23"/>
      </c>
      <c r="BV132" s="85">
        <f t="shared" si="24"/>
      </c>
      <c r="BW132" s="87">
        <f t="shared" si="25"/>
      </c>
      <c r="BX132" s="104"/>
      <c r="BY132" s="106"/>
      <c r="BZ132" s="104"/>
      <c r="CA132" s="105"/>
      <c r="CB132" s="77">
        <f>IF($A132="",0,IF($B132='FICHA CLIENTE'!$C$4,1,0))</f>
      </c>
      <c r="CC132" s="77">
        <f t="shared" si="26"/>
      </c>
      <c r="CD132" s="77">
        <f>IF($A132="",0,IF($D132='FICHA VEHICULO'!$C$4,1,0))</f>
      </c>
      <c r="CE132" s="77">
        <f t="shared" si="27"/>
      </c>
      <c r="CF132" s="77">
        <f t="shared" si="28"/>
      </c>
      <c r="CG132" s="77">
        <f t="shared" si="29"/>
      </c>
    </row>
    <row r="133" spans="1:85" ht="19.5" customHeight="1" x14ac:dyDescent="0.2">
      <c r="A133" s="104"/>
      <c r="B133" s="104"/>
      <c r="C133" s="105"/>
      <c r="D133" s="104"/>
      <c r="E133" s="105"/>
      <c r="F133" s="106"/>
      <c r="G133" s="104"/>
      <c r="H133" s="106"/>
      <c r="I133" s="107"/>
      <c r="J133" s="108"/>
      <c r="K133" s="108"/>
      <c r="L133" s="108"/>
      <c r="M133" s="105"/>
      <c r="N133" s="105"/>
      <c r="O133" s="105"/>
      <c r="P133" s="108"/>
      <c r="Q133" s="105"/>
      <c r="R133" s="105"/>
      <c r="S133" s="105"/>
      <c r="T133" s="105"/>
      <c r="U133" s="108"/>
      <c r="V133" s="105"/>
      <c r="W133" s="105"/>
      <c r="X133" s="105"/>
      <c r="Y133" s="105"/>
      <c r="Z133" s="105"/>
      <c r="AA133" s="108"/>
      <c r="AB133" s="108"/>
      <c r="AC133" s="105"/>
      <c r="AD133" s="279"/>
      <c r="AE133" s="105"/>
      <c r="AF133" s="279"/>
      <c r="AG133" s="105"/>
      <c r="AH133" s="108"/>
      <c r="AI133" s="108"/>
      <c r="AJ133" s="108"/>
      <c r="AK133" s="108"/>
      <c r="AL133" s="105"/>
      <c r="AM133" s="108"/>
      <c r="AN133" s="105"/>
      <c r="AO133" s="108"/>
      <c r="AP133" s="108"/>
      <c r="AQ133" s="105"/>
      <c r="AR133" s="108"/>
      <c r="AS133" s="108"/>
      <c r="AT133" s="105"/>
      <c r="AU133" s="105"/>
      <c r="AV133" s="105"/>
      <c r="AW133" s="105"/>
      <c r="AX133" s="105"/>
      <c r="AY133" s="105"/>
      <c r="AZ133" s="105"/>
      <c r="BA133" s="105"/>
      <c r="BB133" s="105"/>
      <c r="BC133" s="105"/>
      <c r="BD133" s="108"/>
      <c r="BE133" s="83">
        <f>IF($A133="","",IF(TRIM($D133&amp;"")="",IF(TRIM($AX133&amp;$AY133&amp;$AZ133&amp;$BA133&amp;$BB133&amp;$BC133&amp;$BD133&amp;"")="","","SUBARRENDADO"),IFERROR(IF(VLOOKUP($D133,VEHICULOS!$A$3:$H$202,7,FALSE)="","",VLOOKUP($D133,VEHICULOS!$A$3:$H$202,7,FALSE)),"")))</f>
      </c>
      <c r="BF133" s="82">
        <f>IF($A133="","",IF(TRIM($BC133&amp;"")&lt;&gt;"",$BC133,IF(TRIM($D133&amp;"")="","",IFERROR(IF(VLOOKUP($D133,VEHICULOS!$A$3:$H$202,8,FALSE)="","",VLOOKUP($D133,VEHICULOS!$A$3:$H$202,8,FALSE)),""))))</f>
      </c>
      <c r="BG133" s="106"/>
      <c r="BH133" s="107"/>
      <c r="BI133" s="86">
        <f t="shared" si="15"/>
      </c>
      <c r="BJ133" s="83">
        <f t="shared" si="16"/>
      </c>
      <c r="BK133" s="85">
        <f t="shared" si="17"/>
      </c>
      <c r="BL133" s="85">
        <f t="shared" si="18"/>
      </c>
      <c r="BM133" s="108"/>
      <c r="BN133" s="85">
        <f t="shared" si="19"/>
      </c>
      <c r="BO133" s="108"/>
      <c r="BP133" s="85">
        <f t="shared" si="20"/>
      </c>
      <c r="BQ133" s="85">
        <f t="shared" si="21"/>
      </c>
      <c r="BR133" s="108"/>
      <c r="BS133" s="104"/>
      <c r="BT133" s="87">
        <f t="shared" si="22"/>
      </c>
      <c r="BU133" s="85">
        <f t="shared" si="23"/>
      </c>
      <c r="BV133" s="85">
        <f t="shared" si="24"/>
      </c>
      <c r="BW133" s="87">
        <f t="shared" si="25"/>
      </c>
      <c r="BX133" s="104"/>
      <c r="BY133" s="106"/>
      <c r="BZ133" s="104"/>
      <c r="CA133" s="105"/>
      <c r="CB133" s="77">
        <f>IF($A133="",0,IF($B133='FICHA CLIENTE'!$C$4,1,0))</f>
      </c>
      <c r="CC133" s="77">
        <f t="shared" si="26"/>
      </c>
      <c r="CD133" s="77">
        <f>IF($A133="",0,IF($D133='FICHA VEHICULO'!$C$4,1,0))</f>
      </c>
      <c r="CE133" s="77">
        <f t="shared" si="27"/>
      </c>
      <c r="CF133" s="77">
        <f t="shared" si="28"/>
      </c>
      <c r="CG133" s="77">
        <f t="shared" si="29"/>
      </c>
    </row>
    <row r="134" spans="1:85" ht="19.5" customHeight="1" x14ac:dyDescent="0.2">
      <c r="A134" s="104"/>
      <c r="B134" s="104"/>
      <c r="C134" s="105"/>
      <c r="D134" s="104"/>
      <c r="E134" s="105"/>
      <c r="F134" s="106"/>
      <c r="G134" s="104"/>
      <c r="H134" s="106"/>
      <c r="I134" s="107"/>
      <c r="J134" s="108"/>
      <c r="K134" s="108"/>
      <c r="L134" s="108"/>
      <c r="M134" s="105"/>
      <c r="N134" s="105"/>
      <c r="O134" s="105"/>
      <c r="P134" s="108"/>
      <c r="Q134" s="105"/>
      <c r="R134" s="105"/>
      <c r="S134" s="105"/>
      <c r="T134" s="105"/>
      <c r="U134" s="108"/>
      <c r="V134" s="105"/>
      <c r="W134" s="105"/>
      <c r="X134" s="105"/>
      <c r="Y134" s="105"/>
      <c r="Z134" s="105"/>
      <c r="AA134" s="108"/>
      <c r="AB134" s="108"/>
      <c r="AC134" s="105"/>
      <c r="AD134" s="279"/>
      <c r="AE134" s="105"/>
      <c r="AF134" s="279"/>
      <c r="AG134" s="105"/>
      <c r="AH134" s="108"/>
      <c r="AI134" s="108"/>
      <c r="AJ134" s="108"/>
      <c r="AK134" s="108"/>
      <c r="AL134" s="105"/>
      <c r="AM134" s="108"/>
      <c r="AN134" s="105"/>
      <c r="AO134" s="108"/>
      <c r="AP134" s="108"/>
      <c r="AQ134" s="105"/>
      <c r="AR134" s="108"/>
      <c r="AS134" s="108"/>
      <c r="AT134" s="105"/>
      <c r="AU134" s="105"/>
      <c r="AV134" s="105"/>
      <c r="AW134" s="105"/>
      <c r="AX134" s="105"/>
      <c r="AY134" s="105"/>
      <c r="AZ134" s="105"/>
      <c r="BA134" s="105"/>
      <c r="BB134" s="105"/>
      <c r="BC134" s="105"/>
      <c r="BD134" s="108"/>
      <c r="BE134" s="83">
        <f>IF($A134="","",IF(TRIM($D134&amp;"")="",IF(TRIM($AX134&amp;$AY134&amp;$AZ134&amp;$BA134&amp;$BB134&amp;$BC134&amp;$BD134&amp;"")="","","SUBARRENDADO"),IFERROR(IF(VLOOKUP($D134,VEHICULOS!$A$3:$H$202,7,FALSE)="","",VLOOKUP($D134,VEHICULOS!$A$3:$H$202,7,FALSE)),"")))</f>
      </c>
      <c r="BF134" s="82">
        <f>IF($A134="","",IF(TRIM($BC134&amp;"")&lt;&gt;"",$BC134,IF(TRIM($D134&amp;"")="","",IFERROR(IF(VLOOKUP($D134,VEHICULOS!$A$3:$H$202,8,FALSE)="","",VLOOKUP($D134,VEHICULOS!$A$3:$H$202,8,FALSE)),""))))</f>
      </c>
      <c r="BG134" s="106"/>
      <c r="BH134" s="107"/>
      <c r="BI134" s="86">
        <f t="shared" ref="BI134:BI197" si="30">IF(OR($BH134="",$I134=""),"",$BH134-$I134)</f>
      </c>
      <c r="BJ134" s="83">
        <f t="shared" ref="BJ134:BJ197" si="31">IF(OR($BG134="",$H134=""),"",MAX(0,$BG134-$H134))</f>
      </c>
      <c r="BK134" s="85">
        <f t="shared" ref="BK134:BK197" si="32">IF($A134="","",N($BJ134)*N($J134))</f>
      </c>
      <c r="BL134" s="85">
        <f t="shared" ref="BL134:BL197" si="33">IF($A134="","",(N($AM134)+N($AS134))*(N($G134)+N($BJ134))+N($AP134))</f>
      </c>
      <c r="BM134" s="108"/>
      <c r="BN134" s="85">
        <f t="shared" ref="BN134:BN197" si="34">IF($A134="","",N($AO134))</f>
      </c>
      <c r="BO134" s="108"/>
      <c r="BP134" s="85">
        <f t="shared" ref="BP134:BP197" si="35">IF($A134="","",N($AR134))</f>
      </c>
      <c r="BQ134" s="85">
        <f t="shared" ref="BQ134:BQ197" si="36">IF($A134="","",N($K134)+N($BK134)+N($BL134)+N($BM134)+N($BN134)+N($BO134)+N($BP134))</f>
      </c>
      <c r="BR134" s="108"/>
      <c r="BS134" s="104"/>
      <c r="BT134" s="87">
        <f t="shared" ref="BT134:BT197" si="37">IF($A134="","",ROUND((N($BQ134)-N($BR134))*(1+N($BS134)/100),2))</f>
      </c>
      <c r="BU134" s="85">
        <f t="shared" ref="BU134:BU197" si="38">IF($A134="","",N($BD134))</f>
      </c>
      <c r="BV134" s="85">
        <f t="shared" ref="BV134:BV197" si="39">IF($A134="","",N($BU134)*(N($G134)+N($BJ134)))</f>
      </c>
      <c r="BW134" s="87">
        <f t="shared" ref="BW134:BW197" si="40">IF($A134="","",N($BT134)-N($BV134))</f>
      </c>
      <c r="BX134" s="104"/>
      <c r="BY134" s="106"/>
      <c r="BZ134" s="104"/>
      <c r="CA134" s="105"/>
      <c r="CB134" s="77">
        <f>IF($A134="",0,IF($B134='FICHA CLIENTE'!$C$4,1,0))</f>
      </c>
      <c r="CC134" s="77">
        <f t="shared" ref="CC134:CC197" si="41">$CC133+$CB134</f>
      </c>
      <c r="CD134" s="77">
        <f>IF($A134="",0,IF($D134='FICHA VEHICULO'!$C$4,1,0))</f>
      </c>
      <c r="CE134" s="77">
        <f t="shared" ref="CE134:CE197" si="42">$CE133+$CD134</f>
      </c>
      <c r="CF134" s="77">
        <f t="shared" ref="CF134:CF197" si="43">IF($A134="",0,IF($BG134="",1,0))</f>
      </c>
      <c r="CG134" s="77">
        <f t="shared" ref="CG134:CG197" si="44">$CG133+$CF134</f>
      </c>
    </row>
    <row r="135" spans="1:85" ht="19.5" customHeight="1" x14ac:dyDescent="0.2">
      <c r="A135" s="104"/>
      <c r="B135" s="104"/>
      <c r="C135" s="105"/>
      <c r="D135" s="104"/>
      <c r="E135" s="105"/>
      <c r="F135" s="106"/>
      <c r="G135" s="104"/>
      <c r="H135" s="106"/>
      <c r="I135" s="107"/>
      <c r="J135" s="108"/>
      <c r="K135" s="108"/>
      <c r="L135" s="108"/>
      <c r="M135" s="105"/>
      <c r="N135" s="105"/>
      <c r="O135" s="105"/>
      <c r="P135" s="108"/>
      <c r="Q135" s="105"/>
      <c r="R135" s="105"/>
      <c r="S135" s="105"/>
      <c r="T135" s="105"/>
      <c r="U135" s="108"/>
      <c r="V135" s="105"/>
      <c r="W135" s="105"/>
      <c r="X135" s="105"/>
      <c r="Y135" s="105"/>
      <c r="Z135" s="105"/>
      <c r="AA135" s="108"/>
      <c r="AB135" s="108"/>
      <c r="AC135" s="105"/>
      <c r="AD135" s="279"/>
      <c r="AE135" s="105"/>
      <c r="AF135" s="279"/>
      <c r="AG135" s="105"/>
      <c r="AH135" s="108"/>
      <c r="AI135" s="108"/>
      <c r="AJ135" s="108"/>
      <c r="AK135" s="108"/>
      <c r="AL135" s="105"/>
      <c r="AM135" s="108"/>
      <c r="AN135" s="105"/>
      <c r="AO135" s="108"/>
      <c r="AP135" s="108"/>
      <c r="AQ135" s="105"/>
      <c r="AR135" s="108"/>
      <c r="AS135" s="108"/>
      <c r="AT135" s="105"/>
      <c r="AU135" s="105"/>
      <c r="AV135" s="105"/>
      <c r="AW135" s="105"/>
      <c r="AX135" s="105"/>
      <c r="AY135" s="105"/>
      <c r="AZ135" s="105"/>
      <c r="BA135" s="105"/>
      <c r="BB135" s="105"/>
      <c r="BC135" s="105"/>
      <c r="BD135" s="108"/>
      <c r="BE135" s="83">
        <f>IF($A135="","",IF(TRIM($D135&amp;"")="",IF(TRIM($AX135&amp;$AY135&amp;$AZ135&amp;$BA135&amp;$BB135&amp;$BC135&amp;$BD135&amp;"")="","","SUBARRENDADO"),IFERROR(IF(VLOOKUP($D135,VEHICULOS!$A$3:$H$202,7,FALSE)="","",VLOOKUP($D135,VEHICULOS!$A$3:$H$202,7,FALSE)),"")))</f>
      </c>
      <c r="BF135" s="82">
        <f>IF($A135="","",IF(TRIM($BC135&amp;"")&lt;&gt;"",$BC135,IF(TRIM($D135&amp;"")="","",IFERROR(IF(VLOOKUP($D135,VEHICULOS!$A$3:$H$202,8,FALSE)="","",VLOOKUP($D135,VEHICULOS!$A$3:$H$202,8,FALSE)),""))))</f>
      </c>
      <c r="BG135" s="106"/>
      <c r="BH135" s="107"/>
      <c r="BI135" s="86">
        <f t="shared" si="30"/>
      </c>
      <c r="BJ135" s="83">
        <f t="shared" si="31"/>
      </c>
      <c r="BK135" s="85">
        <f t="shared" si="32"/>
      </c>
      <c r="BL135" s="85">
        <f t="shared" si="33"/>
      </c>
      <c r="BM135" s="108"/>
      <c r="BN135" s="85">
        <f t="shared" si="34"/>
      </c>
      <c r="BO135" s="108"/>
      <c r="BP135" s="85">
        <f t="shared" si="35"/>
      </c>
      <c r="BQ135" s="85">
        <f t="shared" si="36"/>
      </c>
      <c r="BR135" s="108"/>
      <c r="BS135" s="104"/>
      <c r="BT135" s="87">
        <f t="shared" si="37"/>
      </c>
      <c r="BU135" s="85">
        <f t="shared" si="38"/>
      </c>
      <c r="BV135" s="85">
        <f t="shared" si="39"/>
      </c>
      <c r="BW135" s="87">
        <f t="shared" si="40"/>
      </c>
      <c r="BX135" s="104"/>
      <c r="BY135" s="106"/>
      <c r="BZ135" s="104"/>
      <c r="CA135" s="105"/>
      <c r="CB135" s="77">
        <f>IF($A135="",0,IF($B135='FICHA CLIENTE'!$C$4,1,0))</f>
      </c>
      <c r="CC135" s="77">
        <f t="shared" si="41"/>
      </c>
      <c r="CD135" s="77">
        <f>IF($A135="",0,IF($D135='FICHA VEHICULO'!$C$4,1,0))</f>
      </c>
      <c r="CE135" s="77">
        <f t="shared" si="42"/>
      </c>
      <c r="CF135" s="77">
        <f t="shared" si="43"/>
      </c>
      <c r="CG135" s="77">
        <f t="shared" si="44"/>
      </c>
    </row>
    <row r="136" spans="1:85" ht="19.5" customHeight="1" x14ac:dyDescent="0.2">
      <c r="A136" s="104"/>
      <c r="B136" s="104"/>
      <c r="C136" s="105"/>
      <c r="D136" s="104"/>
      <c r="E136" s="105"/>
      <c r="F136" s="106"/>
      <c r="G136" s="104"/>
      <c r="H136" s="106"/>
      <c r="I136" s="107"/>
      <c r="J136" s="108"/>
      <c r="K136" s="108"/>
      <c r="L136" s="108"/>
      <c r="M136" s="105"/>
      <c r="N136" s="105"/>
      <c r="O136" s="105"/>
      <c r="P136" s="108"/>
      <c r="Q136" s="105"/>
      <c r="R136" s="105"/>
      <c r="S136" s="105"/>
      <c r="T136" s="105"/>
      <c r="U136" s="108"/>
      <c r="V136" s="105"/>
      <c r="W136" s="105"/>
      <c r="X136" s="105"/>
      <c r="Y136" s="105"/>
      <c r="Z136" s="105"/>
      <c r="AA136" s="108"/>
      <c r="AB136" s="108"/>
      <c r="AC136" s="105"/>
      <c r="AD136" s="279"/>
      <c r="AE136" s="105"/>
      <c r="AF136" s="279"/>
      <c r="AG136" s="105"/>
      <c r="AH136" s="108"/>
      <c r="AI136" s="108"/>
      <c r="AJ136" s="108"/>
      <c r="AK136" s="108"/>
      <c r="AL136" s="105"/>
      <c r="AM136" s="108"/>
      <c r="AN136" s="105"/>
      <c r="AO136" s="108"/>
      <c r="AP136" s="108"/>
      <c r="AQ136" s="105"/>
      <c r="AR136" s="108"/>
      <c r="AS136" s="108"/>
      <c r="AT136" s="105"/>
      <c r="AU136" s="105"/>
      <c r="AV136" s="105"/>
      <c r="AW136" s="105"/>
      <c r="AX136" s="105"/>
      <c r="AY136" s="105"/>
      <c r="AZ136" s="105"/>
      <c r="BA136" s="105"/>
      <c r="BB136" s="105"/>
      <c r="BC136" s="105"/>
      <c r="BD136" s="108"/>
      <c r="BE136" s="83">
        <f>IF($A136="","",IF(TRIM($D136&amp;"")="",IF(TRIM($AX136&amp;$AY136&amp;$AZ136&amp;$BA136&amp;$BB136&amp;$BC136&amp;$BD136&amp;"")="","","SUBARRENDADO"),IFERROR(IF(VLOOKUP($D136,VEHICULOS!$A$3:$H$202,7,FALSE)="","",VLOOKUP($D136,VEHICULOS!$A$3:$H$202,7,FALSE)),"")))</f>
      </c>
      <c r="BF136" s="82">
        <f>IF($A136="","",IF(TRIM($BC136&amp;"")&lt;&gt;"",$BC136,IF(TRIM($D136&amp;"")="","",IFERROR(IF(VLOOKUP($D136,VEHICULOS!$A$3:$H$202,8,FALSE)="","",VLOOKUP($D136,VEHICULOS!$A$3:$H$202,8,FALSE)),""))))</f>
      </c>
      <c r="BG136" s="106"/>
      <c r="BH136" s="107"/>
      <c r="BI136" s="86">
        <f t="shared" si="30"/>
      </c>
      <c r="BJ136" s="83">
        <f t="shared" si="31"/>
      </c>
      <c r="BK136" s="85">
        <f t="shared" si="32"/>
      </c>
      <c r="BL136" s="85">
        <f t="shared" si="33"/>
      </c>
      <c r="BM136" s="108"/>
      <c r="BN136" s="85">
        <f t="shared" si="34"/>
      </c>
      <c r="BO136" s="108"/>
      <c r="BP136" s="85">
        <f t="shared" si="35"/>
      </c>
      <c r="BQ136" s="85">
        <f t="shared" si="36"/>
      </c>
      <c r="BR136" s="108"/>
      <c r="BS136" s="104"/>
      <c r="BT136" s="87">
        <f t="shared" si="37"/>
      </c>
      <c r="BU136" s="85">
        <f t="shared" si="38"/>
      </c>
      <c r="BV136" s="85">
        <f t="shared" si="39"/>
      </c>
      <c r="BW136" s="87">
        <f t="shared" si="40"/>
      </c>
      <c r="BX136" s="104"/>
      <c r="BY136" s="106"/>
      <c r="BZ136" s="104"/>
      <c r="CA136" s="105"/>
      <c r="CB136" s="77">
        <f>IF($A136="",0,IF($B136='FICHA CLIENTE'!$C$4,1,0))</f>
      </c>
      <c r="CC136" s="77">
        <f t="shared" si="41"/>
      </c>
      <c r="CD136" s="77">
        <f>IF($A136="",0,IF($D136='FICHA VEHICULO'!$C$4,1,0))</f>
      </c>
      <c r="CE136" s="77">
        <f t="shared" si="42"/>
      </c>
      <c r="CF136" s="77">
        <f t="shared" si="43"/>
      </c>
      <c r="CG136" s="77">
        <f t="shared" si="44"/>
      </c>
    </row>
    <row r="137" spans="1:85" ht="19.5" customHeight="1" x14ac:dyDescent="0.2">
      <c r="A137" s="104"/>
      <c r="B137" s="104"/>
      <c r="C137" s="105"/>
      <c r="D137" s="104"/>
      <c r="E137" s="105"/>
      <c r="F137" s="106"/>
      <c r="G137" s="104"/>
      <c r="H137" s="106"/>
      <c r="I137" s="107"/>
      <c r="J137" s="108"/>
      <c r="K137" s="108"/>
      <c r="L137" s="108"/>
      <c r="M137" s="105"/>
      <c r="N137" s="105"/>
      <c r="O137" s="105"/>
      <c r="P137" s="108"/>
      <c r="Q137" s="105"/>
      <c r="R137" s="105"/>
      <c r="S137" s="105"/>
      <c r="T137" s="105"/>
      <c r="U137" s="108"/>
      <c r="V137" s="105"/>
      <c r="W137" s="105"/>
      <c r="X137" s="105"/>
      <c r="Y137" s="105"/>
      <c r="Z137" s="105"/>
      <c r="AA137" s="108"/>
      <c r="AB137" s="108"/>
      <c r="AC137" s="105"/>
      <c r="AD137" s="279"/>
      <c r="AE137" s="105"/>
      <c r="AF137" s="279"/>
      <c r="AG137" s="105"/>
      <c r="AH137" s="108"/>
      <c r="AI137" s="108"/>
      <c r="AJ137" s="108"/>
      <c r="AK137" s="108"/>
      <c r="AL137" s="105"/>
      <c r="AM137" s="108"/>
      <c r="AN137" s="105"/>
      <c r="AO137" s="108"/>
      <c r="AP137" s="108"/>
      <c r="AQ137" s="105"/>
      <c r="AR137" s="108"/>
      <c r="AS137" s="108"/>
      <c r="AT137" s="105"/>
      <c r="AU137" s="105"/>
      <c r="AV137" s="105"/>
      <c r="AW137" s="105"/>
      <c r="AX137" s="105"/>
      <c r="AY137" s="105"/>
      <c r="AZ137" s="105"/>
      <c r="BA137" s="105"/>
      <c r="BB137" s="105"/>
      <c r="BC137" s="105"/>
      <c r="BD137" s="108"/>
      <c r="BE137" s="83">
        <f>IF($A137="","",IF(TRIM($D137&amp;"")="",IF(TRIM($AX137&amp;$AY137&amp;$AZ137&amp;$BA137&amp;$BB137&amp;$BC137&amp;$BD137&amp;"")="","","SUBARRENDADO"),IFERROR(IF(VLOOKUP($D137,VEHICULOS!$A$3:$H$202,7,FALSE)="","",VLOOKUP($D137,VEHICULOS!$A$3:$H$202,7,FALSE)),"")))</f>
      </c>
      <c r="BF137" s="82">
        <f>IF($A137="","",IF(TRIM($BC137&amp;"")&lt;&gt;"",$BC137,IF(TRIM($D137&amp;"")="","",IFERROR(IF(VLOOKUP($D137,VEHICULOS!$A$3:$H$202,8,FALSE)="","",VLOOKUP($D137,VEHICULOS!$A$3:$H$202,8,FALSE)),""))))</f>
      </c>
      <c r="BG137" s="106"/>
      <c r="BH137" s="107"/>
      <c r="BI137" s="86">
        <f t="shared" si="30"/>
      </c>
      <c r="BJ137" s="83">
        <f t="shared" si="31"/>
      </c>
      <c r="BK137" s="85">
        <f t="shared" si="32"/>
      </c>
      <c r="BL137" s="85">
        <f t="shared" si="33"/>
      </c>
      <c r="BM137" s="108"/>
      <c r="BN137" s="85">
        <f t="shared" si="34"/>
      </c>
      <c r="BO137" s="108"/>
      <c r="BP137" s="85">
        <f t="shared" si="35"/>
      </c>
      <c r="BQ137" s="85">
        <f t="shared" si="36"/>
      </c>
      <c r="BR137" s="108"/>
      <c r="BS137" s="104"/>
      <c r="BT137" s="87">
        <f t="shared" si="37"/>
      </c>
      <c r="BU137" s="85">
        <f t="shared" si="38"/>
      </c>
      <c r="BV137" s="85">
        <f t="shared" si="39"/>
      </c>
      <c r="BW137" s="87">
        <f t="shared" si="40"/>
      </c>
      <c r="BX137" s="104"/>
      <c r="BY137" s="106"/>
      <c r="BZ137" s="104"/>
      <c r="CA137" s="105"/>
      <c r="CB137" s="77">
        <f>IF($A137="",0,IF($B137='FICHA CLIENTE'!$C$4,1,0))</f>
      </c>
      <c r="CC137" s="77">
        <f t="shared" si="41"/>
      </c>
      <c r="CD137" s="77">
        <f>IF($A137="",0,IF($D137='FICHA VEHICULO'!$C$4,1,0))</f>
      </c>
      <c r="CE137" s="77">
        <f t="shared" si="42"/>
      </c>
      <c r="CF137" s="77">
        <f t="shared" si="43"/>
      </c>
      <c r="CG137" s="77">
        <f t="shared" si="44"/>
      </c>
    </row>
    <row r="138" spans="1:85" ht="19.5" customHeight="1" x14ac:dyDescent="0.2">
      <c r="A138" s="104"/>
      <c r="B138" s="104"/>
      <c r="C138" s="105"/>
      <c r="D138" s="104"/>
      <c r="E138" s="105"/>
      <c r="F138" s="106"/>
      <c r="G138" s="104"/>
      <c r="H138" s="106"/>
      <c r="I138" s="107"/>
      <c r="J138" s="108"/>
      <c r="K138" s="108"/>
      <c r="L138" s="108"/>
      <c r="M138" s="105"/>
      <c r="N138" s="105"/>
      <c r="O138" s="105"/>
      <c r="P138" s="108"/>
      <c r="Q138" s="105"/>
      <c r="R138" s="105"/>
      <c r="S138" s="105"/>
      <c r="T138" s="105"/>
      <c r="U138" s="108"/>
      <c r="V138" s="105"/>
      <c r="W138" s="105"/>
      <c r="X138" s="105"/>
      <c r="Y138" s="105"/>
      <c r="Z138" s="105"/>
      <c r="AA138" s="108"/>
      <c r="AB138" s="108"/>
      <c r="AC138" s="105"/>
      <c r="AD138" s="279"/>
      <c r="AE138" s="105"/>
      <c r="AF138" s="279"/>
      <c r="AG138" s="105"/>
      <c r="AH138" s="108"/>
      <c r="AI138" s="108"/>
      <c r="AJ138" s="108"/>
      <c r="AK138" s="108"/>
      <c r="AL138" s="105"/>
      <c r="AM138" s="108"/>
      <c r="AN138" s="105"/>
      <c r="AO138" s="108"/>
      <c r="AP138" s="108"/>
      <c r="AQ138" s="105"/>
      <c r="AR138" s="108"/>
      <c r="AS138" s="108"/>
      <c r="AT138" s="105"/>
      <c r="AU138" s="105"/>
      <c r="AV138" s="105"/>
      <c r="AW138" s="105"/>
      <c r="AX138" s="105"/>
      <c r="AY138" s="105"/>
      <c r="AZ138" s="105"/>
      <c r="BA138" s="105"/>
      <c r="BB138" s="105"/>
      <c r="BC138" s="105"/>
      <c r="BD138" s="108"/>
      <c r="BE138" s="83">
        <f>IF($A138="","",IF(TRIM($D138&amp;"")="",IF(TRIM($AX138&amp;$AY138&amp;$AZ138&amp;$BA138&amp;$BB138&amp;$BC138&amp;$BD138&amp;"")="","","SUBARRENDADO"),IFERROR(IF(VLOOKUP($D138,VEHICULOS!$A$3:$H$202,7,FALSE)="","",VLOOKUP($D138,VEHICULOS!$A$3:$H$202,7,FALSE)),"")))</f>
      </c>
      <c r="BF138" s="82">
        <f>IF($A138="","",IF(TRIM($BC138&amp;"")&lt;&gt;"",$BC138,IF(TRIM($D138&amp;"")="","",IFERROR(IF(VLOOKUP($D138,VEHICULOS!$A$3:$H$202,8,FALSE)="","",VLOOKUP($D138,VEHICULOS!$A$3:$H$202,8,FALSE)),""))))</f>
      </c>
      <c r="BG138" s="106"/>
      <c r="BH138" s="107"/>
      <c r="BI138" s="86">
        <f t="shared" si="30"/>
      </c>
      <c r="BJ138" s="83">
        <f t="shared" si="31"/>
      </c>
      <c r="BK138" s="85">
        <f t="shared" si="32"/>
      </c>
      <c r="BL138" s="85">
        <f t="shared" si="33"/>
      </c>
      <c r="BM138" s="108"/>
      <c r="BN138" s="85">
        <f t="shared" si="34"/>
      </c>
      <c r="BO138" s="108"/>
      <c r="BP138" s="85">
        <f t="shared" si="35"/>
      </c>
      <c r="BQ138" s="85">
        <f t="shared" si="36"/>
      </c>
      <c r="BR138" s="108"/>
      <c r="BS138" s="104"/>
      <c r="BT138" s="87">
        <f t="shared" si="37"/>
      </c>
      <c r="BU138" s="85">
        <f t="shared" si="38"/>
      </c>
      <c r="BV138" s="85">
        <f t="shared" si="39"/>
      </c>
      <c r="BW138" s="87">
        <f t="shared" si="40"/>
      </c>
      <c r="BX138" s="104"/>
      <c r="BY138" s="106"/>
      <c r="BZ138" s="104"/>
      <c r="CA138" s="105"/>
      <c r="CB138" s="77">
        <f>IF($A138="",0,IF($B138='FICHA CLIENTE'!$C$4,1,0))</f>
      </c>
      <c r="CC138" s="77">
        <f t="shared" si="41"/>
      </c>
      <c r="CD138" s="77">
        <f>IF($A138="",0,IF($D138='FICHA VEHICULO'!$C$4,1,0))</f>
      </c>
      <c r="CE138" s="77">
        <f t="shared" si="42"/>
      </c>
      <c r="CF138" s="77">
        <f t="shared" si="43"/>
      </c>
      <c r="CG138" s="77">
        <f t="shared" si="44"/>
      </c>
    </row>
    <row r="139" spans="1:85" ht="19.5" customHeight="1" x14ac:dyDescent="0.2">
      <c r="A139" s="104"/>
      <c r="B139" s="104"/>
      <c r="C139" s="105"/>
      <c r="D139" s="104"/>
      <c r="E139" s="105"/>
      <c r="F139" s="106"/>
      <c r="G139" s="104"/>
      <c r="H139" s="106"/>
      <c r="I139" s="107"/>
      <c r="J139" s="108"/>
      <c r="K139" s="108"/>
      <c r="L139" s="108"/>
      <c r="M139" s="105"/>
      <c r="N139" s="105"/>
      <c r="O139" s="105"/>
      <c r="P139" s="108"/>
      <c r="Q139" s="105"/>
      <c r="R139" s="105"/>
      <c r="S139" s="105"/>
      <c r="T139" s="105"/>
      <c r="U139" s="108"/>
      <c r="V139" s="105"/>
      <c r="W139" s="105"/>
      <c r="X139" s="105"/>
      <c r="Y139" s="105"/>
      <c r="Z139" s="105"/>
      <c r="AA139" s="108"/>
      <c r="AB139" s="108"/>
      <c r="AC139" s="105"/>
      <c r="AD139" s="279"/>
      <c r="AE139" s="105"/>
      <c r="AF139" s="279"/>
      <c r="AG139" s="105"/>
      <c r="AH139" s="108"/>
      <c r="AI139" s="108"/>
      <c r="AJ139" s="108"/>
      <c r="AK139" s="108"/>
      <c r="AL139" s="105"/>
      <c r="AM139" s="108"/>
      <c r="AN139" s="105"/>
      <c r="AO139" s="108"/>
      <c r="AP139" s="108"/>
      <c r="AQ139" s="105"/>
      <c r="AR139" s="108"/>
      <c r="AS139" s="108"/>
      <c r="AT139" s="105"/>
      <c r="AU139" s="105"/>
      <c r="AV139" s="105"/>
      <c r="AW139" s="105"/>
      <c r="AX139" s="105"/>
      <c r="AY139" s="105"/>
      <c r="AZ139" s="105"/>
      <c r="BA139" s="105"/>
      <c r="BB139" s="105"/>
      <c r="BC139" s="105"/>
      <c r="BD139" s="108"/>
      <c r="BE139" s="83">
        <f>IF($A139="","",IF(TRIM($D139&amp;"")="",IF(TRIM($AX139&amp;$AY139&amp;$AZ139&amp;$BA139&amp;$BB139&amp;$BC139&amp;$BD139&amp;"")="","","SUBARRENDADO"),IFERROR(IF(VLOOKUP($D139,VEHICULOS!$A$3:$H$202,7,FALSE)="","",VLOOKUP($D139,VEHICULOS!$A$3:$H$202,7,FALSE)),"")))</f>
      </c>
      <c r="BF139" s="82">
        <f>IF($A139="","",IF(TRIM($BC139&amp;"")&lt;&gt;"",$BC139,IF(TRIM($D139&amp;"")="","",IFERROR(IF(VLOOKUP($D139,VEHICULOS!$A$3:$H$202,8,FALSE)="","",VLOOKUP($D139,VEHICULOS!$A$3:$H$202,8,FALSE)),""))))</f>
      </c>
      <c r="BG139" s="106"/>
      <c r="BH139" s="107"/>
      <c r="BI139" s="86">
        <f t="shared" si="30"/>
      </c>
      <c r="BJ139" s="83">
        <f t="shared" si="31"/>
      </c>
      <c r="BK139" s="85">
        <f t="shared" si="32"/>
      </c>
      <c r="BL139" s="85">
        <f t="shared" si="33"/>
      </c>
      <c r="BM139" s="108"/>
      <c r="BN139" s="85">
        <f t="shared" si="34"/>
      </c>
      <c r="BO139" s="108"/>
      <c r="BP139" s="85">
        <f t="shared" si="35"/>
      </c>
      <c r="BQ139" s="85">
        <f t="shared" si="36"/>
      </c>
      <c r="BR139" s="108"/>
      <c r="BS139" s="104"/>
      <c r="BT139" s="87">
        <f t="shared" si="37"/>
      </c>
      <c r="BU139" s="85">
        <f t="shared" si="38"/>
      </c>
      <c r="BV139" s="85">
        <f t="shared" si="39"/>
      </c>
      <c r="BW139" s="87">
        <f t="shared" si="40"/>
      </c>
      <c r="BX139" s="104"/>
      <c r="BY139" s="106"/>
      <c r="BZ139" s="104"/>
      <c r="CA139" s="105"/>
      <c r="CB139" s="77">
        <f>IF($A139="",0,IF($B139='FICHA CLIENTE'!$C$4,1,0))</f>
      </c>
      <c r="CC139" s="77">
        <f t="shared" si="41"/>
      </c>
      <c r="CD139" s="77">
        <f>IF($A139="",0,IF($D139='FICHA VEHICULO'!$C$4,1,0))</f>
      </c>
      <c r="CE139" s="77">
        <f t="shared" si="42"/>
      </c>
      <c r="CF139" s="77">
        <f t="shared" si="43"/>
      </c>
      <c r="CG139" s="77">
        <f t="shared" si="44"/>
      </c>
    </row>
    <row r="140" spans="1:85" ht="19.5" customHeight="1" x14ac:dyDescent="0.2">
      <c r="A140" s="104"/>
      <c r="B140" s="104"/>
      <c r="C140" s="105"/>
      <c r="D140" s="104"/>
      <c r="E140" s="105"/>
      <c r="F140" s="106"/>
      <c r="G140" s="104"/>
      <c r="H140" s="106"/>
      <c r="I140" s="107"/>
      <c r="J140" s="108"/>
      <c r="K140" s="108"/>
      <c r="L140" s="108"/>
      <c r="M140" s="105"/>
      <c r="N140" s="105"/>
      <c r="O140" s="105"/>
      <c r="P140" s="108"/>
      <c r="Q140" s="105"/>
      <c r="R140" s="105"/>
      <c r="S140" s="105"/>
      <c r="T140" s="105"/>
      <c r="U140" s="108"/>
      <c r="V140" s="105"/>
      <c r="W140" s="105"/>
      <c r="X140" s="105"/>
      <c r="Y140" s="105"/>
      <c r="Z140" s="105"/>
      <c r="AA140" s="108"/>
      <c r="AB140" s="108"/>
      <c r="AC140" s="105"/>
      <c r="AD140" s="279"/>
      <c r="AE140" s="105"/>
      <c r="AF140" s="279"/>
      <c r="AG140" s="105"/>
      <c r="AH140" s="108"/>
      <c r="AI140" s="108"/>
      <c r="AJ140" s="108"/>
      <c r="AK140" s="108"/>
      <c r="AL140" s="105"/>
      <c r="AM140" s="108"/>
      <c r="AN140" s="105"/>
      <c r="AO140" s="108"/>
      <c r="AP140" s="108"/>
      <c r="AQ140" s="105"/>
      <c r="AR140" s="108"/>
      <c r="AS140" s="108"/>
      <c r="AT140" s="105"/>
      <c r="AU140" s="105"/>
      <c r="AV140" s="105"/>
      <c r="AW140" s="105"/>
      <c r="AX140" s="105"/>
      <c r="AY140" s="105"/>
      <c r="AZ140" s="105"/>
      <c r="BA140" s="105"/>
      <c r="BB140" s="105"/>
      <c r="BC140" s="105"/>
      <c r="BD140" s="108"/>
      <c r="BE140" s="83">
        <f>IF($A140="","",IF(TRIM($D140&amp;"")="",IF(TRIM($AX140&amp;$AY140&amp;$AZ140&amp;$BA140&amp;$BB140&amp;$BC140&amp;$BD140&amp;"")="","","SUBARRENDADO"),IFERROR(IF(VLOOKUP($D140,VEHICULOS!$A$3:$H$202,7,FALSE)="","",VLOOKUP($D140,VEHICULOS!$A$3:$H$202,7,FALSE)),"")))</f>
      </c>
      <c r="BF140" s="82">
        <f>IF($A140="","",IF(TRIM($BC140&amp;"")&lt;&gt;"",$BC140,IF(TRIM($D140&amp;"")="","",IFERROR(IF(VLOOKUP($D140,VEHICULOS!$A$3:$H$202,8,FALSE)="","",VLOOKUP($D140,VEHICULOS!$A$3:$H$202,8,FALSE)),""))))</f>
      </c>
      <c r="BG140" s="106"/>
      <c r="BH140" s="107"/>
      <c r="BI140" s="86">
        <f t="shared" si="30"/>
      </c>
      <c r="BJ140" s="83">
        <f t="shared" si="31"/>
      </c>
      <c r="BK140" s="85">
        <f t="shared" si="32"/>
      </c>
      <c r="BL140" s="85">
        <f t="shared" si="33"/>
      </c>
      <c r="BM140" s="108"/>
      <c r="BN140" s="85">
        <f t="shared" si="34"/>
      </c>
      <c r="BO140" s="108"/>
      <c r="BP140" s="85">
        <f t="shared" si="35"/>
      </c>
      <c r="BQ140" s="85">
        <f t="shared" si="36"/>
      </c>
      <c r="BR140" s="108"/>
      <c r="BS140" s="104"/>
      <c r="BT140" s="87">
        <f t="shared" si="37"/>
      </c>
      <c r="BU140" s="85">
        <f t="shared" si="38"/>
      </c>
      <c r="BV140" s="85">
        <f t="shared" si="39"/>
      </c>
      <c r="BW140" s="87">
        <f t="shared" si="40"/>
      </c>
      <c r="BX140" s="104"/>
      <c r="BY140" s="106"/>
      <c r="BZ140" s="104"/>
      <c r="CA140" s="105"/>
      <c r="CB140" s="77">
        <f>IF($A140="",0,IF($B140='FICHA CLIENTE'!$C$4,1,0))</f>
      </c>
      <c r="CC140" s="77">
        <f t="shared" si="41"/>
      </c>
      <c r="CD140" s="77">
        <f>IF($A140="",0,IF($D140='FICHA VEHICULO'!$C$4,1,0))</f>
      </c>
      <c r="CE140" s="77">
        <f t="shared" si="42"/>
      </c>
      <c r="CF140" s="77">
        <f t="shared" si="43"/>
      </c>
      <c r="CG140" s="77">
        <f t="shared" si="44"/>
      </c>
    </row>
    <row r="141" spans="1:85" ht="19.5" customHeight="1" x14ac:dyDescent="0.2">
      <c r="A141" s="104"/>
      <c r="B141" s="104"/>
      <c r="C141" s="105"/>
      <c r="D141" s="104"/>
      <c r="E141" s="105"/>
      <c r="F141" s="106"/>
      <c r="G141" s="104"/>
      <c r="H141" s="106"/>
      <c r="I141" s="107"/>
      <c r="J141" s="108"/>
      <c r="K141" s="108"/>
      <c r="L141" s="108"/>
      <c r="M141" s="105"/>
      <c r="N141" s="105"/>
      <c r="O141" s="105"/>
      <c r="P141" s="108"/>
      <c r="Q141" s="105"/>
      <c r="R141" s="105"/>
      <c r="S141" s="105"/>
      <c r="T141" s="105"/>
      <c r="U141" s="108"/>
      <c r="V141" s="105"/>
      <c r="W141" s="105"/>
      <c r="X141" s="105"/>
      <c r="Y141" s="105"/>
      <c r="Z141" s="105"/>
      <c r="AA141" s="108"/>
      <c r="AB141" s="108"/>
      <c r="AC141" s="105"/>
      <c r="AD141" s="279"/>
      <c r="AE141" s="105"/>
      <c r="AF141" s="279"/>
      <c r="AG141" s="105"/>
      <c r="AH141" s="108"/>
      <c r="AI141" s="108"/>
      <c r="AJ141" s="108"/>
      <c r="AK141" s="108"/>
      <c r="AL141" s="105"/>
      <c r="AM141" s="108"/>
      <c r="AN141" s="105"/>
      <c r="AO141" s="108"/>
      <c r="AP141" s="108"/>
      <c r="AQ141" s="105"/>
      <c r="AR141" s="108"/>
      <c r="AS141" s="108"/>
      <c r="AT141" s="105"/>
      <c r="AU141" s="105"/>
      <c r="AV141" s="105"/>
      <c r="AW141" s="105"/>
      <c r="AX141" s="105"/>
      <c r="AY141" s="105"/>
      <c r="AZ141" s="105"/>
      <c r="BA141" s="105"/>
      <c r="BB141" s="105"/>
      <c r="BC141" s="105"/>
      <c r="BD141" s="108"/>
      <c r="BE141" s="83">
        <f>IF($A141="","",IF(TRIM($D141&amp;"")="",IF(TRIM($AX141&amp;$AY141&amp;$AZ141&amp;$BA141&amp;$BB141&amp;$BC141&amp;$BD141&amp;"")="","","SUBARRENDADO"),IFERROR(IF(VLOOKUP($D141,VEHICULOS!$A$3:$H$202,7,FALSE)="","",VLOOKUP($D141,VEHICULOS!$A$3:$H$202,7,FALSE)),"")))</f>
      </c>
      <c r="BF141" s="82">
        <f>IF($A141="","",IF(TRIM($BC141&amp;"")&lt;&gt;"",$BC141,IF(TRIM($D141&amp;"")="","",IFERROR(IF(VLOOKUP($D141,VEHICULOS!$A$3:$H$202,8,FALSE)="","",VLOOKUP($D141,VEHICULOS!$A$3:$H$202,8,FALSE)),""))))</f>
      </c>
      <c r="BG141" s="106"/>
      <c r="BH141" s="107"/>
      <c r="BI141" s="86">
        <f t="shared" si="30"/>
      </c>
      <c r="BJ141" s="83">
        <f t="shared" si="31"/>
      </c>
      <c r="BK141" s="85">
        <f t="shared" si="32"/>
      </c>
      <c r="BL141" s="85">
        <f t="shared" si="33"/>
      </c>
      <c r="BM141" s="108"/>
      <c r="BN141" s="85">
        <f t="shared" si="34"/>
      </c>
      <c r="BO141" s="108"/>
      <c r="BP141" s="85">
        <f t="shared" si="35"/>
      </c>
      <c r="BQ141" s="85">
        <f t="shared" si="36"/>
      </c>
      <c r="BR141" s="108"/>
      <c r="BS141" s="104"/>
      <c r="BT141" s="87">
        <f t="shared" si="37"/>
      </c>
      <c r="BU141" s="85">
        <f t="shared" si="38"/>
      </c>
      <c r="BV141" s="85">
        <f t="shared" si="39"/>
      </c>
      <c r="BW141" s="87">
        <f t="shared" si="40"/>
      </c>
      <c r="BX141" s="104"/>
      <c r="BY141" s="106"/>
      <c r="BZ141" s="104"/>
      <c r="CA141" s="105"/>
      <c r="CB141" s="77">
        <f>IF($A141="",0,IF($B141='FICHA CLIENTE'!$C$4,1,0))</f>
      </c>
      <c r="CC141" s="77">
        <f t="shared" si="41"/>
      </c>
      <c r="CD141" s="77">
        <f>IF($A141="",0,IF($D141='FICHA VEHICULO'!$C$4,1,0))</f>
      </c>
      <c r="CE141" s="77">
        <f t="shared" si="42"/>
      </c>
      <c r="CF141" s="77">
        <f t="shared" si="43"/>
      </c>
      <c r="CG141" s="77">
        <f t="shared" si="44"/>
      </c>
    </row>
    <row r="142" spans="1:85" ht="19.5" customHeight="1" x14ac:dyDescent="0.2">
      <c r="A142" s="104"/>
      <c r="B142" s="104"/>
      <c r="C142" s="105"/>
      <c r="D142" s="104"/>
      <c r="E142" s="105"/>
      <c r="F142" s="106"/>
      <c r="G142" s="104"/>
      <c r="H142" s="106"/>
      <c r="I142" s="107"/>
      <c r="J142" s="108"/>
      <c r="K142" s="108"/>
      <c r="L142" s="108"/>
      <c r="M142" s="105"/>
      <c r="N142" s="105"/>
      <c r="O142" s="105"/>
      <c r="P142" s="108"/>
      <c r="Q142" s="105"/>
      <c r="R142" s="105"/>
      <c r="S142" s="105"/>
      <c r="T142" s="105"/>
      <c r="U142" s="108"/>
      <c r="V142" s="105"/>
      <c r="W142" s="105"/>
      <c r="X142" s="105"/>
      <c r="Y142" s="105"/>
      <c r="Z142" s="105"/>
      <c r="AA142" s="108"/>
      <c r="AB142" s="108"/>
      <c r="AC142" s="105"/>
      <c r="AD142" s="279"/>
      <c r="AE142" s="105"/>
      <c r="AF142" s="279"/>
      <c r="AG142" s="105"/>
      <c r="AH142" s="108"/>
      <c r="AI142" s="108"/>
      <c r="AJ142" s="108"/>
      <c r="AK142" s="108"/>
      <c r="AL142" s="105"/>
      <c r="AM142" s="108"/>
      <c r="AN142" s="105"/>
      <c r="AO142" s="108"/>
      <c r="AP142" s="108"/>
      <c r="AQ142" s="105"/>
      <c r="AR142" s="108"/>
      <c r="AS142" s="108"/>
      <c r="AT142" s="105"/>
      <c r="AU142" s="105"/>
      <c r="AV142" s="105"/>
      <c r="AW142" s="105"/>
      <c r="AX142" s="105"/>
      <c r="AY142" s="105"/>
      <c r="AZ142" s="105"/>
      <c r="BA142" s="105"/>
      <c r="BB142" s="105"/>
      <c r="BC142" s="105"/>
      <c r="BD142" s="108"/>
      <c r="BE142" s="83">
        <f>IF($A142="","",IF(TRIM($D142&amp;"")="",IF(TRIM($AX142&amp;$AY142&amp;$AZ142&amp;$BA142&amp;$BB142&amp;$BC142&amp;$BD142&amp;"")="","","SUBARRENDADO"),IFERROR(IF(VLOOKUP($D142,VEHICULOS!$A$3:$H$202,7,FALSE)="","",VLOOKUP($D142,VEHICULOS!$A$3:$H$202,7,FALSE)),"")))</f>
      </c>
      <c r="BF142" s="82">
        <f>IF($A142="","",IF(TRIM($BC142&amp;"")&lt;&gt;"",$BC142,IF(TRIM($D142&amp;"")="","",IFERROR(IF(VLOOKUP($D142,VEHICULOS!$A$3:$H$202,8,FALSE)="","",VLOOKUP($D142,VEHICULOS!$A$3:$H$202,8,FALSE)),""))))</f>
      </c>
      <c r="BG142" s="106"/>
      <c r="BH142" s="107"/>
      <c r="BI142" s="86">
        <f t="shared" si="30"/>
      </c>
      <c r="BJ142" s="83">
        <f t="shared" si="31"/>
      </c>
      <c r="BK142" s="85">
        <f t="shared" si="32"/>
      </c>
      <c r="BL142" s="85">
        <f t="shared" si="33"/>
      </c>
      <c r="BM142" s="108"/>
      <c r="BN142" s="85">
        <f t="shared" si="34"/>
      </c>
      <c r="BO142" s="108"/>
      <c r="BP142" s="85">
        <f t="shared" si="35"/>
      </c>
      <c r="BQ142" s="85">
        <f t="shared" si="36"/>
      </c>
      <c r="BR142" s="108"/>
      <c r="BS142" s="104"/>
      <c r="BT142" s="87">
        <f t="shared" si="37"/>
      </c>
      <c r="BU142" s="85">
        <f t="shared" si="38"/>
      </c>
      <c r="BV142" s="85">
        <f t="shared" si="39"/>
      </c>
      <c r="BW142" s="87">
        <f t="shared" si="40"/>
      </c>
      <c r="BX142" s="104"/>
      <c r="BY142" s="106"/>
      <c r="BZ142" s="104"/>
      <c r="CA142" s="105"/>
      <c r="CB142" s="77">
        <f>IF($A142="",0,IF($B142='FICHA CLIENTE'!$C$4,1,0))</f>
      </c>
      <c r="CC142" s="77">
        <f t="shared" si="41"/>
      </c>
      <c r="CD142" s="77">
        <f>IF($A142="",0,IF($D142='FICHA VEHICULO'!$C$4,1,0))</f>
      </c>
      <c r="CE142" s="77">
        <f t="shared" si="42"/>
      </c>
      <c r="CF142" s="77">
        <f t="shared" si="43"/>
      </c>
      <c r="CG142" s="77">
        <f t="shared" si="44"/>
      </c>
    </row>
    <row r="143" spans="1:85" ht="19.5" customHeight="1" x14ac:dyDescent="0.2">
      <c r="A143" s="104"/>
      <c r="B143" s="104"/>
      <c r="C143" s="105"/>
      <c r="D143" s="104"/>
      <c r="E143" s="105"/>
      <c r="F143" s="106"/>
      <c r="G143" s="104"/>
      <c r="H143" s="106"/>
      <c r="I143" s="107"/>
      <c r="J143" s="108"/>
      <c r="K143" s="108"/>
      <c r="L143" s="108"/>
      <c r="M143" s="105"/>
      <c r="N143" s="105"/>
      <c r="O143" s="105"/>
      <c r="P143" s="108"/>
      <c r="Q143" s="105"/>
      <c r="R143" s="105"/>
      <c r="S143" s="105"/>
      <c r="T143" s="105"/>
      <c r="U143" s="108"/>
      <c r="V143" s="105"/>
      <c r="W143" s="105"/>
      <c r="X143" s="105"/>
      <c r="Y143" s="105"/>
      <c r="Z143" s="105"/>
      <c r="AA143" s="108"/>
      <c r="AB143" s="108"/>
      <c r="AC143" s="105"/>
      <c r="AD143" s="279"/>
      <c r="AE143" s="105"/>
      <c r="AF143" s="279"/>
      <c r="AG143" s="105"/>
      <c r="AH143" s="108"/>
      <c r="AI143" s="108"/>
      <c r="AJ143" s="108"/>
      <c r="AK143" s="108"/>
      <c r="AL143" s="105"/>
      <c r="AM143" s="108"/>
      <c r="AN143" s="105"/>
      <c r="AO143" s="108"/>
      <c r="AP143" s="108"/>
      <c r="AQ143" s="105"/>
      <c r="AR143" s="108"/>
      <c r="AS143" s="108"/>
      <c r="AT143" s="105"/>
      <c r="AU143" s="105"/>
      <c r="AV143" s="105"/>
      <c r="AW143" s="105"/>
      <c r="AX143" s="105"/>
      <c r="AY143" s="105"/>
      <c r="AZ143" s="105"/>
      <c r="BA143" s="105"/>
      <c r="BB143" s="105"/>
      <c r="BC143" s="105"/>
      <c r="BD143" s="108"/>
      <c r="BE143" s="83">
        <f>IF($A143="","",IF(TRIM($D143&amp;"")="",IF(TRIM($AX143&amp;$AY143&amp;$AZ143&amp;$BA143&amp;$BB143&amp;$BC143&amp;$BD143&amp;"")="","","SUBARRENDADO"),IFERROR(IF(VLOOKUP($D143,VEHICULOS!$A$3:$H$202,7,FALSE)="","",VLOOKUP($D143,VEHICULOS!$A$3:$H$202,7,FALSE)),"")))</f>
      </c>
      <c r="BF143" s="82">
        <f>IF($A143="","",IF(TRIM($BC143&amp;"")&lt;&gt;"",$BC143,IF(TRIM($D143&amp;"")="","",IFERROR(IF(VLOOKUP($D143,VEHICULOS!$A$3:$H$202,8,FALSE)="","",VLOOKUP($D143,VEHICULOS!$A$3:$H$202,8,FALSE)),""))))</f>
      </c>
      <c r="BG143" s="106"/>
      <c r="BH143" s="107"/>
      <c r="BI143" s="86">
        <f t="shared" si="30"/>
      </c>
      <c r="BJ143" s="83">
        <f t="shared" si="31"/>
      </c>
      <c r="BK143" s="85">
        <f t="shared" si="32"/>
      </c>
      <c r="BL143" s="85">
        <f t="shared" si="33"/>
      </c>
      <c r="BM143" s="108"/>
      <c r="BN143" s="85">
        <f t="shared" si="34"/>
      </c>
      <c r="BO143" s="108"/>
      <c r="BP143" s="85">
        <f t="shared" si="35"/>
      </c>
      <c r="BQ143" s="85">
        <f t="shared" si="36"/>
      </c>
      <c r="BR143" s="108"/>
      <c r="BS143" s="104"/>
      <c r="BT143" s="87">
        <f t="shared" si="37"/>
      </c>
      <c r="BU143" s="85">
        <f t="shared" si="38"/>
      </c>
      <c r="BV143" s="85">
        <f t="shared" si="39"/>
      </c>
      <c r="BW143" s="87">
        <f t="shared" si="40"/>
      </c>
      <c r="BX143" s="104"/>
      <c r="BY143" s="106"/>
      <c r="BZ143" s="104"/>
      <c r="CA143" s="105"/>
      <c r="CB143" s="77">
        <f>IF($A143="",0,IF($B143='FICHA CLIENTE'!$C$4,1,0))</f>
      </c>
      <c r="CC143" s="77">
        <f t="shared" si="41"/>
      </c>
      <c r="CD143" s="77">
        <f>IF($A143="",0,IF($D143='FICHA VEHICULO'!$C$4,1,0))</f>
      </c>
      <c r="CE143" s="77">
        <f t="shared" si="42"/>
      </c>
      <c r="CF143" s="77">
        <f t="shared" si="43"/>
      </c>
      <c r="CG143" s="77">
        <f t="shared" si="44"/>
      </c>
    </row>
    <row r="144" spans="1:85" ht="19.5" customHeight="1" x14ac:dyDescent="0.2">
      <c r="A144" s="104"/>
      <c r="B144" s="104"/>
      <c r="C144" s="105"/>
      <c r="D144" s="104"/>
      <c r="E144" s="105"/>
      <c r="F144" s="106"/>
      <c r="G144" s="104"/>
      <c r="H144" s="106"/>
      <c r="I144" s="107"/>
      <c r="J144" s="108"/>
      <c r="K144" s="108"/>
      <c r="L144" s="108"/>
      <c r="M144" s="105"/>
      <c r="N144" s="105"/>
      <c r="O144" s="105"/>
      <c r="P144" s="108"/>
      <c r="Q144" s="105"/>
      <c r="R144" s="105"/>
      <c r="S144" s="105"/>
      <c r="T144" s="105"/>
      <c r="U144" s="108"/>
      <c r="V144" s="105"/>
      <c r="W144" s="105"/>
      <c r="X144" s="105"/>
      <c r="Y144" s="105"/>
      <c r="Z144" s="105"/>
      <c r="AA144" s="108"/>
      <c r="AB144" s="108"/>
      <c r="AC144" s="105"/>
      <c r="AD144" s="279"/>
      <c r="AE144" s="105"/>
      <c r="AF144" s="279"/>
      <c r="AG144" s="105"/>
      <c r="AH144" s="108"/>
      <c r="AI144" s="108"/>
      <c r="AJ144" s="108"/>
      <c r="AK144" s="108"/>
      <c r="AL144" s="105"/>
      <c r="AM144" s="108"/>
      <c r="AN144" s="105"/>
      <c r="AO144" s="108"/>
      <c r="AP144" s="108"/>
      <c r="AQ144" s="105"/>
      <c r="AR144" s="108"/>
      <c r="AS144" s="108"/>
      <c r="AT144" s="105"/>
      <c r="AU144" s="105"/>
      <c r="AV144" s="105"/>
      <c r="AW144" s="105"/>
      <c r="AX144" s="105"/>
      <c r="AY144" s="105"/>
      <c r="AZ144" s="105"/>
      <c r="BA144" s="105"/>
      <c r="BB144" s="105"/>
      <c r="BC144" s="105"/>
      <c r="BD144" s="108"/>
      <c r="BE144" s="83">
        <f>IF($A144="","",IF(TRIM($D144&amp;"")="",IF(TRIM($AX144&amp;$AY144&amp;$AZ144&amp;$BA144&amp;$BB144&amp;$BC144&amp;$BD144&amp;"")="","","SUBARRENDADO"),IFERROR(IF(VLOOKUP($D144,VEHICULOS!$A$3:$H$202,7,FALSE)="","",VLOOKUP($D144,VEHICULOS!$A$3:$H$202,7,FALSE)),"")))</f>
      </c>
      <c r="BF144" s="82">
        <f>IF($A144="","",IF(TRIM($BC144&amp;"")&lt;&gt;"",$BC144,IF(TRIM($D144&amp;"")="","",IFERROR(IF(VLOOKUP($D144,VEHICULOS!$A$3:$H$202,8,FALSE)="","",VLOOKUP($D144,VEHICULOS!$A$3:$H$202,8,FALSE)),""))))</f>
      </c>
      <c r="BG144" s="106"/>
      <c r="BH144" s="107"/>
      <c r="BI144" s="86">
        <f t="shared" si="30"/>
      </c>
      <c r="BJ144" s="83">
        <f t="shared" si="31"/>
      </c>
      <c r="BK144" s="85">
        <f t="shared" si="32"/>
      </c>
      <c r="BL144" s="85">
        <f t="shared" si="33"/>
      </c>
      <c r="BM144" s="108"/>
      <c r="BN144" s="85">
        <f t="shared" si="34"/>
      </c>
      <c r="BO144" s="108"/>
      <c r="BP144" s="85">
        <f t="shared" si="35"/>
      </c>
      <c r="BQ144" s="85">
        <f t="shared" si="36"/>
      </c>
      <c r="BR144" s="108"/>
      <c r="BS144" s="104"/>
      <c r="BT144" s="87">
        <f t="shared" si="37"/>
      </c>
      <c r="BU144" s="85">
        <f t="shared" si="38"/>
      </c>
      <c r="BV144" s="85">
        <f t="shared" si="39"/>
      </c>
      <c r="BW144" s="87">
        <f t="shared" si="40"/>
      </c>
      <c r="BX144" s="104"/>
      <c r="BY144" s="106"/>
      <c r="BZ144" s="104"/>
      <c r="CA144" s="105"/>
      <c r="CB144" s="77">
        <f>IF($A144="",0,IF($B144='FICHA CLIENTE'!$C$4,1,0))</f>
      </c>
      <c r="CC144" s="77">
        <f t="shared" si="41"/>
      </c>
      <c r="CD144" s="77">
        <f>IF($A144="",0,IF($D144='FICHA VEHICULO'!$C$4,1,0))</f>
      </c>
      <c r="CE144" s="77">
        <f t="shared" si="42"/>
      </c>
      <c r="CF144" s="77">
        <f t="shared" si="43"/>
      </c>
      <c r="CG144" s="77">
        <f t="shared" si="44"/>
      </c>
    </row>
    <row r="145" spans="1:85" ht="19.5" customHeight="1" x14ac:dyDescent="0.2">
      <c r="A145" s="104"/>
      <c r="B145" s="104"/>
      <c r="C145" s="105"/>
      <c r="D145" s="104"/>
      <c r="E145" s="105"/>
      <c r="F145" s="106"/>
      <c r="G145" s="104"/>
      <c r="H145" s="106"/>
      <c r="I145" s="107"/>
      <c r="J145" s="108"/>
      <c r="K145" s="108"/>
      <c r="L145" s="108"/>
      <c r="M145" s="105"/>
      <c r="N145" s="105"/>
      <c r="O145" s="105"/>
      <c r="P145" s="108"/>
      <c r="Q145" s="105"/>
      <c r="R145" s="105"/>
      <c r="S145" s="105"/>
      <c r="T145" s="105"/>
      <c r="U145" s="108"/>
      <c r="V145" s="105"/>
      <c r="W145" s="105"/>
      <c r="X145" s="105"/>
      <c r="Y145" s="105"/>
      <c r="Z145" s="105"/>
      <c r="AA145" s="108"/>
      <c r="AB145" s="108"/>
      <c r="AC145" s="105"/>
      <c r="AD145" s="279"/>
      <c r="AE145" s="105"/>
      <c r="AF145" s="279"/>
      <c r="AG145" s="105"/>
      <c r="AH145" s="108"/>
      <c r="AI145" s="108"/>
      <c r="AJ145" s="108"/>
      <c r="AK145" s="108"/>
      <c r="AL145" s="105"/>
      <c r="AM145" s="108"/>
      <c r="AN145" s="105"/>
      <c r="AO145" s="108"/>
      <c r="AP145" s="108"/>
      <c r="AQ145" s="105"/>
      <c r="AR145" s="108"/>
      <c r="AS145" s="108"/>
      <c r="AT145" s="105"/>
      <c r="AU145" s="105"/>
      <c r="AV145" s="105"/>
      <c r="AW145" s="105"/>
      <c r="AX145" s="105"/>
      <c r="AY145" s="105"/>
      <c r="AZ145" s="105"/>
      <c r="BA145" s="105"/>
      <c r="BB145" s="105"/>
      <c r="BC145" s="105"/>
      <c r="BD145" s="108"/>
      <c r="BE145" s="83">
        <f>IF($A145="","",IF(TRIM($D145&amp;"")="",IF(TRIM($AX145&amp;$AY145&amp;$AZ145&amp;$BA145&amp;$BB145&amp;$BC145&amp;$BD145&amp;"")="","","SUBARRENDADO"),IFERROR(IF(VLOOKUP($D145,VEHICULOS!$A$3:$H$202,7,FALSE)="","",VLOOKUP($D145,VEHICULOS!$A$3:$H$202,7,FALSE)),"")))</f>
      </c>
      <c r="BF145" s="82">
        <f>IF($A145="","",IF(TRIM($BC145&amp;"")&lt;&gt;"",$BC145,IF(TRIM($D145&amp;"")="","",IFERROR(IF(VLOOKUP($D145,VEHICULOS!$A$3:$H$202,8,FALSE)="","",VLOOKUP($D145,VEHICULOS!$A$3:$H$202,8,FALSE)),""))))</f>
      </c>
      <c r="BG145" s="106"/>
      <c r="BH145" s="107"/>
      <c r="BI145" s="86">
        <f t="shared" si="30"/>
      </c>
      <c r="BJ145" s="83">
        <f t="shared" si="31"/>
      </c>
      <c r="BK145" s="85">
        <f t="shared" si="32"/>
      </c>
      <c r="BL145" s="85">
        <f t="shared" si="33"/>
      </c>
      <c r="BM145" s="108"/>
      <c r="BN145" s="85">
        <f t="shared" si="34"/>
      </c>
      <c r="BO145" s="108"/>
      <c r="BP145" s="85">
        <f t="shared" si="35"/>
      </c>
      <c r="BQ145" s="85">
        <f t="shared" si="36"/>
      </c>
      <c r="BR145" s="108"/>
      <c r="BS145" s="104"/>
      <c r="BT145" s="87">
        <f t="shared" si="37"/>
      </c>
      <c r="BU145" s="85">
        <f t="shared" si="38"/>
      </c>
      <c r="BV145" s="85">
        <f t="shared" si="39"/>
      </c>
      <c r="BW145" s="87">
        <f t="shared" si="40"/>
      </c>
      <c r="BX145" s="104"/>
      <c r="BY145" s="106"/>
      <c r="BZ145" s="104"/>
      <c r="CA145" s="105"/>
      <c r="CB145" s="77">
        <f>IF($A145="",0,IF($B145='FICHA CLIENTE'!$C$4,1,0))</f>
      </c>
      <c r="CC145" s="77">
        <f t="shared" si="41"/>
      </c>
      <c r="CD145" s="77">
        <f>IF($A145="",0,IF($D145='FICHA VEHICULO'!$C$4,1,0))</f>
      </c>
      <c r="CE145" s="77">
        <f t="shared" si="42"/>
      </c>
      <c r="CF145" s="77">
        <f t="shared" si="43"/>
      </c>
      <c r="CG145" s="77">
        <f t="shared" si="44"/>
      </c>
    </row>
    <row r="146" spans="1:85" ht="19.5" customHeight="1" x14ac:dyDescent="0.2">
      <c r="A146" s="104"/>
      <c r="B146" s="104"/>
      <c r="C146" s="105"/>
      <c r="D146" s="104"/>
      <c r="E146" s="105"/>
      <c r="F146" s="106"/>
      <c r="G146" s="104"/>
      <c r="H146" s="106"/>
      <c r="I146" s="107"/>
      <c r="J146" s="108"/>
      <c r="K146" s="108"/>
      <c r="L146" s="108"/>
      <c r="M146" s="105"/>
      <c r="N146" s="105"/>
      <c r="O146" s="105"/>
      <c r="P146" s="108"/>
      <c r="Q146" s="105"/>
      <c r="R146" s="105"/>
      <c r="S146" s="105"/>
      <c r="T146" s="105"/>
      <c r="U146" s="108"/>
      <c r="V146" s="105"/>
      <c r="W146" s="105"/>
      <c r="X146" s="105"/>
      <c r="Y146" s="105"/>
      <c r="Z146" s="105"/>
      <c r="AA146" s="108"/>
      <c r="AB146" s="108"/>
      <c r="AC146" s="105"/>
      <c r="AD146" s="279"/>
      <c r="AE146" s="105"/>
      <c r="AF146" s="279"/>
      <c r="AG146" s="105"/>
      <c r="AH146" s="108"/>
      <c r="AI146" s="108"/>
      <c r="AJ146" s="108"/>
      <c r="AK146" s="108"/>
      <c r="AL146" s="105"/>
      <c r="AM146" s="108"/>
      <c r="AN146" s="105"/>
      <c r="AO146" s="108"/>
      <c r="AP146" s="108"/>
      <c r="AQ146" s="105"/>
      <c r="AR146" s="108"/>
      <c r="AS146" s="108"/>
      <c r="AT146" s="105"/>
      <c r="AU146" s="105"/>
      <c r="AV146" s="105"/>
      <c r="AW146" s="105"/>
      <c r="AX146" s="105"/>
      <c r="AY146" s="105"/>
      <c r="AZ146" s="105"/>
      <c r="BA146" s="105"/>
      <c r="BB146" s="105"/>
      <c r="BC146" s="105"/>
      <c r="BD146" s="108"/>
      <c r="BE146" s="83">
        <f>IF($A146="","",IF(TRIM($D146&amp;"")="",IF(TRIM($AX146&amp;$AY146&amp;$AZ146&amp;$BA146&amp;$BB146&amp;$BC146&amp;$BD146&amp;"")="","","SUBARRENDADO"),IFERROR(IF(VLOOKUP($D146,VEHICULOS!$A$3:$H$202,7,FALSE)="","",VLOOKUP($D146,VEHICULOS!$A$3:$H$202,7,FALSE)),"")))</f>
      </c>
      <c r="BF146" s="82">
        <f>IF($A146="","",IF(TRIM($BC146&amp;"")&lt;&gt;"",$BC146,IF(TRIM($D146&amp;"")="","",IFERROR(IF(VLOOKUP($D146,VEHICULOS!$A$3:$H$202,8,FALSE)="","",VLOOKUP($D146,VEHICULOS!$A$3:$H$202,8,FALSE)),""))))</f>
      </c>
      <c r="BG146" s="106"/>
      <c r="BH146" s="107"/>
      <c r="BI146" s="86">
        <f t="shared" si="30"/>
      </c>
      <c r="BJ146" s="83">
        <f t="shared" si="31"/>
      </c>
      <c r="BK146" s="85">
        <f t="shared" si="32"/>
      </c>
      <c r="BL146" s="85">
        <f t="shared" si="33"/>
      </c>
      <c r="BM146" s="108"/>
      <c r="BN146" s="85">
        <f t="shared" si="34"/>
      </c>
      <c r="BO146" s="108"/>
      <c r="BP146" s="85">
        <f t="shared" si="35"/>
      </c>
      <c r="BQ146" s="85">
        <f t="shared" si="36"/>
      </c>
      <c r="BR146" s="108"/>
      <c r="BS146" s="104"/>
      <c r="BT146" s="87">
        <f t="shared" si="37"/>
      </c>
      <c r="BU146" s="85">
        <f t="shared" si="38"/>
      </c>
      <c r="BV146" s="85">
        <f t="shared" si="39"/>
      </c>
      <c r="BW146" s="87">
        <f t="shared" si="40"/>
      </c>
      <c r="BX146" s="104"/>
      <c r="BY146" s="106"/>
      <c r="BZ146" s="104"/>
      <c r="CA146" s="105"/>
      <c r="CB146" s="77">
        <f>IF($A146="",0,IF($B146='FICHA CLIENTE'!$C$4,1,0))</f>
      </c>
      <c r="CC146" s="77">
        <f t="shared" si="41"/>
      </c>
      <c r="CD146" s="77">
        <f>IF($A146="",0,IF($D146='FICHA VEHICULO'!$C$4,1,0))</f>
      </c>
      <c r="CE146" s="77">
        <f t="shared" si="42"/>
      </c>
      <c r="CF146" s="77">
        <f t="shared" si="43"/>
      </c>
      <c r="CG146" s="77">
        <f t="shared" si="44"/>
      </c>
    </row>
    <row r="147" spans="1:85" ht="19.5" customHeight="1" x14ac:dyDescent="0.2">
      <c r="A147" s="104"/>
      <c r="B147" s="104"/>
      <c r="C147" s="105"/>
      <c r="D147" s="104"/>
      <c r="E147" s="105"/>
      <c r="F147" s="106"/>
      <c r="G147" s="104"/>
      <c r="H147" s="106"/>
      <c r="I147" s="107"/>
      <c r="J147" s="108"/>
      <c r="K147" s="108"/>
      <c r="L147" s="108"/>
      <c r="M147" s="105"/>
      <c r="N147" s="105"/>
      <c r="O147" s="105"/>
      <c r="P147" s="108"/>
      <c r="Q147" s="105"/>
      <c r="R147" s="105"/>
      <c r="S147" s="105"/>
      <c r="T147" s="105"/>
      <c r="U147" s="108"/>
      <c r="V147" s="105"/>
      <c r="W147" s="105"/>
      <c r="X147" s="105"/>
      <c r="Y147" s="105"/>
      <c r="Z147" s="105"/>
      <c r="AA147" s="108"/>
      <c r="AB147" s="108"/>
      <c r="AC147" s="105"/>
      <c r="AD147" s="279"/>
      <c r="AE147" s="105"/>
      <c r="AF147" s="279"/>
      <c r="AG147" s="105"/>
      <c r="AH147" s="108"/>
      <c r="AI147" s="108"/>
      <c r="AJ147" s="108"/>
      <c r="AK147" s="108"/>
      <c r="AL147" s="105"/>
      <c r="AM147" s="108"/>
      <c r="AN147" s="105"/>
      <c r="AO147" s="108"/>
      <c r="AP147" s="108"/>
      <c r="AQ147" s="105"/>
      <c r="AR147" s="108"/>
      <c r="AS147" s="108"/>
      <c r="AT147" s="105"/>
      <c r="AU147" s="105"/>
      <c r="AV147" s="105"/>
      <c r="AW147" s="105"/>
      <c r="AX147" s="105"/>
      <c r="AY147" s="105"/>
      <c r="AZ147" s="105"/>
      <c r="BA147" s="105"/>
      <c r="BB147" s="105"/>
      <c r="BC147" s="105"/>
      <c r="BD147" s="108"/>
      <c r="BE147" s="83">
        <f>IF($A147="","",IF(TRIM($D147&amp;"")="",IF(TRIM($AX147&amp;$AY147&amp;$AZ147&amp;$BA147&amp;$BB147&amp;$BC147&amp;$BD147&amp;"")="","","SUBARRENDADO"),IFERROR(IF(VLOOKUP($D147,VEHICULOS!$A$3:$H$202,7,FALSE)="","",VLOOKUP($D147,VEHICULOS!$A$3:$H$202,7,FALSE)),"")))</f>
      </c>
      <c r="BF147" s="82">
        <f>IF($A147="","",IF(TRIM($BC147&amp;"")&lt;&gt;"",$BC147,IF(TRIM($D147&amp;"")="","",IFERROR(IF(VLOOKUP($D147,VEHICULOS!$A$3:$H$202,8,FALSE)="","",VLOOKUP($D147,VEHICULOS!$A$3:$H$202,8,FALSE)),""))))</f>
      </c>
      <c r="BG147" s="106"/>
      <c r="BH147" s="107"/>
      <c r="BI147" s="86">
        <f t="shared" si="30"/>
      </c>
      <c r="BJ147" s="83">
        <f t="shared" si="31"/>
      </c>
      <c r="BK147" s="85">
        <f t="shared" si="32"/>
      </c>
      <c r="BL147" s="85">
        <f t="shared" si="33"/>
      </c>
      <c r="BM147" s="108"/>
      <c r="BN147" s="85">
        <f t="shared" si="34"/>
      </c>
      <c r="BO147" s="108"/>
      <c r="BP147" s="85">
        <f t="shared" si="35"/>
      </c>
      <c r="BQ147" s="85">
        <f t="shared" si="36"/>
      </c>
      <c r="BR147" s="108"/>
      <c r="BS147" s="104"/>
      <c r="BT147" s="87">
        <f t="shared" si="37"/>
      </c>
      <c r="BU147" s="85">
        <f t="shared" si="38"/>
      </c>
      <c r="BV147" s="85">
        <f t="shared" si="39"/>
      </c>
      <c r="BW147" s="87">
        <f t="shared" si="40"/>
      </c>
      <c r="BX147" s="104"/>
      <c r="BY147" s="106"/>
      <c r="BZ147" s="104"/>
      <c r="CA147" s="105"/>
      <c r="CB147" s="77">
        <f>IF($A147="",0,IF($B147='FICHA CLIENTE'!$C$4,1,0))</f>
      </c>
      <c r="CC147" s="77">
        <f t="shared" si="41"/>
      </c>
      <c r="CD147" s="77">
        <f>IF($A147="",0,IF($D147='FICHA VEHICULO'!$C$4,1,0))</f>
      </c>
      <c r="CE147" s="77">
        <f t="shared" si="42"/>
      </c>
      <c r="CF147" s="77">
        <f t="shared" si="43"/>
      </c>
      <c r="CG147" s="77">
        <f t="shared" si="44"/>
      </c>
    </row>
    <row r="148" spans="1:85" ht="19.5" customHeight="1" x14ac:dyDescent="0.2">
      <c r="A148" s="104"/>
      <c r="B148" s="104"/>
      <c r="C148" s="105"/>
      <c r="D148" s="104"/>
      <c r="E148" s="105"/>
      <c r="F148" s="106"/>
      <c r="G148" s="104"/>
      <c r="H148" s="106"/>
      <c r="I148" s="107"/>
      <c r="J148" s="108"/>
      <c r="K148" s="108"/>
      <c r="L148" s="108"/>
      <c r="M148" s="105"/>
      <c r="N148" s="105"/>
      <c r="O148" s="105"/>
      <c r="P148" s="108"/>
      <c r="Q148" s="105"/>
      <c r="R148" s="105"/>
      <c r="S148" s="105"/>
      <c r="T148" s="105"/>
      <c r="U148" s="108"/>
      <c r="V148" s="105"/>
      <c r="W148" s="105"/>
      <c r="X148" s="105"/>
      <c r="Y148" s="105"/>
      <c r="Z148" s="105"/>
      <c r="AA148" s="108"/>
      <c r="AB148" s="108"/>
      <c r="AC148" s="105"/>
      <c r="AD148" s="279"/>
      <c r="AE148" s="105"/>
      <c r="AF148" s="279"/>
      <c r="AG148" s="105"/>
      <c r="AH148" s="108"/>
      <c r="AI148" s="108"/>
      <c r="AJ148" s="108"/>
      <c r="AK148" s="108"/>
      <c r="AL148" s="105"/>
      <c r="AM148" s="108"/>
      <c r="AN148" s="105"/>
      <c r="AO148" s="108"/>
      <c r="AP148" s="108"/>
      <c r="AQ148" s="105"/>
      <c r="AR148" s="108"/>
      <c r="AS148" s="108"/>
      <c r="AT148" s="105"/>
      <c r="AU148" s="105"/>
      <c r="AV148" s="105"/>
      <c r="AW148" s="105"/>
      <c r="AX148" s="105"/>
      <c r="AY148" s="105"/>
      <c r="AZ148" s="105"/>
      <c r="BA148" s="105"/>
      <c r="BB148" s="105"/>
      <c r="BC148" s="105"/>
      <c r="BD148" s="108"/>
      <c r="BE148" s="83">
        <f>IF($A148="","",IF(TRIM($D148&amp;"")="",IF(TRIM($AX148&amp;$AY148&amp;$AZ148&amp;$BA148&amp;$BB148&amp;$BC148&amp;$BD148&amp;"")="","","SUBARRENDADO"),IFERROR(IF(VLOOKUP($D148,VEHICULOS!$A$3:$H$202,7,FALSE)="","",VLOOKUP($D148,VEHICULOS!$A$3:$H$202,7,FALSE)),"")))</f>
      </c>
      <c r="BF148" s="82">
        <f>IF($A148="","",IF(TRIM($BC148&amp;"")&lt;&gt;"",$BC148,IF(TRIM($D148&amp;"")="","",IFERROR(IF(VLOOKUP($D148,VEHICULOS!$A$3:$H$202,8,FALSE)="","",VLOOKUP($D148,VEHICULOS!$A$3:$H$202,8,FALSE)),""))))</f>
      </c>
      <c r="BG148" s="106"/>
      <c r="BH148" s="107"/>
      <c r="BI148" s="86">
        <f t="shared" si="30"/>
      </c>
      <c r="BJ148" s="83">
        <f t="shared" si="31"/>
      </c>
      <c r="BK148" s="85">
        <f t="shared" si="32"/>
      </c>
      <c r="BL148" s="85">
        <f t="shared" si="33"/>
      </c>
      <c r="BM148" s="108"/>
      <c r="BN148" s="85">
        <f t="shared" si="34"/>
      </c>
      <c r="BO148" s="108"/>
      <c r="BP148" s="85">
        <f t="shared" si="35"/>
      </c>
      <c r="BQ148" s="85">
        <f t="shared" si="36"/>
      </c>
      <c r="BR148" s="108"/>
      <c r="BS148" s="104"/>
      <c r="BT148" s="87">
        <f t="shared" si="37"/>
      </c>
      <c r="BU148" s="85">
        <f t="shared" si="38"/>
      </c>
      <c r="BV148" s="85">
        <f t="shared" si="39"/>
      </c>
      <c r="BW148" s="87">
        <f t="shared" si="40"/>
      </c>
      <c r="BX148" s="104"/>
      <c r="BY148" s="106"/>
      <c r="BZ148" s="104"/>
      <c r="CA148" s="105"/>
      <c r="CB148" s="77">
        <f>IF($A148="",0,IF($B148='FICHA CLIENTE'!$C$4,1,0))</f>
      </c>
      <c r="CC148" s="77">
        <f t="shared" si="41"/>
      </c>
      <c r="CD148" s="77">
        <f>IF($A148="",0,IF($D148='FICHA VEHICULO'!$C$4,1,0))</f>
      </c>
      <c r="CE148" s="77">
        <f t="shared" si="42"/>
      </c>
      <c r="CF148" s="77">
        <f t="shared" si="43"/>
      </c>
      <c r="CG148" s="77">
        <f t="shared" si="44"/>
      </c>
    </row>
    <row r="149" spans="1:85" ht="19.5" customHeight="1" x14ac:dyDescent="0.2">
      <c r="A149" s="104"/>
      <c r="B149" s="104"/>
      <c r="C149" s="105"/>
      <c r="D149" s="104"/>
      <c r="E149" s="105"/>
      <c r="F149" s="106"/>
      <c r="G149" s="104"/>
      <c r="H149" s="106"/>
      <c r="I149" s="107"/>
      <c r="J149" s="108"/>
      <c r="K149" s="108"/>
      <c r="L149" s="108"/>
      <c r="M149" s="105"/>
      <c r="N149" s="105"/>
      <c r="O149" s="105"/>
      <c r="P149" s="108"/>
      <c r="Q149" s="105"/>
      <c r="R149" s="105"/>
      <c r="S149" s="105"/>
      <c r="T149" s="105"/>
      <c r="U149" s="108"/>
      <c r="V149" s="105"/>
      <c r="W149" s="105"/>
      <c r="X149" s="105"/>
      <c r="Y149" s="105"/>
      <c r="Z149" s="105"/>
      <c r="AA149" s="108"/>
      <c r="AB149" s="108"/>
      <c r="AC149" s="105"/>
      <c r="AD149" s="279"/>
      <c r="AE149" s="105"/>
      <c r="AF149" s="279"/>
      <c r="AG149" s="105"/>
      <c r="AH149" s="108"/>
      <c r="AI149" s="108"/>
      <c r="AJ149" s="108"/>
      <c r="AK149" s="108"/>
      <c r="AL149" s="105"/>
      <c r="AM149" s="108"/>
      <c r="AN149" s="105"/>
      <c r="AO149" s="108"/>
      <c r="AP149" s="108"/>
      <c r="AQ149" s="105"/>
      <c r="AR149" s="108"/>
      <c r="AS149" s="108"/>
      <c r="AT149" s="105"/>
      <c r="AU149" s="105"/>
      <c r="AV149" s="105"/>
      <c r="AW149" s="105"/>
      <c r="AX149" s="105"/>
      <c r="AY149" s="105"/>
      <c r="AZ149" s="105"/>
      <c r="BA149" s="105"/>
      <c r="BB149" s="105"/>
      <c r="BC149" s="105"/>
      <c r="BD149" s="108"/>
      <c r="BE149" s="83">
        <f>IF($A149="","",IF(TRIM($D149&amp;"")="",IF(TRIM($AX149&amp;$AY149&amp;$AZ149&amp;$BA149&amp;$BB149&amp;$BC149&amp;$BD149&amp;"")="","","SUBARRENDADO"),IFERROR(IF(VLOOKUP($D149,VEHICULOS!$A$3:$H$202,7,FALSE)="","",VLOOKUP($D149,VEHICULOS!$A$3:$H$202,7,FALSE)),"")))</f>
      </c>
      <c r="BF149" s="82">
        <f>IF($A149="","",IF(TRIM($BC149&amp;"")&lt;&gt;"",$BC149,IF(TRIM($D149&amp;"")="","",IFERROR(IF(VLOOKUP($D149,VEHICULOS!$A$3:$H$202,8,FALSE)="","",VLOOKUP($D149,VEHICULOS!$A$3:$H$202,8,FALSE)),""))))</f>
      </c>
      <c r="BG149" s="106"/>
      <c r="BH149" s="107"/>
      <c r="BI149" s="86">
        <f t="shared" si="30"/>
      </c>
      <c r="BJ149" s="83">
        <f t="shared" si="31"/>
      </c>
      <c r="BK149" s="85">
        <f t="shared" si="32"/>
      </c>
      <c r="BL149" s="85">
        <f t="shared" si="33"/>
      </c>
      <c r="BM149" s="108"/>
      <c r="BN149" s="85">
        <f t="shared" si="34"/>
      </c>
      <c r="BO149" s="108"/>
      <c r="BP149" s="85">
        <f t="shared" si="35"/>
      </c>
      <c r="BQ149" s="85">
        <f t="shared" si="36"/>
      </c>
      <c r="BR149" s="108"/>
      <c r="BS149" s="104"/>
      <c r="BT149" s="87">
        <f t="shared" si="37"/>
      </c>
      <c r="BU149" s="85">
        <f t="shared" si="38"/>
      </c>
      <c r="BV149" s="85">
        <f t="shared" si="39"/>
      </c>
      <c r="BW149" s="87">
        <f t="shared" si="40"/>
      </c>
      <c r="BX149" s="104"/>
      <c r="BY149" s="106"/>
      <c r="BZ149" s="104"/>
      <c r="CA149" s="105"/>
      <c r="CB149" s="77">
        <f>IF($A149="",0,IF($B149='FICHA CLIENTE'!$C$4,1,0))</f>
      </c>
      <c r="CC149" s="77">
        <f t="shared" si="41"/>
      </c>
      <c r="CD149" s="77">
        <f>IF($A149="",0,IF($D149='FICHA VEHICULO'!$C$4,1,0))</f>
      </c>
      <c r="CE149" s="77">
        <f t="shared" si="42"/>
      </c>
      <c r="CF149" s="77">
        <f t="shared" si="43"/>
      </c>
      <c r="CG149" s="77">
        <f t="shared" si="44"/>
      </c>
    </row>
    <row r="150" spans="1:85" ht="19.5" customHeight="1" x14ac:dyDescent="0.2">
      <c r="A150" s="104"/>
      <c r="B150" s="104"/>
      <c r="C150" s="105"/>
      <c r="D150" s="104"/>
      <c r="E150" s="105"/>
      <c r="F150" s="106"/>
      <c r="G150" s="104"/>
      <c r="H150" s="106"/>
      <c r="I150" s="107"/>
      <c r="J150" s="108"/>
      <c r="K150" s="108"/>
      <c r="L150" s="108"/>
      <c r="M150" s="105"/>
      <c r="N150" s="105"/>
      <c r="O150" s="105"/>
      <c r="P150" s="108"/>
      <c r="Q150" s="105"/>
      <c r="R150" s="105"/>
      <c r="S150" s="105"/>
      <c r="T150" s="105"/>
      <c r="U150" s="108"/>
      <c r="V150" s="105"/>
      <c r="W150" s="105"/>
      <c r="X150" s="105"/>
      <c r="Y150" s="105"/>
      <c r="Z150" s="105"/>
      <c r="AA150" s="108"/>
      <c r="AB150" s="108"/>
      <c r="AC150" s="105"/>
      <c r="AD150" s="279"/>
      <c r="AE150" s="105"/>
      <c r="AF150" s="279"/>
      <c r="AG150" s="105"/>
      <c r="AH150" s="108"/>
      <c r="AI150" s="108"/>
      <c r="AJ150" s="108"/>
      <c r="AK150" s="108"/>
      <c r="AL150" s="105"/>
      <c r="AM150" s="108"/>
      <c r="AN150" s="105"/>
      <c r="AO150" s="108"/>
      <c r="AP150" s="108"/>
      <c r="AQ150" s="105"/>
      <c r="AR150" s="108"/>
      <c r="AS150" s="108"/>
      <c r="AT150" s="105"/>
      <c r="AU150" s="105"/>
      <c r="AV150" s="105"/>
      <c r="AW150" s="105"/>
      <c r="AX150" s="105"/>
      <c r="AY150" s="105"/>
      <c r="AZ150" s="105"/>
      <c r="BA150" s="105"/>
      <c r="BB150" s="105"/>
      <c r="BC150" s="105"/>
      <c r="BD150" s="108"/>
      <c r="BE150" s="83">
        <f>IF($A150="","",IF(TRIM($D150&amp;"")="",IF(TRIM($AX150&amp;$AY150&amp;$AZ150&amp;$BA150&amp;$BB150&amp;$BC150&amp;$BD150&amp;"")="","","SUBARRENDADO"),IFERROR(IF(VLOOKUP($D150,VEHICULOS!$A$3:$H$202,7,FALSE)="","",VLOOKUP($D150,VEHICULOS!$A$3:$H$202,7,FALSE)),"")))</f>
      </c>
      <c r="BF150" s="82">
        <f>IF($A150="","",IF(TRIM($BC150&amp;"")&lt;&gt;"",$BC150,IF(TRIM($D150&amp;"")="","",IFERROR(IF(VLOOKUP($D150,VEHICULOS!$A$3:$H$202,8,FALSE)="","",VLOOKUP($D150,VEHICULOS!$A$3:$H$202,8,FALSE)),""))))</f>
      </c>
      <c r="BG150" s="106"/>
      <c r="BH150" s="107"/>
      <c r="BI150" s="86">
        <f t="shared" si="30"/>
      </c>
      <c r="BJ150" s="83">
        <f t="shared" si="31"/>
      </c>
      <c r="BK150" s="85">
        <f t="shared" si="32"/>
      </c>
      <c r="BL150" s="85">
        <f t="shared" si="33"/>
      </c>
      <c r="BM150" s="108"/>
      <c r="BN150" s="85">
        <f t="shared" si="34"/>
      </c>
      <c r="BO150" s="108"/>
      <c r="BP150" s="85">
        <f t="shared" si="35"/>
      </c>
      <c r="BQ150" s="85">
        <f t="shared" si="36"/>
      </c>
      <c r="BR150" s="108"/>
      <c r="BS150" s="104"/>
      <c r="BT150" s="87">
        <f t="shared" si="37"/>
      </c>
      <c r="BU150" s="85">
        <f t="shared" si="38"/>
      </c>
      <c r="BV150" s="85">
        <f t="shared" si="39"/>
      </c>
      <c r="BW150" s="87">
        <f t="shared" si="40"/>
      </c>
      <c r="BX150" s="104"/>
      <c r="BY150" s="106"/>
      <c r="BZ150" s="104"/>
      <c r="CA150" s="105"/>
      <c r="CB150" s="77">
        <f>IF($A150="",0,IF($B150='FICHA CLIENTE'!$C$4,1,0))</f>
      </c>
      <c r="CC150" s="77">
        <f t="shared" si="41"/>
      </c>
      <c r="CD150" s="77">
        <f>IF($A150="",0,IF($D150='FICHA VEHICULO'!$C$4,1,0))</f>
      </c>
      <c r="CE150" s="77">
        <f t="shared" si="42"/>
      </c>
      <c r="CF150" s="77">
        <f t="shared" si="43"/>
      </c>
      <c r="CG150" s="77">
        <f t="shared" si="44"/>
      </c>
    </row>
    <row r="151" spans="1:85" ht="19.5" customHeight="1" x14ac:dyDescent="0.2">
      <c r="A151" s="104"/>
      <c r="B151" s="104"/>
      <c r="C151" s="105"/>
      <c r="D151" s="104"/>
      <c r="E151" s="105"/>
      <c r="F151" s="106"/>
      <c r="G151" s="104"/>
      <c r="H151" s="106"/>
      <c r="I151" s="107"/>
      <c r="J151" s="108"/>
      <c r="K151" s="108"/>
      <c r="L151" s="108"/>
      <c r="M151" s="105"/>
      <c r="N151" s="105"/>
      <c r="O151" s="105"/>
      <c r="P151" s="108"/>
      <c r="Q151" s="105"/>
      <c r="R151" s="105"/>
      <c r="S151" s="105"/>
      <c r="T151" s="105"/>
      <c r="U151" s="108"/>
      <c r="V151" s="105"/>
      <c r="W151" s="105"/>
      <c r="X151" s="105"/>
      <c r="Y151" s="105"/>
      <c r="Z151" s="105"/>
      <c r="AA151" s="108"/>
      <c r="AB151" s="108"/>
      <c r="AC151" s="105"/>
      <c r="AD151" s="279"/>
      <c r="AE151" s="105"/>
      <c r="AF151" s="279"/>
      <c r="AG151" s="105"/>
      <c r="AH151" s="108"/>
      <c r="AI151" s="108"/>
      <c r="AJ151" s="108"/>
      <c r="AK151" s="108"/>
      <c r="AL151" s="105"/>
      <c r="AM151" s="108"/>
      <c r="AN151" s="105"/>
      <c r="AO151" s="108"/>
      <c r="AP151" s="108"/>
      <c r="AQ151" s="105"/>
      <c r="AR151" s="108"/>
      <c r="AS151" s="108"/>
      <c r="AT151" s="105"/>
      <c r="AU151" s="105"/>
      <c r="AV151" s="105"/>
      <c r="AW151" s="105"/>
      <c r="AX151" s="105"/>
      <c r="AY151" s="105"/>
      <c r="AZ151" s="105"/>
      <c r="BA151" s="105"/>
      <c r="BB151" s="105"/>
      <c r="BC151" s="105"/>
      <c r="BD151" s="108"/>
      <c r="BE151" s="83">
        <f>IF($A151="","",IF(TRIM($D151&amp;"")="",IF(TRIM($AX151&amp;$AY151&amp;$AZ151&amp;$BA151&amp;$BB151&amp;$BC151&amp;$BD151&amp;"")="","","SUBARRENDADO"),IFERROR(IF(VLOOKUP($D151,VEHICULOS!$A$3:$H$202,7,FALSE)="","",VLOOKUP($D151,VEHICULOS!$A$3:$H$202,7,FALSE)),"")))</f>
      </c>
      <c r="BF151" s="82">
        <f>IF($A151="","",IF(TRIM($BC151&amp;"")&lt;&gt;"",$BC151,IF(TRIM($D151&amp;"")="","",IFERROR(IF(VLOOKUP($D151,VEHICULOS!$A$3:$H$202,8,FALSE)="","",VLOOKUP($D151,VEHICULOS!$A$3:$H$202,8,FALSE)),""))))</f>
      </c>
      <c r="BG151" s="106"/>
      <c r="BH151" s="107"/>
      <c r="BI151" s="86">
        <f t="shared" si="30"/>
      </c>
      <c r="BJ151" s="83">
        <f t="shared" si="31"/>
      </c>
      <c r="BK151" s="85">
        <f t="shared" si="32"/>
      </c>
      <c r="BL151" s="85">
        <f t="shared" si="33"/>
      </c>
      <c r="BM151" s="108"/>
      <c r="BN151" s="85">
        <f t="shared" si="34"/>
      </c>
      <c r="BO151" s="108"/>
      <c r="BP151" s="85">
        <f t="shared" si="35"/>
      </c>
      <c r="BQ151" s="85">
        <f t="shared" si="36"/>
      </c>
      <c r="BR151" s="108"/>
      <c r="BS151" s="104"/>
      <c r="BT151" s="87">
        <f t="shared" si="37"/>
      </c>
      <c r="BU151" s="85">
        <f t="shared" si="38"/>
      </c>
      <c r="BV151" s="85">
        <f t="shared" si="39"/>
      </c>
      <c r="BW151" s="87">
        <f t="shared" si="40"/>
      </c>
      <c r="BX151" s="104"/>
      <c r="BY151" s="106"/>
      <c r="BZ151" s="104"/>
      <c r="CA151" s="105"/>
      <c r="CB151" s="77">
        <f>IF($A151="",0,IF($B151='FICHA CLIENTE'!$C$4,1,0))</f>
      </c>
      <c r="CC151" s="77">
        <f t="shared" si="41"/>
      </c>
      <c r="CD151" s="77">
        <f>IF($A151="",0,IF($D151='FICHA VEHICULO'!$C$4,1,0))</f>
      </c>
      <c r="CE151" s="77">
        <f t="shared" si="42"/>
      </c>
      <c r="CF151" s="77">
        <f t="shared" si="43"/>
      </c>
      <c r="CG151" s="77">
        <f t="shared" si="44"/>
      </c>
    </row>
    <row r="152" spans="1:85" ht="19.5" customHeight="1" x14ac:dyDescent="0.2">
      <c r="A152" s="104"/>
      <c r="B152" s="104"/>
      <c r="C152" s="105"/>
      <c r="D152" s="104"/>
      <c r="E152" s="105"/>
      <c r="F152" s="106"/>
      <c r="G152" s="104"/>
      <c r="H152" s="106"/>
      <c r="I152" s="107"/>
      <c r="J152" s="108"/>
      <c r="K152" s="108"/>
      <c r="L152" s="108"/>
      <c r="M152" s="105"/>
      <c r="N152" s="105"/>
      <c r="O152" s="105"/>
      <c r="P152" s="108"/>
      <c r="Q152" s="105"/>
      <c r="R152" s="105"/>
      <c r="S152" s="105"/>
      <c r="T152" s="105"/>
      <c r="U152" s="108"/>
      <c r="V152" s="105"/>
      <c r="W152" s="105"/>
      <c r="X152" s="105"/>
      <c r="Y152" s="105"/>
      <c r="Z152" s="105"/>
      <c r="AA152" s="108"/>
      <c r="AB152" s="108"/>
      <c r="AC152" s="105"/>
      <c r="AD152" s="279"/>
      <c r="AE152" s="105"/>
      <c r="AF152" s="279"/>
      <c r="AG152" s="105"/>
      <c r="AH152" s="108"/>
      <c r="AI152" s="108"/>
      <c r="AJ152" s="108"/>
      <c r="AK152" s="108"/>
      <c r="AL152" s="105"/>
      <c r="AM152" s="108"/>
      <c r="AN152" s="105"/>
      <c r="AO152" s="108"/>
      <c r="AP152" s="108"/>
      <c r="AQ152" s="105"/>
      <c r="AR152" s="108"/>
      <c r="AS152" s="108"/>
      <c r="AT152" s="105"/>
      <c r="AU152" s="105"/>
      <c r="AV152" s="105"/>
      <c r="AW152" s="105"/>
      <c r="AX152" s="105"/>
      <c r="AY152" s="105"/>
      <c r="AZ152" s="105"/>
      <c r="BA152" s="105"/>
      <c r="BB152" s="105"/>
      <c r="BC152" s="105"/>
      <c r="BD152" s="108"/>
      <c r="BE152" s="83">
        <f>IF($A152="","",IF(TRIM($D152&amp;"")="",IF(TRIM($AX152&amp;$AY152&amp;$AZ152&amp;$BA152&amp;$BB152&amp;$BC152&amp;$BD152&amp;"")="","","SUBARRENDADO"),IFERROR(IF(VLOOKUP($D152,VEHICULOS!$A$3:$H$202,7,FALSE)="","",VLOOKUP($D152,VEHICULOS!$A$3:$H$202,7,FALSE)),"")))</f>
      </c>
      <c r="BF152" s="82">
        <f>IF($A152="","",IF(TRIM($BC152&amp;"")&lt;&gt;"",$BC152,IF(TRIM($D152&amp;"")="","",IFERROR(IF(VLOOKUP($D152,VEHICULOS!$A$3:$H$202,8,FALSE)="","",VLOOKUP($D152,VEHICULOS!$A$3:$H$202,8,FALSE)),""))))</f>
      </c>
      <c r="BG152" s="106"/>
      <c r="BH152" s="107"/>
      <c r="BI152" s="86">
        <f t="shared" si="30"/>
      </c>
      <c r="BJ152" s="83">
        <f t="shared" si="31"/>
      </c>
      <c r="BK152" s="85">
        <f t="shared" si="32"/>
      </c>
      <c r="BL152" s="85">
        <f t="shared" si="33"/>
      </c>
      <c r="BM152" s="108"/>
      <c r="BN152" s="85">
        <f t="shared" si="34"/>
      </c>
      <c r="BO152" s="108"/>
      <c r="BP152" s="85">
        <f t="shared" si="35"/>
      </c>
      <c r="BQ152" s="85">
        <f t="shared" si="36"/>
      </c>
      <c r="BR152" s="108"/>
      <c r="BS152" s="104"/>
      <c r="BT152" s="87">
        <f t="shared" si="37"/>
      </c>
      <c r="BU152" s="85">
        <f t="shared" si="38"/>
      </c>
      <c r="BV152" s="85">
        <f t="shared" si="39"/>
      </c>
      <c r="BW152" s="87">
        <f t="shared" si="40"/>
      </c>
      <c r="BX152" s="104"/>
      <c r="BY152" s="106"/>
      <c r="BZ152" s="104"/>
      <c r="CA152" s="105"/>
      <c r="CB152" s="77">
        <f>IF($A152="",0,IF($B152='FICHA CLIENTE'!$C$4,1,0))</f>
      </c>
      <c r="CC152" s="77">
        <f t="shared" si="41"/>
      </c>
      <c r="CD152" s="77">
        <f>IF($A152="",0,IF($D152='FICHA VEHICULO'!$C$4,1,0))</f>
      </c>
      <c r="CE152" s="77">
        <f t="shared" si="42"/>
      </c>
      <c r="CF152" s="77">
        <f t="shared" si="43"/>
      </c>
      <c r="CG152" s="77">
        <f t="shared" si="44"/>
      </c>
    </row>
    <row r="153" spans="1:85" ht="19.5" customHeight="1" x14ac:dyDescent="0.2">
      <c r="A153" s="104"/>
      <c r="B153" s="104"/>
      <c r="C153" s="105"/>
      <c r="D153" s="104"/>
      <c r="E153" s="105"/>
      <c r="F153" s="106"/>
      <c r="G153" s="104"/>
      <c r="H153" s="106"/>
      <c r="I153" s="107"/>
      <c r="J153" s="108"/>
      <c r="K153" s="108"/>
      <c r="L153" s="108"/>
      <c r="M153" s="105"/>
      <c r="N153" s="105"/>
      <c r="O153" s="105"/>
      <c r="P153" s="108"/>
      <c r="Q153" s="105"/>
      <c r="R153" s="105"/>
      <c r="S153" s="105"/>
      <c r="T153" s="105"/>
      <c r="U153" s="108"/>
      <c r="V153" s="105"/>
      <c r="W153" s="105"/>
      <c r="X153" s="105"/>
      <c r="Y153" s="105"/>
      <c r="Z153" s="105"/>
      <c r="AA153" s="108"/>
      <c r="AB153" s="108"/>
      <c r="AC153" s="105"/>
      <c r="AD153" s="279"/>
      <c r="AE153" s="105"/>
      <c r="AF153" s="279"/>
      <c r="AG153" s="105"/>
      <c r="AH153" s="108"/>
      <c r="AI153" s="108"/>
      <c r="AJ153" s="108"/>
      <c r="AK153" s="108"/>
      <c r="AL153" s="105"/>
      <c r="AM153" s="108"/>
      <c r="AN153" s="105"/>
      <c r="AO153" s="108"/>
      <c r="AP153" s="108"/>
      <c r="AQ153" s="105"/>
      <c r="AR153" s="108"/>
      <c r="AS153" s="108"/>
      <c r="AT153" s="105"/>
      <c r="AU153" s="105"/>
      <c r="AV153" s="105"/>
      <c r="AW153" s="105"/>
      <c r="AX153" s="105"/>
      <c r="AY153" s="105"/>
      <c r="AZ153" s="105"/>
      <c r="BA153" s="105"/>
      <c r="BB153" s="105"/>
      <c r="BC153" s="105"/>
      <c r="BD153" s="108"/>
      <c r="BE153" s="83">
        <f>IF($A153="","",IF(TRIM($D153&amp;"")="",IF(TRIM($AX153&amp;$AY153&amp;$AZ153&amp;$BA153&amp;$BB153&amp;$BC153&amp;$BD153&amp;"")="","","SUBARRENDADO"),IFERROR(IF(VLOOKUP($D153,VEHICULOS!$A$3:$H$202,7,FALSE)="","",VLOOKUP($D153,VEHICULOS!$A$3:$H$202,7,FALSE)),"")))</f>
      </c>
      <c r="BF153" s="82">
        <f>IF($A153="","",IF(TRIM($BC153&amp;"")&lt;&gt;"",$BC153,IF(TRIM($D153&amp;"")="","",IFERROR(IF(VLOOKUP($D153,VEHICULOS!$A$3:$H$202,8,FALSE)="","",VLOOKUP($D153,VEHICULOS!$A$3:$H$202,8,FALSE)),""))))</f>
      </c>
      <c r="BG153" s="106"/>
      <c r="BH153" s="107"/>
      <c r="BI153" s="86">
        <f t="shared" si="30"/>
      </c>
      <c r="BJ153" s="83">
        <f t="shared" si="31"/>
      </c>
      <c r="BK153" s="85">
        <f t="shared" si="32"/>
      </c>
      <c r="BL153" s="85">
        <f t="shared" si="33"/>
      </c>
      <c r="BM153" s="108"/>
      <c r="BN153" s="85">
        <f t="shared" si="34"/>
      </c>
      <c r="BO153" s="108"/>
      <c r="BP153" s="85">
        <f t="shared" si="35"/>
      </c>
      <c r="BQ153" s="85">
        <f t="shared" si="36"/>
      </c>
      <c r="BR153" s="108"/>
      <c r="BS153" s="104"/>
      <c r="BT153" s="87">
        <f t="shared" si="37"/>
      </c>
      <c r="BU153" s="85">
        <f t="shared" si="38"/>
      </c>
      <c r="BV153" s="85">
        <f t="shared" si="39"/>
      </c>
      <c r="BW153" s="87">
        <f t="shared" si="40"/>
      </c>
      <c r="BX153" s="104"/>
      <c r="BY153" s="106"/>
      <c r="BZ153" s="104"/>
      <c r="CA153" s="105"/>
      <c r="CB153" s="77">
        <f>IF($A153="",0,IF($B153='FICHA CLIENTE'!$C$4,1,0))</f>
      </c>
      <c r="CC153" s="77">
        <f t="shared" si="41"/>
      </c>
      <c r="CD153" s="77">
        <f>IF($A153="",0,IF($D153='FICHA VEHICULO'!$C$4,1,0))</f>
      </c>
      <c r="CE153" s="77">
        <f t="shared" si="42"/>
      </c>
      <c r="CF153" s="77">
        <f t="shared" si="43"/>
      </c>
      <c r="CG153" s="77">
        <f t="shared" si="44"/>
      </c>
    </row>
    <row r="154" spans="1:85" ht="19.5" customHeight="1" x14ac:dyDescent="0.2">
      <c r="A154" s="104"/>
      <c r="B154" s="104"/>
      <c r="C154" s="105"/>
      <c r="D154" s="104"/>
      <c r="E154" s="105"/>
      <c r="F154" s="106"/>
      <c r="G154" s="104"/>
      <c r="H154" s="106"/>
      <c r="I154" s="107"/>
      <c r="J154" s="108"/>
      <c r="K154" s="108"/>
      <c r="L154" s="108"/>
      <c r="M154" s="105"/>
      <c r="N154" s="105"/>
      <c r="O154" s="105"/>
      <c r="P154" s="108"/>
      <c r="Q154" s="105"/>
      <c r="R154" s="105"/>
      <c r="S154" s="105"/>
      <c r="T154" s="105"/>
      <c r="U154" s="108"/>
      <c r="V154" s="105"/>
      <c r="W154" s="105"/>
      <c r="X154" s="105"/>
      <c r="Y154" s="105"/>
      <c r="Z154" s="105"/>
      <c r="AA154" s="108"/>
      <c r="AB154" s="108"/>
      <c r="AC154" s="105"/>
      <c r="AD154" s="279"/>
      <c r="AE154" s="105"/>
      <c r="AF154" s="279"/>
      <c r="AG154" s="105"/>
      <c r="AH154" s="108"/>
      <c r="AI154" s="108"/>
      <c r="AJ154" s="108"/>
      <c r="AK154" s="108"/>
      <c r="AL154" s="105"/>
      <c r="AM154" s="108"/>
      <c r="AN154" s="105"/>
      <c r="AO154" s="108"/>
      <c r="AP154" s="108"/>
      <c r="AQ154" s="105"/>
      <c r="AR154" s="108"/>
      <c r="AS154" s="108"/>
      <c r="AT154" s="105"/>
      <c r="AU154" s="105"/>
      <c r="AV154" s="105"/>
      <c r="AW154" s="105"/>
      <c r="AX154" s="105"/>
      <c r="AY154" s="105"/>
      <c r="AZ154" s="105"/>
      <c r="BA154" s="105"/>
      <c r="BB154" s="105"/>
      <c r="BC154" s="105"/>
      <c r="BD154" s="108"/>
      <c r="BE154" s="83">
        <f>IF($A154="","",IF(TRIM($D154&amp;"")="",IF(TRIM($AX154&amp;$AY154&amp;$AZ154&amp;$BA154&amp;$BB154&amp;$BC154&amp;$BD154&amp;"")="","","SUBARRENDADO"),IFERROR(IF(VLOOKUP($D154,VEHICULOS!$A$3:$H$202,7,FALSE)="","",VLOOKUP($D154,VEHICULOS!$A$3:$H$202,7,FALSE)),"")))</f>
      </c>
      <c r="BF154" s="82">
        <f>IF($A154="","",IF(TRIM($BC154&amp;"")&lt;&gt;"",$BC154,IF(TRIM($D154&amp;"")="","",IFERROR(IF(VLOOKUP($D154,VEHICULOS!$A$3:$H$202,8,FALSE)="","",VLOOKUP($D154,VEHICULOS!$A$3:$H$202,8,FALSE)),""))))</f>
      </c>
      <c r="BG154" s="106"/>
      <c r="BH154" s="107"/>
      <c r="BI154" s="86">
        <f t="shared" si="30"/>
      </c>
      <c r="BJ154" s="83">
        <f t="shared" si="31"/>
      </c>
      <c r="BK154" s="85">
        <f t="shared" si="32"/>
      </c>
      <c r="BL154" s="85">
        <f t="shared" si="33"/>
      </c>
      <c r="BM154" s="108"/>
      <c r="BN154" s="85">
        <f t="shared" si="34"/>
      </c>
      <c r="BO154" s="108"/>
      <c r="BP154" s="85">
        <f t="shared" si="35"/>
      </c>
      <c r="BQ154" s="85">
        <f t="shared" si="36"/>
      </c>
      <c r="BR154" s="108"/>
      <c r="BS154" s="104"/>
      <c r="BT154" s="87">
        <f t="shared" si="37"/>
      </c>
      <c r="BU154" s="85">
        <f t="shared" si="38"/>
      </c>
      <c r="BV154" s="85">
        <f t="shared" si="39"/>
      </c>
      <c r="BW154" s="87">
        <f t="shared" si="40"/>
      </c>
      <c r="BX154" s="104"/>
      <c r="BY154" s="106"/>
      <c r="BZ154" s="104"/>
      <c r="CA154" s="105"/>
      <c r="CB154" s="77">
        <f>IF($A154="",0,IF($B154='FICHA CLIENTE'!$C$4,1,0))</f>
      </c>
      <c r="CC154" s="77">
        <f t="shared" si="41"/>
      </c>
      <c r="CD154" s="77">
        <f>IF($A154="",0,IF($D154='FICHA VEHICULO'!$C$4,1,0))</f>
      </c>
      <c r="CE154" s="77">
        <f t="shared" si="42"/>
      </c>
      <c r="CF154" s="77">
        <f t="shared" si="43"/>
      </c>
      <c r="CG154" s="77">
        <f t="shared" si="44"/>
      </c>
    </row>
    <row r="155" spans="1:85" ht="19.5" customHeight="1" x14ac:dyDescent="0.2">
      <c r="A155" s="104"/>
      <c r="B155" s="104"/>
      <c r="C155" s="105"/>
      <c r="D155" s="104"/>
      <c r="E155" s="105"/>
      <c r="F155" s="106"/>
      <c r="G155" s="104"/>
      <c r="H155" s="106"/>
      <c r="I155" s="107"/>
      <c r="J155" s="108"/>
      <c r="K155" s="108"/>
      <c r="L155" s="108"/>
      <c r="M155" s="105"/>
      <c r="N155" s="105"/>
      <c r="O155" s="105"/>
      <c r="P155" s="108"/>
      <c r="Q155" s="105"/>
      <c r="R155" s="105"/>
      <c r="S155" s="105"/>
      <c r="T155" s="105"/>
      <c r="U155" s="108"/>
      <c r="V155" s="105"/>
      <c r="W155" s="105"/>
      <c r="X155" s="105"/>
      <c r="Y155" s="105"/>
      <c r="Z155" s="105"/>
      <c r="AA155" s="108"/>
      <c r="AB155" s="108"/>
      <c r="AC155" s="105"/>
      <c r="AD155" s="279"/>
      <c r="AE155" s="105"/>
      <c r="AF155" s="279"/>
      <c r="AG155" s="105"/>
      <c r="AH155" s="108"/>
      <c r="AI155" s="108"/>
      <c r="AJ155" s="108"/>
      <c r="AK155" s="108"/>
      <c r="AL155" s="105"/>
      <c r="AM155" s="108"/>
      <c r="AN155" s="105"/>
      <c r="AO155" s="108"/>
      <c r="AP155" s="108"/>
      <c r="AQ155" s="105"/>
      <c r="AR155" s="108"/>
      <c r="AS155" s="108"/>
      <c r="AT155" s="105"/>
      <c r="AU155" s="105"/>
      <c r="AV155" s="105"/>
      <c r="AW155" s="105"/>
      <c r="AX155" s="105"/>
      <c r="AY155" s="105"/>
      <c r="AZ155" s="105"/>
      <c r="BA155" s="105"/>
      <c r="BB155" s="105"/>
      <c r="BC155" s="105"/>
      <c r="BD155" s="108"/>
      <c r="BE155" s="83">
        <f>IF($A155="","",IF(TRIM($D155&amp;"")="",IF(TRIM($AX155&amp;$AY155&amp;$AZ155&amp;$BA155&amp;$BB155&amp;$BC155&amp;$BD155&amp;"")="","","SUBARRENDADO"),IFERROR(IF(VLOOKUP($D155,VEHICULOS!$A$3:$H$202,7,FALSE)="","",VLOOKUP($D155,VEHICULOS!$A$3:$H$202,7,FALSE)),"")))</f>
      </c>
      <c r="BF155" s="82">
        <f>IF($A155="","",IF(TRIM($BC155&amp;"")&lt;&gt;"",$BC155,IF(TRIM($D155&amp;"")="","",IFERROR(IF(VLOOKUP($D155,VEHICULOS!$A$3:$H$202,8,FALSE)="","",VLOOKUP($D155,VEHICULOS!$A$3:$H$202,8,FALSE)),""))))</f>
      </c>
      <c r="BG155" s="106"/>
      <c r="BH155" s="107"/>
      <c r="BI155" s="86">
        <f t="shared" si="30"/>
      </c>
      <c r="BJ155" s="83">
        <f t="shared" si="31"/>
      </c>
      <c r="BK155" s="85">
        <f t="shared" si="32"/>
      </c>
      <c r="BL155" s="85">
        <f t="shared" si="33"/>
      </c>
      <c r="BM155" s="108"/>
      <c r="BN155" s="85">
        <f t="shared" si="34"/>
      </c>
      <c r="BO155" s="108"/>
      <c r="BP155" s="85">
        <f t="shared" si="35"/>
      </c>
      <c r="BQ155" s="85">
        <f t="shared" si="36"/>
      </c>
      <c r="BR155" s="108"/>
      <c r="BS155" s="104"/>
      <c r="BT155" s="87">
        <f t="shared" si="37"/>
      </c>
      <c r="BU155" s="85">
        <f t="shared" si="38"/>
      </c>
      <c r="BV155" s="85">
        <f t="shared" si="39"/>
      </c>
      <c r="BW155" s="87">
        <f t="shared" si="40"/>
      </c>
      <c r="BX155" s="104"/>
      <c r="BY155" s="106"/>
      <c r="BZ155" s="104"/>
      <c r="CA155" s="105"/>
      <c r="CB155" s="77">
        <f>IF($A155="",0,IF($B155='FICHA CLIENTE'!$C$4,1,0))</f>
      </c>
      <c r="CC155" s="77">
        <f t="shared" si="41"/>
      </c>
      <c r="CD155" s="77">
        <f>IF($A155="",0,IF($D155='FICHA VEHICULO'!$C$4,1,0))</f>
      </c>
      <c r="CE155" s="77">
        <f t="shared" si="42"/>
      </c>
      <c r="CF155" s="77">
        <f t="shared" si="43"/>
      </c>
      <c r="CG155" s="77">
        <f t="shared" si="44"/>
      </c>
    </row>
    <row r="156" spans="1:85" ht="19.5" customHeight="1" x14ac:dyDescent="0.2">
      <c r="A156" s="104"/>
      <c r="B156" s="104"/>
      <c r="C156" s="105"/>
      <c r="D156" s="104"/>
      <c r="E156" s="105"/>
      <c r="F156" s="106"/>
      <c r="G156" s="104"/>
      <c r="H156" s="106"/>
      <c r="I156" s="107"/>
      <c r="J156" s="108"/>
      <c r="K156" s="108"/>
      <c r="L156" s="108"/>
      <c r="M156" s="105"/>
      <c r="N156" s="105"/>
      <c r="O156" s="105"/>
      <c r="P156" s="108"/>
      <c r="Q156" s="105"/>
      <c r="R156" s="105"/>
      <c r="S156" s="105"/>
      <c r="T156" s="105"/>
      <c r="U156" s="108"/>
      <c r="V156" s="105"/>
      <c r="W156" s="105"/>
      <c r="X156" s="105"/>
      <c r="Y156" s="105"/>
      <c r="Z156" s="105"/>
      <c r="AA156" s="108"/>
      <c r="AB156" s="108"/>
      <c r="AC156" s="105"/>
      <c r="AD156" s="279"/>
      <c r="AE156" s="105"/>
      <c r="AF156" s="279"/>
      <c r="AG156" s="105"/>
      <c r="AH156" s="108"/>
      <c r="AI156" s="108"/>
      <c r="AJ156" s="108"/>
      <c r="AK156" s="108"/>
      <c r="AL156" s="105"/>
      <c r="AM156" s="108"/>
      <c r="AN156" s="105"/>
      <c r="AO156" s="108"/>
      <c r="AP156" s="108"/>
      <c r="AQ156" s="105"/>
      <c r="AR156" s="108"/>
      <c r="AS156" s="108"/>
      <c r="AT156" s="105"/>
      <c r="AU156" s="105"/>
      <c r="AV156" s="105"/>
      <c r="AW156" s="105"/>
      <c r="AX156" s="105"/>
      <c r="AY156" s="105"/>
      <c r="AZ156" s="105"/>
      <c r="BA156" s="105"/>
      <c r="BB156" s="105"/>
      <c r="BC156" s="105"/>
      <c r="BD156" s="108"/>
      <c r="BE156" s="83">
        <f>IF($A156="","",IF(TRIM($D156&amp;"")="",IF(TRIM($AX156&amp;$AY156&amp;$AZ156&amp;$BA156&amp;$BB156&amp;$BC156&amp;$BD156&amp;"")="","","SUBARRENDADO"),IFERROR(IF(VLOOKUP($D156,VEHICULOS!$A$3:$H$202,7,FALSE)="","",VLOOKUP($D156,VEHICULOS!$A$3:$H$202,7,FALSE)),"")))</f>
      </c>
      <c r="BF156" s="82">
        <f>IF($A156="","",IF(TRIM($BC156&amp;"")&lt;&gt;"",$BC156,IF(TRIM($D156&amp;"")="","",IFERROR(IF(VLOOKUP($D156,VEHICULOS!$A$3:$H$202,8,FALSE)="","",VLOOKUP($D156,VEHICULOS!$A$3:$H$202,8,FALSE)),""))))</f>
      </c>
      <c r="BG156" s="106"/>
      <c r="BH156" s="107"/>
      <c r="BI156" s="86">
        <f t="shared" si="30"/>
      </c>
      <c r="BJ156" s="83">
        <f t="shared" si="31"/>
      </c>
      <c r="BK156" s="85">
        <f t="shared" si="32"/>
      </c>
      <c r="BL156" s="85">
        <f t="shared" si="33"/>
      </c>
      <c r="BM156" s="108"/>
      <c r="BN156" s="85">
        <f t="shared" si="34"/>
      </c>
      <c r="BO156" s="108"/>
      <c r="BP156" s="85">
        <f t="shared" si="35"/>
      </c>
      <c r="BQ156" s="85">
        <f t="shared" si="36"/>
      </c>
      <c r="BR156" s="108"/>
      <c r="BS156" s="104"/>
      <c r="BT156" s="87">
        <f t="shared" si="37"/>
      </c>
      <c r="BU156" s="85">
        <f t="shared" si="38"/>
      </c>
      <c r="BV156" s="85">
        <f t="shared" si="39"/>
      </c>
      <c r="BW156" s="87">
        <f t="shared" si="40"/>
      </c>
      <c r="BX156" s="104"/>
      <c r="BY156" s="106"/>
      <c r="BZ156" s="104"/>
      <c r="CA156" s="105"/>
      <c r="CB156" s="77">
        <f>IF($A156="",0,IF($B156='FICHA CLIENTE'!$C$4,1,0))</f>
      </c>
      <c r="CC156" s="77">
        <f t="shared" si="41"/>
      </c>
      <c r="CD156" s="77">
        <f>IF($A156="",0,IF($D156='FICHA VEHICULO'!$C$4,1,0))</f>
      </c>
      <c r="CE156" s="77">
        <f t="shared" si="42"/>
      </c>
      <c r="CF156" s="77">
        <f t="shared" si="43"/>
      </c>
      <c r="CG156" s="77">
        <f t="shared" si="44"/>
      </c>
    </row>
    <row r="157" spans="1:85" ht="19.5" customHeight="1" x14ac:dyDescent="0.2">
      <c r="A157" s="104"/>
      <c r="B157" s="104"/>
      <c r="C157" s="105"/>
      <c r="D157" s="104"/>
      <c r="E157" s="105"/>
      <c r="F157" s="106"/>
      <c r="G157" s="104"/>
      <c r="H157" s="106"/>
      <c r="I157" s="107"/>
      <c r="J157" s="108"/>
      <c r="K157" s="108"/>
      <c r="L157" s="108"/>
      <c r="M157" s="105"/>
      <c r="N157" s="105"/>
      <c r="O157" s="105"/>
      <c r="P157" s="108"/>
      <c r="Q157" s="105"/>
      <c r="R157" s="105"/>
      <c r="S157" s="105"/>
      <c r="T157" s="105"/>
      <c r="U157" s="108"/>
      <c r="V157" s="105"/>
      <c r="W157" s="105"/>
      <c r="X157" s="105"/>
      <c r="Y157" s="105"/>
      <c r="Z157" s="105"/>
      <c r="AA157" s="108"/>
      <c r="AB157" s="108"/>
      <c r="AC157" s="105"/>
      <c r="AD157" s="279"/>
      <c r="AE157" s="105"/>
      <c r="AF157" s="279"/>
      <c r="AG157" s="105"/>
      <c r="AH157" s="108"/>
      <c r="AI157" s="108"/>
      <c r="AJ157" s="108"/>
      <c r="AK157" s="108"/>
      <c r="AL157" s="105"/>
      <c r="AM157" s="108"/>
      <c r="AN157" s="105"/>
      <c r="AO157" s="108"/>
      <c r="AP157" s="108"/>
      <c r="AQ157" s="105"/>
      <c r="AR157" s="108"/>
      <c r="AS157" s="108"/>
      <c r="AT157" s="105"/>
      <c r="AU157" s="105"/>
      <c r="AV157" s="105"/>
      <c r="AW157" s="105"/>
      <c r="AX157" s="105"/>
      <c r="AY157" s="105"/>
      <c r="AZ157" s="105"/>
      <c r="BA157" s="105"/>
      <c r="BB157" s="105"/>
      <c r="BC157" s="105"/>
      <c r="BD157" s="108"/>
      <c r="BE157" s="83">
        <f>IF($A157="","",IF(TRIM($D157&amp;"")="",IF(TRIM($AX157&amp;$AY157&amp;$AZ157&amp;$BA157&amp;$BB157&amp;$BC157&amp;$BD157&amp;"")="","","SUBARRENDADO"),IFERROR(IF(VLOOKUP($D157,VEHICULOS!$A$3:$H$202,7,FALSE)="","",VLOOKUP($D157,VEHICULOS!$A$3:$H$202,7,FALSE)),"")))</f>
      </c>
      <c r="BF157" s="82">
        <f>IF($A157="","",IF(TRIM($BC157&amp;"")&lt;&gt;"",$BC157,IF(TRIM($D157&amp;"")="","",IFERROR(IF(VLOOKUP($D157,VEHICULOS!$A$3:$H$202,8,FALSE)="","",VLOOKUP($D157,VEHICULOS!$A$3:$H$202,8,FALSE)),""))))</f>
      </c>
      <c r="BG157" s="106"/>
      <c r="BH157" s="107"/>
      <c r="BI157" s="86">
        <f t="shared" si="30"/>
      </c>
      <c r="BJ157" s="83">
        <f t="shared" si="31"/>
      </c>
      <c r="BK157" s="85">
        <f t="shared" si="32"/>
      </c>
      <c r="BL157" s="85">
        <f t="shared" si="33"/>
      </c>
      <c r="BM157" s="108"/>
      <c r="BN157" s="85">
        <f t="shared" si="34"/>
      </c>
      <c r="BO157" s="108"/>
      <c r="BP157" s="85">
        <f t="shared" si="35"/>
      </c>
      <c r="BQ157" s="85">
        <f t="shared" si="36"/>
      </c>
      <c r="BR157" s="108"/>
      <c r="BS157" s="104"/>
      <c r="BT157" s="87">
        <f t="shared" si="37"/>
      </c>
      <c r="BU157" s="85">
        <f t="shared" si="38"/>
      </c>
      <c r="BV157" s="85">
        <f t="shared" si="39"/>
      </c>
      <c r="BW157" s="87">
        <f t="shared" si="40"/>
      </c>
      <c r="BX157" s="104"/>
      <c r="BY157" s="106"/>
      <c r="BZ157" s="104"/>
      <c r="CA157" s="105"/>
      <c r="CB157" s="77">
        <f>IF($A157="",0,IF($B157='FICHA CLIENTE'!$C$4,1,0))</f>
      </c>
      <c r="CC157" s="77">
        <f t="shared" si="41"/>
      </c>
      <c r="CD157" s="77">
        <f>IF($A157="",0,IF($D157='FICHA VEHICULO'!$C$4,1,0))</f>
      </c>
      <c r="CE157" s="77">
        <f t="shared" si="42"/>
      </c>
      <c r="CF157" s="77">
        <f t="shared" si="43"/>
      </c>
      <c r="CG157" s="77">
        <f t="shared" si="44"/>
      </c>
    </row>
    <row r="158" spans="1:85" ht="19.5" customHeight="1" x14ac:dyDescent="0.2">
      <c r="A158" s="104"/>
      <c r="B158" s="104"/>
      <c r="C158" s="105"/>
      <c r="D158" s="104"/>
      <c r="E158" s="105"/>
      <c r="F158" s="106"/>
      <c r="G158" s="104"/>
      <c r="H158" s="106"/>
      <c r="I158" s="107"/>
      <c r="J158" s="108"/>
      <c r="K158" s="108"/>
      <c r="L158" s="108"/>
      <c r="M158" s="105"/>
      <c r="N158" s="105"/>
      <c r="O158" s="105"/>
      <c r="P158" s="108"/>
      <c r="Q158" s="105"/>
      <c r="R158" s="105"/>
      <c r="S158" s="105"/>
      <c r="T158" s="105"/>
      <c r="U158" s="108"/>
      <c r="V158" s="105"/>
      <c r="W158" s="105"/>
      <c r="X158" s="105"/>
      <c r="Y158" s="105"/>
      <c r="Z158" s="105"/>
      <c r="AA158" s="108"/>
      <c r="AB158" s="108"/>
      <c r="AC158" s="105"/>
      <c r="AD158" s="279"/>
      <c r="AE158" s="105"/>
      <c r="AF158" s="279"/>
      <c r="AG158" s="105"/>
      <c r="AH158" s="108"/>
      <c r="AI158" s="108"/>
      <c r="AJ158" s="108"/>
      <c r="AK158" s="108"/>
      <c r="AL158" s="105"/>
      <c r="AM158" s="108"/>
      <c r="AN158" s="105"/>
      <c r="AO158" s="108"/>
      <c r="AP158" s="108"/>
      <c r="AQ158" s="105"/>
      <c r="AR158" s="108"/>
      <c r="AS158" s="108"/>
      <c r="AT158" s="105"/>
      <c r="AU158" s="105"/>
      <c r="AV158" s="105"/>
      <c r="AW158" s="105"/>
      <c r="AX158" s="105"/>
      <c r="AY158" s="105"/>
      <c r="AZ158" s="105"/>
      <c r="BA158" s="105"/>
      <c r="BB158" s="105"/>
      <c r="BC158" s="105"/>
      <c r="BD158" s="108"/>
      <c r="BE158" s="83">
        <f>IF($A158="","",IF(TRIM($D158&amp;"")="",IF(TRIM($AX158&amp;$AY158&amp;$AZ158&amp;$BA158&amp;$BB158&amp;$BC158&amp;$BD158&amp;"")="","","SUBARRENDADO"),IFERROR(IF(VLOOKUP($D158,VEHICULOS!$A$3:$H$202,7,FALSE)="","",VLOOKUP($D158,VEHICULOS!$A$3:$H$202,7,FALSE)),"")))</f>
      </c>
      <c r="BF158" s="82">
        <f>IF($A158="","",IF(TRIM($BC158&amp;"")&lt;&gt;"",$BC158,IF(TRIM($D158&amp;"")="","",IFERROR(IF(VLOOKUP($D158,VEHICULOS!$A$3:$H$202,8,FALSE)="","",VLOOKUP($D158,VEHICULOS!$A$3:$H$202,8,FALSE)),""))))</f>
      </c>
      <c r="BG158" s="106"/>
      <c r="BH158" s="107"/>
      <c r="BI158" s="86">
        <f t="shared" si="30"/>
      </c>
      <c r="BJ158" s="83">
        <f t="shared" si="31"/>
      </c>
      <c r="BK158" s="85">
        <f t="shared" si="32"/>
      </c>
      <c r="BL158" s="85">
        <f t="shared" si="33"/>
      </c>
      <c r="BM158" s="108"/>
      <c r="BN158" s="85">
        <f t="shared" si="34"/>
      </c>
      <c r="BO158" s="108"/>
      <c r="BP158" s="85">
        <f t="shared" si="35"/>
      </c>
      <c r="BQ158" s="85">
        <f t="shared" si="36"/>
      </c>
      <c r="BR158" s="108"/>
      <c r="BS158" s="104"/>
      <c r="BT158" s="87">
        <f t="shared" si="37"/>
      </c>
      <c r="BU158" s="85">
        <f t="shared" si="38"/>
      </c>
      <c r="BV158" s="85">
        <f t="shared" si="39"/>
      </c>
      <c r="BW158" s="87">
        <f t="shared" si="40"/>
      </c>
      <c r="BX158" s="104"/>
      <c r="BY158" s="106"/>
      <c r="BZ158" s="104"/>
      <c r="CA158" s="105"/>
      <c r="CB158" s="77">
        <f>IF($A158="",0,IF($B158='FICHA CLIENTE'!$C$4,1,0))</f>
      </c>
      <c r="CC158" s="77">
        <f t="shared" si="41"/>
      </c>
      <c r="CD158" s="77">
        <f>IF($A158="",0,IF($D158='FICHA VEHICULO'!$C$4,1,0))</f>
      </c>
      <c r="CE158" s="77">
        <f t="shared" si="42"/>
      </c>
      <c r="CF158" s="77">
        <f t="shared" si="43"/>
      </c>
      <c r="CG158" s="77">
        <f t="shared" si="44"/>
      </c>
    </row>
    <row r="159" spans="1:85" ht="19.5" customHeight="1" x14ac:dyDescent="0.2">
      <c r="A159" s="104"/>
      <c r="B159" s="104"/>
      <c r="C159" s="105"/>
      <c r="D159" s="104"/>
      <c r="E159" s="105"/>
      <c r="F159" s="106"/>
      <c r="G159" s="104"/>
      <c r="H159" s="106"/>
      <c r="I159" s="107"/>
      <c r="J159" s="108"/>
      <c r="K159" s="108"/>
      <c r="L159" s="108"/>
      <c r="M159" s="105"/>
      <c r="N159" s="105"/>
      <c r="O159" s="105"/>
      <c r="P159" s="108"/>
      <c r="Q159" s="105"/>
      <c r="R159" s="105"/>
      <c r="S159" s="105"/>
      <c r="T159" s="105"/>
      <c r="U159" s="108"/>
      <c r="V159" s="105"/>
      <c r="W159" s="105"/>
      <c r="X159" s="105"/>
      <c r="Y159" s="105"/>
      <c r="Z159" s="105"/>
      <c r="AA159" s="108"/>
      <c r="AB159" s="108"/>
      <c r="AC159" s="105"/>
      <c r="AD159" s="279"/>
      <c r="AE159" s="105"/>
      <c r="AF159" s="279"/>
      <c r="AG159" s="105"/>
      <c r="AH159" s="108"/>
      <c r="AI159" s="108"/>
      <c r="AJ159" s="108"/>
      <c r="AK159" s="108"/>
      <c r="AL159" s="105"/>
      <c r="AM159" s="108"/>
      <c r="AN159" s="105"/>
      <c r="AO159" s="108"/>
      <c r="AP159" s="108"/>
      <c r="AQ159" s="105"/>
      <c r="AR159" s="108"/>
      <c r="AS159" s="108"/>
      <c r="AT159" s="105"/>
      <c r="AU159" s="105"/>
      <c r="AV159" s="105"/>
      <c r="AW159" s="105"/>
      <c r="AX159" s="105"/>
      <c r="AY159" s="105"/>
      <c r="AZ159" s="105"/>
      <c r="BA159" s="105"/>
      <c r="BB159" s="105"/>
      <c r="BC159" s="105"/>
      <c r="BD159" s="108"/>
      <c r="BE159" s="83">
        <f>IF($A159="","",IF(TRIM($D159&amp;"")="",IF(TRIM($AX159&amp;$AY159&amp;$AZ159&amp;$BA159&amp;$BB159&amp;$BC159&amp;$BD159&amp;"")="","","SUBARRENDADO"),IFERROR(IF(VLOOKUP($D159,VEHICULOS!$A$3:$H$202,7,FALSE)="","",VLOOKUP($D159,VEHICULOS!$A$3:$H$202,7,FALSE)),"")))</f>
      </c>
      <c r="BF159" s="82">
        <f>IF($A159="","",IF(TRIM($BC159&amp;"")&lt;&gt;"",$BC159,IF(TRIM($D159&amp;"")="","",IFERROR(IF(VLOOKUP($D159,VEHICULOS!$A$3:$H$202,8,FALSE)="","",VLOOKUP($D159,VEHICULOS!$A$3:$H$202,8,FALSE)),""))))</f>
      </c>
      <c r="BG159" s="106"/>
      <c r="BH159" s="107"/>
      <c r="BI159" s="86">
        <f t="shared" si="30"/>
      </c>
      <c r="BJ159" s="83">
        <f t="shared" si="31"/>
      </c>
      <c r="BK159" s="85">
        <f t="shared" si="32"/>
      </c>
      <c r="BL159" s="85">
        <f t="shared" si="33"/>
      </c>
      <c r="BM159" s="108"/>
      <c r="BN159" s="85">
        <f t="shared" si="34"/>
      </c>
      <c r="BO159" s="108"/>
      <c r="BP159" s="85">
        <f t="shared" si="35"/>
      </c>
      <c r="BQ159" s="85">
        <f t="shared" si="36"/>
      </c>
      <c r="BR159" s="108"/>
      <c r="BS159" s="104"/>
      <c r="BT159" s="87">
        <f t="shared" si="37"/>
      </c>
      <c r="BU159" s="85">
        <f t="shared" si="38"/>
      </c>
      <c r="BV159" s="85">
        <f t="shared" si="39"/>
      </c>
      <c r="BW159" s="87">
        <f t="shared" si="40"/>
      </c>
      <c r="BX159" s="104"/>
      <c r="BY159" s="106"/>
      <c r="BZ159" s="104"/>
      <c r="CA159" s="105"/>
      <c r="CB159" s="77">
        <f>IF($A159="",0,IF($B159='FICHA CLIENTE'!$C$4,1,0))</f>
      </c>
      <c r="CC159" s="77">
        <f t="shared" si="41"/>
      </c>
      <c r="CD159" s="77">
        <f>IF($A159="",0,IF($D159='FICHA VEHICULO'!$C$4,1,0))</f>
      </c>
      <c r="CE159" s="77">
        <f t="shared" si="42"/>
      </c>
      <c r="CF159" s="77">
        <f t="shared" si="43"/>
      </c>
      <c r="CG159" s="77">
        <f t="shared" si="44"/>
      </c>
    </row>
    <row r="160" spans="1:85" ht="19.5" customHeight="1" x14ac:dyDescent="0.2">
      <c r="A160" s="104"/>
      <c r="B160" s="104"/>
      <c r="C160" s="105"/>
      <c r="D160" s="104"/>
      <c r="E160" s="105"/>
      <c r="F160" s="106"/>
      <c r="G160" s="104"/>
      <c r="H160" s="106"/>
      <c r="I160" s="107"/>
      <c r="J160" s="108"/>
      <c r="K160" s="108"/>
      <c r="L160" s="108"/>
      <c r="M160" s="105"/>
      <c r="N160" s="105"/>
      <c r="O160" s="105"/>
      <c r="P160" s="108"/>
      <c r="Q160" s="105"/>
      <c r="R160" s="105"/>
      <c r="S160" s="105"/>
      <c r="T160" s="105"/>
      <c r="U160" s="108"/>
      <c r="V160" s="105"/>
      <c r="W160" s="105"/>
      <c r="X160" s="105"/>
      <c r="Y160" s="105"/>
      <c r="Z160" s="105"/>
      <c r="AA160" s="108"/>
      <c r="AB160" s="108"/>
      <c r="AC160" s="105"/>
      <c r="AD160" s="279"/>
      <c r="AE160" s="105"/>
      <c r="AF160" s="279"/>
      <c r="AG160" s="105"/>
      <c r="AH160" s="108"/>
      <c r="AI160" s="108"/>
      <c r="AJ160" s="108"/>
      <c r="AK160" s="108"/>
      <c r="AL160" s="105"/>
      <c r="AM160" s="108"/>
      <c r="AN160" s="105"/>
      <c r="AO160" s="108"/>
      <c r="AP160" s="108"/>
      <c r="AQ160" s="105"/>
      <c r="AR160" s="108"/>
      <c r="AS160" s="108"/>
      <c r="AT160" s="105"/>
      <c r="AU160" s="105"/>
      <c r="AV160" s="105"/>
      <c r="AW160" s="105"/>
      <c r="AX160" s="105"/>
      <c r="AY160" s="105"/>
      <c r="AZ160" s="105"/>
      <c r="BA160" s="105"/>
      <c r="BB160" s="105"/>
      <c r="BC160" s="105"/>
      <c r="BD160" s="108"/>
      <c r="BE160" s="83">
        <f>IF($A160="","",IF(TRIM($D160&amp;"")="",IF(TRIM($AX160&amp;$AY160&amp;$AZ160&amp;$BA160&amp;$BB160&amp;$BC160&amp;$BD160&amp;"")="","","SUBARRENDADO"),IFERROR(IF(VLOOKUP($D160,VEHICULOS!$A$3:$H$202,7,FALSE)="","",VLOOKUP($D160,VEHICULOS!$A$3:$H$202,7,FALSE)),"")))</f>
      </c>
      <c r="BF160" s="82">
        <f>IF($A160="","",IF(TRIM($BC160&amp;"")&lt;&gt;"",$BC160,IF(TRIM($D160&amp;"")="","",IFERROR(IF(VLOOKUP($D160,VEHICULOS!$A$3:$H$202,8,FALSE)="","",VLOOKUP($D160,VEHICULOS!$A$3:$H$202,8,FALSE)),""))))</f>
      </c>
      <c r="BG160" s="106"/>
      <c r="BH160" s="107"/>
      <c r="BI160" s="86">
        <f t="shared" si="30"/>
      </c>
      <c r="BJ160" s="83">
        <f t="shared" si="31"/>
      </c>
      <c r="BK160" s="85">
        <f t="shared" si="32"/>
      </c>
      <c r="BL160" s="85">
        <f t="shared" si="33"/>
      </c>
      <c r="BM160" s="108"/>
      <c r="BN160" s="85">
        <f t="shared" si="34"/>
      </c>
      <c r="BO160" s="108"/>
      <c r="BP160" s="85">
        <f t="shared" si="35"/>
      </c>
      <c r="BQ160" s="85">
        <f t="shared" si="36"/>
      </c>
      <c r="BR160" s="108"/>
      <c r="BS160" s="104"/>
      <c r="BT160" s="87">
        <f t="shared" si="37"/>
      </c>
      <c r="BU160" s="85">
        <f t="shared" si="38"/>
      </c>
      <c r="BV160" s="85">
        <f t="shared" si="39"/>
      </c>
      <c r="BW160" s="87">
        <f t="shared" si="40"/>
      </c>
      <c r="BX160" s="104"/>
      <c r="BY160" s="106"/>
      <c r="BZ160" s="104"/>
      <c r="CA160" s="105"/>
      <c r="CB160" s="77">
        <f>IF($A160="",0,IF($B160='FICHA CLIENTE'!$C$4,1,0))</f>
      </c>
      <c r="CC160" s="77">
        <f t="shared" si="41"/>
      </c>
      <c r="CD160" s="77">
        <f>IF($A160="",0,IF($D160='FICHA VEHICULO'!$C$4,1,0))</f>
      </c>
      <c r="CE160" s="77">
        <f t="shared" si="42"/>
      </c>
      <c r="CF160" s="77">
        <f t="shared" si="43"/>
      </c>
      <c r="CG160" s="77">
        <f t="shared" si="44"/>
      </c>
    </row>
    <row r="161" spans="1:85" ht="19.5" customHeight="1" x14ac:dyDescent="0.2">
      <c r="A161" s="104"/>
      <c r="B161" s="104"/>
      <c r="C161" s="105"/>
      <c r="D161" s="104"/>
      <c r="E161" s="105"/>
      <c r="F161" s="106"/>
      <c r="G161" s="104"/>
      <c r="H161" s="106"/>
      <c r="I161" s="107"/>
      <c r="J161" s="108"/>
      <c r="K161" s="108"/>
      <c r="L161" s="108"/>
      <c r="M161" s="105"/>
      <c r="N161" s="105"/>
      <c r="O161" s="105"/>
      <c r="P161" s="108"/>
      <c r="Q161" s="105"/>
      <c r="R161" s="105"/>
      <c r="S161" s="105"/>
      <c r="T161" s="105"/>
      <c r="U161" s="108"/>
      <c r="V161" s="105"/>
      <c r="W161" s="105"/>
      <c r="X161" s="105"/>
      <c r="Y161" s="105"/>
      <c r="Z161" s="105"/>
      <c r="AA161" s="108"/>
      <c r="AB161" s="108"/>
      <c r="AC161" s="105"/>
      <c r="AD161" s="279"/>
      <c r="AE161" s="105"/>
      <c r="AF161" s="279"/>
      <c r="AG161" s="105"/>
      <c r="AH161" s="108"/>
      <c r="AI161" s="108"/>
      <c r="AJ161" s="108"/>
      <c r="AK161" s="108"/>
      <c r="AL161" s="105"/>
      <c r="AM161" s="108"/>
      <c r="AN161" s="105"/>
      <c r="AO161" s="108"/>
      <c r="AP161" s="108"/>
      <c r="AQ161" s="105"/>
      <c r="AR161" s="108"/>
      <c r="AS161" s="108"/>
      <c r="AT161" s="105"/>
      <c r="AU161" s="105"/>
      <c r="AV161" s="105"/>
      <c r="AW161" s="105"/>
      <c r="AX161" s="105"/>
      <c r="AY161" s="105"/>
      <c r="AZ161" s="105"/>
      <c r="BA161" s="105"/>
      <c r="BB161" s="105"/>
      <c r="BC161" s="105"/>
      <c r="BD161" s="108"/>
      <c r="BE161" s="83">
        <f>IF($A161="","",IF(TRIM($D161&amp;"")="",IF(TRIM($AX161&amp;$AY161&amp;$AZ161&amp;$BA161&amp;$BB161&amp;$BC161&amp;$BD161&amp;"")="","","SUBARRENDADO"),IFERROR(IF(VLOOKUP($D161,VEHICULOS!$A$3:$H$202,7,FALSE)="","",VLOOKUP($D161,VEHICULOS!$A$3:$H$202,7,FALSE)),"")))</f>
      </c>
      <c r="BF161" s="82">
        <f>IF($A161="","",IF(TRIM($BC161&amp;"")&lt;&gt;"",$BC161,IF(TRIM($D161&amp;"")="","",IFERROR(IF(VLOOKUP($D161,VEHICULOS!$A$3:$H$202,8,FALSE)="","",VLOOKUP($D161,VEHICULOS!$A$3:$H$202,8,FALSE)),""))))</f>
      </c>
      <c r="BG161" s="106"/>
      <c r="BH161" s="107"/>
      <c r="BI161" s="86">
        <f t="shared" si="30"/>
      </c>
      <c r="BJ161" s="83">
        <f t="shared" si="31"/>
      </c>
      <c r="BK161" s="85">
        <f t="shared" si="32"/>
      </c>
      <c r="BL161" s="85">
        <f t="shared" si="33"/>
      </c>
      <c r="BM161" s="108"/>
      <c r="BN161" s="85">
        <f t="shared" si="34"/>
      </c>
      <c r="BO161" s="108"/>
      <c r="BP161" s="85">
        <f t="shared" si="35"/>
      </c>
      <c r="BQ161" s="85">
        <f t="shared" si="36"/>
      </c>
      <c r="BR161" s="108"/>
      <c r="BS161" s="104"/>
      <c r="BT161" s="87">
        <f t="shared" si="37"/>
      </c>
      <c r="BU161" s="85">
        <f t="shared" si="38"/>
      </c>
      <c r="BV161" s="85">
        <f t="shared" si="39"/>
      </c>
      <c r="BW161" s="87">
        <f t="shared" si="40"/>
      </c>
      <c r="BX161" s="104"/>
      <c r="BY161" s="106"/>
      <c r="BZ161" s="104"/>
      <c r="CA161" s="105"/>
      <c r="CB161" s="77">
        <f>IF($A161="",0,IF($B161='FICHA CLIENTE'!$C$4,1,0))</f>
      </c>
      <c r="CC161" s="77">
        <f t="shared" si="41"/>
      </c>
      <c r="CD161" s="77">
        <f>IF($A161="",0,IF($D161='FICHA VEHICULO'!$C$4,1,0))</f>
      </c>
      <c r="CE161" s="77">
        <f t="shared" si="42"/>
      </c>
      <c r="CF161" s="77">
        <f t="shared" si="43"/>
      </c>
      <c r="CG161" s="77">
        <f t="shared" si="44"/>
      </c>
    </row>
    <row r="162" spans="1:85" ht="19.5" customHeight="1" x14ac:dyDescent="0.2">
      <c r="A162" s="104"/>
      <c r="B162" s="104"/>
      <c r="C162" s="105"/>
      <c r="D162" s="104"/>
      <c r="E162" s="105"/>
      <c r="F162" s="106"/>
      <c r="G162" s="104"/>
      <c r="H162" s="106"/>
      <c r="I162" s="107"/>
      <c r="J162" s="108"/>
      <c r="K162" s="108"/>
      <c r="L162" s="108"/>
      <c r="M162" s="105"/>
      <c r="N162" s="105"/>
      <c r="O162" s="105"/>
      <c r="P162" s="108"/>
      <c r="Q162" s="105"/>
      <c r="R162" s="105"/>
      <c r="S162" s="105"/>
      <c r="T162" s="105"/>
      <c r="U162" s="108"/>
      <c r="V162" s="105"/>
      <c r="W162" s="105"/>
      <c r="X162" s="105"/>
      <c r="Y162" s="105"/>
      <c r="Z162" s="105"/>
      <c r="AA162" s="108"/>
      <c r="AB162" s="108"/>
      <c r="AC162" s="105"/>
      <c r="AD162" s="279"/>
      <c r="AE162" s="105"/>
      <c r="AF162" s="279"/>
      <c r="AG162" s="105"/>
      <c r="AH162" s="108"/>
      <c r="AI162" s="108"/>
      <c r="AJ162" s="108"/>
      <c r="AK162" s="108"/>
      <c r="AL162" s="105"/>
      <c r="AM162" s="108"/>
      <c r="AN162" s="105"/>
      <c r="AO162" s="108"/>
      <c r="AP162" s="108"/>
      <c r="AQ162" s="105"/>
      <c r="AR162" s="108"/>
      <c r="AS162" s="108"/>
      <c r="AT162" s="105"/>
      <c r="AU162" s="105"/>
      <c r="AV162" s="105"/>
      <c r="AW162" s="105"/>
      <c r="AX162" s="105"/>
      <c r="AY162" s="105"/>
      <c r="AZ162" s="105"/>
      <c r="BA162" s="105"/>
      <c r="BB162" s="105"/>
      <c r="BC162" s="105"/>
      <c r="BD162" s="108"/>
      <c r="BE162" s="83">
        <f>IF($A162="","",IF(TRIM($D162&amp;"")="",IF(TRIM($AX162&amp;$AY162&amp;$AZ162&amp;$BA162&amp;$BB162&amp;$BC162&amp;$BD162&amp;"")="","","SUBARRENDADO"),IFERROR(IF(VLOOKUP($D162,VEHICULOS!$A$3:$H$202,7,FALSE)="","",VLOOKUP($D162,VEHICULOS!$A$3:$H$202,7,FALSE)),"")))</f>
      </c>
      <c r="BF162" s="82">
        <f>IF($A162="","",IF(TRIM($BC162&amp;"")&lt;&gt;"",$BC162,IF(TRIM($D162&amp;"")="","",IFERROR(IF(VLOOKUP($D162,VEHICULOS!$A$3:$H$202,8,FALSE)="","",VLOOKUP($D162,VEHICULOS!$A$3:$H$202,8,FALSE)),""))))</f>
      </c>
      <c r="BG162" s="106"/>
      <c r="BH162" s="107"/>
      <c r="BI162" s="86">
        <f t="shared" si="30"/>
      </c>
      <c r="BJ162" s="83">
        <f t="shared" si="31"/>
      </c>
      <c r="BK162" s="85">
        <f t="shared" si="32"/>
      </c>
      <c r="BL162" s="85">
        <f t="shared" si="33"/>
      </c>
      <c r="BM162" s="108"/>
      <c r="BN162" s="85">
        <f t="shared" si="34"/>
      </c>
      <c r="BO162" s="108"/>
      <c r="BP162" s="85">
        <f t="shared" si="35"/>
      </c>
      <c r="BQ162" s="85">
        <f t="shared" si="36"/>
      </c>
      <c r="BR162" s="108"/>
      <c r="BS162" s="104"/>
      <c r="BT162" s="87">
        <f t="shared" si="37"/>
      </c>
      <c r="BU162" s="85">
        <f t="shared" si="38"/>
      </c>
      <c r="BV162" s="85">
        <f t="shared" si="39"/>
      </c>
      <c r="BW162" s="87">
        <f t="shared" si="40"/>
      </c>
      <c r="BX162" s="104"/>
      <c r="BY162" s="106"/>
      <c r="BZ162" s="104"/>
      <c r="CA162" s="105"/>
      <c r="CB162" s="77">
        <f>IF($A162="",0,IF($B162='FICHA CLIENTE'!$C$4,1,0))</f>
      </c>
      <c r="CC162" s="77">
        <f t="shared" si="41"/>
      </c>
      <c r="CD162" s="77">
        <f>IF($A162="",0,IF($D162='FICHA VEHICULO'!$C$4,1,0))</f>
      </c>
      <c r="CE162" s="77">
        <f t="shared" si="42"/>
      </c>
      <c r="CF162" s="77">
        <f t="shared" si="43"/>
      </c>
      <c r="CG162" s="77">
        <f t="shared" si="44"/>
      </c>
    </row>
    <row r="163" spans="1:85" ht="19.5" customHeight="1" x14ac:dyDescent="0.2">
      <c r="A163" s="104"/>
      <c r="B163" s="104"/>
      <c r="C163" s="105"/>
      <c r="D163" s="104"/>
      <c r="E163" s="105"/>
      <c r="F163" s="106"/>
      <c r="G163" s="104"/>
      <c r="H163" s="106"/>
      <c r="I163" s="107"/>
      <c r="J163" s="108"/>
      <c r="K163" s="108"/>
      <c r="L163" s="108"/>
      <c r="M163" s="105"/>
      <c r="N163" s="105"/>
      <c r="O163" s="105"/>
      <c r="P163" s="108"/>
      <c r="Q163" s="105"/>
      <c r="R163" s="105"/>
      <c r="S163" s="105"/>
      <c r="T163" s="105"/>
      <c r="U163" s="108"/>
      <c r="V163" s="105"/>
      <c r="W163" s="105"/>
      <c r="X163" s="105"/>
      <c r="Y163" s="105"/>
      <c r="Z163" s="105"/>
      <c r="AA163" s="108"/>
      <c r="AB163" s="108"/>
      <c r="AC163" s="105"/>
      <c r="AD163" s="279"/>
      <c r="AE163" s="105"/>
      <c r="AF163" s="279"/>
      <c r="AG163" s="105"/>
      <c r="AH163" s="108"/>
      <c r="AI163" s="108"/>
      <c r="AJ163" s="108"/>
      <c r="AK163" s="108"/>
      <c r="AL163" s="105"/>
      <c r="AM163" s="108"/>
      <c r="AN163" s="105"/>
      <c r="AO163" s="108"/>
      <c r="AP163" s="108"/>
      <c r="AQ163" s="105"/>
      <c r="AR163" s="108"/>
      <c r="AS163" s="108"/>
      <c r="AT163" s="105"/>
      <c r="AU163" s="105"/>
      <c r="AV163" s="105"/>
      <c r="AW163" s="105"/>
      <c r="AX163" s="105"/>
      <c r="AY163" s="105"/>
      <c r="AZ163" s="105"/>
      <c r="BA163" s="105"/>
      <c r="BB163" s="105"/>
      <c r="BC163" s="105"/>
      <c r="BD163" s="108"/>
      <c r="BE163" s="83">
        <f>IF($A163="","",IF(TRIM($D163&amp;"")="",IF(TRIM($AX163&amp;$AY163&amp;$AZ163&amp;$BA163&amp;$BB163&amp;$BC163&amp;$BD163&amp;"")="","","SUBARRENDADO"),IFERROR(IF(VLOOKUP($D163,VEHICULOS!$A$3:$H$202,7,FALSE)="","",VLOOKUP($D163,VEHICULOS!$A$3:$H$202,7,FALSE)),"")))</f>
      </c>
      <c r="BF163" s="82">
        <f>IF($A163="","",IF(TRIM($BC163&amp;"")&lt;&gt;"",$BC163,IF(TRIM($D163&amp;"")="","",IFERROR(IF(VLOOKUP($D163,VEHICULOS!$A$3:$H$202,8,FALSE)="","",VLOOKUP($D163,VEHICULOS!$A$3:$H$202,8,FALSE)),""))))</f>
      </c>
      <c r="BG163" s="106"/>
      <c r="BH163" s="107"/>
      <c r="BI163" s="86">
        <f t="shared" si="30"/>
      </c>
      <c r="BJ163" s="83">
        <f t="shared" si="31"/>
      </c>
      <c r="BK163" s="85">
        <f t="shared" si="32"/>
      </c>
      <c r="BL163" s="85">
        <f t="shared" si="33"/>
      </c>
      <c r="BM163" s="108"/>
      <c r="BN163" s="85">
        <f t="shared" si="34"/>
      </c>
      <c r="BO163" s="108"/>
      <c r="BP163" s="85">
        <f t="shared" si="35"/>
      </c>
      <c r="BQ163" s="85">
        <f t="shared" si="36"/>
      </c>
      <c r="BR163" s="108"/>
      <c r="BS163" s="104"/>
      <c r="BT163" s="87">
        <f t="shared" si="37"/>
      </c>
      <c r="BU163" s="85">
        <f t="shared" si="38"/>
      </c>
      <c r="BV163" s="85">
        <f t="shared" si="39"/>
      </c>
      <c r="BW163" s="87">
        <f t="shared" si="40"/>
      </c>
      <c r="BX163" s="104"/>
      <c r="BY163" s="106"/>
      <c r="BZ163" s="104"/>
      <c r="CA163" s="105"/>
      <c r="CB163" s="77">
        <f>IF($A163="",0,IF($B163='FICHA CLIENTE'!$C$4,1,0))</f>
      </c>
      <c r="CC163" s="77">
        <f t="shared" si="41"/>
      </c>
      <c r="CD163" s="77">
        <f>IF($A163="",0,IF($D163='FICHA VEHICULO'!$C$4,1,0))</f>
      </c>
      <c r="CE163" s="77">
        <f t="shared" si="42"/>
      </c>
      <c r="CF163" s="77">
        <f t="shared" si="43"/>
      </c>
      <c r="CG163" s="77">
        <f t="shared" si="44"/>
      </c>
    </row>
    <row r="164" spans="1:85" ht="19.5" customHeight="1" x14ac:dyDescent="0.2">
      <c r="A164" s="104"/>
      <c r="B164" s="104"/>
      <c r="C164" s="105"/>
      <c r="D164" s="104"/>
      <c r="E164" s="105"/>
      <c r="F164" s="106"/>
      <c r="G164" s="104"/>
      <c r="H164" s="106"/>
      <c r="I164" s="107"/>
      <c r="J164" s="108"/>
      <c r="K164" s="108"/>
      <c r="L164" s="108"/>
      <c r="M164" s="105"/>
      <c r="N164" s="105"/>
      <c r="O164" s="105"/>
      <c r="P164" s="108"/>
      <c r="Q164" s="105"/>
      <c r="R164" s="105"/>
      <c r="S164" s="105"/>
      <c r="T164" s="105"/>
      <c r="U164" s="108"/>
      <c r="V164" s="105"/>
      <c r="W164" s="105"/>
      <c r="X164" s="105"/>
      <c r="Y164" s="105"/>
      <c r="Z164" s="105"/>
      <c r="AA164" s="108"/>
      <c r="AB164" s="108"/>
      <c r="AC164" s="105"/>
      <c r="AD164" s="279"/>
      <c r="AE164" s="105"/>
      <c r="AF164" s="279"/>
      <c r="AG164" s="105"/>
      <c r="AH164" s="108"/>
      <c r="AI164" s="108"/>
      <c r="AJ164" s="108"/>
      <c r="AK164" s="108"/>
      <c r="AL164" s="105"/>
      <c r="AM164" s="108"/>
      <c r="AN164" s="105"/>
      <c r="AO164" s="108"/>
      <c r="AP164" s="108"/>
      <c r="AQ164" s="105"/>
      <c r="AR164" s="108"/>
      <c r="AS164" s="108"/>
      <c r="AT164" s="105"/>
      <c r="AU164" s="105"/>
      <c r="AV164" s="105"/>
      <c r="AW164" s="105"/>
      <c r="AX164" s="105"/>
      <c r="AY164" s="105"/>
      <c r="AZ164" s="105"/>
      <c r="BA164" s="105"/>
      <c r="BB164" s="105"/>
      <c r="BC164" s="105"/>
      <c r="BD164" s="108"/>
      <c r="BE164" s="83">
        <f>IF($A164="","",IF(TRIM($D164&amp;"")="",IF(TRIM($AX164&amp;$AY164&amp;$AZ164&amp;$BA164&amp;$BB164&amp;$BC164&amp;$BD164&amp;"")="","","SUBARRENDADO"),IFERROR(IF(VLOOKUP($D164,VEHICULOS!$A$3:$H$202,7,FALSE)="","",VLOOKUP($D164,VEHICULOS!$A$3:$H$202,7,FALSE)),"")))</f>
      </c>
      <c r="BF164" s="82">
        <f>IF($A164="","",IF(TRIM($BC164&amp;"")&lt;&gt;"",$BC164,IF(TRIM($D164&amp;"")="","",IFERROR(IF(VLOOKUP($D164,VEHICULOS!$A$3:$H$202,8,FALSE)="","",VLOOKUP($D164,VEHICULOS!$A$3:$H$202,8,FALSE)),""))))</f>
      </c>
      <c r="BG164" s="106"/>
      <c r="BH164" s="107"/>
      <c r="BI164" s="86">
        <f t="shared" si="30"/>
      </c>
      <c r="BJ164" s="83">
        <f t="shared" si="31"/>
      </c>
      <c r="BK164" s="85">
        <f t="shared" si="32"/>
      </c>
      <c r="BL164" s="85">
        <f t="shared" si="33"/>
      </c>
      <c r="BM164" s="108"/>
      <c r="BN164" s="85">
        <f t="shared" si="34"/>
      </c>
      <c r="BO164" s="108"/>
      <c r="BP164" s="85">
        <f t="shared" si="35"/>
      </c>
      <c r="BQ164" s="85">
        <f t="shared" si="36"/>
      </c>
      <c r="BR164" s="108"/>
      <c r="BS164" s="104"/>
      <c r="BT164" s="87">
        <f t="shared" si="37"/>
      </c>
      <c r="BU164" s="85">
        <f t="shared" si="38"/>
      </c>
      <c r="BV164" s="85">
        <f t="shared" si="39"/>
      </c>
      <c r="BW164" s="87">
        <f t="shared" si="40"/>
      </c>
      <c r="BX164" s="104"/>
      <c r="BY164" s="106"/>
      <c r="BZ164" s="104"/>
      <c r="CA164" s="105"/>
      <c r="CB164" s="77">
        <f>IF($A164="",0,IF($B164='FICHA CLIENTE'!$C$4,1,0))</f>
      </c>
      <c r="CC164" s="77">
        <f t="shared" si="41"/>
      </c>
      <c r="CD164" s="77">
        <f>IF($A164="",0,IF($D164='FICHA VEHICULO'!$C$4,1,0))</f>
      </c>
      <c r="CE164" s="77">
        <f t="shared" si="42"/>
      </c>
      <c r="CF164" s="77">
        <f t="shared" si="43"/>
      </c>
      <c r="CG164" s="77">
        <f t="shared" si="44"/>
      </c>
    </row>
    <row r="165" spans="1:85" ht="19.5" customHeight="1" x14ac:dyDescent="0.2">
      <c r="A165" s="104"/>
      <c r="B165" s="104"/>
      <c r="C165" s="105"/>
      <c r="D165" s="104"/>
      <c r="E165" s="105"/>
      <c r="F165" s="106"/>
      <c r="G165" s="104"/>
      <c r="H165" s="106"/>
      <c r="I165" s="107"/>
      <c r="J165" s="108"/>
      <c r="K165" s="108"/>
      <c r="L165" s="108"/>
      <c r="M165" s="105"/>
      <c r="N165" s="105"/>
      <c r="O165" s="105"/>
      <c r="P165" s="108"/>
      <c r="Q165" s="105"/>
      <c r="R165" s="105"/>
      <c r="S165" s="105"/>
      <c r="T165" s="105"/>
      <c r="U165" s="108"/>
      <c r="V165" s="105"/>
      <c r="W165" s="105"/>
      <c r="X165" s="105"/>
      <c r="Y165" s="105"/>
      <c r="Z165" s="105"/>
      <c r="AA165" s="108"/>
      <c r="AB165" s="108"/>
      <c r="AC165" s="105"/>
      <c r="AD165" s="279"/>
      <c r="AE165" s="105"/>
      <c r="AF165" s="279"/>
      <c r="AG165" s="105"/>
      <c r="AH165" s="108"/>
      <c r="AI165" s="108"/>
      <c r="AJ165" s="108"/>
      <c r="AK165" s="108"/>
      <c r="AL165" s="105"/>
      <c r="AM165" s="108"/>
      <c r="AN165" s="105"/>
      <c r="AO165" s="108"/>
      <c r="AP165" s="108"/>
      <c r="AQ165" s="105"/>
      <c r="AR165" s="108"/>
      <c r="AS165" s="108"/>
      <c r="AT165" s="105"/>
      <c r="AU165" s="105"/>
      <c r="AV165" s="105"/>
      <c r="AW165" s="105"/>
      <c r="AX165" s="105"/>
      <c r="AY165" s="105"/>
      <c r="AZ165" s="105"/>
      <c r="BA165" s="105"/>
      <c r="BB165" s="105"/>
      <c r="BC165" s="105"/>
      <c r="BD165" s="108"/>
      <c r="BE165" s="83">
        <f>IF($A165="","",IF(TRIM($D165&amp;"")="",IF(TRIM($AX165&amp;$AY165&amp;$AZ165&amp;$BA165&amp;$BB165&amp;$BC165&amp;$BD165&amp;"")="","","SUBARRENDADO"),IFERROR(IF(VLOOKUP($D165,VEHICULOS!$A$3:$H$202,7,FALSE)="","",VLOOKUP($D165,VEHICULOS!$A$3:$H$202,7,FALSE)),"")))</f>
      </c>
      <c r="BF165" s="82">
        <f>IF($A165="","",IF(TRIM($BC165&amp;"")&lt;&gt;"",$BC165,IF(TRIM($D165&amp;"")="","",IFERROR(IF(VLOOKUP($D165,VEHICULOS!$A$3:$H$202,8,FALSE)="","",VLOOKUP($D165,VEHICULOS!$A$3:$H$202,8,FALSE)),""))))</f>
      </c>
      <c r="BG165" s="106"/>
      <c r="BH165" s="107"/>
      <c r="BI165" s="86">
        <f t="shared" si="30"/>
      </c>
      <c r="BJ165" s="83">
        <f t="shared" si="31"/>
      </c>
      <c r="BK165" s="85">
        <f t="shared" si="32"/>
      </c>
      <c r="BL165" s="85">
        <f t="shared" si="33"/>
      </c>
      <c r="BM165" s="108"/>
      <c r="BN165" s="85">
        <f t="shared" si="34"/>
      </c>
      <c r="BO165" s="108"/>
      <c r="BP165" s="85">
        <f t="shared" si="35"/>
      </c>
      <c r="BQ165" s="85">
        <f t="shared" si="36"/>
      </c>
      <c r="BR165" s="108"/>
      <c r="BS165" s="104"/>
      <c r="BT165" s="87">
        <f t="shared" si="37"/>
      </c>
      <c r="BU165" s="85">
        <f t="shared" si="38"/>
      </c>
      <c r="BV165" s="85">
        <f t="shared" si="39"/>
      </c>
      <c r="BW165" s="87">
        <f t="shared" si="40"/>
      </c>
      <c r="BX165" s="104"/>
      <c r="BY165" s="106"/>
      <c r="BZ165" s="104"/>
      <c r="CA165" s="105"/>
      <c r="CB165" s="77">
        <f>IF($A165="",0,IF($B165='FICHA CLIENTE'!$C$4,1,0))</f>
      </c>
      <c r="CC165" s="77">
        <f t="shared" si="41"/>
      </c>
      <c r="CD165" s="77">
        <f>IF($A165="",0,IF($D165='FICHA VEHICULO'!$C$4,1,0))</f>
      </c>
      <c r="CE165" s="77">
        <f t="shared" si="42"/>
      </c>
      <c r="CF165" s="77">
        <f t="shared" si="43"/>
      </c>
      <c r="CG165" s="77">
        <f t="shared" si="44"/>
      </c>
    </row>
    <row r="166" spans="1:85" ht="19.5" customHeight="1" x14ac:dyDescent="0.2">
      <c r="A166" s="104"/>
      <c r="B166" s="104"/>
      <c r="C166" s="105"/>
      <c r="D166" s="104"/>
      <c r="E166" s="105"/>
      <c r="F166" s="106"/>
      <c r="G166" s="104"/>
      <c r="H166" s="106"/>
      <c r="I166" s="107"/>
      <c r="J166" s="108"/>
      <c r="K166" s="108"/>
      <c r="L166" s="108"/>
      <c r="M166" s="105"/>
      <c r="N166" s="105"/>
      <c r="O166" s="105"/>
      <c r="P166" s="108"/>
      <c r="Q166" s="105"/>
      <c r="R166" s="105"/>
      <c r="S166" s="105"/>
      <c r="T166" s="105"/>
      <c r="U166" s="108"/>
      <c r="V166" s="105"/>
      <c r="W166" s="105"/>
      <c r="X166" s="105"/>
      <c r="Y166" s="105"/>
      <c r="Z166" s="105"/>
      <c r="AA166" s="108"/>
      <c r="AB166" s="108"/>
      <c r="AC166" s="105"/>
      <c r="AD166" s="279"/>
      <c r="AE166" s="105"/>
      <c r="AF166" s="279"/>
      <c r="AG166" s="105"/>
      <c r="AH166" s="108"/>
      <c r="AI166" s="108"/>
      <c r="AJ166" s="108"/>
      <c r="AK166" s="108"/>
      <c r="AL166" s="105"/>
      <c r="AM166" s="108"/>
      <c r="AN166" s="105"/>
      <c r="AO166" s="108"/>
      <c r="AP166" s="108"/>
      <c r="AQ166" s="105"/>
      <c r="AR166" s="108"/>
      <c r="AS166" s="108"/>
      <c r="AT166" s="105"/>
      <c r="AU166" s="105"/>
      <c r="AV166" s="105"/>
      <c r="AW166" s="105"/>
      <c r="AX166" s="105"/>
      <c r="AY166" s="105"/>
      <c r="AZ166" s="105"/>
      <c r="BA166" s="105"/>
      <c r="BB166" s="105"/>
      <c r="BC166" s="105"/>
      <c r="BD166" s="108"/>
      <c r="BE166" s="83">
        <f>IF($A166="","",IF(TRIM($D166&amp;"")="",IF(TRIM($AX166&amp;$AY166&amp;$AZ166&amp;$BA166&amp;$BB166&amp;$BC166&amp;$BD166&amp;"")="","","SUBARRENDADO"),IFERROR(IF(VLOOKUP($D166,VEHICULOS!$A$3:$H$202,7,FALSE)="","",VLOOKUP($D166,VEHICULOS!$A$3:$H$202,7,FALSE)),"")))</f>
      </c>
      <c r="BF166" s="82">
        <f>IF($A166="","",IF(TRIM($BC166&amp;"")&lt;&gt;"",$BC166,IF(TRIM($D166&amp;"")="","",IFERROR(IF(VLOOKUP($D166,VEHICULOS!$A$3:$H$202,8,FALSE)="","",VLOOKUP($D166,VEHICULOS!$A$3:$H$202,8,FALSE)),""))))</f>
      </c>
      <c r="BG166" s="106"/>
      <c r="BH166" s="107"/>
      <c r="BI166" s="86">
        <f t="shared" si="30"/>
      </c>
      <c r="BJ166" s="83">
        <f t="shared" si="31"/>
      </c>
      <c r="BK166" s="85">
        <f t="shared" si="32"/>
      </c>
      <c r="BL166" s="85">
        <f t="shared" si="33"/>
      </c>
      <c r="BM166" s="108"/>
      <c r="BN166" s="85">
        <f t="shared" si="34"/>
      </c>
      <c r="BO166" s="108"/>
      <c r="BP166" s="85">
        <f t="shared" si="35"/>
      </c>
      <c r="BQ166" s="85">
        <f t="shared" si="36"/>
      </c>
      <c r="BR166" s="108"/>
      <c r="BS166" s="104"/>
      <c r="BT166" s="87">
        <f t="shared" si="37"/>
      </c>
      <c r="BU166" s="85">
        <f t="shared" si="38"/>
      </c>
      <c r="BV166" s="85">
        <f t="shared" si="39"/>
      </c>
      <c r="BW166" s="87">
        <f t="shared" si="40"/>
      </c>
      <c r="BX166" s="104"/>
      <c r="BY166" s="106"/>
      <c r="BZ166" s="104"/>
      <c r="CA166" s="105"/>
      <c r="CB166" s="77">
        <f>IF($A166="",0,IF($B166='FICHA CLIENTE'!$C$4,1,0))</f>
      </c>
      <c r="CC166" s="77">
        <f t="shared" si="41"/>
      </c>
      <c r="CD166" s="77">
        <f>IF($A166="",0,IF($D166='FICHA VEHICULO'!$C$4,1,0))</f>
      </c>
      <c r="CE166" s="77">
        <f t="shared" si="42"/>
      </c>
      <c r="CF166" s="77">
        <f t="shared" si="43"/>
      </c>
      <c r="CG166" s="77">
        <f t="shared" si="44"/>
      </c>
    </row>
    <row r="167" spans="1:85" ht="19.5" customHeight="1" x14ac:dyDescent="0.2">
      <c r="A167" s="104"/>
      <c r="B167" s="104"/>
      <c r="C167" s="105"/>
      <c r="D167" s="104"/>
      <c r="E167" s="105"/>
      <c r="F167" s="106"/>
      <c r="G167" s="104"/>
      <c r="H167" s="106"/>
      <c r="I167" s="107"/>
      <c r="J167" s="108"/>
      <c r="K167" s="108"/>
      <c r="L167" s="108"/>
      <c r="M167" s="105"/>
      <c r="N167" s="105"/>
      <c r="O167" s="105"/>
      <c r="P167" s="108"/>
      <c r="Q167" s="105"/>
      <c r="R167" s="105"/>
      <c r="S167" s="105"/>
      <c r="T167" s="105"/>
      <c r="U167" s="108"/>
      <c r="V167" s="105"/>
      <c r="W167" s="105"/>
      <c r="X167" s="105"/>
      <c r="Y167" s="105"/>
      <c r="Z167" s="105"/>
      <c r="AA167" s="108"/>
      <c r="AB167" s="108"/>
      <c r="AC167" s="105"/>
      <c r="AD167" s="279"/>
      <c r="AE167" s="105"/>
      <c r="AF167" s="279"/>
      <c r="AG167" s="105"/>
      <c r="AH167" s="108"/>
      <c r="AI167" s="108"/>
      <c r="AJ167" s="108"/>
      <c r="AK167" s="108"/>
      <c r="AL167" s="105"/>
      <c r="AM167" s="108"/>
      <c r="AN167" s="105"/>
      <c r="AO167" s="108"/>
      <c r="AP167" s="108"/>
      <c r="AQ167" s="105"/>
      <c r="AR167" s="108"/>
      <c r="AS167" s="108"/>
      <c r="AT167" s="105"/>
      <c r="AU167" s="105"/>
      <c r="AV167" s="105"/>
      <c r="AW167" s="105"/>
      <c r="AX167" s="105"/>
      <c r="AY167" s="105"/>
      <c r="AZ167" s="105"/>
      <c r="BA167" s="105"/>
      <c r="BB167" s="105"/>
      <c r="BC167" s="105"/>
      <c r="BD167" s="108"/>
      <c r="BE167" s="83">
        <f>IF($A167="","",IF(TRIM($D167&amp;"")="",IF(TRIM($AX167&amp;$AY167&amp;$AZ167&amp;$BA167&amp;$BB167&amp;$BC167&amp;$BD167&amp;"")="","","SUBARRENDADO"),IFERROR(IF(VLOOKUP($D167,VEHICULOS!$A$3:$H$202,7,FALSE)="","",VLOOKUP($D167,VEHICULOS!$A$3:$H$202,7,FALSE)),"")))</f>
      </c>
      <c r="BF167" s="82">
        <f>IF($A167="","",IF(TRIM($BC167&amp;"")&lt;&gt;"",$BC167,IF(TRIM($D167&amp;"")="","",IFERROR(IF(VLOOKUP($D167,VEHICULOS!$A$3:$H$202,8,FALSE)="","",VLOOKUP($D167,VEHICULOS!$A$3:$H$202,8,FALSE)),""))))</f>
      </c>
      <c r="BG167" s="106"/>
      <c r="BH167" s="107"/>
      <c r="BI167" s="86">
        <f t="shared" si="30"/>
      </c>
      <c r="BJ167" s="83">
        <f t="shared" si="31"/>
      </c>
      <c r="BK167" s="85">
        <f t="shared" si="32"/>
      </c>
      <c r="BL167" s="85">
        <f t="shared" si="33"/>
      </c>
      <c r="BM167" s="108"/>
      <c r="BN167" s="85">
        <f t="shared" si="34"/>
      </c>
      <c r="BO167" s="108"/>
      <c r="BP167" s="85">
        <f t="shared" si="35"/>
      </c>
      <c r="BQ167" s="85">
        <f t="shared" si="36"/>
      </c>
      <c r="BR167" s="108"/>
      <c r="BS167" s="104"/>
      <c r="BT167" s="87">
        <f t="shared" si="37"/>
      </c>
      <c r="BU167" s="85">
        <f t="shared" si="38"/>
      </c>
      <c r="BV167" s="85">
        <f t="shared" si="39"/>
      </c>
      <c r="BW167" s="87">
        <f t="shared" si="40"/>
      </c>
      <c r="BX167" s="104"/>
      <c r="BY167" s="106"/>
      <c r="BZ167" s="104"/>
      <c r="CA167" s="105"/>
      <c r="CB167" s="77">
        <f>IF($A167="",0,IF($B167='FICHA CLIENTE'!$C$4,1,0))</f>
      </c>
      <c r="CC167" s="77">
        <f t="shared" si="41"/>
      </c>
      <c r="CD167" s="77">
        <f>IF($A167="",0,IF($D167='FICHA VEHICULO'!$C$4,1,0))</f>
      </c>
      <c r="CE167" s="77">
        <f t="shared" si="42"/>
      </c>
      <c r="CF167" s="77">
        <f t="shared" si="43"/>
      </c>
      <c r="CG167" s="77">
        <f t="shared" si="44"/>
      </c>
    </row>
    <row r="168" spans="1:85" ht="19.5" customHeight="1" x14ac:dyDescent="0.2">
      <c r="A168" s="104"/>
      <c r="B168" s="104"/>
      <c r="C168" s="105"/>
      <c r="D168" s="104"/>
      <c r="E168" s="105"/>
      <c r="F168" s="106"/>
      <c r="G168" s="104"/>
      <c r="H168" s="106"/>
      <c r="I168" s="107"/>
      <c r="J168" s="108"/>
      <c r="K168" s="108"/>
      <c r="L168" s="108"/>
      <c r="M168" s="105"/>
      <c r="N168" s="105"/>
      <c r="O168" s="105"/>
      <c r="P168" s="108"/>
      <c r="Q168" s="105"/>
      <c r="R168" s="105"/>
      <c r="S168" s="105"/>
      <c r="T168" s="105"/>
      <c r="U168" s="108"/>
      <c r="V168" s="105"/>
      <c r="W168" s="105"/>
      <c r="X168" s="105"/>
      <c r="Y168" s="105"/>
      <c r="Z168" s="105"/>
      <c r="AA168" s="108"/>
      <c r="AB168" s="108"/>
      <c r="AC168" s="105"/>
      <c r="AD168" s="279"/>
      <c r="AE168" s="105"/>
      <c r="AF168" s="279"/>
      <c r="AG168" s="105"/>
      <c r="AH168" s="108"/>
      <c r="AI168" s="108"/>
      <c r="AJ168" s="108"/>
      <c r="AK168" s="108"/>
      <c r="AL168" s="105"/>
      <c r="AM168" s="108"/>
      <c r="AN168" s="105"/>
      <c r="AO168" s="108"/>
      <c r="AP168" s="108"/>
      <c r="AQ168" s="105"/>
      <c r="AR168" s="108"/>
      <c r="AS168" s="108"/>
      <c r="AT168" s="105"/>
      <c r="AU168" s="105"/>
      <c r="AV168" s="105"/>
      <c r="AW168" s="105"/>
      <c r="AX168" s="105"/>
      <c r="AY168" s="105"/>
      <c r="AZ168" s="105"/>
      <c r="BA168" s="105"/>
      <c r="BB168" s="105"/>
      <c r="BC168" s="105"/>
      <c r="BD168" s="108"/>
      <c r="BE168" s="83">
        <f>IF($A168="","",IF(TRIM($D168&amp;"")="",IF(TRIM($AX168&amp;$AY168&amp;$AZ168&amp;$BA168&amp;$BB168&amp;$BC168&amp;$BD168&amp;"")="","","SUBARRENDADO"),IFERROR(IF(VLOOKUP($D168,VEHICULOS!$A$3:$H$202,7,FALSE)="","",VLOOKUP($D168,VEHICULOS!$A$3:$H$202,7,FALSE)),"")))</f>
      </c>
      <c r="BF168" s="82">
        <f>IF($A168="","",IF(TRIM($BC168&amp;"")&lt;&gt;"",$BC168,IF(TRIM($D168&amp;"")="","",IFERROR(IF(VLOOKUP($D168,VEHICULOS!$A$3:$H$202,8,FALSE)="","",VLOOKUP($D168,VEHICULOS!$A$3:$H$202,8,FALSE)),""))))</f>
      </c>
      <c r="BG168" s="106"/>
      <c r="BH168" s="107"/>
      <c r="BI168" s="86">
        <f t="shared" si="30"/>
      </c>
      <c r="BJ168" s="83">
        <f t="shared" si="31"/>
      </c>
      <c r="BK168" s="85">
        <f t="shared" si="32"/>
      </c>
      <c r="BL168" s="85">
        <f t="shared" si="33"/>
      </c>
      <c r="BM168" s="108"/>
      <c r="BN168" s="85">
        <f t="shared" si="34"/>
      </c>
      <c r="BO168" s="108"/>
      <c r="BP168" s="85">
        <f t="shared" si="35"/>
      </c>
      <c r="BQ168" s="85">
        <f t="shared" si="36"/>
      </c>
      <c r="BR168" s="108"/>
      <c r="BS168" s="104"/>
      <c r="BT168" s="87">
        <f t="shared" si="37"/>
      </c>
      <c r="BU168" s="85">
        <f t="shared" si="38"/>
      </c>
      <c r="BV168" s="85">
        <f t="shared" si="39"/>
      </c>
      <c r="BW168" s="87">
        <f t="shared" si="40"/>
      </c>
      <c r="BX168" s="104"/>
      <c r="BY168" s="106"/>
      <c r="BZ168" s="104"/>
      <c r="CA168" s="105"/>
      <c r="CB168" s="77">
        <f>IF($A168="",0,IF($B168='FICHA CLIENTE'!$C$4,1,0))</f>
      </c>
      <c r="CC168" s="77">
        <f t="shared" si="41"/>
      </c>
      <c r="CD168" s="77">
        <f>IF($A168="",0,IF($D168='FICHA VEHICULO'!$C$4,1,0))</f>
      </c>
      <c r="CE168" s="77">
        <f t="shared" si="42"/>
      </c>
      <c r="CF168" s="77">
        <f t="shared" si="43"/>
      </c>
      <c r="CG168" s="77">
        <f t="shared" si="44"/>
      </c>
    </row>
    <row r="169" spans="1:85" ht="19.5" customHeight="1" x14ac:dyDescent="0.2">
      <c r="A169" s="104"/>
      <c r="B169" s="104"/>
      <c r="C169" s="105"/>
      <c r="D169" s="104"/>
      <c r="E169" s="105"/>
      <c r="F169" s="106"/>
      <c r="G169" s="104"/>
      <c r="H169" s="106"/>
      <c r="I169" s="107"/>
      <c r="J169" s="108"/>
      <c r="K169" s="108"/>
      <c r="L169" s="108"/>
      <c r="M169" s="105"/>
      <c r="N169" s="105"/>
      <c r="O169" s="105"/>
      <c r="P169" s="108"/>
      <c r="Q169" s="105"/>
      <c r="R169" s="105"/>
      <c r="S169" s="105"/>
      <c r="T169" s="105"/>
      <c r="U169" s="108"/>
      <c r="V169" s="105"/>
      <c r="W169" s="105"/>
      <c r="X169" s="105"/>
      <c r="Y169" s="105"/>
      <c r="Z169" s="105"/>
      <c r="AA169" s="108"/>
      <c r="AB169" s="108"/>
      <c r="AC169" s="105"/>
      <c r="AD169" s="279"/>
      <c r="AE169" s="105"/>
      <c r="AF169" s="279"/>
      <c r="AG169" s="105"/>
      <c r="AH169" s="108"/>
      <c r="AI169" s="108"/>
      <c r="AJ169" s="108"/>
      <c r="AK169" s="108"/>
      <c r="AL169" s="105"/>
      <c r="AM169" s="108"/>
      <c r="AN169" s="105"/>
      <c r="AO169" s="108"/>
      <c r="AP169" s="108"/>
      <c r="AQ169" s="105"/>
      <c r="AR169" s="108"/>
      <c r="AS169" s="108"/>
      <c r="AT169" s="105"/>
      <c r="AU169" s="105"/>
      <c r="AV169" s="105"/>
      <c r="AW169" s="105"/>
      <c r="AX169" s="105"/>
      <c r="AY169" s="105"/>
      <c r="AZ169" s="105"/>
      <c r="BA169" s="105"/>
      <c r="BB169" s="105"/>
      <c r="BC169" s="105"/>
      <c r="BD169" s="108"/>
      <c r="BE169" s="83">
        <f>IF($A169="","",IF(TRIM($D169&amp;"")="",IF(TRIM($AX169&amp;$AY169&amp;$AZ169&amp;$BA169&amp;$BB169&amp;$BC169&amp;$BD169&amp;"")="","","SUBARRENDADO"),IFERROR(IF(VLOOKUP($D169,VEHICULOS!$A$3:$H$202,7,FALSE)="","",VLOOKUP($D169,VEHICULOS!$A$3:$H$202,7,FALSE)),"")))</f>
      </c>
      <c r="BF169" s="82">
        <f>IF($A169="","",IF(TRIM($BC169&amp;"")&lt;&gt;"",$BC169,IF(TRIM($D169&amp;"")="","",IFERROR(IF(VLOOKUP($D169,VEHICULOS!$A$3:$H$202,8,FALSE)="","",VLOOKUP($D169,VEHICULOS!$A$3:$H$202,8,FALSE)),""))))</f>
      </c>
      <c r="BG169" s="106"/>
      <c r="BH169" s="107"/>
      <c r="BI169" s="86">
        <f t="shared" si="30"/>
      </c>
      <c r="BJ169" s="83">
        <f t="shared" si="31"/>
      </c>
      <c r="BK169" s="85">
        <f t="shared" si="32"/>
      </c>
      <c r="BL169" s="85">
        <f t="shared" si="33"/>
      </c>
      <c r="BM169" s="108"/>
      <c r="BN169" s="85">
        <f t="shared" si="34"/>
      </c>
      <c r="BO169" s="108"/>
      <c r="BP169" s="85">
        <f t="shared" si="35"/>
      </c>
      <c r="BQ169" s="85">
        <f t="shared" si="36"/>
      </c>
      <c r="BR169" s="108"/>
      <c r="BS169" s="104"/>
      <c r="BT169" s="87">
        <f t="shared" si="37"/>
      </c>
      <c r="BU169" s="85">
        <f t="shared" si="38"/>
      </c>
      <c r="BV169" s="85">
        <f t="shared" si="39"/>
      </c>
      <c r="BW169" s="87">
        <f t="shared" si="40"/>
      </c>
      <c r="BX169" s="104"/>
      <c r="BY169" s="106"/>
      <c r="BZ169" s="104"/>
      <c r="CA169" s="105"/>
      <c r="CB169" s="77">
        <f>IF($A169="",0,IF($B169='FICHA CLIENTE'!$C$4,1,0))</f>
      </c>
      <c r="CC169" s="77">
        <f t="shared" si="41"/>
      </c>
      <c r="CD169" s="77">
        <f>IF($A169="",0,IF($D169='FICHA VEHICULO'!$C$4,1,0))</f>
      </c>
      <c r="CE169" s="77">
        <f t="shared" si="42"/>
      </c>
      <c r="CF169" s="77">
        <f t="shared" si="43"/>
      </c>
      <c r="CG169" s="77">
        <f t="shared" si="44"/>
      </c>
    </row>
    <row r="170" spans="1:85" ht="19.5" customHeight="1" x14ac:dyDescent="0.2">
      <c r="A170" s="104"/>
      <c r="B170" s="104"/>
      <c r="C170" s="105"/>
      <c r="D170" s="104"/>
      <c r="E170" s="105"/>
      <c r="F170" s="106"/>
      <c r="G170" s="104"/>
      <c r="H170" s="106"/>
      <c r="I170" s="107"/>
      <c r="J170" s="108"/>
      <c r="K170" s="108"/>
      <c r="L170" s="108"/>
      <c r="M170" s="105"/>
      <c r="N170" s="105"/>
      <c r="O170" s="105"/>
      <c r="P170" s="108"/>
      <c r="Q170" s="105"/>
      <c r="R170" s="105"/>
      <c r="S170" s="105"/>
      <c r="T170" s="105"/>
      <c r="U170" s="108"/>
      <c r="V170" s="105"/>
      <c r="W170" s="105"/>
      <c r="X170" s="105"/>
      <c r="Y170" s="105"/>
      <c r="Z170" s="105"/>
      <c r="AA170" s="108"/>
      <c r="AB170" s="108"/>
      <c r="AC170" s="105"/>
      <c r="AD170" s="279"/>
      <c r="AE170" s="105"/>
      <c r="AF170" s="279"/>
      <c r="AG170" s="105"/>
      <c r="AH170" s="108"/>
      <c r="AI170" s="108"/>
      <c r="AJ170" s="108"/>
      <c r="AK170" s="108"/>
      <c r="AL170" s="105"/>
      <c r="AM170" s="108"/>
      <c r="AN170" s="105"/>
      <c r="AO170" s="108"/>
      <c r="AP170" s="108"/>
      <c r="AQ170" s="105"/>
      <c r="AR170" s="108"/>
      <c r="AS170" s="108"/>
      <c r="AT170" s="105"/>
      <c r="AU170" s="105"/>
      <c r="AV170" s="105"/>
      <c r="AW170" s="105"/>
      <c r="AX170" s="105"/>
      <c r="AY170" s="105"/>
      <c r="AZ170" s="105"/>
      <c r="BA170" s="105"/>
      <c r="BB170" s="105"/>
      <c r="BC170" s="105"/>
      <c r="BD170" s="108"/>
      <c r="BE170" s="83">
        <f>IF($A170="","",IF(TRIM($D170&amp;"")="",IF(TRIM($AX170&amp;$AY170&amp;$AZ170&amp;$BA170&amp;$BB170&amp;$BC170&amp;$BD170&amp;"")="","","SUBARRENDADO"),IFERROR(IF(VLOOKUP($D170,VEHICULOS!$A$3:$H$202,7,FALSE)="","",VLOOKUP($D170,VEHICULOS!$A$3:$H$202,7,FALSE)),"")))</f>
      </c>
      <c r="BF170" s="82">
        <f>IF($A170="","",IF(TRIM($BC170&amp;"")&lt;&gt;"",$BC170,IF(TRIM($D170&amp;"")="","",IFERROR(IF(VLOOKUP($D170,VEHICULOS!$A$3:$H$202,8,FALSE)="","",VLOOKUP($D170,VEHICULOS!$A$3:$H$202,8,FALSE)),""))))</f>
      </c>
      <c r="BG170" s="106"/>
      <c r="BH170" s="107"/>
      <c r="BI170" s="86">
        <f t="shared" si="30"/>
      </c>
      <c r="BJ170" s="83">
        <f t="shared" si="31"/>
      </c>
      <c r="BK170" s="85">
        <f t="shared" si="32"/>
      </c>
      <c r="BL170" s="85">
        <f t="shared" si="33"/>
      </c>
      <c r="BM170" s="108"/>
      <c r="BN170" s="85">
        <f t="shared" si="34"/>
      </c>
      <c r="BO170" s="108"/>
      <c r="BP170" s="85">
        <f t="shared" si="35"/>
      </c>
      <c r="BQ170" s="85">
        <f t="shared" si="36"/>
      </c>
      <c r="BR170" s="108"/>
      <c r="BS170" s="104"/>
      <c r="BT170" s="87">
        <f t="shared" si="37"/>
      </c>
      <c r="BU170" s="85">
        <f t="shared" si="38"/>
      </c>
      <c r="BV170" s="85">
        <f t="shared" si="39"/>
      </c>
      <c r="BW170" s="87">
        <f t="shared" si="40"/>
      </c>
      <c r="BX170" s="104"/>
      <c r="BY170" s="106"/>
      <c r="BZ170" s="104"/>
      <c r="CA170" s="105"/>
      <c r="CB170" s="77">
        <f>IF($A170="",0,IF($B170='FICHA CLIENTE'!$C$4,1,0))</f>
      </c>
      <c r="CC170" s="77">
        <f t="shared" si="41"/>
      </c>
      <c r="CD170" s="77">
        <f>IF($A170="",0,IF($D170='FICHA VEHICULO'!$C$4,1,0))</f>
      </c>
      <c r="CE170" s="77">
        <f t="shared" si="42"/>
      </c>
      <c r="CF170" s="77">
        <f t="shared" si="43"/>
      </c>
      <c r="CG170" s="77">
        <f t="shared" si="44"/>
      </c>
    </row>
    <row r="171" spans="1:85" ht="19.5" customHeight="1" x14ac:dyDescent="0.2">
      <c r="A171" s="104"/>
      <c r="B171" s="104"/>
      <c r="C171" s="105"/>
      <c r="D171" s="104"/>
      <c r="E171" s="105"/>
      <c r="F171" s="106"/>
      <c r="G171" s="104"/>
      <c r="H171" s="106"/>
      <c r="I171" s="107"/>
      <c r="J171" s="108"/>
      <c r="K171" s="108"/>
      <c r="L171" s="108"/>
      <c r="M171" s="105"/>
      <c r="N171" s="105"/>
      <c r="O171" s="105"/>
      <c r="P171" s="108"/>
      <c r="Q171" s="105"/>
      <c r="R171" s="105"/>
      <c r="S171" s="105"/>
      <c r="T171" s="105"/>
      <c r="U171" s="108"/>
      <c r="V171" s="105"/>
      <c r="W171" s="105"/>
      <c r="X171" s="105"/>
      <c r="Y171" s="105"/>
      <c r="Z171" s="105"/>
      <c r="AA171" s="108"/>
      <c r="AB171" s="108"/>
      <c r="AC171" s="105"/>
      <c r="AD171" s="279"/>
      <c r="AE171" s="105"/>
      <c r="AF171" s="279"/>
      <c r="AG171" s="105"/>
      <c r="AH171" s="108"/>
      <c r="AI171" s="108"/>
      <c r="AJ171" s="108"/>
      <c r="AK171" s="108"/>
      <c r="AL171" s="105"/>
      <c r="AM171" s="108"/>
      <c r="AN171" s="105"/>
      <c r="AO171" s="108"/>
      <c r="AP171" s="108"/>
      <c r="AQ171" s="105"/>
      <c r="AR171" s="108"/>
      <c r="AS171" s="108"/>
      <c r="AT171" s="105"/>
      <c r="AU171" s="105"/>
      <c r="AV171" s="105"/>
      <c r="AW171" s="105"/>
      <c r="AX171" s="105"/>
      <c r="AY171" s="105"/>
      <c r="AZ171" s="105"/>
      <c r="BA171" s="105"/>
      <c r="BB171" s="105"/>
      <c r="BC171" s="105"/>
      <c r="BD171" s="108"/>
      <c r="BE171" s="83">
        <f>IF($A171="","",IF(TRIM($D171&amp;"")="",IF(TRIM($AX171&amp;$AY171&amp;$AZ171&amp;$BA171&amp;$BB171&amp;$BC171&amp;$BD171&amp;"")="","","SUBARRENDADO"),IFERROR(IF(VLOOKUP($D171,VEHICULOS!$A$3:$H$202,7,FALSE)="","",VLOOKUP($D171,VEHICULOS!$A$3:$H$202,7,FALSE)),"")))</f>
      </c>
      <c r="BF171" s="82">
        <f>IF($A171="","",IF(TRIM($BC171&amp;"")&lt;&gt;"",$BC171,IF(TRIM($D171&amp;"")="","",IFERROR(IF(VLOOKUP($D171,VEHICULOS!$A$3:$H$202,8,FALSE)="","",VLOOKUP($D171,VEHICULOS!$A$3:$H$202,8,FALSE)),""))))</f>
      </c>
      <c r="BG171" s="106"/>
      <c r="BH171" s="107"/>
      <c r="BI171" s="86">
        <f t="shared" si="30"/>
      </c>
      <c r="BJ171" s="83">
        <f t="shared" si="31"/>
      </c>
      <c r="BK171" s="85">
        <f t="shared" si="32"/>
      </c>
      <c r="BL171" s="85">
        <f t="shared" si="33"/>
      </c>
      <c r="BM171" s="108"/>
      <c r="BN171" s="85">
        <f t="shared" si="34"/>
      </c>
      <c r="BO171" s="108"/>
      <c r="BP171" s="85">
        <f t="shared" si="35"/>
      </c>
      <c r="BQ171" s="85">
        <f t="shared" si="36"/>
      </c>
      <c r="BR171" s="108"/>
      <c r="BS171" s="104"/>
      <c r="BT171" s="87">
        <f t="shared" si="37"/>
      </c>
      <c r="BU171" s="85">
        <f t="shared" si="38"/>
      </c>
      <c r="BV171" s="85">
        <f t="shared" si="39"/>
      </c>
      <c r="BW171" s="87">
        <f t="shared" si="40"/>
      </c>
      <c r="BX171" s="104"/>
      <c r="BY171" s="106"/>
      <c r="BZ171" s="104"/>
      <c r="CA171" s="105"/>
      <c r="CB171" s="77">
        <f>IF($A171="",0,IF($B171='FICHA CLIENTE'!$C$4,1,0))</f>
      </c>
      <c r="CC171" s="77">
        <f t="shared" si="41"/>
      </c>
      <c r="CD171" s="77">
        <f>IF($A171="",0,IF($D171='FICHA VEHICULO'!$C$4,1,0))</f>
      </c>
      <c r="CE171" s="77">
        <f t="shared" si="42"/>
      </c>
      <c r="CF171" s="77">
        <f t="shared" si="43"/>
      </c>
      <c r="CG171" s="77">
        <f t="shared" si="44"/>
      </c>
    </row>
    <row r="172" spans="1:85" ht="19.5" customHeight="1" x14ac:dyDescent="0.2">
      <c r="A172" s="104"/>
      <c r="B172" s="104"/>
      <c r="C172" s="105"/>
      <c r="D172" s="104"/>
      <c r="E172" s="105"/>
      <c r="F172" s="106"/>
      <c r="G172" s="104"/>
      <c r="H172" s="106"/>
      <c r="I172" s="107"/>
      <c r="J172" s="108"/>
      <c r="K172" s="108"/>
      <c r="L172" s="108"/>
      <c r="M172" s="105"/>
      <c r="N172" s="105"/>
      <c r="O172" s="105"/>
      <c r="P172" s="108"/>
      <c r="Q172" s="105"/>
      <c r="R172" s="105"/>
      <c r="S172" s="105"/>
      <c r="T172" s="105"/>
      <c r="U172" s="108"/>
      <c r="V172" s="105"/>
      <c r="W172" s="105"/>
      <c r="X172" s="105"/>
      <c r="Y172" s="105"/>
      <c r="Z172" s="105"/>
      <c r="AA172" s="108"/>
      <c r="AB172" s="108"/>
      <c r="AC172" s="105"/>
      <c r="AD172" s="279"/>
      <c r="AE172" s="105"/>
      <c r="AF172" s="279"/>
      <c r="AG172" s="105"/>
      <c r="AH172" s="108"/>
      <c r="AI172" s="108"/>
      <c r="AJ172" s="108"/>
      <c r="AK172" s="108"/>
      <c r="AL172" s="105"/>
      <c r="AM172" s="108"/>
      <c r="AN172" s="105"/>
      <c r="AO172" s="108"/>
      <c r="AP172" s="108"/>
      <c r="AQ172" s="105"/>
      <c r="AR172" s="108"/>
      <c r="AS172" s="108"/>
      <c r="AT172" s="105"/>
      <c r="AU172" s="105"/>
      <c r="AV172" s="105"/>
      <c r="AW172" s="105"/>
      <c r="AX172" s="105"/>
      <c r="AY172" s="105"/>
      <c r="AZ172" s="105"/>
      <c r="BA172" s="105"/>
      <c r="BB172" s="105"/>
      <c r="BC172" s="105"/>
      <c r="BD172" s="108"/>
      <c r="BE172" s="83">
        <f>IF($A172="","",IF(TRIM($D172&amp;"")="",IF(TRIM($AX172&amp;$AY172&amp;$AZ172&amp;$BA172&amp;$BB172&amp;$BC172&amp;$BD172&amp;"")="","","SUBARRENDADO"),IFERROR(IF(VLOOKUP($D172,VEHICULOS!$A$3:$H$202,7,FALSE)="","",VLOOKUP($D172,VEHICULOS!$A$3:$H$202,7,FALSE)),"")))</f>
      </c>
      <c r="BF172" s="82">
        <f>IF($A172="","",IF(TRIM($BC172&amp;"")&lt;&gt;"",$BC172,IF(TRIM($D172&amp;"")="","",IFERROR(IF(VLOOKUP($D172,VEHICULOS!$A$3:$H$202,8,FALSE)="","",VLOOKUP($D172,VEHICULOS!$A$3:$H$202,8,FALSE)),""))))</f>
      </c>
      <c r="BG172" s="106"/>
      <c r="BH172" s="107"/>
      <c r="BI172" s="86">
        <f t="shared" si="30"/>
      </c>
      <c r="BJ172" s="83">
        <f t="shared" si="31"/>
      </c>
      <c r="BK172" s="85">
        <f t="shared" si="32"/>
      </c>
      <c r="BL172" s="85">
        <f t="shared" si="33"/>
      </c>
      <c r="BM172" s="108"/>
      <c r="BN172" s="85">
        <f t="shared" si="34"/>
      </c>
      <c r="BO172" s="108"/>
      <c r="BP172" s="85">
        <f t="shared" si="35"/>
      </c>
      <c r="BQ172" s="85">
        <f t="shared" si="36"/>
      </c>
      <c r="BR172" s="108"/>
      <c r="BS172" s="104"/>
      <c r="BT172" s="87">
        <f t="shared" si="37"/>
      </c>
      <c r="BU172" s="85">
        <f t="shared" si="38"/>
      </c>
      <c r="BV172" s="85">
        <f t="shared" si="39"/>
      </c>
      <c r="BW172" s="87">
        <f t="shared" si="40"/>
      </c>
      <c r="BX172" s="104"/>
      <c r="BY172" s="106"/>
      <c r="BZ172" s="104"/>
      <c r="CA172" s="105"/>
      <c r="CB172" s="77">
        <f>IF($A172="",0,IF($B172='FICHA CLIENTE'!$C$4,1,0))</f>
      </c>
      <c r="CC172" s="77">
        <f t="shared" si="41"/>
      </c>
      <c r="CD172" s="77">
        <f>IF($A172="",0,IF($D172='FICHA VEHICULO'!$C$4,1,0))</f>
      </c>
      <c r="CE172" s="77">
        <f t="shared" si="42"/>
      </c>
      <c r="CF172" s="77">
        <f t="shared" si="43"/>
      </c>
      <c r="CG172" s="77">
        <f t="shared" si="44"/>
      </c>
    </row>
    <row r="173" spans="1:85" ht="19.5" customHeight="1" x14ac:dyDescent="0.2">
      <c r="A173" s="104"/>
      <c r="B173" s="104"/>
      <c r="C173" s="105"/>
      <c r="D173" s="104"/>
      <c r="E173" s="105"/>
      <c r="F173" s="106"/>
      <c r="G173" s="104"/>
      <c r="H173" s="106"/>
      <c r="I173" s="107"/>
      <c r="J173" s="108"/>
      <c r="K173" s="108"/>
      <c r="L173" s="108"/>
      <c r="M173" s="105"/>
      <c r="N173" s="105"/>
      <c r="O173" s="105"/>
      <c r="P173" s="108"/>
      <c r="Q173" s="105"/>
      <c r="R173" s="105"/>
      <c r="S173" s="105"/>
      <c r="T173" s="105"/>
      <c r="U173" s="108"/>
      <c r="V173" s="105"/>
      <c r="W173" s="105"/>
      <c r="X173" s="105"/>
      <c r="Y173" s="105"/>
      <c r="Z173" s="105"/>
      <c r="AA173" s="108"/>
      <c r="AB173" s="108"/>
      <c r="AC173" s="105"/>
      <c r="AD173" s="279"/>
      <c r="AE173" s="105"/>
      <c r="AF173" s="279"/>
      <c r="AG173" s="105"/>
      <c r="AH173" s="108"/>
      <c r="AI173" s="108"/>
      <c r="AJ173" s="108"/>
      <c r="AK173" s="108"/>
      <c r="AL173" s="105"/>
      <c r="AM173" s="108"/>
      <c r="AN173" s="105"/>
      <c r="AO173" s="108"/>
      <c r="AP173" s="108"/>
      <c r="AQ173" s="105"/>
      <c r="AR173" s="108"/>
      <c r="AS173" s="108"/>
      <c r="AT173" s="105"/>
      <c r="AU173" s="105"/>
      <c r="AV173" s="105"/>
      <c r="AW173" s="105"/>
      <c r="AX173" s="105"/>
      <c r="AY173" s="105"/>
      <c r="AZ173" s="105"/>
      <c r="BA173" s="105"/>
      <c r="BB173" s="105"/>
      <c r="BC173" s="105"/>
      <c r="BD173" s="108"/>
      <c r="BE173" s="83">
        <f>IF($A173="","",IF(TRIM($D173&amp;"")="",IF(TRIM($AX173&amp;$AY173&amp;$AZ173&amp;$BA173&amp;$BB173&amp;$BC173&amp;$BD173&amp;"")="","","SUBARRENDADO"),IFERROR(IF(VLOOKUP($D173,VEHICULOS!$A$3:$H$202,7,FALSE)="","",VLOOKUP($D173,VEHICULOS!$A$3:$H$202,7,FALSE)),"")))</f>
      </c>
      <c r="BF173" s="82">
        <f>IF($A173="","",IF(TRIM($BC173&amp;"")&lt;&gt;"",$BC173,IF(TRIM($D173&amp;"")="","",IFERROR(IF(VLOOKUP($D173,VEHICULOS!$A$3:$H$202,8,FALSE)="","",VLOOKUP($D173,VEHICULOS!$A$3:$H$202,8,FALSE)),""))))</f>
      </c>
      <c r="BG173" s="106"/>
      <c r="BH173" s="107"/>
      <c r="BI173" s="86">
        <f t="shared" si="30"/>
      </c>
      <c r="BJ173" s="83">
        <f t="shared" si="31"/>
      </c>
      <c r="BK173" s="85">
        <f t="shared" si="32"/>
      </c>
      <c r="BL173" s="85">
        <f t="shared" si="33"/>
      </c>
      <c r="BM173" s="108"/>
      <c r="BN173" s="85">
        <f t="shared" si="34"/>
      </c>
      <c r="BO173" s="108"/>
      <c r="BP173" s="85">
        <f t="shared" si="35"/>
      </c>
      <c r="BQ173" s="85">
        <f t="shared" si="36"/>
      </c>
      <c r="BR173" s="108"/>
      <c r="BS173" s="104"/>
      <c r="BT173" s="87">
        <f t="shared" si="37"/>
      </c>
      <c r="BU173" s="85">
        <f t="shared" si="38"/>
      </c>
      <c r="BV173" s="85">
        <f t="shared" si="39"/>
      </c>
      <c r="BW173" s="87">
        <f t="shared" si="40"/>
      </c>
      <c r="BX173" s="104"/>
      <c r="BY173" s="106"/>
      <c r="BZ173" s="104"/>
      <c r="CA173" s="105"/>
      <c r="CB173" s="77">
        <f>IF($A173="",0,IF($B173='FICHA CLIENTE'!$C$4,1,0))</f>
      </c>
      <c r="CC173" s="77">
        <f t="shared" si="41"/>
      </c>
      <c r="CD173" s="77">
        <f>IF($A173="",0,IF($D173='FICHA VEHICULO'!$C$4,1,0))</f>
      </c>
      <c r="CE173" s="77">
        <f t="shared" si="42"/>
      </c>
      <c r="CF173" s="77">
        <f t="shared" si="43"/>
      </c>
      <c r="CG173" s="77">
        <f t="shared" si="44"/>
      </c>
    </row>
    <row r="174" spans="1:85" ht="19.5" customHeight="1" x14ac:dyDescent="0.2">
      <c r="A174" s="104"/>
      <c r="B174" s="104"/>
      <c r="C174" s="105"/>
      <c r="D174" s="104"/>
      <c r="E174" s="105"/>
      <c r="F174" s="106"/>
      <c r="G174" s="104"/>
      <c r="H174" s="106"/>
      <c r="I174" s="107"/>
      <c r="J174" s="108"/>
      <c r="K174" s="108"/>
      <c r="L174" s="108"/>
      <c r="M174" s="105"/>
      <c r="N174" s="105"/>
      <c r="O174" s="105"/>
      <c r="P174" s="108"/>
      <c r="Q174" s="105"/>
      <c r="R174" s="105"/>
      <c r="S174" s="105"/>
      <c r="T174" s="105"/>
      <c r="U174" s="108"/>
      <c r="V174" s="105"/>
      <c r="W174" s="105"/>
      <c r="X174" s="105"/>
      <c r="Y174" s="105"/>
      <c r="Z174" s="105"/>
      <c r="AA174" s="108"/>
      <c r="AB174" s="108"/>
      <c r="AC174" s="105"/>
      <c r="AD174" s="279"/>
      <c r="AE174" s="105"/>
      <c r="AF174" s="279"/>
      <c r="AG174" s="105"/>
      <c r="AH174" s="108"/>
      <c r="AI174" s="108"/>
      <c r="AJ174" s="108"/>
      <c r="AK174" s="108"/>
      <c r="AL174" s="105"/>
      <c r="AM174" s="108"/>
      <c r="AN174" s="105"/>
      <c r="AO174" s="108"/>
      <c r="AP174" s="108"/>
      <c r="AQ174" s="105"/>
      <c r="AR174" s="108"/>
      <c r="AS174" s="108"/>
      <c r="AT174" s="105"/>
      <c r="AU174" s="105"/>
      <c r="AV174" s="105"/>
      <c r="AW174" s="105"/>
      <c r="AX174" s="105"/>
      <c r="AY174" s="105"/>
      <c r="AZ174" s="105"/>
      <c r="BA174" s="105"/>
      <c r="BB174" s="105"/>
      <c r="BC174" s="105"/>
      <c r="BD174" s="108"/>
      <c r="BE174" s="83">
        <f>IF($A174="","",IF(TRIM($D174&amp;"")="",IF(TRIM($AX174&amp;$AY174&amp;$AZ174&amp;$BA174&amp;$BB174&amp;$BC174&amp;$BD174&amp;"")="","","SUBARRENDADO"),IFERROR(IF(VLOOKUP($D174,VEHICULOS!$A$3:$H$202,7,FALSE)="","",VLOOKUP($D174,VEHICULOS!$A$3:$H$202,7,FALSE)),"")))</f>
      </c>
      <c r="BF174" s="82">
        <f>IF($A174="","",IF(TRIM($BC174&amp;"")&lt;&gt;"",$BC174,IF(TRIM($D174&amp;"")="","",IFERROR(IF(VLOOKUP($D174,VEHICULOS!$A$3:$H$202,8,FALSE)="","",VLOOKUP($D174,VEHICULOS!$A$3:$H$202,8,FALSE)),""))))</f>
      </c>
      <c r="BG174" s="106"/>
      <c r="BH174" s="107"/>
      <c r="BI174" s="86">
        <f t="shared" si="30"/>
      </c>
      <c r="BJ174" s="83">
        <f t="shared" si="31"/>
      </c>
      <c r="BK174" s="85">
        <f t="shared" si="32"/>
      </c>
      <c r="BL174" s="85">
        <f t="shared" si="33"/>
      </c>
      <c r="BM174" s="108"/>
      <c r="BN174" s="85">
        <f t="shared" si="34"/>
      </c>
      <c r="BO174" s="108"/>
      <c r="BP174" s="85">
        <f t="shared" si="35"/>
      </c>
      <c r="BQ174" s="85">
        <f t="shared" si="36"/>
      </c>
      <c r="BR174" s="108"/>
      <c r="BS174" s="104"/>
      <c r="BT174" s="87">
        <f t="shared" si="37"/>
      </c>
      <c r="BU174" s="85">
        <f t="shared" si="38"/>
      </c>
      <c r="BV174" s="85">
        <f t="shared" si="39"/>
      </c>
      <c r="BW174" s="87">
        <f t="shared" si="40"/>
      </c>
      <c r="BX174" s="104"/>
      <c r="BY174" s="106"/>
      <c r="BZ174" s="104"/>
      <c r="CA174" s="105"/>
      <c r="CB174" s="77">
        <f>IF($A174="",0,IF($B174='FICHA CLIENTE'!$C$4,1,0))</f>
      </c>
      <c r="CC174" s="77">
        <f t="shared" si="41"/>
      </c>
      <c r="CD174" s="77">
        <f>IF($A174="",0,IF($D174='FICHA VEHICULO'!$C$4,1,0))</f>
      </c>
      <c r="CE174" s="77">
        <f t="shared" si="42"/>
      </c>
      <c r="CF174" s="77">
        <f t="shared" si="43"/>
      </c>
      <c r="CG174" s="77">
        <f t="shared" si="44"/>
      </c>
    </row>
    <row r="175" spans="1:85" ht="19.5" customHeight="1" x14ac:dyDescent="0.2">
      <c r="A175" s="104"/>
      <c r="B175" s="104"/>
      <c r="C175" s="105"/>
      <c r="D175" s="104"/>
      <c r="E175" s="105"/>
      <c r="F175" s="106"/>
      <c r="G175" s="104"/>
      <c r="H175" s="106"/>
      <c r="I175" s="107"/>
      <c r="J175" s="108"/>
      <c r="K175" s="108"/>
      <c r="L175" s="108"/>
      <c r="M175" s="105"/>
      <c r="N175" s="105"/>
      <c r="O175" s="105"/>
      <c r="P175" s="108"/>
      <c r="Q175" s="105"/>
      <c r="R175" s="105"/>
      <c r="S175" s="105"/>
      <c r="T175" s="105"/>
      <c r="U175" s="108"/>
      <c r="V175" s="105"/>
      <c r="W175" s="105"/>
      <c r="X175" s="105"/>
      <c r="Y175" s="105"/>
      <c r="Z175" s="105"/>
      <c r="AA175" s="108"/>
      <c r="AB175" s="108"/>
      <c r="AC175" s="105"/>
      <c r="AD175" s="279"/>
      <c r="AE175" s="105"/>
      <c r="AF175" s="279"/>
      <c r="AG175" s="105"/>
      <c r="AH175" s="108"/>
      <c r="AI175" s="108"/>
      <c r="AJ175" s="108"/>
      <c r="AK175" s="108"/>
      <c r="AL175" s="105"/>
      <c r="AM175" s="108"/>
      <c r="AN175" s="105"/>
      <c r="AO175" s="108"/>
      <c r="AP175" s="108"/>
      <c r="AQ175" s="105"/>
      <c r="AR175" s="108"/>
      <c r="AS175" s="108"/>
      <c r="AT175" s="105"/>
      <c r="AU175" s="105"/>
      <c r="AV175" s="105"/>
      <c r="AW175" s="105"/>
      <c r="AX175" s="105"/>
      <c r="AY175" s="105"/>
      <c r="AZ175" s="105"/>
      <c r="BA175" s="105"/>
      <c r="BB175" s="105"/>
      <c r="BC175" s="105"/>
      <c r="BD175" s="108"/>
      <c r="BE175" s="83">
        <f>IF($A175="","",IF(TRIM($D175&amp;"")="",IF(TRIM($AX175&amp;$AY175&amp;$AZ175&amp;$BA175&amp;$BB175&amp;$BC175&amp;$BD175&amp;"")="","","SUBARRENDADO"),IFERROR(IF(VLOOKUP($D175,VEHICULOS!$A$3:$H$202,7,FALSE)="","",VLOOKUP($D175,VEHICULOS!$A$3:$H$202,7,FALSE)),"")))</f>
      </c>
      <c r="BF175" s="82">
        <f>IF($A175="","",IF(TRIM($BC175&amp;"")&lt;&gt;"",$BC175,IF(TRIM($D175&amp;"")="","",IFERROR(IF(VLOOKUP($D175,VEHICULOS!$A$3:$H$202,8,FALSE)="","",VLOOKUP($D175,VEHICULOS!$A$3:$H$202,8,FALSE)),""))))</f>
      </c>
      <c r="BG175" s="106"/>
      <c r="BH175" s="107"/>
      <c r="BI175" s="86">
        <f t="shared" si="30"/>
      </c>
      <c r="BJ175" s="83">
        <f t="shared" si="31"/>
      </c>
      <c r="BK175" s="85">
        <f t="shared" si="32"/>
      </c>
      <c r="BL175" s="85">
        <f t="shared" si="33"/>
      </c>
      <c r="BM175" s="108"/>
      <c r="BN175" s="85">
        <f t="shared" si="34"/>
      </c>
      <c r="BO175" s="108"/>
      <c r="BP175" s="85">
        <f t="shared" si="35"/>
      </c>
      <c r="BQ175" s="85">
        <f t="shared" si="36"/>
      </c>
      <c r="BR175" s="108"/>
      <c r="BS175" s="104"/>
      <c r="BT175" s="87">
        <f t="shared" si="37"/>
      </c>
      <c r="BU175" s="85">
        <f t="shared" si="38"/>
      </c>
      <c r="BV175" s="85">
        <f t="shared" si="39"/>
      </c>
      <c r="BW175" s="87">
        <f t="shared" si="40"/>
      </c>
      <c r="BX175" s="104"/>
      <c r="BY175" s="106"/>
      <c r="BZ175" s="104"/>
      <c r="CA175" s="105"/>
      <c r="CB175" s="77">
        <f>IF($A175="",0,IF($B175='FICHA CLIENTE'!$C$4,1,0))</f>
      </c>
      <c r="CC175" s="77">
        <f t="shared" si="41"/>
      </c>
      <c r="CD175" s="77">
        <f>IF($A175="",0,IF($D175='FICHA VEHICULO'!$C$4,1,0))</f>
      </c>
      <c r="CE175" s="77">
        <f t="shared" si="42"/>
      </c>
      <c r="CF175" s="77">
        <f t="shared" si="43"/>
      </c>
      <c r="CG175" s="77">
        <f t="shared" si="44"/>
      </c>
    </row>
    <row r="176" spans="1:85" ht="19.5" customHeight="1" x14ac:dyDescent="0.2">
      <c r="A176" s="104"/>
      <c r="B176" s="104"/>
      <c r="C176" s="105"/>
      <c r="D176" s="104"/>
      <c r="E176" s="105"/>
      <c r="F176" s="106"/>
      <c r="G176" s="104"/>
      <c r="H176" s="106"/>
      <c r="I176" s="107"/>
      <c r="J176" s="108"/>
      <c r="K176" s="108"/>
      <c r="L176" s="108"/>
      <c r="M176" s="105"/>
      <c r="N176" s="105"/>
      <c r="O176" s="105"/>
      <c r="P176" s="108"/>
      <c r="Q176" s="105"/>
      <c r="R176" s="105"/>
      <c r="S176" s="105"/>
      <c r="T176" s="105"/>
      <c r="U176" s="108"/>
      <c r="V176" s="105"/>
      <c r="W176" s="105"/>
      <c r="X176" s="105"/>
      <c r="Y176" s="105"/>
      <c r="Z176" s="105"/>
      <c r="AA176" s="108"/>
      <c r="AB176" s="108"/>
      <c r="AC176" s="105"/>
      <c r="AD176" s="279"/>
      <c r="AE176" s="105"/>
      <c r="AF176" s="279"/>
      <c r="AG176" s="105"/>
      <c r="AH176" s="108"/>
      <c r="AI176" s="108"/>
      <c r="AJ176" s="108"/>
      <c r="AK176" s="108"/>
      <c r="AL176" s="105"/>
      <c r="AM176" s="108"/>
      <c r="AN176" s="105"/>
      <c r="AO176" s="108"/>
      <c r="AP176" s="108"/>
      <c r="AQ176" s="105"/>
      <c r="AR176" s="108"/>
      <c r="AS176" s="108"/>
      <c r="AT176" s="105"/>
      <c r="AU176" s="105"/>
      <c r="AV176" s="105"/>
      <c r="AW176" s="105"/>
      <c r="AX176" s="105"/>
      <c r="AY176" s="105"/>
      <c r="AZ176" s="105"/>
      <c r="BA176" s="105"/>
      <c r="BB176" s="105"/>
      <c r="BC176" s="105"/>
      <c r="BD176" s="108"/>
      <c r="BE176" s="83">
        <f>IF($A176="","",IF(TRIM($D176&amp;"")="",IF(TRIM($AX176&amp;$AY176&amp;$AZ176&amp;$BA176&amp;$BB176&amp;$BC176&amp;$BD176&amp;"")="","","SUBARRENDADO"),IFERROR(IF(VLOOKUP($D176,VEHICULOS!$A$3:$H$202,7,FALSE)="","",VLOOKUP($D176,VEHICULOS!$A$3:$H$202,7,FALSE)),"")))</f>
      </c>
      <c r="BF176" s="82">
        <f>IF($A176="","",IF(TRIM($BC176&amp;"")&lt;&gt;"",$BC176,IF(TRIM($D176&amp;"")="","",IFERROR(IF(VLOOKUP($D176,VEHICULOS!$A$3:$H$202,8,FALSE)="","",VLOOKUP($D176,VEHICULOS!$A$3:$H$202,8,FALSE)),""))))</f>
      </c>
      <c r="BG176" s="106"/>
      <c r="BH176" s="107"/>
      <c r="BI176" s="86">
        <f t="shared" si="30"/>
      </c>
      <c r="BJ176" s="83">
        <f t="shared" si="31"/>
      </c>
      <c r="BK176" s="85">
        <f t="shared" si="32"/>
      </c>
      <c r="BL176" s="85">
        <f t="shared" si="33"/>
      </c>
      <c r="BM176" s="108"/>
      <c r="BN176" s="85">
        <f t="shared" si="34"/>
      </c>
      <c r="BO176" s="108"/>
      <c r="BP176" s="85">
        <f t="shared" si="35"/>
      </c>
      <c r="BQ176" s="85">
        <f t="shared" si="36"/>
      </c>
      <c r="BR176" s="108"/>
      <c r="BS176" s="104"/>
      <c r="BT176" s="87">
        <f t="shared" si="37"/>
      </c>
      <c r="BU176" s="85">
        <f t="shared" si="38"/>
      </c>
      <c r="BV176" s="85">
        <f t="shared" si="39"/>
      </c>
      <c r="BW176" s="87">
        <f t="shared" si="40"/>
      </c>
      <c r="BX176" s="104"/>
      <c r="BY176" s="106"/>
      <c r="BZ176" s="104"/>
      <c r="CA176" s="105"/>
      <c r="CB176" s="77">
        <f>IF($A176="",0,IF($B176='FICHA CLIENTE'!$C$4,1,0))</f>
      </c>
      <c r="CC176" s="77">
        <f t="shared" si="41"/>
      </c>
      <c r="CD176" s="77">
        <f>IF($A176="",0,IF($D176='FICHA VEHICULO'!$C$4,1,0))</f>
      </c>
      <c r="CE176" s="77">
        <f t="shared" si="42"/>
      </c>
      <c r="CF176" s="77">
        <f t="shared" si="43"/>
      </c>
      <c r="CG176" s="77">
        <f t="shared" si="44"/>
      </c>
    </row>
    <row r="177" spans="1:85" ht="19.5" customHeight="1" x14ac:dyDescent="0.2">
      <c r="A177" s="104"/>
      <c r="B177" s="104"/>
      <c r="C177" s="105"/>
      <c r="D177" s="104"/>
      <c r="E177" s="105"/>
      <c r="F177" s="106"/>
      <c r="G177" s="104"/>
      <c r="H177" s="106"/>
      <c r="I177" s="107"/>
      <c r="J177" s="108"/>
      <c r="K177" s="108"/>
      <c r="L177" s="108"/>
      <c r="M177" s="105"/>
      <c r="N177" s="105"/>
      <c r="O177" s="105"/>
      <c r="P177" s="108"/>
      <c r="Q177" s="105"/>
      <c r="R177" s="105"/>
      <c r="S177" s="105"/>
      <c r="T177" s="105"/>
      <c r="U177" s="108"/>
      <c r="V177" s="105"/>
      <c r="W177" s="105"/>
      <c r="X177" s="105"/>
      <c r="Y177" s="105"/>
      <c r="Z177" s="105"/>
      <c r="AA177" s="108"/>
      <c r="AB177" s="108"/>
      <c r="AC177" s="105"/>
      <c r="AD177" s="279"/>
      <c r="AE177" s="105"/>
      <c r="AF177" s="279"/>
      <c r="AG177" s="105"/>
      <c r="AH177" s="108"/>
      <c r="AI177" s="108"/>
      <c r="AJ177" s="108"/>
      <c r="AK177" s="108"/>
      <c r="AL177" s="105"/>
      <c r="AM177" s="108"/>
      <c r="AN177" s="105"/>
      <c r="AO177" s="108"/>
      <c r="AP177" s="108"/>
      <c r="AQ177" s="105"/>
      <c r="AR177" s="108"/>
      <c r="AS177" s="108"/>
      <c r="AT177" s="105"/>
      <c r="AU177" s="105"/>
      <c r="AV177" s="105"/>
      <c r="AW177" s="105"/>
      <c r="AX177" s="105"/>
      <c r="AY177" s="105"/>
      <c r="AZ177" s="105"/>
      <c r="BA177" s="105"/>
      <c r="BB177" s="105"/>
      <c r="BC177" s="105"/>
      <c r="BD177" s="108"/>
      <c r="BE177" s="83">
        <f>IF($A177="","",IF(TRIM($D177&amp;"")="",IF(TRIM($AX177&amp;$AY177&amp;$AZ177&amp;$BA177&amp;$BB177&amp;$BC177&amp;$BD177&amp;"")="","","SUBARRENDADO"),IFERROR(IF(VLOOKUP($D177,VEHICULOS!$A$3:$H$202,7,FALSE)="","",VLOOKUP($D177,VEHICULOS!$A$3:$H$202,7,FALSE)),"")))</f>
      </c>
      <c r="BF177" s="82">
        <f>IF($A177="","",IF(TRIM($BC177&amp;"")&lt;&gt;"",$BC177,IF(TRIM($D177&amp;"")="","",IFERROR(IF(VLOOKUP($D177,VEHICULOS!$A$3:$H$202,8,FALSE)="","",VLOOKUP($D177,VEHICULOS!$A$3:$H$202,8,FALSE)),""))))</f>
      </c>
      <c r="BG177" s="106"/>
      <c r="BH177" s="107"/>
      <c r="BI177" s="86">
        <f t="shared" si="30"/>
      </c>
      <c r="BJ177" s="83">
        <f t="shared" si="31"/>
      </c>
      <c r="BK177" s="85">
        <f t="shared" si="32"/>
      </c>
      <c r="BL177" s="85">
        <f t="shared" si="33"/>
      </c>
      <c r="BM177" s="108"/>
      <c r="BN177" s="85">
        <f t="shared" si="34"/>
      </c>
      <c r="BO177" s="108"/>
      <c r="BP177" s="85">
        <f t="shared" si="35"/>
      </c>
      <c r="BQ177" s="85">
        <f t="shared" si="36"/>
      </c>
      <c r="BR177" s="108"/>
      <c r="BS177" s="104"/>
      <c r="BT177" s="87">
        <f t="shared" si="37"/>
      </c>
      <c r="BU177" s="85">
        <f t="shared" si="38"/>
      </c>
      <c r="BV177" s="85">
        <f t="shared" si="39"/>
      </c>
      <c r="BW177" s="87">
        <f t="shared" si="40"/>
      </c>
      <c r="BX177" s="104"/>
      <c r="BY177" s="106"/>
      <c r="BZ177" s="104"/>
      <c r="CA177" s="105"/>
      <c r="CB177" s="77">
        <f>IF($A177="",0,IF($B177='FICHA CLIENTE'!$C$4,1,0))</f>
      </c>
      <c r="CC177" s="77">
        <f t="shared" si="41"/>
      </c>
      <c r="CD177" s="77">
        <f>IF($A177="",0,IF($D177='FICHA VEHICULO'!$C$4,1,0))</f>
      </c>
      <c r="CE177" s="77">
        <f t="shared" si="42"/>
      </c>
      <c r="CF177" s="77">
        <f t="shared" si="43"/>
      </c>
      <c r="CG177" s="77">
        <f t="shared" si="44"/>
      </c>
    </row>
    <row r="178" spans="1:85" ht="19.5" customHeight="1" x14ac:dyDescent="0.2">
      <c r="A178" s="104"/>
      <c r="B178" s="104"/>
      <c r="C178" s="105"/>
      <c r="D178" s="104"/>
      <c r="E178" s="105"/>
      <c r="F178" s="106"/>
      <c r="G178" s="104"/>
      <c r="H178" s="106"/>
      <c r="I178" s="107"/>
      <c r="J178" s="108"/>
      <c r="K178" s="108"/>
      <c r="L178" s="108"/>
      <c r="M178" s="105"/>
      <c r="N178" s="105"/>
      <c r="O178" s="105"/>
      <c r="P178" s="108"/>
      <c r="Q178" s="105"/>
      <c r="R178" s="105"/>
      <c r="S178" s="105"/>
      <c r="T178" s="105"/>
      <c r="U178" s="108"/>
      <c r="V178" s="105"/>
      <c r="W178" s="105"/>
      <c r="X178" s="105"/>
      <c r="Y178" s="105"/>
      <c r="Z178" s="105"/>
      <c r="AA178" s="108"/>
      <c r="AB178" s="108"/>
      <c r="AC178" s="105"/>
      <c r="AD178" s="279"/>
      <c r="AE178" s="105"/>
      <c r="AF178" s="279"/>
      <c r="AG178" s="105"/>
      <c r="AH178" s="108"/>
      <c r="AI178" s="108"/>
      <c r="AJ178" s="108"/>
      <c r="AK178" s="108"/>
      <c r="AL178" s="105"/>
      <c r="AM178" s="108"/>
      <c r="AN178" s="105"/>
      <c r="AO178" s="108"/>
      <c r="AP178" s="108"/>
      <c r="AQ178" s="105"/>
      <c r="AR178" s="108"/>
      <c r="AS178" s="108"/>
      <c r="AT178" s="105"/>
      <c r="AU178" s="105"/>
      <c r="AV178" s="105"/>
      <c r="AW178" s="105"/>
      <c r="AX178" s="105"/>
      <c r="AY178" s="105"/>
      <c r="AZ178" s="105"/>
      <c r="BA178" s="105"/>
      <c r="BB178" s="105"/>
      <c r="BC178" s="105"/>
      <c r="BD178" s="108"/>
      <c r="BE178" s="83">
        <f>IF($A178="","",IF(TRIM($D178&amp;"")="",IF(TRIM($AX178&amp;$AY178&amp;$AZ178&amp;$BA178&amp;$BB178&amp;$BC178&amp;$BD178&amp;"")="","","SUBARRENDADO"),IFERROR(IF(VLOOKUP($D178,VEHICULOS!$A$3:$H$202,7,FALSE)="","",VLOOKUP($D178,VEHICULOS!$A$3:$H$202,7,FALSE)),"")))</f>
      </c>
      <c r="BF178" s="82">
        <f>IF($A178="","",IF(TRIM($BC178&amp;"")&lt;&gt;"",$BC178,IF(TRIM($D178&amp;"")="","",IFERROR(IF(VLOOKUP($D178,VEHICULOS!$A$3:$H$202,8,FALSE)="","",VLOOKUP($D178,VEHICULOS!$A$3:$H$202,8,FALSE)),""))))</f>
      </c>
      <c r="BG178" s="106"/>
      <c r="BH178" s="107"/>
      <c r="BI178" s="86">
        <f t="shared" si="30"/>
      </c>
      <c r="BJ178" s="83">
        <f t="shared" si="31"/>
      </c>
      <c r="BK178" s="85">
        <f t="shared" si="32"/>
      </c>
      <c r="BL178" s="85">
        <f t="shared" si="33"/>
      </c>
      <c r="BM178" s="108"/>
      <c r="BN178" s="85">
        <f t="shared" si="34"/>
      </c>
      <c r="BO178" s="108"/>
      <c r="BP178" s="85">
        <f t="shared" si="35"/>
      </c>
      <c r="BQ178" s="85">
        <f t="shared" si="36"/>
      </c>
      <c r="BR178" s="108"/>
      <c r="BS178" s="104"/>
      <c r="BT178" s="87">
        <f t="shared" si="37"/>
      </c>
      <c r="BU178" s="85">
        <f t="shared" si="38"/>
      </c>
      <c r="BV178" s="85">
        <f t="shared" si="39"/>
      </c>
      <c r="BW178" s="87">
        <f t="shared" si="40"/>
      </c>
      <c r="BX178" s="104"/>
      <c r="BY178" s="106"/>
      <c r="BZ178" s="104"/>
      <c r="CA178" s="105"/>
      <c r="CB178" s="77">
        <f>IF($A178="",0,IF($B178='FICHA CLIENTE'!$C$4,1,0))</f>
      </c>
      <c r="CC178" s="77">
        <f t="shared" si="41"/>
      </c>
      <c r="CD178" s="77">
        <f>IF($A178="",0,IF($D178='FICHA VEHICULO'!$C$4,1,0))</f>
      </c>
      <c r="CE178" s="77">
        <f t="shared" si="42"/>
      </c>
      <c r="CF178" s="77">
        <f t="shared" si="43"/>
      </c>
      <c r="CG178" s="77">
        <f t="shared" si="44"/>
      </c>
    </row>
    <row r="179" spans="1:85" ht="19.5" customHeight="1" x14ac:dyDescent="0.2">
      <c r="A179" s="104"/>
      <c r="B179" s="104"/>
      <c r="C179" s="105"/>
      <c r="D179" s="104"/>
      <c r="E179" s="105"/>
      <c r="F179" s="106"/>
      <c r="G179" s="104"/>
      <c r="H179" s="106"/>
      <c r="I179" s="107"/>
      <c r="J179" s="108"/>
      <c r="K179" s="108"/>
      <c r="L179" s="108"/>
      <c r="M179" s="105"/>
      <c r="N179" s="105"/>
      <c r="O179" s="105"/>
      <c r="P179" s="108"/>
      <c r="Q179" s="105"/>
      <c r="R179" s="105"/>
      <c r="S179" s="105"/>
      <c r="T179" s="105"/>
      <c r="U179" s="108"/>
      <c r="V179" s="105"/>
      <c r="W179" s="105"/>
      <c r="X179" s="105"/>
      <c r="Y179" s="105"/>
      <c r="Z179" s="105"/>
      <c r="AA179" s="108"/>
      <c r="AB179" s="108"/>
      <c r="AC179" s="105"/>
      <c r="AD179" s="279"/>
      <c r="AE179" s="105"/>
      <c r="AF179" s="279"/>
      <c r="AG179" s="105"/>
      <c r="AH179" s="108"/>
      <c r="AI179" s="108"/>
      <c r="AJ179" s="108"/>
      <c r="AK179" s="108"/>
      <c r="AL179" s="105"/>
      <c r="AM179" s="108"/>
      <c r="AN179" s="105"/>
      <c r="AO179" s="108"/>
      <c r="AP179" s="108"/>
      <c r="AQ179" s="105"/>
      <c r="AR179" s="108"/>
      <c r="AS179" s="108"/>
      <c r="AT179" s="105"/>
      <c r="AU179" s="105"/>
      <c r="AV179" s="105"/>
      <c r="AW179" s="105"/>
      <c r="AX179" s="105"/>
      <c r="AY179" s="105"/>
      <c r="AZ179" s="105"/>
      <c r="BA179" s="105"/>
      <c r="BB179" s="105"/>
      <c r="BC179" s="105"/>
      <c r="BD179" s="108"/>
      <c r="BE179" s="83">
        <f>IF($A179="","",IF(TRIM($D179&amp;"")="",IF(TRIM($AX179&amp;$AY179&amp;$AZ179&amp;$BA179&amp;$BB179&amp;$BC179&amp;$BD179&amp;"")="","","SUBARRENDADO"),IFERROR(IF(VLOOKUP($D179,VEHICULOS!$A$3:$H$202,7,FALSE)="","",VLOOKUP($D179,VEHICULOS!$A$3:$H$202,7,FALSE)),"")))</f>
      </c>
      <c r="BF179" s="82">
        <f>IF($A179="","",IF(TRIM($BC179&amp;"")&lt;&gt;"",$BC179,IF(TRIM($D179&amp;"")="","",IFERROR(IF(VLOOKUP($D179,VEHICULOS!$A$3:$H$202,8,FALSE)="","",VLOOKUP($D179,VEHICULOS!$A$3:$H$202,8,FALSE)),""))))</f>
      </c>
      <c r="BG179" s="106"/>
      <c r="BH179" s="107"/>
      <c r="BI179" s="86">
        <f t="shared" si="30"/>
      </c>
      <c r="BJ179" s="83">
        <f t="shared" si="31"/>
      </c>
      <c r="BK179" s="85">
        <f t="shared" si="32"/>
      </c>
      <c r="BL179" s="85">
        <f t="shared" si="33"/>
      </c>
      <c r="BM179" s="108"/>
      <c r="BN179" s="85">
        <f t="shared" si="34"/>
      </c>
      <c r="BO179" s="108"/>
      <c r="BP179" s="85">
        <f t="shared" si="35"/>
      </c>
      <c r="BQ179" s="85">
        <f t="shared" si="36"/>
      </c>
      <c r="BR179" s="108"/>
      <c r="BS179" s="104"/>
      <c r="BT179" s="87">
        <f t="shared" si="37"/>
      </c>
      <c r="BU179" s="85">
        <f t="shared" si="38"/>
      </c>
      <c r="BV179" s="85">
        <f t="shared" si="39"/>
      </c>
      <c r="BW179" s="87">
        <f t="shared" si="40"/>
      </c>
      <c r="BX179" s="104"/>
      <c r="BY179" s="106"/>
      <c r="BZ179" s="104"/>
      <c r="CA179" s="105"/>
      <c r="CB179" s="77">
        <f>IF($A179="",0,IF($B179='FICHA CLIENTE'!$C$4,1,0))</f>
      </c>
      <c r="CC179" s="77">
        <f t="shared" si="41"/>
      </c>
      <c r="CD179" s="77">
        <f>IF($A179="",0,IF($D179='FICHA VEHICULO'!$C$4,1,0))</f>
      </c>
      <c r="CE179" s="77">
        <f t="shared" si="42"/>
      </c>
      <c r="CF179" s="77">
        <f t="shared" si="43"/>
      </c>
      <c r="CG179" s="77">
        <f t="shared" si="44"/>
      </c>
    </row>
    <row r="180" spans="1:85" ht="19.5" customHeight="1" x14ac:dyDescent="0.2">
      <c r="A180" s="104"/>
      <c r="B180" s="104"/>
      <c r="C180" s="105"/>
      <c r="D180" s="104"/>
      <c r="E180" s="105"/>
      <c r="F180" s="106"/>
      <c r="G180" s="104"/>
      <c r="H180" s="106"/>
      <c r="I180" s="107"/>
      <c r="J180" s="108"/>
      <c r="K180" s="108"/>
      <c r="L180" s="108"/>
      <c r="M180" s="105"/>
      <c r="N180" s="105"/>
      <c r="O180" s="105"/>
      <c r="P180" s="108"/>
      <c r="Q180" s="105"/>
      <c r="R180" s="105"/>
      <c r="S180" s="105"/>
      <c r="T180" s="105"/>
      <c r="U180" s="108"/>
      <c r="V180" s="105"/>
      <c r="W180" s="105"/>
      <c r="X180" s="105"/>
      <c r="Y180" s="105"/>
      <c r="Z180" s="105"/>
      <c r="AA180" s="108"/>
      <c r="AB180" s="108"/>
      <c r="AC180" s="105"/>
      <c r="AD180" s="279"/>
      <c r="AE180" s="105"/>
      <c r="AF180" s="279"/>
      <c r="AG180" s="105"/>
      <c r="AH180" s="108"/>
      <c r="AI180" s="108"/>
      <c r="AJ180" s="108"/>
      <c r="AK180" s="108"/>
      <c r="AL180" s="105"/>
      <c r="AM180" s="108"/>
      <c r="AN180" s="105"/>
      <c r="AO180" s="108"/>
      <c r="AP180" s="108"/>
      <c r="AQ180" s="105"/>
      <c r="AR180" s="108"/>
      <c r="AS180" s="108"/>
      <c r="AT180" s="105"/>
      <c r="AU180" s="105"/>
      <c r="AV180" s="105"/>
      <c r="AW180" s="105"/>
      <c r="AX180" s="105"/>
      <c r="AY180" s="105"/>
      <c r="AZ180" s="105"/>
      <c r="BA180" s="105"/>
      <c r="BB180" s="105"/>
      <c r="BC180" s="105"/>
      <c r="BD180" s="108"/>
      <c r="BE180" s="83">
        <f>IF($A180="","",IF(TRIM($D180&amp;"")="",IF(TRIM($AX180&amp;$AY180&amp;$AZ180&amp;$BA180&amp;$BB180&amp;$BC180&amp;$BD180&amp;"")="","","SUBARRENDADO"),IFERROR(IF(VLOOKUP($D180,VEHICULOS!$A$3:$H$202,7,FALSE)="","",VLOOKUP($D180,VEHICULOS!$A$3:$H$202,7,FALSE)),"")))</f>
      </c>
      <c r="BF180" s="82">
        <f>IF($A180="","",IF(TRIM($BC180&amp;"")&lt;&gt;"",$BC180,IF(TRIM($D180&amp;"")="","",IFERROR(IF(VLOOKUP($D180,VEHICULOS!$A$3:$H$202,8,FALSE)="","",VLOOKUP($D180,VEHICULOS!$A$3:$H$202,8,FALSE)),""))))</f>
      </c>
      <c r="BG180" s="106"/>
      <c r="BH180" s="107"/>
      <c r="BI180" s="86">
        <f t="shared" si="30"/>
      </c>
      <c r="BJ180" s="83">
        <f t="shared" si="31"/>
      </c>
      <c r="BK180" s="85">
        <f t="shared" si="32"/>
      </c>
      <c r="BL180" s="85">
        <f t="shared" si="33"/>
      </c>
      <c r="BM180" s="108"/>
      <c r="BN180" s="85">
        <f t="shared" si="34"/>
      </c>
      <c r="BO180" s="108"/>
      <c r="BP180" s="85">
        <f t="shared" si="35"/>
      </c>
      <c r="BQ180" s="85">
        <f t="shared" si="36"/>
      </c>
      <c r="BR180" s="108"/>
      <c r="BS180" s="104"/>
      <c r="BT180" s="87">
        <f t="shared" si="37"/>
      </c>
      <c r="BU180" s="85">
        <f t="shared" si="38"/>
      </c>
      <c r="BV180" s="85">
        <f t="shared" si="39"/>
      </c>
      <c r="BW180" s="87">
        <f t="shared" si="40"/>
      </c>
      <c r="BX180" s="104"/>
      <c r="BY180" s="106"/>
      <c r="BZ180" s="104"/>
      <c r="CA180" s="105"/>
      <c r="CB180" s="77">
        <f>IF($A180="",0,IF($B180='FICHA CLIENTE'!$C$4,1,0))</f>
      </c>
      <c r="CC180" s="77">
        <f t="shared" si="41"/>
      </c>
      <c r="CD180" s="77">
        <f>IF($A180="",0,IF($D180='FICHA VEHICULO'!$C$4,1,0))</f>
      </c>
      <c r="CE180" s="77">
        <f t="shared" si="42"/>
      </c>
      <c r="CF180" s="77">
        <f t="shared" si="43"/>
      </c>
      <c r="CG180" s="77">
        <f t="shared" si="44"/>
      </c>
    </row>
    <row r="181" spans="1:85" ht="19.5" customHeight="1" x14ac:dyDescent="0.2">
      <c r="A181" s="104"/>
      <c r="B181" s="104"/>
      <c r="C181" s="105"/>
      <c r="D181" s="104"/>
      <c r="E181" s="105"/>
      <c r="F181" s="106"/>
      <c r="G181" s="104"/>
      <c r="H181" s="106"/>
      <c r="I181" s="107"/>
      <c r="J181" s="108"/>
      <c r="K181" s="108"/>
      <c r="L181" s="108"/>
      <c r="M181" s="105"/>
      <c r="N181" s="105"/>
      <c r="O181" s="105"/>
      <c r="P181" s="108"/>
      <c r="Q181" s="105"/>
      <c r="R181" s="105"/>
      <c r="S181" s="105"/>
      <c r="T181" s="105"/>
      <c r="U181" s="108"/>
      <c r="V181" s="105"/>
      <c r="W181" s="105"/>
      <c r="X181" s="105"/>
      <c r="Y181" s="105"/>
      <c r="Z181" s="105"/>
      <c r="AA181" s="108"/>
      <c r="AB181" s="108"/>
      <c r="AC181" s="105"/>
      <c r="AD181" s="279"/>
      <c r="AE181" s="105"/>
      <c r="AF181" s="279"/>
      <c r="AG181" s="105"/>
      <c r="AH181" s="108"/>
      <c r="AI181" s="108"/>
      <c r="AJ181" s="108"/>
      <c r="AK181" s="108"/>
      <c r="AL181" s="105"/>
      <c r="AM181" s="108"/>
      <c r="AN181" s="105"/>
      <c r="AO181" s="108"/>
      <c r="AP181" s="108"/>
      <c r="AQ181" s="105"/>
      <c r="AR181" s="108"/>
      <c r="AS181" s="108"/>
      <c r="AT181" s="105"/>
      <c r="AU181" s="105"/>
      <c r="AV181" s="105"/>
      <c r="AW181" s="105"/>
      <c r="AX181" s="105"/>
      <c r="AY181" s="105"/>
      <c r="AZ181" s="105"/>
      <c r="BA181" s="105"/>
      <c r="BB181" s="105"/>
      <c r="BC181" s="105"/>
      <c r="BD181" s="108"/>
      <c r="BE181" s="83">
        <f>IF($A181="","",IF(TRIM($D181&amp;"")="",IF(TRIM($AX181&amp;$AY181&amp;$AZ181&amp;$BA181&amp;$BB181&amp;$BC181&amp;$BD181&amp;"")="","","SUBARRENDADO"),IFERROR(IF(VLOOKUP($D181,VEHICULOS!$A$3:$H$202,7,FALSE)="","",VLOOKUP($D181,VEHICULOS!$A$3:$H$202,7,FALSE)),"")))</f>
      </c>
      <c r="BF181" s="82">
        <f>IF($A181="","",IF(TRIM($BC181&amp;"")&lt;&gt;"",$BC181,IF(TRIM($D181&amp;"")="","",IFERROR(IF(VLOOKUP($D181,VEHICULOS!$A$3:$H$202,8,FALSE)="","",VLOOKUP($D181,VEHICULOS!$A$3:$H$202,8,FALSE)),""))))</f>
      </c>
      <c r="BG181" s="106"/>
      <c r="BH181" s="107"/>
      <c r="BI181" s="86">
        <f t="shared" si="30"/>
      </c>
      <c r="BJ181" s="83">
        <f t="shared" si="31"/>
      </c>
      <c r="BK181" s="85">
        <f t="shared" si="32"/>
      </c>
      <c r="BL181" s="85">
        <f t="shared" si="33"/>
      </c>
      <c r="BM181" s="108"/>
      <c r="BN181" s="85">
        <f t="shared" si="34"/>
      </c>
      <c r="BO181" s="108"/>
      <c r="BP181" s="85">
        <f t="shared" si="35"/>
      </c>
      <c r="BQ181" s="85">
        <f t="shared" si="36"/>
      </c>
      <c r="BR181" s="108"/>
      <c r="BS181" s="104"/>
      <c r="BT181" s="87">
        <f t="shared" si="37"/>
      </c>
      <c r="BU181" s="85">
        <f t="shared" si="38"/>
      </c>
      <c r="BV181" s="85">
        <f t="shared" si="39"/>
      </c>
      <c r="BW181" s="87">
        <f t="shared" si="40"/>
      </c>
      <c r="BX181" s="104"/>
      <c r="BY181" s="106"/>
      <c r="BZ181" s="104"/>
      <c r="CA181" s="105"/>
      <c r="CB181" s="77">
        <f>IF($A181="",0,IF($B181='FICHA CLIENTE'!$C$4,1,0))</f>
      </c>
      <c r="CC181" s="77">
        <f t="shared" si="41"/>
      </c>
      <c r="CD181" s="77">
        <f>IF($A181="",0,IF($D181='FICHA VEHICULO'!$C$4,1,0))</f>
      </c>
      <c r="CE181" s="77">
        <f t="shared" si="42"/>
      </c>
      <c r="CF181" s="77">
        <f t="shared" si="43"/>
      </c>
      <c r="CG181" s="77">
        <f t="shared" si="44"/>
      </c>
    </row>
    <row r="182" spans="1:85" ht="19.5" customHeight="1" x14ac:dyDescent="0.2">
      <c r="A182" s="104"/>
      <c r="B182" s="104"/>
      <c r="C182" s="105"/>
      <c r="D182" s="104"/>
      <c r="E182" s="105"/>
      <c r="F182" s="106"/>
      <c r="G182" s="104"/>
      <c r="H182" s="106"/>
      <c r="I182" s="107"/>
      <c r="J182" s="108"/>
      <c r="K182" s="108"/>
      <c r="L182" s="108"/>
      <c r="M182" s="105"/>
      <c r="N182" s="105"/>
      <c r="O182" s="105"/>
      <c r="P182" s="108"/>
      <c r="Q182" s="105"/>
      <c r="R182" s="105"/>
      <c r="S182" s="105"/>
      <c r="T182" s="105"/>
      <c r="U182" s="108"/>
      <c r="V182" s="105"/>
      <c r="W182" s="105"/>
      <c r="X182" s="105"/>
      <c r="Y182" s="105"/>
      <c r="Z182" s="105"/>
      <c r="AA182" s="108"/>
      <c r="AB182" s="108"/>
      <c r="AC182" s="105"/>
      <c r="AD182" s="279"/>
      <c r="AE182" s="105"/>
      <c r="AF182" s="279"/>
      <c r="AG182" s="105"/>
      <c r="AH182" s="108"/>
      <c r="AI182" s="108"/>
      <c r="AJ182" s="108"/>
      <c r="AK182" s="108"/>
      <c r="AL182" s="105"/>
      <c r="AM182" s="108"/>
      <c r="AN182" s="105"/>
      <c r="AO182" s="108"/>
      <c r="AP182" s="108"/>
      <c r="AQ182" s="105"/>
      <c r="AR182" s="108"/>
      <c r="AS182" s="108"/>
      <c r="AT182" s="105"/>
      <c r="AU182" s="105"/>
      <c r="AV182" s="105"/>
      <c r="AW182" s="105"/>
      <c r="AX182" s="105"/>
      <c r="AY182" s="105"/>
      <c r="AZ182" s="105"/>
      <c r="BA182" s="105"/>
      <c r="BB182" s="105"/>
      <c r="BC182" s="105"/>
      <c r="BD182" s="108"/>
      <c r="BE182" s="83">
        <f>IF($A182="","",IF(TRIM($D182&amp;"")="",IF(TRIM($AX182&amp;$AY182&amp;$AZ182&amp;$BA182&amp;$BB182&amp;$BC182&amp;$BD182&amp;"")="","","SUBARRENDADO"),IFERROR(IF(VLOOKUP($D182,VEHICULOS!$A$3:$H$202,7,FALSE)="","",VLOOKUP($D182,VEHICULOS!$A$3:$H$202,7,FALSE)),"")))</f>
      </c>
      <c r="BF182" s="82">
        <f>IF($A182="","",IF(TRIM($BC182&amp;"")&lt;&gt;"",$BC182,IF(TRIM($D182&amp;"")="","",IFERROR(IF(VLOOKUP($D182,VEHICULOS!$A$3:$H$202,8,FALSE)="","",VLOOKUP($D182,VEHICULOS!$A$3:$H$202,8,FALSE)),""))))</f>
      </c>
      <c r="BG182" s="106"/>
      <c r="BH182" s="107"/>
      <c r="BI182" s="86">
        <f t="shared" si="30"/>
      </c>
      <c r="BJ182" s="83">
        <f t="shared" si="31"/>
      </c>
      <c r="BK182" s="85">
        <f t="shared" si="32"/>
      </c>
      <c r="BL182" s="85">
        <f t="shared" si="33"/>
      </c>
      <c r="BM182" s="108"/>
      <c r="BN182" s="85">
        <f t="shared" si="34"/>
      </c>
      <c r="BO182" s="108"/>
      <c r="BP182" s="85">
        <f t="shared" si="35"/>
      </c>
      <c r="BQ182" s="85">
        <f t="shared" si="36"/>
      </c>
      <c r="BR182" s="108"/>
      <c r="BS182" s="104"/>
      <c r="BT182" s="87">
        <f t="shared" si="37"/>
      </c>
      <c r="BU182" s="85">
        <f t="shared" si="38"/>
      </c>
      <c r="BV182" s="85">
        <f t="shared" si="39"/>
      </c>
      <c r="BW182" s="87">
        <f t="shared" si="40"/>
      </c>
      <c r="BX182" s="104"/>
      <c r="BY182" s="106"/>
      <c r="BZ182" s="104"/>
      <c r="CA182" s="105"/>
      <c r="CB182" s="77">
        <f>IF($A182="",0,IF($B182='FICHA CLIENTE'!$C$4,1,0))</f>
      </c>
      <c r="CC182" s="77">
        <f t="shared" si="41"/>
      </c>
      <c r="CD182" s="77">
        <f>IF($A182="",0,IF($D182='FICHA VEHICULO'!$C$4,1,0))</f>
      </c>
      <c r="CE182" s="77">
        <f t="shared" si="42"/>
      </c>
      <c r="CF182" s="77">
        <f t="shared" si="43"/>
      </c>
      <c r="CG182" s="77">
        <f t="shared" si="44"/>
      </c>
    </row>
    <row r="183" spans="1:85" ht="19.5" customHeight="1" x14ac:dyDescent="0.2">
      <c r="A183" s="104"/>
      <c r="B183" s="104"/>
      <c r="C183" s="105"/>
      <c r="D183" s="104"/>
      <c r="E183" s="105"/>
      <c r="F183" s="106"/>
      <c r="G183" s="104"/>
      <c r="H183" s="106"/>
      <c r="I183" s="107"/>
      <c r="J183" s="108"/>
      <c r="K183" s="108"/>
      <c r="L183" s="108"/>
      <c r="M183" s="105"/>
      <c r="N183" s="105"/>
      <c r="O183" s="105"/>
      <c r="P183" s="108"/>
      <c r="Q183" s="105"/>
      <c r="R183" s="105"/>
      <c r="S183" s="105"/>
      <c r="T183" s="105"/>
      <c r="U183" s="108"/>
      <c r="V183" s="105"/>
      <c r="W183" s="105"/>
      <c r="X183" s="105"/>
      <c r="Y183" s="105"/>
      <c r="Z183" s="105"/>
      <c r="AA183" s="108"/>
      <c r="AB183" s="108"/>
      <c r="AC183" s="105"/>
      <c r="AD183" s="279"/>
      <c r="AE183" s="105"/>
      <c r="AF183" s="279"/>
      <c r="AG183" s="105"/>
      <c r="AH183" s="108"/>
      <c r="AI183" s="108"/>
      <c r="AJ183" s="108"/>
      <c r="AK183" s="108"/>
      <c r="AL183" s="105"/>
      <c r="AM183" s="108"/>
      <c r="AN183" s="105"/>
      <c r="AO183" s="108"/>
      <c r="AP183" s="108"/>
      <c r="AQ183" s="105"/>
      <c r="AR183" s="108"/>
      <c r="AS183" s="108"/>
      <c r="AT183" s="105"/>
      <c r="AU183" s="105"/>
      <c r="AV183" s="105"/>
      <c r="AW183" s="105"/>
      <c r="AX183" s="105"/>
      <c r="AY183" s="105"/>
      <c r="AZ183" s="105"/>
      <c r="BA183" s="105"/>
      <c r="BB183" s="105"/>
      <c r="BC183" s="105"/>
      <c r="BD183" s="108"/>
      <c r="BE183" s="83">
        <f>IF($A183="","",IF(TRIM($D183&amp;"")="",IF(TRIM($AX183&amp;$AY183&amp;$AZ183&amp;$BA183&amp;$BB183&amp;$BC183&amp;$BD183&amp;"")="","","SUBARRENDADO"),IFERROR(IF(VLOOKUP($D183,VEHICULOS!$A$3:$H$202,7,FALSE)="","",VLOOKUP($D183,VEHICULOS!$A$3:$H$202,7,FALSE)),"")))</f>
      </c>
      <c r="BF183" s="82">
        <f>IF($A183="","",IF(TRIM($BC183&amp;"")&lt;&gt;"",$BC183,IF(TRIM($D183&amp;"")="","",IFERROR(IF(VLOOKUP($D183,VEHICULOS!$A$3:$H$202,8,FALSE)="","",VLOOKUP($D183,VEHICULOS!$A$3:$H$202,8,FALSE)),""))))</f>
      </c>
      <c r="BG183" s="106"/>
      <c r="BH183" s="107"/>
      <c r="BI183" s="86">
        <f t="shared" si="30"/>
      </c>
      <c r="BJ183" s="83">
        <f t="shared" si="31"/>
      </c>
      <c r="BK183" s="85">
        <f t="shared" si="32"/>
      </c>
      <c r="BL183" s="85">
        <f t="shared" si="33"/>
      </c>
      <c r="BM183" s="108"/>
      <c r="BN183" s="85">
        <f t="shared" si="34"/>
      </c>
      <c r="BO183" s="108"/>
      <c r="BP183" s="85">
        <f t="shared" si="35"/>
      </c>
      <c r="BQ183" s="85">
        <f t="shared" si="36"/>
      </c>
      <c r="BR183" s="108"/>
      <c r="BS183" s="104"/>
      <c r="BT183" s="87">
        <f t="shared" si="37"/>
      </c>
      <c r="BU183" s="85">
        <f t="shared" si="38"/>
      </c>
      <c r="BV183" s="85">
        <f t="shared" si="39"/>
      </c>
      <c r="BW183" s="87">
        <f t="shared" si="40"/>
      </c>
      <c r="BX183" s="104"/>
      <c r="BY183" s="106"/>
      <c r="BZ183" s="104"/>
      <c r="CA183" s="105"/>
      <c r="CB183" s="77">
        <f>IF($A183="",0,IF($B183='FICHA CLIENTE'!$C$4,1,0))</f>
      </c>
      <c r="CC183" s="77">
        <f t="shared" si="41"/>
      </c>
      <c r="CD183" s="77">
        <f>IF($A183="",0,IF($D183='FICHA VEHICULO'!$C$4,1,0))</f>
      </c>
      <c r="CE183" s="77">
        <f t="shared" si="42"/>
      </c>
      <c r="CF183" s="77">
        <f t="shared" si="43"/>
      </c>
      <c r="CG183" s="77">
        <f t="shared" si="44"/>
      </c>
    </row>
    <row r="184" spans="1:85" ht="19.5" customHeight="1" x14ac:dyDescent="0.2">
      <c r="A184" s="104"/>
      <c r="B184" s="104"/>
      <c r="C184" s="105"/>
      <c r="D184" s="104"/>
      <c r="E184" s="105"/>
      <c r="F184" s="106"/>
      <c r="G184" s="104"/>
      <c r="H184" s="106"/>
      <c r="I184" s="107"/>
      <c r="J184" s="108"/>
      <c r="K184" s="108"/>
      <c r="L184" s="108"/>
      <c r="M184" s="105"/>
      <c r="N184" s="105"/>
      <c r="O184" s="105"/>
      <c r="P184" s="108"/>
      <c r="Q184" s="105"/>
      <c r="R184" s="105"/>
      <c r="S184" s="105"/>
      <c r="T184" s="105"/>
      <c r="U184" s="108"/>
      <c r="V184" s="105"/>
      <c r="W184" s="105"/>
      <c r="X184" s="105"/>
      <c r="Y184" s="105"/>
      <c r="Z184" s="105"/>
      <c r="AA184" s="108"/>
      <c r="AB184" s="108"/>
      <c r="AC184" s="105"/>
      <c r="AD184" s="279"/>
      <c r="AE184" s="105"/>
      <c r="AF184" s="279"/>
      <c r="AG184" s="105"/>
      <c r="AH184" s="108"/>
      <c r="AI184" s="108"/>
      <c r="AJ184" s="108"/>
      <c r="AK184" s="108"/>
      <c r="AL184" s="105"/>
      <c r="AM184" s="108"/>
      <c r="AN184" s="105"/>
      <c r="AO184" s="108"/>
      <c r="AP184" s="108"/>
      <c r="AQ184" s="105"/>
      <c r="AR184" s="108"/>
      <c r="AS184" s="108"/>
      <c r="AT184" s="105"/>
      <c r="AU184" s="105"/>
      <c r="AV184" s="105"/>
      <c r="AW184" s="105"/>
      <c r="AX184" s="105"/>
      <c r="AY184" s="105"/>
      <c r="AZ184" s="105"/>
      <c r="BA184" s="105"/>
      <c r="BB184" s="105"/>
      <c r="BC184" s="105"/>
      <c r="BD184" s="108"/>
      <c r="BE184" s="83">
        <f>IF($A184="","",IF(TRIM($D184&amp;"")="",IF(TRIM($AX184&amp;$AY184&amp;$AZ184&amp;$BA184&amp;$BB184&amp;$BC184&amp;$BD184&amp;"")="","","SUBARRENDADO"),IFERROR(IF(VLOOKUP($D184,VEHICULOS!$A$3:$H$202,7,FALSE)="","",VLOOKUP($D184,VEHICULOS!$A$3:$H$202,7,FALSE)),"")))</f>
      </c>
      <c r="BF184" s="82">
        <f>IF($A184="","",IF(TRIM($BC184&amp;"")&lt;&gt;"",$BC184,IF(TRIM($D184&amp;"")="","",IFERROR(IF(VLOOKUP($D184,VEHICULOS!$A$3:$H$202,8,FALSE)="","",VLOOKUP($D184,VEHICULOS!$A$3:$H$202,8,FALSE)),""))))</f>
      </c>
      <c r="BG184" s="106"/>
      <c r="BH184" s="107"/>
      <c r="BI184" s="86">
        <f t="shared" si="30"/>
      </c>
      <c r="BJ184" s="83">
        <f t="shared" si="31"/>
      </c>
      <c r="BK184" s="85">
        <f t="shared" si="32"/>
      </c>
      <c r="BL184" s="85">
        <f t="shared" si="33"/>
      </c>
      <c r="BM184" s="108"/>
      <c r="BN184" s="85">
        <f t="shared" si="34"/>
      </c>
      <c r="BO184" s="108"/>
      <c r="BP184" s="85">
        <f t="shared" si="35"/>
      </c>
      <c r="BQ184" s="85">
        <f t="shared" si="36"/>
      </c>
      <c r="BR184" s="108"/>
      <c r="BS184" s="104"/>
      <c r="BT184" s="87">
        <f t="shared" si="37"/>
      </c>
      <c r="BU184" s="85">
        <f t="shared" si="38"/>
      </c>
      <c r="BV184" s="85">
        <f t="shared" si="39"/>
      </c>
      <c r="BW184" s="87">
        <f t="shared" si="40"/>
      </c>
      <c r="BX184" s="104"/>
      <c r="BY184" s="106"/>
      <c r="BZ184" s="104"/>
      <c r="CA184" s="105"/>
      <c r="CB184" s="77">
        <f>IF($A184="",0,IF($B184='FICHA CLIENTE'!$C$4,1,0))</f>
      </c>
      <c r="CC184" s="77">
        <f t="shared" si="41"/>
      </c>
      <c r="CD184" s="77">
        <f>IF($A184="",0,IF($D184='FICHA VEHICULO'!$C$4,1,0))</f>
      </c>
      <c r="CE184" s="77">
        <f t="shared" si="42"/>
      </c>
      <c r="CF184" s="77">
        <f t="shared" si="43"/>
      </c>
      <c r="CG184" s="77">
        <f t="shared" si="44"/>
      </c>
    </row>
    <row r="185" spans="1:85" ht="19.5" customHeight="1" x14ac:dyDescent="0.2">
      <c r="A185" s="104"/>
      <c r="B185" s="104"/>
      <c r="C185" s="105"/>
      <c r="D185" s="104"/>
      <c r="E185" s="105"/>
      <c r="F185" s="106"/>
      <c r="G185" s="104"/>
      <c r="H185" s="106"/>
      <c r="I185" s="107"/>
      <c r="J185" s="108"/>
      <c r="K185" s="108"/>
      <c r="L185" s="108"/>
      <c r="M185" s="105"/>
      <c r="N185" s="105"/>
      <c r="O185" s="105"/>
      <c r="P185" s="108"/>
      <c r="Q185" s="105"/>
      <c r="R185" s="105"/>
      <c r="S185" s="105"/>
      <c r="T185" s="105"/>
      <c r="U185" s="108"/>
      <c r="V185" s="105"/>
      <c r="W185" s="105"/>
      <c r="X185" s="105"/>
      <c r="Y185" s="105"/>
      <c r="Z185" s="105"/>
      <c r="AA185" s="108"/>
      <c r="AB185" s="108"/>
      <c r="AC185" s="105"/>
      <c r="AD185" s="279"/>
      <c r="AE185" s="105"/>
      <c r="AF185" s="279"/>
      <c r="AG185" s="105"/>
      <c r="AH185" s="108"/>
      <c r="AI185" s="108"/>
      <c r="AJ185" s="108"/>
      <c r="AK185" s="108"/>
      <c r="AL185" s="105"/>
      <c r="AM185" s="108"/>
      <c r="AN185" s="105"/>
      <c r="AO185" s="108"/>
      <c r="AP185" s="108"/>
      <c r="AQ185" s="105"/>
      <c r="AR185" s="108"/>
      <c r="AS185" s="108"/>
      <c r="AT185" s="105"/>
      <c r="AU185" s="105"/>
      <c r="AV185" s="105"/>
      <c r="AW185" s="105"/>
      <c r="AX185" s="105"/>
      <c r="AY185" s="105"/>
      <c r="AZ185" s="105"/>
      <c r="BA185" s="105"/>
      <c r="BB185" s="105"/>
      <c r="BC185" s="105"/>
      <c r="BD185" s="108"/>
      <c r="BE185" s="83">
        <f>IF($A185="","",IF(TRIM($D185&amp;"")="",IF(TRIM($AX185&amp;$AY185&amp;$AZ185&amp;$BA185&amp;$BB185&amp;$BC185&amp;$BD185&amp;"")="","","SUBARRENDADO"),IFERROR(IF(VLOOKUP($D185,VEHICULOS!$A$3:$H$202,7,FALSE)="","",VLOOKUP($D185,VEHICULOS!$A$3:$H$202,7,FALSE)),"")))</f>
      </c>
      <c r="BF185" s="82">
        <f>IF($A185="","",IF(TRIM($BC185&amp;"")&lt;&gt;"",$BC185,IF(TRIM($D185&amp;"")="","",IFERROR(IF(VLOOKUP($D185,VEHICULOS!$A$3:$H$202,8,FALSE)="","",VLOOKUP($D185,VEHICULOS!$A$3:$H$202,8,FALSE)),""))))</f>
      </c>
      <c r="BG185" s="106"/>
      <c r="BH185" s="107"/>
      <c r="BI185" s="86">
        <f t="shared" si="30"/>
      </c>
      <c r="BJ185" s="83">
        <f t="shared" si="31"/>
      </c>
      <c r="BK185" s="85">
        <f t="shared" si="32"/>
      </c>
      <c r="BL185" s="85">
        <f t="shared" si="33"/>
      </c>
      <c r="BM185" s="108"/>
      <c r="BN185" s="85">
        <f t="shared" si="34"/>
      </c>
      <c r="BO185" s="108"/>
      <c r="BP185" s="85">
        <f t="shared" si="35"/>
      </c>
      <c r="BQ185" s="85">
        <f t="shared" si="36"/>
      </c>
      <c r="BR185" s="108"/>
      <c r="BS185" s="104"/>
      <c r="BT185" s="87">
        <f t="shared" si="37"/>
      </c>
      <c r="BU185" s="85">
        <f t="shared" si="38"/>
      </c>
      <c r="BV185" s="85">
        <f t="shared" si="39"/>
      </c>
      <c r="BW185" s="87">
        <f t="shared" si="40"/>
      </c>
      <c r="BX185" s="104"/>
      <c r="BY185" s="106"/>
      <c r="BZ185" s="104"/>
      <c r="CA185" s="105"/>
      <c r="CB185" s="77">
        <f>IF($A185="",0,IF($B185='FICHA CLIENTE'!$C$4,1,0))</f>
      </c>
      <c r="CC185" s="77">
        <f t="shared" si="41"/>
      </c>
      <c r="CD185" s="77">
        <f>IF($A185="",0,IF($D185='FICHA VEHICULO'!$C$4,1,0))</f>
      </c>
      <c r="CE185" s="77">
        <f t="shared" si="42"/>
      </c>
      <c r="CF185" s="77">
        <f t="shared" si="43"/>
      </c>
      <c r="CG185" s="77">
        <f t="shared" si="44"/>
      </c>
    </row>
    <row r="186" spans="1:85" ht="19.5" customHeight="1" x14ac:dyDescent="0.2">
      <c r="A186" s="104"/>
      <c r="B186" s="104"/>
      <c r="C186" s="105"/>
      <c r="D186" s="104"/>
      <c r="E186" s="105"/>
      <c r="F186" s="106"/>
      <c r="G186" s="104"/>
      <c r="H186" s="106"/>
      <c r="I186" s="107"/>
      <c r="J186" s="108"/>
      <c r="K186" s="108"/>
      <c r="L186" s="108"/>
      <c r="M186" s="105"/>
      <c r="N186" s="105"/>
      <c r="O186" s="105"/>
      <c r="P186" s="108"/>
      <c r="Q186" s="105"/>
      <c r="R186" s="105"/>
      <c r="S186" s="105"/>
      <c r="T186" s="105"/>
      <c r="U186" s="108"/>
      <c r="V186" s="105"/>
      <c r="W186" s="105"/>
      <c r="X186" s="105"/>
      <c r="Y186" s="105"/>
      <c r="Z186" s="105"/>
      <c r="AA186" s="108"/>
      <c r="AB186" s="108"/>
      <c r="AC186" s="105"/>
      <c r="AD186" s="279"/>
      <c r="AE186" s="105"/>
      <c r="AF186" s="279"/>
      <c r="AG186" s="105"/>
      <c r="AH186" s="108"/>
      <c r="AI186" s="108"/>
      <c r="AJ186" s="108"/>
      <c r="AK186" s="108"/>
      <c r="AL186" s="105"/>
      <c r="AM186" s="108"/>
      <c r="AN186" s="105"/>
      <c r="AO186" s="108"/>
      <c r="AP186" s="108"/>
      <c r="AQ186" s="105"/>
      <c r="AR186" s="108"/>
      <c r="AS186" s="108"/>
      <c r="AT186" s="105"/>
      <c r="AU186" s="105"/>
      <c r="AV186" s="105"/>
      <c r="AW186" s="105"/>
      <c r="AX186" s="105"/>
      <c r="AY186" s="105"/>
      <c r="AZ186" s="105"/>
      <c r="BA186" s="105"/>
      <c r="BB186" s="105"/>
      <c r="BC186" s="105"/>
      <c r="BD186" s="108"/>
      <c r="BE186" s="83">
        <f>IF($A186="","",IF(TRIM($D186&amp;"")="",IF(TRIM($AX186&amp;$AY186&amp;$AZ186&amp;$BA186&amp;$BB186&amp;$BC186&amp;$BD186&amp;"")="","","SUBARRENDADO"),IFERROR(IF(VLOOKUP($D186,VEHICULOS!$A$3:$H$202,7,FALSE)="","",VLOOKUP($D186,VEHICULOS!$A$3:$H$202,7,FALSE)),"")))</f>
      </c>
      <c r="BF186" s="82">
        <f>IF($A186="","",IF(TRIM($BC186&amp;"")&lt;&gt;"",$BC186,IF(TRIM($D186&amp;"")="","",IFERROR(IF(VLOOKUP($D186,VEHICULOS!$A$3:$H$202,8,FALSE)="","",VLOOKUP($D186,VEHICULOS!$A$3:$H$202,8,FALSE)),""))))</f>
      </c>
      <c r="BG186" s="106"/>
      <c r="BH186" s="107"/>
      <c r="BI186" s="86">
        <f t="shared" si="30"/>
      </c>
      <c r="BJ186" s="83">
        <f t="shared" si="31"/>
      </c>
      <c r="BK186" s="85">
        <f t="shared" si="32"/>
      </c>
      <c r="BL186" s="85">
        <f t="shared" si="33"/>
      </c>
      <c r="BM186" s="108"/>
      <c r="BN186" s="85">
        <f t="shared" si="34"/>
      </c>
      <c r="BO186" s="108"/>
      <c r="BP186" s="85">
        <f t="shared" si="35"/>
      </c>
      <c r="BQ186" s="85">
        <f t="shared" si="36"/>
      </c>
      <c r="BR186" s="108"/>
      <c r="BS186" s="104"/>
      <c r="BT186" s="87">
        <f t="shared" si="37"/>
      </c>
      <c r="BU186" s="85">
        <f t="shared" si="38"/>
      </c>
      <c r="BV186" s="85">
        <f t="shared" si="39"/>
      </c>
      <c r="BW186" s="87">
        <f t="shared" si="40"/>
      </c>
      <c r="BX186" s="104"/>
      <c r="BY186" s="106"/>
      <c r="BZ186" s="104"/>
      <c r="CA186" s="105"/>
      <c r="CB186" s="77">
        <f>IF($A186="",0,IF($B186='FICHA CLIENTE'!$C$4,1,0))</f>
      </c>
      <c r="CC186" s="77">
        <f t="shared" si="41"/>
      </c>
      <c r="CD186" s="77">
        <f>IF($A186="",0,IF($D186='FICHA VEHICULO'!$C$4,1,0))</f>
      </c>
      <c r="CE186" s="77">
        <f t="shared" si="42"/>
      </c>
      <c r="CF186" s="77">
        <f t="shared" si="43"/>
      </c>
      <c r="CG186" s="77">
        <f t="shared" si="44"/>
      </c>
    </row>
    <row r="187" spans="1:85" ht="19.5" customHeight="1" x14ac:dyDescent="0.2">
      <c r="A187" s="104"/>
      <c r="B187" s="104"/>
      <c r="C187" s="105"/>
      <c r="D187" s="104"/>
      <c r="E187" s="105"/>
      <c r="F187" s="106"/>
      <c r="G187" s="104"/>
      <c r="H187" s="106"/>
      <c r="I187" s="107"/>
      <c r="J187" s="108"/>
      <c r="K187" s="108"/>
      <c r="L187" s="108"/>
      <c r="M187" s="105"/>
      <c r="N187" s="105"/>
      <c r="O187" s="105"/>
      <c r="P187" s="108"/>
      <c r="Q187" s="105"/>
      <c r="R187" s="105"/>
      <c r="S187" s="105"/>
      <c r="T187" s="105"/>
      <c r="U187" s="108"/>
      <c r="V187" s="105"/>
      <c r="W187" s="105"/>
      <c r="X187" s="105"/>
      <c r="Y187" s="105"/>
      <c r="Z187" s="105"/>
      <c r="AA187" s="108"/>
      <c r="AB187" s="108"/>
      <c r="AC187" s="105"/>
      <c r="AD187" s="279"/>
      <c r="AE187" s="105"/>
      <c r="AF187" s="279"/>
      <c r="AG187" s="105"/>
      <c r="AH187" s="108"/>
      <c r="AI187" s="108"/>
      <c r="AJ187" s="108"/>
      <c r="AK187" s="108"/>
      <c r="AL187" s="105"/>
      <c r="AM187" s="108"/>
      <c r="AN187" s="105"/>
      <c r="AO187" s="108"/>
      <c r="AP187" s="108"/>
      <c r="AQ187" s="105"/>
      <c r="AR187" s="108"/>
      <c r="AS187" s="108"/>
      <c r="AT187" s="105"/>
      <c r="AU187" s="105"/>
      <c r="AV187" s="105"/>
      <c r="AW187" s="105"/>
      <c r="AX187" s="105"/>
      <c r="AY187" s="105"/>
      <c r="AZ187" s="105"/>
      <c r="BA187" s="105"/>
      <c r="BB187" s="105"/>
      <c r="BC187" s="105"/>
      <c r="BD187" s="108"/>
      <c r="BE187" s="83">
        <f>IF($A187="","",IF(TRIM($D187&amp;"")="",IF(TRIM($AX187&amp;$AY187&amp;$AZ187&amp;$BA187&amp;$BB187&amp;$BC187&amp;$BD187&amp;"")="","","SUBARRENDADO"),IFERROR(IF(VLOOKUP($D187,VEHICULOS!$A$3:$H$202,7,FALSE)="","",VLOOKUP($D187,VEHICULOS!$A$3:$H$202,7,FALSE)),"")))</f>
      </c>
      <c r="BF187" s="82">
        <f>IF($A187="","",IF(TRIM($BC187&amp;"")&lt;&gt;"",$BC187,IF(TRIM($D187&amp;"")="","",IFERROR(IF(VLOOKUP($D187,VEHICULOS!$A$3:$H$202,8,FALSE)="","",VLOOKUP($D187,VEHICULOS!$A$3:$H$202,8,FALSE)),""))))</f>
      </c>
      <c r="BG187" s="106"/>
      <c r="BH187" s="107"/>
      <c r="BI187" s="86">
        <f t="shared" si="30"/>
      </c>
      <c r="BJ187" s="83">
        <f t="shared" si="31"/>
      </c>
      <c r="BK187" s="85">
        <f t="shared" si="32"/>
      </c>
      <c r="BL187" s="85">
        <f t="shared" si="33"/>
      </c>
      <c r="BM187" s="108"/>
      <c r="BN187" s="85">
        <f t="shared" si="34"/>
      </c>
      <c r="BO187" s="108"/>
      <c r="BP187" s="85">
        <f t="shared" si="35"/>
      </c>
      <c r="BQ187" s="85">
        <f t="shared" si="36"/>
      </c>
      <c r="BR187" s="108"/>
      <c r="BS187" s="104"/>
      <c r="BT187" s="87">
        <f t="shared" si="37"/>
      </c>
      <c r="BU187" s="85">
        <f t="shared" si="38"/>
      </c>
      <c r="BV187" s="85">
        <f t="shared" si="39"/>
      </c>
      <c r="BW187" s="87">
        <f t="shared" si="40"/>
      </c>
      <c r="BX187" s="104"/>
      <c r="BY187" s="106"/>
      <c r="BZ187" s="104"/>
      <c r="CA187" s="105"/>
      <c r="CB187" s="77">
        <f>IF($A187="",0,IF($B187='FICHA CLIENTE'!$C$4,1,0))</f>
      </c>
      <c r="CC187" s="77">
        <f t="shared" si="41"/>
      </c>
      <c r="CD187" s="77">
        <f>IF($A187="",0,IF($D187='FICHA VEHICULO'!$C$4,1,0))</f>
      </c>
      <c r="CE187" s="77">
        <f t="shared" si="42"/>
      </c>
      <c r="CF187" s="77">
        <f t="shared" si="43"/>
      </c>
      <c r="CG187" s="77">
        <f t="shared" si="44"/>
      </c>
    </row>
    <row r="188" spans="1:85" ht="19.5" customHeight="1" x14ac:dyDescent="0.2">
      <c r="A188" s="104"/>
      <c r="B188" s="104"/>
      <c r="C188" s="105"/>
      <c r="D188" s="104"/>
      <c r="E188" s="105"/>
      <c r="F188" s="106"/>
      <c r="G188" s="104"/>
      <c r="H188" s="106"/>
      <c r="I188" s="107"/>
      <c r="J188" s="108"/>
      <c r="K188" s="108"/>
      <c r="L188" s="108"/>
      <c r="M188" s="105"/>
      <c r="N188" s="105"/>
      <c r="O188" s="105"/>
      <c r="P188" s="108"/>
      <c r="Q188" s="105"/>
      <c r="R188" s="105"/>
      <c r="S188" s="105"/>
      <c r="T188" s="105"/>
      <c r="U188" s="108"/>
      <c r="V188" s="105"/>
      <c r="W188" s="105"/>
      <c r="X188" s="105"/>
      <c r="Y188" s="105"/>
      <c r="Z188" s="105"/>
      <c r="AA188" s="108"/>
      <c r="AB188" s="108"/>
      <c r="AC188" s="105"/>
      <c r="AD188" s="279"/>
      <c r="AE188" s="105"/>
      <c r="AF188" s="279"/>
      <c r="AG188" s="105"/>
      <c r="AH188" s="108"/>
      <c r="AI188" s="108"/>
      <c r="AJ188" s="108"/>
      <c r="AK188" s="108"/>
      <c r="AL188" s="105"/>
      <c r="AM188" s="108"/>
      <c r="AN188" s="105"/>
      <c r="AO188" s="108"/>
      <c r="AP188" s="108"/>
      <c r="AQ188" s="105"/>
      <c r="AR188" s="108"/>
      <c r="AS188" s="108"/>
      <c r="AT188" s="105"/>
      <c r="AU188" s="105"/>
      <c r="AV188" s="105"/>
      <c r="AW188" s="105"/>
      <c r="AX188" s="105"/>
      <c r="AY188" s="105"/>
      <c r="AZ188" s="105"/>
      <c r="BA188" s="105"/>
      <c r="BB188" s="105"/>
      <c r="BC188" s="105"/>
      <c r="BD188" s="108"/>
      <c r="BE188" s="83">
        <f>IF($A188="","",IF(TRIM($D188&amp;"")="",IF(TRIM($AX188&amp;$AY188&amp;$AZ188&amp;$BA188&amp;$BB188&amp;$BC188&amp;$BD188&amp;"")="","","SUBARRENDADO"),IFERROR(IF(VLOOKUP($D188,VEHICULOS!$A$3:$H$202,7,FALSE)="","",VLOOKUP($D188,VEHICULOS!$A$3:$H$202,7,FALSE)),"")))</f>
      </c>
      <c r="BF188" s="82">
        <f>IF($A188="","",IF(TRIM($BC188&amp;"")&lt;&gt;"",$BC188,IF(TRIM($D188&amp;"")="","",IFERROR(IF(VLOOKUP($D188,VEHICULOS!$A$3:$H$202,8,FALSE)="","",VLOOKUP($D188,VEHICULOS!$A$3:$H$202,8,FALSE)),""))))</f>
      </c>
      <c r="BG188" s="106"/>
      <c r="BH188" s="107"/>
      <c r="BI188" s="86">
        <f t="shared" si="30"/>
      </c>
      <c r="BJ188" s="83">
        <f t="shared" si="31"/>
      </c>
      <c r="BK188" s="85">
        <f t="shared" si="32"/>
      </c>
      <c r="BL188" s="85">
        <f t="shared" si="33"/>
      </c>
      <c r="BM188" s="108"/>
      <c r="BN188" s="85">
        <f t="shared" si="34"/>
      </c>
      <c r="BO188" s="108"/>
      <c r="BP188" s="85">
        <f t="shared" si="35"/>
      </c>
      <c r="BQ188" s="85">
        <f t="shared" si="36"/>
      </c>
      <c r="BR188" s="108"/>
      <c r="BS188" s="104"/>
      <c r="BT188" s="87">
        <f t="shared" si="37"/>
      </c>
      <c r="BU188" s="85">
        <f t="shared" si="38"/>
      </c>
      <c r="BV188" s="85">
        <f t="shared" si="39"/>
      </c>
      <c r="BW188" s="87">
        <f t="shared" si="40"/>
      </c>
      <c r="BX188" s="104"/>
      <c r="BY188" s="106"/>
      <c r="BZ188" s="104"/>
      <c r="CA188" s="105"/>
      <c r="CB188" s="77">
        <f>IF($A188="",0,IF($B188='FICHA CLIENTE'!$C$4,1,0))</f>
      </c>
      <c r="CC188" s="77">
        <f t="shared" si="41"/>
      </c>
      <c r="CD188" s="77">
        <f>IF($A188="",0,IF($D188='FICHA VEHICULO'!$C$4,1,0))</f>
      </c>
      <c r="CE188" s="77">
        <f t="shared" si="42"/>
      </c>
      <c r="CF188" s="77">
        <f t="shared" si="43"/>
      </c>
      <c r="CG188" s="77">
        <f t="shared" si="44"/>
      </c>
    </row>
    <row r="189" spans="1:85" ht="19.5" customHeight="1" x14ac:dyDescent="0.2">
      <c r="A189" s="104"/>
      <c r="B189" s="104"/>
      <c r="C189" s="105"/>
      <c r="D189" s="104"/>
      <c r="E189" s="105"/>
      <c r="F189" s="106"/>
      <c r="G189" s="104"/>
      <c r="H189" s="106"/>
      <c r="I189" s="107"/>
      <c r="J189" s="108"/>
      <c r="K189" s="108"/>
      <c r="L189" s="108"/>
      <c r="M189" s="105"/>
      <c r="N189" s="105"/>
      <c r="O189" s="105"/>
      <c r="P189" s="108"/>
      <c r="Q189" s="105"/>
      <c r="R189" s="105"/>
      <c r="S189" s="105"/>
      <c r="T189" s="105"/>
      <c r="U189" s="108"/>
      <c r="V189" s="105"/>
      <c r="W189" s="105"/>
      <c r="X189" s="105"/>
      <c r="Y189" s="105"/>
      <c r="Z189" s="105"/>
      <c r="AA189" s="108"/>
      <c r="AB189" s="108"/>
      <c r="AC189" s="105"/>
      <c r="AD189" s="279"/>
      <c r="AE189" s="105"/>
      <c r="AF189" s="279"/>
      <c r="AG189" s="105"/>
      <c r="AH189" s="108"/>
      <c r="AI189" s="108"/>
      <c r="AJ189" s="108"/>
      <c r="AK189" s="108"/>
      <c r="AL189" s="105"/>
      <c r="AM189" s="108"/>
      <c r="AN189" s="105"/>
      <c r="AO189" s="108"/>
      <c r="AP189" s="108"/>
      <c r="AQ189" s="105"/>
      <c r="AR189" s="108"/>
      <c r="AS189" s="108"/>
      <c r="AT189" s="105"/>
      <c r="AU189" s="105"/>
      <c r="AV189" s="105"/>
      <c r="AW189" s="105"/>
      <c r="AX189" s="105"/>
      <c r="AY189" s="105"/>
      <c r="AZ189" s="105"/>
      <c r="BA189" s="105"/>
      <c r="BB189" s="105"/>
      <c r="BC189" s="105"/>
      <c r="BD189" s="108"/>
      <c r="BE189" s="83">
        <f>IF($A189="","",IF(TRIM($D189&amp;"")="",IF(TRIM($AX189&amp;$AY189&amp;$AZ189&amp;$BA189&amp;$BB189&amp;$BC189&amp;$BD189&amp;"")="","","SUBARRENDADO"),IFERROR(IF(VLOOKUP($D189,VEHICULOS!$A$3:$H$202,7,FALSE)="","",VLOOKUP($D189,VEHICULOS!$A$3:$H$202,7,FALSE)),"")))</f>
      </c>
      <c r="BF189" s="82">
        <f>IF($A189="","",IF(TRIM($BC189&amp;"")&lt;&gt;"",$BC189,IF(TRIM($D189&amp;"")="","",IFERROR(IF(VLOOKUP($D189,VEHICULOS!$A$3:$H$202,8,FALSE)="","",VLOOKUP($D189,VEHICULOS!$A$3:$H$202,8,FALSE)),""))))</f>
      </c>
      <c r="BG189" s="106"/>
      <c r="BH189" s="107"/>
      <c r="BI189" s="86">
        <f t="shared" si="30"/>
      </c>
      <c r="BJ189" s="83">
        <f t="shared" si="31"/>
      </c>
      <c r="BK189" s="85">
        <f t="shared" si="32"/>
      </c>
      <c r="BL189" s="85">
        <f t="shared" si="33"/>
      </c>
      <c r="BM189" s="108"/>
      <c r="BN189" s="85">
        <f t="shared" si="34"/>
      </c>
      <c r="BO189" s="108"/>
      <c r="BP189" s="85">
        <f t="shared" si="35"/>
      </c>
      <c r="BQ189" s="85">
        <f t="shared" si="36"/>
      </c>
      <c r="BR189" s="108"/>
      <c r="BS189" s="104"/>
      <c r="BT189" s="87">
        <f t="shared" si="37"/>
      </c>
      <c r="BU189" s="85">
        <f t="shared" si="38"/>
      </c>
      <c r="BV189" s="85">
        <f t="shared" si="39"/>
      </c>
      <c r="BW189" s="87">
        <f t="shared" si="40"/>
      </c>
      <c r="BX189" s="104"/>
      <c r="BY189" s="106"/>
      <c r="BZ189" s="104"/>
      <c r="CA189" s="105"/>
      <c r="CB189" s="77">
        <f>IF($A189="",0,IF($B189='FICHA CLIENTE'!$C$4,1,0))</f>
      </c>
      <c r="CC189" s="77">
        <f t="shared" si="41"/>
      </c>
      <c r="CD189" s="77">
        <f>IF($A189="",0,IF($D189='FICHA VEHICULO'!$C$4,1,0))</f>
      </c>
      <c r="CE189" s="77">
        <f t="shared" si="42"/>
      </c>
      <c r="CF189" s="77">
        <f t="shared" si="43"/>
      </c>
      <c r="CG189" s="77">
        <f t="shared" si="44"/>
      </c>
    </row>
    <row r="190" spans="1:85" ht="19.5" customHeight="1" x14ac:dyDescent="0.2">
      <c r="A190" s="104"/>
      <c r="B190" s="104"/>
      <c r="C190" s="105"/>
      <c r="D190" s="104"/>
      <c r="E190" s="105"/>
      <c r="F190" s="106"/>
      <c r="G190" s="104"/>
      <c r="H190" s="106"/>
      <c r="I190" s="107"/>
      <c r="J190" s="108"/>
      <c r="K190" s="108"/>
      <c r="L190" s="108"/>
      <c r="M190" s="105"/>
      <c r="N190" s="105"/>
      <c r="O190" s="105"/>
      <c r="P190" s="108"/>
      <c r="Q190" s="105"/>
      <c r="R190" s="105"/>
      <c r="S190" s="105"/>
      <c r="T190" s="105"/>
      <c r="U190" s="108"/>
      <c r="V190" s="105"/>
      <c r="W190" s="105"/>
      <c r="X190" s="105"/>
      <c r="Y190" s="105"/>
      <c r="Z190" s="105"/>
      <c r="AA190" s="108"/>
      <c r="AB190" s="108"/>
      <c r="AC190" s="105"/>
      <c r="AD190" s="279"/>
      <c r="AE190" s="105"/>
      <c r="AF190" s="279"/>
      <c r="AG190" s="105"/>
      <c r="AH190" s="108"/>
      <c r="AI190" s="108"/>
      <c r="AJ190" s="108"/>
      <c r="AK190" s="108"/>
      <c r="AL190" s="105"/>
      <c r="AM190" s="108"/>
      <c r="AN190" s="105"/>
      <c r="AO190" s="108"/>
      <c r="AP190" s="108"/>
      <c r="AQ190" s="105"/>
      <c r="AR190" s="108"/>
      <c r="AS190" s="108"/>
      <c r="AT190" s="105"/>
      <c r="AU190" s="105"/>
      <c r="AV190" s="105"/>
      <c r="AW190" s="105"/>
      <c r="AX190" s="105"/>
      <c r="AY190" s="105"/>
      <c r="AZ190" s="105"/>
      <c r="BA190" s="105"/>
      <c r="BB190" s="105"/>
      <c r="BC190" s="105"/>
      <c r="BD190" s="108"/>
      <c r="BE190" s="83">
        <f>IF($A190="","",IF(TRIM($D190&amp;"")="",IF(TRIM($AX190&amp;$AY190&amp;$AZ190&amp;$BA190&amp;$BB190&amp;$BC190&amp;$BD190&amp;"")="","","SUBARRENDADO"),IFERROR(IF(VLOOKUP($D190,VEHICULOS!$A$3:$H$202,7,FALSE)="","",VLOOKUP($D190,VEHICULOS!$A$3:$H$202,7,FALSE)),"")))</f>
      </c>
      <c r="BF190" s="82">
        <f>IF($A190="","",IF(TRIM($BC190&amp;"")&lt;&gt;"",$BC190,IF(TRIM($D190&amp;"")="","",IFERROR(IF(VLOOKUP($D190,VEHICULOS!$A$3:$H$202,8,FALSE)="","",VLOOKUP($D190,VEHICULOS!$A$3:$H$202,8,FALSE)),""))))</f>
      </c>
      <c r="BG190" s="106"/>
      <c r="BH190" s="107"/>
      <c r="BI190" s="86">
        <f t="shared" si="30"/>
      </c>
      <c r="BJ190" s="83">
        <f t="shared" si="31"/>
      </c>
      <c r="BK190" s="85">
        <f t="shared" si="32"/>
      </c>
      <c r="BL190" s="85">
        <f t="shared" si="33"/>
      </c>
      <c r="BM190" s="108"/>
      <c r="BN190" s="85">
        <f t="shared" si="34"/>
      </c>
      <c r="BO190" s="108"/>
      <c r="BP190" s="85">
        <f t="shared" si="35"/>
      </c>
      <c r="BQ190" s="85">
        <f t="shared" si="36"/>
      </c>
      <c r="BR190" s="108"/>
      <c r="BS190" s="104"/>
      <c r="BT190" s="87">
        <f t="shared" si="37"/>
      </c>
      <c r="BU190" s="85">
        <f t="shared" si="38"/>
      </c>
      <c r="BV190" s="85">
        <f t="shared" si="39"/>
      </c>
      <c r="BW190" s="87">
        <f t="shared" si="40"/>
      </c>
      <c r="BX190" s="104"/>
      <c r="BY190" s="106"/>
      <c r="BZ190" s="104"/>
      <c r="CA190" s="105"/>
      <c r="CB190" s="77">
        <f>IF($A190="",0,IF($B190='FICHA CLIENTE'!$C$4,1,0))</f>
      </c>
      <c r="CC190" s="77">
        <f t="shared" si="41"/>
      </c>
      <c r="CD190" s="77">
        <f>IF($A190="",0,IF($D190='FICHA VEHICULO'!$C$4,1,0))</f>
      </c>
      <c r="CE190" s="77">
        <f t="shared" si="42"/>
      </c>
      <c r="CF190" s="77">
        <f t="shared" si="43"/>
      </c>
      <c r="CG190" s="77">
        <f t="shared" si="44"/>
      </c>
    </row>
    <row r="191" spans="1:85" ht="19.5" customHeight="1" x14ac:dyDescent="0.2">
      <c r="A191" s="104"/>
      <c r="B191" s="104"/>
      <c r="C191" s="105"/>
      <c r="D191" s="104"/>
      <c r="E191" s="105"/>
      <c r="F191" s="106"/>
      <c r="G191" s="104"/>
      <c r="H191" s="106"/>
      <c r="I191" s="107"/>
      <c r="J191" s="108"/>
      <c r="K191" s="108"/>
      <c r="L191" s="108"/>
      <c r="M191" s="105"/>
      <c r="N191" s="105"/>
      <c r="O191" s="105"/>
      <c r="P191" s="108"/>
      <c r="Q191" s="105"/>
      <c r="R191" s="105"/>
      <c r="S191" s="105"/>
      <c r="T191" s="105"/>
      <c r="U191" s="108"/>
      <c r="V191" s="105"/>
      <c r="W191" s="105"/>
      <c r="X191" s="105"/>
      <c r="Y191" s="105"/>
      <c r="Z191" s="105"/>
      <c r="AA191" s="108"/>
      <c r="AB191" s="108"/>
      <c r="AC191" s="105"/>
      <c r="AD191" s="279"/>
      <c r="AE191" s="105"/>
      <c r="AF191" s="279"/>
      <c r="AG191" s="105"/>
      <c r="AH191" s="108"/>
      <c r="AI191" s="108"/>
      <c r="AJ191" s="108"/>
      <c r="AK191" s="108"/>
      <c r="AL191" s="105"/>
      <c r="AM191" s="108"/>
      <c r="AN191" s="105"/>
      <c r="AO191" s="108"/>
      <c r="AP191" s="108"/>
      <c r="AQ191" s="105"/>
      <c r="AR191" s="108"/>
      <c r="AS191" s="108"/>
      <c r="AT191" s="105"/>
      <c r="AU191" s="105"/>
      <c r="AV191" s="105"/>
      <c r="AW191" s="105"/>
      <c r="AX191" s="105"/>
      <c r="AY191" s="105"/>
      <c r="AZ191" s="105"/>
      <c r="BA191" s="105"/>
      <c r="BB191" s="105"/>
      <c r="BC191" s="105"/>
      <c r="BD191" s="108"/>
      <c r="BE191" s="83">
        <f>IF($A191="","",IF(TRIM($D191&amp;"")="",IF(TRIM($AX191&amp;$AY191&amp;$AZ191&amp;$BA191&amp;$BB191&amp;$BC191&amp;$BD191&amp;"")="","","SUBARRENDADO"),IFERROR(IF(VLOOKUP($D191,VEHICULOS!$A$3:$H$202,7,FALSE)="","",VLOOKUP($D191,VEHICULOS!$A$3:$H$202,7,FALSE)),"")))</f>
      </c>
      <c r="BF191" s="82">
        <f>IF($A191="","",IF(TRIM($BC191&amp;"")&lt;&gt;"",$BC191,IF(TRIM($D191&amp;"")="","",IFERROR(IF(VLOOKUP($D191,VEHICULOS!$A$3:$H$202,8,FALSE)="","",VLOOKUP($D191,VEHICULOS!$A$3:$H$202,8,FALSE)),""))))</f>
      </c>
      <c r="BG191" s="106"/>
      <c r="BH191" s="107"/>
      <c r="BI191" s="86">
        <f t="shared" si="30"/>
      </c>
      <c r="BJ191" s="83">
        <f t="shared" si="31"/>
      </c>
      <c r="BK191" s="85">
        <f t="shared" si="32"/>
      </c>
      <c r="BL191" s="85">
        <f t="shared" si="33"/>
      </c>
      <c r="BM191" s="108"/>
      <c r="BN191" s="85">
        <f t="shared" si="34"/>
      </c>
      <c r="BO191" s="108"/>
      <c r="BP191" s="85">
        <f t="shared" si="35"/>
      </c>
      <c r="BQ191" s="85">
        <f t="shared" si="36"/>
      </c>
      <c r="BR191" s="108"/>
      <c r="BS191" s="104"/>
      <c r="BT191" s="87">
        <f t="shared" si="37"/>
      </c>
      <c r="BU191" s="85">
        <f t="shared" si="38"/>
      </c>
      <c r="BV191" s="85">
        <f t="shared" si="39"/>
      </c>
      <c r="BW191" s="87">
        <f t="shared" si="40"/>
      </c>
      <c r="BX191" s="104"/>
      <c r="BY191" s="106"/>
      <c r="BZ191" s="104"/>
      <c r="CA191" s="105"/>
      <c r="CB191" s="77">
        <f>IF($A191="",0,IF($B191='FICHA CLIENTE'!$C$4,1,0))</f>
      </c>
      <c r="CC191" s="77">
        <f t="shared" si="41"/>
      </c>
      <c r="CD191" s="77">
        <f>IF($A191="",0,IF($D191='FICHA VEHICULO'!$C$4,1,0))</f>
      </c>
      <c r="CE191" s="77">
        <f t="shared" si="42"/>
      </c>
      <c r="CF191" s="77">
        <f t="shared" si="43"/>
      </c>
      <c r="CG191" s="77">
        <f t="shared" si="44"/>
      </c>
    </row>
    <row r="192" spans="1:85" ht="19.5" customHeight="1" x14ac:dyDescent="0.2">
      <c r="A192" s="104"/>
      <c r="B192" s="104"/>
      <c r="C192" s="105"/>
      <c r="D192" s="104"/>
      <c r="E192" s="105"/>
      <c r="F192" s="106"/>
      <c r="G192" s="104"/>
      <c r="H192" s="106"/>
      <c r="I192" s="107"/>
      <c r="J192" s="108"/>
      <c r="K192" s="108"/>
      <c r="L192" s="108"/>
      <c r="M192" s="105"/>
      <c r="N192" s="105"/>
      <c r="O192" s="105"/>
      <c r="P192" s="108"/>
      <c r="Q192" s="105"/>
      <c r="R192" s="105"/>
      <c r="S192" s="105"/>
      <c r="T192" s="105"/>
      <c r="U192" s="108"/>
      <c r="V192" s="105"/>
      <c r="W192" s="105"/>
      <c r="X192" s="105"/>
      <c r="Y192" s="105"/>
      <c r="Z192" s="105"/>
      <c r="AA192" s="108"/>
      <c r="AB192" s="108"/>
      <c r="AC192" s="105"/>
      <c r="AD192" s="279"/>
      <c r="AE192" s="105"/>
      <c r="AF192" s="279"/>
      <c r="AG192" s="105"/>
      <c r="AH192" s="108"/>
      <c r="AI192" s="108"/>
      <c r="AJ192" s="108"/>
      <c r="AK192" s="108"/>
      <c r="AL192" s="105"/>
      <c r="AM192" s="108"/>
      <c r="AN192" s="105"/>
      <c r="AO192" s="108"/>
      <c r="AP192" s="108"/>
      <c r="AQ192" s="105"/>
      <c r="AR192" s="108"/>
      <c r="AS192" s="108"/>
      <c r="AT192" s="105"/>
      <c r="AU192" s="105"/>
      <c r="AV192" s="105"/>
      <c r="AW192" s="105"/>
      <c r="AX192" s="105"/>
      <c r="AY192" s="105"/>
      <c r="AZ192" s="105"/>
      <c r="BA192" s="105"/>
      <c r="BB192" s="105"/>
      <c r="BC192" s="105"/>
      <c r="BD192" s="108"/>
      <c r="BE192" s="83">
        <f>IF($A192="","",IF(TRIM($D192&amp;"")="",IF(TRIM($AX192&amp;$AY192&amp;$AZ192&amp;$BA192&amp;$BB192&amp;$BC192&amp;$BD192&amp;"")="","","SUBARRENDADO"),IFERROR(IF(VLOOKUP($D192,VEHICULOS!$A$3:$H$202,7,FALSE)="","",VLOOKUP($D192,VEHICULOS!$A$3:$H$202,7,FALSE)),"")))</f>
      </c>
      <c r="BF192" s="82">
        <f>IF($A192="","",IF(TRIM($BC192&amp;"")&lt;&gt;"",$BC192,IF(TRIM($D192&amp;"")="","",IFERROR(IF(VLOOKUP($D192,VEHICULOS!$A$3:$H$202,8,FALSE)="","",VLOOKUP($D192,VEHICULOS!$A$3:$H$202,8,FALSE)),""))))</f>
      </c>
      <c r="BG192" s="106"/>
      <c r="BH192" s="107"/>
      <c r="BI192" s="86">
        <f t="shared" si="30"/>
      </c>
      <c r="BJ192" s="83">
        <f t="shared" si="31"/>
      </c>
      <c r="BK192" s="85">
        <f t="shared" si="32"/>
      </c>
      <c r="BL192" s="85">
        <f t="shared" si="33"/>
      </c>
      <c r="BM192" s="108"/>
      <c r="BN192" s="85">
        <f t="shared" si="34"/>
      </c>
      <c r="BO192" s="108"/>
      <c r="BP192" s="85">
        <f t="shared" si="35"/>
      </c>
      <c r="BQ192" s="85">
        <f t="shared" si="36"/>
      </c>
      <c r="BR192" s="108"/>
      <c r="BS192" s="104"/>
      <c r="BT192" s="87">
        <f t="shared" si="37"/>
      </c>
      <c r="BU192" s="85">
        <f t="shared" si="38"/>
      </c>
      <c r="BV192" s="85">
        <f t="shared" si="39"/>
      </c>
      <c r="BW192" s="87">
        <f t="shared" si="40"/>
      </c>
      <c r="BX192" s="104"/>
      <c r="BY192" s="106"/>
      <c r="BZ192" s="104"/>
      <c r="CA192" s="105"/>
      <c r="CB192" s="77">
        <f>IF($A192="",0,IF($B192='FICHA CLIENTE'!$C$4,1,0))</f>
      </c>
      <c r="CC192" s="77">
        <f t="shared" si="41"/>
      </c>
      <c r="CD192" s="77">
        <f>IF($A192="",0,IF($D192='FICHA VEHICULO'!$C$4,1,0))</f>
      </c>
      <c r="CE192" s="77">
        <f t="shared" si="42"/>
      </c>
      <c r="CF192" s="77">
        <f t="shared" si="43"/>
      </c>
      <c r="CG192" s="77">
        <f t="shared" si="44"/>
      </c>
    </row>
    <row r="193" spans="1:85" ht="19.5" customHeight="1" x14ac:dyDescent="0.2">
      <c r="A193" s="104"/>
      <c r="B193" s="104"/>
      <c r="C193" s="105"/>
      <c r="D193" s="104"/>
      <c r="E193" s="105"/>
      <c r="F193" s="106"/>
      <c r="G193" s="104"/>
      <c r="H193" s="106"/>
      <c r="I193" s="107"/>
      <c r="J193" s="108"/>
      <c r="K193" s="108"/>
      <c r="L193" s="108"/>
      <c r="M193" s="105"/>
      <c r="N193" s="105"/>
      <c r="O193" s="105"/>
      <c r="P193" s="108"/>
      <c r="Q193" s="105"/>
      <c r="R193" s="105"/>
      <c r="S193" s="105"/>
      <c r="T193" s="105"/>
      <c r="U193" s="108"/>
      <c r="V193" s="105"/>
      <c r="W193" s="105"/>
      <c r="X193" s="105"/>
      <c r="Y193" s="105"/>
      <c r="Z193" s="105"/>
      <c r="AA193" s="108"/>
      <c r="AB193" s="108"/>
      <c r="AC193" s="105"/>
      <c r="AD193" s="279"/>
      <c r="AE193" s="105"/>
      <c r="AF193" s="279"/>
      <c r="AG193" s="105"/>
      <c r="AH193" s="108"/>
      <c r="AI193" s="108"/>
      <c r="AJ193" s="108"/>
      <c r="AK193" s="108"/>
      <c r="AL193" s="105"/>
      <c r="AM193" s="108"/>
      <c r="AN193" s="105"/>
      <c r="AO193" s="108"/>
      <c r="AP193" s="108"/>
      <c r="AQ193" s="105"/>
      <c r="AR193" s="108"/>
      <c r="AS193" s="108"/>
      <c r="AT193" s="105"/>
      <c r="AU193" s="105"/>
      <c r="AV193" s="105"/>
      <c r="AW193" s="105"/>
      <c r="AX193" s="105"/>
      <c r="AY193" s="105"/>
      <c r="AZ193" s="105"/>
      <c r="BA193" s="105"/>
      <c r="BB193" s="105"/>
      <c r="BC193" s="105"/>
      <c r="BD193" s="108"/>
      <c r="BE193" s="83">
        <f>IF($A193="","",IF(TRIM($D193&amp;"")="",IF(TRIM($AX193&amp;$AY193&amp;$AZ193&amp;$BA193&amp;$BB193&amp;$BC193&amp;$BD193&amp;"")="","","SUBARRENDADO"),IFERROR(IF(VLOOKUP($D193,VEHICULOS!$A$3:$H$202,7,FALSE)="","",VLOOKUP($D193,VEHICULOS!$A$3:$H$202,7,FALSE)),"")))</f>
      </c>
      <c r="BF193" s="82">
        <f>IF($A193="","",IF(TRIM($BC193&amp;"")&lt;&gt;"",$BC193,IF(TRIM($D193&amp;"")="","",IFERROR(IF(VLOOKUP($D193,VEHICULOS!$A$3:$H$202,8,FALSE)="","",VLOOKUP($D193,VEHICULOS!$A$3:$H$202,8,FALSE)),""))))</f>
      </c>
      <c r="BG193" s="106"/>
      <c r="BH193" s="107"/>
      <c r="BI193" s="86">
        <f t="shared" si="30"/>
      </c>
      <c r="BJ193" s="83">
        <f t="shared" si="31"/>
      </c>
      <c r="BK193" s="85">
        <f t="shared" si="32"/>
      </c>
      <c r="BL193" s="85">
        <f t="shared" si="33"/>
      </c>
      <c r="BM193" s="108"/>
      <c r="BN193" s="85">
        <f t="shared" si="34"/>
      </c>
      <c r="BO193" s="108"/>
      <c r="BP193" s="85">
        <f t="shared" si="35"/>
      </c>
      <c r="BQ193" s="85">
        <f t="shared" si="36"/>
      </c>
      <c r="BR193" s="108"/>
      <c r="BS193" s="104"/>
      <c r="BT193" s="87">
        <f t="shared" si="37"/>
      </c>
      <c r="BU193" s="85">
        <f t="shared" si="38"/>
      </c>
      <c r="BV193" s="85">
        <f t="shared" si="39"/>
      </c>
      <c r="BW193" s="87">
        <f t="shared" si="40"/>
      </c>
      <c r="BX193" s="104"/>
      <c r="BY193" s="106"/>
      <c r="BZ193" s="104"/>
      <c r="CA193" s="105"/>
      <c r="CB193" s="77">
        <f>IF($A193="",0,IF($B193='FICHA CLIENTE'!$C$4,1,0))</f>
      </c>
      <c r="CC193" s="77">
        <f t="shared" si="41"/>
      </c>
      <c r="CD193" s="77">
        <f>IF($A193="",0,IF($D193='FICHA VEHICULO'!$C$4,1,0))</f>
      </c>
      <c r="CE193" s="77">
        <f t="shared" si="42"/>
      </c>
      <c r="CF193" s="77">
        <f t="shared" si="43"/>
      </c>
      <c r="CG193" s="77">
        <f t="shared" si="44"/>
      </c>
    </row>
    <row r="194" spans="1:85" ht="19.5" customHeight="1" x14ac:dyDescent="0.2">
      <c r="A194" s="104"/>
      <c r="B194" s="104"/>
      <c r="C194" s="105"/>
      <c r="D194" s="104"/>
      <c r="E194" s="105"/>
      <c r="F194" s="106"/>
      <c r="G194" s="104"/>
      <c r="H194" s="106"/>
      <c r="I194" s="107"/>
      <c r="J194" s="108"/>
      <c r="K194" s="108"/>
      <c r="L194" s="108"/>
      <c r="M194" s="105"/>
      <c r="N194" s="105"/>
      <c r="O194" s="105"/>
      <c r="P194" s="108"/>
      <c r="Q194" s="105"/>
      <c r="R194" s="105"/>
      <c r="S194" s="105"/>
      <c r="T194" s="105"/>
      <c r="U194" s="108"/>
      <c r="V194" s="105"/>
      <c r="W194" s="105"/>
      <c r="X194" s="105"/>
      <c r="Y194" s="105"/>
      <c r="Z194" s="105"/>
      <c r="AA194" s="108"/>
      <c r="AB194" s="108"/>
      <c r="AC194" s="105"/>
      <c r="AD194" s="279"/>
      <c r="AE194" s="105"/>
      <c r="AF194" s="279"/>
      <c r="AG194" s="105"/>
      <c r="AH194" s="108"/>
      <c r="AI194" s="108"/>
      <c r="AJ194" s="108"/>
      <c r="AK194" s="108"/>
      <c r="AL194" s="105"/>
      <c r="AM194" s="108"/>
      <c r="AN194" s="105"/>
      <c r="AO194" s="108"/>
      <c r="AP194" s="108"/>
      <c r="AQ194" s="105"/>
      <c r="AR194" s="108"/>
      <c r="AS194" s="108"/>
      <c r="AT194" s="105"/>
      <c r="AU194" s="105"/>
      <c r="AV194" s="105"/>
      <c r="AW194" s="105"/>
      <c r="AX194" s="105"/>
      <c r="AY194" s="105"/>
      <c r="AZ194" s="105"/>
      <c r="BA194" s="105"/>
      <c r="BB194" s="105"/>
      <c r="BC194" s="105"/>
      <c r="BD194" s="108"/>
      <c r="BE194" s="83">
        <f>IF($A194="","",IF(TRIM($D194&amp;"")="",IF(TRIM($AX194&amp;$AY194&amp;$AZ194&amp;$BA194&amp;$BB194&amp;$BC194&amp;$BD194&amp;"")="","","SUBARRENDADO"),IFERROR(IF(VLOOKUP($D194,VEHICULOS!$A$3:$H$202,7,FALSE)="","",VLOOKUP($D194,VEHICULOS!$A$3:$H$202,7,FALSE)),"")))</f>
      </c>
      <c r="BF194" s="82">
        <f>IF($A194="","",IF(TRIM($BC194&amp;"")&lt;&gt;"",$BC194,IF(TRIM($D194&amp;"")="","",IFERROR(IF(VLOOKUP($D194,VEHICULOS!$A$3:$H$202,8,FALSE)="","",VLOOKUP($D194,VEHICULOS!$A$3:$H$202,8,FALSE)),""))))</f>
      </c>
      <c r="BG194" s="106"/>
      <c r="BH194" s="107"/>
      <c r="BI194" s="86">
        <f t="shared" si="30"/>
      </c>
      <c r="BJ194" s="83">
        <f t="shared" si="31"/>
      </c>
      <c r="BK194" s="85">
        <f t="shared" si="32"/>
      </c>
      <c r="BL194" s="85">
        <f t="shared" si="33"/>
      </c>
      <c r="BM194" s="108"/>
      <c r="BN194" s="85">
        <f t="shared" si="34"/>
      </c>
      <c r="BO194" s="108"/>
      <c r="BP194" s="85">
        <f t="shared" si="35"/>
      </c>
      <c r="BQ194" s="85">
        <f t="shared" si="36"/>
      </c>
      <c r="BR194" s="108"/>
      <c r="BS194" s="104"/>
      <c r="BT194" s="87">
        <f t="shared" si="37"/>
      </c>
      <c r="BU194" s="85">
        <f t="shared" si="38"/>
      </c>
      <c r="BV194" s="85">
        <f t="shared" si="39"/>
      </c>
      <c r="BW194" s="87">
        <f t="shared" si="40"/>
      </c>
      <c r="BX194" s="104"/>
      <c r="BY194" s="106"/>
      <c r="BZ194" s="104"/>
      <c r="CA194" s="105"/>
      <c r="CB194" s="77">
        <f>IF($A194="",0,IF($B194='FICHA CLIENTE'!$C$4,1,0))</f>
      </c>
      <c r="CC194" s="77">
        <f t="shared" si="41"/>
      </c>
      <c r="CD194" s="77">
        <f>IF($A194="",0,IF($D194='FICHA VEHICULO'!$C$4,1,0))</f>
      </c>
      <c r="CE194" s="77">
        <f t="shared" si="42"/>
      </c>
      <c r="CF194" s="77">
        <f t="shared" si="43"/>
      </c>
      <c r="CG194" s="77">
        <f t="shared" si="44"/>
      </c>
    </row>
    <row r="195" spans="1:85" ht="19.5" customHeight="1" x14ac:dyDescent="0.2">
      <c r="A195" s="104"/>
      <c r="B195" s="104"/>
      <c r="C195" s="105"/>
      <c r="D195" s="104"/>
      <c r="E195" s="105"/>
      <c r="F195" s="106"/>
      <c r="G195" s="104"/>
      <c r="H195" s="106"/>
      <c r="I195" s="107"/>
      <c r="J195" s="108"/>
      <c r="K195" s="108"/>
      <c r="L195" s="108"/>
      <c r="M195" s="105"/>
      <c r="N195" s="105"/>
      <c r="O195" s="105"/>
      <c r="P195" s="108"/>
      <c r="Q195" s="105"/>
      <c r="R195" s="105"/>
      <c r="S195" s="105"/>
      <c r="T195" s="105"/>
      <c r="U195" s="108"/>
      <c r="V195" s="105"/>
      <c r="W195" s="105"/>
      <c r="X195" s="105"/>
      <c r="Y195" s="105"/>
      <c r="Z195" s="105"/>
      <c r="AA195" s="108"/>
      <c r="AB195" s="108"/>
      <c r="AC195" s="105"/>
      <c r="AD195" s="279"/>
      <c r="AE195" s="105"/>
      <c r="AF195" s="279"/>
      <c r="AG195" s="105"/>
      <c r="AH195" s="108"/>
      <c r="AI195" s="108"/>
      <c r="AJ195" s="108"/>
      <c r="AK195" s="108"/>
      <c r="AL195" s="105"/>
      <c r="AM195" s="108"/>
      <c r="AN195" s="105"/>
      <c r="AO195" s="108"/>
      <c r="AP195" s="108"/>
      <c r="AQ195" s="105"/>
      <c r="AR195" s="108"/>
      <c r="AS195" s="108"/>
      <c r="AT195" s="105"/>
      <c r="AU195" s="105"/>
      <c r="AV195" s="105"/>
      <c r="AW195" s="105"/>
      <c r="AX195" s="105"/>
      <c r="AY195" s="105"/>
      <c r="AZ195" s="105"/>
      <c r="BA195" s="105"/>
      <c r="BB195" s="105"/>
      <c r="BC195" s="105"/>
      <c r="BD195" s="108"/>
      <c r="BE195" s="83">
        <f>IF($A195="","",IF(TRIM($D195&amp;"")="",IF(TRIM($AX195&amp;$AY195&amp;$AZ195&amp;$BA195&amp;$BB195&amp;$BC195&amp;$BD195&amp;"")="","","SUBARRENDADO"),IFERROR(IF(VLOOKUP($D195,VEHICULOS!$A$3:$H$202,7,FALSE)="","",VLOOKUP($D195,VEHICULOS!$A$3:$H$202,7,FALSE)),"")))</f>
      </c>
      <c r="BF195" s="82">
        <f>IF($A195="","",IF(TRIM($BC195&amp;"")&lt;&gt;"",$BC195,IF(TRIM($D195&amp;"")="","",IFERROR(IF(VLOOKUP($D195,VEHICULOS!$A$3:$H$202,8,FALSE)="","",VLOOKUP($D195,VEHICULOS!$A$3:$H$202,8,FALSE)),""))))</f>
      </c>
      <c r="BG195" s="106"/>
      <c r="BH195" s="107"/>
      <c r="BI195" s="86">
        <f t="shared" si="30"/>
      </c>
      <c r="BJ195" s="83">
        <f t="shared" si="31"/>
      </c>
      <c r="BK195" s="85">
        <f t="shared" si="32"/>
      </c>
      <c r="BL195" s="85">
        <f t="shared" si="33"/>
      </c>
      <c r="BM195" s="108"/>
      <c r="BN195" s="85">
        <f t="shared" si="34"/>
      </c>
      <c r="BO195" s="108"/>
      <c r="BP195" s="85">
        <f t="shared" si="35"/>
      </c>
      <c r="BQ195" s="85">
        <f t="shared" si="36"/>
      </c>
      <c r="BR195" s="108"/>
      <c r="BS195" s="104"/>
      <c r="BT195" s="87">
        <f t="shared" si="37"/>
      </c>
      <c r="BU195" s="85">
        <f t="shared" si="38"/>
      </c>
      <c r="BV195" s="85">
        <f t="shared" si="39"/>
      </c>
      <c r="BW195" s="87">
        <f t="shared" si="40"/>
      </c>
      <c r="BX195" s="104"/>
      <c r="BY195" s="106"/>
      <c r="BZ195" s="104"/>
      <c r="CA195" s="105"/>
      <c r="CB195" s="77">
        <f>IF($A195="",0,IF($B195='FICHA CLIENTE'!$C$4,1,0))</f>
      </c>
      <c r="CC195" s="77">
        <f t="shared" si="41"/>
      </c>
      <c r="CD195" s="77">
        <f>IF($A195="",0,IF($D195='FICHA VEHICULO'!$C$4,1,0))</f>
      </c>
      <c r="CE195" s="77">
        <f t="shared" si="42"/>
      </c>
      <c r="CF195" s="77">
        <f t="shared" si="43"/>
      </c>
      <c r="CG195" s="77">
        <f t="shared" si="44"/>
      </c>
    </row>
    <row r="196" spans="1:85" ht="19.5" customHeight="1" x14ac:dyDescent="0.2">
      <c r="A196" s="104"/>
      <c r="B196" s="104"/>
      <c r="C196" s="105"/>
      <c r="D196" s="104"/>
      <c r="E196" s="105"/>
      <c r="F196" s="106"/>
      <c r="G196" s="104"/>
      <c r="H196" s="106"/>
      <c r="I196" s="107"/>
      <c r="J196" s="108"/>
      <c r="K196" s="108"/>
      <c r="L196" s="108"/>
      <c r="M196" s="105"/>
      <c r="N196" s="105"/>
      <c r="O196" s="105"/>
      <c r="P196" s="108"/>
      <c r="Q196" s="105"/>
      <c r="R196" s="105"/>
      <c r="S196" s="105"/>
      <c r="T196" s="105"/>
      <c r="U196" s="108"/>
      <c r="V196" s="105"/>
      <c r="W196" s="105"/>
      <c r="X196" s="105"/>
      <c r="Y196" s="105"/>
      <c r="Z196" s="105"/>
      <c r="AA196" s="108"/>
      <c r="AB196" s="108"/>
      <c r="AC196" s="105"/>
      <c r="AD196" s="279"/>
      <c r="AE196" s="105"/>
      <c r="AF196" s="279"/>
      <c r="AG196" s="105"/>
      <c r="AH196" s="108"/>
      <c r="AI196" s="108"/>
      <c r="AJ196" s="108"/>
      <c r="AK196" s="108"/>
      <c r="AL196" s="105"/>
      <c r="AM196" s="108"/>
      <c r="AN196" s="105"/>
      <c r="AO196" s="108"/>
      <c r="AP196" s="108"/>
      <c r="AQ196" s="105"/>
      <c r="AR196" s="108"/>
      <c r="AS196" s="108"/>
      <c r="AT196" s="105"/>
      <c r="AU196" s="105"/>
      <c r="AV196" s="105"/>
      <c r="AW196" s="105"/>
      <c r="AX196" s="105"/>
      <c r="AY196" s="105"/>
      <c r="AZ196" s="105"/>
      <c r="BA196" s="105"/>
      <c r="BB196" s="105"/>
      <c r="BC196" s="105"/>
      <c r="BD196" s="108"/>
      <c r="BE196" s="83">
        <f>IF($A196="","",IF(TRIM($D196&amp;"")="",IF(TRIM($AX196&amp;$AY196&amp;$AZ196&amp;$BA196&amp;$BB196&amp;$BC196&amp;$BD196&amp;"")="","","SUBARRENDADO"),IFERROR(IF(VLOOKUP($D196,VEHICULOS!$A$3:$H$202,7,FALSE)="","",VLOOKUP($D196,VEHICULOS!$A$3:$H$202,7,FALSE)),"")))</f>
      </c>
      <c r="BF196" s="82">
        <f>IF($A196="","",IF(TRIM($BC196&amp;"")&lt;&gt;"",$BC196,IF(TRIM($D196&amp;"")="","",IFERROR(IF(VLOOKUP($D196,VEHICULOS!$A$3:$H$202,8,FALSE)="","",VLOOKUP($D196,VEHICULOS!$A$3:$H$202,8,FALSE)),""))))</f>
      </c>
      <c r="BG196" s="106"/>
      <c r="BH196" s="107"/>
      <c r="BI196" s="86">
        <f t="shared" si="30"/>
      </c>
      <c r="BJ196" s="83">
        <f t="shared" si="31"/>
      </c>
      <c r="BK196" s="85">
        <f t="shared" si="32"/>
      </c>
      <c r="BL196" s="85">
        <f t="shared" si="33"/>
      </c>
      <c r="BM196" s="108"/>
      <c r="BN196" s="85">
        <f t="shared" si="34"/>
      </c>
      <c r="BO196" s="108"/>
      <c r="BP196" s="85">
        <f t="shared" si="35"/>
      </c>
      <c r="BQ196" s="85">
        <f t="shared" si="36"/>
      </c>
      <c r="BR196" s="108"/>
      <c r="BS196" s="104"/>
      <c r="BT196" s="87">
        <f t="shared" si="37"/>
      </c>
      <c r="BU196" s="85">
        <f t="shared" si="38"/>
      </c>
      <c r="BV196" s="85">
        <f t="shared" si="39"/>
      </c>
      <c r="BW196" s="87">
        <f t="shared" si="40"/>
      </c>
      <c r="BX196" s="104"/>
      <c r="BY196" s="106"/>
      <c r="BZ196" s="104"/>
      <c r="CA196" s="105"/>
      <c r="CB196" s="77">
        <f>IF($A196="",0,IF($B196='FICHA CLIENTE'!$C$4,1,0))</f>
      </c>
      <c r="CC196" s="77">
        <f t="shared" si="41"/>
      </c>
      <c r="CD196" s="77">
        <f>IF($A196="",0,IF($D196='FICHA VEHICULO'!$C$4,1,0))</f>
      </c>
      <c r="CE196" s="77">
        <f t="shared" si="42"/>
      </c>
      <c r="CF196" s="77">
        <f t="shared" si="43"/>
      </c>
      <c r="CG196" s="77">
        <f t="shared" si="44"/>
      </c>
    </row>
    <row r="197" spans="1:85" ht="19.5" customHeight="1" x14ac:dyDescent="0.2">
      <c r="A197" s="104"/>
      <c r="B197" s="104"/>
      <c r="C197" s="105"/>
      <c r="D197" s="104"/>
      <c r="E197" s="105"/>
      <c r="F197" s="106"/>
      <c r="G197" s="104"/>
      <c r="H197" s="106"/>
      <c r="I197" s="107"/>
      <c r="J197" s="108"/>
      <c r="K197" s="108"/>
      <c r="L197" s="108"/>
      <c r="M197" s="105"/>
      <c r="N197" s="105"/>
      <c r="O197" s="105"/>
      <c r="P197" s="108"/>
      <c r="Q197" s="105"/>
      <c r="R197" s="105"/>
      <c r="S197" s="105"/>
      <c r="T197" s="105"/>
      <c r="U197" s="108"/>
      <c r="V197" s="105"/>
      <c r="W197" s="105"/>
      <c r="X197" s="105"/>
      <c r="Y197" s="105"/>
      <c r="Z197" s="105"/>
      <c r="AA197" s="108"/>
      <c r="AB197" s="108"/>
      <c r="AC197" s="105"/>
      <c r="AD197" s="279"/>
      <c r="AE197" s="105"/>
      <c r="AF197" s="279"/>
      <c r="AG197" s="105"/>
      <c r="AH197" s="108"/>
      <c r="AI197" s="108"/>
      <c r="AJ197" s="108"/>
      <c r="AK197" s="108"/>
      <c r="AL197" s="105"/>
      <c r="AM197" s="108"/>
      <c r="AN197" s="105"/>
      <c r="AO197" s="108"/>
      <c r="AP197" s="108"/>
      <c r="AQ197" s="105"/>
      <c r="AR197" s="108"/>
      <c r="AS197" s="108"/>
      <c r="AT197" s="105"/>
      <c r="AU197" s="105"/>
      <c r="AV197" s="105"/>
      <c r="AW197" s="105"/>
      <c r="AX197" s="105"/>
      <c r="AY197" s="105"/>
      <c r="AZ197" s="105"/>
      <c r="BA197" s="105"/>
      <c r="BB197" s="105"/>
      <c r="BC197" s="105"/>
      <c r="BD197" s="108"/>
      <c r="BE197" s="83">
        <f>IF($A197="","",IF(TRIM($D197&amp;"")="",IF(TRIM($AX197&amp;$AY197&amp;$AZ197&amp;$BA197&amp;$BB197&amp;$BC197&amp;$BD197&amp;"")="","","SUBARRENDADO"),IFERROR(IF(VLOOKUP($D197,VEHICULOS!$A$3:$H$202,7,FALSE)="","",VLOOKUP($D197,VEHICULOS!$A$3:$H$202,7,FALSE)),"")))</f>
      </c>
      <c r="BF197" s="82">
        <f>IF($A197="","",IF(TRIM($BC197&amp;"")&lt;&gt;"",$BC197,IF(TRIM($D197&amp;"")="","",IFERROR(IF(VLOOKUP($D197,VEHICULOS!$A$3:$H$202,8,FALSE)="","",VLOOKUP($D197,VEHICULOS!$A$3:$H$202,8,FALSE)),""))))</f>
      </c>
      <c r="BG197" s="106"/>
      <c r="BH197" s="107"/>
      <c r="BI197" s="86">
        <f t="shared" si="30"/>
      </c>
      <c r="BJ197" s="83">
        <f t="shared" si="31"/>
      </c>
      <c r="BK197" s="85">
        <f t="shared" si="32"/>
      </c>
      <c r="BL197" s="85">
        <f t="shared" si="33"/>
      </c>
      <c r="BM197" s="108"/>
      <c r="BN197" s="85">
        <f t="shared" si="34"/>
      </c>
      <c r="BO197" s="108"/>
      <c r="BP197" s="85">
        <f t="shared" si="35"/>
      </c>
      <c r="BQ197" s="85">
        <f t="shared" si="36"/>
      </c>
      <c r="BR197" s="108"/>
      <c r="BS197" s="104"/>
      <c r="BT197" s="87">
        <f t="shared" si="37"/>
      </c>
      <c r="BU197" s="85">
        <f t="shared" si="38"/>
      </c>
      <c r="BV197" s="85">
        <f t="shared" si="39"/>
      </c>
      <c r="BW197" s="87">
        <f t="shared" si="40"/>
      </c>
      <c r="BX197" s="104"/>
      <c r="BY197" s="106"/>
      <c r="BZ197" s="104"/>
      <c r="CA197" s="105"/>
      <c r="CB197" s="77">
        <f>IF($A197="",0,IF($B197='FICHA CLIENTE'!$C$4,1,0))</f>
      </c>
      <c r="CC197" s="77">
        <f t="shared" si="41"/>
      </c>
      <c r="CD197" s="77">
        <f>IF($A197="",0,IF($D197='FICHA VEHICULO'!$C$4,1,0))</f>
      </c>
      <c r="CE197" s="77">
        <f t="shared" si="42"/>
      </c>
      <c r="CF197" s="77">
        <f t="shared" si="43"/>
      </c>
      <c r="CG197" s="77">
        <f t="shared" si="44"/>
      </c>
    </row>
    <row r="198" spans="1:85" ht="19.5" customHeight="1" x14ac:dyDescent="0.2">
      <c r="A198" s="104"/>
      <c r="B198" s="104"/>
      <c r="C198" s="105"/>
      <c r="D198" s="104"/>
      <c r="E198" s="105"/>
      <c r="F198" s="106"/>
      <c r="G198" s="104"/>
      <c r="H198" s="106"/>
      <c r="I198" s="107"/>
      <c r="J198" s="108"/>
      <c r="K198" s="108"/>
      <c r="L198" s="108"/>
      <c r="M198" s="105"/>
      <c r="N198" s="105"/>
      <c r="O198" s="105"/>
      <c r="P198" s="108"/>
      <c r="Q198" s="105"/>
      <c r="R198" s="105"/>
      <c r="S198" s="105"/>
      <c r="T198" s="105"/>
      <c r="U198" s="108"/>
      <c r="V198" s="105"/>
      <c r="W198" s="105"/>
      <c r="X198" s="105"/>
      <c r="Y198" s="105"/>
      <c r="Z198" s="105"/>
      <c r="AA198" s="108"/>
      <c r="AB198" s="108"/>
      <c r="AC198" s="105"/>
      <c r="AD198" s="279"/>
      <c r="AE198" s="105"/>
      <c r="AF198" s="279"/>
      <c r="AG198" s="105"/>
      <c r="AH198" s="108"/>
      <c r="AI198" s="108"/>
      <c r="AJ198" s="108"/>
      <c r="AK198" s="108"/>
      <c r="AL198" s="105"/>
      <c r="AM198" s="108"/>
      <c r="AN198" s="105"/>
      <c r="AO198" s="108"/>
      <c r="AP198" s="108"/>
      <c r="AQ198" s="105"/>
      <c r="AR198" s="108"/>
      <c r="AS198" s="108"/>
      <c r="AT198" s="105"/>
      <c r="AU198" s="105"/>
      <c r="AV198" s="105"/>
      <c r="AW198" s="105"/>
      <c r="AX198" s="105"/>
      <c r="AY198" s="105"/>
      <c r="AZ198" s="105"/>
      <c r="BA198" s="105"/>
      <c r="BB198" s="105"/>
      <c r="BC198" s="105"/>
      <c r="BD198" s="108"/>
      <c r="BE198" s="83">
        <f>IF($A198="","",IF(TRIM($D198&amp;"")="",IF(TRIM($AX198&amp;$AY198&amp;$AZ198&amp;$BA198&amp;$BB198&amp;$BC198&amp;$BD198&amp;"")="","","SUBARRENDADO"),IFERROR(IF(VLOOKUP($D198,VEHICULOS!$A$3:$H$202,7,FALSE)="","",VLOOKUP($D198,VEHICULOS!$A$3:$H$202,7,FALSE)),"")))</f>
      </c>
      <c r="BF198" s="82">
        <f>IF($A198="","",IF(TRIM($BC198&amp;"")&lt;&gt;"",$BC198,IF(TRIM($D198&amp;"")="","",IFERROR(IF(VLOOKUP($D198,VEHICULOS!$A$3:$H$202,8,FALSE)="","",VLOOKUP($D198,VEHICULOS!$A$3:$H$202,8,FALSE)),""))))</f>
      </c>
      <c r="BG198" s="106"/>
      <c r="BH198" s="107"/>
      <c r="BI198" s="86">
        <f t="shared" ref="BI198:BI261" si="45">IF(OR($BH198="",$I198=""),"",$BH198-$I198)</f>
      </c>
      <c r="BJ198" s="83">
        <f t="shared" ref="BJ198:BJ261" si="46">IF(OR($BG198="",$H198=""),"",MAX(0,$BG198-$H198))</f>
      </c>
      <c r="BK198" s="85">
        <f t="shared" ref="BK198:BK261" si="47">IF($A198="","",N($BJ198)*N($J198))</f>
      </c>
      <c r="BL198" s="85">
        <f t="shared" ref="BL198:BL261" si="48">IF($A198="","",(N($AM198)+N($AS198))*(N($G198)+N($BJ198))+N($AP198))</f>
      </c>
      <c r="BM198" s="108"/>
      <c r="BN198" s="85">
        <f t="shared" ref="BN198:BN261" si="49">IF($A198="","",N($AO198))</f>
      </c>
      <c r="BO198" s="108"/>
      <c r="BP198" s="85">
        <f t="shared" ref="BP198:BP261" si="50">IF($A198="","",N($AR198))</f>
      </c>
      <c r="BQ198" s="85">
        <f t="shared" ref="BQ198:BQ261" si="51">IF($A198="","",N($K198)+N($BK198)+N($BL198)+N($BM198)+N($BN198)+N($BO198)+N($BP198))</f>
      </c>
      <c r="BR198" s="108"/>
      <c r="BS198" s="104"/>
      <c r="BT198" s="87">
        <f t="shared" ref="BT198:BT261" si="52">IF($A198="","",ROUND((N($BQ198)-N($BR198))*(1+N($BS198)/100),2))</f>
      </c>
      <c r="BU198" s="85">
        <f t="shared" ref="BU198:BU261" si="53">IF($A198="","",N($BD198))</f>
      </c>
      <c r="BV198" s="85">
        <f t="shared" ref="BV198:BV261" si="54">IF($A198="","",N($BU198)*(N($G198)+N($BJ198)))</f>
      </c>
      <c r="BW198" s="87">
        <f t="shared" ref="BW198:BW261" si="55">IF($A198="","",N($BT198)-N($BV198))</f>
      </c>
      <c r="BX198" s="104"/>
      <c r="BY198" s="106"/>
      <c r="BZ198" s="104"/>
      <c r="CA198" s="105"/>
      <c r="CB198" s="77">
        <f>IF($A198="",0,IF($B198='FICHA CLIENTE'!$C$4,1,0))</f>
      </c>
      <c r="CC198" s="77">
        <f t="shared" ref="CC198:CC261" si="56">$CC197+$CB198</f>
      </c>
      <c r="CD198" s="77">
        <f>IF($A198="",0,IF($D198='FICHA VEHICULO'!$C$4,1,0))</f>
      </c>
      <c r="CE198" s="77">
        <f t="shared" ref="CE198:CE261" si="57">$CE197+$CD198</f>
      </c>
      <c r="CF198" s="77">
        <f t="shared" ref="CF198:CF261" si="58">IF($A198="",0,IF($BG198="",1,0))</f>
      </c>
      <c r="CG198" s="77">
        <f t="shared" ref="CG198:CG261" si="59">$CG197+$CF198</f>
      </c>
    </row>
    <row r="199" spans="1:85" ht="19.5" customHeight="1" x14ac:dyDescent="0.2">
      <c r="A199" s="104"/>
      <c r="B199" s="104"/>
      <c r="C199" s="105"/>
      <c r="D199" s="104"/>
      <c r="E199" s="105"/>
      <c r="F199" s="106"/>
      <c r="G199" s="104"/>
      <c r="H199" s="106"/>
      <c r="I199" s="107"/>
      <c r="J199" s="108"/>
      <c r="K199" s="108"/>
      <c r="L199" s="108"/>
      <c r="M199" s="105"/>
      <c r="N199" s="105"/>
      <c r="O199" s="105"/>
      <c r="P199" s="108"/>
      <c r="Q199" s="105"/>
      <c r="R199" s="105"/>
      <c r="S199" s="105"/>
      <c r="T199" s="105"/>
      <c r="U199" s="108"/>
      <c r="V199" s="105"/>
      <c r="W199" s="105"/>
      <c r="X199" s="105"/>
      <c r="Y199" s="105"/>
      <c r="Z199" s="105"/>
      <c r="AA199" s="108"/>
      <c r="AB199" s="108"/>
      <c r="AC199" s="105"/>
      <c r="AD199" s="279"/>
      <c r="AE199" s="105"/>
      <c r="AF199" s="279"/>
      <c r="AG199" s="105"/>
      <c r="AH199" s="108"/>
      <c r="AI199" s="108"/>
      <c r="AJ199" s="108"/>
      <c r="AK199" s="108"/>
      <c r="AL199" s="105"/>
      <c r="AM199" s="108"/>
      <c r="AN199" s="105"/>
      <c r="AO199" s="108"/>
      <c r="AP199" s="108"/>
      <c r="AQ199" s="105"/>
      <c r="AR199" s="108"/>
      <c r="AS199" s="108"/>
      <c r="AT199" s="105"/>
      <c r="AU199" s="105"/>
      <c r="AV199" s="105"/>
      <c r="AW199" s="105"/>
      <c r="AX199" s="105"/>
      <c r="AY199" s="105"/>
      <c r="AZ199" s="105"/>
      <c r="BA199" s="105"/>
      <c r="BB199" s="105"/>
      <c r="BC199" s="105"/>
      <c r="BD199" s="108"/>
      <c r="BE199" s="83">
        <f>IF($A199="","",IF(TRIM($D199&amp;"")="",IF(TRIM($AX199&amp;$AY199&amp;$AZ199&amp;$BA199&amp;$BB199&amp;$BC199&amp;$BD199&amp;"")="","","SUBARRENDADO"),IFERROR(IF(VLOOKUP($D199,VEHICULOS!$A$3:$H$202,7,FALSE)="","",VLOOKUP($D199,VEHICULOS!$A$3:$H$202,7,FALSE)),"")))</f>
      </c>
      <c r="BF199" s="82">
        <f>IF($A199="","",IF(TRIM($BC199&amp;"")&lt;&gt;"",$BC199,IF(TRIM($D199&amp;"")="","",IFERROR(IF(VLOOKUP($D199,VEHICULOS!$A$3:$H$202,8,FALSE)="","",VLOOKUP($D199,VEHICULOS!$A$3:$H$202,8,FALSE)),""))))</f>
      </c>
      <c r="BG199" s="106"/>
      <c r="BH199" s="107"/>
      <c r="BI199" s="86">
        <f t="shared" si="45"/>
      </c>
      <c r="BJ199" s="83">
        <f t="shared" si="46"/>
      </c>
      <c r="BK199" s="85">
        <f t="shared" si="47"/>
      </c>
      <c r="BL199" s="85">
        <f t="shared" si="48"/>
      </c>
      <c r="BM199" s="108"/>
      <c r="BN199" s="85">
        <f t="shared" si="49"/>
      </c>
      <c r="BO199" s="108"/>
      <c r="BP199" s="85">
        <f t="shared" si="50"/>
      </c>
      <c r="BQ199" s="85">
        <f t="shared" si="51"/>
      </c>
      <c r="BR199" s="108"/>
      <c r="BS199" s="104"/>
      <c r="BT199" s="87">
        <f t="shared" si="52"/>
      </c>
      <c r="BU199" s="85">
        <f t="shared" si="53"/>
      </c>
      <c r="BV199" s="85">
        <f t="shared" si="54"/>
      </c>
      <c r="BW199" s="87">
        <f t="shared" si="55"/>
      </c>
      <c r="BX199" s="104"/>
      <c r="BY199" s="106"/>
      <c r="BZ199" s="104"/>
      <c r="CA199" s="105"/>
      <c r="CB199" s="77">
        <f>IF($A199="",0,IF($B199='FICHA CLIENTE'!$C$4,1,0))</f>
      </c>
      <c r="CC199" s="77">
        <f t="shared" si="56"/>
      </c>
      <c r="CD199" s="77">
        <f>IF($A199="",0,IF($D199='FICHA VEHICULO'!$C$4,1,0))</f>
      </c>
      <c r="CE199" s="77">
        <f t="shared" si="57"/>
      </c>
      <c r="CF199" s="77">
        <f t="shared" si="58"/>
      </c>
      <c r="CG199" s="77">
        <f t="shared" si="59"/>
      </c>
    </row>
    <row r="200" spans="1:85" ht="19.5" customHeight="1" x14ac:dyDescent="0.2">
      <c r="A200" s="104"/>
      <c r="B200" s="104"/>
      <c r="C200" s="105"/>
      <c r="D200" s="104"/>
      <c r="E200" s="105"/>
      <c r="F200" s="106"/>
      <c r="G200" s="104"/>
      <c r="H200" s="106"/>
      <c r="I200" s="107"/>
      <c r="J200" s="108"/>
      <c r="K200" s="108"/>
      <c r="L200" s="108"/>
      <c r="M200" s="105"/>
      <c r="N200" s="105"/>
      <c r="O200" s="105"/>
      <c r="P200" s="108"/>
      <c r="Q200" s="105"/>
      <c r="R200" s="105"/>
      <c r="S200" s="105"/>
      <c r="T200" s="105"/>
      <c r="U200" s="108"/>
      <c r="V200" s="105"/>
      <c r="W200" s="105"/>
      <c r="X200" s="105"/>
      <c r="Y200" s="105"/>
      <c r="Z200" s="105"/>
      <c r="AA200" s="108"/>
      <c r="AB200" s="108"/>
      <c r="AC200" s="105"/>
      <c r="AD200" s="279"/>
      <c r="AE200" s="105"/>
      <c r="AF200" s="279"/>
      <c r="AG200" s="105"/>
      <c r="AH200" s="108"/>
      <c r="AI200" s="108"/>
      <c r="AJ200" s="108"/>
      <c r="AK200" s="108"/>
      <c r="AL200" s="105"/>
      <c r="AM200" s="108"/>
      <c r="AN200" s="105"/>
      <c r="AO200" s="108"/>
      <c r="AP200" s="108"/>
      <c r="AQ200" s="105"/>
      <c r="AR200" s="108"/>
      <c r="AS200" s="108"/>
      <c r="AT200" s="105"/>
      <c r="AU200" s="105"/>
      <c r="AV200" s="105"/>
      <c r="AW200" s="105"/>
      <c r="AX200" s="105"/>
      <c r="AY200" s="105"/>
      <c r="AZ200" s="105"/>
      <c r="BA200" s="105"/>
      <c r="BB200" s="105"/>
      <c r="BC200" s="105"/>
      <c r="BD200" s="108"/>
      <c r="BE200" s="83">
        <f>IF($A200="","",IF(TRIM($D200&amp;"")="",IF(TRIM($AX200&amp;$AY200&amp;$AZ200&amp;$BA200&amp;$BB200&amp;$BC200&amp;$BD200&amp;"")="","","SUBARRENDADO"),IFERROR(IF(VLOOKUP($D200,VEHICULOS!$A$3:$H$202,7,FALSE)="","",VLOOKUP($D200,VEHICULOS!$A$3:$H$202,7,FALSE)),"")))</f>
      </c>
      <c r="BF200" s="82">
        <f>IF($A200="","",IF(TRIM($BC200&amp;"")&lt;&gt;"",$BC200,IF(TRIM($D200&amp;"")="","",IFERROR(IF(VLOOKUP($D200,VEHICULOS!$A$3:$H$202,8,FALSE)="","",VLOOKUP($D200,VEHICULOS!$A$3:$H$202,8,FALSE)),""))))</f>
      </c>
      <c r="BG200" s="106"/>
      <c r="BH200" s="107"/>
      <c r="BI200" s="86">
        <f t="shared" si="45"/>
      </c>
      <c r="BJ200" s="83">
        <f t="shared" si="46"/>
      </c>
      <c r="BK200" s="85">
        <f t="shared" si="47"/>
      </c>
      <c r="BL200" s="85">
        <f t="shared" si="48"/>
      </c>
      <c r="BM200" s="108"/>
      <c r="BN200" s="85">
        <f t="shared" si="49"/>
      </c>
      <c r="BO200" s="108"/>
      <c r="BP200" s="85">
        <f t="shared" si="50"/>
      </c>
      <c r="BQ200" s="85">
        <f t="shared" si="51"/>
      </c>
      <c r="BR200" s="108"/>
      <c r="BS200" s="104"/>
      <c r="BT200" s="87">
        <f t="shared" si="52"/>
      </c>
      <c r="BU200" s="85">
        <f t="shared" si="53"/>
      </c>
      <c r="BV200" s="85">
        <f t="shared" si="54"/>
      </c>
      <c r="BW200" s="87">
        <f t="shared" si="55"/>
      </c>
      <c r="BX200" s="104"/>
      <c r="BY200" s="106"/>
      <c r="BZ200" s="104"/>
      <c r="CA200" s="105"/>
      <c r="CB200" s="77">
        <f>IF($A200="",0,IF($B200='FICHA CLIENTE'!$C$4,1,0))</f>
      </c>
      <c r="CC200" s="77">
        <f t="shared" si="56"/>
      </c>
      <c r="CD200" s="77">
        <f>IF($A200="",0,IF($D200='FICHA VEHICULO'!$C$4,1,0))</f>
      </c>
      <c r="CE200" s="77">
        <f t="shared" si="57"/>
      </c>
      <c r="CF200" s="77">
        <f t="shared" si="58"/>
      </c>
      <c r="CG200" s="77">
        <f t="shared" si="59"/>
      </c>
    </row>
    <row r="201" spans="1:85" ht="19.5" customHeight="1" x14ac:dyDescent="0.2">
      <c r="A201" s="104"/>
      <c r="B201" s="104"/>
      <c r="C201" s="105"/>
      <c r="D201" s="104"/>
      <c r="E201" s="105"/>
      <c r="F201" s="106"/>
      <c r="G201" s="104"/>
      <c r="H201" s="106"/>
      <c r="I201" s="107"/>
      <c r="J201" s="108"/>
      <c r="K201" s="108"/>
      <c r="L201" s="108"/>
      <c r="M201" s="105"/>
      <c r="N201" s="105"/>
      <c r="O201" s="105"/>
      <c r="P201" s="108"/>
      <c r="Q201" s="105"/>
      <c r="R201" s="105"/>
      <c r="S201" s="105"/>
      <c r="T201" s="105"/>
      <c r="U201" s="108"/>
      <c r="V201" s="105"/>
      <c r="W201" s="105"/>
      <c r="X201" s="105"/>
      <c r="Y201" s="105"/>
      <c r="Z201" s="105"/>
      <c r="AA201" s="108"/>
      <c r="AB201" s="108"/>
      <c r="AC201" s="105"/>
      <c r="AD201" s="279"/>
      <c r="AE201" s="105"/>
      <c r="AF201" s="279"/>
      <c r="AG201" s="105"/>
      <c r="AH201" s="108"/>
      <c r="AI201" s="108"/>
      <c r="AJ201" s="108"/>
      <c r="AK201" s="108"/>
      <c r="AL201" s="105"/>
      <c r="AM201" s="108"/>
      <c r="AN201" s="105"/>
      <c r="AO201" s="108"/>
      <c r="AP201" s="108"/>
      <c r="AQ201" s="105"/>
      <c r="AR201" s="108"/>
      <c r="AS201" s="108"/>
      <c r="AT201" s="105"/>
      <c r="AU201" s="105"/>
      <c r="AV201" s="105"/>
      <c r="AW201" s="105"/>
      <c r="AX201" s="105"/>
      <c r="AY201" s="105"/>
      <c r="AZ201" s="105"/>
      <c r="BA201" s="105"/>
      <c r="BB201" s="105"/>
      <c r="BC201" s="105"/>
      <c r="BD201" s="108"/>
      <c r="BE201" s="83">
        <f>IF($A201="","",IF(TRIM($D201&amp;"")="",IF(TRIM($AX201&amp;$AY201&amp;$AZ201&amp;$BA201&amp;$BB201&amp;$BC201&amp;$BD201&amp;"")="","","SUBARRENDADO"),IFERROR(IF(VLOOKUP($D201,VEHICULOS!$A$3:$H$202,7,FALSE)="","",VLOOKUP($D201,VEHICULOS!$A$3:$H$202,7,FALSE)),"")))</f>
      </c>
      <c r="BF201" s="82">
        <f>IF($A201="","",IF(TRIM($BC201&amp;"")&lt;&gt;"",$BC201,IF(TRIM($D201&amp;"")="","",IFERROR(IF(VLOOKUP($D201,VEHICULOS!$A$3:$H$202,8,FALSE)="","",VLOOKUP($D201,VEHICULOS!$A$3:$H$202,8,FALSE)),""))))</f>
      </c>
      <c r="BG201" s="106"/>
      <c r="BH201" s="107"/>
      <c r="BI201" s="86">
        <f t="shared" si="45"/>
      </c>
      <c r="BJ201" s="83">
        <f t="shared" si="46"/>
      </c>
      <c r="BK201" s="85">
        <f t="shared" si="47"/>
      </c>
      <c r="BL201" s="85">
        <f t="shared" si="48"/>
      </c>
      <c r="BM201" s="108"/>
      <c r="BN201" s="85">
        <f t="shared" si="49"/>
      </c>
      <c r="BO201" s="108"/>
      <c r="BP201" s="85">
        <f t="shared" si="50"/>
      </c>
      <c r="BQ201" s="85">
        <f t="shared" si="51"/>
      </c>
      <c r="BR201" s="108"/>
      <c r="BS201" s="104"/>
      <c r="BT201" s="87">
        <f t="shared" si="52"/>
      </c>
      <c r="BU201" s="85">
        <f t="shared" si="53"/>
      </c>
      <c r="BV201" s="85">
        <f t="shared" si="54"/>
      </c>
      <c r="BW201" s="87">
        <f t="shared" si="55"/>
      </c>
      <c r="BX201" s="104"/>
      <c r="BY201" s="106"/>
      <c r="BZ201" s="104"/>
      <c r="CA201" s="105"/>
      <c r="CB201" s="77">
        <f>IF($A201="",0,IF($B201='FICHA CLIENTE'!$C$4,1,0))</f>
      </c>
      <c r="CC201" s="77">
        <f t="shared" si="56"/>
      </c>
      <c r="CD201" s="77">
        <f>IF($A201="",0,IF($D201='FICHA VEHICULO'!$C$4,1,0))</f>
      </c>
      <c r="CE201" s="77">
        <f t="shared" si="57"/>
      </c>
      <c r="CF201" s="77">
        <f t="shared" si="58"/>
      </c>
      <c r="CG201" s="77">
        <f t="shared" si="59"/>
      </c>
    </row>
    <row r="202" spans="1:85" ht="19.5" customHeight="1" x14ac:dyDescent="0.2">
      <c r="A202" s="104"/>
      <c r="B202" s="104"/>
      <c r="C202" s="105"/>
      <c r="D202" s="104"/>
      <c r="E202" s="105"/>
      <c r="F202" s="106"/>
      <c r="G202" s="104"/>
      <c r="H202" s="106"/>
      <c r="I202" s="107"/>
      <c r="J202" s="108"/>
      <c r="K202" s="108"/>
      <c r="L202" s="108"/>
      <c r="M202" s="105"/>
      <c r="N202" s="105"/>
      <c r="O202" s="105"/>
      <c r="P202" s="108"/>
      <c r="Q202" s="105"/>
      <c r="R202" s="105"/>
      <c r="S202" s="105"/>
      <c r="T202" s="105"/>
      <c r="U202" s="108"/>
      <c r="V202" s="105"/>
      <c r="W202" s="105"/>
      <c r="X202" s="105"/>
      <c r="Y202" s="105"/>
      <c r="Z202" s="105"/>
      <c r="AA202" s="108"/>
      <c r="AB202" s="108"/>
      <c r="AC202" s="105"/>
      <c r="AD202" s="279"/>
      <c r="AE202" s="105"/>
      <c r="AF202" s="279"/>
      <c r="AG202" s="105"/>
      <c r="AH202" s="108"/>
      <c r="AI202" s="108"/>
      <c r="AJ202" s="108"/>
      <c r="AK202" s="108"/>
      <c r="AL202" s="105"/>
      <c r="AM202" s="108"/>
      <c r="AN202" s="105"/>
      <c r="AO202" s="108"/>
      <c r="AP202" s="108"/>
      <c r="AQ202" s="105"/>
      <c r="AR202" s="108"/>
      <c r="AS202" s="108"/>
      <c r="AT202" s="105"/>
      <c r="AU202" s="105"/>
      <c r="AV202" s="105"/>
      <c r="AW202" s="105"/>
      <c r="AX202" s="105"/>
      <c r="AY202" s="105"/>
      <c r="AZ202" s="105"/>
      <c r="BA202" s="105"/>
      <c r="BB202" s="105"/>
      <c r="BC202" s="105"/>
      <c r="BD202" s="108"/>
      <c r="BE202" s="83">
        <f>IF($A202="","",IF(TRIM($D202&amp;"")="",IF(TRIM($AX202&amp;$AY202&amp;$AZ202&amp;$BA202&amp;$BB202&amp;$BC202&amp;$BD202&amp;"")="","","SUBARRENDADO"),IFERROR(IF(VLOOKUP($D202,VEHICULOS!$A$3:$H$202,7,FALSE)="","",VLOOKUP($D202,VEHICULOS!$A$3:$H$202,7,FALSE)),"")))</f>
      </c>
      <c r="BF202" s="82">
        <f>IF($A202="","",IF(TRIM($BC202&amp;"")&lt;&gt;"",$BC202,IF(TRIM($D202&amp;"")="","",IFERROR(IF(VLOOKUP($D202,VEHICULOS!$A$3:$H$202,8,FALSE)="","",VLOOKUP($D202,VEHICULOS!$A$3:$H$202,8,FALSE)),""))))</f>
      </c>
      <c r="BG202" s="106"/>
      <c r="BH202" s="107"/>
      <c r="BI202" s="86">
        <f t="shared" si="45"/>
      </c>
      <c r="BJ202" s="83">
        <f t="shared" si="46"/>
      </c>
      <c r="BK202" s="85">
        <f t="shared" si="47"/>
      </c>
      <c r="BL202" s="85">
        <f t="shared" si="48"/>
      </c>
      <c r="BM202" s="108"/>
      <c r="BN202" s="85">
        <f t="shared" si="49"/>
      </c>
      <c r="BO202" s="108"/>
      <c r="BP202" s="85">
        <f t="shared" si="50"/>
      </c>
      <c r="BQ202" s="85">
        <f t="shared" si="51"/>
      </c>
      <c r="BR202" s="108"/>
      <c r="BS202" s="104"/>
      <c r="BT202" s="87">
        <f t="shared" si="52"/>
      </c>
      <c r="BU202" s="85">
        <f t="shared" si="53"/>
      </c>
      <c r="BV202" s="85">
        <f t="shared" si="54"/>
      </c>
      <c r="BW202" s="87">
        <f t="shared" si="55"/>
      </c>
      <c r="BX202" s="104"/>
      <c r="BY202" s="106"/>
      <c r="BZ202" s="104"/>
      <c r="CA202" s="105"/>
      <c r="CB202" s="77">
        <f>IF($A202="",0,IF($B202='FICHA CLIENTE'!$C$4,1,0))</f>
      </c>
      <c r="CC202" s="77">
        <f t="shared" si="56"/>
      </c>
      <c r="CD202" s="77">
        <f>IF($A202="",0,IF($D202='FICHA VEHICULO'!$C$4,1,0))</f>
      </c>
      <c r="CE202" s="77">
        <f t="shared" si="57"/>
      </c>
      <c r="CF202" s="77">
        <f t="shared" si="58"/>
      </c>
      <c r="CG202" s="77">
        <f t="shared" si="59"/>
      </c>
    </row>
    <row r="203" spans="1:85" ht="19.5" customHeight="1" x14ac:dyDescent="0.2">
      <c r="A203" s="104"/>
      <c r="B203" s="104"/>
      <c r="C203" s="105"/>
      <c r="D203" s="104"/>
      <c r="E203" s="105"/>
      <c r="F203" s="106"/>
      <c r="G203" s="104"/>
      <c r="H203" s="106"/>
      <c r="I203" s="107"/>
      <c r="J203" s="108"/>
      <c r="K203" s="108"/>
      <c r="L203" s="108"/>
      <c r="M203" s="105"/>
      <c r="N203" s="105"/>
      <c r="O203" s="105"/>
      <c r="P203" s="108"/>
      <c r="Q203" s="105"/>
      <c r="R203" s="105"/>
      <c r="S203" s="105"/>
      <c r="T203" s="105"/>
      <c r="U203" s="108"/>
      <c r="V203" s="105"/>
      <c r="W203" s="105"/>
      <c r="X203" s="105"/>
      <c r="Y203" s="105"/>
      <c r="Z203" s="105"/>
      <c r="AA203" s="108"/>
      <c r="AB203" s="108"/>
      <c r="AC203" s="105"/>
      <c r="AD203" s="279"/>
      <c r="AE203" s="105"/>
      <c r="AF203" s="279"/>
      <c r="AG203" s="105"/>
      <c r="AH203" s="108"/>
      <c r="AI203" s="108"/>
      <c r="AJ203" s="108"/>
      <c r="AK203" s="108"/>
      <c r="AL203" s="105"/>
      <c r="AM203" s="108"/>
      <c r="AN203" s="105"/>
      <c r="AO203" s="108"/>
      <c r="AP203" s="108"/>
      <c r="AQ203" s="105"/>
      <c r="AR203" s="108"/>
      <c r="AS203" s="108"/>
      <c r="AT203" s="105"/>
      <c r="AU203" s="105"/>
      <c r="AV203" s="105"/>
      <c r="AW203" s="105"/>
      <c r="AX203" s="105"/>
      <c r="AY203" s="105"/>
      <c r="AZ203" s="105"/>
      <c r="BA203" s="105"/>
      <c r="BB203" s="105"/>
      <c r="BC203" s="105"/>
      <c r="BD203" s="108"/>
      <c r="BE203" s="83">
        <f>IF($A203="","",IF(TRIM($D203&amp;"")="",IF(TRIM($AX203&amp;$AY203&amp;$AZ203&amp;$BA203&amp;$BB203&amp;$BC203&amp;$BD203&amp;"")="","","SUBARRENDADO"),IFERROR(IF(VLOOKUP($D203,VEHICULOS!$A$3:$H$202,7,FALSE)="","",VLOOKUP($D203,VEHICULOS!$A$3:$H$202,7,FALSE)),"")))</f>
      </c>
      <c r="BF203" s="82">
        <f>IF($A203="","",IF(TRIM($BC203&amp;"")&lt;&gt;"",$BC203,IF(TRIM($D203&amp;"")="","",IFERROR(IF(VLOOKUP($D203,VEHICULOS!$A$3:$H$202,8,FALSE)="","",VLOOKUP($D203,VEHICULOS!$A$3:$H$202,8,FALSE)),""))))</f>
      </c>
      <c r="BG203" s="106"/>
      <c r="BH203" s="107"/>
      <c r="BI203" s="86">
        <f t="shared" si="45"/>
      </c>
      <c r="BJ203" s="83">
        <f t="shared" si="46"/>
      </c>
      <c r="BK203" s="85">
        <f t="shared" si="47"/>
      </c>
      <c r="BL203" s="85">
        <f t="shared" si="48"/>
      </c>
      <c r="BM203" s="108"/>
      <c r="BN203" s="85">
        <f t="shared" si="49"/>
      </c>
      <c r="BO203" s="108"/>
      <c r="BP203" s="85">
        <f t="shared" si="50"/>
      </c>
      <c r="BQ203" s="85">
        <f t="shared" si="51"/>
      </c>
      <c r="BR203" s="108"/>
      <c r="BS203" s="104"/>
      <c r="BT203" s="87">
        <f t="shared" si="52"/>
      </c>
      <c r="BU203" s="85">
        <f t="shared" si="53"/>
      </c>
      <c r="BV203" s="85">
        <f t="shared" si="54"/>
      </c>
      <c r="BW203" s="87">
        <f t="shared" si="55"/>
      </c>
      <c r="BX203" s="104"/>
      <c r="BY203" s="106"/>
      <c r="BZ203" s="104"/>
      <c r="CA203" s="105"/>
      <c r="CB203" s="77">
        <f>IF($A203="",0,IF($B203='FICHA CLIENTE'!$C$4,1,0))</f>
      </c>
      <c r="CC203" s="77">
        <f t="shared" si="56"/>
      </c>
      <c r="CD203" s="77">
        <f>IF($A203="",0,IF($D203='FICHA VEHICULO'!$C$4,1,0))</f>
      </c>
      <c r="CE203" s="77">
        <f t="shared" si="57"/>
      </c>
      <c r="CF203" s="77">
        <f t="shared" si="58"/>
      </c>
      <c r="CG203" s="77">
        <f t="shared" si="59"/>
      </c>
    </row>
    <row r="204" spans="1:85" ht="19.5" customHeight="1" x14ac:dyDescent="0.2">
      <c r="A204" s="104"/>
      <c r="B204" s="104"/>
      <c r="C204" s="105"/>
      <c r="D204" s="104"/>
      <c r="E204" s="105"/>
      <c r="F204" s="106"/>
      <c r="G204" s="104"/>
      <c r="H204" s="106"/>
      <c r="I204" s="107"/>
      <c r="J204" s="108"/>
      <c r="K204" s="108"/>
      <c r="L204" s="108"/>
      <c r="M204" s="105"/>
      <c r="N204" s="105"/>
      <c r="O204" s="105"/>
      <c r="P204" s="108"/>
      <c r="Q204" s="105"/>
      <c r="R204" s="105"/>
      <c r="S204" s="105"/>
      <c r="T204" s="105"/>
      <c r="U204" s="108"/>
      <c r="V204" s="105"/>
      <c r="W204" s="105"/>
      <c r="X204" s="105"/>
      <c r="Y204" s="105"/>
      <c r="Z204" s="105"/>
      <c r="AA204" s="108"/>
      <c r="AB204" s="108"/>
      <c r="AC204" s="105"/>
      <c r="AD204" s="279"/>
      <c r="AE204" s="105"/>
      <c r="AF204" s="279"/>
      <c r="AG204" s="105"/>
      <c r="AH204" s="108"/>
      <c r="AI204" s="108"/>
      <c r="AJ204" s="108"/>
      <c r="AK204" s="108"/>
      <c r="AL204" s="105"/>
      <c r="AM204" s="108"/>
      <c r="AN204" s="105"/>
      <c r="AO204" s="108"/>
      <c r="AP204" s="108"/>
      <c r="AQ204" s="105"/>
      <c r="AR204" s="108"/>
      <c r="AS204" s="108"/>
      <c r="AT204" s="105"/>
      <c r="AU204" s="105"/>
      <c r="AV204" s="105"/>
      <c r="AW204" s="105"/>
      <c r="AX204" s="105"/>
      <c r="AY204" s="105"/>
      <c r="AZ204" s="105"/>
      <c r="BA204" s="105"/>
      <c r="BB204" s="105"/>
      <c r="BC204" s="105"/>
      <c r="BD204" s="108"/>
      <c r="BE204" s="83">
        <f>IF($A204="","",IF(TRIM($D204&amp;"")="",IF(TRIM($AX204&amp;$AY204&amp;$AZ204&amp;$BA204&amp;$BB204&amp;$BC204&amp;$BD204&amp;"")="","","SUBARRENDADO"),IFERROR(IF(VLOOKUP($D204,VEHICULOS!$A$3:$H$202,7,FALSE)="","",VLOOKUP($D204,VEHICULOS!$A$3:$H$202,7,FALSE)),"")))</f>
      </c>
      <c r="BF204" s="82">
        <f>IF($A204="","",IF(TRIM($BC204&amp;"")&lt;&gt;"",$BC204,IF(TRIM($D204&amp;"")="","",IFERROR(IF(VLOOKUP($D204,VEHICULOS!$A$3:$H$202,8,FALSE)="","",VLOOKUP($D204,VEHICULOS!$A$3:$H$202,8,FALSE)),""))))</f>
      </c>
      <c r="BG204" s="106"/>
      <c r="BH204" s="107"/>
      <c r="BI204" s="86">
        <f t="shared" si="45"/>
      </c>
      <c r="BJ204" s="83">
        <f t="shared" si="46"/>
      </c>
      <c r="BK204" s="85">
        <f t="shared" si="47"/>
      </c>
      <c r="BL204" s="85">
        <f t="shared" si="48"/>
      </c>
      <c r="BM204" s="108"/>
      <c r="BN204" s="85">
        <f t="shared" si="49"/>
      </c>
      <c r="BO204" s="108"/>
      <c r="BP204" s="85">
        <f t="shared" si="50"/>
      </c>
      <c r="BQ204" s="85">
        <f t="shared" si="51"/>
      </c>
      <c r="BR204" s="108"/>
      <c r="BS204" s="104"/>
      <c r="BT204" s="87">
        <f t="shared" si="52"/>
      </c>
      <c r="BU204" s="85">
        <f t="shared" si="53"/>
      </c>
      <c r="BV204" s="85">
        <f t="shared" si="54"/>
      </c>
      <c r="BW204" s="87">
        <f t="shared" si="55"/>
      </c>
      <c r="BX204" s="104"/>
      <c r="BY204" s="106"/>
      <c r="BZ204" s="104"/>
      <c r="CA204" s="105"/>
      <c r="CB204" s="77">
        <f>IF($A204="",0,IF($B204='FICHA CLIENTE'!$C$4,1,0))</f>
      </c>
      <c r="CC204" s="77">
        <f t="shared" si="56"/>
      </c>
      <c r="CD204" s="77">
        <f>IF($A204="",0,IF($D204='FICHA VEHICULO'!$C$4,1,0))</f>
      </c>
      <c r="CE204" s="77">
        <f t="shared" si="57"/>
      </c>
      <c r="CF204" s="77">
        <f t="shared" si="58"/>
      </c>
      <c r="CG204" s="77">
        <f t="shared" si="59"/>
      </c>
    </row>
    <row r="205" spans="1:85" ht="19.5" customHeight="1" x14ac:dyDescent="0.2">
      <c r="A205" s="104"/>
      <c r="B205" s="104"/>
      <c r="C205" s="105"/>
      <c r="D205" s="104"/>
      <c r="E205" s="105"/>
      <c r="F205" s="106"/>
      <c r="G205" s="104"/>
      <c r="H205" s="106"/>
      <c r="I205" s="107"/>
      <c r="J205" s="108"/>
      <c r="K205" s="108"/>
      <c r="L205" s="108"/>
      <c r="M205" s="105"/>
      <c r="N205" s="105"/>
      <c r="O205" s="105"/>
      <c r="P205" s="108"/>
      <c r="Q205" s="105"/>
      <c r="R205" s="105"/>
      <c r="S205" s="105"/>
      <c r="T205" s="105"/>
      <c r="U205" s="108"/>
      <c r="V205" s="105"/>
      <c r="W205" s="105"/>
      <c r="X205" s="105"/>
      <c r="Y205" s="105"/>
      <c r="Z205" s="105"/>
      <c r="AA205" s="108"/>
      <c r="AB205" s="108"/>
      <c r="AC205" s="105"/>
      <c r="AD205" s="279"/>
      <c r="AE205" s="105"/>
      <c r="AF205" s="279"/>
      <c r="AG205" s="105"/>
      <c r="AH205" s="108"/>
      <c r="AI205" s="108"/>
      <c r="AJ205" s="108"/>
      <c r="AK205" s="108"/>
      <c r="AL205" s="105"/>
      <c r="AM205" s="108"/>
      <c r="AN205" s="105"/>
      <c r="AO205" s="108"/>
      <c r="AP205" s="108"/>
      <c r="AQ205" s="105"/>
      <c r="AR205" s="108"/>
      <c r="AS205" s="108"/>
      <c r="AT205" s="105"/>
      <c r="AU205" s="105"/>
      <c r="AV205" s="105"/>
      <c r="AW205" s="105"/>
      <c r="AX205" s="105"/>
      <c r="AY205" s="105"/>
      <c r="AZ205" s="105"/>
      <c r="BA205" s="105"/>
      <c r="BB205" s="105"/>
      <c r="BC205" s="105"/>
      <c r="BD205" s="108"/>
      <c r="BE205" s="83">
        <f>IF($A205="","",IF(TRIM($D205&amp;"")="",IF(TRIM($AX205&amp;$AY205&amp;$AZ205&amp;$BA205&amp;$BB205&amp;$BC205&amp;$BD205&amp;"")="","","SUBARRENDADO"),IFERROR(IF(VLOOKUP($D205,VEHICULOS!$A$3:$H$202,7,FALSE)="","",VLOOKUP($D205,VEHICULOS!$A$3:$H$202,7,FALSE)),"")))</f>
      </c>
      <c r="BF205" s="82">
        <f>IF($A205="","",IF(TRIM($BC205&amp;"")&lt;&gt;"",$BC205,IF(TRIM($D205&amp;"")="","",IFERROR(IF(VLOOKUP($D205,VEHICULOS!$A$3:$H$202,8,FALSE)="","",VLOOKUP($D205,VEHICULOS!$A$3:$H$202,8,FALSE)),""))))</f>
      </c>
      <c r="BG205" s="106"/>
      <c r="BH205" s="107"/>
      <c r="BI205" s="86">
        <f t="shared" si="45"/>
      </c>
      <c r="BJ205" s="83">
        <f t="shared" si="46"/>
      </c>
      <c r="BK205" s="85">
        <f t="shared" si="47"/>
      </c>
      <c r="BL205" s="85">
        <f t="shared" si="48"/>
      </c>
      <c r="BM205" s="108"/>
      <c r="BN205" s="85">
        <f t="shared" si="49"/>
      </c>
      <c r="BO205" s="108"/>
      <c r="BP205" s="85">
        <f t="shared" si="50"/>
      </c>
      <c r="BQ205" s="85">
        <f t="shared" si="51"/>
      </c>
      <c r="BR205" s="108"/>
      <c r="BS205" s="104"/>
      <c r="BT205" s="87">
        <f t="shared" si="52"/>
      </c>
      <c r="BU205" s="85">
        <f t="shared" si="53"/>
      </c>
      <c r="BV205" s="85">
        <f t="shared" si="54"/>
      </c>
      <c r="BW205" s="87">
        <f t="shared" si="55"/>
      </c>
      <c r="BX205" s="104"/>
      <c r="BY205" s="106"/>
      <c r="BZ205" s="104"/>
      <c r="CA205" s="105"/>
      <c r="CB205" s="77">
        <f>IF($A205="",0,IF($B205='FICHA CLIENTE'!$C$4,1,0))</f>
      </c>
      <c r="CC205" s="77">
        <f t="shared" si="56"/>
      </c>
      <c r="CD205" s="77">
        <f>IF($A205="",0,IF($D205='FICHA VEHICULO'!$C$4,1,0))</f>
      </c>
      <c r="CE205" s="77">
        <f t="shared" si="57"/>
      </c>
      <c r="CF205" s="77">
        <f t="shared" si="58"/>
      </c>
      <c r="CG205" s="77">
        <f t="shared" si="59"/>
      </c>
    </row>
    <row r="206" spans="1:85" ht="19.5" customHeight="1" x14ac:dyDescent="0.2">
      <c r="A206" s="104"/>
      <c r="B206" s="104"/>
      <c r="C206" s="105"/>
      <c r="D206" s="104"/>
      <c r="E206" s="105"/>
      <c r="F206" s="106"/>
      <c r="G206" s="104"/>
      <c r="H206" s="106"/>
      <c r="I206" s="107"/>
      <c r="J206" s="108"/>
      <c r="K206" s="108"/>
      <c r="L206" s="108"/>
      <c r="M206" s="105"/>
      <c r="N206" s="105"/>
      <c r="O206" s="105"/>
      <c r="P206" s="108"/>
      <c r="Q206" s="105"/>
      <c r="R206" s="105"/>
      <c r="S206" s="105"/>
      <c r="T206" s="105"/>
      <c r="U206" s="108"/>
      <c r="V206" s="105"/>
      <c r="W206" s="105"/>
      <c r="X206" s="105"/>
      <c r="Y206" s="105"/>
      <c r="Z206" s="105"/>
      <c r="AA206" s="108"/>
      <c r="AB206" s="108"/>
      <c r="AC206" s="105"/>
      <c r="AD206" s="279"/>
      <c r="AE206" s="105"/>
      <c r="AF206" s="279"/>
      <c r="AG206" s="105"/>
      <c r="AH206" s="108"/>
      <c r="AI206" s="108"/>
      <c r="AJ206" s="108"/>
      <c r="AK206" s="108"/>
      <c r="AL206" s="105"/>
      <c r="AM206" s="108"/>
      <c r="AN206" s="105"/>
      <c r="AO206" s="108"/>
      <c r="AP206" s="108"/>
      <c r="AQ206" s="105"/>
      <c r="AR206" s="108"/>
      <c r="AS206" s="108"/>
      <c r="AT206" s="105"/>
      <c r="AU206" s="105"/>
      <c r="AV206" s="105"/>
      <c r="AW206" s="105"/>
      <c r="AX206" s="105"/>
      <c r="AY206" s="105"/>
      <c r="AZ206" s="105"/>
      <c r="BA206" s="105"/>
      <c r="BB206" s="105"/>
      <c r="BC206" s="105"/>
      <c r="BD206" s="108"/>
      <c r="BE206" s="83">
        <f>IF($A206="","",IF(TRIM($D206&amp;"")="",IF(TRIM($AX206&amp;$AY206&amp;$AZ206&amp;$BA206&amp;$BB206&amp;$BC206&amp;$BD206&amp;"")="","","SUBARRENDADO"),IFERROR(IF(VLOOKUP($D206,VEHICULOS!$A$3:$H$202,7,FALSE)="","",VLOOKUP($D206,VEHICULOS!$A$3:$H$202,7,FALSE)),"")))</f>
      </c>
      <c r="BF206" s="82">
        <f>IF($A206="","",IF(TRIM($BC206&amp;"")&lt;&gt;"",$BC206,IF(TRIM($D206&amp;"")="","",IFERROR(IF(VLOOKUP($D206,VEHICULOS!$A$3:$H$202,8,FALSE)="","",VLOOKUP($D206,VEHICULOS!$A$3:$H$202,8,FALSE)),""))))</f>
      </c>
      <c r="BG206" s="106"/>
      <c r="BH206" s="107"/>
      <c r="BI206" s="86">
        <f t="shared" si="45"/>
      </c>
      <c r="BJ206" s="83">
        <f t="shared" si="46"/>
      </c>
      <c r="BK206" s="85">
        <f t="shared" si="47"/>
      </c>
      <c r="BL206" s="85">
        <f t="shared" si="48"/>
      </c>
      <c r="BM206" s="108"/>
      <c r="BN206" s="85">
        <f t="shared" si="49"/>
      </c>
      <c r="BO206" s="108"/>
      <c r="BP206" s="85">
        <f t="shared" si="50"/>
      </c>
      <c r="BQ206" s="85">
        <f t="shared" si="51"/>
      </c>
      <c r="BR206" s="108"/>
      <c r="BS206" s="104"/>
      <c r="BT206" s="87">
        <f t="shared" si="52"/>
      </c>
      <c r="BU206" s="85">
        <f t="shared" si="53"/>
      </c>
      <c r="BV206" s="85">
        <f t="shared" si="54"/>
      </c>
      <c r="BW206" s="87">
        <f t="shared" si="55"/>
      </c>
      <c r="BX206" s="104"/>
      <c r="BY206" s="106"/>
      <c r="BZ206" s="104"/>
      <c r="CA206" s="105"/>
      <c r="CB206" s="77">
        <f>IF($A206="",0,IF($B206='FICHA CLIENTE'!$C$4,1,0))</f>
      </c>
      <c r="CC206" s="77">
        <f t="shared" si="56"/>
      </c>
      <c r="CD206" s="77">
        <f>IF($A206="",0,IF($D206='FICHA VEHICULO'!$C$4,1,0))</f>
      </c>
      <c r="CE206" s="77">
        <f t="shared" si="57"/>
      </c>
      <c r="CF206" s="77">
        <f t="shared" si="58"/>
      </c>
      <c r="CG206" s="77">
        <f t="shared" si="59"/>
      </c>
    </row>
    <row r="207" spans="1:85" ht="19.5" customHeight="1" x14ac:dyDescent="0.2">
      <c r="A207" s="104"/>
      <c r="B207" s="104"/>
      <c r="C207" s="105"/>
      <c r="D207" s="104"/>
      <c r="E207" s="105"/>
      <c r="F207" s="106"/>
      <c r="G207" s="104"/>
      <c r="H207" s="106"/>
      <c r="I207" s="107"/>
      <c r="J207" s="108"/>
      <c r="K207" s="108"/>
      <c r="L207" s="108"/>
      <c r="M207" s="105"/>
      <c r="N207" s="105"/>
      <c r="O207" s="105"/>
      <c r="P207" s="108"/>
      <c r="Q207" s="105"/>
      <c r="R207" s="105"/>
      <c r="S207" s="105"/>
      <c r="T207" s="105"/>
      <c r="U207" s="108"/>
      <c r="V207" s="105"/>
      <c r="W207" s="105"/>
      <c r="X207" s="105"/>
      <c r="Y207" s="105"/>
      <c r="Z207" s="105"/>
      <c r="AA207" s="108"/>
      <c r="AB207" s="108"/>
      <c r="AC207" s="105"/>
      <c r="AD207" s="279"/>
      <c r="AE207" s="105"/>
      <c r="AF207" s="279"/>
      <c r="AG207" s="105"/>
      <c r="AH207" s="108"/>
      <c r="AI207" s="108"/>
      <c r="AJ207" s="108"/>
      <c r="AK207" s="108"/>
      <c r="AL207" s="105"/>
      <c r="AM207" s="108"/>
      <c r="AN207" s="105"/>
      <c r="AO207" s="108"/>
      <c r="AP207" s="108"/>
      <c r="AQ207" s="105"/>
      <c r="AR207" s="108"/>
      <c r="AS207" s="108"/>
      <c r="AT207" s="105"/>
      <c r="AU207" s="105"/>
      <c r="AV207" s="105"/>
      <c r="AW207" s="105"/>
      <c r="AX207" s="105"/>
      <c r="AY207" s="105"/>
      <c r="AZ207" s="105"/>
      <c r="BA207" s="105"/>
      <c r="BB207" s="105"/>
      <c r="BC207" s="105"/>
      <c r="BD207" s="108"/>
      <c r="BE207" s="83">
        <f>IF($A207="","",IF(TRIM($D207&amp;"")="",IF(TRIM($AX207&amp;$AY207&amp;$AZ207&amp;$BA207&amp;$BB207&amp;$BC207&amp;$BD207&amp;"")="","","SUBARRENDADO"),IFERROR(IF(VLOOKUP($D207,VEHICULOS!$A$3:$H$202,7,FALSE)="","",VLOOKUP($D207,VEHICULOS!$A$3:$H$202,7,FALSE)),"")))</f>
      </c>
      <c r="BF207" s="82">
        <f>IF($A207="","",IF(TRIM($BC207&amp;"")&lt;&gt;"",$BC207,IF(TRIM($D207&amp;"")="","",IFERROR(IF(VLOOKUP($D207,VEHICULOS!$A$3:$H$202,8,FALSE)="","",VLOOKUP($D207,VEHICULOS!$A$3:$H$202,8,FALSE)),""))))</f>
      </c>
      <c r="BG207" s="106"/>
      <c r="BH207" s="107"/>
      <c r="BI207" s="86">
        <f t="shared" si="45"/>
      </c>
      <c r="BJ207" s="83">
        <f t="shared" si="46"/>
      </c>
      <c r="BK207" s="85">
        <f t="shared" si="47"/>
      </c>
      <c r="BL207" s="85">
        <f t="shared" si="48"/>
      </c>
      <c r="BM207" s="108"/>
      <c r="BN207" s="85">
        <f t="shared" si="49"/>
      </c>
      <c r="BO207" s="108"/>
      <c r="BP207" s="85">
        <f t="shared" si="50"/>
      </c>
      <c r="BQ207" s="85">
        <f t="shared" si="51"/>
      </c>
      <c r="BR207" s="108"/>
      <c r="BS207" s="104"/>
      <c r="BT207" s="87">
        <f t="shared" si="52"/>
      </c>
      <c r="BU207" s="85">
        <f t="shared" si="53"/>
      </c>
      <c r="BV207" s="85">
        <f t="shared" si="54"/>
      </c>
      <c r="BW207" s="87">
        <f t="shared" si="55"/>
      </c>
      <c r="BX207" s="104"/>
      <c r="BY207" s="106"/>
      <c r="BZ207" s="104"/>
      <c r="CA207" s="105"/>
      <c r="CB207" s="77">
        <f>IF($A207="",0,IF($B207='FICHA CLIENTE'!$C$4,1,0))</f>
      </c>
      <c r="CC207" s="77">
        <f t="shared" si="56"/>
      </c>
      <c r="CD207" s="77">
        <f>IF($A207="",0,IF($D207='FICHA VEHICULO'!$C$4,1,0))</f>
      </c>
      <c r="CE207" s="77">
        <f t="shared" si="57"/>
      </c>
      <c r="CF207" s="77">
        <f t="shared" si="58"/>
      </c>
      <c r="CG207" s="77">
        <f t="shared" si="59"/>
      </c>
    </row>
    <row r="208" spans="1:85" ht="19.5" customHeight="1" x14ac:dyDescent="0.2">
      <c r="A208" s="104"/>
      <c r="B208" s="104"/>
      <c r="C208" s="105"/>
      <c r="D208" s="104"/>
      <c r="E208" s="105"/>
      <c r="F208" s="106"/>
      <c r="G208" s="104"/>
      <c r="H208" s="106"/>
      <c r="I208" s="107"/>
      <c r="J208" s="108"/>
      <c r="K208" s="108"/>
      <c r="L208" s="108"/>
      <c r="M208" s="105"/>
      <c r="N208" s="105"/>
      <c r="O208" s="105"/>
      <c r="P208" s="108"/>
      <c r="Q208" s="105"/>
      <c r="R208" s="105"/>
      <c r="S208" s="105"/>
      <c r="T208" s="105"/>
      <c r="U208" s="108"/>
      <c r="V208" s="105"/>
      <c r="W208" s="105"/>
      <c r="X208" s="105"/>
      <c r="Y208" s="105"/>
      <c r="Z208" s="105"/>
      <c r="AA208" s="108"/>
      <c r="AB208" s="108"/>
      <c r="AC208" s="105"/>
      <c r="AD208" s="279"/>
      <c r="AE208" s="105"/>
      <c r="AF208" s="279"/>
      <c r="AG208" s="105"/>
      <c r="AH208" s="108"/>
      <c r="AI208" s="108"/>
      <c r="AJ208" s="108"/>
      <c r="AK208" s="108"/>
      <c r="AL208" s="105"/>
      <c r="AM208" s="108"/>
      <c r="AN208" s="105"/>
      <c r="AO208" s="108"/>
      <c r="AP208" s="108"/>
      <c r="AQ208" s="105"/>
      <c r="AR208" s="108"/>
      <c r="AS208" s="108"/>
      <c r="AT208" s="105"/>
      <c r="AU208" s="105"/>
      <c r="AV208" s="105"/>
      <c r="AW208" s="105"/>
      <c r="AX208" s="105"/>
      <c r="AY208" s="105"/>
      <c r="AZ208" s="105"/>
      <c r="BA208" s="105"/>
      <c r="BB208" s="105"/>
      <c r="BC208" s="105"/>
      <c r="BD208" s="108"/>
      <c r="BE208" s="83">
        <f>IF($A208="","",IF(TRIM($D208&amp;"")="",IF(TRIM($AX208&amp;$AY208&amp;$AZ208&amp;$BA208&amp;$BB208&amp;$BC208&amp;$BD208&amp;"")="","","SUBARRENDADO"),IFERROR(IF(VLOOKUP($D208,VEHICULOS!$A$3:$H$202,7,FALSE)="","",VLOOKUP($D208,VEHICULOS!$A$3:$H$202,7,FALSE)),"")))</f>
      </c>
      <c r="BF208" s="82">
        <f>IF($A208="","",IF(TRIM($BC208&amp;"")&lt;&gt;"",$BC208,IF(TRIM($D208&amp;"")="","",IFERROR(IF(VLOOKUP($D208,VEHICULOS!$A$3:$H$202,8,FALSE)="","",VLOOKUP($D208,VEHICULOS!$A$3:$H$202,8,FALSE)),""))))</f>
      </c>
      <c r="BG208" s="106"/>
      <c r="BH208" s="107"/>
      <c r="BI208" s="86">
        <f t="shared" si="45"/>
      </c>
      <c r="BJ208" s="83">
        <f t="shared" si="46"/>
      </c>
      <c r="BK208" s="85">
        <f t="shared" si="47"/>
      </c>
      <c r="BL208" s="85">
        <f t="shared" si="48"/>
      </c>
      <c r="BM208" s="108"/>
      <c r="BN208" s="85">
        <f t="shared" si="49"/>
      </c>
      <c r="BO208" s="108"/>
      <c r="BP208" s="85">
        <f t="shared" si="50"/>
      </c>
      <c r="BQ208" s="85">
        <f t="shared" si="51"/>
      </c>
      <c r="BR208" s="108"/>
      <c r="BS208" s="104"/>
      <c r="BT208" s="87">
        <f t="shared" si="52"/>
      </c>
      <c r="BU208" s="85">
        <f t="shared" si="53"/>
      </c>
      <c r="BV208" s="85">
        <f t="shared" si="54"/>
      </c>
      <c r="BW208" s="87">
        <f t="shared" si="55"/>
      </c>
      <c r="BX208" s="104"/>
      <c r="BY208" s="106"/>
      <c r="BZ208" s="104"/>
      <c r="CA208" s="105"/>
      <c r="CB208" s="77">
        <f>IF($A208="",0,IF($B208='FICHA CLIENTE'!$C$4,1,0))</f>
      </c>
      <c r="CC208" s="77">
        <f t="shared" si="56"/>
      </c>
      <c r="CD208" s="77">
        <f>IF($A208="",0,IF($D208='FICHA VEHICULO'!$C$4,1,0))</f>
      </c>
      <c r="CE208" s="77">
        <f t="shared" si="57"/>
      </c>
      <c r="CF208" s="77">
        <f t="shared" si="58"/>
      </c>
      <c r="CG208" s="77">
        <f t="shared" si="59"/>
      </c>
    </row>
    <row r="209" spans="1:85" ht="19.5" customHeight="1" x14ac:dyDescent="0.2">
      <c r="A209" s="104"/>
      <c r="B209" s="104"/>
      <c r="C209" s="105"/>
      <c r="D209" s="104"/>
      <c r="E209" s="105"/>
      <c r="F209" s="106"/>
      <c r="G209" s="104"/>
      <c r="H209" s="106"/>
      <c r="I209" s="107"/>
      <c r="J209" s="108"/>
      <c r="K209" s="108"/>
      <c r="L209" s="108"/>
      <c r="M209" s="105"/>
      <c r="N209" s="105"/>
      <c r="O209" s="105"/>
      <c r="P209" s="108"/>
      <c r="Q209" s="105"/>
      <c r="R209" s="105"/>
      <c r="S209" s="105"/>
      <c r="T209" s="105"/>
      <c r="U209" s="108"/>
      <c r="V209" s="105"/>
      <c r="W209" s="105"/>
      <c r="X209" s="105"/>
      <c r="Y209" s="105"/>
      <c r="Z209" s="105"/>
      <c r="AA209" s="108"/>
      <c r="AB209" s="108"/>
      <c r="AC209" s="105"/>
      <c r="AD209" s="279"/>
      <c r="AE209" s="105"/>
      <c r="AF209" s="279"/>
      <c r="AG209" s="105"/>
      <c r="AH209" s="108"/>
      <c r="AI209" s="108"/>
      <c r="AJ209" s="108"/>
      <c r="AK209" s="108"/>
      <c r="AL209" s="105"/>
      <c r="AM209" s="108"/>
      <c r="AN209" s="105"/>
      <c r="AO209" s="108"/>
      <c r="AP209" s="108"/>
      <c r="AQ209" s="105"/>
      <c r="AR209" s="108"/>
      <c r="AS209" s="108"/>
      <c r="AT209" s="105"/>
      <c r="AU209" s="105"/>
      <c r="AV209" s="105"/>
      <c r="AW209" s="105"/>
      <c r="AX209" s="105"/>
      <c r="AY209" s="105"/>
      <c r="AZ209" s="105"/>
      <c r="BA209" s="105"/>
      <c r="BB209" s="105"/>
      <c r="BC209" s="105"/>
      <c r="BD209" s="108"/>
      <c r="BE209" s="83">
        <f>IF($A209="","",IF(TRIM($D209&amp;"")="",IF(TRIM($AX209&amp;$AY209&amp;$AZ209&amp;$BA209&amp;$BB209&amp;$BC209&amp;$BD209&amp;"")="","","SUBARRENDADO"),IFERROR(IF(VLOOKUP($D209,VEHICULOS!$A$3:$H$202,7,FALSE)="","",VLOOKUP($D209,VEHICULOS!$A$3:$H$202,7,FALSE)),"")))</f>
      </c>
      <c r="BF209" s="82">
        <f>IF($A209="","",IF(TRIM($BC209&amp;"")&lt;&gt;"",$BC209,IF(TRIM($D209&amp;"")="","",IFERROR(IF(VLOOKUP($D209,VEHICULOS!$A$3:$H$202,8,FALSE)="","",VLOOKUP($D209,VEHICULOS!$A$3:$H$202,8,FALSE)),""))))</f>
      </c>
      <c r="BG209" s="106"/>
      <c r="BH209" s="107"/>
      <c r="BI209" s="86">
        <f t="shared" si="45"/>
      </c>
      <c r="BJ209" s="83">
        <f t="shared" si="46"/>
      </c>
      <c r="BK209" s="85">
        <f t="shared" si="47"/>
      </c>
      <c r="BL209" s="85">
        <f t="shared" si="48"/>
      </c>
      <c r="BM209" s="108"/>
      <c r="BN209" s="85">
        <f t="shared" si="49"/>
      </c>
      <c r="BO209" s="108"/>
      <c r="BP209" s="85">
        <f t="shared" si="50"/>
      </c>
      <c r="BQ209" s="85">
        <f t="shared" si="51"/>
      </c>
      <c r="BR209" s="108"/>
      <c r="BS209" s="104"/>
      <c r="BT209" s="87">
        <f t="shared" si="52"/>
      </c>
      <c r="BU209" s="85">
        <f t="shared" si="53"/>
      </c>
      <c r="BV209" s="85">
        <f t="shared" si="54"/>
      </c>
      <c r="BW209" s="87">
        <f t="shared" si="55"/>
      </c>
      <c r="BX209" s="104"/>
      <c r="BY209" s="106"/>
      <c r="BZ209" s="104"/>
      <c r="CA209" s="105"/>
      <c r="CB209" s="77">
        <f>IF($A209="",0,IF($B209='FICHA CLIENTE'!$C$4,1,0))</f>
      </c>
      <c r="CC209" s="77">
        <f t="shared" si="56"/>
      </c>
      <c r="CD209" s="77">
        <f>IF($A209="",0,IF($D209='FICHA VEHICULO'!$C$4,1,0))</f>
      </c>
      <c r="CE209" s="77">
        <f t="shared" si="57"/>
      </c>
      <c r="CF209" s="77">
        <f t="shared" si="58"/>
      </c>
      <c r="CG209" s="77">
        <f t="shared" si="59"/>
      </c>
    </row>
    <row r="210" spans="1:85" ht="19.5" customHeight="1" x14ac:dyDescent="0.2">
      <c r="A210" s="104"/>
      <c r="B210" s="104"/>
      <c r="C210" s="105"/>
      <c r="D210" s="104"/>
      <c r="E210" s="105"/>
      <c r="F210" s="106"/>
      <c r="G210" s="104"/>
      <c r="H210" s="106"/>
      <c r="I210" s="107"/>
      <c r="J210" s="108"/>
      <c r="K210" s="108"/>
      <c r="L210" s="108"/>
      <c r="M210" s="105"/>
      <c r="N210" s="105"/>
      <c r="O210" s="105"/>
      <c r="P210" s="108"/>
      <c r="Q210" s="105"/>
      <c r="R210" s="105"/>
      <c r="S210" s="105"/>
      <c r="T210" s="105"/>
      <c r="U210" s="108"/>
      <c r="V210" s="105"/>
      <c r="W210" s="105"/>
      <c r="X210" s="105"/>
      <c r="Y210" s="105"/>
      <c r="Z210" s="105"/>
      <c r="AA210" s="108"/>
      <c r="AB210" s="108"/>
      <c r="AC210" s="105"/>
      <c r="AD210" s="279"/>
      <c r="AE210" s="105"/>
      <c r="AF210" s="279"/>
      <c r="AG210" s="105"/>
      <c r="AH210" s="108"/>
      <c r="AI210" s="108"/>
      <c r="AJ210" s="108"/>
      <c r="AK210" s="108"/>
      <c r="AL210" s="105"/>
      <c r="AM210" s="108"/>
      <c r="AN210" s="105"/>
      <c r="AO210" s="108"/>
      <c r="AP210" s="108"/>
      <c r="AQ210" s="105"/>
      <c r="AR210" s="108"/>
      <c r="AS210" s="108"/>
      <c r="AT210" s="105"/>
      <c r="AU210" s="105"/>
      <c r="AV210" s="105"/>
      <c r="AW210" s="105"/>
      <c r="AX210" s="105"/>
      <c r="AY210" s="105"/>
      <c r="AZ210" s="105"/>
      <c r="BA210" s="105"/>
      <c r="BB210" s="105"/>
      <c r="BC210" s="105"/>
      <c r="BD210" s="108"/>
      <c r="BE210" s="83">
        <f>IF($A210="","",IF(TRIM($D210&amp;"")="",IF(TRIM($AX210&amp;$AY210&amp;$AZ210&amp;$BA210&amp;$BB210&amp;$BC210&amp;$BD210&amp;"")="","","SUBARRENDADO"),IFERROR(IF(VLOOKUP($D210,VEHICULOS!$A$3:$H$202,7,FALSE)="","",VLOOKUP($D210,VEHICULOS!$A$3:$H$202,7,FALSE)),"")))</f>
      </c>
      <c r="BF210" s="82">
        <f>IF($A210="","",IF(TRIM($BC210&amp;"")&lt;&gt;"",$BC210,IF(TRIM($D210&amp;"")="","",IFERROR(IF(VLOOKUP($D210,VEHICULOS!$A$3:$H$202,8,FALSE)="","",VLOOKUP($D210,VEHICULOS!$A$3:$H$202,8,FALSE)),""))))</f>
      </c>
      <c r="BG210" s="106"/>
      <c r="BH210" s="107"/>
      <c r="BI210" s="86">
        <f t="shared" si="45"/>
      </c>
      <c r="BJ210" s="83">
        <f t="shared" si="46"/>
      </c>
      <c r="BK210" s="85">
        <f t="shared" si="47"/>
      </c>
      <c r="BL210" s="85">
        <f t="shared" si="48"/>
      </c>
      <c r="BM210" s="108"/>
      <c r="BN210" s="85">
        <f t="shared" si="49"/>
      </c>
      <c r="BO210" s="108"/>
      <c r="BP210" s="85">
        <f t="shared" si="50"/>
      </c>
      <c r="BQ210" s="85">
        <f t="shared" si="51"/>
      </c>
      <c r="BR210" s="108"/>
      <c r="BS210" s="104"/>
      <c r="BT210" s="87">
        <f t="shared" si="52"/>
      </c>
      <c r="BU210" s="85">
        <f t="shared" si="53"/>
      </c>
      <c r="BV210" s="85">
        <f t="shared" si="54"/>
      </c>
      <c r="BW210" s="87">
        <f t="shared" si="55"/>
      </c>
      <c r="BX210" s="104"/>
      <c r="BY210" s="106"/>
      <c r="BZ210" s="104"/>
      <c r="CA210" s="105"/>
      <c r="CB210" s="77">
        <f>IF($A210="",0,IF($B210='FICHA CLIENTE'!$C$4,1,0))</f>
      </c>
      <c r="CC210" s="77">
        <f t="shared" si="56"/>
      </c>
      <c r="CD210" s="77">
        <f>IF($A210="",0,IF($D210='FICHA VEHICULO'!$C$4,1,0))</f>
      </c>
      <c r="CE210" s="77">
        <f t="shared" si="57"/>
      </c>
      <c r="CF210" s="77">
        <f t="shared" si="58"/>
      </c>
      <c r="CG210" s="77">
        <f t="shared" si="59"/>
      </c>
    </row>
    <row r="211" spans="1:85" ht="19.5" customHeight="1" x14ac:dyDescent="0.2">
      <c r="A211" s="104"/>
      <c r="B211" s="104"/>
      <c r="C211" s="105"/>
      <c r="D211" s="104"/>
      <c r="E211" s="105"/>
      <c r="F211" s="106"/>
      <c r="G211" s="104"/>
      <c r="H211" s="106"/>
      <c r="I211" s="107"/>
      <c r="J211" s="108"/>
      <c r="K211" s="108"/>
      <c r="L211" s="108"/>
      <c r="M211" s="105"/>
      <c r="N211" s="105"/>
      <c r="O211" s="105"/>
      <c r="P211" s="108"/>
      <c r="Q211" s="105"/>
      <c r="R211" s="105"/>
      <c r="S211" s="105"/>
      <c r="T211" s="105"/>
      <c r="U211" s="108"/>
      <c r="V211" s="105"/>
      <c r="W211" s="105"/>
      <c r="X211" s="105"/>
      <c r="Y211" s="105"/>
      <c r="Z211" s="105"/>
      <c r="AA211" s="108"/>
      <c r="AB211" s="108"/>
      <c r="AC211" s="105"/>
      <c r="AD211" s="279"/>
      <c r="AE211" s="105"/>
      <c r="AF211" s="279"/>
      <c r="AG211" s="105"/>
      <c r="AH211" s="108"/>
      <c r="AI211" s="108"/>
      <c r="AJ211" s="108"/>
      <c r="AK211" s="108"/>
      <c r="AL211" s="105"/>
      <c r="AM211" s="108"/>
      <c r="AN211" s="105"/>
      <c r="AO211" s="108"/>
      <c r="AP211" s="108"/>
      <c r="AQ211" s="105"/>
      <c r="AR211" s="108"/>
      <c r="AS211" s="108"/>
      <c r="AT211" s="105"/>
      <c r="AU211" s="105"/>
      <c r="AV211" s="105"/>
      <c r="AW211" s="105"/>
      <c r="AX211" s="105"/>
      <c r="AY211" s="105"/>
      <c r="AZ211" s="105"/>
      <c r="BA211" s="105"/>
      <c r="BB211" s="105"/>
      <c r="BC211" s="105"/>
      <c r="BD211" s="108"/>
      <c r="BE211" s="83">
        <f>IF($A211="","",IF(TRIM($D211&amp;"")="",IF(TRIM($AX211&amp;$AY211&amp;$AZ211&amp;$BA211&amp;$BB211&amp;$BC211&amp;$BD211&amp;"")="","","SUBARRENDADO"),IFERROR(IF(VLOOKUP($D211,VEHICULOS!$A$3:$H$202,7,FALSE)="","",VLOOKUP($D211,VEHICULOS!$A$3:$H$202,7,FALSE)),"")))</f>
      </c>
      <c r="BF211" s="82">
        <f>IF($A211="","",IF(TRIM($BC211&amp;"")&lt;&gt;"",$BC211,IF(TRIM($D211&amp;"")="","",IFERROR(IF(VLOOKUP($D211,VEHICULOS!$A$3:$H$202,8,FALSE)="","",VLOOKUP($D211,VEHICULOS!$A$3:$H$202,8,FALSE)),""))))</f>
      </c>
      <c r="BG211" s="106"/>
      <c r="BH211" s="107"/>
      <c r="BI211" s="86">
        <f t="shared" si="45"/>
      </c>
      <c r="BJ211" s="83">
        <f t="shared" si="46"/>
      </c>
      <c r="BK211" s="85">
        <f t="shared" si="47"/>
      </c>
      <c r="BL211" s="85">
        <f t="shared" si="48"/>
      </c>
      <c r="BM211" s="108"/>
      <c r="BN211" s="85">
        <f t="shared" si="49"/>
      </c>
      <c r="BO211" s="108"/>
      <c r="BP211" s="85">
        <f t="shared" si="50"/>
      </c>
      <c r="BQ211" s="85">
        <f t="shared" si="51"/>
      </c>
      <c r="BR211" s="108"/>
      <c r="BS211" s="104"/>
      <c r="BT211" s="87">
        <f t="shared" si="52"/>
      </c>
      <c r="BU211" s="85">
        <f t="shared" si="53"/>
      </c>
      <c r="BV211" s="85">
        <f t="shared" si="54"/>
      </c>
      <c r="BW211" s="87">
        <f t="shared" si="55"/>
      </c>
      <c r="BX211" s="104"/>
      <c r="BY211" s="106"/>
      <c r="BZ211" s="104"/>
      <c r="CA211" s="105"/>
      <c r="CB211" s="77">
        <f>IF($A211="",0,IF($B211='FICHA CLIENTE'!$C$4,1,0))</f>
      </c>
      <c r="CC211" s="77">
        <f t="shared" si="56"/>
      </c>
      <c r="CD211" s="77">
        <f>IF($A211="",0,IF($D211='FICHA VEHICULO'!$C$4,1,0))</f>
      </c>
      <c r="CE211" s="77">
        <f t="shared" si="57"/>
      </c>
      <c r="CF211" s="77">
        <f t="shared" si="58"/>
      </c>
      <c r="CG211" s="77">
        <f t="shared" si="59"/>
      </c>
    </row>
    <row r="212" spans="1:85" ht="19.5" customHeight="1" x14ac:dyDescent="0.2">
      <c r="A212" s="104"/>
      <c r="B212" s="104"/>
      <c r="C212" s="105"/>
      <c r="D212" s="104"/>
      <c r="E212" s="105"/>
      <c r="F212" s="106"/>
      <c r="G212" s="104"/>
      <c r="H212" s="106"/>
      <c r="I212" s="107"/>
      <c r="J212" s="108"/>
      <c r="K212" s="108"/>
      <c r="L212" s="108"/>
      <c r="M212" s="105"/>
      <c r="N212" s="105"/>
      <c r="O212" s="105"/>
      <c r="P212" s="108"/>
      <c r="Q212" s="105"/>
      <c r="R212" s="105"/>
      <c r="S212" s="105"/>
      <c r="T212" s="105"/>
      <c r="U212" s="108"/>
      <c r="V212" s="105"/>
      <c r="W212" s="105"/>
      <c r="X212" s="105"/>
      <c r="Y212" s="105"/>
      <c r="Z212" s="105"/>
      <c r="AA212" s="108"/>
      <c r="AB212" s="108"/>
      <c r="AC212" s="105"/>
      <c r="AD212" s="279"/>
      <c r="AE212" s="105"/>
      <c r="AF212" s="279"/>
      <c r="AG212" s="105"/>
      <c r="AH212" s="108"/>
      <c r="AI212" s="108"/>
      <c r="AJ212" s="108"/>
      <c r="AK212" s="108"/>
      <c r="AL212" s="105"/>
      <c r="AM212" s="108"/>
      <c r="AN212" s="105"/>
      <c r="AO212" s="108"/>
      <c r="AP212" s="108"/>
      <c r="AQ212" s="105"/>
      <c r="AR212" s="108"/>
      <c r="AS212" s="108"/>
      <c r="AT212" s="105"/>
      <c r="AU212" s="105"/>
      <c r="AV212" s="105"/>
      <c r="AW212" s="105"/>
      <c r="AX212" s="105"/>
      <c r="AY212" s="105"/>
      <c r="AZ212" s="105"/>
      <c r="BA212" s="105"/>
      <c r="BB212" s="105"/>
      <c r="BC212" s="105"/>
      <c r="BD212" s="108"/>
      <c r="BE212" s="83">
        <f>IF($A212="","",IF(TRIM($D212&amp;"")="",IF(TRIM($AX212&amp;$AY212&amp;$AZ212&amp;$BA212&amp;$BB212&amp;$BC212&amp;$BD212&amp;"")="","","SUBARRENDADO"),IFERROR(IF(VLOOKUP($D212,VEHICULOS!$A$3:$H$202,7,FALSE)="","",VLOOKUP($D212,VEHICULOS!$A$3:$H$202,7,FALSE)),"")))</f>
      </c>
      <c r="BF212" s="82">
        <f>IF($A212="","",IF(TRIM($BC212&amp;"")&lt;&gt;"",$BC212,IF(TRIM($D212&amp;"")="","",IFERROR(IF(VLOOKUP($D212,VEHICULOS!$A$3:$H$202,8,FALSE)="","",VLOOKUP($D212,VEHICULOS!$A$3:$H$202,8,FALSE)),""))))</f>
      </c>
      <c r="BG212" s="106"/>
      <c r="BH212" s="107"/>
      <c r="BI212" s="86">
        <f t="shared" si="45"/>
      </c>
      <c r="BJ212" s="83">
        <f t="shared" si="46"/>
      </c>
      <c r="BK212" s="85">
        <f t="shared" si="47"/>
      </c>
      <c r="BL212" s="85">
        <f t="shared" si="48"/>
      </c>
      <c r="BM212" s="108"/>
      <c r="BN212" s="85">
        <f t="shared" si="49"/>
      </c>
      <c r="BO212" s="108"/>
      <c r="BP212" s="85">
        <f t="shared" si="50"/>
      </c>
      <c r="BQ212" s="85">
        <f t="shared" si="51"/>
      </c>
      <c r="BR212" s="108"/>
      <c r="BS212" s="104"/>
      <c r="BT212" s="87">
        <f t="shared" si="52"/>
      </c>
      <c r="BU212" s="85">
        <f t="shared" si="53"/>
      </c>
      <c r="BV212" s="85">
        <f t="shared" si="54"/>
      </c>
      <c r="BW212" s="87">
        <f t="shared" si="55"/>
      </c>
      <c r="BX212" s="104"/>
      <c r="BY212" s="106"/>
      <c r="BZ212" s="104"/>
      <c r="CA212" s="105"/>
      <c r="CB212" s="77">
        <f>IF($A212="",0,IF($B212='FICHA CLIENTE'!$C$4,1,0))</f>
      </c>
      <c r="CC212" s="77">
        <f t="shared" si="56"/>
      </c>
      <c r="CD212" s="77">
        <f>IF($A212="",0,IF($D212='FICHA VEHICULO'!$C$4,1,0))</f>
      </c>
      <c r="CE212" s="77">
        <f t="shared" si="57"/>
      </c>
      <c r="CF212" s="77">
        <f t="shared" si="58"/>
      </c>
      <c r="CG212" s="77">
        <f t="shared" si="59"/>
      </c>
    </row>
    <row r="213" spans="1:85" ht="19.5" customHeight="1" x14ac:dyDescent="0.2">
      <c r="A213" s="104"/>
      <c r="B213" s="104"/>
      <c r="C213" s="105"/>
      <c r="D213" s="104"/>
      <c r="E213" s="105"/>
      <c r="F213" s="106"/>
      <c r="G213" s="104"/>
      <c r="H213" s="106"/>
      <c r="I213" s="107"/>
      <c r="J213" s="108"/>
      <c r="K213" s="108"/>
      <c r="L213" s="108"/>
      <c r="M213" s="105"/>
      <c r="N213" s="105"/>
      <c r="O213" s="105"/>
      <c r="P213" s="108"/>
      <c r="Q213" s="105"/>
      <c r="R213" s="105"/>
      <c r="S213" s="105"/>
      <c r="T213" s="105"/>
      <c r="U213" s="108"/>
      <c r="V213" s="105"/>
      <c r="W213" s="105"/>
      <c r="X213" s="105"/>
      <c r="Y213" s="105"/>
      <c r="Z213" s="105"/>
      <c r="AA213" s="108"/>
      <c r="AB213" s="108"/>
      <c r="AC213" s="105"/>
      <c r="AD213" s="279"/>
      <c r="AE213" s="105"/>
      <c r="AF213" s="279"/>
      <c r="AG213" s="105"/>
      <c r="AH213" s="108"/>
      <c r="AI213" s="108"/>
      <c r="AJ213" s="108"/>
      <c r="AK213" s="108"/>
      <c r="AL213" s="105"/>
      <c r="AM213" s="108"/>
      <c r="AN213" s="105"/>
      <c r="AO213" s="108"/>
      <c r="AP213" s="108"/>
      <c r="AQ213" s="105"/>
      <c r="AR213" s="108"/>
      <c r="AS213" s="108"/>
      <c r="AT213" s="105"/>
      <c r="AU213" s="105"/>
      <c r="AV213" s="105"/>
      <c r="AW213" s="105"/>
      <c r="AX213" s="105"/>
      <c r="AY213" s="105"/>
      <c r="AZ213" s="105"/>
      <c r="BA213" s="105"/>
      <c r="BB213" s="105"/>
      <c r="BC213" s="105"/>
      <c r="BD213" s="108"/>
      <c r="BE213" s="83">
        <f>IF($A213="","",IF(TRIM($D213&amp;"")="",IF(TRIM($AX213&amp;$AY213&amp;$AZ213&amp;$BA213&amp;$BB213&amp;$BC213&amp;$BD213&amp;"")="","","SUBARRENDADO"),IFERROR(IF(VLOOKUP($D213,VEHICULOS!$A$3:$H$202,7,FALSE)="","",VLOOKUP($D213,VEHICULOS!$A$3:$H$202,7,FALSE)),"")))</f>
      </c>
      <c r="BF213" s="82">
        <f>IF($A213="","",IF(TRIM($BC213&amp;"")&lt;&gt;"",$BC213,IF(TRIM($D213&amp;"")="","",IFERROR(IF(VLOOKUP($D213,VEHICULOS!$A$3:$H$202,8,FALSE)="","",VLOOKUP($D213,VEHICULOS!$A$3:$H$202,8,FALSE)),""))))</f>
      </c>
      <c r="BG213" s="106"/>
      <c r="BH213" s="107"/>
      <c r="BI213" s="86">
        <f t="shared" si="45"/>
      </c>
      <c r="BJ213" s="83">
        <f t="shared" si="46"/>
      </c>
      <c r="BK213" s="85">
        <f t="shared" si="47"/>
      </c>
      <c r="BL213" s="85">
        <f t="shared" si="48"/>
      </c>
      <c r="BM213" s="108"/>
      <c r="BN213" s="85">
        <f t="shared" si="49"/>
      </c>
      <c r="BO213" s="108"/>
      <c r="BP213" s="85">
        <f t="shared" si="50"/>
      </c>
      <c r="BQ213" s="85">
        <f t="shared" si="51"/>
      </c>
      <c r="BR213" s="108"/>
      <c r="BS213" s="104"/>
      <c r="BT213" s="87">
        <f t="shared" si="52"/>
      </c>
      <c r="BU213" s="85">
        <f t="shared" si="53"/>
      </c>
      <c r="BV213" s="85">
        <f t="shared" si="54"/>
      </c>
      <c r="BW213" s="87">
        <f t="shared" si="55"/>
      </c>
      <c r="BX213" s="104"/>
      <c r="BY213" s="106"/>
      <c r="BZ213" s="104"/>
      <c r="CA213" s="105"/>
      <c r="CB213" s="77">
        <f>IF($A213="",0,IF($B213='FICHA CLIENTE'!$C$4,1,0))</f>
      </c>
      <c r="CC213" s="77">
        <f t="shared" si="56"/>
      </c>
      <c r="CD213" s="77">
        <f>IF($A213="",0,IF($D213='FICHA VEHICULO'!$C$4,1,0))</f>
      </c>
      <c r="CE213" s="77">
        <f t="shared" si="57"/>
      </c>
      <c r="CF213" s="77">
        <f t="shared" si="58"/>
      </c>
      <c r="CG213" s="77">
        <f t="shared" si="59"/>
      </c>
    </row>
    <row r="214" spans="1:85" ht="19.5" customHeight="1" x14ac:dyDescent="0.2">
      <c r="A214" s="104"/>
      <c r="B214" s="104"/>
      <c r="C214" s="105"/>
      <c r="D214" s="104"/>
      <c r="E214" s="105"/>
      <c r="F214" s="106"/>
      <c r="G214" s="104"/>
      <c r="H214" s="106"/>
      <c r="I214" s="107"/>
      <c r="J214" s="108"/>
      <c r="K214" s="108"/>
      <c r="L214" s="108"/>
      <c r="M214" s="105"/>
      <c r="N214" s="105"/>
      <c r="O214" s="105"/>
      <c r="P214" s="108"/>
      <c r="Q214" s="105"/>
      <c r="R214" s="105"/>
      <c r="S214" s="105"/>
      <c r="T214" s="105"/>
      <c r="U214" s="108"/>
      <c r="V214" s="105"/>
      <c r="W214" s="105"/>
      <c r="X214" s="105"/>
      <c r="Y214" s="105"/>
      <c r="Z214" s="105"/>
      <c r="AA214" s="108"/>
      <c r="AB214" s="108"/>
      <c r="AC214" s="105"/>
      <c r="AD214" s="279"/>
      <c r="AE214" s="105"/>
      <c r="AF214" s="279"/>
      <c r="AG214" s="105"/>
      <c r="AH214" s="108"/>
      <c r="AI214" s="108"/>
      <c r="AJ214" s="108"/>
      <c r="AK214" s="108"/>
      <c r="AL214" s="105"/>
      <c r="AM214" s="108"/>
      <c r="AN214" s="105"/>
      <c r="AO214" s="108"/>
      <c r="AP214" s="108"/>
      <c r="AQ214" s="105"/>
      <c r="AR214" s="108"/>
      <c r="AS214" s="108"/>
      <c r="AT214" s="105"/>
      <c r="AU214" s="105"/>
      <c r="AV214" s="105"/>
      <c r="AW214" s="105"/>
      <c r="AX214" s="105"/>
      <c r="AY214" s="105"/>
      <c r="AZ214" s="105"/>
      <c r="BA214" s="105"/>
      <c r="BB214" s="105"/>
      <c r="BC214" s="105"/>
      <c r="BD214" s="108"/>
      <c r="BE214" s="83">
        <f>IF($A214="","",IF(TRIM($D214&amp;"")="",IF(TRIM($AX214&amp;$AY214&amp;$AZ214&amp;$BA214&amp;$BB214&amp;$BC214&amp;$BD214&amp;"")="","","SUBARRENDADO"),IFERROR(IF(VLOOKUP($D214,VEHICULOS!$A$3:$H$202,7,FALSE)="","",VLOOKUP($D214,VEHICULOS!$A$3:$H$202,7,FALSE)),"")))</f>
      </c>
      <c r="BF214" s="82">
        <f>IF($A214="","",IF(TRIM($BC214&amp;"")&lt;&gt;"",$BC214,IF(TRIM($D214&amp;"")="","",IFERROR(IF(VLOOKUP($D214,VEHICULOS!$A$3:$H$202,8,FALSE)="","",VLOOKUP($D214,VEHICULOS!$A$3:$H$202,8,FALSE)),""))))</f>
      </c>
      <c r="BG214" s="106"/>
      <c r="BH214" s="107"/>
      <c r="BI214" s="86">
        <f t="shared" si="45"/>
      </c>
      <c r="BJ214" s="83">
        <f t="shared" si="46"/>
      </c>
      <c r="BK214" s="85">
        <f t="shared" si="47"/>
      </c>
      <c r="BL214" s="85">
        <f t="shared" si="48"/>
      </c>
      <c r="BM214" s="108"/>
      <c r="BN214" s="85">
        <f t="shared" si="49"/>
      </c>
      <c r="BO214" s="108"/>
      <c r="BP214" s="85">
        <f t="shared" si="50"/>
      </c>
      <c r="BQ214" s="85">
        <f t="shared" si="51"/>
      </c>
      <c r="BR214" s="108"/>
      <c r="BS214" s="104"/>
      <c r="BT214" s="87">
        <f t="shared" si="52"/>
      </c>
      <c r="BU214" s="85">
        <f t="shared" si="53"/>
      </c>
      <c r="BV214" s="85">
        <f t="shared" si="54"/>
      </c>
      <c r="BW214" s="87">
        <f t="shared" si="55"/>
      </c>
      <c r="BX214" s="104"/>
      <c r="BY214" s="106"/>
      <c r="BZ214" s="104"/>
      <c r="CA214" s="105"/>
      <c r="CB214" s="77">
        <f>IF($A214="",0,IF($B214='FICHA CLIENTE'!$C$4,1,0))</f>
      </c>
      <c r="CC214" s="77">
        <f t="shared" si="56"/>
      </c>
      <c r="CD214" s="77">
        <f>IF($A214="",0,IF($D214='FICHA VEHICULO'!$C$4,1,0))</f>
      </c>
      <c r="CE214" s="77">
        <f t="shared" si="57"/>
      </c>
      <c r="CF214" s="77">
        <f t="shared" si="58"/>
      </c>
      <c r="CG214" s="77">
        <f t="shared" si="59"/>
      </c>
    </row>
    <row r="215" spans="1:85" ht="19.5" customHeight="1" x14ac:dyDescent="0.2">
      <c r="A215" s="104"/>
      <c r="B215" s="104"/>
      <c r="C215" s="105"/>
      <c r="D215" s="104"/>
      <c r="E215" s="105"/>
      <c r="F215" s="106"/>
      <c r="G215" s="104"/>
      <c r="H215" s="106"/>
      <c r="I215" s="107"/>
      <c r="J215" s="108"/>
      <c r="K215" s="108"/>
      <c r="L215" s="108"/>
      <c r="M215" s="105"/>
      <c r="N215" s="105"/>
      <c r="O215" s="105"/>
      <c r="P215" s="108"/>
      <c r="Q215" s="105"/>
      <c r="R215" s="105"/>
      <c r="S215" s="105"/>
      <c r="T215" s="105"/>
      <c r="U215" s="108"/>
      <c r="V215" s="105"/>
      <c r="W215" s="105"/>
      <c r="X215" s="105"/>
      <c r="Y215" s="105"/>
      <c r="Z215" s="105"/>
      <c r="AA215" s="108"/>
      <c r="AB215" s="108"/>
      <c r="AC215" s="105"/>
      <c r="AD215" s="279"/>
      <c r="AE215" s="105"/>
      <c r="AF215" s="279"/>
      <c r="AG215" s="105"/>
      <c r="AH215" s="108"/>
      <c r="AI215" s="108"/>
      <c r="AJ215" s="108"/>
      <c r="AK215" s="108"/>
      <c r="AL215" s="105"/>
      <c r="AM215" s="108"/>
      <c r="AN215" s="105"/>
      <c r="AO215" s="108"/>
      <c r="AP215" s="108"/>
      <c r="AQ215" s="105"/>
      <c r="AR215" s="108"/>
      <c r="AS215" s="108"/>
      <c r="AT215" s="105"/>
      <c r="AU215" s="105"/>
      <c r="AV215" s="105"/>
      <c r="AW215" s="105"/>
      <c r="AX215" s="105"/>
      <c r="AY215" s="105"/>
      <c r="AZ215" s="105"/>
      <c r="BA215" s="105"/>
      <c r="BB215" s="105"/>
      <c r="BC215" s="105"/>
      <c r="BD215" s="108"/>
      <c r="BE215" s="83">
        <f>IF($A215="","",IF(TRIM($D215&amp;"")="",IF(TRIM($AX215&amp;$AY215&amp;$AZ215&amp;$BA215&amp;$BB215&amp;$BC215&amp;$BD215&amp;"")="","","SUBARRENDADO"),IFERROR(IF(VLOOKUP($D215,VEHICULOS!$A$3:$H$202,7,FALSE)="","",VLOOKUP($D215,VEHICULOS!$A$3:$H$202,7,FALSE)),"")))</f>
      </c>
      <c r="BF215" s="82">
        <f>IF($A215="","",IF(TRIM($BC215&amp;"")&lt;&gt;"",$BC215,IF(TRIM($D215&amp;"")="","",IFERROR(IF(VLOOKUP($D215,VEHICULOS!$A$3:$H$202,8,FALSE)="","",VLOOKUP($D215,VEHICULOS!$A$3:$H$202,8,FALSE)),""))))</f>
      </c>
      <c r="BG215" s="106"/>
      <c r="BH215" s="107"/>
      <c r="BI215" s="86">
        <f t="shared" si="45"/>
      </c>
      <c r="BJ215" s="83">
        <f t="shared" si="46"/>
      </c>
      <c r="BK215" s="85">
        <f t="shared" si="47"/>
      </c>
      <c r="BL215" s="85">
        <f t="shared" si="48"/>
      </c>
      <c r="BM215" s="108"/>
      <c r="BN215" s="85">
        <f t="shared" si="49"/>
      </c>
      <c r="BO215" s="108"/>
      <c r="BP215" s="85">
        <f t="shared" si="50"/>
      </c>
      <c r="BQ215" s="85">
        <f t="shared" si="51"/>
      </c>
      <c r="BR215" s="108"/>
      <c r="BS215" s="104"/>
      <c r="BT215" s="87">
        <f t="shared" si="52"/>
      </c>
      <c r="BU215" s="85">
        <f t="shared" si="53"/>
      </c>
      <c r="BV215" s="85">
        <f t="shared" si="54"/>
      </c>
      <c r="BW215" s="87">
        <f t="shared" si="55"/>
      </c>
      <c r="BX215" s="104"/>
      <c r="BY215" s="106"/>
      <c r="BZ215" s="104"/>
      <c r="CA215" s="105"/>
      <c r="CB215" s="77">
        <f>IF($A215="",0,IF($B215='FICHA CLIENTE'!$C$4,1,0))</f>
      </c>
      <c r="CC215" s="77">
        <f t="shared" si="56"/>
      </c>
      <c r="CD215" s="77">
        <f>IF($A215="",0,IF($D215='FICHA VEHICULO'!$C$4,1,0))</f>
      </c>
      <c r="CE215" s="77">
        <f t="shared" si="57"/>
      </c>
      <c r="CF215" s="77">
        <f t="shared" si="58"/>
      </c>
      <c r="CG215" s="77">
        <f t="shared" si="59"/>
      </c>
    </row>
    <row r="216" spans="1:85" ht="19.5" customHeight="1" x14ac:dyDescent="0.2">
      <c r="A216" s="104"/>
      <c r="B216" s="104"/>
      <c r="C216" s="105"/>
      <c r="D216" s="104"/>
      <c r="E216" s="105"/>
      <c r="F216" s="106"/>
      <c r="G216" s="104"/>
      <c r="H216" s="106"/>
      <c r="I216" s="107"/>
      <c r="J216" s="108"/>
      <c r="K216" s="108"/>
      <c r="L216" s="108"/>
      <c r="M216" s="105"/>
      <c r="N216" s="105"/>
      <c r="O216" s="105"/>
      <c r="P216" s="108"/>
      <c r="Q216" s="105"/>
      <c r="R216" s="105"/>
      <c r="S216" s="105"/>
      <c r="T216" s="105"/>
      <c r="U216" s="108"/>
      <c r="V216" s="105"/>
      <c r="W216" s="105"/>
      <c r="X216" s="105"/>
      <c r="Y216" s="105"/>
      <c r="Z216" s="105"/>
      <c r="AA216" s="108"/>
      <c r="AB216" s="108"/>
      <c r="AC216" s="105"/>
      <c r="AD216" s="279"/>
      <c r="AE216" s="105"/>
      <c r="AF216" s="279"/>
      <c r="AG216" s="105"/>
      <c r="AH216" s="108"/>
      <c r="AI216" s="108"/>
      <c r="AJ216" s="108"/>
      <c r="AK216" s="108"/>
      <c r="AL216" s="105"/>
      <c r="AM216" s="108"/>
      <c r="AN216" s="105"/>
      <c r="AO216" s="108"/>
      <c r="AP216" s="108"/>
      <c r="AQ216" s="105"/>
      <c r="AR216" s="108"/>
      <c r="AS216" s="108"/>
      <c r="AT216" s="105"/>
      <c r="AU216" s="105"/>
      <c r="AV216" s="105"/>
      <c r="AW216" s="105"/>
      <c r="AX216" s="105"/>
      <c r="AY216" s="105"/>
      <c r="AZ216" s="105"/>
      <c r="BA216" s="105"/>
      <c r="BB216" s="105"/>
      <c r="BC216" s="105"/>
      <c r="BD216" s="108"/>
      <c r="BE216" s="83">
        <f>IF($A216="","",IF(TRIM($D216&amp;"")="",IF(TRIM($AX216&amp;$AY216&amp;$AZ216&amp;$BA216&amp;$BB216&amp;$BC216&amp;$BD216&amp;"")="","","SUBARRENDADO"),IFERROR(IF(VLOOKUP($D216,VEHICULOS!$A$3:$H$202,7,FALSE)="","",VLOOKUP($D216,VEHICULOS!$A$3:$H$202,7,FALSE)),"")))</f>
      </c>
      <c r="BF216" s="82">
        <f>IF($A216="","",IF(TRIM($BC216&amp;"")&lt;&gt;"",$BC216,IF(TRIM($D216&amp;"")="","",IFERROR(IF(VLOOKUP($D216,VEHICULOS!$A$3:$H$202,8,FALSE)="","",VLOOKUP($D216,VEHICULOS!$A$3:$H$202,8,FALSE)),""))))</f>
      </c>
      <c r="BG216" s="106"/>
      <c r="BH216" s="107"/>
      <c r="BI216" s="86">
        <f t="shared" si="45"/>
      </c>
      <c r="BJ216" s="83">
        <f t="shared" si="46"/>
      </c>
      <c r="BK216" s="85">
        <f t="shared" si="47"/>
      </c>
      <c r="BL216" s="85">
        <f t="shared" si="48"/>
      </c>
      <c r="BM216" s="108"/>
      <c r="BN216" s="85">
        <f t="shared" si="49"/>
      </c>
      <c r="BO216" s="108"/>
      <c r="BP216" s="85">
        <f t="shared" si="50"/>
      </c>
      <c r="BQ216" s="85">
        <f t="shared" si="51"/>
      </c>
      <c r="BR216" s="108"/>
      <c r="BS216" s="104"/>
      <c r="BT216" s="87">
        <f t="shared" si="52"/>
      </c>
      <c r="BU216" s="85">
        <f t="shared" si="53"/>
      </c>
      <c r="BV216" s="85">
        <f t="shared" si="54"/>
      </c>
      <c r="BW216" s="87">
        <f t="shared" si="55"/>
      </c>
      <c r="BX216" s="104"/>
      <c r="BY216" s="106"/>
      <c r="BZ216" s="104"/>
      <c r="CA216" s="105"/>
      <c r="CB216" s="77">
        <f>IF($A216="",0,IF($B216='FICHA CLIENTE'!$C$4,1,0))</f>
      </c>
      <c r="CC216" s="77">
        <f t="shared" si="56"/>
      </c>
      <c r="CD216" s="77">
        <f>IF($A216="",0,IF($D216='FICHA VEHICULO'!$C$4,1,0))</f>
      </c>
      <c r="CE216" s="77">
        <f t="shared" si="57"/>
      </c>
      <c r="CF216" s="77">
        <f t="shared" si="58"/>
      </c>
      <c r="CG216" s="77">
        <f t="shared" si="59"/>
      </c>
    </row>
    <row r="217" spans="1:85" ht="19.5" customHeight="1" x14ac:dyDescent="0.2">
      <c r="A217" s="104"/>
      <c r="B217" s="104"/>
      <c r="C217" s="105"/>
      <c r="D217" s="104"/>
      <c r="E217" s="105"/>
      <c r="F217" s="106"/>
      <c r="G217" s="104"/>
      <c r="H217" s="106"/>
      <c r="I217" s="107"/>
      <c r="J217" s="108"/>
      <c r="K217" s="108"/>
      <c r="L217" s="108"/>
      <c r="M217" s="105"/>
      <c r="N217" s="105"/>
      <c r="O217" s="105"/>
      <c r="P217" s="108"/>
      <c r="Q217" s="105"/>
      <c r="R217" s="105"/>
      <c r="S217" s="105"/>
      <c r="T217" s="105"/>
      <c r="U217" s="108"/>
      <c r="V217" s="105"/>
      <c r="W217" s="105"/>
      <c r="X217" s="105"/>
      <c r="Y217" s="105"/>
      <c r="Z217" s="105"/>
      <c r="AA217" s="108"/>
      <c r="AB217" s="108"/>
      <c r="AC217" s="105"/>
      <c r="AD217" s="279"/>
      <c r="AE217" s="105"/>
      <c r="AF217" s="279"/>
      <c r="AG217" s="105"/>
      <c r="AH217" s="108"/>
      <c r="AI217" s="108"/>
      <c r="AJ217" s="108"/>
      <c r="AK217" s="108"/>
      <c r="AL217" s="105"/>
      <c r="AM217" s="108"/>
      <c r="AN217" s="105"/>
      <c r="AO217" s="108"/>
      <c r="AP217" s="108"/>
      <c r="AQ217" s="105"/>
      <c r="AR217" s="108"/>
      <c r="AS217" s="108"/>
      <c r="AT217" s="105"/>
      <c r="AU217" s="105"/>
      <c r="AV217" s="105"/>
      <c r="AW217" s="105"/>
      <c r="AX217" s="105"/>
      <c r="AY217" s="105"/>
      <c r="AZ217" s="105"/>
      <c r="BA217" s="105"/>
      <c r="BB217" s="105"/>
      <c r="BC217" s="105"/>
      <c r="BD217" s="108"/>
      <c r="BE217" s="83">
        <f>IF($A217="","",IF(TRIM($D217&amp;"")="",IF(TRIM($AX217&amp;$AY217&amp;$AZ217&amp;$BA217&amp;$BB217&amp;$BC217&amp;$BD217&amp;"")="","","SUBARRENDADO"),IFERROR(IF(VLOOKUP($D217,VEHICULOS!$A$3:$H$202,7,FALSE)="","",VLOOKUP($D217,VEHICULOS!$A$3:$H$202,7,FALSE)),"")))</f>
      </c>
      <c r="BF217" s="82">
        <f>IF($A217="","",IF(TRIM($BC217&amp;"")&lt;&gt;"",$BC217,IF(TRIM($D217&amp;"")="","",IFERROR(IF(VLOOKUP($D217,VEHICULOS!$A$3:$H$202,8,FALSE)="","",VLOOKUP($D217,VEHICULOS!$A$3:$H$202,8,FALSE)),""))))</f>
      </c>
      <c r="BG217" s="106"/>
      <c r="BH217" s="107"/>
      <c r="BI217" s="86">
        <f t="shared" si="45"/>
      </c>
      <c r="BJ217" s="83">
        <f t="shared" si="46"/>
      </c>
      <c r="BK217" s="85">
        <f t="shared" si="47"/>
      </c>
      <c r="BL217" s="85">
        <f t="shared" si="48"/>
      </c>
      <c r="BM217" s="108"/>
      <c r="BN217" s="85">
        <f t="shared" si="49"/>
      </c>
      <c r="BO217" s="108"/>
      <c r="BP217" s="85">
        <f t="shared" si="50"/>
      </c>
      <c r="BQ217" s="85">
        <f t="shared" si="51"/>
      </c>
      <c r="BR217" s="108"/>
      <c r="BS217" s="104"/>
      <c r="BT217" s="87">
        <f t="shared" si="52"/>
      </c>
      <c r="BU217" s="85">
        <f t="shared" si="53"/>
      </c>
      <c r="BV217" s="85">
        <f t="shared" si="54"/>
      </c>
      <c r="BW217" s="87">
        <f t="shared" si="55"/>
      </c>
      <c r="BX217" s="104"/>
      <c r="BY217" s="106"/>
      <c r="BZ217" s="104"/>
      <c r="CA217" s="105"/>
      <c r="CB217" s="77">
        <f>IF($A217="",0,IF($B217='FICHA CLIENTE'!$C$4,1,0))</f>
      </c>
      <c r="CC217" s="77">
        <f t="shared" si="56"/>
      </c>
      <c r="CD217" s="77">
        <f>IF($A217="",0,IF($D217='FICHA VEHICULO'!$C$4,1,0))</f>
      </c>
      <c r="CE217" s="77">
        <f t="shared" si="57"/>
      </c>
      <c r="CF217" s="77">
        <f t="shared" si="58"/>
      </c>
      <c r="CG217" s="77">
        <f t="shared" si="59"/>
      </c>
    </row>
    <row r="218" spans="1:85" ht="19.5" customHeight="1" x14ac:dyDescent="0.2">
      <c r="A218" s="104"/>
      <c r="B218" s="104"/>
      <c r="C218" s="105"/>
      <c r="D218" s="104"/>
      <c r="E218" s="105"/>
      <c r="F218" s="106"/>
      <c r="G218" s="104"/>
      <c r="H218" s="106"/>
      <c r="I218" s="107"/>
      <c r="J218" s="108"/>
      <c r="K218" s="108"/>
      <c r="L218" s="108"/>
      <c r="M218" s="105"/>
      <c r="N218" s="105"/>
      <c r="O218" s="105"/>
      <c r="P218" s="108"/>
      <c r="Q218" s="105"/>
      <c r="R218" s="105"/>
      <c r="S218" s="105"/>
      <c r="T218" s="105"/>
      <c r="U218" s="108"/>
      <c r="V218" s="105"/>
      <c r="W218" s="105"/>
      <c r="X218" s="105"/>
      <c r="Y218" s="105"/>
      <c r="Z218" s="105"/>
      <c r="AA218" s="108"/>
      <c r="AB218" s="108"/>
      <c r="AC218" s="105"/>
      <c r="AD218" s="279"/>
      <c r="AE218" s="105"/>
      <c r="AF218" s="279"/>
      <c r="AG218" s="105"/>
      <c r="AH218" s="108"/>
      <c r="AI218" s="108"/>
      <c r="AJ218" s="108"/>
      <c r="AK218" s="108"/>
      <c r="AL218" s="105"/>
      <c r="AM218" s="108"/>
      <c r="AN218" s="105"/>
      <c r="AO218" s="108"/>
      <c r="AP218" s="108"/>
      <c r="AQ218" s="105"/>
      <c r="AR218" s="108"/>
      <c r="AS218" s="108"/>
      <c r="AT218" s="105"/>
      <c r="AU218" s="105"/>
      <c r="AV218" s="105"/>
      <c r="AW218" s="105"/>
      <c r="AX218" s="105"/>
      <c r="AY218" s="105"/>
      <c r="AZ218" s="105"/>
      <c r="BA218" s="105"/>
      <c r="BB218" s="105"/>
      <c r="BC218" s="105"/>
      <c r="BD218" s="108"/>
      <c r="BE218" s="83">
        <f>IF($A218="","",IF(TRIM($D218&amp;"")="",IF(TRIM($AX218&amp;$AY218&amp;$AZ218&amp;$BA218&amp;$BB218&amp;$BC218&amp;$BD218&amp;"")="","","SUBARRENDADO"),IFERROR(IF(VLOOKUP($D218,VEHICULOS!$A$3:$H$202,7,FALSE)="","",VLOOKUP($D218,VEHICULOS!$A$3:$H$202,7,FALSE)),"")))</f>
      </c>
      <c r="BF218" s="82">
        <f>IF($A218="","",IF(TRIM($BC218&amp;"")&lt;&gt;"",$BC218,IF(TRIM($D218&amp;"")="","",IFERROR(IF(VLOOKUP($D218,VEHICULOS!$A$3:$H$202,8,FALSE)="","",VLOOKUP($D218,VEHICULOS!$A$3:$H$202,8,FALSE)),""))))</f>
      </c>
      <c r="BG218" s="106"/>
      <c r="BH218" s="107"/>
      <c r="BI218" s="86">
        <f t="shared" si="45"/>
      </c>
      <c r="BJ218" s="83">
        <f t="shared" si="46"/>
      </c>
      <c r="BK218" s="85">
        <f t="shared" si="47"/>
      </c>
      <c r="BL218" s="85">
        <f t="shared" si="48"/>
      </c>
      <c r="BM218" s="108"/>
      <c r="BN218" s="85">
        <f t="shared" si="49"/>
      </c>
      <c r="BO218" s="108"/>
      <c r="BP218" s="85">
        <f t="shared" si="50"/>
      </c>
      <c r="BQ218" s="85">
        <f t="shared" si="51"/>
      </c>
      <c r="BR218" s="108"/>
      <c r="BS218" s="104"/>
      <c r="BT218" s="87">
        <f t="shared" si="52"/>
      </c>
      <c r="BU218" s="85">
        <f t="shared" si="53"/>
      </c>
      <c r="BV218" s="85">
        <f t="shared" si="54"/>
      </c>
      <c r="BW218" s="87">
        <f t="shared" si="55"/>
      </c>
      <c r="BX218" s="104"/>
      <c r="BY218" s="106"/>
      <c r="BZ218" s="104"/>
      <c r="CA218" s="105"/>
      <c r="CB218" s="77">
        <f>IF($A218="",0,IF($B218='FICHA CLIENTE'!$C$4,1,0))</f>
      </c>
      <c r="CC218" s="77">
        <f t="shared" si="56"/>
      </c>
      <c r="CD218" s="77">
        <f>IF($A218="",0,IF($D218='FICHA VEHICULO'!$C$4,1,0))</f>
      </c>
      <c r="CE218" s="77">
        <f t="shared" si="57"/>
      </c>
      <c r="CF218" s="77">
        <f t="shared" si="58"/>
      </c>
      <c r="CG218" s="77">
        <f t="shared" si="59"/>
      </c>
    </row>
    <row r="219" spans="1:85" ht="19.5" customHeight="1" x14ac:dyDescent="0.2">
      <c r="A219" s="104"/>
      <c r="B219" s="104"/>
      <c r="C219" s="105"/>
      <c r="D219" s="104"/>
      <c r="E219" s="105"/>
      <c r="F219" s="106"/>
      <c r="G219" s="104"/>
      <c r="H219" s="106"/>
      <c r="I219" s="107"/>
      <c r="J219" s="108"/>
      <c r="K219" s="108"/>
      <c r="L219" s="108"/>
      <c r="M219" s="105"/>
      <c r="N219" s="105"/>
      <c r="O219" s="105"/>
      <c r="P219" s="108"/>
      <c r="Q219" s="105"/>
      <c r="R219" s="105"/>
      <c r="S219" s="105"/>
      <c r="T219" s="105"/>
      <c r="U219" s="108"/>
      <c r="V219" s="105"/>
      <c r="W219" s="105"/>
      <c r="X219" s="105"/>
      <c r="Y219" s="105"/>
      <c r="Z219" s="105"/>
      <c r="AA219" s="108"/>
      <c r="AB219" s="108"/>
      <c r="AC219" s="105"/>
      <c r="AD219" s="279"/>
      <c r="AE219" s="105"/>
      <c r="AF219" s="279"/>
      <c r="AG219" s="105"/>
      <c r="AH219" s="108"/>
      <c r="AI219" s="108"/>
      <c r="AJ219" s="108"/>
      <c r="AK219" s="108"/>
      <c r="AL219" s="105"/>
      <c r="AM219" s="108"/>
      <c r="AN219" s="105"/>
      <c r="AO219" s="108"/>
      <c r="AP219" s="108"/>
      <c r="AQ219" s="105"/>
      <c r="AR219" s="108"/>
      <c r="AS219" s="108"/>
      <c r="AT219" s="105"/>
      <c r="AU219" s="105"/>
      <c r="AV219" s="105"/>
      <c r="AW219" s="105"/>
      <c r="AX219" s="105"/>
      <c r="AY219" s="105"/>
      <c r="AZ219" s="105"/>
      <c r="BA219" s="105"/>
      <c r="BB219" s="105"/>
      <c r="BC219" s="105"/>
      <c r="BD219" s="108"/>
      <c r="BE219" s="83">
        <f>IF($A219="","",IF(TRIM($D219&amp;"")="",IF(TRIM($AX219&amp;$AY219&amp;$AZ219&amp;$BA219&amp;$BB219&amp;$BC219&amp;$BD219&amp;"")="","","SUBARRENDADO"),IFERROR(IF(VLOOKUP($D219,VEHICULOS!$A$3:$H$202,7,FALSE)="","",VLOOKUP($D219,VEHICULOS!$A$3:$H$202,7,FALSE)),"")))</f>
      </c>
      <c r="BF219" s="82">
        <f>IF($A219="","",IF(TRIM($BC219&amp;"")&lt;&gt;"",$BC219,IF(TRIM($D219&amp;"")="","",IFERROR(IF(VLOOKUP($D219,VEHICULOS!$A$3:$H$202,8,FALSE)="","",VLOOKUP($D219,VEHICULOS!$A$3:$H$202,8,FALSE)),""))))</f>
      </c>
      <c r="BG219" s="106"/>
      <c r="BH219" s="107"/>
      <c r="BI219" s="86">
        <f t="shared" si="45"/>
      </c>
      <c r="BJ219" s="83">
        <f t="shared" si="46"/>
      </c>
      <c r="BK219" s="85">
        <f t="shared" si="47"/>
      </c>
      <c r="BL219" s="85">
        <f t="shared" si="48"/>
      </c>
      <c r="BM219" s="108"/>
      <c r="BN219" s="85">
        <f t="shared" si="49"/>
      </c>
      <c r="BO219" s="108"/>
      <c r="BP219" s="85">
        <f t="shared" si="50"/>
      </c>
      <c r="BQ219" s="85">
        <f t="shared" si="51"/>
      </c>
      <c r="BR219" s="108"/>
      <c r="BS219" s="104"/>
      <c r="BT219" s="87">
        <f t="shared" si="52"/>
      </c>
      <c r="BU219" s="85">
        <f t="shared" si="53"/>
      </c>
      <c r="BV219" s="85">
        <f t="shared" si="54"/>
      </c>
      <c r="BW219" s="87">
        <f t="shared" si="55"/>
      </c>
      <c r="BX219" s="104"/>
      <c r="BY219" s="106"/>
      <c r="BZ219" s="104"/>
      <c r="CA219" s="105"/>
      <c r="CB219" s="77">
        <f>IF($A219="",0,IF($B219='FICHA CLIENTE'!$C$4,1,0))</f>
      </c>
      <c r="CC219" s="77">
        <f t="shared" si="56"/>
      </c>
      <c r="CD219" s="77">
        <f>IF($A219="",0,IF($D219='FICHA VEHICULO'!$C$4,1,0))</f>
      </c>
      <c r="CE219" s="77">
        <f t="shared" si="57"/>
      </c>
      <c r="CF219" s="77">
        <f t="shared" si="58"/>
      </c>
      <c r="CG219" s="77">
        <f t="shared" si="59"/>
      </c>
    </row>
    <row r="220" spans="1:85" ht="19.5" customHeight="1" x14ac:dyDescent="0.2">
      <c r="A220" s="104"/>
      <c r="B220" s="104"/>
      <c r="C220" s="105"/>
      <c r="D220" s="104"/>
      <c r="E220" s="105"/>
      <c r="F220" s="106"/>
      <c r="G220" s="104"/>
      <c r="H220" s="106"/>
      <c r="I220" s="107"/>
      <c r="J220" s="108"/>
      <c r="K220" s="108"/>
      <c r="L220" s="108"/>
      <c r="M220" s="105"/>
      <c r="N220" s="105"/>
      <c r="O220" s="105"/>
      <c r="P220" s="108"/>
      <c r="Q220" s="105"/>
      <c r="R220" s="105"/>
      <c r="S220" s="105"/>
      <c r="T220" s="105"/>
      <c r="U220" s="108"/>
      <c r="V220" s="105"/>
      <c r="W220" s="105"/>
      <c r="X220" s="105"/>
      <c r="Y220" s="105"/>
      <c r="Z220" s="105"/>
      <c r="AA220" s="108"/>
      <c r="AB220" s="108"/>
      <c r="AC220" s="105"/>
      <c r="AD220" s="279"/>
      <c r="AE220" s="105"/>
      <c r="AF220" s="279"/>
      <c r="AG220" s="105"/>
      <c r="AH220" s="108"/>
      <c r="AI220" s="108"/>
      <c r="AJ220" s="108"/>
      <c r="AK220" s="108"/>
      <c r="AL220" s="105"/>
      <c r="AM220" s="108"/>
      <c r="AN220" s="105"/>
      <c r="AO220" s="108"/>
      <c r="AP220" s="108"/>
      <c r="AQ220" s="105"/>
      <c r="AR220" s="108"/>
      <c r="AS220" s="108"/>
      <c r="AT220" s="105"/>
      <c r="AU220" s="105"/>
      <c r="AV220" s="105"/>
      <c r="AW220" s="105"/>
      <c r="AX220" s="105"/>
      <c r="AY220" s="105"/>
      <c r="AZ220" s="105"/>
      <c r="BA220" s="105"/>
      <c r="BB220" s="105"/>
      <c r="BC220" s="105"/>
      <c r="BD220" s="108"/>
      <c r="BE220" s="83">
        <f>IF($A220="","",IF(TRIM($D220&amp;"")="",IF(TRIM($AX220&amp;$AY220&amp;$AZ220&amp;$BA220&amp;$BB220&amp;$BC220&amp;$BD220&amp;"")="","","SUBARRENDADO"),IFERROR(IF(VLOOKUP($D220,VEHICULOS!$A$3:$H$202,7,FALSE)="","",VLOOKUP($D220,VEHICULOS!$A$3:$H$202,7,FALSE)),"")))</f>
      </c>
      <c r="BF220" s="82">
        <f>IF($A220="","",IF(TRIM($BC220&amp;"")&lt;&gt;"",$BC220,IF(TRIM($D220&amp;"")="","",IFERROR(IF(VLOOKUP($D220,VEHICULOS!$A$3:$H$202,8,FALSE)="","",VLOOKUP($D220,VEHICULOS!$A$3:$H$202,8,FALSE)),""))))</f>
      </c>
      <c r="BG220" s="106"/>
      <c r="BH220" s="107"/>
      <c r="BI220" s="86">
        <f t="shared" si="45"/>
      </c>
      <c r="BJ220" s="83">
        <f t="shared" si="46"/>
      </c>
      <c r="BK220" s="85">
        <f t="shared" si="47"/>
      </c>
      <c r="BL220" s="85">
        <f t="shared" si="48"/>
      </c>
      <c r="BM220" s="108"/>
      <c r="BN220" s="85">
        <f t="shared" si="49"/>
      </c>
      <c r="BO220" s="108"/>
      <c r="BP220" s="85">
        <f t="shared" si="50"/>
      </c>
      <c r="BQ220" s="85">
        <f t="shared" si="51"/>
      </c>
      <c r="BR220" s="108"/>
      <c r="BS220" s="104"/>
      <c r="BT220" s="87">
        <f t="shared" si="52"/>
      </c>
      <c r="BU220" s="85">
        <f t="shared" si="53"/>
      </c>
      <c r="BV220" s="85">
        <f t="shared" si="54"/>
      </c>
      <c r="BW220" s="87">
        <f t="shared" si="55"/>
      </c>
      <c r="BX220" s="104"/>
      <c r="BY220" s="106"/>
      <c r="BZ220" s="104"/>
      <c r="CA220" s="105"/>
      <c r="CB220" s="77">
        <f>IF($A220="",0,IF($B220='FICHA CLIENTE'!$C$4,1,0))</f>
      </c>
      <c r="CC220" s="77">
        <f t="shared" si="56"/>
      </c>
      <c r="CD220" s="77">
        <f>IF($A220="",0,IF($D220='FICHA VEHICULO'!$C$4,1,0))</f>
      </c>
      <c r="CE220" s="77">
        <f t="shared" si="57"/>
      </c>
      <c r="CF220" s="77">
        <f t="shared" si="58"/>
      </c>
      <c r="CG220" s="77">
        <f t="shared" si="59"/>
      </c>
    </row>
    <row r="221" spans="1:85" ht="19.5" customHeight="1" x14ac:dyDescent="0.2">
      <c r="A221" s="104"/>
      <c r="B221" s="104"/>
      <c r="C221" s="105"/>
      <c r="D221" s="104"/>
      <c r="E221" s="105"/>
      <c r="F221" s="106"/>
      <c r="G221" s="104"/>
      <c r="H221" s="106"/>
      <c r="I221" s="107"/>
      <c r="J221" s="108"/>
      <c r="K221" s="108"/>
      <c r="L221" s="108"/>
      <c r="M221" s="105"/>
      <c r="N221" s="105"/>
      <c r="O221" s="105"/>
      <c r="P221" s="108"/>
      <c r="Q221" s="105"/>
      <c r="R221" s="105"/>
      <c r="S221" s="105"/>
      <c r="T221" s="105"/>
      <c r="U221" s="108"/>
      <c r="V221" s="105"/>
      <c r="W221" s="105"/>
      <c r="X221" s="105"/>
      <c r="Y221" s="105"/>
      <c r="Z221" s="105"/>
      <c r="AA221" s="108"/>
      <c r="AB221" s="108"/>
      <c r="AC221" s="105"/>
      <c r="AD221" s="279"/>
      <c r="AE221" s="105"/>
      <c r="AF221" s="279"/>
      <c r="AG221" s="105"/>
      <c r="AH221" s="108"/>
      <c r="AI221" s="108"/>
      <c r="AJ221" s="108"/>
      <c r="AK221" s="108"/>
      <c r="AL221" s="105"/>
      <c r="AM221" s="108"/>
      <c r="AN221" s="105"/>
      <c r="AO221" s="108"/>
      <c r="AP221" s="108"/>
      <c r="AQ221" s="105"/>
      <c r="AR221" s="108"/>
      <c r="AS221" s="108"/>
      <c r="AT221" s="105"/>
      <c r="AU221" s="105"/>
      <c r="AV221" s="105"/>
      <c r="AW221" s="105"/>
      <c r="AX221" s="105"/>
      <c r="AY221" s="105"/>
      <c r="AZ221" s="105"/>
      <c r="BA221" s="105"/>
      <c r="BB221" s="105"/>
      <c r="BC221" s="105"/>
      <c r="BD221" s="108"/>
      <c r="BE221" s="83">
        <f>IF($A221="","",IF(TRIM($D221&amp;"")="",IF(TRIM($AX221&amp;$AY221&amp;$AZ221&amp;$BA221&amp;$BB221&amp;$BC221&amp;$BD221&amp;"")="","","SUBARRENDADO"),IFERROR(IF(VLOOKUP($D221,VEHICULOS!$A$3:$H$202,7,FALSE)="","",VLOOKUP($D221,VEHICULOS!$A$3:$H$202,7,FALSE)),"")))</f>
      </c>
      <c r="BF221" s="82">
        <f>IF($A221="","",IF(TRIM($BC221&amp;"")&lt;&gt;"",$BC221,IF(TRIM($D221&amp;"")="","",IFERROR(IF(VLOOKUP($D221,VEHICULOS!$A$3:$H$202,8,FALSE)="","",VLOOKUP($D221,VEHICULOS!$A$3:$H$202,8,FALSE)),""))))</f>
      </c>
      <c r="BG221" s="106"/>
      <c r="BH221" s="107"/>
      <c r="BI221" s="86">
        <f t="shared" si="45"/>
      </c>
      <c r="BJ221" s="83">
        <f t="shared" si="46"/>
      </c>
      <c r="BK221" s="85">
        <f t="shared" si="47"/>
      </c>
      <c r="BL221" s="85">
        <f t="shared" si="48"/>
      </c>
      <c r="BM221" s="108"/>
      <c r="BN221" s="85">
        <f t="shared" si="49"/>
      </c>
      <c r="BO221" s="108"/>
      <c r="BP221" s="85">
        <f t="shared" si="50"/>
      </c>
      <c r="BQ221" s="85">
        <f t="shared" si="51"/>
      </c>
      <c r="BR221" s="108"/>
      <c r="BS221" s="104"/>
      <c r="BT221" s="87">
        <f t="shared" si="52"/>
      </c>
      <c r="BU221" s="85">
        <f t="shared" si="53"/>
      </c>
      <c r="BV221" s="85">
        <f t="shared" si="54"/>
      </c>
      <c r="BW221" s="87">
        <f t="shared" si="55"/>
      </c>
      <c r="BX221" s="104"/>
      <c r="BY221" s="106"/>
      <c r="BZ221" s="104"/>
      <c r="CA221" s="105"/>
      <c r="CB221" s="77">
        <f>IF($A221="",0,IF($B221='FICHA CLIENTE'!$C$4,1,0))</f>
      </c>
      <c r="CC221" s="77">
        <f t="shared" si="56"/>
      </c>
      <c r="CD221" s="77">
        <f>IF($A221="",0,IF($D221='FICHA VEHICULO'!$C$4,1,0))</f>
      </c>
      <c r="CE221" s="77">
        <f t="shared" si="57"/>
      </c>
      <c r="CF221" s="77">
        <f t="shared" si="58"/>
      </c>
      <c r="CG221" s="77">
        <f t="shared" si="59"/>
      </c>
    </row>
    <row r="222" spans="1:85" ht="19.5" customHeight="1" x14ac:dyDescent="0.2">
      <c r="A222" s="104"/>
      <c r="B222" s="104"/>
      <c r="C222" s="105"/>
      <c r="D222" s="104"/>
      <c r="E222" s="105"/>
      <c r="F222" s="106"/>
      <c r="G222" s="104"/>
      <c r="H222" s="106"/>
      <c r="I222" s="107"/>
      <c r="J222" s="108"/>
      <c r="K222" s="108"/>
      <c r="L222" s="108"/>
      <c r="M222" s="105"/>
      <c r="N222" s="105"/>
      <c r="O222" s="105"/>
      <c r="P222" s="108"/>
      <c r="Q222" s="105"/>
      <c r="R222" s="105"/>
      <c r="S222" s="105"/>
      <c r="T222" s="105"/>
      <c r="U222" s="108"/>
      <c r="V222" s="105"/>
      <c r="W222" s="105"/>
      <c r="X222" s="105"/>
      <c r="Y222" s="105"/>
      <c r="Z222" s="105"/>
      <c r="AA222" s="108"/>
      <c r="AB222" s="108"/>
      <c r="AC222" s="105"/>
      <c r="AD222" s="279"/>
      <c r="AE222" s="105"/>
      <c r="AF222" s="279"/>
      <c r="AG222" s="105"/>
      <c r="AH222" s="108"/>
      <c r="AI222" s="108"/>
      <c r="AJ222" s="108"/>
      <c r="AK222" s="108"/>
      <c r="AL222" s="105"/>
      <c r="AM222" s="108"/>
      <c r="AN222" s="105"/>
      <c r="AO222" s="108"/>
      <c r="AP222" s="108"/>
      <c r="AQ222" s="105"/>
      <c r="AR222" s="108"/>
      <c r="AS222" s="108"/>
      <c r="AT222" s="105"/>
      <c r="AU222" s="105"/>
      <c r="AV222" s="105"/>
      <c r="AW222" s="105"/>
      <c r="AX222" s="105"/>
      <c r="AY222" s="105"/>
      <c r="AZ222" s="105"/>
      <c r="BA222" s="105"/>
      <c r="BB222" s="105"/>
      <c r="BC222" s="105"/>
      <c r="BD222" s="108"/>
      <c r="BE222" s="83">
        <f>IF($A222="","",IF(TRIM($D222&amp;"")="",IF(TRIM($AX222&amp;$AY222&amp;$AZ222&amp;$BA222&amp;$BB222&amp;$BC222&amp;$BD222&amp;"")="","","SUBARRENDADO"),IFERROR(IF(VLOOKUP($D222,VEHICULOS!$A$3:$H$202,7,FALSE)="","",VLOOKUP($D222,VEHICULOS!$A$3:$H$202,7,FALSE)),"")))</f>
      </c>
      <c r="BF222" s="82">
        <f>IF($A222="","",IF(TRIM($BC222&amp;"")&lt;&gt;"",$BC222,IF(TRIM($D222&amp;"")="","",IFERROR(IF(VLOOKUP($D222,VEHICULOS!$A$3:$H$202,8,FALSE)="","",VLOOKUP($D222,VEHICULOS!$A$3:$H$202,8,FALSE)),""))))</f>
      </c>
      <c r="BG222" s="106"/>
      <c r="BH222" s="107"/>
      <c r="BI222" s="86">
        <f t="shared" si="45"/>
      </c>
      <c r="BJ222" s="83">
        <f t="shared" si="46"/>
      </c>
      <c r="BK222" s="85">
        <f t="shared" si="47"/>
      </c>
      <c r="BL222" s="85">
        <f t="shared" si="48"/>
      </c>
      <c r="BM222" s="108"/>
      <c r="BN222" s="85">
        <f t="shared" si="49"/>
      </c>
      <c r="BO222" s="108"/>
      <c r="BP222" s="85">
        <f t="shared" si="50"/>
      </c>
      <c r="BQ222" s="85">
        <f t="shared" si="51"/>
      </c>
      <c r="BR222" s="108"/>
      <c r="BS222" s="104"/>
      <c r="BT222" s="87">
        <f t="shared" si="52"/>
      </c>
      <c r="BU222" s="85">
        <f t="shared" si="53"/>
      </c>
      <c r="BV222" s="85">
        <f t="shared" si="54"/>
      </c>
      <c r="BW222" s="87">
        <f t="shared" si="55"/>
      </c>
      <c r="BX222" s="104"/>
      <c r="BY222" s="106"/>
      <c r="BZ222" s="104"/>
      <c r="CA222" s="105"/>
      <c r="CB222" s="77">
        <f>IF($A222="",0,IF($B222='FICHA CLIENTE'!$C$4,1,0))</f>
      </c>
      <c r="CC222" s="77">
        <f t="shared" si="56"/>
      </c>
      <c r="CD222" s="77">
        <f>IF($A222="",0,IF($D222='FICHA VEHICULO'!$C$4,1,0))</f>
      </c>
      <c r="CE222" s="77">
        <f t="shared" si="57"/>
      </c>
      <c r="CF222" s="77">
        <f t="shared" si="58"/>
      </c>
      <c r="CG222" s="77">
        <f t="shared" si="59"/>
      </c>
    </row>
    <row r="223" spans="1:85" ht="19.5" customHeight="1" x14ac:dyDescent="0.2">
      <c r="A223" s="104"/>
      <c r="B223" s="104"/>
      <c r="C223" s="105"/>
      <c r="D223" s="104"/>
      <c r="E223" s="105"/>
      <c r="F223" s="106"/>
      <c r="G223" s="104"/>
      <c r="H223" s="106"/>
      <c r="I223" s="107"/>
      <c r="J223" s="108"/>
      <c r="K223" s="108"/>
      <c r="L223" s="108"/>
      <c r="M223" s="105"/>
      <c r="N223" s="105"/>
      <c r="O223" s="105"/>
      <c r="P223" s="108"/>
      <c r="Q223" s="105"/>
      <c r="R223" s="105"/>
      <c r="S223" s="105"/>
      <c r="T223" s="105"/>
      <c r="U223" s="108"/>
      <c r="V223" s="105"/>
      <c r="W223" s="105"/>
      <c r="X223" s="105"/>
      <c r="Y223" s="105"/>
      <c r="Z223" s="105"/>
      <c r="AA223" s="108"/>
      <c r="AB223" s="108"/>
      <c r="AC223" s="105"/>
      <c r="AD223" s="279"/>
      <c r="AE223" s="105"/>
      <c r="AF223" s="279"/>
      <c r="AG223" s="105"/>
      <c r="AH223" s="108"/>
      <c r="AI223" s="108"/>
      <c r="AJ223" s="108"/>
      <c r="AK223" s="108"/>
      <c r="AL223" s="105"/>
      <c r="AM223" s="108"/>
      <c r="AN223" s="105"/>
      <c r="AO223" s="108"/>
      <c r="AP223" s="108"/>
      <c r="AQ223" s="105"/>
      <c r="AR223" s="108"/>
      <c r="AS223" s="108"/>
      <c r="AT223" s="105"/>
      <c r="AU223" s="105"/>
      <c r="AV223" s="105"/>
      <c r="AW223" s="105"/>
      <c r="AX223" s="105"/>
      <c r="AY223" s="105"/>
      <c r="AZ223" s="105"/>
      <c r="BA223" s="105"/>
      <c r="BB223" s="105"/>
      <c r="BC223" s="105"/>
      <c r="BD223" s="108"/>
      <c r="BE223" s="83">
        <f>IF($A223="","",IF(TRIM($D223&amp;"")="",IF(TRIM($AX223&amp;$AY223&amp;$AZ223&amp;$BA223&amp;$BB223&amp;$BC223&amp;$BD223&amp;"")="","","SUBARRENDADO"),IFERROR(IF(VLOOKUP($D223,VEHICULOS!$A$3:$H$202,7,FALSE)="","",VLOOKUP($D223,VEHICULOS!$A$3:$H$202,7,FALSE)),"")))</f>
      </c>
      <c r="BF223" s="82">
        <f>IF($A223="","",IF(TRIM($BC223&amp;"")&lt;&gt;"",$BC223,IF(TRIM($D223&amp;"")="","",IFERROR(IF(VLOOKUP($D223,VEHICULOS!$A$3:$H$202,8,FALSE)="","",VLOOKUP($D223,VEHICULOS!$A$3:$H$202,8,FALSE)),""))))</f>
      </c>
      <c r="BG223" s="106"/>
      <c r="BH223" s="107"/>
      <c r="BI223" s="86">
        <f t="shared" si="45"/>
      </c>
      <c r="BJ223" s="83">
        <f t="shared" si="46"/>
      </c>
      <c r="BK223" s="85">
        <f t="shared" si="47"/>
      </c>
      <c r="BL223" s="85">
        <f t="shared" si="48"/>
      </c>
      <c r="BM223" s="108"/>
      <c r="BN223" s="85">
        <f t="shared" si="49"/>
      </c>
      <c r="BO223" s="108"/>
      <c r="BP223" s="85">
        <f t="shared" si="50"/>
      </c>
      <c r="BQ223" s="85">
        <f t="shared" si="51"/>
      </c>
      <c r="BR223" s="108"/>
      <c r="BS223" s="104"/>
      <c r="BT223" s="87">
        <f t="shared" si="52"/>
      </c>
      <c r="BU223" s="85">
        <f t="shared" si="53"/>
      </c>
      <c r="BV223" s="85">
        <f t="shared" si="54"/>
      </c>
      <c r="BW223" s="87">
        <f t="shared" si="55"/>
      </c>
      <c r="BX223" s="104"/>
      <c r="BY223" s="106"/>
      <c r="BZ223" s="104"/>
      <c r="CA223" s="105"/>
      <c r="CB223" s="77">
        <f>IF($A223="",0,IF($B223='FICHA CLIENTE'!$C$4,1,0))</f>
      </c>
      <c r="CC223" s="77">
        <f t="shared" si="56"/>
      </c>
      <c r="CD223" s="77">
        <f>IF($A223="",0,IF($D223='FICHA VEHICULO'!$C$4,1,0))</f>
      </c>
      <c r="CE223" s="77">
        <f t="shared" si="57"/>
      </c>
      <c r="CF223" s="77">
        <f t="shared" si="58"/>
      </c>
      <c r="CG223" s="77">
        <f t="shared" si="59"/>
      </c>
    </row>
    <row r="224" spans="1:85" ht="19.5" customHeight="1" x14ac:dyDescent="0.2">
      <c r="A224" s="104"/>
      <c r="B224" s="104"/>
      <c r="C224" s="105"/>
      <c r="D224" s="104"/>
      <c r="E224" s="105"/>
      <c r="F224" s="106"/>
      <c r="G224" s="104"/>
      <c r="H224" s="106"/>
      <c r="I224" s="107"/>
      <c r="J224" s="108"/>
      <c r="K224" s="108"/>
      <c r="L224" s="108"/>
      <c r="M224" s="105"/>
      <c r="N224" s="105"/>
      <c r="O224" s="105"/>
      <c r="P224" s="108"/>
      <c r="Q224" s="105"/>
      <c r="R224" s="105"/>
      <c r="S224" s="105"/>
      <c r="T224" s="105"/>
      <c r="U224" s="108"/>
      <c r="V224" s="105"/>
      <c r="W224" s="105"/>
      <c r="X224" s="105"/>
      <c r="Y224" s="105"/>
      <c r="Z224" s="105"/>
      <c r="AA224" s="108"/>
      <c r="AB224" s="108"/>
      <c r="AC224" s="105"/>
      <c r="AD224" s="279"/>
      <c r="AE224" s="105"/>
      <c r="AF224" s="279"/>
      <c r="AG224" s="105"/>
      <c r="AH224" s="108"/>
      <c r="AI224" s="108"/>
      <c r="AJ224" s="108"/>
      <c r="AK224" s="108"/>
      <c r="AL224" s="105"/>
      <c r="AM224" s="108"/>
      <c r="AN224" s="105"/>
      <c r="AO224" s="108"/>
      <c r="AP224" s="108"/>
      <c r="AQ224" s="105"/>
      <c r="AR224" s="108"/>
      <c r="AS224" s="108"/>
      <c r="AT224" s="105"/>
      <c r="AU224" s="105"/>
      <c r="AV224" s="105"/>
      <c r="AW224" s="105"/>
      <c r="AX224" s="105"/>
      <c r="AY224" s="105"/>
      <c r="AZ224" s="105"/>
      <c r="BA224" s="105"/>
      <c r="BB224" s="105"/>
      <c r="BC224" s="105"/>
      <c r="BD224" s="108"/>
      <c r="BE224" s="83">
        <f>IF($A224="","",IF(TRIM($D224&amp;"")="",IF(TRIM($AX224&amp;$AY224&amp;$AZ224&amp;$BA224&amp;$BB224&amp;$BC224&amp;$BD224&amp;"")="","","SUBARRENDADO"),IFERROR(IF(VLOOKUP($D224,VEHICULOS!$A$3:$H$202,7,FALSE)="","",VLOOKUP($D224,VEHICULOS!$A$3:$H$202,7,FALSE)),"")))</f>
      </c>
      <c r="BF224" s="82">
        <f>IF($A224="","",IF(TRIM($BC224&amp;"")&lt;&gt;"",$BC224,IF(TRIM($D224&amp;"")="","",IFERROR(IF(VLOOKUP($D224,VEHICULOS!$A$3:$H$202,8,FALSE)="","",VLOOKUP($D224,VEHICULOS!$A$3:$H$202,8,FALSE)),""))))</f>
      </c>
      <c r="BG224" s="106"/>
      <c r="BH224" s="107"/>
      <c r="BI224" s="86">
        <f t="shared" si="45"/>
      </c>
      <c r="BJ224" s="83">
        <f t="shared" si="46"/>
      </c>
      <c r="BK224" s="85">
        <f t="shared" si="47"/>
      </c>
      <c r="BL224" s="85">
        <f t="shared" si="48"/>
      </c>
      <c r="BM224" s="108"/>
      <c r="BN224" s="85">
        <f t="shared" si="49"/>
      </c>
      <c r="BO224" s="108"/>
      <c r="BP224" s="85">
        <f t="shared" si="50"/>
      </c>
      <c r="BQ224" s="85">
        <f t="shared" si="51"/>
      </c>
      <c r="BR224" s="108"/>
      <c r="BS224" s="104"/>
      <c r="BT224" s="87">
        <f t="shared" si="52"/>
      </c>
      <c r="BU224" s="85">
        <f t="shared" si="53"/>
      </c>
      <c r="BV224" s="85">
        <f t="shared" si="54"/>
      </c>
      <c r="BW224" s="87">
        <f t="shared" si="55"/>
      </c>
      <c r="BX224" s="104"/>
      <c r="BY224" s="106"/>
      <c r="BZ224" s="104"/>
      <c r="CA224" s="105"/>
      <c r="CB224" s="77">
        <f>IF($A224="",0,IF($B224='FICHA CLIENTE'!$C$4,1,0))</f>
      </c>
      <c r="CC224" s="77">
        <f t="shared" si="56"/>
      </c>
      <c r="CD224" s="77">
        <f>IF($A224="",0,IF($D224='FICHA VEHICULO'!$C$4,1,0))</f>
      </c>
      <c r="CE224" s="77">
        <f t="shared" si="57"/>
      </c>
      <c r="CF224" s="77">
        <f t="shared" si="58"/>
      </c>
      <c r="CG224" s="77">
        <f t="shared" si="59"/>
      </c>
    </row>
    <row r="225" spans="1:85" ht="19.5" customHeight="1" x14ac:dyDescent="0.2">
      <c r="A225" s="104"/>
      <c r="B225" s="104"/>
      <c r="C225" s="105"/>
      <c r="D225" s="104"/>
      <c r="E225" s="105"/>
      <c r="F225" s="106"/>
      <c r="G225" s="104"/>
      <c r="H225" s="106"/>
      <c r="I225" s="107"/>
      <c r="J225" s="108"/>
      <c r="K225" s="108"/>
      <c r="L225" s="108"/>
      <c r="M225" s="105"/>
      <c r="N225" s="105"/>
      <c r="O225" s="105"/>
      <c r="P225" s="108"/>
      <c r="Q225" s="105"/>
      <c r="R225" s="105"/>
      <c r="S225" s="105"/>
      <c r="T225" s="105"/>
      <c r="U225" s="108"/>
      <c r="V225" s="105"/>
      <c r="W225" s="105"/>
      <c r="X225" s="105"/>
      <c r="Y225" s="105"/>
      <c r="Z225" s="105"/>
      <c r="AA225" s="108"/>
      <c r="AB225" s="108"/>
      <c r="AC225" s="105"/>
      <c r="AD225" s="279"/>
      <c r="AE225" s="105"/>
      <c r="AF225" s="279"/>
      <c r="AG225" s="105"/>
      <c r="AH225" s="108"/>
      <c r="AI225" s="108"/>
      <c r="AJ225" s="108"/>
      <c r="AK225" s="108"/>
      <c r="AL225" s="105"/>
      <c r="AM225" s="108"/>
      <c r="AN225" s="105"/>
      <c r="AO225" s="108"/>
      <c r="AP225" s="108"/>
      <c r="AQ225" s="105"/>
      <c r="AR225" s="108"/>
      <c r="AS225" s="108"/>
      <c r="AT225" s="105"/>
      <c r="AU225" s="105"/>
      <c r="AV225" s="105"/>
      <c r="AW225" s="105"/>
      <c r="AX225" s="105"/>
      <c r="AY225" s="105"/>
      <c r="AZ225" s="105"/>
      <c r="BA225" s="105"/>
      <c r="BB225" s="105"/>
      <c r="BC225" s="105"/>
      <c r="BD225" s="108"/>
      <c r="BE225" s="83">
        <f>IF($A225="","",IF(TRIM($D225&amp;"")="",IF(TRIM($AX225&amp;$AY225&amp;$AZ225&amp;$BA225&amp;$BB225&amp;$BC225&amp;$BD225&amp;"")="","","SUBARRENDADO"),IFERROR(IF(VLOOKUP($D225,VEHICULOS!$A$3:$H$202,7,FALSE)="","",VLOOKUP($D225,VEHICULOS!$A$3:$H$202,7,FALSE)),"")))</f>
      </c>
      <c r="BF225" s="82">
        <f>IF($A225="","",IF(TRIM($BC225&amp;"")&lt;&gt;"",$BC225,IF(TRIM($D225&amp;"")="","",IFERROR(IF(VLOOKUP($D225,VEHICULOS!$A$3:$H$202,8,FALSE)="","",VLOOKUP($D225,VEHICULOS!$A$3:$H$202,8,FALSE)),""))))</f>
      </c>
      <c r="BG225" s="106"/>
      <c r="BH225" s="107"/>
      <c r="BI225" s="86">
        <f t="shared" si="45"/>
      </c>
      <c r="BJ225" s="83">
        <f t="shared" si="46"/>
      </c>
      <c r="BK225" s="85">
        <f t="shared" si="47"/>
      </c>
      <c r="BL225" s="85">
        <f t="shared" si="48"/>
      </c>
      <c r="BM225" s="108"/>
      <c r="BN225" s="85">
        <f t="shared" si="49"/>
      </c>
      <c r="BO225" s="108"/>
      <c r="BP225" s="85">
        <f t="shared" si="50"/>
      </c>
      <c r="BQ225" s="85">
        <f t="shared" si="51"/>
      </c>
      <c r="BR225" s="108"/>
      <c r="BS225" s="104"/>
      <c r="BT225" s="87">
        <f t="shared" si="52"/>
      </c>
      <c r="BU225" s="85">
        <f t="shared" si="53"/>
      </c>
      <c r="BV225" s="85">
        <f t="shared" si="54"/>
      </c>
      <c r="BW225" s="87">
        <f t="shared" si="55"/>
      </c>
      <c r="BX225" s="104"/>
      <c r="BY225" s="106"/>
      <c r="BZ225" s="104"/>
      <c r="CA225" s="105"/>
      <c r="CB225" s="77">
        <f>IF($A225="",0,IF($B225='FICHA CLIENTE'!$C$4,1,0))</f>
      </c>
      <c r="CC225" s="77">
        <f t="shared" si="56"/>
      </c>
      <c r="CD225" s="77">
        <f>IF($A225="",0,IF($D225='FICHA VEHICULO'!$C$4,1,0))</f>
      </c>
      <c r="CE225" s="77">
        <f t="shared" si="57"/>
      </c>
      <c r="CF225" s="77">
        <f t="shared" si="58"/>
      </c>
      <c r="CG225" s="77">
        <f t="shared" si="59"/>
      </c>
    </row>
    <row r="226" spans="1:85" ht="19.5" customHeight="1" x14ac:dyDescent="0.2">
      <c r="A226" s="104"/>
      <c r="B226" s="104"/>
      <c r="C226" s="105"/>
      <c r="D226" s="104"/>
      <c r="E226" s="105"/>
      <c r="F226" s="106"/>
      <c r="G226" s="104"/>
      <c r="H226" s="106"/>
      <c r="I226" s="107"/>
      <c r="J226" s="108"/>
      <c r="K226" s="108"/>
      <c r="L226" s="108"/>
      <c r="M226" s="105"/>
      <c r="N226" s="105"/>
      <c r="O226" s="105"/>
      <c r="P226" s="108"/>
      <c r="Q226" s="105"/>
      <c r="R226" s="105"/>
      <c r="S226" s="105"/>
      <c r="T226" s="105"/>
      <c r="U226" s="108"/>
      <c r="V226" s="105"/>
      <c r="W226" s="105"/>
      <c r="X226" s="105"/>
      <c r="Y226" s="105"/>
      <c r="Z226" s="105"/>
      <c r="AA226" s="108"/>
      <c r="AB226" s="108"/>
      <c r="AC226" s="105"/>
      <c r="AD226" s="279"/>
      <c r="AE226" s="105"/>
      <c r="AF226" s="279"/>
      <c r="AG226" s="105"/>
      <c r="AH226" s="108"/>
      <c r="AI226" s="108"/>
      <c r="AJ226" s="108"/>
      <c r="AK226" s="108"/>
      <c r="AL226" s="105"/>
      <c r="AM226" s="108"/>
      <c r="AN226" s="105"/>
      <c r="AO226" s="108"/>
      <c r="AP226" s="108"/>
      <c r="AQ226" s="105"/>
      <c r="AR226" s="108"/>
      <c r="AS226" s="108"/>
      <c r="AT226" s="105"/>
      <c r="AU226" s="105"/>
      <c r="AV226" s="105"/>
      <c r="AW226" s="105"/>
      <c r="AX226" s="105"/>
      <c r="AY226" s="105"/>
      <c r="AZ226" s="105"/>
      <c r="BA226" s="105"/>
      <c r="BB226" s="105"/>
      <c r="BC226" s="105"/>
      <c r="BD226" s="108"/>
      <c r="BE226" s="83">
        <f>IF($A226="","",IF(TRIM($D226&amp;"")="",IF(TRIM($AX226&amp;$AY226&amp;$AZ226&amp;$BA226&amp;$BB226&amp;$BC226&amp;$BD226&amp;"")="","","SUBARRENDADO"),IFERROR(IF(VLOOKUP($D226,VEHICULOS!$A$3:$H$202,7,FALSE)="","",VLOOKUP($D226,VEHICULOS!$A$3:$H$202,7,FALSE)),"")))</f>
      </c>
      <c r="BF226" s="82">
        <f>IF($A226="","",IF(TRIM($BC226&amp;"")&lt;&gt;"",$BC226,IF(TRIM($D226&amp;"")="","",IFERROR(IF(VLOOKUP($D226,VEHICULOS!$A$3:$H$202,8,FALSE)="","",VLOOKUP($D226,VEHICULOS!$A$3:$H$202,8,FALSE)),""))))</f>
      </c>
      <c r="BG226" s="106"/>
      <c r="BH226" s="107"/>
      <c r="BI226" s="86">
        <f t="shared" si="45"/>
      </c>
      <c r="BJ226" s="83">
        <f t="shared" si="46"/>
      </c>
      <c r="BK226" s="85">
        <f t="shared" si="47"/>
      </c>
      <c r="BL226" s="85">
        <f t="shared" si="48"/>
      </c>
      <c r="BM226" s="108"/>
      <c r="BN226" s="85">
        <f t="shared" si="49"/>
      </c>
      <c r="BO226" s="108"/>
      <c r="BP226" s="85">
        <f t="shared" si="50"/>
      </c>
      <c r="BQ226" s="85">
        <f t="shared" si="51"/>
      </c>
      <c r="BR226" s="108"/>
      <c r="BS226" s="104"/>
      <c r="BT226" s="87">
        <f t="shared" si="52"/>
      </c>
      <c r="BU226" s="85">
        <f t="shared" si="53"/>
      </c>
      <c r="BV226" s="85">
        <f t="shared" si="54"/>
      </c>
      <c r="BW226" s="87">
        <f t="shared" si="55"/>
      </c>
      <c r="BX226" s="104"/>
      <c r="BY226" s="106"/>
      <c r="BZ226" s="104"/>
      <c r="CA226" s="105"/>
      <c r="CB226" s="77">
        <f>IF($A226="",0,IF($B226='FICHA CLIENTE'!$C$4,1,0))</f>
      </c>
      <c r="CC226" s="77">
        <f t="shared" si="56"/>
      </c>
      <c r="CD226" s="77">
        <f>IF($A226="",0,IF($D226='FICHA VEHICULO'!$C$4,1,0))</f>
      </c>
      <c r="CE226" s="77">
        <f t="shared" si="57"/>
      </c>
      <c r="CF226" s="77">
        <f t="shared" si="58"/>
      </c>
      <c r="CG226" s="77">
        <f t="shared" si="59"/>
      </c>
    </row>
    <row r="227" spans="1:85" ht="19.5" customHeight="1" x14ac:dyDescent="0.2">
      <c r="A227" s="104"/>
      <c r="B227" s="104"/>
      <c r="C227" s="105"/>
      <c r="D227" s="104"/>
      <c r="E227" s="105"/>
      <c r="F227" s="106"/>
      <c r="G227" s="104"/>
      <c r="H227" s="106"/>
      <c r="I227" s="107"/>
      <c r="J227" s="108"/>
      <c r="K227" s="108"/>
      <c r="L227" s="108"/>
      <c r="M227" s="105"/>
      <c r="N227" s="105"/>
      <c r="O227" s="105"/>
      <c r="P227" s="108"/>
      <c r="Q227" s="105"/>
      <c r="R227" s="105"/>
      <c r="S227" s="105"/>
      <c r="T227" s="105"/>
      <c r="U227" s="108"/>
      <c r="V227" s="105"/>
      <c r="W227" s="105"/>
      <c r="X227" s="105"/>
      <c r="Y227" s="105"/>
      <c r="Z227" s="105"/>
      <c r="AA227" s="108"/>
      <c r="AB227" s="108"/>
      <c r="AC227" s="105"/>
      <c r="AD227" s="279"/>
      <c r="AE227" s="105"/>
      <c r="AF227" s="279"/>
      <c r="AG227" s="105"/>
      <c r="AH227" s="108"/>
      <c r="AI227" s="108"/>
      <c r="AJ227" s="108"/>
      <c r="AK227" s="108"/>
      <c r="AL227" s="105"/>
      <c r="AM227" s="108"/>
      <c r="AN227" s="105"/>
      <c r="AO227" s="108"/>
      <c r="AP227" s="108"/>
      <c r="AQ227" s="105"/>
      <c r="AR227" s="108"/>
      <c r="AS227" s="108"/>
      <c r="AT227" s="105"/>
      <c r="AU227" s="105"/>
      <c r="AV227" s="105"/>
      <c r="AW227" s="105"/>
      <c r="AX227" s="105"/>
      <c r="AY227" s="105"/>
      <c r="AZ227" s="105"/>
      <c r="BA227" s="105"/>
      <c r="BB227" s="105"/>
      <c r="BC227" s="105"/>
      <c r="BD227" s="108"/>
      <c r="BE227" s="83">
        <f>IF($A227="","",IF(TRIM($D227&amp;"")="",IF(TRIM($AX227&amp;$AY227&amp;$AZ227&amp;$BA227&amp;$BB227&amp;$BC227&amp;$BD227&amp;"")="","","SUBARRENDADO"),IFERROR(IF(VLOOKUP($D227,VEHICULOS!$A$3:$H$202,7,FALSE)="","",VLOOKUP($D227,VEHICULOS!$A$3:$H$202,7,FALSE)),"")))</f>
      </c>
      <c r="BF227" s="82">
        <f>IF($A227="","",IF(TRIM($BC227&amp;"")&lt;&gt;"",$BC227,IF(TRIM($D227&amp;"")="","",IFERROR(IF(VLOOKUP($D227,VEHICULOS!$A$3:$H$202,8,FALSE)="","",VLOOKUP($D227,VEHICULOS!$A$3:$H$202,8,FALSE)),""))))</f>
      </c>
      <c r="BG227" s="106"/>
      <c r="BH227" s="107"/>
      <c r="BI227" s="86">
        <f t="shared" si="45"/>
      </c>
      <c r="BJ227" s="83">
        <f t="shared" si="46"/>
      </c>
      <c r="BK227" s="85">
        <f t="shared" si="47"/>
      </c>
      <c r="BL227" s="85">
        <f t="shared" si="48"/>
      </c>
      <c r="BM227" s="108"/>
      <c r="BN227" s="85">
        <f t="shared" si="49"/>
      </c>
      <c r="BO227" s="108"/>
      <c r="BP227" s="85">
        <f t="shared" si="50"/>
      </c>
      <c r="BQ227" s="85">
        <f t="shared" si="51"/>
      </c>
      <c r="BR227" s="108"/>
      <c r="BS227" s="104"/>
      <c r="BT227" s="87">
        <f t="shared" si="52"/>
      </c>
      <c r="BU227" s="85">
        <f t="shared" si="53"/>
      </c>
      <c r="BV227" s="85">
        <f t="shared" si="54"/>
      </c>
      <c r="BW227" s="87">
        <f t="shared" si="55"/>
      </c>
      <c r="BX227" s="104"/>
      <c r="BY227" s="106"/>
      <c r="BZ227" s="104"/>
      <c r="CA227" s="105"/>
      <c r="CB227" s="77">
        <f>IF($A227="",0,IF($B227='FICHA CLIENTE'!$C$4,1,0))</f>
      </c>
      <c r="CC227" s="77">
        <f t="shared" si="56"/>
      </c>
      <c r="CD227" s="77">
        <f>IF($A227="",0,IF($D227='FICHA VEHICULO'!$C$4,1,0))</f>
      </c>
      <c r="CE227" s="77">
        <f t="shared" si="57"/>
      </c>
      <c r="CF227" s="77">
        <f t="shared" si="58"/>
      </c>
      <c r="CG227" s="77">
        <f t="shared" si="59"/>
      </c>
    </row>
    <row r="228" spans="1:85" ht="19.5" customHeight="1" x14ac:dyDescent="0.2">
      <c r="A228" s="104"/>
      <c r="B228" s="104"/>
      <c r="C228" s="105"/>
      <c r="D228" s="104"/>
      <c r="E228" s="105"/>
      <c r="F228" s="106"/>
      <c r="G228" s="104"/>
      <c r="H228" s="106"/>
      <c r="I228" s="107"/>
      <c r="J228" s="108"/>
      <c r="K228" s="108"/>
      <c r="L228" s="108"/>
      <c r="M228" s="105"/>
      <c r="N228" s="105"/>
      <c r="O228" s="105"/>
      <c r="P228" s="108"/>
      <c r="Q228" s="105"/>
      <c r="R228" s="105"/>
      <c r="S228" s="105"/>
      <c r="T228" s="105"/>
      <c r="U228" s="108"/>
      <c r="V228" s="105"/>
      <c r="W228" s="105"/>
      <c r="X228" s="105"/>
      <c r="Y228" s="105"/>
      <c r="Z228" s="105"/>
      <c r="AA228" s="108"/>
      <c r="AB228" s="108"/>
      <c r="AC228" s="105"/>
      <c r="AD228" s="279"/>
      <c r="AE228" s="105"/>
      <c r="AF228" s="279"/>
      <c r="AG228" s="105"/>
      <c r="AH228" s="108"/>
      <c r="AI228" s="108"/>
      <c r="AJ228" s="108"/>
      <c r="AK228" s="108"/>
      <c r="AL228" s="105"/>
      <c r="AM228" s="108"/>
      <c r="AN228" s="105"/>
      <c r="AO228" s="108"/>
      <c r="AP228" s="108"/>
      <c r="AQ228" s="105"/>
      <c r="AR228" s="108"/>
      <c r="AS228" s="108"/>
      <c r="AT228" s="105"/>
      <c r="AU228" s="105"/>
      <c r="AV228" s="105"/>
      <c r="AW228" s="105"/>
      <c r="AX228" s="105"/>
      <c r="AY228" s="105"/>
      <c r="AZ228" s="105"/>
      <c r="BA228" s="105"/>
      <c r="BB228" s="105"/>
      <c r="BC228" s="105"/>
      <c r="BD228" s="108"/>
      <c r="BE228" s="83">
        <f>IF($A228="","",IF(TRIM($D228&amp;"")="",IF(TRIM($AX228&amp;$AY228&amp;$AZ228&amp;$BA228&amp;$BB228&amp;$BC228&amp;$BD228&amp;"")="","","SUBARRENDADO"),IFERROR(IF(VLOOKUP($D228,VEHICULOS!$A$3:$H$202,7,FALSE)="","",VLOOKUP($D228,VEHICULOS!$A$3:$H$202,7,FALSE)),"")))</f>
      </c>
      <c r="BF228" s="82">
        <f>IF($A228="","",IF(TRIM($BC228&amp;"")&lt;&gt;"",$BC228,IF(TRIM($D228&amp;"")="","",IFERROR(IF(VLOOKUP($D228,VEHICULOS!$A$3:$H$202,8,FALSE)="","",VLOOKUP($D228,VEHICULOS!$A$3:$H$202,8,FALSE)),""))))</f>
      </c>
      <c r="BG228" s="106"/>
      <c r="BH228" s="107"/>
      <c r="BI228" s="86">
        <f t="shared" si="45"/>
      </c>
      <c r="BJ228" s="83">
        <f t="shared" si="46"/>
      </c>
      <c r="BK228" s="85">
        <f t="shared" si="47"/>
      </c>
      <c r="BL228" s="85">
        <f t="shared" si="48"/>
      </c>
      <c r="BM228" s="108"/>
      <c r="BN228" s="85">
        <f t="shared" si="49"/>
      </c>
      <c r="BO228" s="108"/>
      <c r="BP228" s="85">
        <f t="shared" si="50"/>
      </c>
      <c r="BQ228" s="85">
        <f t="shared" si="51"/>
      </c>
      <c r="BR228" s="108"/>
      <c r="BS228" s="104"/>
      <c r="BT228" s="87">
        <f t="shared" si="52"/>
      </c>
      <c r="BU228" s="85">
        <f t="shared" si="53"/>
      </c>
      <c r="BV228" s="85">
        <f t="shared" si="54"/>
      </c>
      <c r="BW228" s="87">
        <f t="shared" si="55"/>
      </c>
      <c r="BX228" s="104"/>
      <c r="BY228" s="106"/>
      <c r="BZ228" s="104"/>
      <c r="CA228" s="105"/>
      <c r="CB228" s="77">
        <f>IF($A228="",0,IF($B228='FICHA CLIENTE'!$C$4,1,0))</f>
      </c>
      <c r="CC228" s="77">
        <f t="shared" si="56"/>
      </c>
      <c r="CD228" s="77">
        <f>IF($A228="",0,IF($D228='FICHA VEHICULO'!$C$4,1,0))</f>
      </c>
      <c r="CE228" s="77">
        <f t="shared" si="57"/>
      </c>
      <c r="CF228" s="77">
        <f t="shared" si="58"/>
      </c>
      <c r="CG228" s="77">
        <f t="shared" si="59"/>
      </c>
    </row>
    <row r="229" spans="1:85" ht="19.5" customHeight="1" x14ac:dyDescent="0.2">
      <c r="A229" s="104"/>
      <c r="B229" s="104"/>
      <c r="C229" s="105"/>
      <c r="D229" s="104"/>
      <c r="E229" s="105"/>
      <c r="F229" s="106"/>
      <c r="G229" s="104"/>
      <c r="H229" s="106"/>
      <c r="I229" s="107"/>
      <c r="J229" s="108"/>
      <c r="K229" s="108"/>
      <c r="L229" s="108"/>
      <c r="M229" s="105"/>
      <c r="N229" s="105"/>
      <c r="O229" s="105"/>
      <c r="P229" s="108"/>
      <c r="Q229" s="105"/>
      <c r="R229" s="105"/>
      <c r="S229" s="105"/>
      <c r="T229" s="105"/>
      <c r="U229" s="108"/>
      <c r="V229" s="105"/>
      <c r="W229" s="105"/>
      <c r="X229" s="105"/>
      <c r="Y229" s="105"/>
      <c r="Z229" s="105"/>
      <c r="AA229" s="108"/>
      <c r="AB229" s="108"/>
      <c r="AC229" s="105"/>
      <c r="AD229" s="279"/>
      <c r="AE229" s="105"/>
      <c r="AF229" s="279"/>
      <c r="AG229" s="105"/>
      <c r="AH229" s="108"/>
      <c r="AI229" s="108"/>
      <c r="AJ229" s="108"/>
      <c r="AK229" s="108"/>
      <c r="AL229" s="105"/>
      <c r="AM229" s="108"/>
      <c r="AN229" s="105"/>
      <c r="AO229" s="108"/>
      <c r="AP229" s="108"/>
      <c r="AQ229" s="105"/>
      <c r="AR229" s="108"/>
      <c r="AS229" s="108"/>
      <c r="AT229" s="105"/>
      <c r="AU229" s="105"/>
      <c r="AV229" s="105"/>
      <c r="AW229" s="105"/>
      <c r="AX229" s="105"/>
      <c r="AY229" s="105"/>
      <c r="AZ229" s="105"/>
      <c r="BA229" s="105"/>
      <c r="BB229" s="105"/>
      <c r="BC229" s="105"/>
      <c r="BD229" s="108"/>
      <c r="BE229" s="83">
        <f>IF($A229="","",IF(TRIM($D229&amp;"")="",IF(TRIM($AX229&amp;$AY229&amp;$AZ229&amp;$BA229&amp;$BB229&amp;$BC229&amp;$BD229&amp;"")="","","SUBARRENDADO"),IFERROR(IF(VLOOKUP($D229,VEHICULOS!$A$3:$H$202,7,FALSE)="","",VLOOKUP($D229,VEHICULOS!$A$3:$H$202,7,FALSE)),"")))</f>
      </c>
      <c r="BF229" s="82">
        <f>IF($A229="","",IF(TRIM($BC229&amp;"")&lt;&gt;"",$BC229,IF(TRIM($D229&amp;"")="","",IFERROR(IF(VLOOKUP($D229,VEHICULOS!$A$3:$H$202,8,FALSE)="","",VLOOKUP($D229,VEHICULOS!$A$3:$H$202,8,FALSE)),""))))</f>
      </c>
      <c r="BG229" s="106"/>
      <c r="BH229" s="107"/>
      <c r="BI229" s="86">
        <f t="shared" si="45"/>
      </c>
      <c r="BJ229" s="83">
        <f t="shared" si="46"/>
      </c>
      <c r="BK229" s="85">
        <f t="shared" si="47"/>
      </c>
      <c r="BL229" s="85">
        <f t="shared" si="48"/>
      </c>
      <c r="BM229" s="108"/>
      <c r="BN229" s="85">
        <f t="shared" si="49"/>
      </c>
      <c r="BO229" s="108"/>
      <c r="BP229" s="85">
        <f t="shared" si="50"/>
      </c>
      <c r="BQ229" s="85">
        <f t="shared" si="51"/>
      </c>
      <c r="BR229" s="108"/>
      <c r="BS229" s="104"/>
      <c r="BT229" s="87">
        <f t="shared" si="52"/>
      </c>
      <c r="BU229" s="85">
        <f t="shared" si="53"/>
      </c>
      <c r="BV229" s="85">
        <f t="shared" si="54"/>
      </c>
      <c r="BW229" s="87">
        <f t="shared" si="55"/>
      </c>
      <c r="BX229" s="104"/>
      <c r="BY229" s="106"/>
      <c r="BZ229" s="104"/>
      <c r="CA229" s="105"/>
      <c r="CB229" s="77">
        <f>IF($A229="",0,IF($B229='FICHA CLIENTE'!$C$4,1,0))</f>
      </c>
      <c r="CC229" s="77">
        <f t="shared" si="56"/>
      </c>
      <c r="CD229" s="77">
        <f>IF($A229="",0,IF($D229='FICHA VEHICULO'!$C$4,1,0))</f>
      </c>
      <c r="CE229" s="77">
        <f t="shared" si="57"/>
      </c>
      <c r="CF229" s="77">
        <f t="shared" si="58"/>
      </c>
      <c r="CG229" s="77">
        <f t="shared" si="59"/>
      </c>
    </row>
    <row r="230" spans="1:85" ht="19.5" customHeight="1" x14ac:dyDescent="0.2">
      <c r="A230" s="104"/>
      <c r="B230" s="104"/>
      <c r="C230" s="105"/>
      <c r="D230" s="104"/>
      <c r="E230" s="105"/>
      <c r="F230" s="106"/>
      <c r="G230" s="104"/>
      <c r="H230" s="106"/>
      <c r="I230" s="107"/>
      <c r="J230" s="108"/>
      <c r="K230" s="108"/>
      <c r="L230" s="108"/>
      <c r="M230" s="105"/>
      <c r="N230" s="105"/>
      <c r="O230" s="105"/>
      <c r="P230" s="108"/>
      <c r="Q230" s="105"/>
      <c r="R230" s="105"/>
      <c r="S230" s="105"/>
      <c r="T230" s="105"/>
      <c r="U230" s="108"/>
      <c r="V230" s="105"/>
      <c r="W230" s="105"/>
      <c r="X230" s="105"/>
      <c r="Y230" s="105"/>
      <c r="Z230" s="105"/>
      <c r="AA230" s="108"/>
      <c r="AB230" s="108"/>
      <c r="AC230" s="105"/>
      <c r="AD230" s="279"/>
      <c r="AE230" s="105"/>
      <c r="AF230" s="279"/>
      <c r="AG230" s="105"/>
      <c r="AH230" s="108"/>
      <c r="AI230" s="108"/>
      <c r="AJ230" s="108"/>
      <c r="AK230" s="108"/>
      <c r="AL230" s="105"/>
      <c r="AM230" s="108"/>
      <c r="AN230" s="105"/>
      <c r="AO230" s="108"/>
      <c r="AP230" s="108"/>
      <c r="AQ230" s="105"/>
      <c r="AR230" s="108"/>
      <c r="AS230" s="108"/>
      <c r="AT230" s="105"/>
      <c r="AU230" s="105"/>
      <c r="AV230" s="105"/>
      <c r="AW230" s="105"/>
      <c r="AX230" s="105"/>
      <c r="AY230" s="105"/>
      <c r="AZ230" s="105"/>
      <c r="BA230" s="105"/>
      <c r="BB230" s="105"/>
      <c r="BC230" s="105"/>
      <c r="BD230" s="108"/>
      <c r="BE230" s="83">
        <f>IF($A230="","",IF(TRIM($D230&amp;"")="",IF(TRIM($AX230&amp;$AY230&amp;$AZ230&amp;$BA230&amp;$BB230&amp;$BC230&amp;$BD230&amp;"")="","","SUBARRENDADO"),IFERROR(IF(VLOOKUP($D230,VEHICULOS!$A$3:$H$202,7,FALSE)="","",VLOOKUP($D230,VEHICULOS!$A$3:$H$202,7,FALSE)),"")))</f>
      </c>
      <c r="BF230" s="82">
        <f>IF($A230="","",IF(TRIM($BC230&amp;"")&lt;&gt;"",$BC230,IF(TRIM($D230&amp;"")="","",IFERROR(IF(VLOOKUP($D230,VEHICULOS!$A$3:$H$202,8,FALSE)="","",VLOOKUP($D230,VEHICULOS!$A$3:$H$202,8,FALSE)),""))))</f>
      </c>
      <c r="BG230" s="106"/>
      <c r="BH230" s="107"/>
      <c r="BI230" s="86">
        <f t="shared" si="45"/>
      </c>
      <c r="BJ230" s="83">
        <f t="shared" si="46"/>
      </c>
      <c r="BK230" s="85">
        <f t="shared" si="47"/>
      </c>
      <c r="BL230" s="85">
        <f t="shared" si="48"/>
      </c>
      <c r="BM230" s="108"/>
      <c r="BN230" s="85">
        <f t="shared" si="49"/>
      </c>
      <c r="BO230" s="108"/>
      <c r="BP230" s="85">
        <f t="shared" si="50"/>
      </c>
      <c r="BQ230" s="85">
        <f t="shared" si="51"/>
      </c>
      <c r="BR230" s="108"/>
      <c r="BS230" s="104"/>
      <c r="BT230" s="87">
        <f t="shared" si="52"/>
      </c>
      <c r="BU230" s="85">
        <f t="shared" si="53"/>
      </c>
      <c r="BV230" s="85">
        <f t="shared" si="54"/>
      </c>
      <c r="BW230" s="87">
        <f t="shared" si="55"/>
      </c>
      <c r="BX230" s="104"/>
      <c r="BY230" s="106"/>
      <c r="BZ230" s="104"/>
      <c r="CA230" s="105"/>
      <c r="CB230" s="77">
        <f>IF($A230="",0,IF($B230='FICHA CLIENTE'!$C$4,1,0))</f>
      </c>
      <c r="CC230" s="77">
        <f t="shared" si="56"/>
      </c>
      <c r="CD230" s="77">
        <f>IF($A230="",0,IF($D230='FICHA VEHICULO'!$C$4,1,0))</f>
      </c>
      <c r="CE230" s="77">
        <f t="shared" si="57"/>
      </c>
      <c r="CF230" s="77">
        <f t="shared" si="58"/>
      </c>
      <c r="CG230" s="77">
        <f t="shared" si="59"/>
      </c>
    </row>
    <row r="231" spans="1:85" ht="19.5" customHeight="1" x14ac:dyDescent="0.2">
      <c r="A231" s="104"/>
      <c r="B231" s="104"/>
      <c r="C231" s="105"/>
      <c r="D231" s="104"/>
      <c r="E231" s="105"/>
      <c r="F231" s="106"/>
      <c r="G231" s="104"/>
      <c r="H231" s="106"/>
      <c r="I231" s="107"/>
      <c r="J231" s="108"/>
      <c r="K231" s="108"/>
      <c r="L231" s="108"/>
      <c r="M231" s="105"/>
      <c r="N231" s="105"/>
      <c r="O231" s="105"/>
      <c r="P231" s="108"/>
      <c r="Q231" s="105"/>
      <c r="R231" s="105"/>
      <c r="S231" s="105"/>
      <c r="T231" s="105"/>
      <c r="U231" s="108"/>
      <c r="V231" s="105"/>
      <c r="W231" s="105"/>
      <c r="X231" s="105"/>
      <c r="Y231" s="105"/>
      <c r="Z231" s="105"/>
      <c r="AA231" s="108"/>
      <c r="AB231" s="108"/>
      <c r="AC231" s="105"/>
      <c r="AD231" s="279"/>
      <c r="AE231" s="105"/>
      <c r="AF231" s="279"/>
      <c r="AG231" s="105"/>
      <c r="AH231" s="108"/>
      <c r="AI231" s="108"/>
      <c r="AJ231" s="108"/>
      <c r="AK231" s="108"/>
      <c r="AL231" s="105"/>
      <c r="AM231" s="108"/>
      <c r="AN231" s="105"/>
      <c r="AO231" s="108"/>
      <c r="AP231" s="108"/>
      <c r="AQ231" s="105"/>
      <c r="AR231" s="108"/>
      <c r="AS231" s="108"/>
      <c r="AT231" s="105"/>
      <c r="AU231" s="105"/>
      <c r="AV231" s="105"/>
      <c r="AW231" s="105"/>
      <c r="AX231" s="105"/>
      <c r="AY231" s="105"/>
      <c r="AZ231" s="105"/>
      <c r="BA231" s="105"/>
      <c r="BB231" s="105"/>
      <c r="BC231" s="105"/>
      <c r="BD231" s="108"/>
      <c r="BE231" s="83">
        <f>IF($A231="","",IF(TRIM($D231&amp;"")="",IF(TRIM($AX231&amp;$AY231&amp;$AZ231&amp;$BA231&amp;$BB231&amp;$BC231&amp;$BD231&amp;"")="","","SUBARRENDADO"),IFERROR(IF(VLOOKUP($D231,VEHICULOS!$A$3:$H$202,7,FALSE)="","",VLOOKUP($D231,VEHICULOS!$A$3:$H$202,7,FALSE)),"")))</f>
      </c>
      <c r="BF231" s="82">
        <f>IF($A231="","",IF(TRIM($BC231&amp;"")&lt;&gt;"",$BC231,IF(TRIM($D231&amp;"")="","",IFERROR(IF(VLOOKUP($D231,VEHICULOS!$A$3:$H$202,8,FALSE)="","",VLOOKUP($D231,VEHICULOS!$A$3:$H$202,8,FALSE)),""))))</f>
      </c>
      <c r="BG231" s="106"/>
      <c r="BH231" s="107"/>
      <c r="BI231" s="86">
        <f t="shared" si="45"/>
      </c>
      <c r="BJ231" s="83">
        <f t="shared" si="46"/>
      </c>
      <c r="BK231" s="85">
        <f t="shared" si="47"/>
      </c>
      <c r="BL231" s="85">
        <f t="shared" si="48"/>
      </c>
      <c r="BM231" s="108"/>
      <c r="BN231" s="85">
        <f t="shared" si="49"/>
      </c>
      <c r="BO231" s="108"/>
      <c r="BP231" s="85">
        <f t="shared" si="50"/>
      </c>
      <c r="BQ231" s="85">
        <f t="shared" si="51"/>
      </c>
      <c r="BR231" s="108"/>
      <c r="BS231" s="104"/>
      <c r="BT231" s="87">
        <f t="shared" si="52"/>
      </c>
      <c r="BU231" s="85">
        <f t="shared" si="53"/>
      </c>
      <c r="BV231" s="85">
        <f t="shared" si="54"/>
      </c>
      <c r="BW231" s="87">
        <f t="shared" si="55"/>
      </c>
      <c r="BX231" s="104"/>
      <c r="BY231" s="106"/>
      <c r="BZ231" s="104"/>
      <c r="CA231" s="105"/>
      <c r="CB231" s="77">
        <f>IF($A231="",0,IF($B231='FICHA CLIENTE'!$C$4,1,0))</f>
      </c>
      <c r="CC231" s="77">
        <f t="shared" si="56"/>
      </c>
      <c r="CD231" s="77">
        <f>IF($A231="",0,IF($D231='FICHA VEHICULO'!$C$4,1,0))</f>
      </c>
      <c r="CE231" s="77">
        <f t="shared" si="57"/>
      </c>
      <c r="CF231" s="77">
        <f t="shared" si="58"/>
      </c>
      <c r="CG231" s="77">
        <f t="shared" si="59"/>
      </c>
    </row>
    <row r="232" spans="1:85" ht="19.5" customHeight="1" x14ac:dyDescent="0.2">
      <c r="A232" s="104"/>
      <c r="B232" s="104"/>
      <c r="C232" s="105"/>
      <c r="D232" s="104"/>
      <c r="E232" s="105"/>
      <c r="F232" s="106"/>
      <c r="G232" s="104"/>
      <c r="H232" s="106"/>
      <c r="I232" s="107"/>
      <c r="J232" s="108"/>
      <c r="K232" s="108"/>
      <c r="L232" s="108"/>
      <c r="M232" s="105"/>
      <c r="N232" s="105"/>
      <c r="O232" s="105"/>
      <c r="P232" s="108"/>
      <c r="Q232" s="105"/>
      <c r="R232" s="105"/>
      <c r="S232" s="105"/>
      <c r="T232" s="105"/>
      <c r="U232" s="108"/>
      <c r="V232" s="105"/>
      <c r="W232" s="105"/>
      <c r="X232" s="105"/>
      <c r="Y232" s="105"/>
      <c r="Z232" s="105"/>
      <c r="AA232" s="108"/>
      <c r="AB232" s="108"/>
      <c r="AC232" s="105"/>
      <c r="AD232" s="279"/>
      <c r="AE232" s="105"/>
      <c r="AF232" s="279"/>
      <c r="AG232" s="105"/>
      <c r="AH232" s="108"/>
      <c r="AI232" s="108"/>
      <c r="AJ232" s="108"/>
      <c r="AK232" s="108"/>
      <c r="AL232" s="105"/>
      <c r="AM232" s="108"/>
      <c r="AN232" s="105"/>
      <c r="AO232" s="108"/>
      <c r="AP232" s="108"/>
      <c r="AQ232" s="105"/>
      <c r="AR232" s="108"/>
      <c r="AS232" s="108"/>
      <c r="AT232" s="105"/>
      <c r="AU232" s="105"/>
      <c r="AV232" s="105"/>
      <c r="AW232" s="105"/>
      <c r="AX232" s="105"/>
      <c r="AY232" s="105"/>
      <c r="AZ232" s="105"/>
      <c r="BA232" s="105"/>
      <c r="BB232" s="105"/>
      <c r="BC232" s="105"/>
      <c r="BD232" s="108"/>
      <c r="BE232" s="83">
        <f>IF($A232="","",IF(TRIM($D232&amp;"")="",IF(TRIM($AX232&amp;$AY232&amp;$AZ232&amp;$BA232&amp;$BB232&amp;$BC232&amp;$BD232&amp;"")="","","SUBARRENDADO"),IFERROR(IF(VLOOKUP($D232,VEHICULOS!$A$3:$H$202,7,FALSE)="","",VLOOKUP($D232,VEHICULOS!$A$3:$H$202,7,FALSE)),"")))</f>
      </c>
      <c r="BF232" s="82">
        <f>IF($A232="","",IF(TRIM($BC232&amp;"")&lt;&gt;"",$BC232,IF(TRIM($D232&amp;"")="","",IFERROR(IF(VLOOKUP($D232,VEHICULOS!$A$3:$H$202,8,FALSE)="","",VLOOKUP($D232,VEHICULOS!$A$3:$H$202,8,FALSE)),""))))</f>
      </c>
      <c r="BG232" s="106"/>
      <c r="BH232" s="107"/>
      <c r="BI232" s="86">
        <f t="shared" si="45"/>
      </c>
      <c r="BJ232" s="83">
        <f t="shared" si="46"/>
      </c>
      <c r="BK232" s="85">
        <f t="shared" si="47"/>
      </c>
      <c r="BL232" s="85">
        <f t="shared" si="48"/>
      </c>
      <c r="BM232" s="108"/>
      <c r="BN232" s="85">
        <f t="shared" si="49"/>
      </c>
      <c r="BO232" s="108"/>
      <c r="BP232" s="85">
        <f t="shared" si="50"/>
      </c>
      <c r="BQ232" s="85">
        <f t="shared" si="51"/>
      </c>
      <c r="BR232" s="108"/>
      <c r="BS232" s="104"/>
      <c r="BT232" s="87">
        <f t="shared" si="52"/>
      </c>
      <c r="BU232" s="85">
        <f t="shared" si="53"/>
      </c>
      <c r="BV232" s="85">
        <f t="shared" si="54"/>
      </c>
      <c r="BW232" s="87">
        <f t="shared" si="55"/>
      </c>
      <c r="BX232" s="104"/>
      <c r="BY232" s="106"/>
      <c r="BZ232" s="104"/>
      <c r="CA232" s="105"/>
      <c r="CB232" s="77">
        <f>IF($A232="",0,IF($B232='FICHA CLIENTE'!$C$4,1,0))</f>
      </c>
      <c r="CC232" s="77">
        <f t="shared" si="56"/>
      </c>
      <c r="CD232" s="77">
        <f>IF($A232="",0,IF($D232='FICHA VEHICULO'!$C$4,1,0))</f>
      </c>
      <c r="CE232" s="77">
        <f t="shared" si="57"/>
      </c>
      <c r="CF232" s="77">
        <f t="shared" si="58"/>
      </c>
      <c r="CG232" s="77">
        <f t="shared" si="59"/>
      </c>
    </row>
    <row r="233" spans="1:85" ht="19.5" customHeight="1" x14ac:dyDescent="0.2">
      <c r="A233" s="104"/>
      <c r="B233" s="104"/>
      <c r="C233" s="105"/>
      <c r="D233" s="104"/>
      <c r="E233" s="105"/>
      <c r="F233" s="106"/>
      <c r="G233" s="104"/>
      <c r="H233" s="106"/>
      <c r="I233" s="107"/>
      <c r="J233" s="108"/>
      <c r="K233" s="108"/>
      <c r="L233" s="108"/>
      <c r="M233" s="105"/>
      <c r="N233" s="105"/>
      <c r="O233" s="105"/>
      <c r="P233" s="108"/>
      <c r="Q233" s="105"/>
      <c r="R233" s="105"/>
      <c r="S233" s="105"/>
      <c r="T233" s="105"/>
      <c r="U233" s="108"/>
      <c r="V233" s="105"/>
      <c r="W233" s="105"/>
      <c r="X233" s="105"/>
      <c r="Y233" s="105"/>
      <c r="Z233" s="105"/>
      <c r="AA233" s="108"/>
      <c r="AB233" s="108"/>
      <c r="AC233" s="105"/>
      <c r="AD233" s="279"/>
      <c r="AE233" s="105"/>
      <c r="AF233" s="279"/>
      <c r="AG233" s="105"/>
      <c r="AH233" s="108"/>
      <c r="AI233" s="108"/>
      <c r="AJ233" s="108"/>
      <c r="AK233" s="108"/>
      <c r="AL233" s="105"/>
      <c r="AM233" s="108"/>
      <c r="AN233" s="105"/>
      <c r="AO233" s="108"/>
      <c r="AP233" s="108"/>
      <c r="AQ233" s="105"/>
      <c r="AR233" s="108"/>
      <c r="AS233" s="108"/>
      <c r="AT233" s="105"/>
      <c r="AU233" s="105"/>
      <c r="AV233" s="105"/>
      <c r="AW233" s="105"/>
      <c r="AX233" s="105"/>
      <c r="AY233" s="105"/>
      <c r="AZ233" s="105"/>
      <c r="BA233" s="105"/>
      <c r="BB233" s="105"/>
      <c r="BC233" s="105"/>
      <c r="BD233" s="108"/>
      <c r="BE233" s="83">
        <f>IF($A233="","",IF(TRIM($D233&amp;"")="",IF(TRIM($AX233&amp;$AY233&amp;$AZ233&amp;$BA233&amp;$BB233&amp;$BC233&amp;$BD233&amp;"")="","","SUBARRENDADO"),IFERROR(IF(VLOOKUP($D233,VEHICULOS!$A$3:$H$202,7,FALSE)="","",VLOOKUP($D233,VEHICULOS!$A$3:$H$202,7,FALSE)),"")))</f>
      </c>
      <c r="BF233" s="82">
        <f>IF($A233="","",IF(TRIM($BC233&amp;"")&lt;&gt;"",$BC233,IF(TRIM($D233&amp;"")="","",IFERROR(IF(VLOOKUP($D233,VEHICULOS!$A$3:$H$202,8,FALSE)="","",VLOOKUP($D233,VEHICULOS!$A$3:$H$202,8,FALSE)),""))))</f>
      </c>
      <c r="BG233" s="106"/>
      <c r="BH233" s="107"/>
      <c r="BI233" s="86">
        <f t="shared" si="45"/>
      </c>
      <c r="BJ233" s="83">
        <f t="shared" si="46"/>
      </c>
      <c r="BK233" s="85">
        <f t="shared" si="47"/>
      </c>
      <c r="BL233" s="85">
        <f t="shared" si="48"/>
      </c>
      <c r="BM233" s="108"/>
      <c r="BN233" s="85">
        <f t="shared" si="49"/>
      </c>
      <c r="BO233" s="108"/>
      <c r="BP233" s="85">
        <f t="shared" si="50"/>
      </c>
      <c r="BQ233" s="85">
        <f t="shared" si="51"/>
      </c>
      <c r="BR233" s="108"/>
      <c r="BS233" s="104"/>
      <c r="BT233" s="87">
        <f t="shared" si="52"/>
      </c>
      <c r="BU233" s="85">
        <f t="shared" si="53"/>
      </c>
      <c r="BV233" s="85">
        <f t="shared" si="54"/>
      </c>
      <c r="BW233" s="87">
        <f t="shared" si="55"/>
      </c>
      <c r="BX233" s="104"/>
      <c r="BY233" s="106"/>
      <c r="BZ233" s="104"/>
      <c r="CA233" s="105"/>
      <c r="CB233" s="77">
        <f>IF($A233="",0,IF($B233='FICHA CLIENTE'!$C$4,1,0))</f>
      </c>
      <c r="CC233" s="77">
        <f t="shared" si="56"/>
      </c>
      <c r="CD233" s="77">
        <f>IF($A233="",0,IF($D233='FICHA VEHICULO'!$C$4,1,0))</f>
      </c>
      <c r="CE233" s="77">
        <f t="shared" si="57"/>
      </c>
      <c r="CF233" s="77">
        <f t="shared" si="58"/>
      </c>
      <c r="CG233" s="77">
        <f t="shared" si="59"/>
      </c>
    </row>
    <row r="234" spans="1:85" ht="19.5" customHeight="1" x14ac:dyDescent="0.2">
      <c r="A234" s="104"/>
      <c r="B234" s="104"/>
      <c r="C234" s="105"/>
      <c r="D234" s="104"/>
      <c r="E234" s="105"/>
      <c r="F234" s="106"/>
      <c r="G234" s="104"/>
      <c r="H234" s="106"/>
      <c r="I234" s="107"/>
      <c r="J234" s="108"/>
      <c r="K234" s="108"/>
      <c r="L234" s="108"/>
      <c r="M234" s="105"/>
      <c r="N234" s="105"/>
      <c r="O234" s="105"/>
      <c r="P234" s="108"/>
      <c r="Q234" s="105"/>
      <c r="R234" s="105"/>
      <c r="S234" s="105"/>
      <c r="T234" s="105"/>
      <c r="U234" s="108"/>
      <c r="V234" s="105"/>
      <c r="W234" s="105"/>
      <c r="X234" s="105"/>
      <c r="Y234" s="105"/>
      <c r="Z234" s="105"/>
      <c r="AA234" s="108"/>
      <c r="AB234" s="108"/>
      <c r="AC234" s="105"/>
      <c r="AD234" s="279"/>
      <c r="AE234" s="105"/>
      <c r="AF234" s="279"/>
      <c r="AG234" s="105"/>
      <c r="AH234" s="108"/>
      <c r="AI234" s="108"/>
      <c r="AJ234" s="108"/>
      <c r="AK234" s="108"/>
      <c r="AL234" s="105"/>
      <c r="AM234" s="108"/>
      <c r="AN234" s="105"/>
      <c r="AO234" s="108"/>
      <c r="AP234" s="108"/>
      <c r="AQ234" s="105"/>
      <c r="AR234" s="108"/>
      <c r="AS234" s="108"/>
      <c r="AT234" s="105"/>
      <c r="AU234" s="105"/>
      <c r="AV234" s="105"/>
      <c r="AW234" s="105"/>
      <c r="AX234" s="105"/>
      <c r="AY234" s="105"/>
      <c r="AZ234" s="105"/>
      <c r="BA234" s="105"/>
      <c r="BB234" s="105"/>
      <c r="BC234" s="105"/>
      <c r="BD234" s="108"/>
      <c r="BE234" s="83">
        <f>IF($A234="","",IF(TRIM($D234&amp;"")="",IF(TRIM($AX234&amp;$AY234&amp;$AZ234&amp;$BA234&amp;$BB234&amp;$BC234&amp;$BD234&amp;"")="","","SUBARRENDADO"),IFERROR(IF(VLOOKUP($D234,VEHICULOS!$A$3:$H$202,7,FALSE)="","",VLOOKUP($D234,VEHICULOS!$A$3:$H$202,7,FALSE)),"")))</f>
      </c>
      <c r="BF234" s="82">
        <f>IF($A234="","",IF(TRIM($BC234&amp;"")&lt;&gt;"",$BC234,IF(TRIM($D234&amp;"")="","",IFERROR(IF(VLOOKUP($D234,VEHICULOS!$A$3:$H$202,8,FALSE)="","",VLOOKUP($D234,VEHICULOS!$A$3:$H$202,8,FALSE)),""))))</f>
      </c>
      <c r="BG234" s="106"/>
      <c r="BH234" s="107"/>
      <c r="BI234" s="86">
        <f t="shared" si="45"/>
      </c>
      <c r="BJ234" s="83">
        <f t="shared" si="46"/>
      </c>
      <c r="BK234" s="85">
        <f t="shared" si="47"/>
      </c>
      <c r="BL234" s="85">
        <f t="shared" si="48"/>
      </c>
      <c r="BM234" s="108"/>
      <c r="BN234" s="85">
        <f t="shared" si="49"/>
      </c>
      <c r="BO234" s="108"/>
      <c r="BP234" s="85">
        <f t="shared" si="50"/>
      </c>
      <c r="BQ234" s="85">
        <f t="shared" si="51"/>
      </c>
      <c r="BR234" s="108"/>
      <c r="BS234" s="104"/>
      <c r="BT234" s="87">
        <f t="shared" si="52"/>
      </c>
      <c r="BU234" s="85">
        <f t="shared" si="53"/>
      </c>
      <c r="BV234" s="85">
        <f t="shared" si="54"/>
      </c>
      <c r="BW234" s="87">
        <f t="shared" si="55"/>
      </c>
      <c r="BX234" s="104"/>
      <c r="BY234" s="106"/>
      <c r="BZ234" s="104"/>
      <c r="CA234" s="105"/>
      <c r="CB234" s="77">
        <f>IF($A234="",0,IF($B234='FICHA CLIENTE'!$C$4,1,0))</f>
      </c>
      <c r="CC234" s="77">
        <f t="shared" si="56"/>
      </c>
      <c r="CD234" s="77">
        <f>IF($A234="",0,IF($D234='FICHA VEHICULO'!$C$4,1,0))</f>
      </c>
      <c r="CE234" s="77">
        <f t="shared" si="57"/>
      </c>
      <c r="CF234" s="77">
        <f t="shared" si="58"/>
      </c>
      <c r="CG234" s="77">
        <f t="shared" si="59"/>
      </c>
    </row>
    <row r="235" spans="1:85" ht="19.5" customHeight="1" x14ac:dyDescent="0.2">
      <c r="A235" s="104"/>
      <c r="B235" s="104"/>
      <c r="C235" s="105"/>
      <c r="D235" s="104"/>
      <c r="E235" s="105"/>
      <c r="F235" s="106"/>
      <c r="G235" s="104"/>
      <c r="H235" s="106"/>
      <c r="I235" s="107"/>
      <c r="J235" s="108"/>
      <c r="K235" s="108"/>
      <c r="L235" s="108"/>
      <c r="M235" s="105"/>
      <c r="N235" s="105"/>
      <c r="O235" s="105"/>
      <c r="P235" s="108"/>
      <c r="Q235" s="105"/>
      <c r="R235" s="105"/>
      <c r="S235" s="105"/>
      <c r="T235" s="105"/>
      <c r="U235" s="108"/>
      <c r="V235" s="105"/>
      <c r="W235" s="105"/>
      <c r="X235" s="105"/>
      <c r="Y235" s="105"/>
      <c r="Z235" s="105"/>
      <c r="AA235" s="108"/>
      <c r="AB235" s="108"/>
      <c r="AC235" s="105"/>
      <c r="AD235" s="279"/>
      <c r="AE235" s="105"/>
      <c r="AF235" s="279"/>
      <c r="AG235" s="105"/>
      <c r="AH235" s="108"/>
      <c r="AI235" s="108"/>
      <c r="AJ235" s="108"/>
      <c r="AK235" s="108"/>
      <c r="AL235" s="105"/>
      <c r="AM235" s="108"/>
      <c r="AN235" s="105"/>
      <c r="AO235" s="108"/>
      <c r="AP235" s="108"/>
      <c r="AQ235" s="105"/>
      <c r="AR235" s="108"/>
      <c r="AS235" s="108"/>
      <c r="AT235" s="105"/>
      <c r="AU235" s="105"/>
      <c r="AV235" s="105"/>
      <c r="AW235" s="105"/>
      <c r="AX235" s="105"/>
      <c r="AY235" s="105"/>
      <c r="AZ235" s="105"/>
      <c r="BA235" s="105"/>
      <c r="BB235" s="105"/>
      <c r="BC235" s="105"/>
      <c r="BD235" s="108"/>
      <c r="BE235" s="83">
        <f>IF($A235="","",IF(TRIM($D235&amp;"")="",IF(TRIM($AX235&amp;$AY235&amp;$AZ235&amp;$BA235&amp;$BB235&amp;$BC235&amp;$BD235&amp;"")="","","SUBARRENDADO"),IFERROR(IF(VLOOKUP($D235,VEHICULOS!$A$3:$H$202,7,FALSE)="","",VLOOKUP($D235,VEHICULOS!$A$3:$H$202,7,FALSE)),"")))</f>
      </c>
      <c r="BF235" s="82">
        <f>IF($A235="","",IF(TRIM($BC235&amp;"")&lt;&gt;"",$BC235,IF(TRIM($D235&amp;"")="","",IFERROR(IF(VLOOKUP($D235,VEHICULOS!$A$3:$H$202,8,FALSE)="","",VLOOKUP($D235,VEHICULOS!$A$3:$H$202,8,FALSE)),""))))</f>
      </c>
      <c r="BG235" s="106"/>
      <c r="BH235" s="107"/>
      <c r="BI235" s="86">
        <f t="shared" si="45"/>
      </c>
      <c r="BJ235" s="83">
        <f t="shared" si="46"/>
      </c>
      <c r="BK235" s="85">
        <f t="shared" si="47"/>
      </c>
      <c r="BL235" s="85">
        <f t="shared" si="48"/>
      </c>
      <c r="BM235" s="108"/>
      <c r="BN235" s="85">
        <f t="shared" si="49"/>
      </c>
      <c r="BO235" s="108"/>
      <c r="BP235" s="85">
        <f t="shared" si="50"/>
      </c>
      <c r="BQ235" s="85">
        <f t="shared" si="51"/>
      </c>
      <c r="BR235" s="108"/>
      <c r="BS235" s="104"/>
      <c r="BT235" s="87">
        <f t="shared" si="52"/>
      </c>
      <c r="BU235" s="85">
        <f t="shared" si="53"/>
      </c>
      <c r="BV235" s="85">
        <f t="shared" si="54"/>
      </c>
      <c r="BW235" s="87">
        <f t="shared" si="55"/>
      </c>
      <c r="BX235" s="104"/>
      <c r="BY235" s="106"/>
      <c r="BZ235" s="104"/>
      <c r="CA235" s="105"/>
      <c r="CB235" s="77">
        <f>IF($A235="",0,IF($B235='FICHA CLIENTE'!$C$4,1,0))</f>
      </c>
      <c r="CC235" s="77">
        <f t="shared" si="56"/>
      </c>
      <c r="CD235" s="77">
        <f>IF($A235="",0,IF($D235='FICHA VEHICULO'!$C$4,1,0))</f>
      </c>
      <c r="CE235" s="77">
        <f t="shared" si="57"/>
      </c>
      <c r="CF235" s="77">
        <f t="shared" si="58"/>
      </c>
      <c r="CG235" s="77">
        <f t="shared" si="59"/>
      </c>
    </row>
    <row r="236" spans="1:85" ht="19.5" customHeight="1" x14ac:dyDescent="0.2">
      <c r="A236" s="104"/>
      <c r="B236" s="104"/>
      <c r="C236" s="105"/>
      <c r="D236" s="104"/>
      <c r="E236" s="105"/>
      <c r="F236" s="106"/>
      <c r="G236" s="104"/>
      <c r="H236" s="106"/>
      <c r="I236" s="107"/>
      <c r="J236" s="108"/>
      <c r="K236" s="108"/>
      <c r="L236" s="108"/>
      <c r="M236" s="105"/>
      <c r="N236" s="105"/>
      <c r="O236" s="105"/>
      <c r="P236" s="108"/>
      <c r="Q236" s="105"/>
      <c r="R236" s="105"/>
      <c r="S236" s="105"/>
      <c r="T236" s="105"/>
      <c r="U236" s="108"/>
      <c r="V236" s="105"/>
      <c r="W236" s="105"/>
      <c r="X236" s="105"/>
      <c r="Y236" s="105"/>
      <c r="Z236" s="105"/>
      <c r="AA236" s="108"/>
      <c r="AB236" s="108"/>
      <c r="AC236" s="105"/>
      <c r="AD236" s="279"/>
      <c r="AE236" s="105"/>
      <c r="AF236" s="279"/>
      <c r="AG236" s="105"/>
      <c r="AH236" s="108"/>
      <c r="AI236" s="108"/>
      <c r="AJ236" s="108"/>
      <c r="AK236" s="108"/>
      <c r="AL236" s="105"/>
      <c r="AM236" s="108"/>
      <c r="AN236" s="105"/>
      <c r="AO236" s="108"/>
      <c r="AP236" s="108"/>
      <c r="AQ236" s="105"/>
      <c r="AR236" s="108"/>
      <c r="AS236" s="108"/>
      <c r="AT236" s="105"/>
      <c r="AU236" s="105"/>
      <c r="AV236" s="105"/>
      <c r="AW236" s="105"/>
      <c r="AX236" s="105"/>
      <c r="AY236" s="105"/>
      <c r="AZ236" s="105"/>
      <c r="BA236" s="105"/>
      <c r="BB236" s="105"/>
      <c r="BC236" s="105"/>
      <c r="BD236" s="108"/>
      <c r="BE236" s="83">
        <f>IF($A236="","",IF(TRIM($D236&amp;"")="",IF(TRIM($AX236&amp;$AY236&amp;$AZ236&amp;$BA236&amp;$BB236&amp;$BC236&amp;$BD236&amp;"")="","","SUBARRENDADO"),IFERROR(IF(VLOOKUP($D236,VEHICULOS!$A$3:$H$202,7,FALSE)="","",VLOOKUP($D236,VEHICULOS!$A$3:$H$202,7,FALSE)),"")))</f>
      </c>
      <c r="BF236" s="82">
        <f>IF($A236="","",IF(TRIM($BC236&amp;"")&lt;&gt;"",$BC236,IF(TRIM($D236&amp;"")="","",IFERROR(IF(VLOOKUP($D236,VEHICULOS!$A$3:$H$202,8,FALSE)="","",VLOOKUP($D236,VEHICULOS!$A$3:$H$202,8,FALSE)),""))))</f>
      </c>
      <c r="BG236" s="106"/>
      <c r="BH236" s="107"/>
      <c r="BI236" s="86">
        <f t="shared" si="45"/>
      </c>
      <c r="BJ236" s="83">
        <f t="shared" si="46"/>
      </c>
      <c r="BK236" s="85">
        <f t="shared" si="47"/>
      </c>
      <c r="BL236" s="85">
        <f t="shared" si="48"/>
      </c>
      <c r="BM236" s="108"/>
      <c r="BN236" s="85">
        <f t="shared" si="49"/>
      </c>
      <c r="BO236" s="108"/>
      <c r="BP236" s="85">
        <f t="shared" si="50"/>
      </c>
      <c r="BQ236" s="85">
        <f t="shared" si="51"/>
      </c>
      <c r="BR236" s="108"/>
      <c r="BS236" s="104"/>
      <c r="BT236" s="87">
        <f t="shared" si="52"/>
      </c>
      <c r="BU236" s="85">
        <f t="shared" si="53"/>
      </c>
      <c r="BV236" s="85">
        <f t="shared" si="54"/>
      </c>
      <c r="BW236" s="87">
        <f t="shared" si="55"/>
      </c>
      <c r="BX236" s="104"/>
      <c r="BY236" s="106"/>
      <c r="BZ236" s="104"/>
      <c r="CA236" s="105"/>
      <c r="CB236" s="77">
        <f>IF($A236="",0,IF($B236='FICHA CLIENTE'!$C$4,1,0))</f>
      </c>
      <c r="CC236" s="77">
        <f t="shared" si="56"/>
      </c>
      <c r="CD236" s="77">
        <f>IF($A236="",0,IF($D236='FICHA VEHICULO'!$C$4,1,0))</f>
      </c>
      <c r="CE236" s="77">
        <f t="shared" si="57"/>
      </c>
      <c r="CF236" s="77">
        <f t="shared" si="58"/>
      </c>
      <c r="CG236" s="77">
        <f t="shared" si="59"/>
      </c>
    </row>
    <row r="237" spans="1:85" ht="19.5" customHeight="1" x14ac:dyDescent="0.2">
      <c r="A237" s="104"/>
      <c r="B237" s="104"/>
      <c r="C237" s="105"/>
      <c r="D237" s="104"/>
      <c r="E237" s="105"/>
      <c r="F237" s="106"/>
      <c r="G237" s="104"/>
      <c r="H237" s="106"/>
      <c r="I237" s="107"/>
      <c r="J237" s="108"/>
      <c r="K237" s="108"/>
      <c r="L237" s="108"/>
      <c r="M237" s="105"/>
      <c r="N237" s="105"/>
      <c r="O237" s="105"/>
      <c r="P237" s="108"/>
      <c r="Q237" s="105"/>
      <c r="R237" s="105"/>
      <c r="S237" s="105"/>
      <c r="T237" s="105"/>
      <c r="U237" s="108"/>
      <c r="V237" s="105"/>
      <c r="W237" s="105"/>
      <c r="X237" s="105"/>
      <c r="Y237" s="105"/>
      <c r="Z237" s="105"/>
      <c r="AA237" s="108"/>
      <c r="AB237" s="108"/>
      <c r="AC237" s="105"/>
      <c r="AD237" s="279"/>
      <c r="AE237" s="105"/>
      <c r="AF237" s="279"/>
      <c r="AG237" s="105"/>
      <c r="AH237" s="108"/>
      <c r="AI237" s="108"/>
      <c r="AJ237" s="108"/>
      <c r="AK237" s="108"/>
      <c r="AL237" s="105"/>
      <c r="AM237" s="108"/>
      <c r="AN237" s="105"/>
      <c r="AO237" s="108"/>
      <c r="AP237" s="108"/>
      <c r="AQ237" s="105"/>
      <c r="AR237" s="108"/>
      <c r="AS237" s="108"/>
      <c r="AT237" s="105"/>
      <c r="AU237" s="105"/>
      <c r="AV237" s="105"/>
      <c r="AW237" s="105"/>
      <c r="AX237" s="105"/>
      <c r="AY237" s="105"/>
      <c r="AZ237" s="105"/>
      <c r="BA237" s="105"/>
      <c r="BB237" s="105"/>
      <c r="BC237" s="105"/>
      <c r="BD237" s="108"/>
      <c r="BE237" s="83">
        <f>IF($A237="","",IF(TRIM($D237&amp;"")="",IF(TRIM($AX237&amp;$AY237&amp;$AZ237&amp;$BA237&amp;$BB237&amp;$BC237&amp;$BD237&amp;"")="","","SUBARRENDADO"),IFERROR(IF(VLOOKUP($D237,VEHICULOS!$A$3:$H$202,7,FALSE)="","",VLOOKUP($D237,VEHICULOS!$A$3:$H$202,7,FALSE)),"")))</f>
      </c>
      <c r="BF237" s="82">
        <f>IF($A237="","",IF(TRIM($BC237&amp;"")&lt;&gt;"",$BC237,IF(TRIM($D237&amp;"")="","",IFERROR(IF(VLOOKUP($D237,VEHICULOS!$A$3:$H$202,8,FALSE)="","",VLOOKUP($D237,VEHICULOS!$A$3:$H$202,8,FALSE)),""))))</f>
      </c>
      <c r="BG237" s="106"/>
      <c r="BH237" s="107"/>
      <c r="BI237" s="86">
        <f t="shared" si="45"/>
      </c>
      <c r="BJ237" s="83">
        <f t="shared" si="46"/>
      </c>
      <c r="BK237" s="85">
        <f t="shared" si="47"/>
      </c>
      <c r="BL237" s="85">
        <f t="shared" si="48"/>
      </c>
      <c r="BM237" s="108"/>
      <c r="BN237" s="85">
        <f t="shared" si="49"/>
      </c>
      <c r="BO237" s="108"/>
      <c r="BP237" s="85">
        <f t="shared" si="50"/>
      </c>
      <c r="BQ237" s="85">
        <f t="shared" si="51"/>
      </c>
      <c r="BR237" s="108"/>
      <c r="BS237" s="104"/>
      <c r="BT237" s="87">
        <f t="shared" si="52"/>
      </c>
      <c r="BU237" s="85">
        <f t="shared" si="53"/>
      </c>
      <c r="BV237" s="85">
        <f t="shared" si="54"/>
      </c>
      <c r="BW237" s="87">
        <f t="shared" si="55"/>
      </c>
      <c r="BX237" s="104"/>
      <c r="BY237" s="106"/>
      <c r="BZ237" s="104"/>
      <c r="CA237" s="105"/>
      <c r="CB237" s="77">
        <f>IF($A237="",0,IF($B237='FICHA CLIENTE'!$C$4,1,0))</f>
      </c>
      <c r="CC237" s="77">
        <f t="shared" si="56"/>
      </c>
      <c r="CD237" s="77">
        <f>IF($A237="",0,IF($D237='FICHA VEHICULO'!$C$4,1,0))</f>
      </c>
      <c r="CE237" s="77">
        <f t="shared" si="57"/>
      </c>
      <c r="CF237" s="77">
        <f t="shared" si="58"/>
      </c>
      <c r="CG237" s="77">
        <f t="shared" si="59"/>
      </c>
    </row>
    <row r="238" spans="1:85" ht="19.5" customHeight="1" x14ac:dyDescent="0.2">
      <c r="A238" s="104"/>
      <c r="B238" s="104"/>
      <c r="C238" s="105"/>
      <c r="D238" s="104"/>
      <c r="E238" s="105"/>
      <c r="F238" s="106"/>
      <c r="G238" s="104"/>
      <c r="H238" s="106"/>
      <c r="I238" s="107"/>
      <c r="J238" s="108"/>
      <c r="K238" s="108"/>
      <c r="L238" s="108"/>
      <c r="M238" s="105"/>
      <c r="N238" s="105"/>
      <c r="O238" s="105"/>
      <c r="P238" s="108"/>
      <c r="Q238" s="105"/>
      <c r="R238" s="105"/>
      <c r="S238" s="105"/>
      <c r="T238" s="105"/>
      <c r="U238" s="108"/>
      <c r="V238" s="105"/>
      <c r="W238" s="105"/>
      <c r="X238" s="105"/>
      <c r="Y238" s="105"/>
      <c r="Z238" s="105"/>
      <c r="AA238" s="108"/>
      <c r="AB238" s="108"/>
      <c r="AC238" s="105"/>
      <c r="AD238" s="279"/>
      <c r="AE238" s="105"/>
      <c r="AF238" s="279"/>
      <c r="AG238" s="105"/>
      <c r="AH238" s="108"/>
      <c r="AI238" s="108"/>
      <c r="AJ238" s="108"/>
      <c r="AK238" s="108"/>
      <c r="AL238" s="105"/>
      <c r="AM238" s="108"/>
      <c r="AN238" s="105"/>
      <c r="AO238" s="108"/>
      <c r="AP238" s="108"/>
      <c r="AQ238" s="105"/>
      <c r="AR238" s="108"/>
      <c r="AS238" s="108"/>
      <c r="AT238" s="105"/>
      <c r="AU238" s="105"/>
      <c r="AV238" s="105"/>
      <c r="AW238" s="105"/>
      <c r="AX238" s="105"/>
      <c r="AY238" s="105"/>
      <c r="AZ238" s="105"/>
      <c r="BA238" s="105"/>
      <c r="BB238" s="105"/>
      <c r="BC238" s="105"/>
      <c r="BD238" s="108"/>
      <c r="BE238" s="83">
        <f>IF($A238="","",IF(TRIM($D238&amp;"")="",IF(TRIM($AX238&amp;$AY238&amp;$AZ238&amp;$BA238&amp;$BB238&amp;$BC238&amp;$BD238&amp;"")="","","SUBARRENDADO"),IFERROR(IF(VLOOKUP($D238,VEHICULOS!$A$3:$H$202,7,FALSE)="","",VLOOKUP($D238,VEHICULOS!$A$3:$H$202,7,FALSE)),"")))</f>
      </c>
      <c r="BF238" s="82">
        <f>IF($A238="","",IF(TRIM($BC238&amp;"")&lt;&gt;"",$BC238,IF(TRIM($D238&amp;"")="","",IFERROR(IF(VLOOKUP($D238,VEHICULOS!$A$3:$H$202,8,FALSE)="","",VLOOKUP($D238,VEHICULOS!$A$3:$H$202,8,FALSE)),""))))</f>
      </c>
      <c r="BG238" s="106"/>
      <c r="BH238" s="107"/>
      <c r="BI238" s="86">
        <f t="shared" si="45"/>
      </c>
      <c r="BJ238" s="83">
        <f t="shared" si="46"/>
      </c>
      <c r="BK238" s="85">
        <f t="shared" si="47"/>
      </c>
      <c r="BL238" s="85">
        <f t="shared" si="48"/>
      </c>
      <c r="BM238" s="108"/>
      <c r="BN238" s="85">
        <f t="shared" si="49"/>
      </c>
      <c r="BO238" s="108"/>
      <c r="BP238" s="85">
        <f t="shared" si="50"/>
      </c>
      <c r="BQ238" s="85">
        <f t="shared" si="51"/>
      </c>
      <c r="BR238" s="108"/>
      <c r="BS238" s="104"/>
      <c r="BT238" s="87">
        <f t="shared" si="52"/>
      </c>
      <c r="BU238" s="85">
        <f t="shared" si="53"/>
      </c>
      <c r="BV238" s="85">
        <f t="shared" si="54"/>
      </c>
      <c r="BW238" s="87">
        <f t="shared" si="55"/>
      </c>
      <c r="BX238" s="104"/>
      <c r="BY238" s="106"/>
      <c r="BZ238" s="104"/>
      <c r="CA238" s="105"/>
      <c r="CB238" s="77">
        <f>IF($A238="",0,IF($B238='FICHA CLIENTE'!$C$4,1,0))</f>
      </c>
      <c r="CC238" s="77">
        <f t="shared" si="56"/>
      </c>
      <c r="CD238" s="77">
        <f>IF($A238="",0,IF($D238='FICHA VEHICULO'!$C$4,1,0))</f>
      </c>
      <c r="CE238" s="77">
        <f t="shared" si="57"/>
      </c>
      <c r="CF238" s="77">
        <f t="shared" si="58"/>
      </c>
      <c r="CG238" s="77">
        <f t="shared" si="59"/>
      </c>
    </row>
    <row r="239" spans="1:85" ht="19.5" customHeight="1" x14ac:dyDescent="0.2">
      <c r="A239" s="104"/>
      <c r="B239" s="104"/>
      <c r="C239" s="105"/>
      <c r="D239" s="104"/>
      <c r="E239" s="105"/>
      <c r="F239" s="106"/>
      <c r="G239" s="104"/>
      <c r="H239" s="106"/>
      <c r="I239" s="107"/>
      <c r="J239" s="108"/>
      <c r="K239" s="108"/>
      <c r="L239" s="108"/>
      <c r="M239" s="105"/>
      <c r="N239" s="105"/>
      <c r="O239" s="105"/>
      <c r="P239" s="108"/>
      <c r="Q239" s="105"/>
      <c r="R239" s="105"/>
      <c r="S239" s="105"/>
      <c r="T239" s="105"/>
      <c r="U239" s="108"/>
      <c r="V239" s="105"/>
      <c r="W239" s="105"/>
      <c r="X239" s="105"/>
      <c r="Y239" s="105"/>
      <c r="Z239" s="105"/>
      <c r="AA239" s="108"/>
      <c r="AB239" s="108"/>
      <c r="AC239" s="105"/>
      <c r="AD239" s="279"/>
      <c r="AE239" s="105"/>
      <c r="AF239" s="279"/>
      <c r="AG239" s="105"/>
      <c r="AH239" s="108"/>
      <c r="AI239" s="108"/>
      <c r="AJ239" s="108"/>
      <c r="AK239" s="108"/>
      <c r="AL239" s="105"/>
      <c r="AM239" s="108"/>
      <c r="AN239" s="105"/>
      <c r="AO239" s="108"/>
      <c r="AP239" s="108"/>
      <c r="AQ239" s="105"/>
      <c r="AR239" s="108"/>
      <c r="AS239" s="108"/>
      <c r="AT239" s="105"/>
      <c r="AU239" s="105"/>
      <c r="AV239" s="105"/>
      <c r="AW239" s="105"/>
      <c r="AX239" s="105"/>
      <c r="AY239" s="105"/>
      <c r="AZ239" s="105"/>
      <c r="BA239" s="105"/>
      <c r="BB239" s="105"/>
      <c r="BC239" s="105"/>
      <c r="BD239" s="108"/>
      <c r="BE239" s="83">
        <f>IF($A239="","",IF(TRIM($D239&amp;"")="",IF(TRIM($AX239&amp;$AY239&amp;$AZ239&amp;$BA239&amp;$BB239&amp;$BC239&amp;$BD239&amp;"")="","","SUBARRENDADO"),IFERROR(IF(VLOOKUP($D239,VEHICULOS!$A$3:$H$202,7,FALSE)="","",VLOOKUP($D239,VEHICULOS!$A$3:$H$202,7,FALSE)),"")))</f>
      </c>
      <c r="BF239" s="82">
        <f>IF($A239="","",IF(TRIM($BC239&amp;"")&lt;&gt;"",$BC239,IF(TRIM($D239&amp;"")="","",IFERROR(IF(VLOOKUP($D239,VEHICULOS!$A$3:$H$202,8,FALSE)="","",VLOOKUP($D239,VEHICULOS!$A$3:$H$202,8,FALSE)),""))))</f>
      </c>
      <c r="BG239" s="106"/>
      <c r="BH239" s="107"/>
      <c r="BI239" s="86">
        <f t="shared" si="45"/>
      </c>
      <c r="BJ239" s="83">
        <f t="shared" si="46"/>
      </c>
      <c r="BK239" s="85">
        <f t="shared" si="47"/>
      </c>
      <c r="BL239" s="85">
        <f t="shared" si="48"/>
      </c>
      <c r="BM239" s="108"/>
      <c r="BN239" s="85">
        <f t="shared" si="49"/>
      </c>
      <c r="BO239" s="108"/>
      <c r="BP239" s="85">
        <f t="shared" si="50"/>
      </c>
      <c r="BQ239" s="85">
        <f t="shared" si="51"/>
      </c>
      <c r="BR239" s="108"/>
      <c r="BS239" s="104"/>
      <c r="BT239" s="87">
        <f t="shared" si="52"/>
      </c>
      <c r="BU239" s="85">
        <f t="shared" si="53"/>
      </c>
      <c r="BV239" s="85">
        <f t="shared" si="54"/>
      </c>
      <c r="BW239" s="87">
        <f t="shared" si="55"/>
      </c>
      <c r="BX239" s="104"/>
      <c r="BY239" s="106"/>
      <c r="BZ239" s="104"/>
      <c r="CA239" s="105"/>
      <c r="CB239" s="77">
        <f>IF($A239="",0,IF($B239='FICHA CLIENTE'!$C$4,1,0))</f>
      </c>
      <c r="CC239" s="77">
        <f t="shared" si="56"/>
      </c>
      <c r="CD239" s="77">
        <f>IF($A239="",0,IF($D239='FICHA VEHICULO'!$C$4,1,0))</f>
      </c>
      <c r="CE239" s="77">
        <f t="shared" si="57"/>
      </c>
      <c r="CF239" s="77">
        <f t="shared" si="58"/>
      </c>
      <c r="CG239" s="77">
        <f t="shared" si="59"/>
      </c>
    </row>
    <row r="240" spans="1:85" ht="19.5" customHeight="1" x14ac:dyDescent="0.2">
      <c r="A240" s="104"/>
      <c r="B240" s="104"/>
      <c r="C240" s="105"/>
      <c r="D240" s="104"/>
      <c r="E240" s="105"/>
      <c r="F240" s="106"/>
      <c r="G240" s="104"/>
      <c r="H240" s="106"/>
      <c r="I240" s="107"/>
      <c r="J240" s="108"/>
      <c r="K240" s="108"/>
      <c r="L240" s="108"/>
      <c r="M240" s="105"/>
      <c r="N240" s="105"/>
      <c r="O240" s="105"/>
      <c r="P240" s="108"/>
      <c r="Q240" s="105"/>
      <c r="R240" s="105"/>
      <c r="S240" s="105"/>
      <c r="T240" s="105"/>
      <c r="U240" s="108"/>
      <c r="V240" s="105"/>
      <c r="W240" s="105"/>
      <c r="X240" s="105"/>
      <c r="Y240" s="105"/>
      <c r="Z240" s="105"/>
      <c r="AA240" s="108"/>
      <c r="AB240" s="108"/>
      <c r="AC240" s="105"/>
      <c r="AD240" s="279"/>
      <c r="AE240" s="105"/>
      <c r="AF240" s="279"/>
      <c r="AG240" s="105"/>
      <c r="AH240" s="108"/>
      <c r="AI240" s="108"/>
      <c r="AJ240" s="108"/>
      <c r="AK240" s="108"/>
      <c r="AL240" s="105"/>
      <c r="AM240" s="108"/>
      <c r="AN240" s="105"/>
      <c r="AO240" s="108"/>
      <c r="AP240" s="108"/>
      <c r="AQ240" s="105"/>
      <c r="AR240" s="108"/>
      <c r="AS240" s="108"/>
      <c r="AT240" s="105"/>
      <c r="AU240" s="105"/>
      <c r="AV240" s="105"/>
      <c r="AW240" s="105"/>
      <c r="AX240" s="105"/>
      <c r="AY240" s="105"/>
      <c r="AZ240" s="105"/>
      <c r="BA240" s="105"/>
      <c r="BB240" s="105"/>
      <c r="BC240" s="105"/>
      <c r="BD240" s="108"/>
      <c r="BE240" s="83">
        <f>IF($A240="","",IF(TRIM($D240&amp;"")="",IF(TRIM($AX240&amp;$AY240&amp;$AZ240&amp;$BA240&amp;$BB240&amp;$BC240&amp;$BD240&amp;"")="","","SUBARRENDADO"),IFERROR(IF(VLOOKUP($D240,VEHICULOS!$A$3:$H$202,7,FALSE)="","",VLOOKUP($D240,VEHICULOS!$A$3:$H$202,7,FALSE)),"")))</f>
      </c>
      <c r="BF240" s="82">
        <f>IF($A240="","",IF(TRIM($BC240&amp;"")&lt;&gt;"",$BC240,IF(TRIM($D240&amp;"")="","",IFERROR(IF(VLOOKUP($D240,VEHICULOS!$A$3:$H$202,8,FALSE)="","",VLOOKUP($D240,VEHICULOS!$A$3:$H$202,8,FALSE)),""))))</f>
      </c>
      <c r="BG240" s="106"/>
      <c r="BH240" s="107"/>
      <c r="BI240" s="86">
        <f t="shared" si="45"/>
      </c>
      <c r="BJ240" s="83">
        <f t="shared" si="46"/>
      </c>
      <c r="BK240" s="85">
        <f t="shared" si="47"/>
      </c>
      <c r="BL240" s="85">
        <f t="shared" si="48"/>
      </c>
      <c r="BM240" s="108"/>
      <c r="BN240" s="85">
        <f t="shared" si="49"/>
      </c>
      <c r="BO240" s="108"/>
      <c r="BP240" s="85">
        <f t="shared" si="50"/>
      </c>
      <c r="BQ240" s="85">
        <f t="shared" si="51"/>
      </c>
      <c r="BR240" s="108"/>
      <c r="BS240" s="104"/>
      <c r="BT240" s="87">
        <f t="shared" si="52"/>
      </c>
      <c r="BU240" s="85">
        <f t="shared" si="53"/>
      </c>
      <c r="BV240" s="85">
        <f t="shared" si="54"/>
      </c>
      <c r="BW240" s="87">
        <f t="shared" si="55"/>
      </c>
      <c r="BX240" s="104"/>
      <c r="BY240" s="106"/>
      <c r="BZ240" s="104"/>
      <c r="CA240" s="105"/>
      <c r="CB240" s="77">
        <f>IF($A240="",0,IF($B240='FICHA CLIENTE'!$C$4,1,0))</f>
      </c>
      <c r="CC240" s="77">
        <f t="shared" si="56"/>
      </c>
      <c r="CD240" s="77">
        <f>IF($A240="",0,IF($D240='FICHA VEHICULO'!$C$4,1,0))</f>
      </c>
      <c r="CE240" s="77">
        <f t="shared" si="57"/>
      </c>
      <c r="CF240" s="77">
        <f t="shared" si="58"/>
      </c>
      <c r="CG240" s="77">
        <f t="shared" si="59"/>
      </c>
    </row>
    <row r="241" spans="1:85" ht="19.5" customHeight="1" x14ac:dyDescent="0.2">
      <c r="A241" s="104"/>
      <c r="B241" s="104"/>
      <c r="C241" s="105"/>
      <c r="D241" s="104"/>
      <c r="E241" s="105"/>
      <c r="F241" s="106"/>
      <c r="G241" s="104"/>
      <c r="H241" s="106"/>
      <c r="I241" s="107"/>
      <c r="J241" s="108"/>
      <c r="K241" s="108"/>
      <c r="L241" s="108"/>
      <c r="M241" s="105"/>
      <c r="N241" s="105"/>
      <c r="O241" s="105"/>
      <c r="P241" s="108"/>
      <c r="Q241" s="105"/>
      <c r="R241" s="105"/>
      <c r="S241" s="105"/>
      <c r="T241" s="105"/>
      <c r="U241" s="108"/>
      <c r="V241" s="105"/>
      <c r="W241" s="105"/>
      <c r="X241" s="105"/>
      <c r="Y241" s="105"/>
      <c r="Z241" s="105"/>
      <c r="AA241" s="108"/>
      <c r="AB241" s="108"/>
      <c r="AC241" s="105"/>
      <c r="AD241" s="279"/>
      <c r="AE241" s="105"/>
      <c r="AF241" s="279"/>
      <c r="AG241" s="105"/>
      <c r="AH241" s="108"/>
      <c r="AI241" s="108"/>
      <c r="AJ241" s="108"/>
      <c r="AK241" s="108"/>
      <c r="AL241" s="105"/>
      <c r="AM241" s="108"/>
      <c r="AN241" s="105"/>
      <c r="AO241" s="108"/>
      <c r="AP241" s="108"/>
      <c r="AQ241" s="105"/>
      <c r="AR241" s="108"/>
      <c r="AS241" s="108"/>
      <c r="AT241" s="105"/>
      <c r="AU241" s="105"/>
      <c r="AV241" s="105"/>
      <c r="AW241" s="105"/>
      <c r="AX241" s="105"/>
      <c r="AY241" s="105"/>
      <c r="AZ241" s="105"/>
      <c r="BA241" s="105"/>
      <c r="BB241" s="105"/>
      <c r="BC241" s="105"/>
      <c r="BD241" s="108"/>
      <c r="BE241" s="83">
        <f>IF($A241="","",IF(TRIM($D241&amp;"")="",IF(TRIM($AX241&amp;$AY241&amp;$AZ241&amp;$BA241&amp;$BB241&amp;$BC241&amp;$BD241&amp;"")="","","SUBARRENDADO"),IFERROR(IF(VLOOKUP($D241,VEHICULOS!$A$3:$H$202,7,FALSE)="","",VLOOKUP($D241,VEHICULOS!$A$3:$H$202,7,FALSE)),"")))</f>
      </c>
      <c r="BF241" s="82">
        <f>IF($A241="","",IF(TRIM($BC241&amp;"")&lt;&gt;"",$BC241,IF(TRIM($D241&amp;"")="","",IFERROR(IF(VLOOKUP($D241,VEHICULOS!$A$3:$H$202,8,FALSE)="","",VLOOKUP($D241,VEHICULOS!$A$3:$H$202,8,FALSE)),""))))</f>
      </c>
      <c r="BG241" s="106"/>
      <c r="BH241" s="107"/>
      <c r="BI241" s="86">
        <f t="shared" si="45"/>
      </c>
      <c r="BJ241" s="83">
        <f t="shared" si="46"/>
      </c>
      <c r="BK241" s="85">
        <f t="shared" si="47"/>
      </c>
      <c r="BL241" s="85">
        <f t="shared" si="48"/>
      </c>
      <c r="BM241" s="108"/>
      <c r="BN241" s="85">
        <f t="shared" si="49"/>
      </c>
      <c r="BO241" s="108"/>
      <c r="BP241" s="85">
        <f t="shared" si="50"/>
      </c>
      <c r="BQ241" s="85">
        <f t="shared" si="51"/>
      </c>
      <c r="BR241" s="108"/>
      <c r="BS241" s="104"/>
      <c r="BT241" s="87">
        <f t="shared" si="52"/>
      </c>
      <c r="BU241" s="85">
        <f t="shared" si="53"/>
      </c>
      <c r="BV241" s="85">
        <f t="shared" si="54"/>
      </c>
      <c r="BW241" s="87">
        <f t="shared" si="55"/>
      </c>
      <c r="BX241" s="104"/>
      <c r="BY241" s="106"/>
      <c r="BZ241" s="104"/>
      <c r="CA241" s="105"/>
      <c r="CB241" s="77">
        <f>IF($A241="",0,IF($B241='FICHA CLIENTE'!$C$4,1,0))</f>
      </c>
      <c r="CC241" s="77">
        <f t="shared" si="56"/>
      </c>
      <c r="CD241" s="77">
        <f>IF($A241="",0,IF($D241='FICHA VEHICULO'!$C$4,1,0))</f>
      </c>
      <c r="CE241" s="77">
        <f t="shared" si="57"/>
      </c>
      <c r="CF241" s="77">
        <f t="shared" si="58"/>
      </c>
      <c r="CG241" s="77">
        <f t="shared" si="59"/>
      </c>
    </row>
    <row r="242" spans="1:85" ht="19.5" customHeight="1" x14ac:dyDescent="0.2">
      <c r="A242" s="104"/>
      <c r="B242" s="104"/>
      <c r="C242" s="105"/>
      <c r="D242" s="104"/>
      <c r="E242" s="105"/>
      <c r="F242" s="106"/>
      <c r="G242" s="104"/>
      <c r="H242" s="106"/>
      <c r="I242" s="107"/>
      <c r="J242" s="108"/>
      <c r="K242" s="108"/>
      <c r="L242" s="108"/>
      <c r="M242" s="105"/>
      <c r="N242" s="105"/>
      <c r="O242" s="105"/>
      <c r="P242" s="108"/>
      <c r="Q242" s="105"/>
      <c r="R242" s="105"/>
      <c r="S242" s="105"/>
      <c r="T242" s="105"/>
      <c r="U242" s="108"/>
      <c r="V242" s="105"/>
      <c r="W242" s="105"/>
      <c r="X242" s="105"/>
      <c r="Y242" s="105"/>
      <c r="Z242" s="105"/>
      <c r="AA242" s="108"/>
      <c r="AB242" s="108"/>
      <c r="AC242" s="105"/>
      <c r="AD242" s="279"/>
      <c r="AE242" s="105"/>
      <c r="AF242" s="279"/>
      <c r="AG242" s="105"/>
      <c r="AH242" s="108"/>
      <c r="AI242" s="108"/>
      <c r="AJ242" s="108"/>
      <c r="AK242" s="108"/>
      <c r="AL242" s="105"/>
      <c r="AM242" s="108"/>
      <c r="AN242" s="105"/>
      <c r="AO242" s="108"/>
      <c r="AP242" s="108"/>
      <c r="AQ242" s="105"/>
      <c r="AR242" s="108"/>
      <c r="AS242" s="108"/>
      <c r="AT242" s="105"/>
      <c r="AU242" s="105"/>
      <c r="AV242" s="105"/>
      <c r="AW242" s="105"/>
      <c r="AX242" s="105"/>
      <c r="AY242" s="105"/>
      <c r="AZ242" s="105"/>
      <c r="BA242" s="105"/>
      <c r="BB242" s="105"/>
      <c r="BC242" s="105"/>
      <c r="BD242" s="108"/>
      <c r="BE242" s="83">
        <f>IF($A242="","",IF(TRIM($D242&amp;"")="",IF(TRIM($AX242&amp;$AY242&amp;$AZ242&amp;$BA242&amp;$BB242&amp;$BC242&amp;$BD242&amp;"")="","","SUBARRENDADO"),IFERROR(IF(VLOOKUP($D242,VEHICULOS!$A$3:$H$202,7,FALSE)="","",VLOOKUP($D242,VEHICULOS!$A$3:$H$202,7,FALSE)),"")))</f>
      </c>
      <c r="BF242" s="82">
        <f>IF($A242="","",IF(TRIM($BC242&amp;"")&lt;&gt;"",$BC242,IF(TRIM($D242&amp;"")="","",IFERROR(IF(VLOOKUP($D242,VEHICULOS!$A$3:$H$202,8,FALSE)="","",VLOOKUP($D242,VEHICULOS!$A$3:$H$202,8,FALSE)),""))))</f>
      </c>
      <c r="BG242" s="106"/>
      <c r="BH242" s="107"/>
      <c r="BI242" s="86">
        <f t="shared" si="45"/>
      </c>
      <c r="BJ242" s="83">
        <f t="shared" si="46"/>
      </c>
      <c r="BK242" s="85">
        <f t="shared" si="47"/>
      </c>
      <c r="BL242" s="85">
        <f t="shared" si="48"/>
      </c>
      <c r="BM242" s="108"/>
      <c r="BN242" s="85">
        <f t="shared" si="49"/>
      </c>
      <c r="BO242" s="108"/>
      <c r="BP242" s="85">
        <f t="shared" si="50"/>
      </c>
      <c r="BQ242" s="85">
        <f t="shared" si="51"/>
      </c>
      <c r="BR242" s="108"/>
      <c r="BS242" s="104"/>
      <c r="BT242" s="87">
        <f t="shared" si="52"/>
      </c>
      <c r="BU242" s="85">
        <f t="shared" si="53"/>
      </c>
      <c r="BV242" s="85">
        <f t="shared" si="54"/>
      </c>
      <c r="BW242" s="87">
        <f t="shared" si="55"/>
      </c>
      <c r="BX242" s="104"/>
      <c r="BY242" s="106"/>
      <c r="BZ242" s="104"/>
      <c r="CA242" s="105"/>
      <c r="CB242" s="77">
        <f>IF($A242="",0,IF($B242='FICHA CLIENTE'!$C$4,1,0))</f>
      </c>
      <c r="CC242" s="77">
        <f t="shared" si="56"/>
      </c>
      <c r="CD242" s="77">
        <f>IF($A242="",0,IF($D242='FICHA VEHICULO'!$C$4,1,0))</f>
      </c>
      <c r="CE242" s="77">
        <f t="shared" si="57"/>
      </c>
      <c r="CF242" s="77">
        <f t="shared" si="58"/>
      </c>
      <c r="CG242" s="77">
        <f t="shared" si="59"/>
      </c>
    </row>
    <row r="243" spans="1:85" ht="19.5" customHeight="1" x14ac:dyDescent="0.2">
      <c r="A243" s="104"/>
      <c r="B243" s="104"/>
      <c r="C243" s="105"/>
      <c r="D243" s="104"/>
      <c r="E243" s="105"/>
      <c r="F243" s="106"/>
      <c r="G243" s="104"/>
      <c r="H243" s="106"/>
      <c r="I243" s="107"/>
      <c r="J243" s="108"/>
      <c r="K243" s="108"/>
      <c r="L243" s="108"/>
      <c r="M243" s="105"/>
      <c r="N243" s="105"/>
      <c r="O243" s="105"/>
      <c r="P243" s="108"/>
      <c r="Q243" s="105"/>
      <c r="R243" s="105"/>
      <c r="S243" s="105"/>
      <c r="T243" s="105"/>
      <c r="U243" s="108"/>
      <c r="V243" s="105"/>
      <c r="W243" s="105"/>
      <c r="X243" s="105"/>
      <c r="Y243" s="105"/>
      <c r="Z243" s="105"/>
      <c r="AA243" s="108"/>
      <c r="AB243" s="108"/>
      <c r="AC243" s="105"/>
      <c r="AD243" s="279"/>
      <c r="AE243" s="105"/>
      <c r="AF243" s="279"/>
      <c r="AG243" s="105"/>
      <c r="AH243" s="108"/>
      <c r="AI243" s="108"/>
      <c r="AJ243" s="108"/>
      <c r="AK243" s="108"/>
      <c r="AL243" s="105"/>
      <c r="AM243" s="108"/>
      <c r="AN243" s="105"/>
      <c r="AO243" s="108"/>
      <c r="AP243" s="108"/>
      <c r="AQ243" s="105"/>
      <c r="AR243" s="108"/>
      <c r="AS243" s="108"/>
      <c r="AT243" s="105"/>
      <c r="AU243" s="105"/>
      <c r="AV243" s="105"/>
      <c r="AW243" s="105"/>
      <c r="AX243" s="105"/>
      <c r="AY243" s="105"/>
      <c r="AZ243" s="105"/>
      <c r="BA243" s="105"/>
      <c r="BB243" s="105"/>
      <c r="BC243" s="105"/>
      <c r="BD243" s="108"/>
      <c r="BE243" s="83">
        <f>IF($A243="","",IF(TRIM($D243&amp;"")="",IF(TRIM($AX243&amp;$AY243&amp;$AZ243&amp;$BA243&amp;$BB243&amp;$BC243&amp;$BD243&amp;"")="","","SUBARRENDADO"),IFERROR(IF(VLOOKUP($D243,VEHICULOS!$A$3:$H$202,7,FALSE)="","",VLOOKUP($D243,VEHICULOS!$A$3:$H$202,7,FALSE)),"")))</f>
      </c>
      <c r="BF243" s="82">
        <f>IF($A243="","",IF(TRIM($BC243&amp;"")&lt;&gt;"",$BC243,IF(TRIM($D243&amp;"")="","",IFERROR(IF(VLOOKUP($D243,VEHICULOS!$A$3:$H$202,8,FALSE)="","",VLOOKUP($D243,VEHICULOS!$A$3:$H$202,8,FALSE)),""))))</f>
      </c>
      <c r="BG243" s="106"/>
      <c r="BH243" s="107"/>
      <c r="BI243" s="86">
        <f t="shared" si="45"/>
      </c>
      <c r="BJ243" s="83">
        <f t="shared" si="46"/>
      </c>
      <c r="BK243" s="85">
        <f t="shared" si="47"/>
      </c>
      <c r="BL243" s="85">
        <f t="shared" si="48"/>
      </c>
      <c r="BM243" s="108"/>
      <c r="BN243" s="85">
        <f t="shared" si="49"/>
      </c>
      <c r="BO243" s="108"/>
      <c r="BP243" s="85">
        <f t="shared" si="50"/>
      </c>
      <c r="BQ243" s="85">
        <f t="shared" si="51"/>
      </c>
      <c r="BR243" s="108"/>
      <c r="BS243" s="104"/>
      <c r="BT243" s="87">
        <f t="shared" si="52"/>
      </c>
      <c r="BU243" s="85">
        <f t="shared" si="53"/>
      </c>
      <c r="BV243" s="85">
        <f t="shared" si="54"/>
      </c>
      <c r="BW243" s="87">
        <f t="shared" si="55"/>
      </c>
      <c r="BX243" s="104"/>
      <c r="BY243" s="106"/>
      <c r="BZ243" s="104"/>
      <c r="CA243" s="105"/>
      <c r="CB243" s="77">
        <f>IF($A243="",0,IF($B243='FICHA CLIENTE'!$C$4,1,0))</f>
      </c>
      <c r="CC243" s="77">
        <f t="shared" si="56"/>
      </c>
      <c r="CD243" s="77">
        <f>IF($A243="",0,IF($D243='FICHA VEHICULO'!$C$4,1,0))</f>
      </c>
      <c r="CE243" s="77">
        <f t="shared" si="57"/>
      </c>
      <c r="CF243" s="77">
        <f t="shared" si="58"/>
      </c>
      <c r="CG243" s="77">
        <f t="shared" si="59"/>
      </c>
    </row>
    <row r="244" spans="1:85" ht="19.5" customHeight="1" x14ac:dyDescent="0.2">
      <c r="A244" s="104"/>
      <c r="B244" s="104"/>
      <c r="C244" s="105"/>
      <c r="D244" s="104"/>
      <c r="E244" s="105"/>
      <c r="F244" s="106"/>
      <c r="G244" s="104"/>
      <c r="H244" s="106"/>
      <c r="I244" s="107"/>
      <c r="J244" s="108"/>
      <c r="K244" s="108"/>
      <c r="L244" s="108"/>
      <c r="M244" s="105"/>
      <c r="N244" s="105"/>
      <c r="O244" s="105"/>
      <c r="P244" s="108"/>
      <c r="Q244" s="105"/>
      <c r="R244" s="105"/>
      <c r="S244" s="105"/>
      <c r="T244" s="105"/>
      <c r="U244" s="108"/>
      <c r="V244" s="105"/>
      <c r="W244" s="105"/>
      <c r="X244" s="105"/>
      <c r="Y244" s="105"/>
      <c r="Z244" s="105"/>
      <c r="AA244" s="108"/>
      <c r="AB244" s="108"/>
      <c r="AC244" s="105"/>
      <c r="AD244" s="279"/>
      <c r="AE244" s="105"/>
      <c r="AF244" s="279"/>
      <c r="AG244" s="105"/>
      <c r="AH244" s="108"/>
      <c r="AI244" s="108"/>
      <c r="AJ244" s="108"/>
      <c r="AK244" s="108"/>
      <c r="AL244" s="105"/>
      <c r="AM244" s="108"/>
      <c r="AN244" s="105"/>
      <c r="AO244" s="108"/>
      <c r="AP244" s="108"/>
      <c r="AQ244" s="105"/>
      <c r="AR244" s="108"/>
      <c r="AS244" s="108"/>
      <c r="AT244" s="105"/>
      <c r="AU244" s="105"/>
      <c r="AV244" s="105"/>
      <c r="AW244" s="105"/>
      <c r="AX244" s="105"/>
      <c r="AY244" s="105"/>
      <c r="AZ244" s="105"/>
      <c r="BA244" s="105"/>
      <c r="BB244" s="105"/>
      <c r="BC244" s="105"/>
      <c r="BD244" s="108"/>
      <c r="BE244" s="83">
        <f>IF($A244="","",IF(TRIM($D244&amp;"")="",IF(TRIM($AX244&amp;$AY244&amp;$AZ244&amp;$BA244&amp;$BB244&amp;$BC244&amp;$BD244&amp;"")="","","SUBARRENDADO"),IFERROR(IF(VLOOKUP($D244,VEHICULOS!$A$3:$H$202,7,FALSE)="","",VLOOKUP($D244,VEHICULOS!$A$3:$H$202,7,FALSE)),"")))</f>
      </c>
      <c r="BF244" s="82">
        <f>IF($A244="","",IF(TRIM($BC244&amp;"")&lt;&gt;"",$BC244,IF(TRIM($D244&amp;"")="","",IFERROR(IF(VLOOKUP($D244,VEHICULOS!$A$3:$H$202,8,FALSE)="","",VLOOKUP($D244,VEHICULOS!$A$3:$H$202,8,FALSE)),""))))</f>
      </c>
      <c r="BG244" s="106"/>
      <c r="BH244" s="107"/>
      <c r="BI244" s="86">
        <f t="shared" si="45"/>
      </c>
      <c r="BJ244" s="83">
        <f t="shared" si="46"/>
      </c>
      <c r="BK244" s="85">
        <f t="shared" si="47"/>
      </c>
      <c r="BL244" s="85">
        <f t="shared" si="48"/>
      </c>
      <c r="BM244" s="108"/>
      <c r="BN244" s="85">
        <f t="shared" si="49"/>
      </c>
      <c r="BO244" s="108"/>
      <c r="BP244" s="85">
        <f t="shared" si="50"/>
      </c>
      <c r="BQ244" s="85">
        <f t="shared" si="51"/>
      </c>
      <c r="BR244" s="108"/>
      <c r="BS244" s="104"/>
      <c r="BT244" s="87">
        <f t="shared" si="52"/>
      </c>
      <c r="BU244" s="85">
        <f t="shared" si="53"/>
      </c>
      <c r="BV244" s="85">
        <f t="shared" si="54"/>
      </c>
      <c r="BW244" s="87">
        <f t="shared" si="55"/>
      </c>
      <c r="BX244" s="104"/>
      <c r="BY244" s="106"/>
      <c r="BZ244" s="104"/>
      <c r="CA244" s="105"/>
      <c r="CB244" s="77">
        <f>IF($A244="",0,IF($B244='FICHA CLIENTE'!$C$4,1,0))</f>
      </c>
      <c r="CC244" s="77">
        <f t="shared" si="56"/>
      </c>
      <c r="CD244" s="77">
        <f>IF($A244="",0,IF($D244='FICHA VEHICULO'!$C$4,1,0))</f>
      </c>
      <c r="CE244" s="77">
        <f t="shared" si="57"/>
      </c>
      <c r="CF244" s="77">
        <f t="shared" si="58"/>
      </c>
      <c r="CG244" s="77">
        <f t="shared" si="59"/>
      </c>
    </row>
    <row r="245" spans="1:85" ht="19.5" customHeight="1" x14ac:dyDescent="0.2">
      <c r="A245" s="104"/>
      <c r="B245" s="104"/>
      <c r="C245" s="105"/>
      <c r="D245" s="104"/>
      <c r="E245" s="105"/>
      <c r="F245" s="106"/>
      <c r="G245" s="104"/>
      <c r="H245" s="106"/>
      <c r="I245" s="107"/>
      <c r="J245" s="108"/>
      <c r="K245" s="108"/>
      <c r="L245" s="108"/>
      <c r="M245" s="105"/>
      <c r="N245" s="105"/>
      <c r="O245" s="105"/>
      <c r="P245" s="108"/>
      <c r="Q245" s="105"/>
      <c r="R245" s="105"/>
      <c r="S245" s="105"/>
      <c r="T245" s="105"/>
      <c r="U245" s="108"/>
      <c r="V245" s="105"/>
      <c r="W245" s="105"/>
      <c r="X245" s="105"/>
      <c r="Y245" s="105"/>
      <c r="Z245" s="105"/>
      <c r="AA245" s="108"/>
      <c r="AB245" s="108"/>
      <c r="AC245" s="105"/>
      <c r="AD245" s="279"/>
      <c r="AE245" s="105"/>
      <c r="AF245" s="279"/>
      <c r="AG245" s="105"/>
      <c r="AH245" s="108"/>
      <c r="AI245" s="108"/>
      <c r="AJ245" s="108"/>
      <c r="AK245" s="108"/>
      <c r="AL245" s="105"/>
      <c r="AM245" s="108"/>
      <c r="AN245" s="105"/>
      <c r="AO245" s="108"/>
      <c r="AP245" s="108"/>
      <c r="AQ245" s="105"/>
      <c r="AR245" s="108"/>
      <c r="AS245" s="108"/>
      <c r="AT245" s="105"/>
      <c r="AU245" s="105"/>
      <c r="AV245" s="105"/>
      <c r="AW245" s="105"/>
      <c r="AX245" s="105"/>
      <c r="AY245" s="105"/>
      <c r="AZ245" s="105"/>
      <c r="BA245" s="105"/>
      <c r="BB245" s="105"/>
      <c r="BC245" s="105"/>
      <c r="BD245" s="108"/>
      <c r="BE245" s="83">
        <f>IF($A245="","",IF(TRIM($D245&amp;"")="",IF(TRIM($AX245&amp;$AY245&amp;$AZ245&amp;$BA245&amp;$BB245&amp;$BC245&amp;$BD245&amp;"")="","","SUBARRENDADO"),IFERROR(IF(VLOOKUP($D245,VEHICULOS!$A$3:$H$202,7,FALSE)="","",VLOOKUP($D245,VEHICULOS!$A$3:$H$202,7,FALSE)),"")))</f>
      </c>
      <c r="BF245" s="82">
        <f>IF($A245="","",IF(TRIM($BC245&amp;"")&lt;&gt;"",$BC245,IF(TRIM($D245&amp;"")="","",IFERROR(IF(VLOOKUP($D245,VEHICULOS!$A$3:$H$202,8,FALSE)="","",VLOOKUP($D245,VEHICULOS!$A$3:$H$202,8,FALSE)),""))))</f>
      </c>
      <c r="BG245" s="106"/>
      <c r="BH245" s="107"/>
      <c r="BI245" s="86">
        <f t="shared" si="45"/>
      </c>
      <c r="BJ245" s="83">
        <f t="shared" si="46"/>
      </c>
      <c r="BK245" s="85">
        <f t="shared" si="47"/>
      </c>
      <c r="BL245" s="85">
        <f t="shared" si="48"/>
      </c>
      <c r="BM245" s="108"/>
      <c r="BN245" s="85">
        <f t="shared" si="49"/>
      </c>
      <c r="BO245" s="108"/>
      <c r="BP245" s="85">
        <f t="shared" si="50"/>
      </c>
      <c r="BQ245" s="85">
        <f t="shared" si="51"/>
      </c>
      <c r="BR245" s="108"/>
      <c r="BS245" s="104"/>
      <c r="BT245" s="87">
        <f t="shared" si="52"/>
      </c>
      <c r="BU245" s="85">
        <f t="shared" si="53"/>
      </c>
      <c r="BV245" s="85">
        <f t="shared" si="54"/>
      </c>
      <c r="BW245" s="87">
        <f t="shared" si="55"/>
      </c>
      <c r="BX245" s="104"/>
      <c r="BY245" s="106"/>
      <c r="BZ245" s="104"/>
      <c r="CA245" s="105"/>
      <c r="CB245" s="77">
        <f>IF($A245="",0,IF($B245='FICHA CLIENTE'!$C$4,1,0))</f>
      </c>
      <c r="CC245" s="77">
        <f t="shared" si="56"/>
      </c>
      <c r="CD245" s="77">
        <f>IF($A245="",0,IF($D245='FICHA VEHICULO'!$C$4,1,0))</f>
      </c>
      <c r="CE245" s="77">
        <f t="shared" si="57"/>
      </c>
      <c r="CF245" s="77">
        <f t="shared" si="58"/>
      </c>
      <c r="CG245" s="77">
        <f t="shared" si="59"/>
      </c>
    </row>
    <row r="246" spans="1:85" ht="19.5" customHeight="1" x14ac:dyDescent="0.2">
      <c r="A246" s="104"/>
      <c r="B246" s="104"/>
      <c r="C246" s="105"/>
      <c r="D246" s="104"/>
      <c r="E246" s="105"/>
      <c r="F246" s="106"/>
      <c r="G246" s="104"/>
      <c r="H246" s="106"/>
      <c r="I246" s="107"/>
      <c r="J246" s="108"/>
      <c r="K246" s="108"/>
      <c r="L246" s="108"/>
      <c r="M246" s="105"/>
      <c r="N246" s="105"/>
      <c r="O246" s="105"/>
      <c r="P246" s="108"/>
      <c r="Q246" s="105"/>
      <c r="R246" s="105"/>
      <c r="S246" s="105"/>
      <c r="T246" s="105"/>
      <c r="U246" s="108"/>
      <c r="V246" s="105"/>
      <c r="W246" s="105"/>
      <c r="X246" s="105"/>
      <c r="Y246" s="105"/>
      <c r="Z246" s="105"/>
      <c r="AA246" s="108"/>
      <c r="AB246" s="108"/>
      <c r="AC246" s="105"/>
      <c r="AD246" s="279"/>
      <c r="AE246" s="105"/>
      <c r="AF246" s="279"/>
      <c r="AG246" s="105"/>
      <c r="AH246" s="108"/>
      <c r="AI246" s="108"/>
      <c r="AJ246" s="108"/>
      <c r="AK246" s="108"/>
      <c r="AL246" s="105"/>
      <c r="AM246" s="108"/>
      <c r="AN246" s="105"/>
      <c r="AO246" s="108"/>
      <c r="AP246" s="108"/>
      <c r="AQ246" s="105"/>
      <c r="AR246" s="108"/>
      <c r="AS246" s="108"/>
      <c r="AT246" s="105"/>
      <c r="AU246" s="105"/>
      <c r="AV246" s="105"/>
      <c r="AW246" s="105"/>
      <c r="AX246" s="105"/>
      <c r="AY246" s="105"/>
      <c r="AZ246" s="105"/>
      <c r="BA246" s="105"/>
      <c r="BB246" s="105"/>
      <c r="BC246" s="105"/>
      <c r="BD246" s="108"/>
      <c r="BE246" s="83">
        <f>IF($A246="","",IF(TRIM($D246&amp;"")="",IF(TRIM($AX246&amp;$AY246&amp;$AZ246&amp;$BA246&amp;$BB246&amp;$BC246&amp;$BD246&amp;"")="","","SUBARRENDADO"),IFERROR(IF(VLOOKUP($D246,VEHICULOS!$A$3:$H$202,7,FALSE)="","",VLOOKUP($D246,VEHICULOS!$A$3:$H$202,7,FALSE)),"")))</f>
      </c>
      <c r="BF246" s="82">
        <f>IF($A246="","",IF(TRIM($BC246&amp;"")&lt;&gt;"",$BC246,IF(TRIM($D246&amp;"")="","",IFERROR(IF(VLOOKUP($D246,VEHICULOS!$A$3:$H$202,8,FALSE)="","",VLOOKUP($D246,VEHICULOS!$A$3:$H$202,8,FALSE)),""))))</f>
      </c>
      <c r="BG246" s="106"/>
      <c r="BH246" s="107"/>
      <c r="BI246" s="86">
        <f t="shared" si="45"/>
      </c>
      <c r="BJ246" s="83">
        <f t="shared" si="46"/>
      </c>
      <c r="BK246" s="85">
        <f t="shared" si="47"/>
      </c>
      <c r="BL246" s="85">
        <f t="shared" si="48"/>
      </c>
      <c r="BM246" s="108"/>
      <c r="BN246" s="85">
        <f t="shared" si="49"/>
      </c>
      <c r="BO246" s="108"/>
      <c r="BP246" s="85">
        <f t="shared" si="50"/>
      </c>
      <c r="BQ246" s="85">
        <f t="shared" si="51"/>
      </c>
      <c r="BR246" s="108"/>
      <c r="BS246" s="104"/>
      <c r="BT246" s="87">
        <f t="shared" si="52"/>
      </c>
      <c r="BU246" s="85">
        <f t="shared" si="53"/>
      </c>
      <c r="BV246" s="85">
        <f t="shared" si="54"/>
      </c>
      <c r="BW246" s="87">
        <f t="shared" si="55"/>
      </c>
      <c r="BX246" s="104"/>
      <c r="BY246" s="106"/>
      <c r="BZ246" s="104"/>
      <c r="CA246" s="105"/>
      <c r="CB246" s="77">
        <f>IF($A246="",0,IF($B246='FICHA CLIENTE'!$C$4,1,0))</f>
      </c>
      <c r="CC246" s="77">
        <f t="shared" si="56"/>
      </c>
      <c r="CD246" s="77">
        <f>IF($A246="",0,IF($D246='FICHA VEHICULO'!$C$4,1,0))</f>
      </c>
      <c r="CE246" s="77">
        <f t="shared" si="57"/>
      </c>
      <c r="CF246" s="77">
        <f t="shared" si="58"/>
      </c>
      <c r="CG246" s="77">
        <f t="shared" si="59"/>
      </c>
    </row>
    <row r="247" spans="1:85" ht="19.5" customHeight="1" x14ac:dyDescent="0.2">
      <c r="A247" s="104"/>
      <c r="B247" s="104"/>
      <c r="C247" s="105"/>
      <c r="D247" s="104"/>
      <c r="E247" s="105"/>
      <c r="F247" s="106"/>
      <c r="G247" s="104"/>
      <c r="H247" s="106"/>
      <c r="I247" s="107"/>
      <c r="J247" s="108"/>
      <c r="K247" s="108"/>
      <c r="L247" s="108"/>
      <c r="M247" s="105"/>
      <c r="N247" s="105"/>
      <c r="O247" s="105"/>
      <c r="P247" s="108"/>
      <c r="Q247" s="105"/>
      <c r="R247" s="105"/>
      <c r="S247" s="105"/>
      <c r="T247" s="105"/>
      <c r="U247" s="108"/>
      <c r="V247" s="105"/>
      <c r="W247" s="105"/>
      <c r="X247" s="105"/>
      <c r="Y247" s="105"/>
      <c r="Z247" s="105"/>
      <c r="AA247" s="108"/>
      <c r="AB247" s="108"/>
      <c r="AC247" s="105"/>
      <c r="AD247" s="279"/>
      <c r="AE247" s="105"/>
      <c r="AF247" s="279"/>
      <c r="AG247" s="105"/>
      <c r="AH247" s="108"/>
      <c r="AI247" s="108"/>
      <c r="AJ247" s="108"/>
      <c r="AK247" s="108"/>
      <c r="AL247" s="105"/>
      <c r="AM247" s="108"/>
      <c r="AN247" s="105"/>
      <c r="AO247" s="108"/>
      <c r="AP247" s="108"/>
      <c r="AQ247" s="105"/>
      <c r="AR247" s="108"/>
      <c r="AS247" s="108"/>
      <c r="AT247" s="105"/>
      <c r="AU247" s="105"/>
      <c r="AV247" s="105"/>
      <c r="AW247" s="105"/>
      <c r="AX247" s="105"/>
      <c r="AY247" s="105"/>
      <c r="AZ247" s="105"/>
      <c r="BA247" s="105"/>
      <c r="BB247" s="105"/>
      <c r="BC247" s="105"/>
      <c r="BD247" s="108"/>
      <c r="BE247" s="83">
        <f>IF($A247="","",IF(TRIM($D247&amp;"")="",IF(TRIM($AX247&amp;$AY247&amp;$AZ247&amp;$BA247&amp;$BB247&amp;$BC247&amp;$BD247&amp;"")="","","SUBARRENDADO"),IFERROR(IF(VLOOKUP($D247,VEHICULOS!$A$3:$H$202,7,FALSE)="","",VLOOKUP($D247,VEHICULOS!$A$3:$H$202,7,FALSE)),"")))</f>
      </c>
      <c r="BF247" s="82">
        <f>IF($A247="","",IF(TRIM($BC247&amp;"")&lt;&gt;"",$BC247,IF(TRIM($D247&amp;"")="","",IFERROR(IF(VLOOKUP($D247,VEHICULOS!$A$3:$H$202,8,FALSE)="","",VLOOKUP($D247,VEHICULOS!$A$3:$H$202,8,FALSE)),""))))</f>
      </c>
      <c r="BG247" s="106"/>
      <c r="BH247" s="107"/>
      <c r="BI247" s="86">
        <f t="shared" si="45"/>
      </c>
      <c r="BJ247" s="83">
        <f t="shared" si="46"/>
      </c>
      <c r="BK247" s="85">
        <f t="shared" si="47"/>
      </c>
      <c r="BL247" s="85">
        <f t="shared" si="48"/>
      </c>
      <c r="BM247" s="108"/>
      <c r="BN247" s="85">
        <f t="shared" si="49"/>
      </c>
      <c r="BO247" s="108"/>
      <c r="BP247" s="85">
        <f t="shared" si="50"/>
      </c>
      <c r="BQ247" s="85">
        <f t="shared" si="51"/>
      </c>
      <c r="BR247" s="108"/>
      <c r="BS247" s="104"/>
      <c r="BT247" s="87">
        <f t="shared" si="52"/>
      </c>
      <c r="BU247" s="85">
        <f t="shared" si="53"/>
      </c>
      <c r="BV247" s="85">
        <f t="shared" si="54"/>
      </c>
      <c r="BW247" s="87">
        <f t="shared" si="55"/>
      </c>
      <c r="BX247" s="104"/>
      <c r="BY247" s="106"/>
      <c r="BZ247" s="104"/>
      <c r="CA247" s="105"/>
      <c r="CB247" s="77">
        <f>IF($A247="",0,IF($B247='FICHA CLIENTE'!$C$4,1,0))</f>
      </c>
      <c r="CC247" s="77">
        <f t="shared" si="56"/>
      </c>
      <c r="CD247" s="77">
        <f>IF($A247="",0,IF($D247='FICHA VEHICULO'!$C$4,1,0))</f>
      </c>
      <c r="CE247" s="77">
        <f t="shared" si="57"/>
      </c>
      <c r="CF247" s="77">
        <f t="shared" si="58"/>
      </c>
      <c r="CG247" s="77">
        <f t="shared" si="59"/>
      </c>
    </row>
    <row r="248" spans="1:85" ht="19.5" customHeight="1" x14ac:dyDescent="0.2">
      <c r="A248" s="104"/>
      <c r="B248" s="104"/>
      <c r="C248" s="105"/>
      <c r="D248" s="104"/>
      <c r="E248" s="105"/>
      <c r="F248" s="106"/>
      <c r="G248" s="104"/>
      <c r="H248" s="106"/>
      <c r="I248" s="107"/>
      <c r="J248" s="108"/>
      <c r="K248" s="108"/>
      <c r="L248" s="108"/>
      <c r="M248" s="105"/>
      <c r="N248" s="105"/>
      <c r="O248" s="105"/>
      <c r="P248" s="108"/>
      <c r="Q248" s="105"/>
      <c r="R248" s="105"/>
      <c r="S248" s="105"/>
      <c r="T248" s="105"/>
      <c r="U248" s="108"/>
      <c r="V248" s="105"/>
      <c r="W248" s="105"/>
      <c r="X248" s="105"/>
      <c r="Y248" s="105"/>
      <c r="Z248" s="105"/>
      <c r="AA248" s="108"/>
      <c r="AB248" s="108"/>
      <c r="AC248" s="105"/>
      <c r="AD248" s="279"/>
      <c r="AE248" s="105"/>
      <c r="AF248" s="279"/>
      <c r="AG248" s="105"/>
      <c r="AH248" s="108"/>
      <c r="AI248" s="108"/>
      <c r="AJ248" s="108"/>
      <c r="AK248" s="108"/>
      <c r="AL248" s="105"/>
      <c r="AM248" s="108"/>
      <c r="AN248" s="105"/>
      <c r="AO248" s="108"/>
      <c r="AP248" s="108"/>
      <c r="AQ248" s="105"/>
      <c r="AR248" s="108"/>
      <c r="AS248" s="108"/>
      <c r="AT248" s="105"/>
      <c r="AU248" s="105"/>
      <c r="AV248" s="105"/>
      <c r="AW248" s="105"/>
      <c r="AX248" s="105"/>
      <c r="AY248" s="105"/>
      <c r="AZ248" s="105"/>
      <c r="BA248" s="105"/>
      <c r="BB248" s="105"/>
      <c r="BC248" s="105"/>
      <c r="BD248" s="108"/>
      <c r="BE248" s="83">
        <f>IF($A248="","",IF(TRIM($D248&amp;"")="",IF(TRIM($AX248&amp;$AY248&amp;$AZ248&amp;$BA248&amp;$BB248&amp;$BC248&amp;$BD248&amp;"")="","","SUBARRENDADO"),IFERROR(IF(VLOOKUP($D248,VEHICULOS!$A$3:$H$202,7,FALSE)="","",VLOOKUP($D248,VEHICULOS!$A$3:$H$202,7,FALSE)),"")))</f>
      </c>
      <c r="BF248" s="82">
        <f>IF($A248="","",IF(TRIM($BC248&amp;"")&lt;&gt;"",$BC248,IF(TRIM($D248&amp;"")="","",IFERROR(IF(VLOOKUP($D248,VEHICULOS!$A$3:$H$202,8,FALSE)="","",VLOOKUP($D248,VEHICULOS!$A$3:$H$202,8,FALSE)),""))))</f>
      </c>
      <c r="BG248" s="106"/>
      <c r="BH248" s="107"/>
      <c r="BI248" s="86">
        <f t="shared" si="45"/>
      </c>
      <c r="BJ248" s="83">
        <f t="shared" si="46"/>
      </c>
      <c r="BK248" s="85">
        <f t="shared" si="47"/>
      </c>
      <c r="BL248" s="85">
        <f t="shared" si="48"/>
      </c>
      <c r="BM248" s="108"/>
      <c r="BN248" s="85">
        <f t="shared" si="49"/>
      </c>
      <c r="BO248" s="108"/>
      <c r="BP248" s="85">
        <f t="shared" si="50"/>
      </c>
      <c r="BQ248" s="85">
        <f t="shared" si="51"/>
      </c>
      <c r="BR248" s="108"/>
      <c r="BS248" s="104"/>
      <c r="BT248" s="87">
        <f t="shared" si="52"/>
      </c>
      <c r="BU248" s="85">
        <f t="shared" si="53"/>
      </c>
      <c r="BV248" s="85">
        <f t="shared" si="54"/>
      </c>
      <c r="BW248" s="87">
        <f t="shared" si="55"/>
      </c>
      <c r="BX248" s="104"/>
      <c r="BY248" s="106"/>
      <c r="BZ248" s="104"/>
      <c r="CA248" s="105"/>
      <c r="CB248" s="77">
        <f>IF($A248="",0,IF($B248='FICHA CLIENTE'!$C$4,1,0))</f>
      </c>
      <c r="CC248" s="77">
        <f t="shared" si="56"/>
      </c>
      <c r="CD248" s="77">
        <f>IF($A248="",0,IF($D248='FICHA VEHICULO'!$C$4,1,0))</f>
      </c>
      <c r="CE248" s="77">
        <f t="shared" si="57"/>
      </c>
      <c r="CF248" s="77">
        <f t="shared" si="58"/>
      </c>
      <c r="CG248" s="77">
        <f t="shared" si="59"/>
      </c>
    </row>
    <row r="249" spans="1:85" ht="19.5" customHeight="1" x14ac:dyDescent="0.2">
      <c r="A249" s="104"/>
      <c r="B249" s="104"/>
      <c r="C249" s="105"/>
      <c r="D249" s="104"/>
      <c r="E249" s="105"/>
      <c r="F249" s="106"/>
      <c r="G249" s="104"/>
      <c r="H249" s="106"/>
      <c r="I249" s="107"/>
      <c r="J249" s="108"/>
      <c r="K249" s="108"/>
      <c r="L249" s="108"/>
      <c r="M249" s="105"/>
      <c r="N249" s="105"/>
      <c r="O249" s="105"/>
      <c r="P249" s="108"/>
      <c r="Q249" s="105"/>
      <c r="R249" s="105"/>
      <c r="S249" s="105"/>
      <c r="T249" s="105"/>
      <c r="U249" s="108"/>
      <c r="V249" s="105"/>
      <c r="W249" s="105"/>
      <c r="X249" s="105"/>
      <c r="Y249" s="105"/>
      <c r="Z249" s="105"/>
      <c r="AA249" s="108"/>
      <c r="AB249" s="108"/>
      <c r="AC249" s="105"/>
      <c r="AD249" s="279"/>
      <c r="AE249" s="105"/>
      <c r="AF249" s="279"/>
      <c r="AG249" s="105"/>
      <c r="AH249" s="108"/>
      <c r="AI249" s="108"/>
      <c r="AJ249" s="108"/>
      <c r="AK249" s="108"/>
      <c r="AL249" s="105"/>
      <c r="AM249" s="108"/>
      <c r="AN249" s="105"/>
      <c r="AO249" s="108"/>
      <c r="AP249" s="108"/>
      <c r="AQ249" s="105"/>
      <c r="AR249" s="108"/>
      <c r="AS249" s="108"/>
      <c r="AT249" s="105"/>
      <c r="AU249" s="105"/>
      <c r="AV249" s="105"/>
      <c r="AW249" s="105"/>
      <c r="AX249" s="105"/>
      <c r="AY249" s="105"/>
      <c r="AZ249" s="105"/>
      <c r="BA249" s="105"/>
      <c r="BB249" s="105"/>
      <c r="BC249" s="105"/>
      <c r="BD249" s="108"/>
      <c r="BE249" s="83">
        <f>IF($A249="","",IF(TRIM($D249&amp;"")="",IF(TRIM($AX249&amp;$AY249&amp;$AZ249&amp;$BA249&amp;$BB249&amp;$BC249&amp;$BD249&amp;"")="","","SUBARRENDADO"),IFERROR(IF(VLOOKUP($D249,VEHICULOS!$A$3:$H$202,7,FALSE)="","",VLOOKUP($D249,VEHICULOS!$A$3:$H$202,7,FALSE)),"")))</f>
      </c>
      <c r="BF249" s="82">
        <f>IF($A249="","",IF(TRIM($BC249&amp;"")&lt;&gt;"",$BC249,IF(TRIM($D249&amp;"")="","",IFERROR(IF(VLOOKUP($D249,VEHICULOS!$A$3:$H$202,8,FALSE)="","",VLOOKUP($D249,VEHICULOS!$A$3:$H$202,8,FALSE)),""))))</f>
      </c>
      <c r="BG249" s="106"/>
      <c r="BH249" s="107"/>
      <c r="BI249" s="86">
        <f t="shared" si="45"/>
      </c>
      <c r="BJ249" s="83">
        <f t="shared" si="46"/>
      </c>
      <c r="BK249" s="85">
        <f t="shared" si="47"/>
      </c>
      <c r="BL249" s="85">
        <f t="shared" si="48"/>
      </c>
      <c r="BM249" s="108"/>
      <c r="BN249" s="85">
        <f t="shared" si="49"/>
      </c>
      <c r="BO249" s="108"/>
      <c r="BP249" s="85">
        <f t="shared" si="50"/>
      </c>
      <c r="BQ249" s="85">
        <f t="shared" si="51"/>
      </c>
      <c r="BR249" s="108"/>
      <c r="BS249" s="104"/>
      <c r="BT249" s="87">
        <f t="shared" si="52"/>
      </c>
      <c r="BU249" s="85">
        <f t="shared" si="53"/>
      </c>
      <c r="BV249" s="85">
        <f t="shared" si="54"/>
      </c>
      <c r="BW249" s="87">
        <f t="shared" si="55"/>
      </c>
      <c r="BX249" s="104"/>
      <c r="BY249" s="106"/>
      <c r="BZ249" s="104"/>
      <c r="CA249" s="105"/>
      <c r="CB249" s="77">
        <f>IF($A249="",0,IF($B249='FICHA CLIENTE'!$C$4,1,0))</f>
      </c>
      <c r="CC249" s="77">
        <f t="shared" si="56"/>
      </c>
      <c r="CD249" s="77">
        <f>IF($A249="",0,IF($D249='FICHA VEHICULO'!$C$4,1,0))</f>
      </c>
      <c r="CE249" s="77">
        <f t="shared" si="57"/>
      </c>
      <c r="CF249" s="77">
        <f t="shared" si="58"/>
      </c>
      <c r="CG249" s="77">
        <f t="shared" si="59"/>
      </c>
    </row>
    <row r="250" spans="1:85" ht="19.5" customHeight="1" x14ac:dyDescent="0.2">
      <c r="A250" s="104"/>
      <c r="B250" s="104"/>
      <c r="C250" s="105"/>
      <c r="D250" s="104"/>
      <c r="E250" s="105"/>
      <c r="F250" s="106"/>
      <c r="G250" s="104"/>
      <c r="H250" s="106"/>
      <c r="I250" s="107"/>
      <c r="J250" s="108"/>
      <c r="K250" s="108"/>
      <c r="L250" s="108"/>
      <c r="M250" s="105"/>
      <c r="N250" s="105"/>
      <c r="O250" s="105"/>
      <c r="P250" s="108"/>
      <c r="Q250" s="105"/>
      <c r="R250" s="105"/>
      <c r="S250" s="105"/>
      <c r="T250" s="105"/>
      <c r="U250" s="108"/>
      <c r="V250" s="105"/>
      <c r="W250" s="105"/>
      <c r="X250" s="105"/>
      <c r="Y250" s="105"/>
      <c r="Z250" s="105"/>
      <c r="AA250" s="108"/>
      <c r="AB250" s="108"/>
      <c r="AC250" s="105"/>
      <c r="AD250" s="279"/>
      <c r="AE250" s="105"/>
      <c r="AF250" s="279"/>
      <c r="AG250" s="105"/>
      <c r="AH250" s="108"/>
      <c r="AI250" s="108"/>
      <c r="AJ250" s="108"/>
      <c r="AK250" s="108"/>
      <c r="AL250" s="105"/>
      <c r="AM250" s="108"/>
      <c r="AN250" s="105"/>
      <c r="AO250" s="108"/>
      <c r="AP250" s="108"/>
      <c r="AQ250" s="105"/>
      <c r="AR250" s="108"/>
      <c r="AS250" s="108"/>
      <c r="AT250" s="105"/>
      <c r="AU250" s="105"/>
      <c r="AV250" s="105"/>
      <c r="AW250" s="105"/>
      <c r="AX250" s="105"/>
      <c r="AY250" s="105"/>
      <c r="AZ250" s="105"/>
      <c r="BA250" s="105"/>
      <c r="BB250" s="105"/>
      <c r="BC250" s="105"/>
      <c r="BD250" s="108"/>
      <c r="BE250" s="83">
        <f>IF($A250="","",IF(TRIM($D250&amp;"")="",IF(TRIM($AX250&amp;$AY250&amp;$AZ250&amp;$BA250&amp;$BB250&amp;$BC250&amp;$BD250&amp;"")="","","SUBARRENDADO"),IFERROR(IF(VLOOKUP($D250,VEHICULOS!$A$3:$H$202,7,FALSE)="","",VLOOKUP($D250,VEHICULOS!$A$3:$H$202,7,FALSE)),"")))</f>
      </c>
      <c r="BF250" s="82">
        <f>IF($A250="","",IF(TRIM($BC250&amp;"")&lt;&gt;"",$BC250,IF(TRIM($D250&amp;"")="","",IFERROR(IF(VLOOKUP($D250,VEHICULOS!$A$3:$H$202,8,FALSE)="","",VLOOKUP($D250,VEHICULOS!$A$3:$H$202,8,FALSE)),""))))</f>
      </c>
      <c r="BG250" s="106"/>
      <c r="BH250" s="107"/>
      <c r="BI250" s="86">
        <f t="shared" si="45"/>
      </c>
      <c r="BJ250" s="83">
        <f t="shared" si="46"/>
      </c>
      <c r="BK250" s="85">
        <f t="shared" si="47"/>
      </c>
      <c r="BL250" s="85">
        <f t="shared" si="48"/>
      </c>
      <c r="BM250" s="108"/>
      <c r="BN250" s="85">
        <f t="shared" si="49"/>
      </c>
      <c r="BO250" s="108"/>
      <c r="BP250" s="85">
        <f t="shared" si="50"/>
      </c>
      <c r="BQ250" s="85">
        <f t="shared" si="51"/>
      </c>
      <c r="BR250" s="108"/>
      <c r="BS250" s="104"/>
      <c r="BT250" s="87">
        <f t="shared" si="52"/>
      </c>
      <c r="BU250" s="85">
        <f t="shared" si="53"/>
      </c>
      <c r="BV250" s="85">
        <f t="shared" si="54"/>
      </c>
      <c r="BW250" s="87">
        <f t="shared" si="55"/>
      </c>
      <c r="BX250" s="104"/>
      <c r="BY250" s="106"/>
      <c r="BZ250" s="104"/>
      <c r="CA250" s="105"/>
      <c r="CB250" s="77">
        <f>IF($A250="",0,IF($B250='FICHA CLIENTE'!$C$4,1,0))</f>
      </c>
      <c r="CC250" s="77">
        <f t="shared" si="56"/>
      </c>
      <c r="CD250" s="77">
        <f>IF($A250="",0,IF($D250='FICHA VEHICULO'!$C$4,1,0))</f>
      </c>
      <c r="CE250" s="77">
        <f t="shared" si="57"/>
      </c>
      <c r="CF250" s="77">
        <f t="shared" si="58"/>
      </c>
      <c r="CG250" s="77">
        <f t="shared" si="59"/>
      </c>
    </row>
    <row r="251" spans="1:85" ht="19.5" customHeight="1" x14ac:dyDescent="0.2">
      <c r="A251" s="104"/>
      <c r="B251" s="104"/>
      <c r="C251" s="105"/>
      <c r="D251" s="104"/>
      <c r="E251" s="105"/>
      <c r="F251" s="106"/>
      <c r="G251" s="104"/>
      <c r="H251" s="106"/>
      <c r="I251" s="107"/>
      <c r="J251" s="108"/>
      <c r="K251" s="108"/>
      <c r="L251" s="108"/>
      <c r="M251" s="105"/>
      <c r="N251" s="105"/>
      <c r="O251" s="105"/>
      <c r="P251" s="108"/>
      <c r="Q251" s="105"/>
      <c r="R251" s="105"/>
      <c r="S251" s="105"/>
      <c r="T251" s="105"/>
      <c r="U251" s="108"/>
      <c r="V251" s="105"/>
      <c r="W251" s="105"/>
      <c r="X251" s="105"/>
      <c r="Y251" s="105"/>
      <c r="Z251" s="105"/>
      <c r="AA251" s="108"/>
      <c r="AB251" s="108"/>
      <c r="AC251" s="105"/>
      <c r="AD251" s="279"/>
      <c r="AE251" s="105"/>
      <c r="AF251" s="279"/>
      <c r="AG251" s="105"/>
      <c r="AH251" s="108"/>
      <c r="AI251" s="108"/>
      <c r="AJ251" s="108"/>
      <c r="AK251" s="108"/>
      <c r="AL251" s="105"/>
      <c r="AM251" s="108"/>
      <c r="AN251" s="105"/>
      <c r="AO251" s="108"/>
      <c r="AP251" s="108"/>
      <c r="AQ251" s="105"/>
      <c r="AR251" s="108"/>
      <c r="AS251" s="108"/>
      <c r="AT251" s="105"/>
      <c r="AU251" s="105"/>
      <c r="AV251" s="105"/>
      <c r="AW251" s="105"/>
      <c r="AX251" s="105"/>
      <c r="AY251" s="105"/>
      <c r="AZ251" s="105"/>
      <c r="BA251" s="105"/>
      <c r="BB251" s="105"/>
      <c r="BC251" s="105"/>
      <c r="BD251" s="108"/>
      <c r="BE251" s="83">
        <f>IF($A251="","",IF(TRIM($D251&amp;"")="",IF(TRIM($AX251&amp;$AY251&amp;$AZ251&amp;$BA251&amp;$BB251&amp;$BC251&amp;$BD251&amp;"")="","","SUBARRENDADO"),IFERROR(IF(VLOOKUP($D251,VEHICULOS!$A$3:$H$202,7,FALSE)="","",VLOOKUP($D251,VEHICULOS!$A$3:$H$202,7,FALSE)),"")))</f>
      </c>
      <c r="BF251" s="82">
        <f>IF($A251="","",IF(TRIM($BC251&amp;"")&lt;&gt;"",$BC251,IF(TRIM($D251&amp;"")="","",IFERROR(IF(VLOOKUP($D251,VEHICULOS!$A$3:$H$202,8,FALSE)="","",VLOOKUP($D251,VEHICULOS!$A$3:$H$202,8,FALSE)),""))))</f>
      </c>
      <c r="BG251" s="106"/>
      <c r="BH251" s="107"/>
      <c r="BI251" s="86">
        <f t="shared" si="45"/>
      </c>
      <c r="BJ251" s="83">
        <f t="shared" si="46"/>
      </c>
      <c r="BK251" s="85">
        <f t="shared" si="47"/>
      </c>
      <c r="BL251" s="85">
        <f t="shared" si="48"/>
      </c>
      <c r="BM251" s="108"/>
      <c r="BN251" s="85">
        <f t="shared" si="49"/>
      </c>
      <c r="BO251" s="108"/>
      <c r="BP251" s="85">
        <f t="shared" si="50"/>
      </c>
      <c r="BQ251" s="85">
        <f t="shared" si="51"/>
      </c>
      <c r="BR251" s="108"/>
      <c r="BS251" s="104"/>
      <c r="BT251" s="87">
        <f t="shared" si="52"/>
      </c>
      <c r="BU251" s="85">
        <f t="shared" si="53"/>
      </c>
      <c r="BV251" s="85">
        <f t="shared" si="54"/>
      </c>
      <c r="BW251" s="87">
        <f t="shared" si="55"/>
      </c>
      <c r="BX251" s="104"/>
      <c r="BY251" s="106"/>
      <c r="BZ251" s="104"/>
      <c r="CA251" s="105"/>
      <c r="CB251" s="77">
        <f>IF($A251="",0,IF($B251='FICHA CLIENTE'!$C$4,1,0))</f>
      </c>
      <c r="CC251" s="77">
        <f t="shared" si="56"/>
      </c>
      <c r="CD251" s="77">
        <f>IF($A251="",0,IF($D251='FICHA VEHICULO'!$C$4,1,0))</f>
      </c>
      <c r="CE251" s="77">
        <f t="shared" si="57"/>
      </c>
      <c r="CF251" s="77">
        <f t="shared" si="58"/>
      </c>
      <c r="CG251" s="77">
        <f t="shared" si="59"/>
      </c>
    </row>
    <row r="252" spans="1:85" ht="19.5" customHeight="1" x14ac:dyDescent="0.2">
      <c r="A252" s="104"/>
      <c r="B252" s="104"/>
      <c r="C252" s="105"/>
      <c r="D252" s="104"/>
      <c r="E252" s="105"/>
      <c r="F252" s="106"/>
      <c r="G252" s="104"/>
      <c r="H252" s="106"/>
      <c r="I252" s="107"/>
      <c r="J252" s="108"/>
      <c r="K252" s="108"/>
      <c r="L252" s="108"/>
      <c r="M252" s="105"/>
      <c r="N252" s="105"/>
      <c r="O252" s="105"/>
      <c r="P252" s="108"/>
      <c r="Q252" s="105"/>
      <c r="R252" s="105"/>
      <c r="S252" s="105"/>
      <c r="T252" s="105"/>
      <c r="U252" s="108"/>
      <c r="V252" s="105"/>
      <c r="W252" s="105"/>
      <c r="X252" s="105"/>
      <c r="Y252" s="105"/>
      <c r="Z252" s="105"/>
      <c r="AA252" s="108"/>
      <c r="AB252" s="108"/>
      <c r="AC252" s="105"/>
      <c r="AD252" s="279"/>
      <c r="AE252" s="105"/>
      <c r="AF252" s="279"/>
      <c r="AG252" s="105"/>
      <c r="AH252" s="108"/>
      <c r="AI252" s="108"/>
      <c r="AJ252" s="108"/>
      <c r="AK252" s="108"/>
      <c r="AL252" s="105"/>
      <c r="AM252" s="108"/>
      <c r="AN252" s="105"/>
      <c r="AO252" s="108"/>
      <c r="AP252" s="108"/>
      <c r="AQ252" s="105"/>
      <c r="AR252" s="108"/>
      <c r="AS252" s="108"/>
      <c r="AT252" s="105"/>
      <c r="AU252" s="105"/>
      <c r="AV252" s="105"/>
      <c r="AW252" s="105"/>
      <c r="AX252" s="105"/>
      <c r="AY252" s="105"/>
      <c r="AZ252" s="105"/>
      <c r="BA252" s="105"/>
      <c r="BB252" s="105"/>
      <c r="BC252" s="105"/>
      <c r="BD252" s="108"/>
      <c r="BE252" s="83">
        <f>IF($A252="","",IF(TRIM($D252&amp;"")="",IF(TRIM($AX252&amp;$AY252&amp;$AZ252&amp;$BA252&amp;$BB252&amp;$BC252&amp;$BD252&amp;"")="","","SUBARRENDADO"),IFERROR(IF(VLOOKUP($D252,VEHICULOS!$A$3:$H$202,7,FALSE)="","",VLOOKUP($D252,VEHICULOS!$A$3:$H$202,7,FALSE)),"")))</f>
      </c>
      <c r="BF252" s="82">
        <f>IF($A252="","",IF(TRIM($BC252&amp;"")&lt;&gt;"",$BC252,IF(TRIM($D252&amp;"")="","",IFERROR(IF(VLOOKUP($D252,VEHICULOS!$A$3:$H$202,8,FALSE)="","",VLOOKUP($D252,VEHICULOS!$A$3:$H$202,8,FALSE)),""))))</f>
      </c>
      <c r="BG252" s="106"/>
      <c r="BH252" s="107"/>
      <c r="BI252" s="86">
        <f t="shared" si="45"/>
      </c>
      <c r="BJ252" s="83">
        <f t="shared" si="46"/>
      </c>
      <c r="BK252" s="85">
        <f t="shared" si="47"/>
      </c>
      <c r="BL252" s="85">
        <f t="shared" si="48"/>
      </c>
      <c r="BM252" s="108"/>
      <c r="BN252" s="85">
        <f t="shared" si="49"/>
      </c>
      <c r="BO252" s="108"/>
      <c r="BP252" s="85">
        <f t="shared" si="50"/>
      </c>
      <c r="BQ252" s="85">
        <f t="shared" si="51"/>
      </c>
      <c r="BR252" s="108"/>
      <c r="BS252" s="104"/>
      <c r="BT252" s="87">
        <f t="shared" si="52"/>
      </c>
      <c r="BU252" s="85">
        <f t="shared" si="53"/>
      </c>
      <c r="BV252" s="85">
        <f t="shared" si="54"/>
      </c>
      <c r="BW252" s="87">
        <f t="shared" si="55"/>
      </c>
      <c r="BX252" s="104"/>
      <c r="BY252" s="106"/>
      <c r="BZ252" s="104"/>
      <c r="CA252" s="105"/>
      <c r="CB252" s="77">
        <f>IF($A252="",0,IF($B252='FICHA CLIENTE'!$C$4,1,0))</f>
      </c>
      <c r="CC252" s="77">
        <f t="shared" si="56"/>
      </c>
      <c r="CD252" s="77">
        <f>IF($A252="",0,IF($D252='FICHA VEHICULO'!$C$4,1,0))</f>
      </c>
      <c r="CE252" s="77">
        <f t="shared" si="57"/>
      </c>
      <c r="CF252" s="77">
        <f t="shared" si="58"/>
      </c>
      <c r="CG252" s="77">
        <f t="shared" si="59"/>
      </c>
    </row>
    <row r="253" spans="1:85" ht="19.5" customHeight="1" x14ac:dyDescent="0.2">
      <c r="A253" s="104"/>
      <c r="B253" s="104"/>
      <c r="C253" s="105"/>
      <c r="D253" s="104"/>
      <c r="E253" s="105"/>
      <c r="F253" s="106"/>
      <c r="G253" s="104"/>
      <c r="H253" s="106"/>
      <c r="I253" s="107"/>
      <c r="J253" s="108"/>
      <c r="K253" s="108"/>
      <c r="L253" s="108"/>
      <c r="M253" s="105"/>
      <c r="N253" s="105"/>
      <c r="O253" s="105"/>
      <c r="P253" s="108"/>
      <c r="Q253" s="105"/>
      <c r="R253" s="105"/>
      <c r="S253" s="105"/>
      <c r="T253" s="105"/>
      <c r="U253" s="108"/>
      <c r="V253" s="105"/>
      <c r="W253" s="105"/>
      <c r="X253" s="105"/>
      <c r="Y253" s="105"/>
      <c r="Z253" s="105"/>
      <c r="AA253" s="108"/>
      <c r="AB253" s="108"/>
      <c r="AC253" s="105"/>
      <c r="AD253" s="279"/>
      <c r="AE253" s="105"/>
      <c r="AF253" s="279"/>
      <c r="AG253" s="105"/>
      <c r="AH253" s="108"/>
      <c r="AI253" s="108"/>
      <c r="AJ253" s="108"/>
      <c r="AK253" s="108"/>
      <c r="AL253" s="105"/>
      <c r="AM253" s="108"/>
      <c r="AN253" s="105"/>
      <c r="AO253" s="108"/>
      <c r="AP253" s="108"/>
      <c r="AQ253" s="105"/>
      <c r="AR253" s="108"/>
      <c r="AS253" s="108"/>
      <c r="AT253" s="105"/>
      <c r="AU253" s="105"/>
      <c r="AV253" s="105"/>
      <c r="AW253" s="105"/>
      <c r="AX253" s="105"/>
      <c r="AY253" s="105"/>
      <c r="AZ253" s="105"/>
      <c r="BA253" s="105"/>
      <c r="BB253" s="105"/>
      <c r="BC253" s="105"/>
      <c r="BD253" s="108"/>
      <c r="BE253" s="83">
        <f>IF($A253="","",IF(TRIM($D253&amp;"")="",IF(TRIM($AX253&amp;$AY253&amp;$AZ253&amp;$BA253&amp;$BB253&amp;$BC253&amp;$BD253&amp;"")="","","SUBARRENDADO"),IFERROR(IF(VLOOKUP($D253,VEHICULOS!$A$3:$H$202,7,FALSE)="","",VLOOKUP($D253,VEHICULOS!$A$3:$H$202,7,FALSE)),"")))</f>
      </c>
      <c r="BF253" s="82">
        <f>IF($A253="","",IF(TRIM($BC253&amp;"")&lt;&gt;"",$BC253,IF(TRIM($D253&amp;"")="","",IFERROR(IF(VLOOKUP($D253,VEHICULOS!$A$3:$H$202,8,FALSE)="","",VLOOKUP($D253,VEHICULOS!$A$3:$H$202,8,FALSE)),""))))</f>
      </c>
      <c r="BG253" s="106"/>
      <c r="BH253" s="107"/>
      <c r="BI253" s="86">
        <f t="shared" si="45"/>
      </c>
      <c r="BJ253" s="83">
        <f t="shared" si="46"/>
      </c>
      <c r="BK253" s="85">
        <f t="shared" si="47"/>
      </c>
      <c r="BL253" s="85">
        <f t="shared" si="48"/>
      </c>
      <c r="BM253" s="108"/>
      <c r="BN253" s="85">
        <f t="shared" si="49"/>
      </c>
      <c r="BO253" s="108"/>
      <c r="BP253" s="85">
        <f t="shared" si="50"/>
      </c>
      <c r="BQ253" s="85">
        <f t="shared" si="51"/>
      </c>
      <c r="BR253" s="108"/>
      <c r="BS253" s="104"/>
      <c r="BT253" s="87">
        <f t="shared" si="52"/>
      </c>
      <c r="BU253" s="85">
        <f t="shared" si="53"/>
      </c>
      <c r="BV253" s="85">
        <f t="shared" si="54"/>
      </c>
      <c r="BW253" s="87">
        <f t="shared" si="55"/>
      </c>
      <c r="BX253" s="104"/>
      <c r="BY253" s="106"/>
      <c r="BZ253" s="104"/>
      <c r="CA253" s="105"/>
      <c r="CB253" s="77">
        <f>IF($A253="",0,IF($B253='FICHA CLIENTE'!$C$4,1,0))</f>
      </c>
      <c r="CC253" s="77">
        <f t="shared" si="56"/>
      </c>
      <c r="CD253" s="77">
        <f>IF($A253="",0,IF($D253='FICHA VEHICULO'!$C$4,1,0))</f>
      </c>
      <c r="CE253" s="77">
        <f t="shared" si="57"/>
      </c>
      <c r="CF253" s="77">
        <f t="shared" si="58"/>
      </c>
      <c r="CG253" s="77">
        <f t="shared" si="59"/>
      </c>
    </row>
    <row r="254" spans="1:85" ht="19.5" customHeight="1" x14ac:dyDescent="0.2">
      <c r="A254" s="104"/>
      <c r="B254" s="104"/>
      <c r="C254" s="105"/>
      <c r="D254" s="104"/>
      <c r="E254" s="105"/>
      <c r="F254" s="106"/>
      <c r="G254" s="104"/>
      <c r="H254" s="106"/>
      <c r="I254" s="107"/>
      <c r="J254" s="108"/>
      <c r="K254" s="108"/>
      <c r="L254" s="108"/>
      <c r="M254" s="105"/>
      <c r="N254" s="105"/>
      <c r="O254" s="105"/>
      <c r="P254" s="108"/>
      <c r="Q254" s="105"/>
      <c r="R254" s="105"/>
      <c r="S254" s="105"/>
      <c r="T254" s="105"/>
      <c r="U254" s="108"/>
      <c r="V254" s="105"/>
      <c r="W254" s="105"/>
      <c r="X254" s="105"/>
      <c r="Y254" s="105"/>
      <c r="Z254" s="105"/>
      <c r="AA254" s="108"/>
      <c r="AB254" s="108"/>
      <c r="AC254" s="105"/>
      <c r="AD254" s="279"/>
      <c r="AE254" s="105"/>
      <c r="AF254" s="279"/>
      <c r="AG254" s="105"/>
      <c r="AH254" s="108"/>
      <c r="AI254" s="108"/>
      <c r="AJ254" s="108"/>
      <c r="AK254" s="108"/>
      <c r="AL254" s="105"/>
      <c r="AM254" s="108"/>
      <c r="AN254" s="105"/>
      <c r="AO254" s="108"/>
      <c r="AP254" s="108"/>
      <c r="AQ254" s="105"/>
      <c r="AR254" s="108"/>
      <c r="AS254" s="108"/>
      <c r="AT254" s="105"/>
      <c r="AU254" s="105"/>
      <c r="AV254" s="105"/>
      <c r="AW254" s="105"/>
      <c r="AX254" s="105"/>
      <c r="AY254" s="105"/>
      <c r="AZ254" s="105"/>
      <c r="BA254" s="105"/>
      <c r="BB254" s="105"/>
      <c r="BC254" s="105"/>
      <c r="BD254" s="108"/>
      <c r="BE254" s="83">
        <f>IF($A254="","",IF(TRIM($D254&amp;"")="",IF(TRIM($AX254&amp;$AY254&amp;$AZ254&amp;$BA254&amp;$BB254&amp;$BC254&amp;$BD254&amp;"")="","","SUBARRENDADO"),IFERROR(IF(VLOOKUP($D254,VEHICULOS!$A$3:$H$202,7,FALSE)="","",VLOOKUP($D254,VEHICULOS!$A$3:$H$202,7,FALSE)),"")))</f>
      </c>
      <c r="BF254" s="82">
        <f>IF($A254="","",IF(TRIM($BC254&amp;"")&lt;&gt;"",$BC254,IF(TRIM($D254&amp;"")="","",IFERROR(IF(VLOOKUP($D254,VEHICULOS!$A$3:$H$202,8,FALSE)="","",VLOOKUP($D254,VEHICULOS!$A$3:$H$202,8,FALSE)),""))))</f>
      </c>
      <c r="BG254" s="106"/>
      <c r="BH254" s="107"/>
      <c r="BI254" s="86">
        <f t="shared" si="45"/>
      </c>
      <c r="BJ254" s="83">
        <f t="shared" si="46"/>
      </c>
      <c r="BK254" s="85">
        <f t="shared" si="47"/>
      </c>
      <c r="BL254" s="85">
        <f t="shared" si="48"/>
      </c>
      <c r="BM254" s="108"/>
      <c r="BN254" s="85">
        <f t="shared" si="49"/>
      </c>
      <c r="BO254" s="108"/>
      <c r="BP254" s="85">
        <f t="shared" si="50"/>
      </c>
      <c r="BQ254" s="85">
        <f t="shared" si="51"/>
      </c>
      <c r="BR254" s="108"/>
      <c r="BS254" s="104"/>
      <c r="BT254" s="87">
        <f t="shared" si="52"/>
      </c>
      <c r="BU254" s="85">
        <f t="shared" si="53"/>
      </c>
      <c r="BV254" s="85">
        <f t="shared" si="54"/>
      </c>
      <c r="BW254" s="87">
        <f t="shared" si="55"/>
      </c>
      <c r="BX254" s="104"/>
      <c r="BY254" s="106"/>
      <c r="BZ254" s="104"/>
      <c r="CA254" s="105"/>
      <c r="CB254" s="77">
        <f>IF($A254="",0,IF($B254='FICHA CLIENTE'!$C$4,1,0))</f>
      </c>
      <c r="CC254" s="77">
        <f t="shared" si="56"/>
      </c>
      <c r="CD254" s="77">
        <f>IF($A254="",0,IF($D254='FICHA VEHICULO'!$C$4,1,0))</f>
      </c>
      <c r="CE254" s="77">
        <f t="shared" si="57"/>
      </c>
      <c r="CF254" s="77">
        <f t="shared" si="58"/>
      </c>
      <c r="CG254" s="77">
        <f t="shared" si="59"/>
      </c>
    </row>
    <row r="255" spans="1:85" ht="19.5" customHeight="1" x14ac:dyDescent="0.2">
      <c r="A255" s="104"/>
      <c r="B255" s="104"/>
      <c r="C255" s="105"/>
      <c r="D255" s="104"/>
      <c r="E255" s="105"/>
      <c r="F255" s="106"/>
      <c r="G255" s="104"/>
      <c r="H255" s="106"/>
      <c r="I255" s="107"/>
      <c r="J255" s="108"/>
      <c r="K255" s="108"/>
      <c r="L255" s="108"/>
      <c r="M255" s="105"/>
      <c r="N255" s="105"/>
      <c r="O255" s="105"/>
      <c r="P255" s="108"/>
      <c r="Q255" s="105"/>
      <c r="R255" s="105"/>
      <c r="S255" s="105"/>
      <c r="T255" s="105"/>
      <c r="U255" s="108"/>
      <c r="V255" s="105"/>
      <c r="W255" s="105"/>
      <c r="X255" s="105"/>
      <c r="Y255" s="105"/>
      <c r="Z255" s="105"/>
      <c r="AA255" s="108"/>
      <c r="AB255" s="108"/>
      <c r="AC255" s="105"/>
      <c r="AD255" s="279"/>
      <c r="AE255" s="105"/>
      <c r="AF255" s="279"/>
      <c r="AG255" s="105"/>
      <c r="AH255" s="108"/>
      <c r="AI255" s="108"/>
      <c r="AJ255" s="108"/>
      <c r="AK255" s="108"/>
      <c r="AL255" s="105"/>
      <c r="AM255" s="108"/>
      <c r="AN255" s="105"/>
      <c r="AO255" s="108"/>
      <c r="AP255" s="108"/>
      <c r="AQ255" s="105"/>
      <c r="AR255" s="108"/>
      <c r="AS255" s="108"/>
      <c r="AT255" s="105"/>
      <c r="AU255" s="105"/>
      <c r="AV255" s="105"/>
      <c r="AW255" s="105"/>
      <c r="AX255" s="105"/>
      <c r="AY255" s="105"/>
      <c r="AZ255" s="105"/>
      <c r="BA255" s="105"/>
      <c r="BB255" s="105"/>
      <c r="BC255" s="105"/>
      <c r="BD255" s="108"/>
      <c r="BE255" s="83">
        <f>IF($A255="","",IF(TRIM($D255&amp;"")="",IF(TRIM($AX255&amp;$AY255&amp;$AZ255&amp;$BA255&amp;$BB255&amp;$BC255&amp;$BD255&amp;"")="","","SUBARRENDADO"),IFERROR(IF(VLOOKUP($D255,VEHICULOS!$A$3:$H$202,7,FALSE)="","",VLOOKUP($D255,VEHICULOS!$A$3:$H$202,7,FALSE)),"")))</f>
      </c>
      <c r="BF255" s="82">
        <f>IF($A255="","",IF(TRIM($BC255&amp;"")&lt;&gt;"",$BC255,IF(TRIM($D255&amp;"")="","",IFERROR(IF(VLOOKUP($D255,VEHICULOS!$A$3:$H$202,8,FALSE)="","",VLOOKUP($D255,VEHICULOS!$A$3:$H$202,8,FALSE)),""))))</f>
      </c>
      <c r="BG255" s="106"/>
      <c r="BH255" s="107"/>
      <c r="BI255" s="86">
        <f t="shared" si="45"/>
      </c>
      <c r="BJ255" s="83">
        <f t="shared" si="46"/>
      </c>
      <c r="BK255" s="85">
        <f t="shared" si="47"/>
      </c>
      <c r="BL255" s="85">
        <f t="shared" si="48"/>
      </c>
      <c r="BM255" s="108"/>
      <c r="BN255" s="85">
        <f t="shared" si="49"/>
      </c>
      <c r="BO255" s="108"/>
      <c r="BP255" s="85">
        <f t="shared" si="50"/>
      </c>
      <c r="BQ255" s="85">
        <f t="shared" si="51"/>
      </c>
      <c r="BR255" s="108"/>
      <c r="BS255" s="104"/>
      <c r="BT255" s="87">
        <f t="shared" si="52"/>
      </c>
      <c r="BU255" s="85">
        <f t="shared" si="53"/>
      </c>
      <c r="BV255" s="85">
        <f t="shared" si="54"/>
      </c>
      <c r="BW255" s="87">
        <f t="shared" si="55"/>
      </c>
      <c r="BX255" s="104"/>
      <c r="BY255" s="106"/>
      <c r="BZ255" s="104"/>
      <c r="CA255" s="105"/>
      <c r="CB255" s="77">
        <f>IF($A255="",0,IF($B255='FICHA CLIENTE'!$C$4,1,0))</f>
      </c>
      <c r="CC255" s="77">
        <f t="shared" si="56"/>
      </c>
      <c r="CD255" s="77">
        <f>IF($A255="",0,IF($D255='FICHA VEHICULO'!$C$4,1,0))</f>
      </c>
      <c r="CE255" s="77">
        <f t="shared" si="57"/>
      </c>
      <c r="CF255" s="77">
        <f t="shared" si="58"/>
      </c>
      <c r="CG255" s="77">
        <f t="shared" si="59"/>
      </c>
    </row>
    <row r="256" spans="1:85" ht="19.5" customHeight="1" x14ac:dyDescent="0.2">
      <c r="A256" s="104"/>
      <c r="B256" s="104"/>
      <c r="C256" s="105"/>
      <c r="D256" s="104"/>
      <c r="E256" s="105"/>
      <c r="F256" s="106"/>
      <c r="G256" s="104"/>
      <c r="H256" s="106"/>
      <c r="I256" s="107"/>
      <c r="J256" s="108"/>
      <c r="K256" s="108"/>
      <c r="L256" s="108"/>
      <c r="M256" s="105"/>
      <c r="N256" s="105"/>
      <c r="O256" s="105"/>
      <c r="P256" s="108"/>
      <c r="Q256" s="105"/>
      <c r="R256" s="105"/>
      <c r="S256" s="105"/>
      <c r="T256" s="105"/>
      <c r="U256" s="108"/>
      <c r="V256" s="105"/>
      <c r="W256" s="105"/>
      <c r="X256" s="105"/>
      <c r="Y256" s="105"/>
      <c r="Z256" s="105"/>
      <c r="AA256" s="108"/>
      <c r="AB256" s="108"/>
      <c r="AC256" s="105"/>
      <c r="AD256" s="279"/>
      <c r="AE256" s="105"/>
      <c r="AF256" s="279"/>
      <c r="AG256" s="105"/>
      <c r="AH256" s="108"/>
      <c r="AI256" s="108"/>
      <c r="AJ256" s="108"/>
      <c r="AK256" s="108"/>
      <c r="AL256" s="105"/>
      <c r="AM256" s="108"/>
      <c r="AN256" s="105"/>
      <c r="AO256" s="108"/>
      <c r="AP256" s="108"/>
      <c r="AQ256" s="105"/>
      <c r="AR256" s="108"/>
      <c r="AS256" s="108"/>
      <c r="AT256" s="105"/>
      <c r="AU256" s="105"/>
      <c r="AV256" s="105"/>
      <c r="AW256" s="105"/>
      <c r="AX256" s="105"/>
      <c r="AY256" s="105"/>
      <c r="AZ256" s="105"/>
      <c r="BA256" s="105"/>
      <c r="BB256" s="105"/>
      <c r="BC256" s="105"/>
      <c r="BD256" s="108"/>
      <c r="BE256" s="83">
        <f>IF($A256="","",IF(TRIM($D256&amp;"")="",IF(TRIM($AX256&amp;$AY256&amp;$AZ256&amp;$BA256&amp;$BB256&amp;$BC256&amp;$BD256&amp;"")="","","SUBARRENDADO"),IFERROR(IF(VLOOKUP($D256,VEHICULOS!$A$3:$H$202,7,FALSE)="","",VLOOKUP($D256,VEHICULOS!$A$3:$H$202,7,FALSE)),"")))</f>
      </c>
      <c r="BF256" s="82">
        <f>IF($A256="","",IF(TRIM($BC256&amp;"")&lt;&gt;"",$BC256,IF(TRIM($D256&amp;"")="","",IFERROR(IF(VLOOKUP($D256,VEHICULOS!$A$3:$H$202,8,FALSE)="","",VLOOKUP($D256,VEHICULOS!$A$3:$H$202,8,FALSE)),""))))</f>
      </c>
      <c r="BG256" s="106"/>
      <c r="BH256" s="107"/>
      <c r="BI256" s="86">
        <f t="shared" si="45"/>
      </c>
      <c r="BJ256" s="83">
        <f t="shared" si="46"/>
      </c>
      <c r="BK256" s="85">
        <f t="shared" si="47"/>
      </c>
      <c r="BL256" s="85">
        <f t="shared" si="48"/>
      </c>
      <c r="BM256" s="108"/>
      <c r="BN256" s="85">
        <f t="shared" si="49"/>
      </c>
      <c r="BO256" s="108"/>
      <c r="BP256" s="85">
        <f t="shared" si="50"/>
      </c>
      <c r="BQ256" s="85">
        <f t="shared" si="51"/>
      </c>
      <c r="BR256" s="108"/>
      <c r="BS256" s="104"/>
      <c r="BT256" s="87">
        <f t="shared" si="52"/>
      </c>
      <c r="BU256" s="85">
        <f t="shared" si="53"/>
      </c>
      <c r="BV256" s="85">
        <f t="shared" si="54"/>
      </c>
      <c r="BW256" s="87">
        <f t="shared" si="55"/>
      </c>
      <c r="BX256" s="104"/>
      <c r="BY256" s="106"/>
      <c r="BZ256" s="104"/>
      <c r="CA256" s="105"/>
      <c r="CB256" s="77">
        <f>IF($A256="",0,IF($B256='FICHA CLIENTE'!$C$4,1,0))</f>
      </c>
      <c r="CC256" s="77">
        <f t="shared" si="56"/>
      </c>
      <c r="CD256" s="77">
        <f>IF($A256="",0,IF($D256='FICHA VEHICULO'!$C$4,1,0))</f>
      </c>
      <c r="CE256" s="77">
        <f t="shared" si="57"/>
      </c>
      <c r="CF256" s="77">
        <f t="shared" si="58"/>
      </c>
      <c r="CG256" s="77">
        <f t="shared" si="59"/>
      </c>
    </row>
    <row r="257" spans="1:85" ht="19.5" customHeight="1" x14ac:dyDescent="0.2">
      <c r="A257" s="104"/>
      <c r="B257" s="104"/>
      <c r="C257" s="105"/>
      <c r="D257" s="104"/>
      <c r="E257" s="105"/>
      <c r="F257" s="106"/>
      <c r="G257" s="104"/>
      <c r="H257" s="106"/>
      <c r="I257" s="107"/>
      <c r="J257" s="108"/>
      <c r="K257" s="108"/>
      <c r="L257" s="108"/>
      <c r="M257" s="105"/>
      <c r="N257" s="105"/>
      <c r="O257" s="105"/>
      <c r="P257" s="108"/>
      <c r="Q257" s="105"/>
      <c r="R257" s="105"/>
      <c r="S257" s="105"/>
      <c r="T257" s="105"/>
      <c r="U257" s="108"/>
      <c r="V257" s="105"/>
      <c r="W257" s="105"/>
      <c r="X257" s="105"/>
      <c r="Y257" s="105"/>
      <c r="Z257" s="105"/>
      <c r="AA257" s="108"/>
      <c r="AB257" s="108"/>
      <c r="AC257" s="105"/>
      <c r="AD257" s="279"/>
      <c r="AE257" s="105"/>
      <c r="AF257" s="279"/>
      <c r="AG257" s="105"/>
      <c r="AH257" s="108"/>
      <c r="AI257" s="108"/>
      <c r="AJ257" s="108"/>
      <c r="AK257" s="108"/>
      <c r="AL257" s="105"/>
      <c r="AM257" s="108"/>
      <c r="AN257" s="105"/>
      <c r="AO257" s="108"/>
      <c r="AP257" s="108"/>
      <c r="AQ257" s="105"/>
      <c r="AR257" s="108"/>
      <c r="AS257" s="108"/>
      <c r="AT257" s="105"/>
      <c r="AU257" s="105"/>
      <c r="AV257" s="105"/>
      <c r="AW257" s="105"/>
      <c r="AX257" s="105"/>
      <c r="AY257" s="105"/>
      <c r="AZ257" s="105"/>
      <c r="BA257" s="105"/>
      <c r="BB257" s="105"/>
      <c r="BC257" s="105"/>
      <c r="BD257" s="108"/>
      <c r="BE257" s="83">
        <f>IF($A257="","",IF(TRIM($D257&amp;"")="",IF(TRIM($AX257&amp;$AY257&amp;$AZ257&amp;$BA257&amp;$BB257&amp;$BC257&amp;$BD257&amp;"")="","","SUBARRENDADO"),IFERROR(IF(VLOOKUP($D257,VEHICULOS!$A$3:$H$202,7,FALSE)="","",VLOOKUP($D257,VEHICULOS!$A$3:$H$202,7,FALSE)),"")))</f>
      </c>
      <c r="BF257" s="82">
        <f>IF($A257="","",IF(TRIM($BC257&amp;"")&lt;&gt;"",$BC257,IF(TRIM($D257&amp;"")="","",IFERROR(IF(VLOOKUP($D257,VEHICULOS!$A$3:$H$202,8,FALSE)="","",VLOOKUP($D257,VEHICULOS!$A$3:$H$202,8,FALSE)),""))))</f>
      </c>
      <c r="BG257" s="106"/>
      <c r="BH257" s="107"/>
      <c r="BI257" s="86">
        <f t="shared" si="45"/>
      </c>
      <c r="BJ257" s="83">
        <f t="shared" si="46"/>
      </c>
      <c r="BK257" s="85">
        <f t="shared" si="47"/>
      </c>
      <c r="BL257" s="85">
        <f t="shared" si="48"/>
      </c>
      <c r="BM257" s="108"/>
      <c r="BN257" s="85">
        <f t="shared" si="49"/>
      </c>
      <c r="BO257" s="108"/>
      <c r="BP257" s="85">
        <f t="shared" si="50"/>
      </c>
      <c r="BQ257" s="85">
        <f t="shared" si="51"/>
      </c>
      <c r="BR257" s="108"/>
      <c r="BS257" s="104"/>
      <c r="BT257" s="87">
        <f t="shared" si="52"/>
      </c>
      <c r="BU257" s="85">
        <f t="shared" si="53"/>
      </c>
      <c r="BV257" s="85">
        <f t="shared" si="54"/>
      </c>
      <c r="BW257" s="87">
        <f t="shared" si="55"/>
      </c>
      <c r="BX257" s="104"/>
      <c r="BY257" s="106"/>
      <c r="BZ257" s="104"/>
      <c r="CA257" s="105"/>
      <c r="CB257" s="77">
        <f>IF($A257="",0,IF($B257='FICHA CLIENTE'!$C$4,1,0))</f>
      </c>
      <c r="CC257" s="77">
        <f t="shared" si="56"/>
      </c>
      <c r="CD257" s="77">
        <f>IF($A257="",0,IF($D257='FICHA VEHICULO'!$C$4,1,0))</f>
      </c>
      <c r="CE257" s="77">
        <f t="shared" si="57"/>
      </c>
      <c r="CF257" s="77">
        <f t="shared" si="58"/>
      </c>
      <c r="CG257" s="77">
        <f t="shared" si="59"/>
      </c>
    </row>
    <row r="258" spans="1:85" ht="19.5" customHeight="1" x14ac:dyDescent="0.2">
      <c r="A258" s="104"/>
      <c r="B258" s="104"/>
      <c r="C258" s="105"/>
      <c r="D258" s="104"/>
      <c r="E258" s="105"/>
      <c r="F258" s="106"/>
      <c r="G258" s="104"/>
      <c r="H258" s="106"/>
      <c r="I258" s="107"/>
      <c r="J258" s="108"/>
      <c r="K258" s="108"/>
      <c r="L258" s="108"/>
      <c r="M258" s="105"/>
      <c r="N258" s="105"/>
      <c r="O258" s="105"/>
      <c r="P258" s="108"/>
      <c r="Q258" s="105"/>
      <c r="R258" s="105"/>
      <c r="S258" s="105"/>
      <c r="T258" s="105"/>
      <c r="U258" s="108"/>
      <c r="V258" s="105"/>
      <c r="W258" s="105"/>
      <c r="X258" s="105"/>
      <c r="Y258" s="105"/>
      <c r="Z258" s="105"/>
      <c r="AA258" s="108"/>
      <c r="AB258" s="108"/>
      <c r="AC258" s="105"/>
      <c r="AD258" s="279"/>
      <c r="AE258" s="105"/>
      <c r="AF258" s="279"/>
      <c r="AG258" s="105"/>
      <c r="AH258" s="108"/>
      <c r="AI258" s="108"/>
      <c r="AJ258" s="108"/>
      <c r="AK258" s="108"/>
      <c r="AL258" s="105"/>
      <c r="AM258" s="108"/>
      <c r="AN258" s="105"/>
      <c r="AO258" s="108"/>
      <c r="AP258" s="108"/>
      <c r="AQ258" s="105"/>
      <c r="AR258" s="108"/>
      <c r="AS258" s="108"/>
      <c r="AT258" s="105"/>
      <c r="AU258" s="105"/>
      <c r="AV258" s="105"/>
      <c r="AW258" s="105"/>
      <c r="AX258" s="105"/>
      <c r="AY258" s="105"/>
      <c r="AZ258" s="105"/>
      <c r="BA258" s="105"/>
      <c r="BB258" s="105"/>
      <c r="BC258" s="105"/>
      <c r="BD258" s="108"/>
      <c r="BE258" s="83">
        <f>IF($A258="","",IF(TRIM($D258&amp;"")="",IF(TRIM($AX258&amp;$AY258&amp;$AZ258&amp;$BA258&amp;$BB258&amp;$BC258&amp;$BD258&amp;"")="","","SUBARRENDADO"),IFERROR(IF(VLOOKUP($D258,VEHICULOS!$A$3:$H$202,7,FALSE)="","",VLOOKUP($D258,VEHICULOS!$A$3:$H$202,7,FALSE)),"")))</f>
      </c>
      <c r="BF258" s="82">
        <f>IF($A258="","",IF(TRIM($BC258&amp;"")&lt;&gt;"",$BC258,IF(TRIM($D258&amp;"")="","",IFERROR(IF(VLOOKUP($D258,VEHICULOS!$A$3:$H$202,8,FALSE)="","",VLOOKUP($D258,VEHICULOS!$A$3:$H$202,8,FALSE)),""))))</f>
      </c>
      <c r="BG258" s="106"/>
      <c r="BH258" s="107"/>
      <c r="BI258" s="86">
        <f t="shared" si="45"/>
      </c>
      <c r="BJ258" s="83">
        <f t="shared" si="46"/>
      </c>
      <c r="BK258" s="85">
        <f t="shared" si="47"/>
      </c>
      <c r="BL258" s="85">
        <f t="shared" si="48"/>
      </c>
      <c r="BM258" s="108"/>
      <c r="BN258" s="85">
        <f t="shared" si="49"/>
      </c>
      <c r="BO258" s="108"/>
      <c r="BP258" s="85">
        <f t="shared" si="50"/>
      </c>
      <c r="BQ258" s="85">
        <f t="shared" si="51"/>
      </c>
      <c r="BR258" s="108"/>
      <c r="BS258" s="104"/>
      <c r="BT258" s="87">
        <f t="shared" si="52"/>
      </c>
      <c r="BU258" s="85">
        <f t="shared" si="53"/>
      </c>
      <c r="BV258" s="85">
        <f t="shared" si="54"/>
      </c>
      <c r="BW258" s="87">
        <f t="shared" si="55"/>
      </c>
      <c r="BX258" s="104"/>
      <c r="BY258" s="106"/>
      <c r="BZ258" s="104"/>
      <c r="CA258" s="105"/>
      <c r="CB258" s="77">
        <f>IF($A258="",0,IF($B258='FICHA CLIENTE'!$C$4,1,0))</f>
      </c>
      <c r="CC258" s="77">
        <f t="shared" si="56"/>
      </c>
      <c r="CD258" s="77">
        <f>IF($A258="",0,IF($D258='FICHA VEHICULO'!$C$4,1,0))</f>
      </c>
      <c r="CE258" s="77">
        <f t="shared" si="57"/>
      </c>
      <c r="CF258" s="77">
        <f t="shared" si="58"/>
      </c>
      <c r="CG258" s="77">
        <f t="shared" si="59"/>
      </c>
    </row>
    <row r="259" spans="1:85" ht="19.5" customHeight="1" x14ac:dyDescent="0.2">
      <c r="A259" s="104"/>
      <c r="B259" s="104"/>
      <c r="C259" s="105"/>
      <c r="D259" s="104"/>
      <c r="E259" s="105"/>
      <c r="F259" s="106"/>
      <c r="G259" s="104"/>
      <c r="H259" s="106"/>
      <c r="I259" s="107"/>
      <c r="J259" s="108"/>
      <c r="K259" s="108"/>
      <c r="L259" s="108"/>
      <c r="M259" s="105"/>
      <c r="N259" s="105"/>
      <c r="O259" s="105"/>
      <c r="P259" s="108"/>
      <c r="Q259" s="105"/>
      <c r="R259" s="105"/>
      <c r="S259" s="105"/>
      <c r="T259" s="105"/>
      <c r="U259" s="108"/>
      <c r="V259" s="105"/>
      <c r="W259" s="105"/>
      <c r="X259" s="105"/>
      <c r="Y259" s="105"/>
      <c r="Z259" s="105"/>
      <c r="AA259" s="108"/>
      <c r="AB259" s="108"/>
      <c r="AC259" s="105"/>
      <c r="AD259" s="279"/>
      <c r="AE259" s="105"/>
      <c r="AF259" s="279"/>
      <c r="AG259" s="105"/>
      <c r="AH259" s="108"/>
      <c r="AI259" s="108"/>
      <c r="AJ259" s="108"/>
      <c r="AK259" s="108"/>
      <c r="AL259" s="105"/>
      <c r="AM259" s="108"/>
      <c r="AN259" s="105"/>
      <c r="AO259" s="108"/>
      <c r="AP259" s="108"/>
      <c r="AQ259" s="105"/>
      <c r="AR259" s="108"/>
      <c r="AS259" s="108"/>
      <c r="AT259" s="105"/>
      <c r="AU259" s="105"/>
      <c r="AV259" s="105"/>
      <c r="AW259" s="105"/>
      <c r="AX259" s="105"/>
      <c r="AY259" s="105"/>
      <c r="AZ259" s="105"/>
      <c r="BA259" s="105"/>
      <c r="BB259" s="105"/>
      <c r="BC259" s="105"/>
      <c r="BD259" s="108"/>
      <c r="BE259" s="83">
        <f>IF($A259="","",IF(TRIM($D259&amp;"")="",IF(TRIM($AX259&amp;$AY259&amp;$AZ259&amp;$BA259&amp;$BB259&amp;$BC259&amp;$BD259&amp;"")="","","SUBARRENDADO"),IFERROR(IF(VLOOKUP($D259,VEHICULOS!$A$3:$H$202,7,FALSE)="","",VLOOKUP($D259,VEHICULOS!$A$3:$H$202,7,FALSE)),"")))</f>
      </c>
      <c r="BF259" s="82">
        <f>IF($A259="","",IF(TRIM($BC259&amp;"")&lt;&gt;"",$BC259,IF(TRIM($D259&amp;"")="","",IFERROR(IF(VLOOKUP($D259,VEHICULOS!$A$3:$H$202,8,FALSE)="","",VLOOKUP($D259,VEHICULOS!$A$3:$H$202,8,FALSE)),""))))</f>
      </c>
      <c r="BG259" s="106"/>
      <c r="BH259" s="107"/>
      <c r="BI259" s="86">
        <f t="shared" si="45"/>
      </c>
      <c r="BJ259" s="83">
        <f t="shared" si="46"/>
      </c>
      <c r="BK259" s="85">
        <f t="shared" si="47"/>
      </c>
      <c r="BL259" s="85">
        <f t="shared" si="48"/>
      </c>
      <c r="BM259" s="108"/>
      <c r="BN259" s="85">
        <f t="shared" si="49"/>
      </c>
      <c r="BO259" s="108"/>
      <c r="BP259" s="85">
        <f t="shared" si="50"/>
      </c>
      <c r="BQ259" s="85">
        <f t="shared" si="51"/>
      </c>
      <c r="BR259" s="108"/>
      <c r="BS259" s="104"/>
      <c r="BT259" s="87">
        <f t="shared" si="52"/>
      </c>
      <c r="BU259" s="85">
        <f t="shared" si="53"/>
      </c>
      <c r="BV259" s="85">
        <f t="shared" si="54"/>
      </c>
      <c r="BW259" s="87">
        <f t="shared" si="55"/>
      </c>
      <c r="BX259" s="104"/>
      <c r="BY259" s="106"/>
      <c r="BZ259" s="104"/>
      <c r="CA259" s="105"/>
      <c r="CB259" s="77">
        <f>IF($A259="",0,IF($B259='FICHA CLIENTE'!$C$4,1,0))</f>
      </c>
      <c r="CC259" s="77">
        <f t="shared" si="56"/>
      </c>
      <c r="CD259" s="77">
        <f>IF($A259="",0,IF($D259='FICHA VEHICULO'!$C$4,1,0))</f>
      </c>
      <c r="CE259" s="77">
        <f t="shared" si="57"/>
      </c>
      <c r="CF259" s="77">
        <f t="shared" si="58"/>
      </c>
      <c r="CG259" s="77">
        <f t="shared" si="59"/>
      </c>
    </row>
    <row r="260" spans="1:85" ht="19.5" customHeight="1" x14ac:dyDescent="0.2">
      <c r="A260" s="104"/>
      <c r="B260" s="104"/>
      <c r="C260" s="105"/>
      <c r="D260" s="104"/>
      <c r="E260" s="105"/>
      <c r="F260" s="106"/>
      <c r="G260" s="104"/>
      <c r="H260" s="106"/>
      <c r="I260" s="107"/>
      <c r="J260" s="108"/>
      <c r="K260" s="108"/>
      <c r="L260" s="108"/>
      <c r="M260" s="105"/>
      <c r="N260" s="105"/>
      <c r="O260" s="105"/>
      <c r="P260" s="108"/>
      <c r="Q260" s="105"/>
      <c r="R260" s="105"/>
      <c r="S260" s="105"/>
      <c r="T260" s="105"/>
      <c r="U260" s="108"/>
      <c r="V260" s="105"/>
      <c r="W260" s="105"/>
      <c r="X260" s="105"/>
      <c r="Y260" s="105"/>
      <c r="Z260" s="105"/>
      <c r="AA260" s="108"/>
      <c r="AB260" s="108"/>
      <c r="AC260" s="105"/>
      <c r="AD260" s="279"/>
      <c r="AE260" s="105"/>
      <c r="AF260" s="279"/>
      <c r="AG260" s="105"/>
      <c r="AH260" s="108"/>
      <c r="AI260" s="108"/>
      <c r="AJ260" s="108"/>
      <c r="AK260" s="108"/>
      <c r="AL260" s="105"/>
      <c r="AM260" s="108"/>
      <c r="AN260" s="105"/>
      <c r="AO260" s="108"/>
      <c r="AP260" s="108"/>
      <c r="AQ260" s="105"/>
      <c r="AR260" s="108"/>
      <c r="AS260" s="108"/>
      <c r="AT260" s="105"/>
      <c r="AU260" s="105"/>
      <c r="AV260" s="105"/>
      <c r="AW260" s="105"/>
      <c r="AX260" s="105"/>
      <c r="AY260" s="105"/>
      <c r="AZ260" s="105"/>
      <c r="BA260" s="105"/>
      <c r="BB260" s="105"/>
      <c r="BC260" s="105"/>
      <c r="BD260" s="108"/>
      <c r="BE260" s="83">
        <f>IF($A260="","",IF(TRIM($D260&amp;"")="",IF(TRIM($AX260&amp;$AY260&amp;$AZ260&amp;$BA260&amp;$BB260&amp;$BC260&amp;$BD260&amp;"")="","","SUBARRENDADO"),IFERROR(IF(VLOOKUP($D260,VEHICULOS!$A$3:$H$202,7,FALSE)="","",VLOOKUP($D260,VEHICULOS!$A$3:$H$202,7,FALSE)),"")))</f>
      </c>
      <c r="BF260" s="82">
        <f>IF($A260="","",IF(TRIM($BC260&amp;"")&lt;&gt;"",$BC260,IF(TRIM($D260&amp;"")="","",IFERROR(IF(VLOOKUP($D260,VEHICULOS!$A$3:$H$202,8,FALSE)="","",VLOOKUP($D260,VEHICULOS!$A$3:$H$202,8,FALSE)),""))))</f>
      </c>
      <c r="BG260" s="106"/>
      <c r="BH260" s="107"/>
      <c r="BI260" s="86">
        <f t="shared" si="45"/>
      </c>
      <c r="BJ260" s="83">
        <f t="shared" si="46"/>
      </c>
      <c r="BK260" s="85">
        <f t="shared" si="47"/>
      </c>
      <c r="BL260" s="85">
        <f t="shared" si="48"/>
      </c>
      <c r="BM260" s="108"/>
      <c r="BN260" s="85">
        <f t="shared" si="49"/>
      </c>
      <c r="BO260" s="108"/>
      <c r="BP260" s="85">
        <f t="shared" si="50"/>
      </c>
      <c r="BQ260" s="85">
        <f t="shared" si="51"/>
      </c>
      <c r="BR260" s="108"/>
      <c r="BS260" s="104"/>
      <c r="BT260" s="87">
        <f t="shared" si="52"/>
      </c>
      <c r="BU260" s="85">
        <f t="shared" si="53"/>
      </c>
      <c r="BV260" s="85">
        <f t="shared" si="54"/>
      </c>
      <c r="BW260" s="87">
        <f t="shared" si="55"/>
      </c>
      <c r="BX260" s="104"/>
      <c r="BY260" s="106"/>
      <c r="BZ260" s="104"/>
      <c r="CA260" s="105"/>
      <c r="CB260" s="77">
        <f>IF($A260="",0,IF($B260='FICHA CLIENTE'!$C$4,1,0))</f>
      </c>
      <c r="CC260" s="77">
        <f t="shared" si="56"/>
      </c>
      <c r="CD260" s="77">
        <f>IF($A260="",0,IF($D260='FICHA VEHICULO'!$C$4,1,0))</f>
      </c>
      <c r="CE260" s="77">
        <f t="shared" si="57"/>
      </c>
      <c r="CF260" s="77">
        <f t="shared" si="58"/>
      </c>
      <c r="CG260" s="77">
        <f t="shared" si="59"/>
      </c>
    </row>
    <row r="261" spans="1:85" ht="19.5" customHeight="1" x14ac:dyDescent="0.2">
      <c r="A261" s="104"/>
      <c r="B261" s="104"/>
      <c r="C261" s="105"/>
      <c r="D261" s="104"/>
      <c r="E261" s="105"/>
      <c r="F261" s="106"/>
      <c r="G261" s="104"/>
      <c r="H261" s="106"/>
      <c r="I261" s="107"/>
      <c r="J261" s="108"/>
      <c r="K261" s="108"/>
      <c r="L261" s="108"/>
      <c r="M261" s="105"/>
      <c r="N261" s="105"/>
      <c r="O261" s="105"/>
      <c r="P261" s="108"/>
      <c r="Q261" s="105"/>
      <c r="R261" s="105"/>
      <c r="S261" s="105"/>
      <c r="T261" s="105"/>
      <c r="U261" s="108"/>
      <c r="V261" s="105"/>
      <c r="W261" s="105"/>
      <c r="X261" s="105"/>
      <c r="Y261" s="105"/>
      <c r="Z261" s="105"/>
      <c r="AA261" s="108"/>
      <c r="AB261" s="108"/>
      <c r="AC261" s="105"/>
      <c r="AD261" s="279"/>
      <c r="AE261" s="105"/>
      <c r="AF261" s="279"/>
      <c r="AG261" s="105"/>
      <c r="AH261" s="108"/>
      <c r="AI261" s="108"/>
      <c r="AJ261" s="108"/>
      <c r="AK261" s="108"/>
      <c r="AL261" s="105"/>
      <c r="AM261" s="108"/>
      <c r="AN261" s="105"/>
      <c r="AO261" s="108"/>
      <c r="AP261" s="108"/>
      <c r="AQ261" s="105"/>
      <c r="AR261" s="108"/>
      <c r="AS261" s="108"/>
      <c r="AT261" s="105"/>
      <c r="AU261" s="105"/>
      <c r="AV261" s="105"/>
      <c r="AW261" s="105"/>
      <c r="AX261" s="105"/>
      <c r="AY261" s="105"/>
      <c r="AZ261" s="105"/>
      <c r="BA261" s="105"/>
      <c r="BB261" s="105"/>
      <c r="BC261" s="105"/>
      <c r="BD261" s="108"/>
      <c r="BE261" s="83">
        <f>IF($A261="","",IF(TRIM($D261&amp;"")="",IF(TRIM($AX261&amp;$AY261&amp;$AZ261&amp;$BA261&amp;$BB261&amp;$BC261&amp;$BD261&amp;"")="","","SUBARRENDADO"),IFERROR(IF(VLOOKUP($D261,VEHICULOS!$A$3:$H$202,7,FALSE)="","",VLOOKUP($D261,VEHICULOS!$A$3:$H$202,7,FALSE)),"")))</f>
      </c>
      <c r="BF261" s="82">
        <f>IF($A261="","",IF(TRIM($BC261&amp;"")&lt;&gt;"",$BC261,IF(TRIM($D261&amp;"")="","",IFERROR(IF(VLOOKUP($D261,VEHICULOS!$A$3:$H$202,8,FALSE)="","",VLOOKUP($D261,VEHICULOS!$A$3:$H$202,8,FALSE)),""))))</f>
      </c>
      <c r="BG261" s="106"/>
      <c r="BH261" s="107"/>
      <c r="BI261" s="86">
        <f t="shared" si="45"/>
      </c>
      <c r="BJ261" s="83">
        <f t="shared" si="46"/>
      </c>
      <c r="BK261" s="85">
        <f t="shared" si="47"/>
      </c>
      <c r="BL261" s="85">
        <f t="shared" si="48"/>
      </c>
      <c r="BM261" s="108"/>
      <c r="BN261" s="85">
        <f t="shared" si="49"/>
      </c>
      <c r="BO261" s="108"/>
      <c r="BP261" s="85">
        <f t="shared" si="50"/>
      </c>
      <c r="BQ261" s="85">
        <f t="shared" si="51"/>
      </c>
      <c r="BR261" s="108"/>
      <c r="BS261" s="104"/>
      <c r="BT261" s="87">
        <f t="shared" si="52"/>
      </c>
      <c r="BU261" s="85">
        <f t="shared" si="53"/>
      </c>
      <c r="BV261" s="85">
        <f t="shared" si="54"/>
      </c>
      <c r="BW261" s="87">
        <f t="shared" si="55"/>
      </c>
      <c r="BX261" s="104"/>
      <c r="BY261" s="106"/>
      <c r="BZ261" s="104"/>
      <c r="CA261" s="105"/>
      <c r="CB261" s="77">
        <f>IF($A261="",0,IF($B261='FICHA CLIENTE'!$C$4,1,0))</f>
      </c>
      <c r="CC261" s="77">
        <f t="shared" si="56"/>
      </c>
      <c r="CD261" s="77">
        <f>IF($A261="",0,IF($D261='FICHA VEHICULO'!$C$4,1,0))</f>
      </c>
      <c r="CE261" s="77">
        <f t="shared" si="57"/>
      </c>
      <c r="CF261" s="77">
        <f t="shared" si="58"/>
      </c>
      <c r="CG261" s="77">
        <f t="shared" si="59"/>
      </c>
    </row>
    <row r="262" spans="1:85" ht="19.5" customHeight="1" x14ac:dyDescent="0.2">
      <c r="A262" s="104"/>
      <c r="B262" s="104"/>
      <c r="C262" s="105"/>
      <c r="D262" s="104"/>
      <c r="E262" s="105"/>
      <c r="F262" s="106"/>
      <c r="G262" s="104"/>
      <c r="H262" s="106"/>
      <c r="I262" s="107"/>
      <c r="J262" s="108"/>
      <c r="K262" s="108"/>
      <c r="L262" s="108"/>
      <c r="M262" s="105"/>
      <c r="N262" s="105"/>
      <c r="O262" s="105"/>
      <c r="P262" s="108"/>
      <c r="Q262" s="105"/>
      <c r="R262" s="105"/>
      <c r="S262" s="105"/>
      <c r="T262" s="105"/>
      <c r="U262" s="108"/>
      <c r="V262" s="105"/>
      <c r="W262" s="105"/>
      <c r="X262" s="105"/>
      <c r="Y262" s="105"/>
      <c r="Z262" s="105"/>
      <c r="AA262" s="108"/>
      <c r="AB262" s="108"/>
      <c r="AC262" s="105"/>
      <c r="AD262" s="279"/>
      <c r="AE262" s="105"/>
      <c r="AF262" s="279"/>
      <c r="AG262" s="105"/>
      <c r="AH262" s="108"/>
      <c r="AI262" s="108"/>
      <c r="AJ262" s="108"/>
      <c r="AK262" s="108"/>
      <c r="AL262" s="105"/>
      <c r="AM262" s="108"/>
      <c r="AN262" s="105"/>
      <c r="AO262" s="108"/>
      <c r="AP262" s="108"/>
      <c r="AQ262" s="105"/>
      <c r="AR262" s="108"/>
      <c r="AS262" s="108"/>
      <c r="AT262" s="105"/>
      <c r="AU262" s="105"/>
      <c r="AV262" s="105"/>
      <c r="AW262" s="105"/>
      <c r="AX262" s="105"/>
      <c r="AY262" s="105"/>
      <c r="AZ262" s="105"/>
      <c r="BA262" s="105"/>
      <c r="BB262" s="105"/>
      <c r="BC262" s="105"/>
      <c r="BD262" s="108"/>
      <c r="BE262" s="83">
        <f>IF($A262="","",IF(TRIM($D262&amp;"")="",IF(TRIM($AX262&amp;$AY262&amp;$AZ262&amp;$BA262&amp;$BB262&amp;$BC262&amp;$BD262&amp;"")="","","SUBARRENDADO"),IFERROR(IF(VLOOKUP($D262,VEHICULOS!$A$3:$H$202,7,FALSE)="","",VLOOKUP($D262,VEHICULOS!$A$3:$H$202,7,FALSE)),"")))</f>
      </c>
      <c r="BF262" s="82">
        <f>IF($A262="","",IF(TRIM($BC262&amp;"")&lt;&gt;"",$BC262,IF(TRIM($D262&amp;"")="","",IFERROR(IF(VLOOKUP($D262,VEHICULOS!$A$3:$H$202,8,FALSE)="","",VLOOKUP($D262,VEHICULOS!$A$3:$H$202,8,FALSE)),""))))</f>
      </c>
      <c r="BG262" s="106"/>
      <c r="BH262" s="107"/>
      <c r="BI262" s="86">
        <f t="shared" ref="BI262:BI325" si="60">IF(OR($BH262="",$I262=""),"",$BH262-$I262)</f>
      </c>
      <c r="BJ262" s="83">
        <f t="shared" ref="BJ262:BJ325" si="61">IF(OR($BG262="",$H262=""),"",MAX(0,$BG262-$H262))</f>
      </c>
      <c r="BK262" s="85">
        <f t="shared" ref="BK262:BK325" si="62">IF($A262="","",N($BJ262)*N($J262))</f>
      </c>
      <c r="BL262" s="85">
        <f t="shared" ref="BL262:BL325" si="63">IF($A262="","",(N($AM262)+N($AS262))*(N($G262)+N($BJ262))+N($AP262))</f>
      </c>
      <c r="BM262" s="108"/>
      <c r="BN262" s="85">
        <f t="shared" ref="BN262:BN325" si="64">IF($A262="","",N($AO262))</f>
      </c>
      <c r="BO262" s="108"/>
      <c r="BP262" s="85">
        <f t="shared" ref="BP262:BP325" si="65">IF($A262="","",N($AR262))</f>
      </c>
      <c r="BQ262" s="85">
        <f t="shared" ref="BQ262:BQ325" si="66">IF($A262="","",N($K262)+N($BK262)+N($BL262)+N($BM262)+N($BN262)+N($BO262)+N($BP262))</f>
      </c>
      <c r="BR262" s="108"/>
      <c r="BS262" s="104"/>
      <c r="BT262" s="87">
        <f t="shared" ref="BT262:BT325" si="67">IF($A262="","",ROUND((N($BQ262)-N($BR262))*(1+N($BS262)/100),2))</f>
      </c>
      <c r="BU262" s="85">
        <f t="shared" ref="BU262:BU325" si="68">IF($A262="","",N($BD262))</f>
      </c>
      <c r="BV262" s="85">
        <f t="shared" ref="BV262:BV325" si="69">IF($A262="","",N($BU262)*(N($G262)+N($BJ262)))</f>
      </c>
      <c r="BW262" s="87">
        <f t="shared" ref="BW262:BW325" si="70">IF($A262="","",N($BT262)-N($BV262))</f>
      </c>
      <c r="BX262" s="104"/>
      <c r="BY262" s="106"/>
      <c r="BZ262" s="104"/>
      <c r="CA262" s="105"/>
      <c r="CB262" s="77">
        <f>IF($A262="",0,IF($B262='FICHA CLIENTE'!$C$4,1,0))</f>
      </c>
      <c r="CC262" s="77">
        <f t="shared" ref="CC262:CC325" si="71">$CC261+$CB262</f>
      </c>
      <c r="CD262" s="77">
        <f>IF($A262="",0,IF($D262='FICHA VEHICULO'!$C$4,1,0))</f>
      </c>
      <c r="CE262" s="77">
        <f t="shared" ref="CE262:CE325" si="72">$CE261+$CD262</f>
      </c>
      <c r="CF262" s="77">
        <f t="shared" ref="CF262:CF325" si="73">IF($A262="",0,IF($BG262="",1,0))</f>
      </c>
      <c r="CG262" s="77">
        <f t="shared" ref="CG262:CG325" si="74">$CG261+$CF262</f>
      </c>
    </row>
    <row r="263" spans="1:85" ht="19.5" customHeight="1" x14ac:dyDescent="0.2">
      <c r="A263" s="104"/>
      <c r="B263" s="104"/>
      <c r="C263" s="105"/>
      <c r="D263" s="104"/>
      <c r="E263" s="105"/>
      <c r="F263" s="106"/>
      <c r="G263" s="104"/>
      <c r="H263" s="106"/>
      <c r="I263" s="107"/>
      <c r="J263" s="108"/>
      <c r="K263" s="108"/>
      <c r="L263" s="108"/>
      <c r="M263" s="105"/>
      <c r="N263" s="105"/>
      <c r="O263" s="105"/>
      <c r="P263" s="108"/>
      <c r="Q263" s="105"/>
      <c r="R263" s="105"/>
      <c r="S263" s="105"/>
      <c r="T263" s="105"/>
      <c r="U263" s="108"/>
      <c r="V263" s="105"/>
      <c r="W263" s="105"/>
      <c r="X263" s="105"/>
      <c r="Y263" s="105"/>
      <c r="Z263" s="105"/>
      <c r="AA263" s="108"/>
      <c r="AB263" s="108"/>
      <c r="AC263" s="105"/>
      <c r="AD263" s="279"/>
      <c r="AE263" s="105"/>
      <c r="AF263" s="279"/>
      <c r="AG263" s="105"/>
      <c r="AH263" s="108"/>
      <c r="AI263" s="108"/>
      <c r="AJ263" s="108"/>
      <c r="AK263" s="108"/>
      <c r="AL263" s="105"/>
      <c r="AM263" s="108"/>
      <c r="AN263" s="105"/>
      <c r="AO263" s="108"/>
      <c r="AP263" s="108"/>
      <c r="AQ263" s="105"/>
      <c r="AR263" s="108"/>
      <c r="AS263" s="108"/>
      <c r="AT263" s="105"/>
      <c r="AU263" s="105"/>
      <c r="AV263" s="105"/>
      <c r="AW263" s="105"/>
      <c r="AX263" s="105"/>
      <c r="AY263" s="105"/>
      <c r="AZ263" s="105"/>
      <c r="BA263" s="105"/>
      <c r="BB263" s="105"/>
      <c r="BC263" s="105"/>
      <c r="BD263" s="108"/>
      <c r="BE263" s="83">
        <f>IF($A263="","",IF(TRIM($D263&amp;"")="",IF(TRIM($AX263&amp;$AY263&amp;$AZ263&amp;$BA263&amp;$BB263&amp;$BC263&amp;$BD263&amp;"")="","","SUBARRENDADO"),IFERROR(IF(VLOOKUP($D263,VEHICULOS!$A$3:$H$202,7,FALSE)="","",VLOOKUP($D263,VEHICULOS!$A$3:$H$202,7,FALSE)),"")))</f>
      </c>
      <c r="BF263" s="82">
        <f>IF($A263="","",IF(TRIM($BC263&amp;"")&lt;&gt;"",$BC263,IF(TRIM($D263&amp;"")="","",IFERROR(IF(VLOOKUP($D263,VEHICULOS!$A$3:$H$202,8,FALSE)="","",VLOOKUP($D263,VEHICULOS!$A$3:$H$202,8,FALSE)),""))))</f>
      </c>
      <c r="BG263" s="106"/>
      <c r="BH263" s="107"/>
      <c r="BI263" s="86">
        <f t="shared" si="60"/>
      </c>
      <c r="BJ263" s="83">
        <f t="shared" si="61"/>
      </c>
      <c r="BK263" s="85">
        <f t="shared" si="62"/>
      </c>
      <c r="BL263" s="85">
        <f t="shared" si="63"/>
      </c>
      <c r="BM263" s="108"/>
      <c r="BN263" s="85">
        <f t="shared" si="64"/>
      </c>
      <c r="BO263" s="108"/>
      <c r="BP263" s="85">
        <f t="shared" si="65"/>
      </c>
      <c r="BQ263" s="85">
        <f t="shared" si="66"/>
      </c>
      <c r="BR263" s="108"/>
      <c r="BS263" s="104"/>
      <c r="BT263" s="87">
        <f t="shared" si="67"/>
      </c>
      <c r="BU263" s="85">
        <f t="shared" si="68"/>
      </c>
      <c r="BV263" s="85">
        <f t="shared" si="69"/>
      </c>
      <c r="BW263" s="87">
        <f t="shared" si="70"/>
      </c>
      <c r="BX263" s="104"/>
      <c r="BY263" s="106"/>
      <c r="BZ263" s="104"/>
      <c r="CA263" s="105"/>
      <c r="CB263" s="77">
        <f>IF($A263="",0,IF($B263='FICHA CLIENTE'!$C$4,1,0))</f>
      </c>
      <c r="CC263" s="77">
        <f t="shared" si="71"/>
      </c>
      <c r="CD263" s="77">
        <f>IF($A263="",0,IF($D263='FICHA VEHICULO'!$C$4,1,0))</f>
      </c>
      <c r="CE263" s="77">
        <f t="shared" si="72"/>
      </c>
      <c r="CF263" s="77">
        <f t="shared" si="73"/>
      </c>
      <c r="CG263" s="77">
        <f t="shared" si="74"/>
      </c>
    </row>
    <row r="264" spans="1:85" ht="19.5" customHeight="1" x14ac:dyDescent="0.2">
      <c r="A264" s="104"/>
      <c r="B264" s="104"/>
      <c r="C264" s="105"/>
      <c r="D264" s="104"/>
      <c r="E264" s="105"/>
      <c r="F264" s="106"/>
      <c r="G264" s="104"/>
      <c r="H264" s="106"/>
      <c r="I264" s="107"/>
      <c r="J264" s="108"/>
      <c r="K264" s="108"/>
      <c r="L264" s="108"/>
      <c r="M264" s="105"/>
      <c r="N264" s="105"/>
      <c r="O264" s="105"/>
      <c r="P264" s="108"/>
      <c r="Q264" s="105"/>
      <c r="R264" s="105"/>
      <c r="S264" s="105"/>
      <c r="T264" s="105"/>
      <c r="U264" s="108"/>
      <c r="V264" s="105"/>
      <c r="W264" s="105"/>
      <c r="X264" s="105"/>
      <c r="Y264" s="105"/>
      <c r="Z264" s="105"/>
      <c r="AA264" s="108"/>
      <c r="AB264" s="108"/>
      <c r="AC264" s="105"/>
      <c r="AD264" s="279"/>
      <c r="AE264" s="105"/>
      <c r="AF264" s="279"/>
      <c r="AG264" s="105"/>
      <c r="AH264" s="108"/>
      <c r="AI264" s="108"/>
      <c r="AJ264" s="108"/>
      <c r="AK264" s="108"/>
      <c r="AL264" s="105"/>
      <c r="AM264" s="108"/>
      <c r="AN264" s="105"/>
      <c r="AO264" s="108"/>
      <c r="AP264" s="108"/>
      <c r="AQ264" s="105"/>
      <c r="AR264" s="108"/>
      <c r="AS264" s="108"/>
      <c r="AT264" s="105"/>
      <c r="AU264" s="105"/>
      <c r="AV264" s="105"/>
      <c r="AW264" s="105"/>
      <c r="AX264" s="105"/>
      <c r="AY264" s="105"/>
      <c r="AZ264" s="105"/>
      <c r="BA264" s="105"/>
      <c r="BB264" s="105"/>
      <c r="BC264" s="105"/>
      <c r="BD264" s="108"/>
      <c r="BE264" s="83">
        <f>IF($A264="","",IF(TRIM($D264&amp;"")="",IF(TRIM($AX264&amp;$AY264&amp;$AZ264&amp;$BA264&amp;$BB264&amp;$BC264&amp;$BD264&amp;"")="","","SUBARRENDADO"),IFERROR(IF(VLOOKUP($D264,VEHICULOS!$A$3:$H$202,7,FALSE)="","",VLOOKUP($D264,VEHICULOS!$A$3:$H$202,7,FALSE)),"")))</f>
      </c>
      <c r="BF264" s="82">
        <f>IF($A264="","",IF(TRIM($BC264&amp;"")&lt;&gt;"",$BC264,IF(TRIM($D264&amp;"")="","",IFERROR(IF(VLOOKUP($D264,VEHICULOS!$A$3:$H$202,8,FALSE)="","",VLOOKUP($D264,VEHICULOS!$A$3:$H$202,8,FALSE)),""))))</f>
      </c>
      <c r="BG264" s="106"/>
      <c r="BH264" s="107"/>
      <c r="BI264" s="86">
        <f t="shared" si="60"/>
      </c>
      <c r="BJ264" s="83">
        <f t="shared" si="61"/>
      </c>
      <c r="BK264" s="85">
        <f t="shared" si="62"/>
      </c>
      <c r="BL264" s="85">
        <f t="shared" si="63"/>
      </c>
      <c r="BM264" s="108"/>
      <c r="BN264" s="85">
        <f t="shared" si="64"/>
      </c>
      <c r="BO264" s="108"/>
      <c r="BP264" s="85">
        <f t="shared" si="65"/>
      </c>
      <c r="BQ264" s="85">
        <f t="shared" si="66"/>
      </c>
      <c r="BR264" s="108"/>
      <c r="BS264" s="104"/>
      <c r="BT264" s="87">
        <f t="shared" si="67"/>
      </c>
      <c r="BU264" s="85">
        <f t="shared" si="68"/>
      </c>
      <c r="BV264" s="85">
        <f t="shared" si="69"/>
      </c>
      <c r="BW264" s="87">
        <f t="shared" si="70"/>
      </c>
      <c r="BX264" s="104"/>
      <c r="BY264" s="106"/>
      <c r="BZ264" s="104"/>
      <c r="CA264" s="105"/>
      <c r="CB264" s="77">
        <f>IF($A264="",0,IF($B264='FICHA CLIENTE'!$C$4,1,0))</f>
      </c>
      <c r="CC264" s="77">
        <f t="shared" si="71"/>
      </c>
      <c r="CD264" s="77">
        <f>IF($A264="",0,IF($D264='FICHA VEHICULO'!$C$4,1,0))</f>
      </c>
      <c r="CE264" s="77">
        <f t="shared" si="72"/>
      </c>
      <c r="CF264" s="77">
        <f t="shared" si="73"/>
      </c>
      <c r="CG264" s="77">
        <f t="shared" si="74"/>
      </c>
    </row>
    <row r="265" spans="1:85" ht="19.5" customHeight="1" x14ac:dyDescent="0.2">
      <c r="A265" s="104"/>
      <c r="B265" s="104"/>
      <c r="C265" s="105"/>
      <c r="D265" s="104"/>
      <c r="E265" s="105"/>
      <c r="F265" s="106"/>
      <c r="G265" s="104"/>
      <c r="H265" s="106"/>
      <c r="I265" s="107"/>
      <c r="J265" s="108"/>
      <c r="K265" s="108"/>
      <c r="L265" s="108"/>
      <c r="M265" s="105"/>
      <c r="N265" s="105"/>
      <c r="O265" s="105"/>
      <c r="P265" s="108"/>
      <c r="Q265" s="105"/>
      <c r="R265" s="105"/>
      <c r="S265" s="105"/>
      <c r="T265" s="105"/>
      <c r="U265" s="108"/>
      <c r="V265" s="105"/>
      <c r="W265" s="105"/>
      <c r="X265" s="105"/>
      <c r="Y265" s="105"/>
      <c r="Z265" s="105"/>
      <c r="AA265" s="108"/>
      <c r="AB265" s="108"/>
      <c r="AC265" s="105"/>
      <c r="AD265" s="279"/>
      <c r="AE265" s="105"/>
      <c r="AF265" s="279"/>
      <c r="AG265" s="105"/>
      <c r="AH265" s="108"/>
      <c r="AI265" s="108"/>
      <c r="AJ265" s="108"/>
      <c r="AK265" s="108"/>
      <c r="AL265" s="105"/>
      <c r="AM265" s="108"/>
      <c r="AN265" s="105"/>
      <c r="AO265" s="108"/>
      <c r="AP265" s="108"/>
      <c r="AQ265" s="105"/>
      <c r="AR265" s="108"/>
      <c r="AS265" s="108"/>
      <c r="AT265" s="105"/>
      <c r="AU265" s="105"/>
      <c r="AV265" s="105"/>
      <c r="AW265" s="105"/>
      <c r="AX265" s="105"/>
      <c r="AY265" s="105"/>
      <c r="AZ265" s="105"/>
      <c r="BA265" s="105"/>
      <c r="BB265" s="105"/>
      <c r="BC265" s="105"/>
      <c r="BD265" s="108"/>
      <c r="BE265" s="83">
        <f>IF($A265="","",IF(TRIM($D265&amp;"")="",IF(TRIM($AX265&amp;$AY265&amp;$AZ265&amp;$BA265&amp;$BB265&amp;$BC265&amp;$BD265&amp;"")="","","SUBARRENDADO"),IFERROR(IF(VLOOKUP($D265,VEHICULOS!$A$3:$H$202,7,FALSE)="","",VLOOKUP($D265,VEHICULOS!$A$3:$H$202,7,FALSE)),"")))</f>
      </c>
      <c r="BF265" s="82">
        <f>IF($A265="","",IF(TRIM($BC265&amp;"")&lt;&gt;"",$BC265,IF(TRIM($D265&amp;"")="","",IFERROR(IF(VLOOKUP($D265,VEHICULOS!$A$3:$H$202,8,FALSE)="","",VLOOKUP($D265,VEHICULOS!$A$3:$H$202,8,FALSE)),""))))</f>
      </c>
      <c r="BG265" s="106"/>
      <c r="BH265" s="107"/>
      <c r="BI265" s="86">
        <f t="shared" si="60"/>
      </c>
      <c r="BJ265" s="83">
        <f t="shared" si="61"/>
      </c>
      <c r="BK265" s="85">
        <f t="shared" si="62"/>
      </c>
      <c r="BL265" s="85">
        <f t="shared" si="63"/>
      </c>
      <c r="BM265" s="108"/>
      <c r="BN265" s="85">
        <f t="shared" si="64"/>
      </c>
      <c r="BO265" s="108"/>
      <c r="BP265" s="85">
        <f t="shared" si="65"/>
      </c>
      <c r="BQ265" s="85">
        <f t="shared" si="66"/>
      </c>
      <c r="BR265" s="108"/>
      <c r="BS265" s="104"/>
      <c r="BT265" s="87">
        <f t="shared" si="67"/>
      </c>
      <c r="BU265" s="85">
        <f t="shared" si="68"/>
      </c>
      <c r="BV265" s="85">
        <f t="shared" si="69"/>
      </c>
      <c r="BW265" s="87">
        <f t="shared" si="70"/>
      </c>
      <c r="BX265" s="104"/>
      <c r="BY265" s="106"/>
      <c r="BZ265" s="104"/>
      <c r="CA265" s="105"/>
      <c r="CB265" s="77">
        <f>IF($A265="",0,IF($B265='FICHA CLIENTE'!$C$4,1,0))</f>
      </c>
      <c r="CC265" s="77">
        <f t="shared" si="71"/>
      </c>
      <c r="CD265" s="77">
        <f>IF($A265="",0,IF($D265='FICHA VEHICULO'!$C$4,1,0))</f>
      </c>
      <c r="CE265" s="77">
        <f t="shared" si="72"/>
      </c>
      <c r="CF265" s="77">
        <f t="shared" si="73"/>
      </c>
      <c r="CG265" s="77">
        <f t="shared" si="74"/>
      </c>
    </row>
    <row r="266" spans="1:85" ht="19.5" customHeight="1" x14ac:dyDescent="0.2">
      <c r="A266" s="104"/>
      <c r="B266" s="104"/>
      <c r="C266" s="105"/>
      <c r="D266" s="104"/>
      <c r="E266" s="105"/>
      <c r="F266" s="106"/>
      <c r="G266" s="104"/>
      <c r="H266" s="106"/>
      <c r="I266" s="107"/>
      <c r="J266" s="108"/>
      <c r="K266" s="108"/>
      <c r="L266" s="108"/>
      <c r="M266" s="105"/>
      <c r="N266" s="105"/>
      <c r="O266" s="105"/>
      <c r="P266" s="108"/>
      <c r="Q266" s="105"/>
      <c r="R266" s="105"/>
      <c r="S266" s="105"/>
      <c r="T266" s="105"/>
      <c r="U266" s="108"/>
      <c r="V266" s="105"/>
      <c r="W266" s="105"/>
      <c r="X266" s="105"/>
      <c r="Y266" s="105"/>
      <c r="Z266" s="105"/>
      <c r="AA266" s="108"/>
      <c r="AB266" s="108"/>
      <c r="AC266" s="105"/>
      <c r="AD266" s="279"/>
      <c r="AE266" s="105"/>
      <c r="AF266" s="279"/>
      <c r="AG266" s="105"/>
      <c r="AH266" s="108"/>
      <c r="AI266" s="108"/>
      <c r="AJ266" s="108"/>
      <c r="AK266" s="108"/>
      <c r="AL266" s="105"/>
      <c r="AM266" s="108"/>
      <c r="AN266" s="105"/>
      <c r="AO266" s="108"/>
      <c r="AP266" s="108"/>
      <c r="AQ266" s="105"/>
      <c r="AR266" s="108"/>
      <c r="AS266" s="108"/>
      <c r="AT266" s="105"/>
      <c r="AU266" s="105"/>
      <c r="AV266" s="105"/>
      <c r="AW266" s="105"/>
      <c r="AX266" s="105"/>
      <c r="AY266" s="105"/>
      <c r="AZ266" s="105"/>
      <c r="BA266" s="105"/>
      <c r="BB266" s="105"/>
      <c r="BC266" s="105"/>
      <c r="BD266" s="108"/>
      <c r="BE266" s="83">
        <f>IF($A266="","",IF(TRIM($D266&amp;"")="",IF(TRIM($AX266&amp;$AY266&amp;$AZ266&amp;$BA266&amp;$BB266&amp;$BC266&amp;$BD266&amp;"")="","","SUBARRENDADO"),IFERROR(IF(VLOOKUP($D266,VEHICULOS!$A$3:$H$202,7,FALSE)="","",VLOOKUP($D266,VEHICULOS!$A$3:$H$202,7,FALSE)),"")))</f>
      </c>
      <c r="BF266" s="82">
        <f>IF($A266="","",IF(TRIM($BC266&amp;"")&lt;&gt;"",$BC266,IF(TRIM($D266&amp;"")="","",IFERROR(IF(VLOOKUP($D266,VEHICULOS!$A$3:$H$202,8,FALSE)="","",VLOOKUP($D266,VEHICULOS!$A$3:$H$202,8,FALSE)),""))))</f>
      </c>
      <c r="BG266" s="106"/>
      <c r="BH266" s="107"/>
      <c r="BI266" s="86">
        <f t="shared" si="60"/>
      </c>
      <c r="BJ266" s="83">
        <f t="shared" si="61"/>
      </c>
      <c r="BK266" s="85">
        <f t="shared" si="62"/>
      </c>
      <c r="BL266" s="85">
        <f t="shared" si="63"/>
      </c>
      <c r="BM266" s="108"/>
      <c r="BN266" s="85">
        <f t="shared" si="64"/>
      </c>
      <c r="BO266" s="108"/>
      <c r="BP266" s="85">
        <f t="shared" si="65"/>
      </c>
      <c r="BQ266" s="85">
        <f t="shared" si="66"/>
      </c>
      <c r="BR266" s="108"/>
      <c r="BS266" s="104"/>
      <c r="BT266" s="87">
        <f t="shared" si="67"/>
      </c>
      <c r="BU266" s="85">
        <f t="shared" si="68"/>
      </c>
      <c r="BV266" s="85">
        <f t="shared" si="69"/>
      </c>
      <c r="BW266" s="87">
        <f t="shared" si="70"/>
      </c>
      <c r="BX266" s="104"/>
      <c r="BY266" s="106"/>
      <c r="BZ266" s="104"/>
      <c r="CA266" s="105"/>
      <c r="CB266" s="77">
        <f>IF($A266="",0,IF($B266='FICHA CLIENTE'!$C$4,1,0))</f>
      </c>
      <c r="CC266" s="77">
        <f t="shared" si="71"/>
      </c>
      <c r="CD266" s="77">
        <f>IF($A266="",0,IF($D266='FICHA VEHICULO'!$C$4,1,0))</f>
      </c>
      <c r="CE266" s="77">
        <f t="shared" si="72"/>
      </c>
      <c r="CF266" s="77">
        <f t="shared" si="73"/>
      </c>
      <c r="CG266" s="77">
        <f t="shared" si="74"/>
      </c>
    </row>
    <row r="267" spans="1:85" ht="19.5" customHeight="1" x14ac:dyDescent="0.2">
      <c r="A267" s="104"/>
      <c r="B267" s="104"/>
      <c r="C267" s="105"/>
      <c r="D267" s="104"/>
      <c r="E267" s="105"/>
      <c r="F267" s="106"/>
      <c r="G267" s="104"/>
      <c r="H267" s="106"/>
      <c r="I267" s="107"/>
      <c r="J267" s="108"/>
      <c r="K267" s="108"/>
      <c r="L267" s="108"/>
      <c r="M267" s="105"/>
      <c r="N267" s="105"/>
      <c r="O267" s="105"/>
      <c r="P267" s="108"/>
      <c r="Q267" s="105"/>
      <c r="R267" s="105"/>
      <c r="S267" s="105"/>
      <c r="T267" s="105"/>
      <c r="U267" s="108"/>
      <c r="V267" s="105"/>
      <c r="W267" s="105"/>
      <c r="X267" s="105"/>
      <c r="Y267" s="105"/>
      <c r="Z267" s="105"/>
      <c r="AA267" s="108"/>
      <c r="AB267" s="108"/>
      <c r="AC267" s="105"/>
      <c r="AD267" s="279"/>
      <c r="AE267" s="105"/>
      <c r="AF267" s="279"/>
      <c r="AG267" s="105"/>
      <c r="AH267" s="108"/>
      <c r="AI267" s="108"/>
      <c r="AJ267" s="108"/>
      <c r="AK267" s="108"/>
      <c r="AL267" s="105"/>
      <c r="AM267" s="108"/>
      <c r="AN267" s="105"/>
      <c r="AO267" s="108"/>
      <c r="AP267" s="108"/>
      <c r="AQ267" s="105"/>
      <c r="AR267" s="108"/>
      <c r="AS267" s="108"/>
      <c r="AT267" s="105"/>
      <c r="AU267" s="105"/>
      <c r="AV267" s="105"/>
      <c r="AW267" s="105"/>
      <c r="AX267" s="105"/>
      <c r="AY267" s="105"/>
      <c r="AZ267" s="105"/>
      <c r="BA267" s="105"/>
      <c r="BB267" s="105"/>
      <c r="BC267" s="105"/>
      <c r="BD267" s="108"/>
      <c r="BE267" s="83">
        <f>IF($A267="","",IF(TRIM($D267&amp;"")="",IF(TRIM($AX267&amp;$AY267&amp;$AZ267&amp;$BA267&amp;$BB267&amp;$BC267&amp;$BD267&amp;"")="","","SUBARRENDADO"),IFERROR(IF(VLOOKUP($D267,VEHICULOS!$A$3:$H$202,7,FALSE)="","",VLOOKUP($D267,VEHICULOS!$A$3:$H$202,7,FALSE)),"")))</f>
      </c>
      <c r="BF267" s="82">
        <f>IF($A267="","",IF(TRIM($BC267&amp;"")&lt;&gt;"",$BC267,IF(TRIM($D267&amp;"")="","",IFERROR(IF(VLOOKUP($D267,VEHICULOS!$A$3:$H$202,8,FALSE)="","",VLOOKUP($D267,VEHICULOS!$A$3:$H$202,8,FALSE)),""))))</f>
      </c>
      <c r="BG267" s="106"/>
      <c r="BH267" s="107"/>
      <c r="BI267" s="86">
        <f t="shared" si="60"/>
      </c>
      <c r="BJ267" s="83">
        <f t="shared" si="61"/>
      </c>
      <c r="BK267" s="85">
        <f t="shared" si="62"/>
      </c>
      <c r="BL267" s="85">
        <f t="shared" si="63"/>
      </c>
      <c r="BM267" s="108"/>
      <c r="BN267" s="85">
        <f t="shared" si="64"/>
      </c>
      <c r="BO267" s="108"/>
      <c r="BP267" s="85">
        <f t="shared" si="65"/>
      </c>
      <c r="BQ267" s="85">
        <f t="shared" si="66"/>
      </c>
      <c r="BR267" s="108"/>
      <c r="BS267" s="104"/>
      <c r="BT267" s="87">
        <f t="shared" si="67"/>
      </c>
      <c r="BU267" s="85">
        <f t="shared" si="68"/>
      </c>
      <c r="BV267" s="85">
        <f t="shared" si="69"/>
      </c>
      <c r="BW267" s="87">
        <f t="shared" si="70"/>
      </c>
      <c r="BX267" s="104"/>
      <c r="BY267" s="106"/>
      <c r="BZ267" s="104"/>
      <c r="CA267" s="105"/>
      <c r="CB267" s="77">
        <f>IF($A267="",0,IF($B267='FICHA CLIENTE'!$C$4,1,0))</f>
      </c>
      <c r="CC267" s="77">
        <f t="shared" si="71"/>
      </c>
      <c r="CD267" s="77">
        <f>IF($A267="",0,IF($D267='FICHA VEHICULO'!$C$4,1,0))</f>
      </c>
      <c r="CE267" s="77">
        <f t="shared" si="72"/>
      </c>
      <c r="CF267" s="77">
        <f t="shared" si="73"/>
      </c>
      <c r="CG267" s="77">
        <f t="shared" si="74"/>
      </c>
    </row>
    <row r="268" spans="1:85" ht="19.5" customHeight="1" x14ac:dyDescent="0.2">
      <c r="A268" s="104"/>
      <c r="B268" s="104"/>
      <c r="C268" s="105"/>
      <c r="D268" s="104"/>
      <c r="E268" s="105"/>
      <c r="F268" s="106"/>
      <c r="G268" s="104"/>
      <c r="H268" s="106"/>
      <c r="I268" s="107"/>
      <c r="J268" s="108"/>
      <c r="K268" s="108"/>
      <c r="L268" s="108"/>
      <c r="M268" s="105"/>
      <c r="N268" s="105"/>
      <c r="O268" s="105"/>
      <c r="P268" s="108"/>
      <c r="Q268" s="105"/>
      <c r="R268" s="105"/>
      <c r="S268" s="105"/>
      <c r="T268" s="105"/>
      <c r="U268" s="108"/>
      <c r="V268" s="105"/>
      <c r="W268" s="105"/>
      <c r="X268" s="105"/>
      <c r="Y268" s="105"/>
      <c r="Z268" s="105"/>
      <c r="AA268" s="108"/>
      <c r="AB268" s="108"/>
      <c r="AC268" s="105"/>
      <c r="AD268" s="279"/>
      <c r="AE268" s="105"/>
      <c r="AF268" s="279"/>
      <c r="AG268" s="105"/>
      <c r="AH268" s="108"/>
      <c r="AI268" s="108"/>
      <c r="AJ268" s="108"/>
      <c r="AK268" s="108"/>
      <c r="AL268" s="105"/>
      <c r="AM268" s="108"/>
      <c r="AN268" s="105"/>
      <c r="AO268" s="108"/>
      <c r="AP268" s="108"/>
      <c r="AQ268" s="105"/>
      <c r="AR268" s="108"/>
      <c r="AS268" s="108"/>
      <c r="AT268" s="105"/>
      <c r="AU268" s="105"/>
      <c r="AV268" s="105"/>
      <c r="AW268" s="105"/>
      <c r="AX268" s="105"/>
      <c r="AY268" s="105"/>
      <c r="AZ268" s="105"/>
      <c r="BA268" s="105"/>
      <c r="BB268" s="105"/>
      <c r="BC268" s="105"/>
      <c r="BD268" s="108"/>
      <c r="BE268" s="83">
        <f>IF($A268="","",IF(TRIM($D268&amp;"")="",IF(TRIM($AX268&amp;$AY268&amp;$AZ268&amp;$BA268&amp;$BB268&amp;$BC268&amp;$BD268&amp;"")="","","SUBARRENDADO"),IFERROR(IF(VLOOKUP($D268,VEHICULOS!$A$3:$H$202,7,FALSE)="","",VLOOKUP($D268,VEHICULOS!$A$3:$H$202,7,FALSE)),"")))</f>
      </c>
      <c r="BF268" s="82">
        <f>IF($A268="","",IF(TRIM($BC268&amp;"")&lt;&gt;"",$BC268,IF(TRIM($D268&amp;"")="","",IFERROR(IF(VLOOKUP($D268,VEHICULOS!$A$3:$H$202,8,FALSE)="","",VLOOKUP($D268,VEHICULOS!$A$3:$H$202,8,FALSE)),""))))</f>
      </c>
      <c r="BG268" s="106"/>
      <c r="BH268" s="107"/>
      <c r="BI268" s="86">
        <f t="shared" si="60"/>
      </c>
      <c r="BJ268" s="83">
        <f t="shared" si="61"/>
      </c>
      <c r="BK268" s="85">
        <f t="shared" si="62"/>
      </c>
      <c r="BL268" s="85">
        <f t="shared" si="63"/>
      </c>
      <c r="BM268" s="108"/>
      <c r="BN268" s="85">
        <f t="shared" si="64"/>
      </c>
      <c r="BO268" s="108"/>
      <c r="BP268" s="85">
        <f t="shared" si="65"/>
      </c>
      <c r="BQ268" s="85">
        <f t="shared" si="66"/>
      </c>
      <c r="BR268" s="108"/>
      <c r="BS268" s="104"/>
      <c r="BT268" s="87">
        <f t="shared" si="67"/>
      </c>
      <c r="BU268" s="85">
        <f t="shared" si="68"/>
      </c>
      <c r="BV268" s="85">
        <f t="shared" si="69"/>
      </c>
      <c r="BW268" s="87">
        <f t="shared" si="70"/>
      </c>
      <c r="BX268" s="104"/>
      <c r="BY268" s="106"/>
      <c r="BZ268" s="104"/>
      <c r="CA268" s="105"/>
      <c r="CB268" s="77">
        <f>IF($A268="",0,IF($B268='FICHA CLIENTE'!$C$4,1,0))</f>
      </c>
      <c r="CC268" s="77">
        <f t="shared" si="71"/>
      </c>
      <c r="CD268" s="77">
        <f>IF($A268="",0,IF($D268='FICHA VEHICULO'!$C$4,1,0))</f>
      </c>
      <c r="CE268" s="77">
        <f t="shared" si="72"/>
      </c>
      <c r="CF268" s="77">
        <f t="shared" si="73"/>
      </c>
      <c r="CG268" s="77">
        <f t="shared" si="74"/>
      </c>
    </row>
    <row r="269" spans="1:85" ht="19.5" customHeight="1" x14ac:dyDescent="0.2">
      <c r="A269" s="104"/>
      <c r="B269" s="104"/>
      <c r="C269" s="105"/>
      <c r="D269" s="104"/>
      <c r="E269" s="105"/>
      <c r="F269" s="106"/>
      <c r="G269" s="104"/>
      <c r="H269" s="106"/>
      <c r="I269" s="107"/>
      <c r="J269" s="108"/>
      <c r="K269" s="108"/>
      <c r="L269" s="108"/>
      <c r="M269" s="105"/>
      <c r="N269" s="105"/>
      <c r="O269" s="105"/>
      <c r="P269" s="108"/>
      <c r="Q269" s="105"/>
      <c r="R269" s="105"/>
      <c r="S269" s="105"/>
      <c r="T269" s="105"/>
      <c r="U269" s="108"/>
      <c r="V269" s="105"/>
      <c r="W269" s="105"/>
      <c r="X269" s="105"/>
      <c r="Y269" s="105"/>
      <c r="Z269" s="105"/>
      <c r="AA269" s="108"/>
      <c r="AB269" s="108"/>
      <c r="AC269" s="105"/>
      <c r="AD269" s="279"/>
      <c r="AE269" s="105"/>
      <c r="AF269" s="279"/>
      <c r="AG269" s="105"/>
      <c r="AH269" s="108"/>
      <c r="AI269" s="108"/>
      <c r="AJ269" s="108"/>
      <c r="AK269" s="108"/>
      <c r="AL269" s="105"/>
      <c r="AM269" s="108"/>
      <c r="AN269" s="105"/>
      <c r="AO269" s="108"/>
      <c r="AP269" s="108"/>
      <c r="AQ269" s="105"/>
      <c r="AR269" s="108"/>
      <c r="AS269" s="108"/>
      <c r="AT269" s="105"/>
      <c r="AU269" s="105"/>
      <c r="AV269" s="105"/>
      <c r="AW269" s="105"/>
      <c r="AX269" s="105"/>
      <c r="AY269" s="105"/>
      <c r="AZ269" s="105"/>
      <c r="BA269" s="105"/>
      <c r="BB269" s="105"/>
      <c r="BC269" s="105"/>
      <c r="BD269" s="108"/>
      <c r="BE269" s="83">
        <f>IF($A269="","",IF(TRIM($D269&amp;"")="",IF(TRIM($AX269&amp;$AY269&amp;$AZ269&amp;$BA269&amp;$BB269&amp;$BC269&amp;$BD269&amp;"")="","","SUBARRENDADO"),IFERROR(IF(VLOOKUP($D269,VEHICULOS!$A$3:$H$202,7,FALSE)="","",VLOOKUP($D269,VEHICULOS!$A$3:$H$202,7,FALSE)),"")))</f>
      </c>
      <c r="BF269" s="82">
        <f>IF($A269="","",IF(TRIM($BC269&amp;"")&lt;&gt;"",$BC269,IF(TRIM($D269&amp;"")="","",IFERROR(IF(VLOOKUP($D269,VEHICULOS!$A$3:$H$202,8,FALSE)="","",VLOOKUP($D269,VEHICULOS!$A$3:$H$202,8,FALSE)),""))))</f>
      </c>
      <c r="BG269" s="106"/>
      <c r="BH269" s="107"/>
      <c r="BI269" s="86">
        <f t="shared" si="60"/>
      </c>
      <c r="BJ269" s="83">
        <f t="shared" si="61"/>
      </c>
      <c r="BK269" s="85">
        <f t="shared" si="62"/>
      </c>
      <c r="BL269" s="85">
        <f t="shared" si="63"/>
      </c>
      <c r="BM269" s="108"/>
      <c r="BN269" s="85">
        <f t="shared" si="64"/>
      </c>
      <c r="BO269" s="108"/>
      <c r="BP269" s="85">
        <f t="shared" si="65"/>
      </c>
      <c r="BQ269" s="85">
        <f t="shared" si="66"/>
      </c>
      <c r="BR269" s="108"/>
      <c r="BS269" s="104"/>
      <c r="BT269" s="87">
        <f t="shared" si="67"/>
      </c>
      <c r="BU269" s="85">
        <f t="shared" si="68"/>
      </c>
      <c r="BV269" s="85">
        <f t="shared" si="69"/>
      </c>
      <c r="BW269" s="87">
        <f t="shared" si="70"/>
      </c>
      <c r="BX269" s="104"/>
      <c r="BY269" s="106"/>
      <c r="BZ269" s="104"/>
      <c r="CA269" s="105"/>
      <c r="CB269" s="77">
        <f>IF($A269="",0,IF($B269='FICHA CLIENTE'!$C$4,1,0))</f>
      </c>
      <c r="CC269" s="77">
        <f t="shared" si="71"/>
      </c>
      <c r="CD269" s="77">
        <f>IF($A269="",0,IF($D269='FICHA VEHICULO'!$C$4,1,0))</f>
      </c>
      <c r="CE269" s="77">
        <f t="shared" si="72"/>
      </c>
      <c r="CF269" s="77">
        <f t="shared" si="73"/>
      </c>
      <c r="CG269" s="77">
        <f t="shared" si="74"/>
      </c>
    </row>
    <row r="270" spans="1:85" ht="19.5" customHeight="1" x14ac:dyDescent="0.2">
      <c r="A270" s="104"/>
      <c r="B270" s="104"/>
      <c r="C270" s="105"/>
      <c r="D270" s="104"/>
      <c r="E270" s="105"/>
      <c r="F270" s="106"/>
      <c r="G270" s="104"/>
      <c r="H270" s="106"/>
      <c r="I270" s="107"/>
      <c r="J270" s="108"/>
      <c r="K270" s="108"/>
      <c r="L270" s="108"/>
      <c r="M270" s="105"/>
      <c r="N270" s="105"/>
      <c r="O270" s="105"/>
      <c r="P270" s="108"/>
      <c r="Q270" s="105"/>
      <c r="R270" s="105"/>
      <c r="S270" s="105"/>
      <c r="T270" s="105"/>
      <c r="U270" s="108"/>
      <c r="V270" s="105"/>
      <c r="W270" s="105"/>
      <c r="X270" s="105"/>
      <c r="Y270" s="105"/>
      <c r="Z270" s="105"/>
      <c r="AA270" s="108"/>
      <c r="AB270" s="108"/>
      <c r="AC270" s="105"/>
      <c r="AD270" s="279"/>
      <c r="AE270" s="105"/>
      <c r="AF270" s="279"/>
      <c r="AG270" s="105"/>
      <c r="AH270" s="108"/>
      <c r="AI270" s="108"/>
      <c r="AJ270" s="108"/>
      <c r="AK270" s="108"/>
      <c r="AL270" s="105"/>
      <c r="AM270" s="108"/>
      <c r="AN270" s="105"/>
      <c r="AO270" s="108"/>
      <c r="AP270" s="108"/>
      <c r="AQ270" s="105"/>
      <c r="AR270" s="108"/>
      <c r="AS270" s="108"/>
      <c r="AT270" s="105"/>
      <c r="AU270" s="105"/>
      <c r="AV270" s="105"/>
      <c r="AW270" s="105"/>
      <c r="AX270" s="105"/>
      <c r="AY270" s="105"/>
      <c r="AZ270" s="105"/>
      <c r="BA270" s="105"/>
      <c r="BB270" s="105"/>
      <c r="BC270" s="105"/>
      <c r="BD270" s="108"/>
      <c r="BE270" s="83">
        <f>IF($A270="","",IF(TRIM($D270&amp;"")="",IF(TRIM($AX270&amp;$AY270&amp;$AZ270&amp;$BA270&amp;$BB270&amp;$BC270&amp;$BD270&amp;"")="","","SUBARRENDADO"),IFERROR(IF(VLOOKUP($D270,VEHICULOS!$A$3:$H$202,7,FALSE)="","",VLOOKUP($D270,VEHICULOS!$A$3:$H$202,7,FALSE)),"")))</f>
      </c>
      <c r="BF270" s="82">
        <f>IF($A270="","",IF(TRIM($BC270&amp;"")&lt;&gt;"",$BC270,IF(TRIM($D270&amp;"")="","",IFERROR(IF(VLOOKUP($D270,VEHICULOS!$A$3:$H$202,8,FALSE)="","",VLOOKUP($D270,VEHICULOS!$A$3:$H$202,8,FALSE)),""))))</f>
      </c>
      <c r="BG270" s="106"/>
      <c r="BH270" s="107"/>
      <c r="BI270" s="86">
        <f t="shared" si="60"/>
      </c>
      <c r="BJ270" s="83">
        <f t="shared" si="61"/>
      </c>
      <c r="BK270" s="85">
        <f t="shared" si="62"/>
      </c>
      <c r="BL270" s="85">
        <f t="shared" si="63"/>
      </c>
      <c r="BM270" s="108"/>
      <c r="BN270" s="85">
        <f t="shared" si="64"/>
      </c>
      <c r="BO270" s="108"/>
      <c r="BP270" s="85">
        <f t="shared" si="65"/>
      </c>
      <c r="BQ270" s="85">
        <f t="shared" si="66"/>
      </c>
      <c r="BR270" s="108"/>
      <c r="BS270" s="104"/>
      <c r="BT270" s="87">
        <f t="shared" si="67"/>
      </c>
      <c r="BU270" s="85">
        <f t="shared" si="68"/>
      </c>
      <c r="BV270" s="85">
        <f t="shared" si="69"/>
      </c>
      <c r="BW270" s="87">
        <f t="shared" si="70"/>
      </c>
      <c r="BX270" s="104"/>
      <c r="BY270" s="106"/>
      <c r="BZ270" s="104"/>
      <c r="CA270" s="105"/>
      <c r="CB270" s="77">
        <f>IF($A270="",0,IF($B270='FICHA CLIENTE'!$C$4,1,0))</f>
      </c>
      <c r="CC270" s="77">
        <f t="shared" si="71"/>
      </c>
      <c r="CD270" s="77">
        <f>IF($A270="",0,IF($D270='FICHA VEHICULO'!$C$4,1,0))</f>
      </c>
      <c r="CE270" s="77">
        <f t="shared" si="72"/>
      </c>
      <c r="CF270" s="77">
        <f t="shared" si="73"/>
      </c>
      <c r="CG270" s="77">
        <f t="shared" si="74"/>
      </c>
    </row>
    <row r="271" spans="1:85" ht="19.5" customHeight="1" x14ac:dyDescent="0.2">
      <c r="A271" s="104"/>
      <c r="B271" s="104"/>
      <c r="C271" s="105"/>
      <c r="D271" s="104"/>
      <c r="E271" s="105"/>
      <c r="F271" s="106"/>
      <c r="G271" s="104"/>
      <c r="H271" s="106"/>
      <c r="I271" s="107"/>
      <c r="J271" s="108"/>
      <c r="K271" s="108"/>
      <c r="L271" s="108"/>
      <c r="M271" s="105"/>
      <c r="N271" s="105"/>
      <c r="O271" s="105"/>
      <c r="P271" s="108"/>
      <c r="Q271" s="105"/>
      <c r="R271" s="105"/>
      <c r="S271" s="105"/>
      <c r="T271" s="105"/>
      <c r="U271" s="108"/>
      <c r="V271" s="105"/>
      <c r="W271" s="105"/>
      <c r="X271" s="105"/>
      <c r="Y271" s="105"/>
      <c r="Z271" s="105"/>
      <c r="AA271" s="108"/>
      <c r="AB271" s="108"/>
      <c r="AC271" s="105"/>
      <c r="AD271" s="279"/>
      <c r="AE271" s="105"/>
      <c r="AF271" s="279"/>
      <c r="AG271" s="105"/>
      <c r="AH271" s="108"/>
      <c r="AI271" s="108"/>
      <c r="AJ271" s="108"/>
      <c r="AK271" s="108"/>
      <c r="AL271" s="105"/>
      <c r="AM271" s="108"/>
      <c r="AN271" s="105"/>
      <c r="AO271" s="108"/>
      <c r="AP271" s="108"/>
      <c r="AQ271" s="105"/>
      <c r="AR271" s="108"/>
      <c r="AS271" s="108"/>
      <c r="AT271" s="105"/>
      <c r="AU271" s="105"/>
      <c r="AV271" s="105"/>
      <c r="AW271" s="105"/>
      <c r="AX271" s="105"/>
      <c r="AY271" s="105"/>
      <c r="AZ271" s="105"/>
      <c r="BA271" s="105"/>
      <c r="BB271" s="105"/>
      <c r="BC271" s="105"/>
      <c r="BD271" s="108"/>
      <c r="BE271" s="83">
        <f>IF($A271="","",IF(TRIM($D271&amp;"")="",IF(TRIM($AX271&amp;$AY271&amp;$AZ271&amp;$BA271&amp;$BB271&amp;$BC271&amp;$BD271&amp;"")="","","SUBARRENDADO"),IFERROR(IF(VLOOKUP($D271,VEHICULOS!$A$3:$H$202,7,FALSE)="","",VLOOKUP($D271,VEHICULOS!$A$3:$H$202,7,FALSE)),"")))</f>
      </c>
      <c r="BF271" s="82">
        <f>IF($A271="","",IF(TRIM($BC271&amp;"")&lt;&gt;"",$BC271,IF(TRIM($D271&amp;"")="","",IFERROR(IF(VLOOKUP($D271,VEHICULOS!$A$3:$H$202,8,FALSE)="","",VLOOKUP($D271,VEHICULOS!$A$3:$H$202,8,FALSE)),""))))</f>
      </c>
      <c r="BG271" s="106"/>
      <c r="BH271" s="107"/>
      <c r="BI271" s="86">
        <f t="shared" si="60"/>
      </c>
      <c r="BJ271" s="83">
        <f t="shared" si="61"/>
      </c>
      <c r="BK271" s="85">
        <f t="shared" si="62"/>
      </c>
      <c r="BL271" s="85">
        <f t="shared" si="63"/>
      </c>
      <c r="BM271" s="108"/>
      <c r="BN271" s="85">
        <f t="shared" si="64"/>
      </c>
      <c r="BO271" s="108"/>
      <c r="BP271" s="85">
        <f t="shared" si="65"/>
      </c>
      <c r="BQ271" s="85">
        <f t="shared" si="66"/>
      </c>
      <c r="BR271" s="108"/>
      <c r="BS271" s="104"/>
      <c r="BT271" s="87">
        <f t="shared" si="67"/>
      </c>
      <c r="BU271" s="85">
        <f t="shared" si="68"/>
      </c>
      <c r="BV271" s="85">
        <f t="shared" si="69"/>
      </c>
      <c r="BW271" s="87">
        <f t="shared" si="70"/>
      </c>
      <c r="BX271" s="104"/>
      <c r="BY271" s="106"/>
      <c r="BZ271" s="104"/>
      <c r="CA271" s="105"/>
      <c r="CB271" s="77">
        <f>IF($A271="",0,IF($B271='FICHA CLIENTE'!$C$4,1,0))</f>
      </c>
      <c r="CC271" s="77">
        <f t="shared" si="71"/>
      </c>
      <c r="CD271" s="77">
        <f>IF($A271="",0,IF($D271='FICHA VEHICULO'!$C$4,1,0))</f>
      </c>
      <c r="CE271" s="77">
        <f t="shared" si="72"/>
      </c>
      <c r="CF271" s="77">
        <f t="shared" si="73"/>
      </c>
      <c r="CG271" s="77">
        <f t="shared" si="74"/>
      </c>
    </row>
    <row r="272" spans="1:85" ht="19.5" customHeight="1" x14ac:dyDescent="0.2">
      <c r="A272" s="104"/>
      <c r="B272" s="104"/>
      <c r="C272" s="105"/>
      <c r="D272" s="104"/>
      <c r="E272" s="105"/>
      <c r="F272" s="106"/>
      <c r="G272" s="104"/>
      <c r="H272" s="106"/>
      <c r="I272" s="107"/>
      <c r="J272" s="108"/>
      <c r="K272" s="108"/>
      <c r="L272" s="108"/>
      <c r="M272" s="105"/>
      <c r="N272" s="105"/>
      <c r="O272" s="105"/>
      <c r="P272" s="108"/>
      <c r="Q272" s="105"/>
      <c r="R272" s="105"/>
      <c r="S272" s="105"/>
      <c r="T272" s="105"/>
      <c r="U272" s="108"/>
      <c r="V272" s="105"/>
      <c r="W272" s="105"/>
      <c r="X272" s="105"/>
      <c r="Y272" s="105"/>
      <c r="Z272" s="105"/>
      <c r="AA272" s="108"/>
      <c r="AB272" s="108"/>
      <c r="AC272" s="105"/>
      <c r="AD272" s="279"/>
      <c r="AE272" s="105"/>
      <c r="AF272" s="279"/>
      <c r="AG272" s="105"/>
      <c r="AH272" s="108"/>
      <c r="AI272" s="108"/>
      <c r="AJ272" s="108"/>
      <c r="AK272" s="108"/>
      <c r="AL272" s="105"/>
      <c r="AM272" s="108"/>
      <c r="AN272" s="105"/>
      <c r="AO272" s="108"/>
      <c r="AP272" s="108"/>
      <c r="AQ272" s="105"/>
      <c r="AR272" s="108"/>
      <c r="AS272" s="108"/>
      <c r="AT272" s="105"/>
      <c r="AU272" s="105"/>
      <c r="AV272" s="105"/>
      <c r="AW272" s="105"/>
      <c r="AX272" s="105"/>
      <c r="AY272" s="105"/>
      <c r="AZ272" s="105"/>
      <c r="BA272" s="105"/>
      <c r="BB272" s="105"/>
      <c r="BC272" s="105"/>
      <c r="BD272" s="108"/>
      <c r="BE272" s="83">
        <f>IF($A272="","",IF(TRIM($D272&amp;"")="",IF(TRIM($AX272&amp;$AY272&amp;$AZ272&amp;$BA272&amp;$BB272&amp;$BC272&amp;$BD272&amp;"")="","","SUBARRENDADO"),IFERROR(IF(VLOOKUP($D272,VEHICULOS!$A$3:$H$202,7,FALSE)="","",VLOOKUP($D272,VEHICULOS!$A$3:$H$202,7,FALSE)),"")))</f>
      </c>
      <c r="BF272" s="82">
        <f>IF($A272="","",IF(TRIM($BC272&amp;"")&lt;&gt;"",$BC272,IF(TRIM($D272&amp;"")="","",IFERROR(IF(VLOOKUP($D272,VEHICULOS!$A$3:$H$202,8,FALSE)="","",VLOOKUP($D272,VEHICULOS!$A$3:$H$202,8,FALSE)),""))))</f>
      </c>
      <c r="BG272" s="106"/>
      <c r="BH272" s="107"/>
      <c r="BI272" s="86">
        <f t="shared" si="60"/>
      </c>
      <c r="BJ272" s="83">
        <f t="shared" si="61"/>
      </c>
      <c r="BK272" s="85">
        <f t="shared" si="62"/>
      </c>
      <c r="BL272" s="85">
        <f t="shared" si="63"/>
      </c>
      <c r="BM272" s="108"/>
      <c r="BN272" s="85">
        <f t="shared" si="64"/>
      </c>
      <c r="BO272" s="108"/>
      <c r="BP272" s="85">
        <f t="shared" si="65"/>
      </c>
      <c r="BQ272" s="85">
        <f t="shared" si="66"/>
      </c>
      <c r="BR272" s="108"/>
      <c r="BS272" s="104"/>
      <c r="BT272" s="87">
        <f t="shared" si="67"/>
      </c>
      <c r="BU272" s="85">
        <f t="shared" si="68"/>
      </c>
      <c r="BV272" s="85">
        <f t="shared" si="69"/>
      </c>
      <c r="BW272" s="87">
        <f t="shared" si="70"/>
      </c>
      <c r="BX272" s="104"/>
      <c r="BY272" s="106"/>
      <c r="BZ272" s="104"/>
      <c r="CA272" s="105"/>
      <c r="CB272" s="77">
        <f>IF($A272="",0,IF($B272='FICHA CLIENTE'!$C$4,1,0))</f>
      </c>
      <c r="CC272" s="77">
        <f t="shared" si="71"/>
      </c>
      <c r="CD272" s="77">
        <f>IF($A272="",0,IF($D272='FICHA VEHICULO'!$C$4,1,0))</f>
      </c>
      <c r="CE272" s="77">
        <f t="shared" si="72"/>
      </c>
      <c r="CF272" s="77">
        <f t="shared" si="73"/>
      </c>
      <c r="CG272" s="77">
        <f t="shared" si="74"/>
      </c>
    </row>
    <row r="273" spans="1:85" ht="19.5" customHeight="1" x14ac:dyDescent="0.2">
      <c r="A273" s="104"/>
      <c r="B273" s="104"/>
      <c r="C273" s="105"/>
      <c r="D273" s="104"/>
      <c r="E273" s="105"/>
      <c r="F273" s="106"/>
      <c r="G273" s="104"/>
      <c r="H273" s="106"/>
      <c r="I273" s="107"/>
      <c r="J273" s="108"/>
      <c r="K273" s="108"/>
      <c r="L273" s="108"/>
      <c r="M273" s="105"/>
      <c r="N273" s="105"/>
      <c r="O273" s="105"/>
      <c r="P273" s="108"/>
      <c r="Q273" s="105"/>
      <c r="R273" s="105"/>
      <c r="S273" s="105"/>
      <c r="T273" s="105"/>
      <c r="U273" s="108"/>
      <c r="V273" s="105"/>
      <c r="W273" s="105"/>
      <c r="X273" s="105"/>
      <c r="Y273" s="105"/>
      <c r="Z273" s="105"/>
      <c r="AA273" s="108"/>
      <c r="AB273" s="108"/>
      <c r="AC273" s="105"/>
      <c r="AD273" s="279"/>
      <c r="AE273" s="105"/>
      <c r="AF273" s="279"/>
      <c r="AG273" s="105"/>
      <c r="AH273" s="108"/>
      <c r="AI273" s="108"/>
      <c r="AJ273" s="108"/>
      <c r="AK273" s="108"/>
      <c r="AL273" s="105"/>
      <c r="AM273" s="108"/>
      <c r="AN273" s="105"/>
      <c r="AO273" s="108"/>
      <c r="AP273" s="108"/>
      <c r="AQ273" s="105"/>
      <c r="AR273" s="108"/>
      <c r="AS273" s="108"/>
      <c r="AT273" s="105"/>
      <c r="AU273" s="105"/>
      <c r="AV273" s="105"/>
      <c r="AW273" s="105"/>
      <c r="AX273" s="105"/>
      <c r="AY273" s="105"/>
      <c r="AZ273" s="105"/>
      <c r="BA273" s="105"/>
      <c r="BB273" s="105"/>
      <c r="BC273" s="105"/>
      <c r="BD273" s="108"/>
      <c r="BE273" s="83">
        <f>IF($A273="","",IF(TRIM($D273&amp;"")="",IF(TRIM($AX273&amp;$AY273&amp;$AZ273&amp;$BA273&amp;$BB273&amp;$BC273&amp;$BD273&amp;"")="","","SUBARRENDADO"),IFERROR(IF(VLOOKUP($D273,VEHICULOS!$A$3:$H$202,7,FALSE)="","",VLOOKUP($D273,VEHICULOS!$A$3:$H$202,7,FALSE)),"")))</f>
      </c>
      <c r="BF273" s="82">
        <f>IF($A273="","",IF(TRIM($BC273&amp;"")&lt;&gt;"",$BC273,IF(TRIM($D273&amp;"")="","",IFERROR(IF(VLOOKUP($D273,VEHICULOS!$A$3:$H$202,8,FALSE)="","",VLOOKUP($D273,VEHICULOS!$A$3:$H$202,8,FALSE)),""))))</f>
      </c>
      <c r="BG273" s="106"/>
      <c r="BH273" s="107"/>
      <c r="BI273" s="86">
        <f t="shared" si="60"/>
      </c>
      <c r="BJ273" s="83">
        <f t="shared" si="61"/>
      </c>
      <c r="BK273" s="85">
        <f t="shared" si="62"/>
      </c>
      <c r="BL273" s="85">
        <f t="shared" si="63"/>
      </c>
      <c r="BM273" s="108"/>
      <c r="BN273" s="85">
        <f t="shared" si="64"/>
      </c>
      <c r="BO273" s="108"/>
      <c r="BP273" s="85">
        <f t="shared" si="65"/>
      </c>
      <c r="BQ273" s="85">
        <f t="shared" si="66"/>
      </c>
      <c r="BR273" s="108"/>
      <c r="BS273" s="104"/>
      <c r="BT273" s="87">
        <f t="shared" si="67"/>
      </c>
      <c r="BU273" s="85">
        <f t="shared" si="68"/>
      </c>
      <c r="BV273" s="85">
        <f t="shared" si="69"/>
      </c>
      <c r="BW273" s="87">
        <f t="shared" si="70"/>
      </c>
      <c r="BX273" s="104"/>
      <c r="BY273" s="106"/>
      <c r="BZ273" s="104"/>
      <c r="CA273" s="105"/>
      <c r="CB273" s="77">
        <f>IF($A273="",0,IF($B273='FICHA CLIENTE'!$C$4,1,0))</f>
      </c>
      <c r="CC273" s="77">
        <f t="shared" si="71"/>
      </c>
      <c r="CD273" s="77">
        <f>IF($A273="",0,IF($D273='FICHA VEHICULO'!$C$4,1,0))</f>
      </c>
      <c r="CE273" s="77">
        <f t="shared" si="72"/>
      </c>
      <c r="CF273" s="77">
        <f t="shared" si="73"/>
      </c>
      <c r="CG273" s="77">
        <f t="shared" si="74"/>
      </c>
    </row>
    <row r="274" spans="1:85" ht="19.5" customHeight="1" x14ac:dyDescent="0.2">
      <c r="A274" s="104"/>
      <c r="B274" s="104"/>
      <c r="C274" s="105"/>
      <c r="D274" s="104"/>
      <c r="E274" s="105"/>
      <c r="F274" s="106"/>
      <c r="G274" s="104"/>
      <c r="H274" s="106"/>
      <c r="I274" s="107"/>
      <c r="J274" s="108"/>
      <c r="K274" s="108"/>
      <c r="L274" s="108"/>
      <c r="M274" s="105"/>
      <c r="N274" s="105"/>
      <c r="O274" s="105"/>
      <c r="P274" s="108"/>
      <c r="Q274" s="105"/>
      <c r="R274" s="105"/>
      <c r="S274" s="105"/>
      <c r="T274" s="105"/>
      <c r="U274" s="108"/>
      <c r="V274" s="105"/>
      <c r="W274" s="105"/>
      <c r="X274" s="105"/>
      <c r="Y274" s="105"/>
      <c r="Z274" s="105"/>
      <c r="AA274" s="108"/>
      <c r="AB274" s="108"/>
      <c r="AC274" s="105"/>
      <c r="AD274" s="279"/>
      <c r="AE274" s="105"/>
      <c r="AF274" s="279"/>
      <c r="AG274" s="105"/>
      <c r="AH274" s="108"/>
      <c r="AI274" s="108"/>
      <c r="AJ274" s="108"/>
      <c r="AK274" s="108"/>
      <c r="AL274" s="105"/>
      <c r="AM274" s="108"/>
      <c r="AN274" s="105"/>
      <c r="AO274" s="108"/>
      <c r="AP274" s="108"/>
      <c r="AQ274" s="105"/>
      <c r="AR274" s="108"/>
      <c r="AS274" s="108"/>
      <c r="AT274" s="105"/>
      <c r="AU274" s="105"/>
      <c r="AV274" s="105"/>
      <c r="AW274" s="105"/>
      <c r="AX274" s="105"/>
      <c r="AY274" s="105"/>
      <c r="AZ274" s="105"/>
      <c r="BA274" s="105"/>
      <c r="BB274" s="105"/>
      <c r="BC274" s="105"/>
      <c r="BD274" s="108"/>
      <c r="BE274" s="83">
        <f>IF($A274="","",IF(TRIM($D274&amp;"")="",IF(TRIM($AX274&amp;$AY274&amp;$AZ274&amp;$BA274&amp;$BB274&amp;$BC274&amp;$BD274&amp;"")="","","SUBARRENDADO"),IFERROR(IF(VLOOKUP($D274,VEHICULOS!$A$3:$H$202,7,FALSE)="","",VLOOKUP($D274,VEHICULOS!$A$3:$H$202,7,FALSE)),"")))</f>
      </c>
      <c r="BF274" s="82">
        <f>IF($A274="","",IF(TRIM($BC274&amp;"")&lt;&gt;"",$BC274,IF(TRIM($D274&amp;"")="","",IFERROR(IF(VLOOKUP($D274,VEHICULOS!$A$3:$H$202,8,FALSE)="","",VLOOKUP($D274,VEHICULOS!$A$3:$H$202,8,FALSE)),""))))</f>
      </c>
      <c r="BG274" s="106"/>
      <c r="BH274" s="107"/>
      <c r="BI274" s="86">
        <f t="shared" si="60"/>
      </c>
      <c r="BJ274" s="83">
        <f t="shared" si="61"/>
      </c>
      <c r="BK274" s="85">
        <f t="shared" si="62"/>
      </c>
      <c r="BL274" s="85">
        <f t="shared" si="63"/>
      </c>
      <c r="BM274" s="108"/>
      <c r="BN274" s="85">
        <f t="shared" si="64"/>
      </c>
      <c r="BO274" s="108"/>
      <c r="BP274" s="85">
        <f t="shared" si="65"/>
      </c>
      <c r="BQ274" s="85">
        <f t="shared" si="66"/>
      </c>
      <c r="BR274" s="108"/>
      <c r="BS274" s="104"/>
      <c r="BT274" s="87">
        <f t="shared" si="67"/>
      </c>
      <c r="BU274" s="85">
        <f t="shared" si="68"/>
      </c>
      <c r="BV274" s="85">
        <f t="shared" si="69"/>
      </c>
      <c r="BW274" s="87">
        <f t="shared" si="70"/>
      </c>
      <c r="BX274" s="104"/>
      <c r="BY274" s="106"/>
      <c r="BZ274" s="104"/>
      <c r="CA274" s="105"/>
      <c r="CB274" s="77">
        <f>IF($A274="",0,IF($B274='FICHA CLIENTE'!$C$4,1,0))</f>
      </c>
      <c r="CC274" s="77">
        <f t="shared" si="71"/>
      </c>
      <c r="CD274" s="77">
        <f>IF($A274="",0,IF($D274='FICHA VEHICULO'!$C$4,1,0))</f>
      </c>
      <c r="CE274" s="77">
        <f t="shared" si="72"/>
      </c>
      <c r="CF274" s="77">
        <f t="shared" si="73"/>
      </c>
      <c r="CG274" s="77">
        <f t="shared" si="74"/>
      </c>
    </row>
    <row r="275" spans="1:85" ht="19.5" customHeight="1" x14ac:dyDescent="0.2">
      <c r="A275" s="104"/>
      <c r="B275" s="104"/>
      <c r="C275" s="105"/>
      <c r="D275" s="104"/>
      <c r="E275" s="105"/>
      <c r="F275" s="106"/>
      <c r="G275" s="104"/>
      <c r="H275" s="106"/>
      <c r="I275" s="107"/>
      <c r="J275" s="108"/>
      <c r="K275" s="108"/>
      <c r="L275" s="108"/>
      <c r="M275" s="105"/>
      <c r="N275" s="105"/>
      <c r="O275" s="105"/>
      <c r="P275" s="108"/>
      <c r="Q275" s="105"/>
      <c r="R275" s="105"/>
      <c r="S275" s="105"/>
      <c r="T275" s="105"/>
      <c r="U275" s="108"/>
      <c r="V275" s="105"/>
      <c r="W275" s="105"/>
      <c r="X275" s="105"/>
      <c r="Y275" s="105"/>
      <c r="Z275" s="105"/>
      <c r="AA275" s="108"/>
      <c r="AB275" s="108"/>
      <c r="AC275" s="105"/>
      <c r="AD275" s="279"/>
      <c r="AE275" s="105"/>
      <c r="AF275" s="279"/>
      <c r="AG275" s="105"/>
      <c r="AH275" s="108"/>
      <c r="AI275" s="108"/>
      <c r="AJ275" s="108"/>
      <c r="AK275" s="108"/>
      <c r="AL275" s="105"/>
      <c r="AM275" s="108"/>
      <c r="AN275" s="105"/>
      <c r="AO275" s="108"/>
      <c r="AP275" s="108"/>
      <c r="AQ275" s="105"/>
      <c r="AR275" s="108"/>
      <c r="AS275" s="108"/>
      <c r="AT275" s="105"/>
      <c r="AU275" s="105"/>
      <c r="AV275" s="105"/>
      <c r="AW275" s="105"/>
      <c r="AX275" s="105"/>
      <c r="AY275" s="105"/>
      <c r="AZ275" s="105"/>
      <c r="BA275" s="105"/>
      <c r="BB275" s="105"/>
      <c r="BC275" s="105"/>
      <c r="BD275" s="108"/>
      <c r="BE275" s="83">
        <f>IF($A275="","",IF(TRIM($D275&amp;"")="",IF(TRIM($AX275&amp;$AY275&amp;$AZ275&amp;$BA275&amp;$BB275&amp;$BC275&amp;$BD275&amp;"")="","","SUBARRENDADO"),IFERROR(IF(VLOOKUP($D275,VEHICULOS!$A$3:$H$202,7,FALSE)="","",VLOOKUP($D275,VEHICULOS!$A$3:$H$202,7,FALSE)),"")))</f>
      </c>
      <c r="BF275" s="82">
        <f>IF($A275="","",IF(TRIM($BC275&amp;"")&lt;&gt;"",$BC275,IF(TRIM($D275&amp;"")="","",IFERROR(IF(VLOOKUP($D275,VEHICULOS!$A$3:$H$202,8,FALSE)="","",VLOOKUP($D275,VEHICULOS!$A$3:$H$202,8,FALSE)),""))))</f>
      </c>
      <c r="BG275" s="106"/>
      <c r="BH275" s="107"/>
      <c r="BI275" s="86">
        <f t="shared" si="60"/>
      </c>
      <c r="BJ275" s="83">
        <f t="shared" si="61"/>
      </c>
      <c r="BK275" s="85">
        <f t="shared" si="62"/>
      </c>
      <c r="BL275" s="85">
        <f t="shared" si="63"/>
      </c>
      <c r="BM275" s="108"/>
      <c r="BN275" s="85">
        <f t="shared" si="64"/>
      </c>
      <c r="BO275" s="108"/>
      <c r="BP275" s="85">
        <f t="shared" si="65"/>
      </c>
      <c r="BQ275" s="85">
        <f t="shared" si="66"/>
      </c>
      <c r="BR275" s="108"/>
      <c r="BS275" s="104"/>
      <c r="BT275" s="87">
        <f t="shared" si="67"/>
      </c>
      <c r="BU275" s="85">
        <f t="shared" si="68"/>
      </c>
      <c r="BV275" s="85">
        <f t="shared" si="69"/>
      </c>
      <c r="BW275" s="87">
        <f t="shared" si="70"/>
      </c>
      <c r="BX275" s="104"/>
      <c r="BY275" s="106"/>
      <c r="BZ275" s="104"/>
      <c r="CA275" s="105"/>
      <c r="CB275" s="77">
        <f>IF($A275="",0,IF($B275='FICHA CLIENTE'!$C$4,1,0))</f>
      </c>
      <c r="CC275" s="77">
        <f t="shared" si="71"/>
      </c>
      <c r="CD275" s="77">
        <f>IF($A275="",0,IF($D275='FICHA VEHICULO'!$C$4,1,0))</f>
      </c>
      <c r="CE275" s="77">
        <f t="shared" si="72"/>
      </c>
      <c r="CF275" s="77">
        <f t="shared" si="73"/>
      </c>
      <c r="CG275" s="77">
        <f t="shared" si="74"/>
      </c>
    </row>
    <row r="276" spans="1:85" ht="19.5" customHeight="1" x14ac:dyDescent="0.2">
      <c r="A276" s="104"/>
      <c r="B276" s="104"/>
      <c r="C276" s="105"/>
      <c r="D276" s="104"/>
      <c r="E276" s="105"/>
      <c r="F276" s="106"/>
      <c r="G276" s="104"/>
      <c r="H276" s="106"/>
      <c r="I276" s="107"/>
      <c r="J276" s="108"/>
      <c r="K276" s="108"/>
      <c r="L276" s="108"/>
      <c r="M276" s="105"/>
      <c r="N276" s="105"/>
      <c r="O276" s="105"/>
      <c r="P276" s="108"/>
      <c r="Q276" s="105"/>
      <c r="R276" s="105"/>
      <c r="S276" s="105"/>
      <c r="T276" s="105"/>
      <c r="U276" s="108"/>
      <c r="V276" s="105"/>
      <c r="W276" s="105"/>
      <c r="X276" s="105"/>
      <c r="Y276" s="105"/>
      <c r="Z276" s="105"/>
      <c r="AA276" s="108"/>
      <c r="AB276" s="108"/>
      <c r="AC276" s="105"/>
      <c r="AD276" s="279"/>
      <c r="AE276" s="105"/>
      <c r="AF276" s="279"/>
      <c r="AG276" s="105"/>
      <c r="AH276" s="108"/>
      <c r="AI276" s="108"/>
      <c r="AJ276" s="108"/>
      <c r="AK276" s="108"/>
      <c r="AL276" s="105"/>
      <c r="AM276" s="108"/>
      <c r="AN276" s="105"/>
      <c r="AO276" s="108"/>
      <c r="AP276" s="108"/>
      <c r="AQ276" s="105"/>
      <c r="AR276" s="108"/>
      <c r="AS276" s="108"/>
      <c r="AT276" s="105"/>
      <c r="AU276" s="105"/>
      <c r="AV276" s="105"/>
      <c r="AW276" s="105"/>
      <c r="AX276" s="105"/>
      <c r="AY276" s="105"/>
      <c r="AZ276" s="105"/>
      <c r="BA276" s="105"/>
      <c r="BB276" s="105"/>
      <c r="BC276" s="105"/>
      <c r="BD276" s="108"/>
      <c r="BE276" s="83">
        <f>IF($A276="","",IF(TRIM($D276&amp;"")="",IF(TRIM($AX276&amp;$AY276&amp;$AZ276&amp;$BA276&amp;$BB276&amp;$BC276&amp;$BD276&amp;"")="","","SUBARRENDADO"),IFERROR(IF(VLOOKUP($D276,VEHICULOS!$A$3:$H$202,7,FALSE)="","",VLOOKUP($D276,VEHICULOS!$A$3:$H$202,7,FALSE)),"")))</f>
      </c>
      <c r="BF276" s="82">
        <f>IF($A276="","",IF(TRIM($BC276&amp;"")&lt;&gt;"",$BC276,IF(TRIM($D276&amp;"")="","",IFERROR(IF(VLOOKUP($D276,VEHICULOS!$A$3:$H$202,8,FALSE)="","",VLOOKUP($D276,VEHICULOS!$A$3:$H$202,8,FALSE)),""))))</f>
      </c>
      <c r="BG276" s="106"/>
      <c r="BH276" s="107"/>
      <c r="BI276" s="86">
        <f t="shared" si="60"/>
      </c>
      <c r="BJ276" s="83">
        <f t="shared" si="61"/>
      </c>
      <c r="BK276" s="85">
        <f t="shared" si="62"/>
      </c>
      <c r="BL276" s="85">
        <f t="shared" si="63"/>
      </c>
      <c r="BM276" s="108"/>
      <c r="BN276" s="85">
        <f t="shared" si="64"/>
      </c>
      <c r="BO276" s="108"/>
      <c r="BP276" s="85">
        <f t="shared" si="65"/>
      </c>
      <c r="BQ276" s="85">
        <f t="shared" si="66"/>
      </c>
      <c r="BR276" s="108"/>
      <c r="BS276" s="104"/>
      <c r="BT276" s="87">
        <f t="shared" si="67"/>
      </c>
      <c r="BU276" s="85">
        <f t="shared" si="68"/>
      </c>
      <c r="BV276" s="85">
        <f t="shared" si="69"/>
      </c>
      <c r="BW276" s="87">
        <f t="shared" si="70"/>
      </c>
      <c r="BX276" s="104"/>
      <c r="BY276" s="106"/>
      <c r="BZ276" s="104"/>
      <c r="CA276" s="105"/>
      <c r="CB276" s="77">
        <f>IF($A276="",0,IF($B276='FICHA CLIENTE'!$C$4,1,0))</f>
      </c>
      <c r="CC276" s="77">
        <f t="shared" si="71"/>
      </c>
      <c r="CD276" s="77">
        <f>IF($A276="",0,IF($D276='FICHA VEHICULO'!$C$4,1,0))</f>
      </c>
      <c r="CE276" s="77">
        <f t="shared" si="72"/>
      </c>
      <c r="CF276" s="77">
        <f t="shared" si="73"/>
      </c>
      <c r="CG276" s="77">
        <f t="shared" si="74"/>
      </c>
    </row>
    <row r="277" spans="1:85" ht="19.5" customHeight="1" x14ac:dyDescent="0.2">
      <c r="A277" s="104"/>
      <c r="B277" s="104"/>
      <c r="C277" s="105"/>
      <c r="D277" s="104"/>
      <c r="E277" s="105"/>
      <c r="F277" s="106"/>
      <c r="G277" s="104"/>
      <c r="H277" s="106"/>
      <c r="I277" s="107"/>
      <c r="J277" s="108"/>
      <c r="K277" s="108"/>
      <c r="L277" s="108"/>
      <c r="M277" s="105"/>
      <c r="N277" s="105"/>
      <c r="O277" s="105"/>
      <c r="P277" s="108"/>
      <c r="Q277" s="105"/>
      <c r="R277" s="105"/>
      <c r="S277" s="105"/>
      <c r="T277" s="105"/>
      <c r="U277" s="108"/>
      <c r="V277" s="105"/>
      <c r="W277" s="105"/>
      <c r="X277" s="105"/>
      <c r="Y277" s="105"/>
      <c r="Z277" s="105"/>
      <c r="AA277" s="108"/>
      <c r="AB277" s="108"/>
      <c r="AC277" s="105"/>
      <c r="AD277" s="279"/>
      <c r="AE277" s="105"/>
      <c r="AF277" s="279"/>
      <c r="AG277" s="105"/>
      <c r="AH277" s="108"/>
      <c r="AI277" s="108"/>
      <c r="AJ277" s="108"/>
      <c r="AK277" s="108"/>
      <c r="AL277" s="105"/>
      <c r="AM277" s="108"/>
      <c r="AN277" s="105"/>
      <c r="AO277" s="108"/>
      <c r="AP277" s="108"/>
      <c r="AQ277" s="105"/>
      <c r="AR277" s="108"/>
      <c r="AS277" s="108"/>
      <c r="AT277" s="105"/>
      <c r="AU277" s="105"/>
      <c r="AV277" s="105"/>
      <c r="AW277" s="105"/>
      <c r="AX277" s="105"/>
      <c r="AY277" s="105"/>
      <c r="AZ277" s="105"/>
      <c r="BA277" s="105"/>
      <c r="BB277" s="105"/>
      <c r="BC277" s="105"/>
      <c r="BD277" s="108"/>
      <c r="BE277" s="83">
        <f>IF($A277="","",IF(TRIM($D277&amp;"")="",IF(TRIM($AX277&amp;$AY277&amp;$AZ277&amp;$BA277&amp;$BB277&amp;$BC277&amp;$BD277&amp;"")="","","SUBARRENDADO"),IFERROR(IF(VLOOKUP($D277,VEHICULOS!$A$3:$H$202,7,FALSE)="","",VLOOKUP($D277,VEHICULOS!$A$3:$H$202,7,FALSE)),"")))</f>
      </c>
      <c r="BF277" s="82">
        <f>IF($A277="","",IF(TRIM($BC277&amp;"")&lt;&gt;"",$BC277,IF(TRIM($D277&amp;"")="","",IFERROR(IF(VLOOKUP($D277,VEHICULOS!$A$3:$H$202,8,FALSE)="","",VLOOKUP($D277,VEHICULOS!$A$3:$H$202,8,FALSE)),""))))</f>
      </c>
      <c r="BG277" s="106"/>
      <c r="BH277" s="107"/>
      <c r="BI277" s="86">
        <f t="shared" si="60"/>
      </c>
      <c r="BJ277" s="83">
        <f t="shared" si="61"/>
      </c>
      <c r="BK277" s="85">
        <f t="shared" si="62"/>
      </c>
      <c r="BL277" s="85">
        <f t="shared" si="63"/>
      </c>
      <c r="BM277" s="108"/>
      <c r="BN277" s="85">
        <f t="shared" si="64"/>
      </c>
      <c r="BO277" s="108"/>
      <c r="BP277" s="85">
        <f t="shared" si="65"/>
      </c>
      <c r="BQ277" s="85">
        <f t="shared" si="66"/>
      </c>
      <c r="BR277" s="108"/>
      <c r="BS277" s="104"/>
      <c r="BT277" s="87">
        <f t="shared" si="67"/>
      </c>
      <c r="BU277" s="85">
        <f t="shared" si="68"/>
      </c>
      <c r="BV277" s="85">
        <f t="shared" si="69"/>
      </c>
      <c r="BW277" s="87">
        <f t="shared" si="70"/>
      </c>
      <c r="BX277" s="104"/>
      <c r="BY277" s="106"/>
      <c r="BZ277" s="104"/>
      <c r="CA277" s="105"/>
      <c r="CB277" s="77">
        <f>IF($A277="",0,IF($B277='FICHA CLIENTE'!$C$4,1,0))</f>
      </c>
      <c r="CC277" s="77">
        <f t="shared" si="71"/>
      </c>
      <c r="CD277" s="77">
        <f>IF($A277="",0,IF($D277='FICHA VEHICULO'!$C$4,1,0))</f>
      </c>
      <c r="CE277" s="77">
        <f t="shared" si="72"/>
      </c>
      <c r="CF277" s="77">
        <f t="shared" si="73"/>
      </c>
      <c r="CG277" s="77">
        <f t="shared" si="74"/>
      </c>
    </row>
    <row r="278" spans="1:85" ht="19.5" customHeight="1" x14ac:dyDescent="0.2">
      <c r="A278" s="104"/>
      <c r="B278" s="104"/>
      <c r="C278" s="105"/>
      <c r="D278" s="104"/>
      <c r="E278" s="105"/>
      <c r="F278" s="106"/>
      <c r="G278" s="104"/>
      <c r="H278" s="106"/>
      <c r="I278" s="107"/>
      <c r="J278" s="108"/>
      <c r="K278" s="108"/>
      <c r="L278" s="108"/>
      <c r="M278" s="105"/>
      <c r="N278" s="105"/>
      <c r="O278" s="105"/>
      <c r="P278" s="108"/>
      <c r="Q278" s="105"/>
      <c r="R278" s="105"/>
      <c r="S278" s="105"/>
      <c r="T278" s="105"/>
      <c r="U278" s="108"/>
      <c r="V278" s="105"/>
      <c r="W278" s="105"/>
      <c r="X278" s="105"/>
      <c r="Y278" s="105"/>
      <c r="Z278" s="105"/>
      <c r="AA278" s="108"/>
      <c r="AB278" s="108"/>
      <c r="AC278" s="105"/>
      <c r="AD278" s="279"/>
      <c r="AE278" s="105"/>
      <c r="AF278" s="279"/>
      <c r="AG278" s="105"/>
      <c r="AH278" s="108"/>
      <c r="AI278" s="108"/>
      <c r="AJ278" s="108"/>
      <c r="AK278" s="108"/>
      <c r="AL278" s="105"/>
      <c r="AM278" s="108"/>
      <c r="AN278" s="105"/>
      <c r="AO278" s="108"/>
      <c r="AP278" s="108"/>
      <c r="AQ278" s="105"/>
      <c r="AR278" s="108"/>
      <c r="AS278" s="108"/>
      <c r="AT278" s="105"/>
      <c r="AU278" s="105"/>
      <c r="AV278" s="105"/>
      <c r="AW278" s="105"/>
      <c r="AX278" s="105"/>
      <c r="AY278" s="105"/>
      <c r="AZ278" s="105"/>
      <c r="BA278" s="105"/>
      <c r="BB278" s="105"/>
      <c r="BC278" s="105"/>
      <c r="BD278" s="108"/>
      <c r="BE278" s="83">
        <f>IF($A278="","",IF(TRIM($D278&amp;"")="",IF(TRIM($AX278&amp;$AY278&amp;$AZ278&amp;$BA278&amp;$BB278&amp;$BC278&amp;$BD278&amp;"")="","","SUBARRENDADO"),IFERROR(IF(VLOOKUP($D278,VEHICULOS!$A$3:$H$202,7,FALSE)="","",VLOOKUP($D278,VEHICULOS!$A$3:$H$202,7,FALSE)),"")))</f>
      </c>
      <c r="BF278" s="82">
        <f>IF($A278="","",IF(TRIM($BC278&amp;"")&lt;&gt;"",$BC278,IF(TRIM($D278&amp;"")="","",IFERROR(IF(VLOOKUP($D278,VEHICULOS!$A$3:$H$202,8,FALSE)="","",VLOOKUP($D278,VEHICULOS!$A$3:$H$202,8,FALSE)),""))))</f>
      </c>
      <c r="BG278" s="106"/>
      <c r="BH278" s="107"/>
      <c r="BI278" s="86">
        <f t="shared" si="60"/>
      </c>
      <c r="BJ278" s="83">
        <f t="shared" si="61"/>
      </c>
      <c r="BK278" s="85">
        <f t="shared" si="62"/>
      </c>
      <c r="BL278" s="85">
        <f t="shared" si="63"/>
      </c>
      <c r="BM278" s="108"/>
      <c r="BN278" s="85">
        <f t="shared" si="64"/>
      </c>
      <c r="BO278" s="108"/>
      <c r="BP278" s="85">
        <f t="shared" si="65"/>
      </c>
      <c r="BQ278" s="85">
        <f t="shared" si="66"/>
      </c>
      <c r="BR278" s="108"/>
      <c r="BS278" s="104"/>
      <c r="BT278" s="87">
        <f t="shared" si="67"/>
      </c>
      <c r="BU278" s="85">
        <f t="shared" si="68"/>
      </c>
      <c r="BV278" s="85">
        <f t="shared" si="69"/>
      </c>
      <c r="BW278" s="87">
        <f t="shared" si="70"/>
      </c>
      <c r="BX278" s="104"/>
      <c r="BY278" s="106"/>
      <c r="BZ278" s="104"/>
      <c r="CA278" s="105"/>
      <c r="CB278" s="77">
        <f>IF($A278="",0,IF($B278='FICHA CLIENTE'!$C$4,1,0))</f>
      </c>
      <c r="CC278" s="77">
        <f t="shared" si="71"/>
      </c>
      <c r="CD278" s="77">
        <f>IF($A278="",0,IF($D278='FICHA VEHICULO'!$C$4,1,0))</f>
      </c>
      <c r="CE278" s="77">
        <f t="shared" si="72"/>
      </c>
      <c r="CF278" s="77">
        <f t="shared" si="73"/>
      </c>
      <c r="CG278" s="77">
        <f t="shared" si="74"/>
      </c>
    </row>
    <row r="279" spans="1:85" ht="19.5" customHeight="1" x14ac:dyDescent="0.2">
      <c r="A279" s="104"/>
      <c r="B279" s="104"/>
      <c r="C279" s="105"/>
      <c r="D279" s="104"/>
      <c r="E279" s="105"/>
      <c r="F279" s="106"/>
      <c r="G279" s="104"/>
      <c r="H279" s="106"/>
      <c r="I279" s="107"/>
      <c r="J279" s="108"/>
      <c r="K279" s="108"/>
      <c r="L279" s="108"/>
      <c r="M279" s="105"/>
      <c r="N279" s="105"/>
      <c r="O279" s="105"/>
      <c r="P279" s="108"/>
      <c r="Q279" s="105"/>
      <c r="R279" s="105"/>
      <c r="S279" s="105"/>
      <c r="T279" s="105"/>
      <c r="U279" s="108"/>
      <c r="V279" s="105"/>
      <c r="W279" s="105"/>
      <c r="X279" s="105"/>
      <c r="Y279" s="105"/>
      <c r="Z279" s="105"/>
      <c r="AA279" s="108"/>
      <c r="AB279" s="108"/>
      <c r="AC279" s="105"/>
      <c r="AD279" s="279"/>
      <c r="AE279" s="105"/>
      <c r="AF279" s="279"/>
      <c r="AG279" s="105"/>
      <c r="AH279" s="108"/>
      <c r="AI279" s="108"/>
      <c r="AJ279" s="108"/>
      <c r="AK279" s="108"/>
      <c r="AL279" s="105"/>
      <c r="AM279" s="108"/>
      <c r="AN279" s="105"/>
      <c r="AO279" s="108"/>
      <c r="AP279" s="108"/>
      <c r="AQ279" s="105"/>
      <c r="AR279" s="108"/>
      <c r="AS279" s="108"/>
      <c r="AT279" s="105"/>
      <c r="AU279" s="105"/>
      <c r="AV279" s="105"/>
      <c r="AW279" s="105"/>
      <c r="AX279" s="105"/>
      <c r="AY279" s="105"/>
      <c r="AZ279" s="105"/>
      <c r="BA279" s="105"/>
      <c r="BB279" s="105"/>
      <c r="BC279" s="105"/>
      <c r="BD279" s="108"/>
      <c r="BE279" s="83">
        <f>IF($A279="","",IF(TRIM($D279&amp;"")="",IF(TRIM($AX279&amp;$AY279&amp;$AZ279&amp;$BA279&amp;$BB279&amp;$BC279&amp;$BD279&amp;"")="","","SUBARRENDADO"),IFERROR(IF(VLOOKUP($D279,VEHICULOS!$A$3:$H$202,7,FALSE)="","",VLOOKUP($D279,VEHICULOS!$A$3:$H$202,7,FALSE)),"")))</f>
      </c>
      <c r="BF279" s="82">
        <f>IF($A279="","",IF(TRIM($BC279&amp;"")&lt;&gt;"",$BC279,IF(TRIM($D279&amp;"")="","",IFERROR(IF(VLOOKUP($D279,VEHICULOS!$A$3:$H$202,8,FALSE)="","",VLOOKUP($D279,VEHICULOS!$A$3:$H$202,8,FALSE)),""))))</f>
      </c>
      <c r="BG279" s="106"/>
      <c r="BH279" s="107"/>
      <c r="BI279" s="86">
        <f t="shared" si="60"/>
      </c>
      <c r="BJ279" s="83">
        <f t="shared" si="61"/>
      </c>
      <c r="BK279" s="85">
        <f t="shared" si="62"/>
      </c>
      <c r="BL279" s="85">
        <f t="shared" si="63"/>
      </c>
      <c r="BM279" s="108"/>
      <c r="BN279" s="85">
        <f t="shared" si="64"/>
      </c>
      <c r="BO279" s="108"/>
      <c r="BP279" s="85">
        <f t="shared" si="65"/>
      </c>
      <c r="BQ279" s="85">
        <f t="shared" si="66"/>
      </c>
      <c r="BR279" s="108"/>
      <c r="BS279" s="104"/>
      <c r="BT279" s="87">
        <f t="shared" si="67"/>
      </c>
      <c r="BU279" s="85">
        <f t="shared" si="68"/>
      </c>
      <c r="BV279" s="85">
        <f t="shared" si="69"/>
      </c>
      <c r="BW279" s="87">
        <f t="shared" si="70"/>
      </c>
      <c r="BX279" s="104"/>
      <c r="BY279" s="106"/>
      <c r="BZ279" s="104"/>
      <c r="CA279" s="105"/>
      <c r="CB279" s="77">
        <f>IF($A279="",0,IF($B279='FICHA CLIENTE'!$C$4,1,0))</f>
      </c>
      <c r="CC279" s="77">
        <f t="shared" si="71"/>
      </c>
      <c r="CD279" s="77">
        <f>IF($A279="",0,IF($D279='FICHA VEHICULO'!$C$4,1,0))</f>
      </c>
      <c r="CE279" s="77">
        <f t="shared" si="72"/>
      </c>
      <c r="CF279" s="77">
        <f t="shared" si="73"/>
      </c>
      <c r="CG279" s="77">
        <f t="shared" si="74"/>
      </c>
    </row>
    <row r="280" spans="1:85" ht="19.5" customHeight="1" x14ac:dyDescent="0.2">
      <c r="A280" s="104"/>
      <c r="B280" s="104"/>
      <c r="C280" s="105"/>
      <c r="D280" s="104"/>
      <c r="E280" s="105"/>
      <c r="F280" s="106"/>
      <c r="G280" s="104"/>
      <c r="H280" s="106"/>
      <c r="I280" s="107"/>
      <c r="J280" s="108"/>
      <c r="K280" s="108"/>
      <c r="L280" s="108"/>
      <c r="M280" s="105"/>
      <c r="N280" s="105"/>
      <c r="O280" s="105"/>
      <c r="P280" s="108"/>
      <c r="Q280" s="105"/>
      <c r="R280" s="105"/>
      <c r="S280" s="105"/>
      <c r="T280" s="105"/>
      <c r="U280" s="108"/>
      <c r="V280" s="105"/>
      <c r="W280" s="105"/>
      <c r="X280" s="105"/>
      <c r="Y280" s="105"/>
      <c r="Z280" s="105"/>
      <c r="AA280" s="108"/>
      <c r="AB280" s="108"/>
      <c r="AC280" s="105"/>
      <c r="AD280" s="279"/>
      <c r="AE280" s="105"/>
      <c r="AF280" s="279"/>
      <c r="AG280" s="105"/>
      <c r="AH280" s="108"/>
      <c r="AI280" s="108"/>
      <c r="AJ280" s="108"/>
      <c r="AK280" s="108"/>
      <c r="AL280" s="105"/>
      <c r="AM280" s="108"/>
      <c r="AN280" s="105"/>
      <c r="AO280" s="108"/>
      <c r="AP280" s="108"/>
      <c r="AQ280" s="105"/>
      <c r="AR280" s="108"/>
      <c r="AS280" s="108"/>
      <c r="AT280" s="105"/>
      <c r="AU280" s="105"/>
      <c r="AV280" s="105"/>
      <c r="AW280" s="105"/>
      <c r="AX280" s="105"/>
      <c r="AY280" s="105"/>
      <c r="AZ280" s="105"/>
      <c r="BA280" s="105"/>
      <c r="BB280" s="105"/>
      <c r="BC280" s="105"/>
      <c r="BD280" s="108"/>
      <c r="BE280" s="83">
        <f>IF($A280="","",IF(TRIM($D280&amp;"")="",IF(TRIM($AX280&amp;$AY280&amp;$AZ280&amp;$BA280&amp;$BB280&amp;$BC280&amp;$BD280&amp;"")="","","SUBARRENDADO"),IFERROR(IF(VLOOKUP($D280,VEHICULOS!$A$3:$H$202,7,FALSE)="","",VLOOKUP($D280,VEHICULOS!$A$3:$H$202,7,FALSE)),"")))</f>
      </c>
      <c r="BF280" s="82">
        <f>IF($A280="","",IF(TRIM($BC280&amp;"")&lt;&gt;"",$BC280,IF(TRIM($D280&amp;"")="","",IFERROR(IF(VLOOKUP($D280,VEHICULOS!$A$3:$H$202,8,FALSE)="","",VLOOKUP($D280,VEHICULOS!$A$3:$H$202,8,FALSE)),""))))</f>
      </c>
      <c r="BG280" s="106"/>
      <c r="BH280" s="107"/>
      <c r="BI280" s="86">
        <f t="shared" si="60"/>
      </c>
      <c r="BJ280" s="83">
        <f t="shared" si="61"/>
      </c>
      <c r="BK280" s="85">
        <f t="shared" si="62"/>
      </c>
      <c r="BL280" s="85">
        <f t="shared" si="63"/>
      </c>
      <c r="BM280" s="108"/>
      <c r="BN280" s="85">
        <f t="shared" si="64"/>
      </c>
      <c r="BO280" s="108"/>
      <c r="BP280" s="85">
        <f t="shared" si="65"/>
      </c>
      <c r="BQ280" s="85">
        <f t="shared" si="66"/>
      </c>
      <c r="BR280" s="108"/>
      <c r="BS280" s="104"/>
      <c r="BT280" s="87">
        <f t="shared" si="67"/>
      </c>
      <c r="BU280" s="85">
        <f t="shared" si="68"/>
      </c>
      <c r="BV280" s="85">
        <f t="shared" si="69"/>
      </c>
      <c r="BW280" s="87">
        <f t="shared" si="70"/>
      </c>
      <c r="BX280" s="104"/>
      <c r="BY280" s="106"/>
      <c r="BZ280" s="104"/>
      <c r="CA280" s="105"/>
      <c r="CB280" s="77">
        <f>IF($A280="",0,IF($B280='FICHA CLIENTE'!$C$4,1,0))</f>
      </c>
      <c r="CC280" s="77">
        <f t="shared" si="71"/>
      </c>
      <c r="CD280" s="77">
        <f>IF($A280="",0,IF($D280='FICHA VEHICULO'!$C$4,1,0))</f>
      </c>
      <c r="CE280" s="77">
        <f t="shared" si="72"/>
      </c>
      <c r="CF280" s="77">
        <f t="shared" si="73"/>
      </c>
      <c r="CG280" s="77">
        <f t="shared" si="74"/>
      </c>
    </row>
    <row r="281" spans="1:85" ht="19.5" customHeight="1" x14ac:dyDescent="0.2">
      <c r="A281" s="104"/>
      <c r="B281" s="104"/>
      <c r="C281" s="105"/>
      <c r="D281" s="104"/>
      <c r="E281" s="105"/>
      <c r="F281" s="106"/>
      <c r="G281" s="104"/>
      <c r="H281" s="106"/>
      <c r="I281" s="107"/>
      <c r="J281" s="108"/>
      <c r="K281" s="108"/>
      <c r="L281" s="108"/>
      <c r="M281" s="105"/>
      <c r="N281" s="105"/>
      <c r="O281" s="105"/>
      <c r="P281" s="108"/>
      <c r="Q281" s="105"/>
      <c r="R281" s="105"/>
      <c r="S281" s="105"/>
      <c r="T281" s="105"/>
      <c r="U281" s="108"/>
      <c r="V281" s="105"/>
      <c r="W281" s="105"/>
      <c r="X281" s="105"/>
      <c r="Y281" s="105"/>
      <c r="Z281" s="105"/>
      <c r="AA281" s="108"/>
      <c r="AB281" s="108"/>
      <c r="AC281" s="105"/>
      <c r="AD281" s="279"/>
      <c r="AE281" s="105"/>
      <c r="AF281" s="279"/>
      <c r="AG281" s="105"/>
      <c r="AH281" s="108"/>
      <c r="AI281" s="108"/>
      <c r="AJ281" s="108"/>
      <c r="AK281" s="108"/>
      <c r="AL281" s="105"/>
      <c r="AM281" s="108"/>
      <c r="AN281" s="105"/>
      <c r="AO281" s="108"/>
      <c r="AP281" s="108"/>
      <c r="AQ281" s="105"/>
      <c r="AR281" s="108"/>
      <c r="AS281" s="108"/>
      <c r="AT281" s="105"/>
      <c r="AU281" s="105"/>
      <c r="AV281" s="105"/>
      <c r="AW281" s="105"/>
      <c r="AX281" s="105"/>
      <c r="AY281" s="105"/>
      <c r="AZ281" s="105"/>
      <c r="BA281" s="105"/>
      <c r="BB281" s="105"/>
      <c r="BC281" s="105"/>
      <c r="BD281" s="108"/>
      <c r="BE281" s="83">
        <f>IF($A281="","",IF(TRIM($D281&amp;"")="",IF(TRIM($AX281&amp;$AY281&amp;$AZ281&amp;$BA281&amp;$BB281&amp;$BC281&amp;$BD281&amp;"")="","","SUBARRENDADO"),IFERROR(IF(VLOOKUP($D281,VEHICULOS!$A$3:$H$202,7,FALSE)="","",VLOOKUP($D281,VEHICULOS!$A$3:$H$202,7,FALSE)),"")))</f>
      </c>
      <c r="BF281" s="82">
        <f>IF($A281="","",IF(TRIM($BC281&amp;"")&lt;&gt;"",$BC281,IF(TRIM($D281&amp;"")="","",IFERROR(IF(VLOOKUP($D281,VEHICULOS!$A$3:$H$202,8,FALSE)="","",VLOOKUP($D281,VEHICULOS!$A$3:$H$202,8,FALSE)),""))))</f>
      </c>
      <c r="BG281" s="106"/>
      <c r="BH281" s="107"/>
      <c r="BI281" s="86">
        <f t="shared" si="60"/>
      </c>
      <c r="BJ281" s="83">
        <f t="shared" si="61"/>
      </c>
      <c r="BK281" s="85">
        <f t="shared" si="62"/>
      </c>
      <c r="BL281" s="85">
        <f t="shared" si="63"/>
      </c>
      <c r="BM281" s="108"/>
      <c r="BN281" s="85">
        <f t="shared" si="64"/>
      </c>
      <c r="BO281" s="108"/>
      <c r="BP281" s="85">
        <f t="shared" si="65"/>
      </c>
      <c r="BQ281" s="85">
        <f t="shared" si="66"/>
      </c>
      <c r="BR281" s="108"/>
      <c r="BS281" s="104"/>
      <c r="BT281" s="87">
        <f t="shared" si="67"/>
      </c>
      <c r="BU281" s="85">
        <f t="shared" si="68"/>
      </c>
      <c r="BV281" s="85">
        <f t="shared" si="69"/>
      </c>
      <c r="BW281" s="87">
        <f t="shared" si="70"/>
      </c>
      <c r="BX281" s="104"/>
      <c r="BY281" s="106"/>
      <c r="BZ281" s="104"/>
      <c r="CA281" s="105"/>
      <c r="CB281" s="77">
        <f>IF($A281="",0,IF($B281='FICHA CLIENTE'!$C$4,1,0))</f>
      </c>
      <c r="CC281" s="77">
        <f t="shared" si="71"/>
      </c>
      <c r="CD281" s="77">
        <f>IF($A281="",0,IF($D281='FICHA VEHICULO'!$C$4,1,0))</f>
      </c>
      <c r="CE281" s="77">
        <f t="shared" si="72"/>
      </c>
      <c r="CF281" s="77">
        <f t="shared" si="73"/>
      </c>
      <c r="CG281" s="77">
        <f t="shared" si="74"/>
      </c>
    </row>
    <row r="282" spans="1:85" ht="19.5" customHeight="1" x14ac:dyDescent="0.2">
      <c r="A282" s="104"/>
      <c r="B282" s="104"/>
      <c r="C282" s="105"/>
      <c r="D282" s="104"/>
      <c r="E282" s="105"/>
      <c r="F282" s="106"/>
      <c r="G282" s="104"/>
      <c r="H282" s="106"/>
      <c r="I282" s="107"/>
      <c r="J282" s="108"/>
      <c r="K282" s="108"/>
      <c r="L282" s="108"/>
      <c r="M282" s="105"/>
      <c r="N282" s="105"/>
      <c r="O282" s="105"/>
      <c r="P282" s="108"/>
      <c r="Q282" s="105"/>
      <c r="R282" s="105"/>
      <c r="S282" s="105"/>
      <c r="T282" s="105"/>
      <c r="U282" s="108"/>
      <c r="V282" s="105"/>
      <c r="W282" s="105"/>
      <c r="X282" s="105"/>
      <c r="Y282" s="105"/>
      <c r="Z282" s="105"/>
      <c r="AA282" s="108"/>
      <c r="AB282" s="108"/>
      <c r="AC282" s="105"/>
      <c r="AD282" s="279"/>
      <c r="AE282" s="105"/>
      <c r="AF282" s="279"/>
      <c r="AG282" s="105"/>
      <c r="AH282" s="108"/>
      <c r="AI282" s="108"/>
      <c r="AJ282" s="108"/>
      <c r="AK282" s="108"/>
      <c r="AL282" s="105"/>
      <c r="AM282" s="108"/>
      <c r="AN282" s="105"/>
      <c r="AO282" s="108"/>
      <c r="AP282" s="108"/>
      <c r="AQ282" s="105"/>
      <c r="AR282" s="108"/>
      <c r="AS282" s="108"/>
      <c r="AT282" s="105"/>
      <c r="AU282" s="105"/>
      <c r="AV282" s="105"/>
      <c r="AW282" s="105"/>
      <c r="AX282" s="105"/>
      <c r="AY282" s="105"/>
      <c r="AZ282" s="105"/>
      <c r="BA282" s="105"/>
      <c r="BB282" s="105"/>
      <c r="BC282" s="105"/>
      <c r="BD282" s="108"/>
      <c r="BE282" s="83">
        <f>IF($A282="","",IF(TRIM($D282&amp;"")="",IF(TRIM($AX282&amp;$AY282&amp;$AZ282&amp;$BA282&amp;$BB282&amp;$BC282&amp;$BD282&amp;"")="","","SUBARRENDADO"),IFERROR(IF(VLOOKUP($D282,VEHICULOS!$A$3:$H$202,7,FALSE)="","",VLOOKUP($D282,VEHICULOS!$A$3:$H$202,7,FALSE)),"")))</f>
      </c>
      <c r="BF282" s="82">
        <f>IF($A282="","",IF(TRIM($BC282&amp;"")&lt;&gt;"",$BC282,IF(TRIM($D282&amp;"")="","",IFERROR(IF(VLOOKUP($D282,VEHICULOS!$A$3:$H$202,8,FALSE)="","",VLOOKUP($D282,VEHICULOS!$A$3:$H$202,8,FALSE)),""))))</f>
      </c>
      <c r="BG282" s="106"/>
      <c r="BH282" s="107"/>
      <c r="BI282" s="86">
        <f t="shared" si="60"/>
      </c>
      <c r="BJ282" s="83">
        <f t="shared" si="61"/>
      </c>
      <c r="BK282" s="85">
        <f t="shared" si="62"/>
      </c>
      <c r="BL282" s="85">
        <f t="shared" si="63"/>
      </c>
      <c r="BM282" s="108"/>
      <c r="BN282" s="85">
        <f t="shared" si="64"/>
      </c>
      <c r="BO282" s="108"/>
      <c r="BP282" s="85">
        <f t="shared" si="65"/>
      </c>
      <c r="BQ282" s="85">
        <f t="shared" si="66"/>
      </c>
      <c r="BR282" s="108"/>
      <c r="BS282" s="104"/>
      <c r="BT282" s="87">
        <f t="shared" si="67"/>
      </c>
      <c r="BU282" s="85">
        <f t="shared" si="68"/>
      </c>
      <c r="BV282" s="85">
        <f t="shared" si="69"/>
      </c>
      <c r="BW282" s="87">
        <f t="shared" si="70"/>
      </c>
      <c r="BX282" s="104"/>
      <c r="BY282" s="106"/>
      <c r="BZ282" s="104"/>
      <c r="CA282" s="105"/>
      <c r="CB282" s="77">
        <f>IF($A282="",0,IF($B282='FICHA CLIENTE'!$C$4,1,0))</f>
      </c>
      <c r="CC282" s="77">
        <f t="shared" si="71"/>
      </c>
      <c r="CD282" s="77">
        <f>IF($A282="",0,IF($D282='FICHA VEHICULO'!$C$4,1,0))</f>
      </c>
      <c r="CE282" s="77">
        <f t="shared" si="72"/>
      </c>
      <c r="CF282" s="77">
        <f t="shared" si="73"/>
      </c>
      <c r="CG282" s="77">
        <f t="shared" si="74"/>
      </c>
    </row>
    <row r="283" spans="1:85" ht="19.5" customHeight="1" x14ac:dyDescent="0.2">
      <c r="A283" s="104"/>
      <c r="B283" s="104"/>
      <c r="C283" s="105"/>
      <c r="D283" s="104"/>
      <c r="E283" s="105"/>
      <c r="F283" s="106"/>
      <c r="G283" s="104"/>
      <c r="H283" s="106"/>
      <c r="I283" s="107"/>
      <c r="J283" s="108"/>
      <c r="K283" s="108"/>
      <c r="L283" s="108"/>
      <c r="M283" s="105"/>
      <c r="N283" s="105"/>
      <c r="O283" s="105"/>
      <c r="P283" s="108"/>
      <c r="Q283" s="105"/>
      <c r="R283" s="105"/>
      <c r="S283" s="105"/>
      <c r="T283" s="105"/>
      <c r="U283" s="108"/>
      <c r="V283" s="105"/>
      <c r="W283" s="105"/>
      <c r="X283" s="105"/>
      <c r="Y283" s="105"/>
      <c r="Z283" s="105"/>
      <c r="AA283" s="108"/>
      <c r="AB283" s="108"/>
      <c r="AC283" s="105"/>
      <c r="AD283" s="279"/>
      <c r="AE283" s="105"/>
      <c r="AF283" s="279"/>
      <c r="AG283" s="105"/>
      <c r="AH283" s="108"/>
      <c r="AI283" s="108"/>
      <c r="AJ283" s="108"/>
      <c r="AK283" s="108"/>
      <c r="AL283" s="105"/>
      <c r="AM283" s="108"/>
      <c r="AN283" s="105"/>
      <c r="AO283" s="108"/>
      <c r="AP283" s="108"/>
      <c r="AQ283" s="105"/>
      <c r="AR283" s="108"/>
      <c r="AS283" s="108"/>
      <c r="AT283" s="105"/>
      <c r="AU283" s="105"/>
      <c r="AV283" s="105"/>
      <c r="AW283" s="105"/>
      <c r="AX283" s="105"/>
      <c r="AY283" s="105"/>
      <c r="AZ283" s="105"/>
      <c r="BA283" s="105"/>
      <c r="BB283" s="105"/>
      <c r="BC283" s="105"/>
      <c r="BD283" s="108"/>
      <c r="BE283" s="83">
        <f>IF($A283="","",IF(TRIM($D283&amp;"")="",IF(TRIM($AX283&amp;$AY283&amp;$AZ283&amp;$BA283&amp;$BB283&amp;$BC283&amp;$BD283&amp;"")="","","SUBARRENDADO"),IFERROR(IF(VLOOKUP($D283,VEHICULOS!$A$3:$H$202,7,FALSE)="","",VLOOKUP($D283,VEHICULOS!$A$3:$H$202,7,FALSE)),"")))</f>
      </c>
      <c r="BF283" s="82">
        <f>IF($A283="","",IF(TRIM($BC283&amp;"")&lt;&gt;"",$BC283,IF(TRIM($D283&amp;"")="","",IFERROR(IF(VLOOKUP($D283,VEHICULOS!$A$3:$H$202,8,FALSE)="","",VLOOKUP($D283,VEHICULOS!$A$3:$H$202,8,FALSE)),""))))</f>
      </c>
      <c r="BG283" s="106"/>
      <c r="BH283" s="107"/>
      <c r="BI283" s="86">
        <f t="shared" si="60"/>
      </c>
      <c r="BJ283" s="83">
        <f t="shared" si="61"/>
      </c>
      <c r="BK283" s="85">
        <f t="shared" si="62"/>
      </c>
      <c r="BL283" s="85">
        <f t="shared" si="63"/>
      </c>
      <c r="BM283" s="108"/>
      <c r="BN283" s="85">
        <f t="shared" si="64"/>
      </c>
      <c r="BO283" s="108"/>
      <c r="BP283" s="85">
        <f t="shared" si="65"/>
      </c>
      <c r="BQ283" s="85">
        <f t="shared" si="66"/>
      </c>
      <c r="BR283" s="108"/>
      <c r="BS283" s="104"/>
      <c r="BT283" s="87">
        <f t="shared" si="67"/>
      </c>
      <c r="BU283" s="85">
        <f t="shared" si="68"/>
      </c>
      <c r="BV283" s="85">
        <f t="shared" si="69"/>
      </c>
      <c r="BW283" s="87">
        <f t="shared" si="70"/>
      </c>
      <c r="BX283" s="104"/>
      <c r="BY283" s="106"/>
      <c r="BZ283" s="104"/>
      <c r="CA283" s="105"/>
      <c r="CB283" s="77">
        <f>IF($A283="",0,IF($B283='FICHA CLIENTE'!$C$4,1,0))</f>
      </c>
      <c r="CC283" s="77">
        <f t="shared" si="71"/>
      </c>
      <c r="CD283" s="77">
        <f>IF($A283="",0,IF($D283='FICHA VEHICULO'!$C$4,1,0))</f>
      </c>
      <c r="CE283" s="77">
        <f t="shared" si="72"/>
      </c>
      <c r="CF283" s="77">
        <f t="shared" si="73"/>
      </c>
      <c r="CG283" s="77">
        <f t="shared" si="74"/>
      </c>
    </row>
    <row r="284" spans="1:85" ht="19.5" customHeight="1" x14ac:dyDescent="0.2">
      <c r="A284" s="104"/>
      <c r="B284" s="104"/>
      <c r="C284" s="105"/>
      <c r="D284" s="104"/>
      <c r="E284" s="105"/>
      <c r="F284" s="106"/>
      <c r="G284" s="104"/>
      <c r="H284" s="106"/>
      <c r="I284" s="107"/>
      <c r="J284" s="108"/>
      <c r="K284" s="108"/>
      <c r="L284" s="108"/>
      <c r="M284" s="105"/>
      <c r="N284" s="105"/>
      <c r="O284" s="105"/>
      <c r="P284" s="108"/>
      <c r="Q284" s="105"/>
      <c r="R284" s="105"/>
      <c r="S284" s="105"/>
      <c r="T284" s="105"/>
      <c r="U284" s="108"/>
      <c r="V284" s="105"/>
      <c r="W284" s="105"/>
      <c r="X284" s="105"/>
      <c r="Y284" s="105"/>
      <c r="Z284" s="105"/>
      <c r="AA284" s="108"/>
      <c r="AB284" s="108"/>
      <c r="AC284" s="105"/>
      <c r="AD284" s="279"/>
      <c r="AE284" s="105"/>
      <c r="AF284" s="279"/>
      <c r="AG284" s="105"/>
      <c r="AH284" s="108"/>
      <c r="AI284" s="108"/>
      <c r="AJ284" s="108"/>
      <c r="AK284" s="108"/>
      <c r="AL284" s="105"/>
      <c r="AM284" s="108"/>
      <c r="AN284" s="105"/>
      <c r="AO284" s="108"/>
      <c r="AP284" s="108"/>
      <c r="AQ284" s="105"/>
      <c r="AR284" s="108"/>
      <c r="AS284" s="108"/>
      <c r="AT284" s="105"/>
      <c r="AU284" s="105"/>
      <c r="AV284" s="105"/>
      <c r="AW284" s="105"/>
      <c r="AX284" s="105"/>
      <c r="AY284" s="105"/>
      <c r="AZ284" s="105"/>
      <c r="BA284" s="105"/>
      <c r="BB284" s="105"/>
      <c r="BC284" s="105"/>
      <c r="BD284" s="108"/>
      <c r="BE284" s="83">
        <f>IF($A284="","",IF(TRIM($D284&amp;"")="",IF(TRIM($AX284&amp;$AY284&amp;$AZ284&amp;$BA284&amp;$BB284&amp;$BC284&amp;$BD284&amp;"")="","","SUBARRENDADO"),IFERROR(IF(VLOOKUP($D284,VEHICULOS!$A$3:$H$202,7,FALSE)="","",VLOOKUP($D284,VEHICULOS!$A$3:$H$202,7,FALSE)),"")))</f>
      </c>
      <c r="BF284" s="82">
        <f>IF($A284="","",IF(TRIM($BC284&amp;"")&lt;&gt;"",$BC284,IF(TRIM($D284&amp;"")="","",IFERROR(IF(VLOOKUP($D284,VEHICULOS!$A$3:$H$202,8,FALSE)="","",VLOOKUP($D284,VEHICULOS!$A$3:$H$202,8,FALSE)),""))))</f>
      </c>
      <c r="BG284" s="106"/>
      <c r="BH284" s="107"/>
      <c r="BI284" s="86">
        <f t="shared" si="60"/>
      </c>
      <c r="BJ284" s="83">
        <f t="shared" si="61"/>
      </c>
      <c r="BK284" s="85">
        <f t="shared" si="62"/>
      </c>
      <c r="BL284" s="85">
        <f t="shared" si="63"/>
      </c>
      <c r="BM284" s="108"/>
      <c r="BN284" s="85">
        <f t="shared" si="64"/>
      </c>
      <c r="BO284" s="108"/>
      <c r="BP284" s="85">
        <f t="shared" si="65"/>
      </c>
      <c r="BQ284" s="85">
        <f t="shared" si="66"/>
      </c>
      <c r="BR284" s="108"/>
      <c r="BS284" s="104"/>
      <c r="BT284" s="87">
        <f t="shared" si="67"/>
      </c>
      <c r="BU284" s="85">
        <f t="shared" si="68"/>
      </c>
      <c r="BV284" s="85">
        <f t="shared" si="69"/>
      </c>
      <c r="BW284" s="87">
        <f t="shared" si="70"/>
      </c>
      <c r="BX284" s="104"/>
      <c r="BY284" s="106"/>
      <c r="BZ284" s="104"/>
      <c r="CA284" s="105"/>
      <c r="CB284" s="77">
        <f>IF($A284="",0,IF($B284='FICHA CLIENTE'!$C$4,1,0))</f>
      </c>
      <c r="CC284" s="77">
        <f t="shared" si="71"/>
      </c>
      <c r="CD284" s="77">
        <f>IF($A284="",0,IF($D284='FICHA VEHICULO'!$C$4,1,0))</f>
      </c>
      <c r="CE284" s="77">
        <f t="shared" si="72"/>
      </c>
      <c r="CF284" s="77">
        <f t="shared" si="73"/>
      </c>
      <c r="CG284" s="77">
        <f t="shared" si="74"/>
      </c>
    </row>
    <row r="285" spans="1:85" ht="19.5" customHeight="1" x14ac:dyDescent="0.2">
      <c r="A285" s="104"/>
      <c r="B285" s="104"/>
      <c r="C285" s="105"/>
      <c r="D285" s="104"/>
      <c r="E285" s="105"/>
      <c r="F285" s="106"/>
      <c r="G285" s="104"/>
      <c r="H285" s="106"/>
      <c r="I285" s="107"/>
      <c r="J285" s="108"/>
      <c r="K285" s="108"/>
      <c r="L285" s="108"/>
      <c r="M285" s="105"/>
      <c r="N285" s="105"/>
      <c r="O285" s="105"/>
      <c r="P285" s="108"/>
      <c r="Q285" s="105"/>
      <c r="R285" s="105"/>
      <c r="S285" s="105"/>
      <c r="T285" s="105"/>
      <c r="U285" s="108"/>
      <c r="V285" s="105"/>
      <c r="W285" s="105"/>
      <c r="X285" s="105"/>
      <c r="Y285" s="105"/>
      <c r="Z285" s="105"/>
      <c r="AA285" s="108"/>
      <c r="AB285" s="108"/>
      <c r="AC285" s="105"/>
      <c r="AD285" s="279"/>
      <c r="AE285" s="105"/>
      <c r="AF285" s="279"/>
      <c r="AG285" s="105"/>
      <c r="AH285" s="108"/>
      <c r="AI285" s="108"/>
      <c r="AJ285" s="108"/>
      <c r="AK285" s="108"/>
      <c r="AL285" s="105"/>
      <c r="AM285" s="108"/>
      <c r="AN285" s="105"/>
      <c r="AO285" s="108"/>
      <c r="AP285" s="108"/>
      <c r="AQ285" s="105"/>
      <c r="AR285" s="108"/>
      <c r="AS285" s="108"/>
      <c r="AT285" s="105"/>
      <c r="AU285" s="105"/>
      <c r="AV285" s="105"/>
      <c r="AW285" s="105"/>
      <c r="AX285" s="105"/>
      <c r="AY285" s="105"/>
      <c r="AZ285" s="105"/>
      <c r="BA285" s="105"/>
      <c r="BB285" s="105"/>
      <c r="BC285" s="105"/>
      <c r="BD285" s="108"/>
      <c r="BE285" s="83">
        <f>IF($A285="","",IF(TRIM($D285&amp;"")="",IF(TRIM($AX285&amp;$AY285&amp;$AZ285&amp;$BA285&amp;$BB285&amp;$BC285&amp;$BD285&amp;"")="","","SUBARRENDADO"),IFERROR(IF(VLOOKUP($D285,VEHICULOS!$A$3:$H$202,7,FALSE)="","",VLOOKUP($D285,VEHICULOS!$A$3:$H$202,7,FALSE)),"")))</f>
      </c>
      <c r="BF285" s="82">
        <f>IF($A285="","",IF(TRIM($BC285&amp;"")&lt;&gt;"",$BC285,IF(TRIM($D285&amp;"")="","",IFERROR(IF(VLOOKUP($D285,VEHICULOS!$A$3:$H$202,8,FALSE)="","",VLOOKUP($D285,VEHICULOS!$A$3:$H$202,8,FALSE)),""))))</f>
      </c>
      <c r="BG285" s="106"/>
      <c r="BH285" s="107"/>
      <c r="BI285" s="86">
        <f t="shared" si="60"/>
      </c>
      <c r="BJ285" s="83">
        <f t="shared" si="61"/>
      </c>
      <c r="BK285" s="85">
        <f t="shared" si="62"/>
      </c>
      <c r="BL285" s="85">
        <f t="shared" si="63"/>
      </c>
      <c r="BM285" s="108"/>
      <c r="BN285" s="85">
        <f t="shared" si="64"/>
      </c>
      <c r="BO285" s="108"/>
      <c r="BP285" s="85">
        <f t="shared" si="65"/>
      </c>
      <c r="BQ285" s="85">
        <f t="shared" si="66"/>
      </c>
      <c r="BR285" s="108"/>
      <c r="BS285" s="104"/>
      <c r="BT285" s="87">
        <f t="shared" si="67"/>
      </c>
      <c r="BU285" s="85">
        <f t="shared" si="68"/>
      </c>
      <c r="BV285" s="85">
        <f t="shared" si="69"/>
      </c>
      <c r="BW285" s="87">
        <f t="shared" si="70"/>
      </c>
      <c r="BX285" s="104"/>
      <c r="BY285" s="106"/>
      <c r="BZ285" s="104"/>
      <c r="CA285" s="105"/>
      <c r="CB285" s="77">
        <f>IF($A285="",0,IF($B285='FICHA CLIENTE'!$C$4,1,0))</f>
      </c>
      <c r="CC285" s="77">
        <f t="shared" si="71"/>
      </c>
      <c r="CD285" s="77">
        <f>IF($A285="",0,IF($D285='FICHA VEHICULO'!$C$4,1,0))</f>
      </c>
      <c r="CE285" s="77">
        <f t="shared" si="72"/>
      </c>
      <c r="CF285" s="77">
        <f t="shared" si="73"/>
      </c>
      <c r="CG285" s="77">
        <f t="shared" si="74"/>
      </c>
    </row>
    <row r="286" spans="1:85" ht="19.5" customHeight="1" x14ac:dyDescent="0.2">
      <c r="A286" s="104"/>
      <c r="B286" s="104"/>
      <c r="C286" s="105"/>
      <c r="D286" s="104"/>
      <c r="E286" s="105"/>
      <c r="F286" s="106"/>
      <c r="G286" s="104"/>
      <c r="H286" s="106"/>
      <c r="I286" s="107"/>
      <c r="J286" s="108"/>
      <c r="K286" s="108"/>
      <c r="L286" s="108"/>
      <c r="M286" s="105"/>
      <c r="N286" s="105"/>
      <c r="O286" s="105"/>
      <c r="P286" s="108"/>
      <c r="Q286" s="105"/>
      <c r="R286" s="105"/>
      <c r="S286" s="105"/>
      <c r="T286" s="105"/>
      <c r="U286" s="108"/>
      <c r="V286" s="105"/>
      <c r="W286" s="105"/>
      <c r="X286" s="105"/>
      <c r="Y286" s="105"/>
      <c r="Z286" s="105"/>
      <c r="AA286" s="108"/>
      <c r="AB286" s="108"/>
      <c r="AC286" s="105"/>
      <c r="AD286" s="279"/>
      <c r="AE286" s="105"/>
      <c r="AF286" s="279"/>
      <c r="AG286" s="105"/>
      <c r="AH286" s="108"/>
      <c r="AI286" s="108"/>
      <c r="AJ286" s="108"/>
      <c r="AK286" s="108"/>
      <c r="AL286" s="105"/>
      <c r="AM286" s="108"/>
      <c r="AN286" s="105"/>
      <c r="AO286" s="108"/>
      <c r="AP286" s="108"/>
      <c r="AQ286" s="105"/>
      <c r="AR286" s="108"/>
      <c r="AS286" s="108"/>
      <c r="AT286" s="105"/>
      <c r="AU286" s="105"/>
      <c r="AV286" s="105"/>
      <c r="AW286" s="105"/>
      <c r="AX286" s="105"/>
      <c r="AY286" s="105"/>
      <c r="AZ286" s="105"/>
      <c r="BA286" s="105"/>
      <c r="BB286" s="105"/>
      <c r="BC286" s="105"/>
      <c r="BD286" s="108"/>
      <c r="BE286" s="83">
        <f>IF($A286="","",IF(TRIM($D286&amp;"")="",IF(TRIM($AX286&amp;$AY286&amp;$AZ286&amp;$BA286&amp;$BB286&amp;$BC286&amp;$BD286&amp;"")="","","SUBARRENDADO"),IFERROR(IF(VLOOKUP($D286,VEHICULOS!$A$3:$H$202,7,FALSE)="","",VLOOKUP($D286,VEHICULOS!$A$3:$H$202,7,FALSE)),"")))</f>
      </c>
      <c r="BF286" s="82">
        <f>IF($A286="","",IF(TRIM($BC286&amp;"")&lt;&gt;"",$BC286,IF(TRIM($D286&amp;"")="","",IFERROR(IF(VLOOKUP($D286,VEHICULOS!$A$3:$H$202,8,FALSE)="","",VLOOKUP($D286,VEHICULOS!$A$3:$H$202,8,FALSE)),""))))</f>
      </c>
      <c r="BG286" s="106"/>
      <c r="BH286" s="107"/>
      <c r="BI286" s="86">
        <f t="shared" si="60"/>
      </c>
      <c r="BJ286" s="83">
        <f t="shared" si="61"/>
      </c>
      <c r="BK286" s="85">
        <f t="shared" si="62"/>
      </c>
      <c r="BL286" s="85">
        <f t="shared" si="63"/>
      </c>
      <c r="BM286" s="108"/>
      <c r="BN286" s="85">
        <f t="shared" si="64"/>
      </c>
      <c r="BO286" s="108"/>
      <c r="BP286" s="85">
        <f t="shared" si="65"/>
      </c>
      <c r="BQ286" s="85">
        <f t="shared" si="66"/>
      </c>
      <c r="BR286" s="108"/>
      <c r="BS286" s="104"/>
      <c r="BT286" s="87">
        <f t="shared" si="67"/>
      </c>
      <c r="BU286" s="85">
        <f t="shared" si="68"/>
      </c>
      <c r="BV286" s="85">
        <f t="shared" si="69"/>
      </c>
      <c r="BW286" s="87">
        <f t="shared" si="70"/>
      </c>
      <c r="BX286" s="104"/>
      <c r="BY286" s="106"/>
      <c r="BZ286" s="104"/>
      <c r="CA286" s="105"/>
      <c r="CB286" s="77">
        <f>IF($A286="",0,IF($B286='FICHA CLIENTE'!$C$4,1,0))</f>
      </c>
      <c r="CC286" s="77">
        <f t="shared" si="71"/>
      </c>
      <c r="CD286" s="77">
        <f>IF($A286="",0,IF($D286='FICHA VEHICULO'!$C$4,1,0))</f>
      </c>
      <c r="CE286" s="77">
        <f t="shared" si="72"/>
      </c>
      <c r="CF286" s="77">
        <f t="shared" si="73"/>
      </c>
      <c r="CG286" s="77">
        <f t="shared" si="74"/>
      </c>
    </row>
    <row r="287" spans="1:85" ht="19.5" customHeight="1" x14ac:dyDescent="0.2">
      <c r="A287" s="104"/>
      <c r="B287" s="104"/>
      <c r="C287" s="105"/>
      <c r="D287" s="104"/>
      <c r="E287" s="105"/>
      <c r="F287" s="106"/>
      <c r="G287" s="104"/>
      <c r="H287" s="106"/>
      <c r="I287" s="107"/>
      <c r="J287" s="108"/>
      <c r="K287" s="108"/>
      <c r="L287" s="108"/>
      <c r="M287" s="105"/>
      <c r="N287" s="105"/>
      <c r="O287" s="105"/>
      <c r="P287" s="108"/>
      <c r="Q287" s="105"/>
      <c r="R287" s="105"/>
      <c r="S287" s="105"/>
      <c r="T287" s="105"/>
      <c r="U287" s="108"/>
      <c r="V287" s="105"/>
      <c r="W287" s="105"/>
      <c r="X287" s="105"/>
      <c r="Y287" s="105"/>
      <c r="Z287" s="105"/>
      <c r="AA287" s="108"/>
      <c r="AB287" s="108"/>
      <c r="AC287" s="105"/>
      <c r="AD287" s="279"/>
      <c r="AE287" s="105"/>
      <c r="AF287" s="279"/>
      <c r="AG287" s="105"/>
      <c r="AH287" s="108"/>
      <c r="AI287" s="108"/>
      <c r="AJ287" s="108"/>
      <c r="AK287" s="108"/>
      <c r="AL287" s="105"/>
      <c r="AM287" s="108"/>
      <c r="AN287" s="105"/>
      <c r="AO287" s="108"/>
      <c r="AP287" s="108"/>
      <c r="AQ287" s="105"/>
      <c r="AR287" s="108"/>
      <c r="AS287" s="108"/>
      <c r="AT287" s="105"/>
      <c r="AU287" s="105"/>
      <c r="AV287" s="105"/>
      <c r="AW287" s="105"/>
      <c r="AX287" s="105"/>
      <c r="AY287" s="105"/>
      <c r="AZ287" s="105"/>
      <c r="BA287" s="105"/>
      <c r="BB287" s="105"/>
      <c r="BC287" s="105"/>
      <c r="BD287" s="108"/>
      <c r="BE287" s="83">
        <f>IF($A287="","",IF(TRIM($D287&amp;"")="",IF(TRIM($AX287&amp;$AY287&amp;$AZ287&amp;$BA287&amp;$BB287&amp;$BC287&amp;$BD287&amp;"")="","","SUBARRENDADO"),IFERROR(IF(VLOOKUP($D287,VEHICULOS!$A$3:$H$202,7,FALSE)="","",VLOOKUP($D287,VEHICULOS!$A$3:$H$202,7,FALSE)),"")))</f>
      </c>
      <c r="BF287" s="82">
        <f>IF($A287="","",IF(TRIM($BC287&amp;"")&lt;&gt;"",$BC287,IF(TRIM($D287&amp;"")="","",IFERROR(IF(VLOOKUP($D287,VEHICULOS!$A$3:$H$202,8,FALSE)="","",VLOOKUP($D287,VEHICULOS!$A$3:$H$202,8,FALSE)),""))))</f>
      </c>
      <c r="BG287" s="106"/>
      <c r="BH287" s="107"/>
      <c r="BI287" s="86">
        <f t="shared" si="60"/>
      </c>
      <c r="BJ287" s="83">
        <f t="shared" si="61"/>
      </c>
      <c r="BK287" s="85">
        <f t="shared" si="62"/>
      </c>
      <c r="BL287" s="85">
        <f t="shared" si="63"/>
      </c>
      <c r="BM287" s="108"/>
      <c r="BN287" s="85">
        <f t="shared" si="64"/>
      </c>
      <c r="BO287" s="108"/>
      <c r="BP287" s="85">
        <f t="shared" si="65"/>
      </c>
      <c r="BQ287" s="85">
        <f t="shared" si="66"/>
      </c>
      <c r="BR287" s="108"/>
      <c r="BS287" s="104"/>
      <c r="BT287" s="87">
        <f t="shared" si="67"/>
      </c>
      <c r="BU287" s="85">
        <f t="shared" si="68"/>
      </c>
      <c r="BV287" s="85">
        <f t="shared" si="69"/>
      </c>
      <c r="BW287" s="87">
        <f t="shared" si="70"/>
      </c>
      <c r="BX287" s="104"/>
      <c r="BY287" s="106"/>
      <c r="BZ287" s="104"/>
      <c r="CA287" s="105"/>
      <c r="CB287" s="77">
        <f>IF($A287="",0,IF($B287='FICHA CLIENTE'!$C$4,1,0))</f>
      </c>
      <c r="CC287" s="77">
        <f t="shared" si="71"/>
      </c>
      <c r="CD287" s="77">
        <f>IF($A287="",0,IF($D287='FICHA VEHICULO'!$C$4,1,0))</f>
      </c>
      <c r="CE287" s="77">
        <f t="shared" si="72"/>
      </c>
      <c r="CF287" s="77">
        <f t="shared" si="73"/>
      </c>
      <c r="CG287" s="77">
        <f t="shared" si="74"/>
      </c>
    </row>
    <row r="288" spans="1:85" ht="19.5" customHeight="1" x14ac:dyDescent="0.2">
      <c r="A288" s="104"/>
      <c r="B288" s="104"/>
      <c r="C288" s="105"/>
      <c r="D288" s="104"/>
      <c r="E288" s="105"/>
      <c r="F288" s="106"/>
      <c r="G288" s="104"/>
      <c r="H288" s="106"/>
      <c r="I288" s="107"/>
      <c r="J288" s="108"/>
      <c r="K288" s="108"/>
      <c r="L288" s="108"/>
      <c r="M288" s="105"/>
      <c r="N288" s="105"/>
      <c r="O288" s="105"/>
      <c r="P288" s="108"/>
      <c r="Q288" s="105"/>
      <c r="R288" s="105"/>
      <c r="S288" s="105"/>
      <c r="T288" s="105"/>
      <c r="U288" s="108"/>
      <c r="V288" s="105"/>
      <c r="W288" s="105"/>
      <c r="X288" s="105"/>
      <c r="Y288" s="105"/>
      <c r="Z288" s="105"/>
      <c r="AA288" s="108"/>
      <c r="AB288" s="108"/>
      <c r="AC288" s="105"/>
      <c r="AD288" s="279"/>
      <c r="AE288" s="105"/>
      <c r="AF288" s="279"/>
      <c r="AG288" s="105"/>
      <c r="AH288" s="108"/>
      <c r="AI288" s="108"/>
      <c r="AJ288" s="108"/>
      <c r="AK288" s="108"/>
      <c r="AL288" s="105"/>
      <c r="AM288" s="108"/>
      <c r="AN288" s="105"/>
      <c r="AO288" s="108"/>
      <c r="AP288" s="108"/>
      <c r="AQ288" s="105"/>
      <c r="AR288" s="108"/>
      <c r="AS288" s="108"/>
      <c r="AT288" s="105"/>
      <c r="AU288" s="105"/>
      <c r="AV288" s="105"/>
      <c r="AW288" s="105"/>
      <c r="AX288" s="105"/>
      <c r="AY288" s="105"/>
      <c r="AZ288" s="105"/>
      <c r="BA288" s="105"/>
      <c r="BB288" s="105"/>
      <c r="BC288" s="105"/>
      <c r="BD288" s="108"/>
      <c r="BE288" s="83">
        <f>IF($A288="","",IF(TRIM($D288&amp;"")="",IF(TRIM($AX288&amp;$AY288&amp;$AZ288&amp;$BA288&amp;$BB288&amp;$BC288&amp;$BD288&amp;"")="","","SUBARRENDADO"),IFERROR(IF(VLOOKUP($D288,VEHICULOS!$A$3:$H$202,7,FALSE)="","",VLOOKUP($D288,VEHICULOS!$A$3:$H$202,7,FALSE)),"")))</f>
      </c>
      <c r="BF288" s="82">
        <f>IF($A288="","",IF(TRIM($BC288&amp;"")&lt;&gt;"",$BC288,IF(TRIM($D288&amp;"")="","",IFERROR(IF(VLOOKUP($D288,VEHICULOS!$A$3:$H$202,8,FALSE)="","",VLOOKUP($D288,VEHICULOS!$A$3:$H$202,8,FALSE)),""))))</f>
      </c>
      <c r="BG288" s="106"/>
      <c r="BH288" s="107"/>
      <c r="BI288" s="86">
        <f t="shared" si="60"/>
      </c>
      <c r="BJ288" s="83">
        <f t="shared" si="61"/>
      </c>
      <c r="BK288" s="85">
        <f t="shared" si="62"/>
      </c>
      <c r="BL288" s="85">
        <f t="shared" si="63"/>
      </c>
      <c r="BM288" s="108"/>
      <c r="BN288" s="85">
        <f t="shared" si="64"/>
      </c>
      <c r="BO288" s="108"/>
      <c r="BP288" s="85">
        <f t="shared" si="65"/>
      </c>
      <c r="BQ288" s="85">
        <f t="shared" si="66"/>
      </c>
      <c r="BR288" s="108"/>
      <c r="BS288" s="104"/>
      <c r="BT288" s="87">
        <f t="shared" si="67"/>
      </c>
      <c r="BU288" s="85">
        <f t="shared" si="68"/>
      </c>
      <c r="BV288" s="85">
        <f t="shared" si="69"/>
      </c>
      <c r="BW288" s="87">
        <f t="shared" si="70"/>
      </c>
      <c r="BX288" s="104"/>
      <c r="BY288" s="106"/>
      <c r="BZ288" s="104"/>
      <c r="CA288" s="105"/>
      <c r="CB288" s="77">
        <f>IF($A288="",0,IF($B288='FICHA CLIENTE'!$C$4,1,0))</f>
      </c>
      <c r="CC288" s="77">
        <f t="shared" si="71"/>
      </c>
      <c r="CD288" s="77">
        <f>IF($A288="",0,IF($D288='FICHA VEHICULO'!$C$4,1,0))</f>
      </c>
      <c r="CE288" s="77">
        <f t="shared" si="72"/>
      </c>
      <c r="CF288" s="77">
        <f t="shared" si="73"/>
      </c>
      <c r="CG288" s="77">
        <f t="shared" si="74"/>
      </c>
    </row>
    <row r="289" spans="1:85" ht="19.5" customHeight="1" x14ac:dyDescent="0.2">
      <c r="A289" s="104"/>
      <c r="B289" s="104"/>
      <c r="C289" s="105"/>
      <c r="D289" s="104"/>
      <c r="E289" s="105"/>
      <c r="F289" s="106"/>
      <c r="G289" s="104"/>
      <c r="H289" s="106"/>
      <c r="I289" s="107"/>
      <c r="J289" s="108"/>
      <c r="K289" s="108"/>
      <c r="L289" s="108"/>
      <c r="M289" s="105"/>
      <c r="N289" s="105"/>
      <c r="O289" s="105"/>
      <c r="P289" s="108"/>
      <c r="Q289" s="105"/>
      <c r="R289" s="105"/>
      <c r="S289" s="105"/>
      <c r="T289" s="105"/>
      <c r="U289" s="108"/>
      <c r="V289" s="105"/>
      <c r="W289" s="105"/>
      <c r="X289" s="105"/>
      <c r="Y289" s="105"/>
      <c r="Z289" s="105"/>
      <c r="AA289" s="108"/>
      <c r="AB289" s="108"/>
      <c r="AC289" s="105"/>
      <c r="AD289" s="279"/>
      <c r="AE289" s="105"/>
      <c r="AF289" s="279"/>
      <c r="AG289" s="105"/>
      <c r="AH289" s="108"/>
      <c r="AI289" s="108"/>
      <c r="AJ289" s="108"/>
      <c r="AK289" s="108"/>
      <c r="AL289" s="105"/>
      <c r="AM289" s="108"/>
      <c r="AN289" s="105"/>
      <c r="AO289" s="108"/>
      <c r="AP289" s="108"/>
      <c r="AQ289" s="105"/>
      <c r="AR289" s="108"/>
      <c r="AS289" s="108"/>
      <c r="AT289" s="105"/>
      <c r="AU289" s="105"/>
      <c r="AV289" s="105"/>
      <c r="AW289" s="105"/>
      <c r="AX289" s="105"/>
      <c r="AY289" s="105"/>
      <c r="AZ289" s="105"/>
      <c r="BA289" s="105"/>
      <c r="BB289" s="105"/>
      <c r="BC289" s="105"/>
      <c r="BD289" s="108"/>
      <c r="BE289" s="83">
        <f>IF($A289="","",IF(TRIM($D289&amp;"")="",IF(TRIM($AX289&amp;$AY289&amp;$AZ289&amp;$BA289&amp;$BB289&amp;$BC289&amp;$BD289&amp;"")="","","SUBARRENDADO"),IFERROR(IF(VLOOKUP($D289,VEHICULOS!$A$3:$H$202,7,FALSE)="","",VLOOKUP($D289,VEHICULOS!$A$3:$H$202,7,FALSE)),"")))</f>
      </c>
      <c r="BF289" s="82">
        <f>IF($A289="","",IF(TRIM($BC289&amp;"")&lt;&gt;"",$BC289,IF(TRIM($D289&amp;"")="","",IFERROR(IF(VLOOKUP($D289,VEHICULOS!$A$3:$H$202,8,FALSE)="","",VLOOKUP($D289,VEHICULOS!$A$3:$H$202,8,FALSE)),""))))</f>
      </c>
      <c r="BG289" s="106"/>
      <c r="BH289" s="107"/>
      <c r="BI289" s="86">
        <f t="shared" si="60"/>
      </c>
      <c r="BJ289" s="83">
        <f t="shared" si="61"/>
      </c>
      <c r="BK289" s="85">
        <f t="shared" si="62"/>
      </c>
      <c r="BL289" s="85">
        <f t="shared" si="63"/>
      </c>
      <c r="BM289" s="108"/>
      <c r="BN289" s="85">
        <f t="shared" si="64"/>
      </c>
      <c r="BO289" s="108"/>
      <c r="BP289" s="85">
        <f t="shared" si="65"/>
      </c>
      <c r="BQ289" s="85">
        <f t="shared" si="66"/>
      </c>
      <c r="BR289" s="108"/>
      <c r="BS289" s="104"/>
      <c r="BT289" s="87">
        <f t="shared" si="67"/>
      </c>
      <c r="BU289" s="85">
        <f t="shared" si="68"/>
      </c>
      <c r="BV289" s="85">
        <f t="shared" si="69"/>
      </c>
      <c r="BW289" s="87">
        <f t="shared" si="70"/>
      </c>
      <c r="BX289" s="104"/>
      <c r="BY289" s="106"/>
      <c r="BZ289" s="104"/>
      <c r="CA289" s="105"/>
      <c r="CB289" s="77">
        <f>IF($A289="",0,IF($B289='FICHA CLIENTE'!$C$4,1,0))</f>
      </c>
      <c r="CC289" s="77">
        <f t="shared" si="71"/>
      </c>
      <c r="CD289" s="77">
        <f>IF($A289="",0,IF($D289='FICHA VEHICULO'!$C$4,1,0))</f>
      </c>
      <c r="CE289" s="77">
        <f t="shared" si="72"/>
      </c>
      <c r="CF289" s="77">
        <f t="shared" si="73"/>
      </c>
      <c r="CG289" s="77">
        <f t="shared" si="74"/>
      </c>
    </row>
    <row r="290" spans="1:85" ht="19.5" customHeight="1" x14ac:dyDescent="0.2">
      <c r="A290" s="104"/>
      <c r="B290" s="104"/>
      <c r="C290" s="105"/>
      <c r="D290" s="104"/>
      <c r="E290" s="105"/>
      <c r="F290" s="106"/>
      <c r="G290" s="104"/>
      <c r="H290" s="106"/>
      <c r="I290" s="107"/>
      <c r="J290" s="108"/>
      <c r="K290" s="108"/>
      <c r="L290" s="108"/>
      <c r="M290" s="105"/>
      <c r="N290" s="105"/>
      <c r="O290" s="105"/>
      <c r="P290" s="108"/>
      <c r="Q290" s="105"/>
      <c r="R290" s="105"/>
      <c r="S290" s="105"/>
      <c r="T290" s="105"/>
      <c r="U290" s="108"/>
      <c r="V290" s="105"/>
      <c r="W290" s="105"/>
      <c r="X290" s="105"/>
      <c r="Y290" s="105"/>
      <c r="Z290" s="105"/>
      <c r="AA290" s="108"/>
      <c r="AB290" s="108"/>
      <c r="AC290" s="105"/>
      <c r="AD290" s="279"/>
      <c r="AE290" s="105"/>
      <c r="AF290" s="279"/>
      <c r="AG290" s="105"/>
      <c r="AH290" s="108"/>
      <c r="AI290" s="108"/>
      <c r="AJ290" s="108"/>
      <c r="AK290" s="108"/>
      <c r="AL290" s="105"/>
      <c r="AM290" s="108"/>
      <c r="AN290" s="105"/>
      <c r="AO290" s="108"/>
      <c r="AP290" s="108"/>
      <c r="AQ290" s="105"/>
      <c r="AR290" s="108"/>
      <c r="AS290" s="108"/>
      <c r="AT290" s="105"/>
      <c r="AU290" s="105"/>
      <c r="AV290" s="105"/>
      <c r="AW290" s="105"/>
      <c r="AX290" s="105"/>
      <c r="AY290" s="105"/>
      <c r="AZ290" s="105"/>
      <c r="BA290" s="105"/>
      <c r="BB290" s="105"/>
      <c r="BC290" s="105"/>
      <c r="BD290" s="108"/>
      <c r="BE290" s="83">
        <f>IF($A290="","",IF(TRIM($D290&amp;"")="",IF(TRIM($AX290&amp;$AY290&amp;$AZ290&amp;$BA290&amp;$BB290&amp;$BC290&amp;$BD290&amp;"")="","","SUBARRENDADO"),IFERROR(IF(VLOOKUP($D290,VEHICULOS!$A$3:$H$202,7,FALSE)="","",VLOOKUP($D290,VEHICULOS!$A$3:$H$202,7,FALSE)),"")))</f>
      </c>
      <c r="BF290" s="82">
        <f>IF($A290="","",IF(TRIM($BC290&amp;"")&lt;&gt;"",$BC290,IF(TRIM($D290&amp;"")="","",IFERROR(IF(VLOOKUP($D290,VEHICULOS!$A$3:$H$202,8,FALSE)="","",VLOOKUP($D290,VEHICULOS!$A$3:$H$202,8,FALSE)),""))))</f>
      </c>
      <c r="BG290" s="106"/>
      <c r="BH290" s="107"/>
      <c r="BI290" s="86">
        <f t="shared" si="60"/>
      </c>
      <c r="BJ290" s="83">
        <f t="shared" si="61"/>
      </c>
      <c r="BK290" s="85">
        <f t="shared" si="62"/>
      </c>
      <c r="BL290" s="85">
        <f t="shared" si="63"/>
      </c>
      <c r="BM290" s="108"/>
      <c r="BN290" s="85">
        <f t="shared" si="64"/>
      </c>
      <c r="BO290" s="108"/>
      <c r="BP290" s="85">
        <f t="shared" si="65"/>
      </c>
      <c r="BQ290" s="85">
        <f t="shared" si="66"/>
      </c>
      <c r="BR290" s="108"/>
      <c r="BS290" s="104"/>
      <c r="BT290" s="87">
        <f t="shared" si="67"/>
      </c>
      <c r="BU290" s="85">
        <f t="shared" si="68"/>
      </c>
      <c r="BV290" s="85">
        <f t="shared" si="69"/>
      </c>
      <c r="BW290" s="87">
        <f t="shared" si="70"/>
      </c>
      <c r="BX290" s="104"/>
      <c r="BY290" s="106"/>
      <c r="BZ290" s="104"/>
      <c r="CA290" s="105"/>
      <c r="CB290" s="77">
        <f>IF($A290="",0,IF($B290='FICHA CLIENTE'!$C$4,1,0))</f>
      </c>
      <c r="CC290" s="77">
        <f t="shared" si="71"/>
      </c>
      <c r="CD290" s="77">
        <f>IF($A290="",0,IF($D290='FICHA VEHICULO'!$C$4,1,0))</f>
      </c>
      <c r="CE290" s="77">
        <f t="shared" si="72"/>
      </c>
      <c r="CF290" s="77">
        <f t="shared" si="73"/>
      </c>
      <c r="CG290" s="77">
        <f t="shared" si="74"/>
      </c>
    </row>
    <row r="291" spans="1:85" ht="19.5" customHeight="1" x14ac:dyDescent="0.2">
      <c r="A291" s="104"/>
      <c r="B291" s="104"/>
      <c r="C291" s="105"/>
      <c r="D291" s="104"/>
      <c r="E291" s="105"/>
      <c r="F291" s="106"/>
      <c r="G291" s="104"/>
      <c r="H291" s="106"/>
      <c r="I291" s="107"/>
      <c r="J291" s="108"/>
      <c r="K291" s="108"/>
      <c r="L291" s="108"/>
      <c r="M291" s="105"/>
      <c r="N291" s="105"/>
      <c r="O291" s="105"/>
      <c r="P291" s="108"/>
      <c r="Q291" s="105"/>
      <c r="R291" s="105"/>
      <c r="S291" s="105"/>
      <c r="T291" s="105"/>
      <c r="U291" s="108"/>
      <c r="V291" s="105"/>
      <c r="W291" s="105"/>
      <c r="X291" s="105"/>
      <c r="Y291" s="105"/>
      <c r="Z291" s="105"/>
      <c r="AA291" s="108"/>
      <c r="AB291" s="108"/>
      <c r="AC291" s="105"/>
      <c r="AD291" s="279"/>
      <c r="AE291" s="105"/>
      <c r="AF291" s="279"/>
      <c r="AG291" s="105"/>
      <c r="AH291" s="108"/>
      <c r="AI291" s="108"/>
      <c r="AJ291" s="108"/>
      <c r="AK291" s="108"/>
      <c r="AL291" s="105"/>
      <c r="AM291" s="108"/>
      <c r="AN291" s="105"/>
      <c r="AO291" s="108"/>
      <c r="AP291" s="108"/>
      <c r="AQ291" s="105"/>
      <c r="AR291" s="108"/>
      <c r="AS291" s="108"/>
      <c r="AT291" s="105"/>
      <c r="AU291" s="105"/>
      <c r="AV291" s="105"/>
      <c r="AW291" s="105"/>
      <c r="AX291" s="105"/>
      <c r="AY291" s="105"/>
      <c r="AZ291" s="105"/>
      <c r="BA291" s="105"/>
      <c r="BB291" s="105"/>
      <c r="BC291" s="105"/>
      <c r="BD291" s="108"/>
      <c r="BE291" s="83">
        <f>IF($A291="","",IF(TRIM($D291&amp;"")="",IF(TRIM($AX291&amp;$AY291&amp;$AZ291&amp;$BA291&amp;$BB291&amp;$BC291&amp;$BD291&amp;"")="","","SUBARRENDADO"),IFERROR(IF(VLOOKUP($D291,VEHICULOS!$A$3:$H$202,7,FALSE)="","",VLOOKUP($D291,VEHICULOS!$A$3:$H$202,7,FALSE)),"")))</f>
      </c>
      <c r="BF291" s="82">
        <f>IF($A291="","",IF(TRIM($BC291&amp;"")&lt;&gt;"",$BC291,IF(TRIM($D291&amp;"")="","",IFERROR(IF(VLOOKUP($D291,VEHICULOS!$A$3:$H$202,8,FALSE)="","",VLOOKUP($D291,VEHICULOS!$A$3:$H$202,8,FALSE)),""))))</f>
      </c>
      <c r="BG291" s="106"/>
      <c r="BH291" s="107"/>
      <c r="BI291" s="86">
        <f t="shared" si="60"/>
      </c>
      <c r="BJ291" s="83">
        <f t="shared" si="61"/>
      </c>
      <c r="BK291" s="85">
        <f t="shared" si="62"/>
      </c>
      <c r="BL291" s="85">
        <f t="shared" si="63"/>
      </c>
      <c r="BM291" s="108"/>
      <c r="BN291" s="85">
        <f t="shared" si="64"/>
      </c>
      <c r="BO291" s="108"/>
      <c r="BP291" s="85">
        <f t="shared" si="65"/>
      </c>
      <c r="BQ291" s="85">
        <f t="shared" si="66"/>
      </c>
      <c r="BR291" s="108"/>
      <c r="BS291" s="104"/>
      <c r="BT291" s="87">
        <f t="shared" si="67"/>
      </c>
      <c r="BU291" s="85">
        <f t="shared" si="68"/>
      </c>
      <c r="BV291" s="85">
        <f t="shared" si="69"/>
      </c>
      <c r="BW291" s="87">
        <f t="shared" si="70"/>
      </c>
      <c r="BX291" s="104"/>
      <c r="BY291" s="106"/>
      <c r="BZ291" s="104"/>
      <c r="CA291" s="105"/>
      <c r="CB291" s="77">
        <f>IF($A291="",0,IF($B291='FICHA CLIENTE'!$C$4,1,0))</f>
      </c>
      <c r="CC291" s="77">
        <f t="shared" si="71"/>
      </c>
      <c r="CD291" s="77">
        <f>IF($A291="",0,IF($D291='FICHA VEHICULO'!$C$4,1,0))</f>
      </c>
      <c r="CE291" s="77">
        <f t="shared" si="72"/>
      </c>
      <c r="CF291" s="77">
        <f t="shared" si="73"/>
      </c>
      <c r="CG291" s="77">
        <f t="shared" si="74"/>
      </c>
    </row>
    <row r="292" spans="1:85" ht="19.5" customHeight="1" x14ac:dyDescent="0.2">
      <c r="A292" s="104"/>
      <c r="B292" s="104"/>
      <c r="C292" s="105"/>
      <c r="D292" s="104"/>
      <c r="E292" s="105"/>
      <c r="F292" s="106"/>
      <c r="G292" s="104"/>
      <c r="H292" s="106"/>
      <c r="I292" s="107"/>
      <c r="J292" s="108"/>
      <c r="K292" s="108"/>
      <c r="L292" s="108"/>
      <c r="M292" s="105"/>
      <c r="N292" s="105"/>
      <c r="O292" s="105"/>
      <c r="P292" s="108"/>
      <c r="Q292" s="105"/>
      <c r="R292" s="105"/>
      <c r="S292" s="105"/>
      <c r="T292" s="105"/>
      <c r="U292" s="108"/>
      <c r="V292" s="105"/>
      <c r="W292" s="105"/>
      <c r="X292" s="105"/>
      <c r="Y292" s="105"/>
      <c r="Z292" s="105"/>
      <c r="AA292" s="108"/>
      <c r="AB292" s="108"/>
      <c r="AC292" s="105"/>
      <c r="AD292" s="279"/>
      <c r="AE292" s="105"/>
      <c r="AF292" s="279"/>
      <c r="AG292" s="105"/>
      <c r="AH292" s="108"/>
      <c r="AI292" s="108"/>
      <c r="AJ292" s="108"/>
      <c r="AK292" s="108"/>
      <c r="AL292" s="105"/>
      <c r="AM292" s="108"/>
      <c r="AN292" s="105"/>
      <c r="AO292" s="108"/>
      <c r="AP292" s="108"/>
      <c r="AQ292" s="105"/>
      <c r="AR292" s="108"/>
      <c r="AS292" s="108"/>
      <c r="AT292" s="105"/>
      <c r="AU292" s="105"/>
      <c r="AV292" s="105"/>
      <c r="AW292" s="105"/>
      <c r="AX292" s="105"/>
      <c r="AY292" s="105"/>
      <c r="AZ292" s="105"/>
      <c r="BA292" s="105"/>
      <c r="BB292" s="105"/>
      <c r="BC292" s="105"/>
      <c r="BD292" s="108"/>
      <c r="BE292" s="83">
        <f>IF($A292="","",IF(TRIM($D292&amp;"")="",IF(TRIM($AX292&amp;$AY292&amp;$AZ292&amp;$BA292&amp;$BB292&amp;$BC292&amp;$BD292&amp;"")="","","SUBARRENDADO"),IFERROR(IF(VLOOKUP($D292,VEHICULOS!$A$3:$H$202,7,FALSE)="","",VLOOKUP($D292,VEHICULOS!$A$3:$H$202,7,FALSE)),"")))</f>
      </c>
      <c r="BF292" s="82">
        <f>IF($A292="","",IF(TRIM($BC292&amp;"")&lt;&gt;"",$BC292,IF(TRIM($D292&amp;"")="","",IFERROR(IF(VLOOKUP($D292,VEHICULOS!$A$3:$H$202,8,FALSE)="","",VLOOKUP($D292,VEHICULOS!$A$3:$H$202,8,FALSE)),""))))</f>
      </c>
      <c r="BG292" s="106"/>
      <c r="BH292" s="107"/>
      <c r="BI292" s="86">
        <f t="shared" si="60"/>
      </c>
      <c r="BJ292" s="83">
        <f t="shared" si="61"/>
      </c>
      <c r="BK292" s="85">
        <f t="shared" si="62"/>
      </c>
      <c r="BL292" s="85">
        <f t="shared" si="63"/>
      </c>
      <c r="BM292" s="108"/>
      <c r="BN292" s="85">
        <f t="shared" si="64"/>
      </c>
      <c r="BO292" s="108"/>
      <c r="BP292" s="85">
        <f t="shared" si="65"/>
      </c>
      <c r="BQ292" s="85">
        <f t="shared" si="66"/>
      </c>
      <c r="BR292" s="108"/>
      <c r="BS292" s="104"/>
      <c r="BT292" s="87">
        <f t="shared" si="67"/>
      </c>
      <c r="BU292" s="85">
        <f t="shared" si="68"/>
      </c>
      <c r="BV292" s="85">
        <f t="shared" si="69"/>
      </c>
      <c r="BW292" s="87">
        <f t="shared" si="70"/>
      </c>
      <c r="BX292" s="104"/>
      <c r="BY292" s="106"/>
      <c r="BZ292" s="104"/>
      <c r="CA292" s="105"/>
      <c r="CB292" s="77">
        <f>IF($A292="",0,IF($B292='FICHA CLIENTE'!$C$4,1,0))</f>
      </c>
      <c r="CC292" s="77">
        <f t="shared" si="71"/>
      </c>
      <c r="CD292" s="77">
        <f>IF($A292="",0,IF($D292='FICHA VEHICULO'!$C$4,1,0))</f>
      </c>
      <c r="CE292" s="77">
        <f t="shared" si="72"/>
      </c>
      <c r="CF292" s="77">
        <f t="shared" si="73"/>
      </c>
      <c r="CG292" s="77">
        <f t="shared" si="74"/>
      </c>
    </row>
    <row r="293" spans="1:85" ht="19.5" customHeight="1" x14ac:dyDescent="0.2">
      <c r="A293" s="104"/>
      <c r="B293" s="104"/>
      <c r="C293" s="105"/>
      <c r="D293" s="104"/>
      <c r="E293" s="105"/>
      <c r="F293" s="106"/>
      <c r="G293" s="104"/>
      <c r="H293" s="106"/>
      <c r="I293" s="107"/>
      <c r="J293" s="108"/>
      <c r="K293" s="108"/>
      <c r="L293" s="108"/>
      <c r="M293" s="105"/>
      <c r="N293" s="105"/>
      <c r="O293" s="105"/>
      <c r="P293" s="108"/>
      <c r="Q293" s="105"/>
      <c r="R293" s="105"/>
      <c r="S293" s="105"/>
      <c r="T293" s="105"/>
      <c r="U293" s="108"/>
      <c r="V293" s="105"/>
      <c r="W293" s="105"/>
      <c r="X293" s="105"/>
      <c r="Y293" s="105"/>
      <c r="Z293" s="105"/>
      <c r="AA293" s="108"/>
      <c r="AB293" s="108"/>
      <c r="AC293" s="105"/>
      <c r="AD293" s="279"/>
      <c r="AE293" s="105"/>
      <c r="AF293" s="279"/>
      <c r="AG293" s="105"/>
      <c r="AH293" s="108"/>
      <c r="AI293" s="108"/>
      <c r="AJ293" s="108"/>
      <c r="AK293" s="108"/>
      <c r="AL293" s="105"/>
      <c r="AM293" s="108"/>
      <c r="AN293" s="105"/>
      <c r="AO293" s="108"/>
      <c r="AP293" s="108"/>
      <c r="AQ293" s="105"/>
      <c r="AR293" s="108"/>
      <c r="AS293" s="108"/>
      <c r="AT293" s="105"/>
      <c r="AU293" s="105"/>
      <c r="AV293" s="105"/>
      <c r="AW293" s="105"/>
      <c r="AX293" s="105"/>
      <c r="AY293" s="105"/>
      <c r="AZ293" s="105"/>
      <c r="BA293" s="105"/>
      <c r="BB293" s="105"/>
      <c r="BC293" s="105"/>
      <c r="BD293" s="108"/>
      <c r="BE293" s="83">
        <f>IF($A293="","",IF(TRIM($D293&amp;"")="",IF(TRIM($AX293&amp;$AY293&amp;$AZ293&amp;$BA293&amp;$BB293&amp;$BC293&amp;$BD293&amp;"")="","","SUBARRENDADO"),IFERROR(IF(VLOOKUP($D293,VEHICULOS!$A$3:$H$202,7,FALSE)="","",VLOOKUP($D293,VEHICULOS!$A$3:$H$202,7,FALSE)),"")))</f>
      </c>
      <c r="BF293" s="82">
        <f>IF($A293="","",IF(TRIM($BC293&amp;"")&lt;&gt;"",$BC293,IF(TRIM($D293&amp;"")="","",IFERROR(IF(VLOOKUP($D293,VEHICULOS!$A$3:$H$202,8,FALSE)="","",VLOOKUP($D293,VEHICULOS!$A$3:$H$202,8,FALSE)),""))))</f>
      </c>
      <c r="BG293" s="106"/>
      <c r="BH293" s="107"/>
      <c r="BI293" s="86">
        <f t="shared" si="60"/>
      </c>
      <c r="BJ293" s="83">
        <f t="shared" si="61"/>
      </c>
      <c r="BK293" s="85">
        <f t="shared" si="62"/>
      </c>
      <c r="BL293" s="85">
        <f t="shared" si="63"/>
      </c>
      <c r="BM293" s="108"/>
      <c r="BN293" s="85">
        <f t="shared" si="64"/>
      </c>
      <c r="BO293" s="108"/>
      <c r="BP293" s="85">
        <f t="shared" si="65"/>
      </c>
      <c r="BQ293" s="85">
        <f t="shared" si="66"/>
      </c>
      <c r="BR293" s="108"/>
      <c r="BS293" s="104"/>
      <c r="BT293" s="87">
        <f t="shared" si="67"/>
      </c>
      <c r="BU293" s="85">
        <f t="shared" si="68"/>
      </c>
      <c r="BV293" s="85">
        <f t="shared" si="69"/>
      </c>
      <c r="BW293" s="87">
        <f t="shared" si="70"/>
      </c>
      <c r="BX293" s="104"/>
      <c r="BY293" s="106"/>
      <c r="BZ293" s="104"/>
      <c r="CA293" s="105"/>
      <c r="CB293" s="77">
        <f>IF($A293="",0,IF($B293='FICHA CLIENTE'!$C$4,1,0))</f>
      </c>
      <c r="CC293" s="77">
        <f t="shared" si="71"/>
      </c>
      <c r="CD293" s="77">
        <f>IF($A293="",0,IF($D293='FICHA VEHICULO'!$C$4,1,0))</f>
      </c>
      <c r="CE293" s="77">
        <f t="shared" si="72"/>
      </c>
      <c r="CF293" s="77">
        <f t="shared" si="73"/>
      </c>
      <c r="CG293" s="77">
        <f t="shared" si="74"/>
      </c>
    </row>
    <row r="294" spans="1:85" ht="19.5" customHeight="1" x14ac:dyDescent="0.2">
      <c r="A294" s="104"/>
      <c r="B294" s="104"/>
      <c r="C294" s="105"/>
      <c r="D294" s="104"/>
      <c r="E294" s="105"/>
      <c r="F294" s="106"/>
      <c r="G294" s="104"/>
      <c r="H294" s="106"/>
      <c r="I294" s="107"/>
      <c r="J294" s="108"/>
      <c r="K294" s="108"/>
      <c r="L294" s="108"/>
      <c r="M294" s="105"/>
      <c r="N294" s="105"/>
      <c r="O294" s="105"/>
      <c r="P294" s="108"/>
      <c r="Q294" s="105"/>
      <c r="R294" s="105"/>
      <c r="S294" s="105"/>
      <c r="T294" s="105"/>
      <c r="U294" s="108"/>
      <c r="V294" s="105"/>
      <c r="W294" s="105"/>
      <c r="X294" s="105"/>
      <c r="Y294" s="105"/>
      <c r="Z294" s="105"/>
      <c r="AA294" s="108"/>
      <c r="AB294" s="108"/>
      <c r="AC294" s="105"/>
      <c r="AD294" s="279"/>
      <c r="AE294" s="105"/>
      <c r="AF294" s="279"/>
      <c r="AG294" s="105"/>
      <c r="AH294" s="108"/>
      <c r="AI294" s="108"/>
      <c r="AJ294" s="108"/>
      <c r="AK294" s="108"/>
      <c r="AL294" s="105"/>
      <c r="AM294" s="108"/>
      <c r="AN294" s="105"/>
      <c r="AO294" s="108"/>
      <c r="AP294" s="108"/>
      <c r="AQ294" s="105"/>
      <c r="AR294" s="108"/>
      <c r="AS294" s="108"/>
      <c r="AT294" s="105"/>
      <c r="AU294" s="105"/>
      <c r="AV294" s="105"/>
      <c r="AW294" s="105"/>
      <c r="AX294" s="105"/>
      <c r="AY294" s="105"/>
      <c r="AZ294" s="105"/>
      <c r="BA294" s="105"/>
      <c r="BB294" s="105"/>
      <c r="BC294" s="105"/>
      <c r="BD294" s="108"/>
      <c r="BE294" s="83">
        <f>IF($A294="","",IF(TRIM($D294&amp;"")="",IF(TRIM($AX294&amp;$AY294&amp;$AZ294&amp;$BA294&amp;$BB294&amp;$BC294&amp;$BD294&amp;"")="","","SUBARRENDADO"),IFERROR(IF(VLOOKUP($D294,VEHICULOS!$A$3:$H$202,7,FALSE)="","",VLOOKUP($D294,VEHICULOS!$A$3:$H$202,7,FALSE)),"")))</f>
      </c>
      <c r="BF294" s="82">
        <f>IF($A294="","",IF(TRIM($BC294&amp;"")&lt;&gt;"",$BC294,IF(TRIM($D294&amp;"")="","",IFERROR(IF(VLOOKUP($D294,VEHICULOS!$A$3:$H$202,8,FALSE)="","",VLOOKUP($D294,VEHICULOS!$A$3:$H$202,8,FALSE)),""))))</f>
      </c>
      <c r="BG294" s="106"/>
      <c r="BH294" s="107"/>
      <c r="BI294" s="86">
        <f t="shared" si="60"/>
      </c>
      <c r="BJ294" s="83">
        <f t="shared" si="61"/>
      </c>
      <c r="BK294" s="85">
        <f t="shared" si="62"/>
      </c>
      <c r="BL294" s="85">
        <f t="shared" si="63"/>
      </c>
      <c r="BM294" s="108"/>
      <c r="BN294" s="85">
        <f t="shared" si="64"/>
      </c>
      <c r="BO294" s="108"/>
      <c r="BP294" s="85">
        <f t="shared" si="65"/>
      </c>
      <c r="BQ294" s="85">
        <f t="shared" si="66"/>
      </c>
      <c r="BR294" s="108"/>
      <c r="BS294" s="104"/>
      <c r="BT294" s="87">
        <f t="shared" si="67"/>
      </c>
      <c r="BU294" s="85">
        <f t="shared" si="68"/>
      </c>
      <c r="BV294" s="85">
        <f t="shared" si="69"/>
      </c>
      <c r="BW294" s="87">
        <f t="shared" si="70"/>
      </c>
      <c r="BX294" s="104"/>
      <c r="BY294" s="106"/>
      <c r="BZ294" s="104"/>
      <c r="CA294" s="105"/>
      <c r="CB294" s="77">
        <f>IF($A294="",0,IF($B294='FICHA CLIENTE'!$C$4,1,0))</f>
      </c>
      <c r="CC294" s="77">
        <f t="shared" si="71"/>
      </c>
      <c r="CD294" s="77">
        <f>IF($A294="",0,IF($D294='FICHA VEHICULO'!$C$4,1,0))</f>
      </c>
      <c r="CE294" s="77">
        <f t="shared" si="72"/>
      </c>
      <c r="CF294" s="77">
        <f t="shared" si="73"/>
      </c>
      <c r="CG294" s="77">
        <f t="shared" si="74"/>
      </c>
    </row>
    <row r="295" spans="1:85" ht="19.5" customHeight="1" x14ac:dyDescent="0.2">
      <c r="A295" s="104"/>
      <c r="B295" s="104"/>
      <c r="C295" s="105"/>
      <c r="D295" s="104"/>
      <c r="E295" s="105"/>
      <c r="F295" s="106"/>
      <c r="G295" s="104"/>
      <c r="H295" s="106"/>
      <c r="I295" s="107"/>
      <c r="J295" s="108"/>
      <c r="K295" s="108"/>
      <c r="L295" s="108"/>
      <c r="M295" s="105"/>
      <c r="N295" s="105"/>
      <c r="O295" s="105"/>
      <c r="P295" s="108"/>
      <c r="Q295" s="105"/>
      <c r="R295" s="105"/>
      <c r="S295" s="105"/>
      <c r="T295" s="105"/>
      <c r="U295" s="108"/>
      <c r="V295" s="105"/>
      <c r="W295" s="105"/>
      <c r="X295" s="105"/>
      <c r="Y295" s="105"/>
      <c r="Z295" s="105"/>
      <c r="AA295" s="108"/>
      <c r="AB295" s="108"/>
      <c r="AC295" s="105"/>
      <c r="AD295" s="279"/>
      <c r="AE295" s="105"/>
      <c r="AF295" s="279"/>
      <c r="AG295" s="105"/>
      <c r="AH295" s="108"/>
      <c r="AI295" s="108"/>
      <c r="AJ295" s="108"/>
      <c r="AK295" s="108"/>
      <c r="AL295" s="105"/>
      <c r="AM295" s="108"/>
      <c r="AN295" s="105"/>
      <c r="AO295" s="108"/>
      <c r="AP295" s="108"/>
      <c r="AQ295" s="105"/>
      <c r="AR295" s="108"/>
      <c r="AS295" s="108"/>
      <c r="AT295" s="105"/>
      <c r="AU295" s="105"/>
      <c r="AV295" s="105"/>
      <c r="AW295" s="105"/>
      <c r="AX295" s="105"/>
      <c r="AY295" s="105"/>
      <c r="AZ295" s="105"/>
      <c r="BA295" s="105"/>
      <c r="BB295" s="105"/>
      <c r="BC295" s="105"/>
      <c r="BD295" s="108"/>
      <c r="BE295" s="83">
        <f>IF($A295="","",IF(TRIM($D295&amp;"")="",IF(TRIM($AX295&amp;$AY295&amp;$AZ295&amp;$BA295&amp;$BB295&amp;$BC295&amp;$BD295&amp;"")="","","SUBARRENDADO"),IFERROR(IF(VLOOKUP($D295,VEHICULOS!$A$3:$H$202,7,FALSE)="","",VLOOKUP($D295,VEHICULOS!$A$3:$H$202,7,FALSE)),"")))</f>
      </c>
      <c r="BF295" s="82">
        <f>IF($A295="","",IF(TRIM($BC295&amp;"")&lt;&gt;"",$BC295,IF(TRIM($D295&amp;"")="","",IFERROR(IF(VLOOKUP($D295,VEHICULOS!$A$3:$H$202,8,FALSE)="","",VLOOKUP($D295,VEHICULOS!$A$3:$H$202,8,FALSE)),""))))</f>
      </c>
      <c r="BG295" s="106"/>
      <c r="BH295" s="107"/>
      <c r="BI295" s="86">
        <f t="shared" si="60"/>
      </c>
      <c r="BJ295" s="83">
        <f t="shared" si="61"/>
      </c>
      <c r="BK295" s="85">
        <f t="shared" si="62"/>
      </c>
      <c r="BL295" s="85">
        <f t="shared" si="63"/>
      </c>
      <c r="BM295" s="108"/>
      <c r="BN295" s="85">
        <f t="shared" si="64"/>
      </c>
      <c r="BO295" s="108"/>
      <c r="BP295" s="85">
        <f t="shared" si="65"/>
      </c>
      <c r="BQ295" s="85">
        <f t="shared" si="66"/>
      </c>
      <c r="BR295" s="108"/>
      <c r="BS295" s="104"/>
      <c r="BT295" s="87">
        <f t="shared" si="67"/>
      </c>
      <c r="BU295" s="85">
        <f t="shared" si="68"/>
      </c>
      <c r="BV295" s="85">
        <f t="shared" si="69"/>
      </c>
      <c r="BW295" s="87">
        <f t="shared" si="70"/>
      </c>
      <c r="BX295" s="104"/>
      <c r="BY295" s="106"/>
      <c r="BZ295" s="104"/>
      <c r="CA295" s="105"/>
      <c r="CB295" s="77">
        <f>IF($A295="",0,IF($B295='FICHA CLIENTE'!$C$4,1,0))</f>
      </c>
      <c r="CC295" s="77">
        <f t="shared" si="71"/>
      </c>
      <c r="CD295" s="77">
        <f>IF($A295="",0,IF($D295='FICHA VEHICULO'!$C$4,1,0))</f>
      </c>
      <c r="CE295" s="77">
        <f t="shared" si="72"/>
      </c>
      <c r="CF295" s="77">
        <f t="shared" si="73"/>
      </c>
      <c r="CG295" s="77">
        <f t="shared" si="74"/>
      </c>
    </row>
    <row r="296" spans="1:85" ht="19.5" customHeight="1" x14ac:dyDescent="0.2">
      <c r="A296" s="104"/>
      <c r="B296" s="104"/>
      <c r="C296" s="105"/>
      <c r="D296" s="104"/>
      <c r="E296" s="105"/>
      <c r="F296" s="106"/>
      <c r="G296" s="104"/>
      <c r="H296" s="106"/>
      <c r="I296" s="107"/>
      <c r="J296" s="108"/>
      <c r="K296" s="108"/>
      <c r="L296" s="108"/>
      <c r="M296" s="105"/>
      <c r="N296" s="105"/>
      <c r="O296" s="105"/>
      <c r="P296" s="108"/>
      <c r="Q296" s="105"/>
      <c r="R296" s="105"/>
      <c r="S296" s="105"/>
      <c r="T296" s="105"/>
      <c r="U296" s="108"/>
      <c r="V296" s="105"/>
      <c r="W296" s="105"/>
      <c r="X296" s="105"/>
      <c r="Y296" s="105"/>
      <c r="Z296" s="105"/>
      <c r="AA296" s="108"/>
      <c r="AB296" s="108"/>
      <c r="AC296" s="105"/>
      <c r="AD296" s="279"/>
      <c r="AE296" s="105"/>
      <c r="AF296" s="279"/>
      <c r="AG296" s="105"/>
      <c r="AH296" s="108"/>
      <c r="AI296" s="108"/>
      <c r="AJ296" s="108"/>
      <c r="AK296" s="108"/>
      <c r="AL296" s="105"/>
      <c r="AM296" s="108"/>
      <c r="AN296" s="105"/>
      <c r="AO296" s="108"/>
      <c r="AP296" s="108"/>
      <c r="AQ296" s="105"/>
      <c r="AR296" s="108"/>
      <c r="AS296" s="108"/>
      <c r="AT296" s="105"/>
      <c r="AU296" s="105"/>
      <c r="AV296" s="105"/>
      <c r="AW296" s="105"/>
      <c r="AX296" s="105"/>
      <c r="AY296" s="105"/>
      <c r="AZ296" s="105"/>
      <c r="BA296" s="105"/>
      <c r="BB296" s="105"/>
      <c r="BC296" s="105"/>
      <c r="BD296" s="108"/>
      <c r="BE296" s="83">
        <f>IF($A296="","",IF(TRIM($D296&amp;"")="",IF(TRIM($AX296&amp;$AY296&amp;$AZ296&amp;$BA296&amp;$BB296&amp;$BC296&amp;$BD296&amp;"")="","","SUBARRENDADO"),IFERROR(IF(VLOOKUP($D296,VEHICULOS!$A$3:$H$202,7,FALSE)="","",VLOOKUP($D296,VEHICULOS!$A$3:$H$202,7,FALSE)),"")))</f>
      </c>
      <c r="BF296" s="82">
        <f>IF($A296="","",IF(TRIM($BC296&amp;"")&lt;&gt;"",$BC296,IF(TRIM($D296&amp;"")="","",IFERROR(IF(VLOOKUP($D296,VEHICULOS!$A$3:$H$202,8,FALSE)="","",VLOOKUP($D296,VEHICULOS!$A$3:$H$202,8,FALSE)),""))))</f>
      </c>
      <c r="BG296" s="106"/>
      <c r="BH296" s="107"/>
      <c r="BI296" s="86">
        <f t="shared" si="60"/>
      </c>
      <c r="BJ296" s="83">
        <f t="shared" si="61"/>
      </c>
      <c r="BK296" s="85">
        <f t="shared" si="62"/>
      </c>
      <c r="BL296" s="85">
        <f t="shared" si="63"/>
      </c>
      <c r="BM296" s="108"/>
      <c r="BN296" s="85">
        <f t="shared" si="64"/>
      </c>
      <c r="BO296" s="108"/>
      <c r="BP296" s="85">
        <f t="shared" si="65"/>
      </c>
      <c r="BQ296" s="85">
        <f t="shared" si="66"/>
      </c>
      <c r="BR296" s="108"/>
      <c r="BS296" s="104"/>
      <c r="BT296" s="87">
        <f t="shared" si="67"/>
      </c>
      <c r="BU296" s="85">
        <f t="shared" si="68"/>
      </c>
      <c r="BV296" s="85">
        <f t="shared" si="69"/>
      </c>
      <c r="BW296" s="87">
        <f t="shared" si="70"/>
      </c>
      <c r="BX296" s="104"/>
      <c r="BY296" s="106"/>
      <c r="BZ296" s="104"/>
      <c r="CA296" s="105"/>
      <c r="CB296" s="77">
        <f>IF($A296="",0,IF($B296='FICHA CLIENTE'!$C$4,1,0))</f>
      </c>
      <c r="CC296" s="77">
        <f t="shared" si="71"/>
      </c>
      <c r="CD296" s="77">
        <f>IF($A296="",0,IF($D296='FICHA VEHICULO'!$C$4,1,0))</f>
      </c>
      <c r="CE296" s="77">
        <f t="shared" si="72"/>
      </c>
      <c r="CF296" s="77">
        <f t="shared" si="73"/>
      </c>
      <c r="CG296" s="77">
        <f t="shared" si="74"/>
      </c>
    </row>
    <row r="297" spans="1:85" ht="19.5" customHeight="1" x14ac:dyDescent="0.2">
      <c r="A297" s="104"/>
      <c r="B297" s="104"/>
      <c r="C297" s="105"/>
      <c r="D297" s="104"/>
      <c r="E297" s="105"/>
      <c r="F297" s="106"/>
      <c r="G297" s="104"/>
      <c r="H297" s="106"/>
      <c r="I297" s="107"/>
      <c r="J297" s="108"/>
      <c r="K297" s="108"/>
      <c r="L297" s="108"/>
      <c r="M297" s="105"/>
      <c r="N297" s="105"/>
      <c r="O297" s="105"/>
      <c r="P297" s="108"/>
      <c r="Q297" s="105"/>
      <c r="R297" s="105"/>
      <c r="S297" s="105"/>
      <c r="T297" s="105"/>
      <c r="U297" s="108"/>
      <c r="V297" s="105"/>
      <c r="W297" s="105"/>
      <c r="X297" s="105"/>
      <c r="Y297" s="105"/>
      <c r="Z297" s="105"/>
      <c r="AA297" s="108"/>
      <c r="AB297" s="108"/>
      <c r="AC297" s="105"/>
      <c r="AD297" s="279"/>
      <c r="AE297" s="105"/>
      <c r="AF297" s="279"/>
      <c r="AG297" s="105"/>
      <c r="AH297" s="108"/>
      <c r="AI297" s="108"/>
      <c r="AJ297" s="108"/>
      <c r="AK297" s="108"/>
      <c r="AL297" s="105"/>
      <c r="AM297" s="108"/>
      <c r="AN297" s="105"/>
      <c r="AO297" s="108"/>
      <c r="AP297" s="108"/>
      <c r="AQ297" s="105"/>
      <c r="AR297" s="108"/>
      <c r="AS297" s="108"/>
      <c r="AT297" s="105"/>
      <c r="AU297" s="105"/>
      <c r="AV297" s="105"/>
      <c r="AW297" s="105"/>
      <c r="AX297" s="105"/>
      <c r="AY297" s="105"/>
      <c r="AZ297" s="105"/>
      <c r="BA297" s="105"/>
      <c r="BB297" s="105"/>
      <c r="BC297" s="105"/>
      <c r="BD297" s="108"/>
      <c r="BE297" s="83">
        <f>IF($A297="","",IF(TRIM($D297&amp;"")="",IF(TRIM($AX297&amp;$AY297&amp;$AZ297&amp;$BA297&amp;$BB297&amp;$BC297&amp;$BD297&amp;"")="","","SUBARRENDADO"),IFERROR(IF(VLOOKUP($D297,VEHICULOS!$A$3:$H$202,7,FALSE)="","",VLOOKUP($D297,VEHICULOS!$A$3:$H$202,7,FALSE)),"")))</f>
      </c>
      <c r="BF297" s="82">
        <f>IF($A297="","",IF(TRIM($BC297&amp;"")&lt;&gt;"",$BC297,IF(TRIM($D297&amp;"")="","",IFERROR(IF(VLOOKUP($D297,VEHICULOS!$A$3:$H$202,8,FALSE)="","",VLOOKUP($D297,VEHICULOS!$A$3:$H$202,8,FALSE)),""))))</f>
      </c>
      <c r="BG297" s="106"/>
      <c r="BH297" s="107"/>
      <c r="BI297" s="86">
        <f t="shared" si="60"/>
      </c>
      <c r="BJ297" s="83">
        <f t="shared" si="61"/>
      </c>
      <c r="BK297" s="85">
        <f t="shared" si="62"/>
      </c>
      <c r="BL297" s="85">
        <f t="shared" si="63"/>
      </c>
      <c r="BM297" s="108"/>
      <c r="BN297" s="85">
        <f t="shared" si="64"/>
      </c>
      <c r="BO297" s="108"/>
      <c r="BP297" s="85">
        <f t="shared" si="65"/>
      </c>
      <c r="BQ297" s="85">
        <f t="shared" si="66"/>
      </c>
      <c r="BR297" s="108"/>
      <c r="BS297" s="104"/>
      <c r="BT297" s="87">
        <f t="shared" si="67"/>
      </c>
      <c r="BU297" s="85">
        <f t="shared" si="68"/>
      </c>
      <c r="BV297" s="85">
        <f t="shared" si="69"/>
      </c>
      <c r="BW297" s="87">
        <f t="shared" si="70"/>
      </c>
      <c r="BX297" s="104"/>
      <c r="BY297" s="106"/>
      <c r="BZ297" s="104"/>
      <c r="CA297" s="105"/>
      <c r="CB297" s="77">
        <f>IF($A297="",0,IF($B297='FICHA CLIENTE'!$C$4,1,0))</f>
      </c>
      <c r="CC297" s="77">
        <f t="shared" si="71"/>
      </c>
      <c r="CD297" s="77">
        <f>IF($A297="",0,IF($D297='FICHA VEHICULO'!$C$4,1,0))</f>
      </c>
      <c r="CE297" s="77">
        <f t="shared" si="72"/>
      </c>
      <c r="CF297" s="77">
        <f t="shared" si="73"/>
      </c>
      <c r="CG297" s="77">
        <f t="shared" si="74"/>
      </c>
    </row>
    <row r="298" spans="1:85" ht="19.5" customHeight="1" x14ac:dyDescent="0.2">
      <c r="A298" s="104"/>
      <c r="B298" s="104"/>
      <c r="C298" s="105"/>
      <c r="D298" s="104"/>
      <c r="E298" s="105"/>
      <c r="F298" s="106"/>
      <c r="G298" s="104"/>
      <c r="H298" s="106"/>
      <c r="I298" s="107"/>
      <c r="J298" s="108"/>
      <c r="K298" s="108"/>
      <c r="L298" s="108"/>
      <c r="M298" s="105"/>
      <c r="N298" s="105"/>
      <c r="O298" s="105"/>
      <c r="P298" s="108"/>
      <c r="Q298" s="105"/>
      <c r="R298" s="105"/>
      <c r="S298" s="105"/>
      <c r="T298" s="105"/>
      <c r="U298" s="108"/>
      <c r="V298" s="105"/>
      <c r="W298" s="105"/>
      <c r="X298" s="105"/>
      <c r="Y298" s="105"/>
      <c r="Z298" s="105"/>
      <c r="AA298" s="108"/>
      <c r="AB298" s="108"/>
      <c r="AC298" s="105"/>
      <c r="AD298" s="279"/>
      <c r="AE298" s="105"/>
      <c r="AF298" s="279"/>
      <c r="AG298" s="105"/>
      <c r="AH298" s="108"/>
      <c r="AI298" s="108"/>
      <c r="AJ298" s="108"/>
      <c r="AK298" s="108"/>
      <c r="AL298" s="105"/>
      <c r="AM298" s="108"/>
      <c r="AN298" s="105"/>
      <c r="AO298" s="108"/>
      <c r="AP298" s="108"/>
      <c r="AQ298" s="105"/>
      <c r="AR298" s="108"/>
      <c r="AS298" s="108"/>
      <c r="AT298" s="105"/>
      <c r="AU298" s="105"/>
      <c r="AV298" s="105"/>
      <c r="AW298" s="105"/>
      <c r="AX298" s="105"/>
      <c r="AY298" s="105"/>
      <c r="AZ298" s="105"/>
      <c r="BA298" s="105"/>
      <c r="BB298" s="105"/>
      <c r="BC298" s="105"/>
      <c r="BD298" s="108"/>
      <c r="BE298" s="83">
        <f>IF($A298="","",IF(TRIM($D298&amp;"")="",IF(TRIM($AX298&amp;$AY298&amp;$AZ298&amp;$BA298&amp;$BB298&amp;$BC298&amp;$BD298&amp;"")="","","SUBARRENDADO"),IFERROR(IF(VLOOKUP($D298,VEHICULOS!$A$3:$H$202,7,FALSE)="","",VLOOKUP($D298,VEHICULOS!$A$3:$H$202,7,FALSE)),"")))</f>
      </c>
      <c r="BF298" s="82">
        <f>IF($A298="","",IF(TRIM($BC298&amp;"")&lt;&gt;"",$BC298,IF(TRIM($D298&amp;"")="","",IFERROR(IF(VLOOKUP($D298,VEHICULOS!$A$3:$H$202,8,FALSE)="","",VLOOKUP($D298,VEHICULOS!$A$3:$H$202,8,FALSE)),""))))</f>
      </c>
      <c r="BG298" s="106"/>
      <c r="BH298" s="107"/>
      <c r="BI298" s="86">
        <f t="shared" si="60"/>
      </c>
      <c r="BJ298" s="83">
        <f t="shared" si="61"/>
      </c>
      <c r="BK298" s="85">
        <f t="shared" si="62"/>
      </c>
      <c r="BL298" s="85">
        <f t="shared" si="63"/>
      </c>
      <c r="BM298" s="108"/>
      <c r="BN298" s="85">
        <f t="shared" si="64"/>
      </c>
      <c r="BO298" s="108"/>
      <c r="BP298" s="85">
        <f t="shared" si="65"/>
      </c>
      <c r="BQ298" s="85">
        <f t="shared" si="66"/>
      </c>
      <c r="BR298" s="108"/>
      <c r="BS298" s="104"/>
      <c r="BT298" s="87">
        <f t="shared" si="67"/>
      </c>
      <c r="BU298" s="85">
        <f t="shared" si="68"/>
      </c>
      <c r="BV298" s="85">
        <f t="shared" si="69"/>
      </c>
      <c r="BW298" s="87">
        <f t="shared" si="70"/>
      </c>
      <c r="BX298" s="104"/>
      <c r="BY298" s="106"/>
      <c r="BZ298" s="104"/>
      <c r="CA298" s="105"/>
      <c r="CB298" s="77">
        <f>IF($A298="",0,IF($B298='FICHA CLIENTE'!$C$4,1,0))</f>
      </c>
      <c r="CC298" s="77">
        <f t="shared" si="71"/>
      </c>
      <c r="CD298" s="77">
        <f>IF($A298="",0,IF($D298='FICHA VEHICULO'!$C$4,1,0))</f>
      </c>
      <c r="CE298" s="77">
        <f t="shared" si="72"/>
      </c>
      <c r="CF298" s="77">
        <f t="shared" si="73"/>
      </c>
      <c r="CG298" s="77">
        <f t="shared" si="74"/>
      </c>
    </row>
    <row r="299" spans="1:85" ht="19.5" customHeight="1" x14ac:dyDescent="0.2">
      <c r="A299" s="104"/>
      <c r="B299" s="104"/>
      <c r="C299" s="105"/>
      <c r="D299" s="104"/>
      <c r="E299" s="105"/>
      <c r="F299" s="106"/>
      <c r="G299" s="104"/>
      <c r="H299" s="106"/>
      <c r="I299" s="107"/>
      <c r="J299" s="108"/>
      <c r="K299" s="108"/>
      <c r="L299" s="108"/>
      <c r="M299" s="105"/>
      <c r="N299" s="105"/>
      <c r="O299" s="105"/>
      <c r="P299" s="108"/>
      <c r="Q299" s="105"/>
      <c r="R299" s="105"/>
      <c r="S299" s="105"/>
      <c r="T299" s="105"/>
      <c r="U299" s="108"/>
      <c r="V299" s="105"/>
      <c r="W299" s="105"/>
      <c r="X299" s="105"/>
      <c r="Y299" s="105"/>
      <c r="Z299" s="105"/>
      <c r="AA299" s="108"/>
      <c r="AB299" s="108"/>
      <c r="AC299" s="105"/>
      <c r="AD299" s="279"/>
      <c r="AE299" s="105"/>
      <c r="AF299" s="279"/>
      <c r="AG299" s="105"/>
      <c r="AH299" s="108"/>
      <c r="AI299" s="108"/>
      <c r="AJ299" s="108"/>
      <c r="AK299" s="108"/>
      <c r="AL299" s="105"/>
      <c r="AM299" s="108"/>
      <c r="AN299" s="105"/>
      <c r="AO299" s="108"/>
      <c r="AP299" s="108"/>
      <c r="AQ299" s="105"/>
      <c r="AR299" s="108"/>
      <c r="AS299" s="108"/>
      <c r="AT299" s="105"/>
      <c r="AU299" s="105"/>
      <c r="AV299" s="105"/>
      <c r="AW299" s="105"/>
      <c r="AX299" s="105"/>
      <c r="AY299" s="105"/>
      <c r="AZ299" s="105"/>
      <c r="BA299" s="105"/>
      <c r="BB299" s="105"/>
      <c r="BC299" s="105"/>
      <c r="BD299" s="108"/>
      <c r="BE299" s="83">
        <f>IF($A299="","",IF(TRIM($D299&amp;"")="",IF(TRIM($AX299&amp;$AY299&amp;$AZ299&amp;$BA299&amp;$BB299&amp;$BC299&amp;$BD299&amp;"")="","","SUBARRENDADO"),IFERROR(IF(VLOOKUP($D299,VEHICULOS!$A$3:$H$202,7,FALSE)="","",VLOOKUP($D299,VEHICULOS!$A$3:$H$202,7,FALSE)),"")))</f>
      </c>
      <c r="BF299" s="82">
        <f>IF($A299="","",IF(TRIM($BC299&amp;"")&lt;&gt;"",$BC299,IF(TRIM($D299&amp;"")="","",IFERROR(IF(VLOOKUP($D299,VEHICULOS!$A$3:$H$202,8,FALSE)="","",VLOOKUP($D299,VEHICULOS!$A$3:$H$202,8,FALSE)),""))))</f>
      </c>
      <c r="BG299" s="106"/>
      <c r="BH299" s="107"/>
      <c r="BI299" s="86">
        <f t="shared" si="60"/>
      </c>
      <c r="BJ299" s="83">
        <f t="shared" si="61"/>
      </c>
      <c r="BK299" s="85">
        <f t="shared" si="62"/>
      </c>
      <c r="BL299" s="85">
        <f t="shared" si="63"/>
      </c>
      <c r="BM299" s="108"/>
      <c r="BN299" s="85">
        <f t="shared" si="64"/>
      </c>
      <c r="BO299" s="108"/>
      <c r="BP299" s="85">
        <f t="shared" si="65"/>
      </c>
      <c r="BQ299" s="85">
        <f t="shared" si="66"/>
      </c>
      <c r="BR299" s="108"/>
      <c r="BS299" s="104"/>
      <c r="BT299" s="87">
        <f t="shared" si="67"/>
      </c>
      <c r="BU299" s="85">
        <f t="shared" si="68"/>
      </c>
      <c r="BV299" s="85">
        <f t="shared" si="69"/>
      </c>
      <c r="BW299" s="87">
        <f t="shared" si="70"/>
      </c>
      <c r="BX299" s="104"/>
      <c r="BY299" s="106"/>
      <c r="BZ299" s="104"/>
      <c r="CA299" s="105"/>
      <c r="CB299" s="77">
        <f>IF($A299="",0,IF($B299='FICHA CLIENTE'!$C$4,1,0))</f>
      </c>
      <c r="CC299" s="77">
        <f t="shared" si="71"/>
      </c>
      <c r="CD299" s="77">
        <f>IF($A299="",0,IF($D299='FICHA VEHICULO'!$C$4,1,0))</f>
      </c>
      <c r="CE299" s="77">
        <f t="shared" si="72"/>
      </c>
      <c r="CF299" s="77">
        <f t="shared" si="73"/>
      </c>
      <c r="CG299" s="77">
        <f t="shared" si="74"/>
      </c>
    </row>
    <row r="300" spans="1:85" ht="19.5" customHeight="1" x14ac:dyDescent="0.2">
      <c r="A300" s="104"/>
      <c r="B300" s="104"/>
      <c r="C300" s="105"/>
      <c r="D300" s="104"/>
      <c r="E300" s="105"/>
      <c r="F300" s="106"/>
      <c r="G300" s="104"/>
      <c r="H300" s="106"/>
      <c r="I300" s="107"/>
      <c r="J300" s="108"/>
      <c r="K300" s="108"/>
      <c r="L300" s="108"/>
      <c r="M300" s="105"/>
      <c r="N300" s="105"/>
      <c r="O300" s="105"/>
      <c r="P300" s="108"/>
      <c r="Q300" s="105"/>
      <c r="R300" s="105"/>
      <c r="S300" s="105"/>
      <c r="T300" s="105"/>
      <c r="U300" s="108"/>
      <c r="V300" s="105"/>
      <c r="W300" s="105"/>
      <c r="X300" s="105"/>
      <c r="Y300" s="105"/>
      <c r="Z300" s="105"/>
      <c r="AA300" s="108"/>
      <c r="AB300" s="108"/>
      <c r="AC300" s="105"/>
      <c r="AD300" s="279"/>
      <c r="AE300" s="105"/>
      <c r="AF300" s="279"/>
      <c r="AG300" s="105"/>
      <c r="AH300" s="108"/>
      <c r="AI300" s="108"/>
      <c r="AJ300" s="108"/>
      <c r="AK300" s="108"/>
      <c r="AL300" s="105"/>
      <c r="AM300" s="108"/>
      <c r="AN300" s="105"/>
      <c r="AO300" s="108"/>
      <c r="AP300" s="108"/>
      <c r="AQ300" s="105"/>
      <c r="AR300" s="108"/>
      <c r="AS300" s="108"/>
      <c r="AT300" s="105"/>
      <c r="AU300" s="105"/>
      <c r="AV300" s="105"/>
      <c r="AW300" s="105"/>
      <c r="AX300" s="105"/>
      <c r="AY300" s="105"/>
      <c r="AZ300" s="105"/>
      <c r="BA300" s="105"/>
      <c r="BB300" s="105"/>
      <c r="BC300" s="105"/>
      <c r="BD300" s="108"/>
      <c r="BE300" s="83">
        <f>IF($A300="","",IF(TRIM($D300&amp;"")="",IF(TRIM($AX300&amp;$AY300&amp;$AZ300&amp;$BA300&amp;$BB300&amp;$BC300&amp;$BD300&amp;"")="","","SUBARRENDADO"),IFERROR(IF(VLOOKUP($D300,VEHICULOS!$A$3:$H$202,7,FALSE)="","",VLOOKUP($D300,VEHICULOS!$A$3:$H$202,7,FALSE)),"")))</f>
      </c>
      <c r="BF300" s="82">
        <f>IF($A300="","",IF(TRIM($BC300&amp;"")&lt;&gt;"",$BC300,IF(TRIM($D300&amp;"")="","",IFERROR(IF(VLOOKUP($D300,VEHICULOS!$A$3:$H$202,8,FALSE)="","",VLOOKUP($D300,VEHICULOS!$A$3:$H$202,8,FALSE)),""))))</f>
      </c>
      <c r="BG300" s="106"/>
      <c r="BH300" s="107"/>
      <c r="BI300" s="86">
        <f t="shared" si="60"/>
      </c>
      <c r="BJ300" s="83">
        <f t="shared" si="61"/>
      </c>
      <c r="BK300" s="85">
        <f t="shared" si="62"/>
      </c>
      <c r="BL300" s="85">
        <f t="shared" si="63"/>
      </c>
      <c r="BM300" s="108"/>
      <c r="BN300" s="85">
        <f t="shared" si="64"/>
      </c>
      <c r="BO300" s="108"/>
      <c r="BP300" s="85">
        <f t="shared" si="65"/>
      </c>
      <c r="BQ300" s="85">
        <f t="shared" si="66"/>
      </c>
      <c r="BR300" s="108"/>
      <c r="BS300" s="104"/>
      <c r="BT300" s="87">
        <f t="shared" si="67"/>
      </c>
      <c r="BU300" s="85">
        <f t="shared" si="68"/>
      </c>
      <c r="BV300" s="85">
        <f t="shared" si="69"/>
      </c>
      <c r="BW300" s="87">
        <f t="shared" si="70"/>
      </c>
      <c r="BX300" s="104"/>
      <c r="BY300" s="106"/>
      <c r="BZ300" s="104"/>
      <c r="CA300" s="105"/>
      <c r="CB300" s="77">
        <f>IF($A300="",0,IF($B300='FICHA CLIENTE'!$C$4,1,0))</f>
      </c>
      <c r="CC300" s="77">
        <f t="shared" si="71"/>
      </c>
      <c r="CD300" s="77">
        <f>IF($A300="",0,IF($D300='FICHA VEHICULO'!$C$4,1,0))</f>
      </c>
      <c r="CE300" s="77">
        <f t="shared" si="72"/>
      </c>
      <c r="CF300" s="77">
        <f t="shared" si="73"/>
      </c>
      <c r="CG300" s="77">
        <f t="shared" si="74"/>
      </c>
    </row>
    <row r="301" spans="1:85" ht="19.5" customHeight="1" x14ac:dyDescent="0.2">
      <c r="A301" s="104"/>
      <c r="B301" s="104"/>
      <c r="C301" s="105"/>
      <c r="D301" s="104"/>
      <c r="E301" s="105"/>
      <c r="F301" s="106"/>
      <c r="G301" s="104"/>
      <c r="H301" s="106"/>
      <c r="I301" s="107"/>
      <c r="J301" s="108"/>
      <c r="K301" s="108"/>
      <c r="L301" s="108"/>
      <c r="M301" s="105"/>
      <c r="N301" s="105"/>
      <c r="O301" s="105"/>
      <c r="P301" s="108"/>
      <c r="Q301" s="105"/>
      <c r="R301" s="105"/>
      <c r="S301" s="105"/>
      <c r="T301" s="105"/>
      <c r="U301" s="108"/>
      <c r="V301" s="105"/>
      <c r="W301" s="105"/>
      <c r="X301" s="105"/>
      <c r="Y301" s="105"/>
      <c r="Z301" s="105"/>
      <c r="AA301" s="108"/>
      <c r="AB301" s="108"/>
      <c r="AC301" s="105"/>
      <c r="AD301" s="279"/>
      <c r="AE301" s="105"/>
      <c r="AF301" s="279"/>
      <c r="AG301" s="105"/>
      <c r="AH301" s="108"/>
      <c r="AI301" s="108"/>
      <c r="AJ301" s="108"/>
      <c r="AK301" s="108"/>
      <c r="AL301" s="105"/>
      <c r="AM301" s="108"/>
      <c r="AN301" s="105"/>
      <c r="AO301" s="108"/>
      <c r="AP301" s="108"/>
      <c r="AQ301" s="105"/>
      <c r="AR301" s="108"/>
      <c r="AS301" s="108"/>
      <c r="AT301" s="105"/>
      <c r="AU301" s="105"/>
      <c r="AV301" s="105"/>
      <c r="AW301" s="105"/>
      <c r="AX301" s="105"/>
      <c r="AY301" s="105"/>
      <c r="AZ301" s="105"/>
      <c r="BA301" s="105"/>
      <c r="BB301" s="105"/>
      <c r="BC301" s="105"/>
      <c r="BD301" s="108"/>
      <c r="BE301" s="83">
        <f>IF($A301="","",IF(TRIM($D301&amp;"")="",IF(TRIM($AX301&amp;$AY301&amp;$AZ301&amp;$BA301&amp;$BB301&amp;$BC301&amp;$BD301&amp;"")="","","SUBARRENDADO"),IFERROR(IF(VLOOKUP($D301,VEHICULOS!$A$3:$H$202,7,FALSE)="","",VLOOKUP($D301,VEHICULOS!$A$3:$H$202,7,FALSE)),"")))</f>
      </c>
      <c r="BF301" s="82">
        <f>IF($A301="","",IF(TRIM($BC301&amp;"")&lt;&gt;"",$BC301,IF(TRIM($D301&amp;"")="","",IFERROR(IF(VLOOKUP($D301,VEHICULOS!$A$3:$H$202,8,FALSE)="","",VLOOKUP($D301,VEHICULOS!$A$3:$H$202,8,FALSE)),""))))</f>
      </c>
      <c r="BG301" s="106"/>
      <c r="BH301" s="107"/>
      <c r="BI301" s="86">
        <f t="shared" si="60"/>
      </c>
      <c r="BJ301" s="83">
        <f t="shared" si="61"/>
      </c>
      <c r="BK301" s="85">
        <f t="shared" si="62"/>
      </c>
      <c r="BL301" s="85">
        <f t="shared" si="63"/>
      </c>
      <c r="BM301" s="108"/>
      <c r="BN301" s="85">
        <f t="shared" si="64"/>
      </c>
      <c r="BO301" s="108"/>
      <c r="BP301" s="85">
        <f t="shared" si="65"/>
      </c>
      <c r="BQ301" s="85">
        <f t="shared" si="66"/>
      </c>
      <c r="BR301" s="108"/>
      <c r="BS301" s="104"/>
      <c r="BT301" s="87">
        <f t="shared" si="67"/>
      </c>
      <c r="BU301" s="85">
        <f t="shared" si="68"/>
      </c>
      <c r="BV301" s="85">
        <f t="shared" si="69"/>
      </c>
      <c r="BW301" s="87">
        <f t="shared" si="70"/>
      </c>
      <c r="BX301" s="104"/>
      <c r="BY301" s="106"/>
      <c r="BZ301" s="104"/>
      <c r="CA301" s="105"/>
      <c r="CB301" s="77">
        <f>IF($A301="",0,IF($B301='FICHA CLIENTE'!$C$4,1,0))</f>
      </c>
      <c r="CC301" s="77">
        <f t="shared" si="71"/>
      </c>
      <c r="CD301" s="77">
        <f>IF($A301="",0,IF($D301='FICHA VEHICULO'!$C$4,1,0))</f>
      </c>
      <c r="CE301" s="77">
        <f t="shared" si="72"/>
      </c>
      <c r="CF301" s="77">
        <f t="shared" si="73"/>
      </c>
      <c r="CG301" s="77">
        <f t="shared" si="74"/>
      </c>
    </row>
    <row r="302" spans="1:85" ht="19.5" customHeight="1" x14ac:dyDescent="0.2">
      <c r="A302" s="104"/>
      <c r="B302" s="104"/>
      <c r="C302" s="105"/>
      <c r="D302" s="104"/>
      <c r="E302" s="105"/>
      <c r="F302" s="106"/>
      <c r="G302" s="104"/>
      <c r="H302" s="106"/>
      <c r="I302" s="107"/>
      <c r="J302" s="108"/>
      <c r="K302" s="108"/>
      <c r="L302" s="108"/>
      <c r="M302" s="105"/>
      <c r="N302" s="105"/>
      <c r="O302" s="105"/>
      <c r="P302" s="108"/>
      <c r="Q302" s="105"/>
      <c r="R302" s="105"/>
      <c r="S302" s="105"/>
      <c r="T302" s="105"/>
      <c r="U302" s="108"/>
      <c r="V302" s="105"/>
      <c r="W302" s="105"/>
      <c r="X302" s="105"/>
      <c r="Y302" s="105"/>
      <c r="Z302" s="105"/>
      <c r="AA302" s="108"/>
      <c r="AB302" s="108"/>
      <c r="AC302" s="105"/>
      <c r="AD302" s="279"/>
      <c r="AE302" s="105"/>
      <c r="AF302" s="279"/>
      <c r="AG302" s="105"/>
      <c r="AH302" s="108"/>
      <c r="AI302" s="108"/>
      <c r="AJ302" s="108"/>
      <c r="AK302" s="108"/>
      <c r="AL302" s="105"/>
      <c r="AM302" s="108"/>
      <c r="AN302" s="105"/>
      <c r="AO302" s="108"/>
      <c r="AP302" s="108"/>
      <c r="AQ302" s="105"/>
      <c r="AR302" s="108"/>
      <c r="AS302" s="108"/>
      <c r="AT302" s="105"/>
      <c r="AU302" s="105"/>
      <c r="AV302" s="105"/>
      <c r="AW302" s="105"/>
      <c r="AX302" s="105"/>
      <c r="AY302" s="105"/>
      <c r="AZ302" s="105"/>
      <c r="BA302" s="105"/>
      <c r="BB302" s="105"/>
      <c r="BC302" s="105"/>
      <c r="BD302" s="108"/>
      <c r="BE302" s="83">
        <f>IF($A302="","",IF(TRIM($D302&amp;"")="",IF(TRIM($AX302&amp;$AY302&amp;$AZ302&amp;$BA302&amp;$BB302&amp;$BC302&amp;$BD302&amp;"")="","","SUBARRENDADO"),IFERROR(IF(VLOOKUP($D302,VEHICULOS!$A$3:$H$202,7,FALSE)="","",VLOOKUP($D302,VEHICULOS!$A$3:$H$202,7,FALSE)),"")))</f>
      </c>
      <c r="BF302" s="82">
        <f>IF($A302="","",IF(TRIM($BC302&amp;"")&lt;&gt;"",$BC302,IF(TRIM($D302&amp;"")="","",IFERROR(IF(VLOOKUP($D302,VEHICULOS!$A$3:$H$202,8,FALSE)="","",VLOOKUP($D302,VEHICULOS!$A$3:$H$202,8,FALSE)),""))))</f>
      </c>
      <c r="BG302" s="106"/>
      <c r="BH302" s="107"/>
      <c r="BI302" s="86">
        <f t="shared" si="60"/>
      </c>
      <c r="BJ302" s="83">
        <f t="shared" si="61"/>
      </c>
      <c r="BK302" s="85">
        <f t="shared" si="62"/>
      </c>
      <c r="BL302" s="85">
        <f t="shared" si="63"/>
      </c>
      <c r="BM302" s="108"/>
      <c r="BN302" s="85">
        <f t="shared" si="64"/>
      </c>
      <c r="BO302" s="108"/>
      <c r="BP302" s="85">
        <f t="shared" si="65"/>
      </c>
      <c r="BQ302" s="85">
        <f t="shared" si="66"/>
      </c>
      <c r="BR302" s="108"/>
      <c r="BS302" s="104"/>
      <c r="BT302" s="87">
        <f t="shared" si="67"/>
      </c>
      <c r="BU302" s="85">
        <f t="shared" si="68"/>
      </c>
      <c r="BV302" s="85">
        <f t="shared" si="69"/>
      </c>
      <c r="BW302" s="87">
        <f t="shared" si="70"/>
      </c>
      <c r="BX302" s="104"/>
      <c r="BY302" s="106"/>
      <c r="BZ302" s="104"/>
      <c r="CA302" s="105"/>
      <c r="CB302" s="77">
        <f>IF($A302="",0,IF($B302='FICHA CLIENTE'!$C$4,1,0))</f>
      </c>
      <c r="CC302" s="77">
        <f t="shared" si="71"/>
      </c>
      <c r="CD302" s="77">
        <f>IF($A302="",0,IF($D302='FICHA VEHICULO'!$C$4,1,0))</f>
      </c>
      <c r="CE302" s="77">
        <f t="shared" si="72"/>
      </c>
      <c r="CF302" s="77">
        <f t="shared" si="73"/>
      </c>
      <c r="CG302" s="77">
        <f t="shared" si="74"/>
      </c>
    </row>
    <row r="303" spans="1:85" ht="19.5" customHeight="1" x14ac:dyDescent="0.2">
      <c r="A303" s="104"/>
      <c r="B303" s="104"/>
      <c r="C303" s="105"/>
      <c r="D303" s="104"/>
      <c r="E303" s="105"/>
      <c r="F303" s="106"/>
      <c r="G303" s="104"/>
      <c r="H303" s="106"/>
      <c r="I303" s="107"/>
      <c r="J303" s="108"/>
      <c r="K303" s="108"/>
      <c r="L303" s="108"/>
      <c r="M303" s="105"/>
      <c r="N303" s="105"/>
      <c r="O303" s="105"/>
      <c r="P303" s="108"/>
      <c r="Q303" s="105"/>
      <c r="R303" s="105"/>
      <c r="S303" s="105"/>
      <c r="T303" s="105"/>
      <c r="U303" s="108"/>
      <c r="V303" s="105"/>
      <c r="W303" s="105"/>
      <c r="X303" s="105"/>
      <c r="Y303" s="105"/>
      <c r="Z303" s="105"/>
      <c r="AA303" s="108"/>
      <c r="AB303" s="108"/>
      <c r="AC303" s="105"/>
      <c r="AD303" s="279"/>
      <c r="AE303" s="105"/>
      <c r="AF303" s="279"/>
      <c r="AG303" s="105"/>
      <c r="AH303" s="108"/>
      <c r="AI303" s="108"/>
      <c r="AJ303" s="108"/>
      <c r="AK303" s="108"/>
      <c r="AL303" s="105"/>
      <c r="AM303" s="108"/>
      <c r="AN303" s="105"/>
      <c r="AO303" s="108"/>
      <c r="AP303" s="108"/>
      <c r="AQ303" s="105"/>
      <c r="AR303" s="108"/>
      <c r="AS303" s="108"/>
      <c r="AT303" s="105"/>
      <c r="AU303" s="105"/>
      <c r="AV303" s="105"/>
      <c r="AW303" s="105"/>
      <c r="AX303" s="105"/>
      <c r="AY303" s="105"/>
      <c r="AZ303" s="105"/>
      <c r="BA303" s="105"/>
      <c r="BB303" s="105"/>
      <c r="BC303" s="105"/>
      <c r="BD303" s="108"/>
      <c r="BE303" s="83">
        <f>IF($A303="","",IF(TRIM($D303&amp;"")="",IF(TRIM($AX303&amp;$AY303&amp;$AZ303&amp;$BA303&amp;$BB303&amp;$BC303&amp;$BD303&amp;"")="","","SUBARRENDADO"),IFERROR(IF(VLOOKUP($D303,VEHICULOS!$A$3:$H$202,7,FALSE)="","",VLOOKUP($D303,VEHICULOS!$A$3:$H$202,7,FALSE)),"")))</f>
      </c>
      <c r="BF303" s="82">
        <f>IF($A303="","",IF(TRIM($BC303&amp;"")&lt;&gt;"",$BC303,IF(TRIM($D303&amp;"")="","",IFERROR(IF(VLOOKUP($D303,VEHICULOS!$A$3:$H$202,8,FALSE)="","",VLOOKUP($D303,VEHICULOS!$A$3:$H$202,8,FALSE)),""))))</f>
      </c>
      <c r="BG303" s="106"/>
      <c r="BH303" s="107"/>
      <c r="BI303" s="86">
        <f t="shared" si="60"/>
      </c>
      <c r="BJ303" s="83">
        <f t="shared" si="61"/>
      </c>
      <c r="BK303" s="85">
        <f t="shared" si="62"/>
      </c>
      <c r="BL303" s="85">
        <f t="shared" si="63"/>
      </c>
      <c r="BM303" s="108"/>
      <c r="BN303" s="85">
        <f t="shared" si="64"/>
      </c>
      <c r="BO303" s="108"/>
      <c r="BP303" s="85">
        <f t="shared" si="65"/>
      </c>
      <c r="BQ303" s="85">
        <f t="shared" si="66"/>
      </c>
      <c r="BR303" s="108"/>
      <c r="BS303" s="104"/>
      <c r="BT303" s="87">
        <f t="shared" si="67"/>
      </c>
      <c r="BU303" s="85">
        <f t="shared" si="68"/>
      </c>
      <c r="BV303" s="85">
        <f t="shared" si="69"/>
      </c>
      <c r="BW303" s="87">
        <f t="shared" si="70"/>
      </c>
      <c r="BX303" s="104"/>
      <c r="BY303" s="106"/>
      <c r="BZ303" s="104"/>
      <c r="CA303" s="105"/>
      <c r="CB303" s="77">
        <f>IF($A303="",0,IF($B303='FICHA CLIENTE'!$C$4,1,0))</f>
      </c>
      <c r="CC303" s="77">
        <f t="shared" si="71"/>
      </c>
      <c r="CD303" s="77">
        <f>IF($A303="",0,IF($D303='FICHA VEHICULO'!$C$4,1,0))</f>
      </c>
      <c r="CE303" s="77">
        <f t="shared" si="72"/>
      </c>
      <c r="CF303" s="77">
        <f t="shared" si="73"/>
      </c>
      <c r="CG303" s="77">
        <f t="shared" si="74"/>
      </c>
    </row>
    <row r="304" spans="1:85" ht="19.5" customHeight="1" x14ac:dyDescent="0.2">
      <c r="A304" s="104"/>
      <c r="B304" s="104"/>
      <c r="C304" s="105"/>
      <c r="D304" s="104"/>
      <c r="E304" s="105"/>
      <c r="F304" s="106"/>
      <c r="G304" s="104"/>
      <c r="H304" s="106"/>
      <c r="I304" s="107"/>
      <c r="J304" s="108"/>
      <c r="K304" s="108"/>
      <c r="L304" s="108"/>
      <c r="M304" s="105"/>
      <c r="N304" s="105"/>
      <c r="O304" s="105"/>
      <c r="P304" s="108"/>
      <c r="Q304" s="105"/>
      <c r="R304" s="105"/>
      <c r="S304" s="105"/>
      <c r="T304" s="105"/>
      <c r="U304" s="108"/>
      <c r="V304" s="105"/>
      <c r="W304" s="105"/>
      <c r="X304" s="105"/>
      <c r="Y304" s="105"/>
      <c r="Z304" s="105"/>
      <c r="AA304" s="108"/>
      <c r="AB304" s="108"/>
      <c r="AC304" s="105"/>
      <c r="AD304" s="279"/>
      <c r="AE304" s="105"/>
      <c r="AF304" s="279"/>
      <c r="AG304" s="105"/>
      <c r="AH304" s="108"/>
      <c r="AI304" s="108"/>
      <c r="AJ304" s="108"/>
      <c r="AK304" s="108"/>
      <c r="AL304" s="105"/>
      <c r="AM304" s="108"/>
      <c r="AN304" s="105"/>
      <c r="AO304" s="108"/>
      <c r="AP304" s="108"/>
      <c r="AQ304" s="105"/>
      <c r="AR304" s="108"/>
      <c r="AS304" s="108"/>
      <c r="AT304" s="105"/>
      <c r="AU304" s="105"/>
      <c r="AV304" s="105"/>
      <c r="AW304" s="105"/>
      <c r="AX304" s="105"/>
      <c r="AY304" s="105"/>
      <c r="AZ304" s="105"/>
      <c r="BA304" s="105"/>
      <c r="BB304" s="105"/>
      <c r="BC304" s="105"/>
      <c r="BD304" s="108"/>
      <c r="BE304" s="83">
        <f>IF($A304="","",IF(TRIM($D304&amp;"")="",IF(TRIM($AX304&amp;$AY304&amp;$AZ304&amp;$BA304&amp;$BB304&amp;$BC304&amp;$BD304&amp;"")="","","SUBARRENDADO"),IFERROR(IF(VLOOKUP($D304,VEHICULOS!$A$3:$H$202,7,FALSE)="","",VLOOKUP($D304,VEHICULOS!$A$3:$H$202,7,FALSE)),"")))</f>
      </c>
      <c r="BF304" s="82">
        <f>IF($A304="","",IF(TRIM($BC304&amp;"")&lt;&gt;"",$BC304,IF(TRIM($D304&amp;"")="","",IFERROR(IF(VLOOKUP($D304,VEHICULOS!$A$3:$H$202,8,FALSE)="","",VLOOKUP($D304,VEHICULOS!$A$3:$H$202,8,FALSE)),""))))</f>
      </c>
      <c r="BG304" s="106"/>
      <c r="BH304" s="107"/>
      <c r="BI304" s="86">
        <f t="shared" si="60"/>
      </c>
      <c r="BJ304" s="83">
        <f t="shared" si="61"/>
      </c>
      <c r="BK304" s="85">
        <f t="shared" si="62"/>
      </c>
      <c r="BL304" s="85">
        <f t="shared" si="63"/>
      </c>
      <c r="BM304" s="108"/>
      <c r="BN304" s="85">
        <f t="shared" si="64"/>
      </c>
      <c r="BO304" s="108"/>
      <c r="BP304" s="85">
        <f t="shared" si="65"/>
      </c>
      <c r="BQ304" s="85">
        <f t="shared" si="66"/>
      </c>
      <c r="BR304" s="108"/>
      <c r="BS304" s="104"/>
      <c r="BT304" s="87">
        <f t="shared" si="67"/>
      </c>
      <c r="BU304" s="85">
        <f t="shared" si="68"/>
      </c>
      <c r="BV304" s="85">
        <f t="shared" si="69"/>
      </c>
      <c r="BW304" s="87">
        <f t="shared" si="70"/>
      </c>
      <c r="BX304" s="104"/>
      <c r="BY304" s="106"/>
      <c r="BZ304" s="104"/>
      <c r="CA304" s="105"/>
      <c r="CB304" s="77">
        <f>IF($A304="",0,IF($B304='FICHA CLIENTE'!$C$4,1,0))</f>
      </c>
      <c r="CC304" s="77">
        <f t="shared" si="71"/>
      </c>
      <c r="CD304" s="77">
        <f>IF($A304="",0,IF($D304='FICHA VEHICULO'!$C$4,1,0))</f>
      </c>
      <c r="CE304" s="77">
        <f t="shared" si="72"/>
      </c>
      <c r="CF304" s="77">
        <f t="shared" si="73"/>
      </c>
      <c r="CG304" s="77">
        <f t="shared" si="74"/>
      </c>
    </row>
    <row r="305" spans="1:85" ht="19.5" customHeight="1" x14ac:dyDescent="0.2">
      <c r="A305" s="104"/>
      <c r="B305" s="104"/>
      <c r="C305" s="105"/>
      <c r="D305" s="104"/>
      <c r="E305" s="105"/>
      <c r="F305" s="106"/>
      <c r="G305" s="104"/>
      <c r="H305" s="106"/>
      <c r="I305" s="107"/>
      <c r="J305" s="108"/>
      <c r="K305" s="108"/>
      <c r="L305" s="108"/>
      <c r="M305" s="105"/>
      <c r="N305" s="105"/>
      <c r="O305" s="105"/>
      <c r="P305" s="108"/>
      <c r="Q305" s="105"/>
      <c r="R305" s="105"/>
      <c r="S305" s="105"/>
      <c r="T305" s="105"/>
      <c r="U305" s="108"/>
      <c r="V305" s="105"/>
      <c r="W305" s="105"/>
      <c r="X305" s="105"/>
      <c r="Y305" s="105"/>
      <c r="Z305" s="105"/>
      <c r="AA305" s="108"/>
      <c r="AB305" s="108"/>
      <c r="AC305" s="105"/>
      <c r="AD305" s="279"/>
      <c r="AE305" s="105"/>
      <c r="AF305" s="279"/>
      <c r="AG305" s="105"/>
      <c r="AH305" s="108"/>
      <c r="AI305" s="108"/>
      <c r="AJ305" s="108"/>
      <c r="AK305" s="108"/>
      <c r="AL305" s="105"/>
      <c r="AM305" s="108"/>
      <c r="AN305" s="105"/>
      <c r="AO305" s="108"/>
      <c r="AP305" s="108"/>
      <c r="AQ305" s="105"/>
      <c r="AR305" s="108"/>
      <c r="AS305" s="108"/>
      <c r="AT305" s="105"/>
      <c r="AU305" s="105"/>
      <c r="AV305" s="105"/>
      <c r="AW305" s="105"/>
      <c r="AX305" s="105"/>
      <c r="AY305" s="105"/>
      <c r="AZ305" s="105"/>
      <c r="BA305" s="105"/>
      <c r="BB305" s="105"/>
      <c r="BC305" s="105"/>
      <c r="BD305" s="108"/>
      <c r="BE305" s="83">
        <f>IF($A305="","",IF(TRIM($D305&amp;"")="",IF(TRIM($AX305&amp;$AY305&amp;$AZ305&amp;$BA305&amp;$BB305&amp;$BC305&amp;$BD305&amp;"")="","","SUBARRENDADO"),IFERROR(IF(VLOOKUP($D305,VEHICULOS!$A$3:$H$202,7,FALSE)="","",VLOOKUP($D305,VEHICULOS!$A$3:$H$202,7,FALSE)),"")))</f>
      </c>
      <c r="BF305" s="82">
        <f>IF($A305="","",IF(TRIM($BC305&amp;"")&lt;&gt;"",$BC305,IF(TRIM($D305&amp;"")="","",IFERROR(IF(VLOOKUP($D305,VEHICULOS!$A$3:$H$202,8,FALSE)="","",VLOOKUP($D305,VEHICULOS!$A$3:$H$202,8,FALSE)),""))))</f>
      </c>
      <c r="BG305" s="106"/>
      <c r="BH305" s="107"/>
      <c r="BI305" s="86">
        <f t="shared" si="60"/>
      </c>
      <c r="BJ305" s="83">
        <f t="shared" si="61"/>
      </c>
      <c r="BK305" s="85">
        <f t="shared" si="62"/>
      </c>
      <c r="BL305" s="85">
        <f t="shared" si="63"/>
      </c>
      <c r="BM305" s="108"/>
      <c r="BN305" s="85">
        <f t="shared" si="64"/>
      </c>
      <c r="BO305" s="108"/>
      <c r="BP305" s="85">
        <f t="shared" si="65"/>
      </c>
      <c r="BQ305" s="85">
        <f t="shared" si="66"/>
      </c>
      <c r="BR305" s="108"/>
      <c r="BS305" s="104"/>
      <c r="BT305" s="87">
        <f t="shared" si="67"/>
      </c>
      <c r="BU305" s="85">
        <f t="shared" si="68"/>
      </c>
      <c r="BV305" s="85">
        <f t="shared" si="69"/>
      </c>
      <c r="BW305" s="87">
        <f t="shared" si="70"/>
      </c>
      <c r="BX305" s="104"/>
      <c r="BY305" s="106"/>
      <c r="BZ305" s="104"/>
      <c r="CA305" s="105"/>
      <c r="CB305" s="77">
        <f>IF($A305="",0,IF($B305='FICHA CLIENTE'!$C$4,1,0))</f>
      </c>
      <c r="CC305" s="77">
        <f t="shared" si="71"/>
      </c>
      <c r="CD305" s="77">
        <f>IF($A305="",0,IF($D305='FICHA VEHICULO'!$C$4,1,0))</f>
      </c>
      <c r="CE305" s="77">
        <f t="shared" si="72"/>
      </c>
      <c r="CF305" s="77">
        <f t="shared" si="73"/>
      </c>
      <c r="CG305" s="77">
        <f t="shared" si="74"/>
      </c>
    </row>
    <row r="306" spans="1:85" ht="19.5" customHeight="1" x14ac:dyDescent="0.2">
      <c r="A306" s="104"/>
      <c r="B306" s="104"/>
      <c r="C306" s="105"/>
      <c r="D306" s="104"/>
      <c r="E306" s="105"/>
      <c r="F306" s="106"/>
      <c r="G306" s="104"/>
      <c r="H306" s="106"/>
      <c r="I306" s="107"/>
      <c r="J306" s="108"/>
      <c r="K306" s="108"/>
      <c r="L306" s="108"/>
      <c r="M306" s="105"/>
      <c r="N306" s="105"/>
      <c r="O306" s="105"/>
      <c r="P306" s="108"/>
      <c r="Q306" s="105"/>
      <c r="R306" s="105"/>
      <c r="S306" s="105"/>
      <c r="T306" s="105"/>
      <c r="U306" s="108"/>
      <c r="V306" s="105"/>
      <c r="W306" s="105"/>
      <c r="X306" s="105"/>
      <c r="Y306" s="105"/>
      <c r="Z306" s="105"/>
      <c r="AA306" s="108"/>
      <c r="AB306" s="108"/>
      <c r="AC306" s="105"/>
      <c r="AD306" s="279"/>
      <c r="AE306" s="105"/>
      <c r="AF306" s="279"/>
      <c r="AG306" s="105"/>
      <c r="AH306" s="108"/>
      <c r="AI306" s="108"/>
      <c r="AJ306" s="108"/>
      <c r="AK306" s="108"/>
      <c r="AL306" s="105"/>
      <c r="AM306" s="108"/>
      <c r="AN306" s="105"/>
      <c r="AO306" s="108"/>
      <c r="AP306" s="108"/>
      <c r="AQ306" s="105"/>
      <c r="AR306" s="108"/>
      <c r="AS306" s="108"/>
      <c r="AT306" s="105"/>
      <c r="AU306" s="105"/>
      <c r="AV306" s="105"/>
      <c r="AW306" s="105"/>
      <c r="AX306" s="105"/>
      <c r="AY306" s="105"/>
      <c r="AZ306" s="105"/>
      <c r="BA306" s="105"/>
      <c r="BB306" s="105"/>
      <c r="BC306" s="105"/>
      <c r="BD306" s="108"/>
      <c r="BE306" s="83">
        <f>IF($A306="","",IF(TRIM($D306&amp;"")="",IF(TRIM($AX306&amp;$AY306&amp;$AZ306&amp;$BA306&amp;$BB306&amp;$BC306&amp;$BD306&amp;"")="","","SUBARRENDADO"),IFERROR(IF(VLOOKUP($D306,VEHICULOS!$A$3:$H$202,7,FALSE)="","",VLOOKUP($D306,VEHICULOS!$A$3:$H$202,7,FALSE)),"")))</f>
      </c>
      <c r="BF306" s="82">
        <f>IF($A306="","",IF(TRIM($BC306&amp;"")&lt;&gt;"",$BC306,IF(TRIM($D306&amp;"")="","",IFERROR(IF(VLOOKUP($D306,VEHICULOS!$A$3:$H$202,8,FALSE)="","",VLOOKUP($D306,VEHICULOS!$A$3:$H$202,8,FALSE)),""))))</f>
      </c>
      <c r="BG306" s="106"/>
      <c r="BH306" s="107"/>
      <c r="BI306" s="86">
        <f t="shared" si="60"/>
      </c>
      <c r="BJ306" s="83">
        <f t="shared" si="61"/>
      </c>
      <c r="BK306" s="85">
        <f t="shared" si="62"/>
      </c>
      <c r="BL306" s="85">
        <f t="shared" si="63"/>
      </c>
      <c r="BM306" s="108"/>
      <c r="BN306" s="85">
        <f t="shared" si="64"/>
      </c>
      <c r="BO306" s="108"/>
      <c r="BP306" s="85">
        <f t="shared" si="65"/>
      </c>
      <c r="BQ306" s="85">
        <f t="shared" si="66"/>
      </c>
      <c r="BR306" s="108"/>
      <c r="BS306" s="104"/>
      <c r="BT306" s="87">
        <f t="shared" si="67"/>
      </c>
      <c r="BU306" s="85">
        <f t="shared" si="68"/>
      </c>
      <c r="BV306" s="85">
        <f t="shared" si="69"/>
      </c>
      <c r="BW306" s="87">
        <f t="shared" si="70"/>
      </c>
      <c r="BX306" s="104"/>
      <c r="BY306" s="106"/>
      <c r="BZ306" s="104"/>
      <c r="CA306" s="105"/>
      <c r="CB306" s="77">
        <f>IF($A306="",0,IF($B306='FICHA CLIENTE'!$C$4,1,0))</f>
      </c>
      <c r="CC306" s="77">
        <f t="shared" si="71"/>
      </c>
      <c r="CD306" s="77">
        <f>IF($A306="",0,IF($D306='FICHA VEHICULO'!$C$4,1,0))</f>
      </c>
      <c r="CE306" s="77">
        <f t="shared" si="72"/>
      </c>
      <c r="CF306" s="77">
        <f t="shared" si="73"/>
      </c>
      <c r="CG306" s="77">
        <f t="shared" si="74"/>
      </c>
    </row>
    <row r="307" spans="1:85" ht="19.5" customHeight="1" x14ac:dyDescent="0.2">
      <c r="A307" s="104"/>
      <c r="B307" s="104"/>
      <c r="C307" s="105"/>
      <c r="D307" s="104"/>
      <c r="E307" s="105"/>
      <c r="F307" s="106"/>
      <c r="G307" s="104"/>
      <c r="H307" s="106"/>
      <c r="I307" s="107"/>
      <c r="J307" s="108"/>
      <c r="K307" s="108"/>
      <c r="L307" s="108"/>
      <c r="M307" s="105"/>
      <c r="N307" s="105"/>
      <c r="O307" s="105"/>
      <c r="P307" s="108"/>
      <c r="Q307" s="105"/>
      <c r="R307" s="105"/>
      <c r="S307" s="105"/>
      <c r="T307" s="105"/>
      <c r="U307" s="108"/>
      <c r="V307" s="105"/>
      <c r="W307" s="105"/>
      <c r="X307" s="105"/>
      <c r="Y307" s="105"/>
      <c r="Z307" s="105"/>
      <c r="AA307" s="108"/>
      <c r="AB307" s="108"/>
      <c r="AC307" s="105"/>
      <c r="AD307" s="279"/>
      <c r="AE307" s="105"/>
      <c r="AF307" s="279"/>
      <c r="AG307" s="105"/>
      <c r="AH307" s="108"/>
      <c r="AI307" s="108"/>
      <c r="AJ307" s="108"/>
      <c r="AK307" s="108"/>
      <c r="AL307" s="105"/>
      <c r="AM307" s="108"/>
      <c r="AN307" s="105"/>
      <c r="AO307" s="108"/>
      <c r="AP307" s="108"/>
      <c r="AQ307" s="105"/>
      <c r="AR307" s="108"/>
      <c r="AS307" s="108"/>
      <c r="AT307" s="105"/>
      <c r="AU307" s="105"/>
      <c r="AV307" s="105"/>
      <c r="AW307" s="105"/>
      <c r="AX307" s="105"/>
      <c r="AY307" s="105"/>
      <c r="AZ307" s="105"/>
      <c r="BA307" s="105"/>
      <c r="BB307" s="105"/>
      <c r="BC307" s="105"/>
      <c r="BD307" s="108"/>
      <c r="BE307" s="83">
        <f>IF($A307="","",IF(TRIM($D307&amp;"")="",IF(TRIM($AX307&amp;$AY307&amp;$AZ307&amp;$BA307&amp;$BB307&amp;$BC307&amp;$BD307&amp;"")="","","SUBARRENDADO"),IFERROR(IF(VLOOKUP($D307,VEHICULOS!$A$3:$H$202,7,FALSE)="","",VLOOKUP($D307,VEHICULOS!$A$3:$H$202,7,FALSE)),"")))</f>
      </c>
      <c r="BF307" s="82">
        <f>IF($A307="","",IF(TRIM($BC307&amp;"")&lt;&gt;"",$BC307,IF(TRIM($D307&amp;"")="","",IFERROR(IF(VLOOKUP($D307,VEHICULOS!$A$3:$H$202,8,FALSE)="","",VLOOKUP($D307,VEHICULOS!$A$3:$H$202,8,FALSE)),""))))</f>
      </c>
      <c r="BG307" s="106"/>
      <c r="BH307" s="107"/>
      <c r="BI307" s="86">
        <f t="shared" si="60"/>
      </c>
      <c r="BJ307" s="83">
        <f t="shared" si="61"/>
      </c>
      <c r="BK307" s="85">
        <f t="shared" si="62"/>
      </c>
      <c r="BL307" s="85">
        <f t="shared" si="63"/>
      </c>
      <c r="BM307" s="108"/>
      <c r="BN307" s="85">
        <f t="shared" si="64"/>
      </c>
      <c r="BO307" s="108"/>
      <c r="BP307" s="85">
        <f t="shared" si="65"/>
      </c>
      <c r="BQ307" s="85">
        <f t="shared" si="66"/>
      </c>
      <c r="BR307" s="108"/>
      <c r="BS307" s="104"/>
      <c r="BT307" s="87">
        <f t="shared" si="67"/>
      </c>
      <c r="BU307" s="85">
        <f t="shared" si="68"/>
      </c>
      <c r="BV307" s="85">
        <f t="shared" si="69"/>
      </c>
      <c r="BW307" s="87">
        <f t="shared" si="70"/>
      </c>
      <c r="BX307" s="104"/>
      <c r="BY307" s="106"/>
      <c r="BZ307" s="104"/>
      <c r="CA307" s="105"/>
      <c r="CB307" s="77">
        <f>IF($A307="",0,IF($B307='FICHA CLIENTE'!$C$4,1,0))</f>
      </c>
      <c r="CC307" s="77">
        <f t="shared" si="71"/>
      </c>
      <c r="CD307" s="77">
        <f>IF($A307="",0,IF($D307='FICHA VEHICULO'!$C$4,1,0))</f>
      </c>
      <c r="CE307" s="77">
        <f t="shared" si="72"/>
      </c>
      <c r="CF307" s="77">
        <f t="shared" si="73"/>
      </c>
      <c r="CG307" s="77">
        <f t="shared" si="74"/>
      </c>
    </row>
    <row r="308" spans="1:85" ht="19.5" customHeight="1" x14ac:dyDescent="0.2">
      <c r="A308" s="104"/>
      <c r="B308" s="104"/>
      <c r="C308" s="105"/>
      <c r="D308" s="104"/>
      <c r="E308" s="105"/>
      <c r="F308" s="106"/>
      <c r="G308" s="104"/>
      <c r="H308" s="106"/>
      <c r="I308" s="107"/>
      <c r="J308" s="108"/>
      <c r="K308" s="108"/>
      <c r="L308" s="108"/>
      <c r="M308" s="105"/>
      <c r="N308" s="105"/>
      <c r="O308" s="105"/>
      <c r="P308" s="108"/>
      <c r="Q308" s="105"/>
      <c r="R308" s="105"/>
      <c r="S308" s="105"/>
      <c r="T308" s="105"/>
      <c r="U308" s="108"/>
      <c r="V308" s="105"/>
      <c r="W308" s="105"/>
      <c r="X308" s="105"/>
      <c r="Y308" s="105"/>
      <c r="Z308" s="105"/>
      <c r="AA308" s="108"/>
      <c r="AB308" s="108"/>
      <c r="AC308" s="105"/>
      <c r="AD308" s="279"/>
      <c r="AE308" s="105"/>
      <c r="AF308" s="279"/>
      <c r="AG308" s="105"/>
      <c r="AH308" s="108"/>
      <c r="AI308" s="108"/>
      <c r="AJ308" s="108"/>
      <c r="AK308" s="108"/>
      <c r="AL308" s="105"/>
      <c r="AM308" s="108"/>
      <c r="AN308" s="105"/>
      <c r="AO308" s="108"/>
      <c r="AP308" s="108"/>
      <c r="AQ308" s="105"/>
      <c r="AR308" s="108"/>
      <c r="AS308" s="108"/>
      <c r="AT308" s="105"/>
      <c r="AU308" s="105"/>
      <c r="AV308" s="105"/>
      <c r="AW308" s="105"/>
      <c r="AX308" s="105"/>
      <c r="AY308" s="105"/>
      <c r="AZ308" s="105"/>
      <c r="BA308" s="105"/>
      <c r="BB308" s="105"/>
      <c r="BC308" s="105"/>
      <c r="BD308" s="108"/>
      <c r="BE308" s="83">
        <f>IF($A308="","",IF(TRIM($D308&amp;"")="",IF(TRIM($AX308&amp;$AY308&amp;$AZ308&amp;$BA308&amp;$BB308&amp;$BC308&amp;$BD308&amp;"")="","","SUBARRENDADO"),IFERROR(IF(VLOOKUP($D308,VEHICULOS!$A$3:$H$202,7,FALSE)="","",VLOOKUP($D308,VEHICULOS!$A$3:$H$202,7,FALSE)),"")))</f>
      </c>
      <c r="BF308" s="82">
        <f>IF($A308="","",IF(TRIM($BC308&amp;"")&lt;&gt;"",$BC308,IF(TRIM($D308&amp;"")="","",IFERROR(IF(VLOOKUP($D308,VEHICULOS!$A$3:$H$202,8,FALSE)="","",VLOOKUP($D308,VEHICULOS!$A$3:$H$202,8,FALSE)),""))))</f>
      </c>
      <c r="BG308" s="106"/>
      <c r="BH308" s="107"/>
      <c r="BI308" s="86">
        <f t="shared" si="60"/>
      </c>
      <c r="BJ308" s="83">
        <f t="shared" si="61"/>
      </c>
      <c r="BK308" s="85">
        <f t="shared" si="62"/>
      </c>
      <c r="BL308" s="85">
        <f t="shared" si="63"/>
      </c>
      <c r="BM308" s="108"/>
      <c r="BN308" s="85">
        <f t="shared" si="64"/>
      </c>
      <c r="BO308" s="108"/>
      <c r="BP308" s="85">
        <f t="shared" si="65"/>
      </c>
      <c r="BQ308" s="85">
        <f t="shared" si="66"/>
      </c>
      <c r="BR308" s="108"/>
      <c r="BS308" s="104"/>
      <c r="BT308" s="87">
        <f t="shared" si="67"/>
      </c>
      <c r="BU308" s="85">
        <f t="shared" si="68"/>
      </c>
      <c r="BV308" s="85">
        <f t="shared" si="69"/>
      </c>
      <c r="BW308" s="87">
        <f t="shared" si="70"/>
      </c>
      <c r="BX308" s="104"/>
      <c r="BY308" s="106"/>
      <c r="BZ308" s="104"/>
      <c r="CA308" s="105"/>
      <c r="CB308" s="77">
        <f>IF($A308="",0,IF($B308='FICHA CLIENTE'!$C$4,1,0))</f>
      </c>
      <c r="CC308" s="77">
        <f t="shared" si="71"/>
      </c>
      <c r="CD308" s="77">
        <f>IF($A308="",0,IF($D308='FICHA VEHICULO'!$C$4,1,0))</f>
      </c>
      <c r="CE308" s="77">
        <f t="shared" si="72"/>
      </c>
      <c r="CF308" s="77">
        <f t="shared" si="73"/>
      </c>
      <c r="CG308" s="77">
        <f t="shared" si="74"/>
      </c>
    </row>
    <row r="309" spans="1:85" ht="19.5" customHeight="1" x14ac:dyDescent="0.2">
      <c r="A309" s="104"/>
      <c r="B309" s="104"/>
      <c r="C309" s="105"/>
      <c r="D309" s="104"/>
      <c r="E309" s="105"/>
      <c r="F309" s="106"/>
      <c r="G309" s="104"/>
      <c r="H309" s="106"/>
      <c r="I309" s="107"/>
      <c r="J309" s="108"/>
      <c r="K309" s="108"/>
      <c r="L309" s="108"/>
      <c r="M309" s="105"/>
      <c r="N309" s="105"/>
      <c r="O309" s="105"/>
      <c r="P309" s="108"/>
      <c r="Q309" s="105"/>
      <c r="R309" s="105"/>
      <c r="S309" s="105"/>
      <c r="T309" s="105"/>
      <c r="U309" s="108"/>
      <c r="V309" s="105"/>
      <c r="W309" s="105"/>
      <c r="X309" s="105"/>
      <c r="Y309" s="105"/>
      <c r="Z309" s="105"/>
      <c r="AA309" s="108"/>
      <c r="AB309" s="108"/>
      <c r="AC309" s="105"/>
      <c r="AD309" s="279"/>
      <c r="AE309" s="105"/>
      <c r="AF309" s="279"/>
      <c r="AG309" s="105"/>
      <c r="AH309" s="108"/>
      <c r="AI309" s="108"/>
      <c r="AJ309" s="108"/>
      <c r="AK309" s="108"/>
      <c r="AL309" s="105"/>
      <c r="AM309" s="108"/>
      <c r="AN309" s="105"/>
      <c r="AO309" s="108"/>
      <c r="AP309" s="108"/>
      <c r="AQ309" s="105"/>
      <c r="AR309" s="108"/>
      <c r="AS309" s="108"/>
      <c r="AT309" s="105"/>
      <c r="AU309" s="105"/>
      <c r="AV309" s="105"/>
      <c r="AW309" s="105"/>
      <c r="AX309" s="105"/>
      <c r="AY309" s="105"/>
      <c r="AZ309" s="105"/>
      <c r="BA309" s="105"/>
      <c r="BB309" s="105"/>
      <c r="BC309" s="105"/>
      <c r="BD309" s="108"/>
      <c r="BE309" s="83">
        <f>IF($A309="","",IF(TRIM($D309&amp;"")="",IF(TRIM($AX309&amp;$AY309&amp;$AZ309&amp;$BA309&amp;$BB309&amp;$BC309&amp;$BD309&amp;"")="","","SUBARRENDADO"),IFERROR(IF(VLOOKUP($D309,VEHICULOS!$A$3:$H$202,7,FALSE)="","",VLOOKUP($D309,VEHICULOS!$A$3:$H$202,7,FALSE)),"")))</f>
      </c>
      <c r="BF309" s="82">
        <f>IF($A309="","",IF(TRIM($BC309&amp;"")&lt;&gt;"",$BC309,IF(TRIM($D309&amp;"")="","",IFERROR(IF(VLOOKUP($D309,VEHICULOS!$A$3:$H$202,8,FALSE)="","",VLOOKUP($D309,VEHICULOS!$A$3:$H$202,8,FALSE)),""))))</f>
      </c>
      <c r="BG309" s="106"/>
      <c r="BH309" s="107"/>
      <c r="BI309" s="86">
        <f t="shared" si="60"/>
      </c>
      <c r="BJ309" s="83">
        <f t="shared" si="61"/>
      </c>
      <c r="BK309" s="85">
        <f t="shared" si="62"/>
      </c>
      <c r="BL309" s="85">
        <f t="shared" si="63"/>
      </c>
      <c r="BM309" s="108"/>
      <c r="BN309" s="85">
        <f t="shared" si="64"/>
      </c>
      <c r="BO309" s="108"/>
      <c r="BP309" s="85">
        <f t="shared" si="65"/>
      </c>
      <c r="BQ309" s="85">
        <f t="shared" si="66"/>
      </c>
      <c r="BR309" s="108"/>
      <c r="BS309" s="104"/>
      <c r="BT309" s="87">
        <f t="shared" si="67"/>
      </c>
      <c r="BU309" s="85">
        <f t="shared" si="68"/>
      </c>
      <c r="BV309" s="85">
        <f t="shared" si="69"/>
      </c>
      <c r="BW309" s="87">
        <f t="shared" si="70"/>
      </c>
      <c r="BX309" s="104"/>
      <c r="BY309" s="106"/>
      <c r="BZ309" s="104"/>
      <c r="CA309" s="105"/>
      <c r="CB309" s="77">
        <f>IF($A309="",0,IF($B309='FICHA CLIENTE'!$C$4,1,0))</f>
      </c>
      <c r="CC309" s="77">
        <f t="shared" si="71"/>
      </c>
      <c r="CD309" s="77">
        <f>IF($A309="",0,IF($D309='FICHA VEHICULO'!$C$4,1,0))</f>
      </c>
      <c r="CE309" s="77">
        <f t="shared" si="72"/>
      </c>
      <c r="CF309" s="77">
        <f t="shared" si="73"/>
      </c>
      <c r="CG309" s="77">
        <f t="shared" si="74"/>
      </c>
    </row>
    <row r="310" spans="1:85" ht="19.5" customHeight="1" x14ac:dyDescent="0.2">
      <c r="A310" s="104"/>
      <c r="B310" s="104"/>
      <c r="C310" s="105"/>
      <c r="D310" s="104"/>
      <c r="E310" s="105"/>
      <c r="F310" s="106"/>
      <c r="G310" s="104"/>
      <c r="H310" s="106"/>
      <c r="I310" s="107"/>
      <c r="J310" s="108"/>
      <c r="K310" s="108"/>
      <c r="L310" s="108"/>
      <c r="M310" s="105"/>
      <c r="N310" s="105"/>
      <c r="O310" s="105"/>
      <c r="P310" s="108"/>
      <c r="Q310" s="105"/>
      <c r="R310" s="105"/>
      <c r="S310" s="105"/>
      <c r="T310" s="105"/>
      <c r="U310" s="108"/>
      <c r="V310" s="105"/>
      <c r="W310" s="105"/>
      <c r="X310" s="105"/>
      <c r="Y310" s="105"/>
      <c r="Z310" s="105"/>
      <c r="AA310" s="108"/>
      <c r="AB310" s="108"/>
      <c r="AC310" s="105"/>
      <c r="AD310" s="279"/>
      <c r="AE310" s="105"/>
      <c r="AF310" s="279"/>
      <c r="AG310" s="105"/>
      <c r="AH310" s="108"/>
      <c r="AI310" s="108"/>
      <c r="AJ310" s="108"/>
      <c r="AK310" s="108"/>
      <c r="AL310" s="105"/>
      <c r="AM310" s="108"/>
      <c r="AN310" s="105"/>
      <c r="AO310" s="108"/>
      <c r="AP310" s="108"/>
      <c r="AQ310" s="105"/>
      <c r="AR310" s="108"/>
      <c r="AS310" s="108"/>
      <c r="AT310" s="105"/>
      <c r="AU310" s="105"/>
      <c r="AV310" s="105"/>
      <c r="AW310" s="105"/>
      <c r="AX310" s="105"/>
      <c r="AY310" s="105"/>
      <c r="AZ310" s="105"/>
      <c r="BA310" s="105"/>
      <c r="BB310" s="105"/>
      <c r="BC310" s="105"/>
      <c r="BD310" s="108"/>
      <c r="BE310" s="83">
        <f>IF($A310="","",IF(TRIM($D310&amp;"")="",IF(TRIM($AX310&amp;$AY310&amp;$AZ310&amp;$BA310&amp;$BB310&amp;$BC310&amp;$BD310&amp;"")="","","SUBARRENDADO"),IFERROR(IF(VLOOKUP($D310,VEHICULOS!$A$3:$H$202,7,FALSE)="","",VLOOKUP($D310,VEHICULOS!$A$3:$H$202,7,FALSE)),"")))</f>
      </c>
      <c r="BF310" s="82">
        <f>IF($A310="","",IF(TRIM($BC310&amp;"")&lt;&gt;"",$BC310,IF(TRIM($D310&amp;"")="","",IFERROR(IF(VLOOKUP($D310,VEHICULOS!$A$3:$H$202,8,FALSE)="","",VLOOKUP($D310,VEHICULOS!$A$3:$H$202,8,FALSE)),""))))</f>
      </c>
      <c r="BG310" s="106"/>
      <c r="BH310" s="107"/>
      <c r="BI310" s="86">
        <f t="shared" si="60"/>
      </c>
      <c r="BJ310" s="83">
        <f t="shared" si="61"/>
      </c>
      <c r="BK310" s="85">
        <f t="shared" si="62"/>
      </c>
      <c r="BL310" s="85">
        <f t="shared" si="63"/>
      </c>
      <c r="BM310" s="108"/>
      <c r="BN310" s="85">
        <f t="shared" si="64"/>
      </c>
      <c r="BO310" s="108"/>
      <c r="BP310" s="85">
        <f t="shared" si="65"/>
      </c>
      <c r="BQ310" s="85">
        <f t="shared" si="66"/>
      </c>
      <c r="BR310" s="108"/>
      <c r="BS310" s="104"/>
      <c r="BT310" s="87">
        <f t="shared" si="67"/>
      </c>
      <c r="BU310" s="85">
        <f t="shared" si="68"/>
      </c>
      <c r="BV310" s="85">
        <f t="shared" si="69"/>
      </c>
      <c r="BW310" s="87">
        <f t="shared" si="70"/>
      </c>
      <c r="BX310" s="104"/>
      <c r="BY310" s="106"/>
      <c r="BZ310" s="104"/>
      <c r="CA310" s="105"/>
      <c r="CB310" s="77">
        <f>IF($A310="",0,IF($B310='FICHA CLIENTE'!$C$4,1,0))</f>
      </c>
      <c r="CC310" s="77">
        <f t="shared" si="71"/>
      </c>
      <c r="CD310" s="77">
        <f>IF($A310="",0,IF($D310='FICHA VEHICULO'!$C$4,1,0))</f>
      </c>
      <c r="CE310" s="77">
        <f t="shared" si="72"/>
      </c>
      <c r="CF310" s="77">
        <f t="shared" si="73"/>
      </c>
      <c r="CG310" s="77">
        <f t="shared" si="74"/>
      </c>
    </row>
    <row r="311" spans="1:85" ht="19.5" customHeight="1" x14ac:dyDescent="0.2">
      <c r="A311" s="104"/>
      <c r="B311" s="104"/>
      <c r="C311" s="105"/>
      <c r="D311" s="104"/>
      <c r="E311" s="105"/>
      <c r="F311" s="106"/>
      <c r="G311" s="104"/>
      <c r="H311" s="106"/>
      <c r="I311" s="107"/>
      <c r="J311" s="108"/>
      <c r="K311" s="108"/>
      <c r="L311" s="108"/>
      <c r="M311" s="105"/>
      <c r="N311" s="105"/>
      <c r="O311" s="105"/>
      <c r="P311" s="108"/>
      <c r="Q311" s="105"/>
      <c r="R311" s="105"/>
      <c r="S311" s="105"/>
      <c r="T311" s="105"/>
      <c r="U311" s="108"/>
      <c r="V311" s="105"/>
      <c r="W311" s="105"/>
      <c r="X311" s="105"/>
      <c r="Y311" s="105"/>
      <c r="Z311" s="105"/>
      <c r="AA311" s="108"/>
      <c r="AB311" s="108"/>
      <c r="AC311" s="105"/>
      <c r="AD311" s="279"/>
      <c r="AE311" s="105"/>
      <c r="AF311" s="279"/>
      <c r="AG311" s="105"/>
      <c r="AH311" s="108"/>
      <c r="AI311" s="108"/>
      <c r="AJ311" s="108"/>
      <c r="AK311" s="108"/>
      <c r="AL311" s="105"/>
      <c r="AM311" s="108"/>
      <c r="AN311" s="105"/>
      <c r="AO311" s="108"/>
      <c r="AP311" s="108"/>
      <c r="AQ311" s="105"/>
      <c r="AR311" s="108"/>
      <c r="AS311" s="108"/>
      <c r="AT311" s="105"/>
      <c r="AU311" s="105"/>
      <c r="AV311" s="105"/>
      <c r="AW311" s="105"/>
      <c r="AX311" s="105"/>
      <c r="AY311" s="105"/>
      <c r="AZ311" s="105"/>
      <c r="BA311" s="105"/>
      <c r="BB311" s="105"/>
      <c r="BC311" s="105"/>
      <c r="BD311" s="108"/>
      <c r="BE311" s="83">
        <f>IF($A311="","",IF(TRIM($D311&amp;"")="",IF(TRIM($AX311&amp;$AY311&amp;$AZ311&amp;$BA311&amp;$BB311&amp;$BC311&amp;$BD311&amp;"")="","","SUBARRENDADO"),IFERROR(IF(VLOOKUP($D311,VEHICULOS!$A$3:$H$202,7,FALSE)="","",VLOOKUP($D311,VEHICULOS!$A$3:$H$202,7,FALSE)),"")))</f>
      </c>
      <c r="BF311" s="82">
        <f>IF($A311="","",IF(TRIM($BC311&amp;"")&lt;&gt;"",$BC311,IF(TRIM($D311&amp;"")="","",IFERROR(IF(VLOOKUP($D311,VEHICULOS!$A$3:$H$202,8,FALSE)="","",VLOOKUP($D311,VEHICULOS!$A$3:$H$202,8,FALSE)),""))))</f>
      </c>
      <c r="BG311" s="106"/>
      <c r="BH311" s="107"/>
      <c r="BI311" s="86">
        <f t="shared" si="60"/>
      </c>
      <c r="BJ311" s="83">
        <f t="shared" si="61"/>
      </c>
      <c r="BK311" s="85">
        <f t="shared" si="62"/>
      </c>
      <c r="BL311" s="85">
        <f t="shared" si="63"/>
      </c>
      <c r="BM311" s="108"/>
      <c r="BN311" s="85">
        <f t="shared" si="64"/>
      </c>
      <c r="BO311" s="108"/>
      <c r="BP311" s="85">
        <f t="shared" si="65"/>
      </c>
      <c r="BQ311" s="85">
        <f t="shared" si="66"/>
      </c>
      <c r="BR311" s="108"/>
      <c r="BS311" s="104"/>
      <c r="BT311" s="87">
        <f t="shared" si="67"/>
      </c>
      <c r="BU311" s="85">
        <f t="shared" si="68"/>
      </c>
      <c r="BV311" s="85">
        <f t="shared" si="69"/>
      </c>
      <c r="BW311" s="87">
        <f t="shared" si="70"/>
      </c>
      <c r="BX311" s="104"/>
      <c r="BY311" s="106"/>
      <c r="BZ311" s="104"/>
      <c r="CA311" s="105"/>
      <c r="CB311" s="77">
        <f>IF($A311="",0,IF($B311='FICHA CLIENTE'!$C$4,1,0))</f>
      </c>
      <c r="CC311" s="77">
        <f t="shared" si="71"/>
      </c>
      <c r="CD311" s="77">
        <f>IF($A311="",0,IF($D311='FICHA VEHICULO'!$C$4,1,0))</f>
      </c>
      <c r="CE311" s="77">
        <f t="shared" si="72"/>
      </c>
      <c r="CF311" s="77">
        <f t="shared" si="73"/>
      </c>
      <c r="CG311" s="77">
        <f t="shared" si="74"/>
      </c>
    </row>
    <row r="312" spans="1:85" ht="19.5" customHeight="1" x14ac:dyDescent="0.2">
      <c r="A312" s="104"/>
      <c r="B312" s="104"/>
      <c r="C312" s="105"/>
      <c r="D312" s="104"/>
      <c r="E312" s="105"/>
      <c r="F312" s="106"/>
      <c r="G312" s="104"/>
      <c r="H312" s="106"/>
      <c r="I312" s="107"/>
      <c r="J312" s="108"/>
      <c r="K312" s="108"/>
      <c r="L312" s="108"/>
      <c r="M312" s="105"/>
      <c r="N312" s="105"/>
      <c r="O312" s="105"/>
      <c r="P312" s="108"/>
      <c r="Q312" s="105"/>
      <c r="R312" s="105"/>
      <c r="S312" s="105"/>
      <c r="T312" s="105"/>
      <c r="U312" s="108"/>
      <c r="V312" s="105"/>
      <c r="W312" s="105"/>
      <c r="X312" s="105"/>
      <c r="Y312" s="105"/>
      <c r="Z312" s="105"/>
      <c r="AA312" s="108"/>
      <c r="AB312" s="108"/>
      <c r="AC312" s="105"/>
      <c r="AD312" s="279"/>
      <c r="AE312" s="105"/>
      <c r="AF312" s="279"/>
      <c r="AG312" s="105"/>
      <c r="AH312" s="108"/>
      <c r="AI312" s="108"/>
      <c r="AJ312" s="108"/>
      <c r="AK312" s="108"/>
      <c r="AL312" s="105"/>
      <c r="AM312" s="108"/>
      <c r="AN312" s="105"/>
      <c r="AO312" s="108"/>
      <c r="AP312" s="108"/>
      <c r="AQ312" s="105"/>
      <c r="AR312" s="108"/>
      <c r="AS312" s="108"/>
      <c r="AT312" s="105"/>
      <c r="AU312" s="105"/>
      <c r="AV312" s="105"/>
      <c r="AW312" s="105"/>
      <c r="AX312" s="105"/>
      <c r="AY312" s="105"/>
      <c r="AZ312" s="105"/>
      <c r="BA312" s="105"/>
      <c r="BB312" s="105"/>
      <c r="BC312" s="105"/>
      <c r="BD312" s="108"/>
      <c r="BE312" s="83">
        <f>IF($A312="","",IF(TRIM($D312&amp;"")="",IF(TRIM($AX312&amp;$AY312&amp;$AZ312&amp;$BA312&amp;$BB312&amp;$BC312&amp;$BD312&amp;"")="","","SUBARRENDADO"),IFERROR(IF(VLOOKUP($D312,VEHICULOS!$A$3:$H$202,7,FALSE)="","",VLOOKUP($D312,VEHICULOS!$A$3:$H$202,7,FALSE)),"")))</f>
      </c>
      <c r="BF312" s="82">
        <f>IF($A312="","",IF(TRIM($BC312&amp;"")&lt;&gt;"",$BC312,IF(TRIM($D312&amp;"")="","",IFERROR(IF(VLOOKUP($D312,VEHICULOS!$A$3:$H$202,8,FALSE)="","",VLOOKUP($D312,VEHICULOS!$A$3:$H$202,8,FALSE)),""))))</f>
      </c>
      <c r="BG312" s="106"/>
      <c r="BH312" s="107"/>
      <c r="BI312" s="86">
        <f t="shared" si="60"/>
      </c>
      <c r="BJ312" s="83">
        <f t="shared" si="61"/>
      </c>
      <c r="BK312" s="85">
        <f t="shared" si="62"/>
      </c>
      <c r="BL312" s="85">
        <f t="shared" si="63"/>
      </c>
      <c r="BM312" s="108"/>
      <c r="BN312" s="85">
        <f t="shared" si="64"/>
      </c>
      <c r="BO312" s="108"/>
      <c r="BP312" s="85">
        <f t="shared" si="65"/>
      </c>
      <c r="BQ312" s="85">
        <f t="shared" si="66"/>
      </c>
      <c r="BR312" s="108"/>
      <c r="BS312" s="104"/>
      <c r="BT312" s="87">
        <f t="shared" si="67"/>
      </c>
      <c r="BU312" s="85">
        <f t="shared" si="68"/>
      </c>
      <c r="BV312" s="85">
        <f t="shared" si="69"/>
      </c>
      <c r="BW312" s="87">
        <f t="shared" si="70"/>
      </c>
      <c r="BX312" s="104"/>
      <c r="BY312" s="106"/>
      <c r="BZ312" s="104"/>
      <c r="CA312" s="105"/>
      <c r="CB312" s="77">
        <f>IF($A312="",0,IF($B312='FICHA CLIENTE'!$C$4,1,0))</f>
      </c>
      <c r="CC312" s="77">
        <f t="shared" si="71"/>
      </c>
      <c r="CD312" s="77">
        <f>IF($A312="",0,IF($D312='FICHA VEHICULO'!$C$4,1,0))</f>
      </c>
      <c r="CE312" s="77">
        <f t="shared" si="72"/>
      </c>
      <c r="CF312" s="77">
        <f t="shared" si="73"/>
      </c>
      <c r="CG312" s="77">
        <f t="shared" si="74"/>
      </c>
    </row>
    <row r="313" spans="1:85" ht="19.5" customHeight="1" x14ac:dyDescent="0.2">
      <c r="A313" s="104"/>
      <c r="B313" s="104"/>
      <c r="C313" s="105"/>
      <c r="D313" s="104"/>
      <c r="E313" s="105"/>
      <c r="F313" s="106"/>
      <c r="G313" s="104"/>
      <c r="H313" s="106"/>
      <c r="I313" s="107"/>
      <c r="J313" s="108"/>
      <c r="K313" s="108"/>
      <c r="L313" s="108"/>
      <c r="M313" s="105"/>
      <c r="N313" s="105"/>
      <c r="O313" s="105"/>
      <c r="P313" s="108"/>
      <c r="Q313" s="105"/>
      <c r="R313" s="105"/>
      <c r="S313" s="105"/>
      <c r="T313" s="105"/>
      <c r="U313" s="108"/>
      <c r="V313" s="105"/>
      <c r="W313" s="105"/>
      <c r="X313" s="105"/>
      <c r="Y313" s="105"/>
      <c r="Z313" s="105"/>
      <c r="AA313" s="108"/>
      <c r="AB313" s="108"/>
      <c r="AC313" s="105"/>
      <c r="AD313" s="279"/>
      <c r="AE313" s="105"/>
      <c r="AF313" s="279"/>
      <c r="AG313" s="105"/>
      <c r="AH313" s="108"/>
      <c r="AI313" s="108"/>
      <c r="AJ313" s="108"/>
      <c r="AK313" s="108"/>
      <c r="AL313" s="105"/>
      <c r="AM313" s="108"/>
      <c r="AN313" s="105"/>
      <c r="AO313" s="108"/>
      <c r="AP313" s="108"/>
      <c r="AQ313" s="105"/>
      <c r="AR313" s="108"/>
      <c r="AS313" s="108"/>
      <c r="AT313" s="105"/>
      <c r="AU313" s="105"/>
      <c r="AV313" s="105"/>
      <c r="AW313" s="105"/>
      <c r="AX313" s="105"/>
      <c r="AY313" s="105"/>
      <c r="AZ313" s="105"/>
      <c r="BA313" s="105"/>
      <c r="BB313" s="105"/>
      <c r="BC313" s="105"/>
      <c r="BD313" s="108"/>
      <c r="BE313" s="83">
        <f>IF($A313="","",IF(TRIM($D313&amp;"")="",IF(TRIM($AX313&amp;$AY313&amp;$AZ313&amp;$BA313&amp;$BB313&amp;$BC313&amp;$BD313&amp;"")="","","SUBARRENDADO"),IFERROR(IF(VLOOKUP($D313,VEHICULOS!$A$3:$H$202,7,FALSE)="","",VLOOKUP($D313,VEHICULOS!$A$3:$H$202,7,FALSE)),"")))</f>
      </c>
      <c r="BF313" s="82">
        <f>IF($A313="","",IF(TRIM($BC313&amp;"")&lt;&gt;"",$BC313,IF(TRIM($D313&amp;"")="","",IFERROR(IF(VLOOKUP($D313,VEHICULOS!$A$3:$H$202,8,FALSE)="","",VLOOKUP($D313,VEHICULOS!$A$3:$H$202,8,FALSE)),""))))</f>
      </c>
      <c r="BG313" s="106"/>
      <c r="BH313" s="107"/>
      <c r="BI313" s="86">
        <f t="shared" si="60"/>
      </c>
      <c r="BJ313" s="83">
        <f t="shared" si="61"/>
      </c>
      <c r="BK313" s="85">
        <f t="shared" si="62"/>
      </c>
      <c r="BL313" s="85">
        <f t="shared" si="63"/>
      </c>
      <c r="BM313" s="108"/>
      <c r="BN313" s="85">
        <f t="shared" si="64"/>
      </c>
      <c r="BO313" s="108"/>
      <c r="BP313" s="85">
        <f t="shared" si="65"/>
      </c>
      <c r="BQ313" s="85">
        <f t="shared" si="66"/>
      </c>
      <c r="BR313" s="108"/>
      <c r="BS313" s="104"/>
      <c r="BT313" s="87">
        <f t="shared" si="67"/>
      </c>
      <c r="BU313" s="85">
        <f t="shared" si="68"/>
      </c>
      <c r="BV313" s="85">
        <f t="shared" si="69"/>
      </c>
      <c r="BW313" s="87">
        <f t="shared" si="70"/>
      </c>
      <c r="BX313" s="104"/>
      <c r="BY313" s="106"/>
      <c r="BZ313" s="104"/>
      <c r="CA313" s="105"/>
      <c r="CB313" s="77">
        <f>IF($A313="",0,IF($B313='FICHA CLIENTE'!$C$4,1,0))</f>
      </c>
      <c r="CC313" s="77">
        <f t="shared" si="71"/>
      </c>
      <c r="CD313" s="77">
        <f>IF($A313="",0,IF($D313='FICHA VEHICULO'!$C$4,1,0))</f>
      </c>
      <c r="CE313" s="77">
        <f t="shared" si="72"/>
      </c>
      <c r="CF313" s="77">
        <f t="shared" si="73"/>
      </c>
      <c r="CG313" s="77">
        <f t="shared" si="74"/>
      </c>
    </row>
    <row r="314" spans="1:85" ht="19.5" customHeight="1" x14ac:dyDescent="0.2">
      <c r="A314" s="104"/>
      <c r="B314" s="104"/>
      <c r="C314" s="105"/>
      <c r="D314" s="104"/>
      <c r="E314" s="105"/>
      <c r="F314" s="106"/>
      <c r="G314" s="104"/>
      <c r="H314" s="106"/>
      <c r="I314" s="107"/>
      <c r="J314" s="108"/>
      <c r="K314" s="108"/>
      <c r="L314" s="108"/>
      <c r="M314" s="105"/>
      <c r="N314" s="105"/>
      <c r="O314" s="105"/>
      <c r="P314" s="108"/>
      <c r="Q314" s="105"/>
      <c r="R314" s="105"/>
      <c r="S314" s="105"/>
      <c r="T314" s="105"/>
      <c r="U314" s="108"/>
      <c r="V314" s="105"/>
      <c r="W314" s="105"/>
      <c r="X314" s="105"/>
      <c r="Y314" s="105"/>
      <c r="Z314" s="105"/>
      <c r="AA314" s="108"/>
      <c r="AB314" s="108"/>
      <c r="AC314" s="105"/>
      <c r="AD314" s="279"/>
      <c r="AE314" s="105"/>
      <c r="AF314" s="279"/>
      <c r="AG314" s="105"/>
      <c r="AH314" s="108"/>
      <c r="AI314" s="108"/>
      <c r="AJ314" s="108"/>
      <c r="AK314" s="108"/>
      <c r="AL314" s="105"/>
      <c r="AM314" s="108"/>
      <c r="AN314" s="105"/>
      <c r="AO314" s="108"/>
      <c r="AP314" s="108"/>
      <c r="AQ314" s="105"/>
      <c r="AR314" s="108"/>
      <c r="AS314" s="108"/>
      <c r="AT314" s="105"/>
      <c r="AU314" s="105"/>
      <c r="AV314" s="105"/>
      <c r="AW314" s="105"/>
      <c r="AX314" s="105"/>
      <c r="AY314" s="105"/>
      <c r="AZ314" s="105"/>
      <c r="BA314" s="105"/>
      <c r="BB314" s="105"/>
      <c r="BC314" s="105"/>
      <c r="BD314" s="108"/>
      <c r="BE314" s="83">
        <f>IF($A314="","",IF(TRIM($D314&amp;"")="",IF(TRIM($AX314&amp;$AY314&amp;$AZ314&amp;$BA314&amp;$BB314&amp;$BC314&amp;$BD314&amp;"")="","","SUBARRENDADO"),IFERROR(IF(VLOOKUP($D314,VEHICULOS!$A$3:$H$202,7,FALSE)="","",VLOOKUP($D314,VEHICULOS!$A$3:$H$202,7,FALSE)),"")))</f>
      </c>
      <c r="BF314" s="82">
        <f>IF($A314="","",IF(TRIM($BC314&amp;"")&lt;&gt;"",$BC314,IF(TRIM($D314&amp;"")="","",IFERROR(IF(VLOOKUP($D314,VEHICULOS!$A$3:$H$202,8,FALSE)="","",VLOOKUP($D314,VEHICULOS!$A$3:$H$202,8,FALSE)),""))))</f>
      </c>
      <c r="BG314" s="106"/>
      <c r="BH314" s="107"/>
      <c r="BI314" s="86">
        <f t="shared" si="60"/>
      </c>
      <c r="BJ314" s="83">
        <f t="shared" si="61"/>
      </c>
      <c r="BK314" s="85">
        <f t="shared" si="62"/>
      </c>
      <c r="BL314" s="85">
        <f t="shared" si="63"/>
      </c>
      <c r="BM314" s="108"/>
      <c r="BN314" s="85">
        <f t="shared" si="64"/>
      </c>
      <c r="BO314" s="108"/>
      <c r="BP314" s="85">
        <f t="shared" si="65"/>
      </c>
      <c r="BQ314" s="85">
        <f t="shared" si="66"/>
      </c>
      <c r="BR314" s="108"/>
      <c r="BS314" s="104"/>
      <c r="BT314" s="87">
        <f t="shared" si="67"/>
      </c>
      <c r="BU314" s="85">
        <f t="shared" si="68"/>
      </c>
      <c r="BV314" s="85">
        <f t="shared" si="69"/>
      </c>
      <c r="BW314" s="87">
        <f t="shared" si="70"/>
      </c>
      <c r="BX314" s="104"/>
      <c r="BY314" s="106"/>
      <c r="BZ314" s="104"/>
      <c r="CA314" s="105"/>
      <c r="CB314" s="77">
        <f>IF($A314="",0,IF($B314='FICHA CLIENTE'!$C$4,1,0))</f>
      </c>
      <c r="CC314" s="77">
        <f t="shared" si="71"/>
      </c>
      <c r="CD314" s="77">
        <f>IF($A314="",0,IF($D314='FICHA VEHICULO'!$C$4,1,0))</f>
      </c>
      <c r="CE314" s="77">
        <f t="shared" si="72"/>
      </c>
      <c r="CF314" s="77">
        <f t="shared" si="73"/>
      </c>
      <c r="CG314" s="77">
        <f t="shared" si="74"/>
      </c>
    </row>
    <row r="315" spans="1:85" ht="19.5" customHeight="1" x14ac:dyDescent="0.2">
      <c r="A315" s="104"/>
      <c r="B315" s="104"/>
      <c r="C315" s="105"/>
      <c r="D315" s="104"/>
      <c r="E315" s="105"/>
      <c r="F315" s="106"/>
      <c r="G315" s="104"/>
      <c r="H315" s="106"/>
      <c r="I315" s="107"/>
      <c r="J315" s="108"/>
      <c r="K315" s="108"/>
      <c r="L315" s="108"/>
      <c r="M315" s="105"/>
      <c r="N315" s="105"/>
      <c r="O315" s="105"/>
      <c r="P315" s="108"/>
      <c r="Q315" s="105"/>
      <c r="R315" s="105"/>
      <c r="S315" s="105"/>
      <c r="T315" s="105"/>
      <c r="U315" s="108"/>
      <c r="V315" s="105"/>
      <c r="W315" s="105"/>
      <c r="X315" s="105"/>
      <c r="Y315" s="105"/>
      <c r="Z315" s="105"/>
      <c r="AA315" s="108"/>
      <c r="AB315" s="108"/>
      <c r="AC315" s="105"/>
      <c r="AD315" s="279"/>
      <c r="AE315" s="105"/>
      <c r="AF315" s="279"/>
      <c r="AG315" s="105"/>
      <c r="AH315" s="108"/>
      <c r="AI315" s="108"/>
      <c r="AJ315" s="108"/>
      <c r="AK315" s="108"/>
      <c r="AL315" s="105"/>
      <c r="AM315" s="108"/>
      <c r="AN315" s="105"/>
      <c r="AO315" s="108"/>
      <c r="AP315" s="108"/>
      <c r="AQ315" s="105"/>
      <c r="AR315" s="108"/>
      <c r="AS315" s="108"/>
      <c r="AT315" s="105"/>
      <c r="AU315" s="105"/>
      <c r="AV315" s="105"/>
      <c r="AW315" s="105"/>
      <c r="AX315" s="105"/>
      <c r="AY315" s="105"/>
      <c r="AZ315" s="105"/>
      <c r="BA315" s="105"/>
      <c r="BB315" s="105"/>
      <c r="BC315" s="105"/>
      <c r="BD315" s="108"/>
      <c r="BE315" s="83">
        <f>IF($A315="","",IF(TRIM($D315&amp;"")="",IF(TRIM($AX315&amp;$AY315&amp;$AZ315&amp;$BA315&amp;$BB315&amp;$BC315&amp;$BD315&amp;"")="","","SUBARRENDADO"),IFERROR(IF(VLOOKUP($D315,VEHICULOS!$A$3:$H$202,7,FALSE)="","",VLOOKUP($D315,VEHICULOS!$A$3:$H$202,7,FALSE)),"")))</f>
      </c>
      <c r="BF315" s="82">
        <f>IF($A315="","",IF(TRIM($BC315&amp;"")&lt;&gt;"",$BC315,IF(TRIM($D315&amp;"")="","",IFERROR(IF(VLOOKUP($D315,VEHICULOS!$A$3:$H$202,8,FALSE)="","",VLOOKUP($D315,VEHICULOS!$A$3:$H$202,8,FALSE)),""))))</f>
      </c>
      <c r="BG315" s="106"/>
      <c r="BH315" s="107"/>
      <c r="BI315" s="86">
        <f t="shared" si="60"/>
      </c>
      <c r="BJ315" s="83">
        <f t="shared" si="61"/>
      </c>
      <c r="BK315" s="85">
        <f t="shared" si="62"/>
      </c>
      <c r="BL315" s="85">
        <f t="shared" si="63"/>
      </c>
      <c r="BM315" s="108"/>
      <c r="BN315" s="85">
        <f t="shared" si="64"/>
      </c>
      <c r="BO315" s="108"/>
      <c r="BP315" s="85">
        <f t="shared" si="65"/>
      </c>
      <c r="BQ315" s="85">
        <f t="shared" si="66"/>
      </c>
      <c r="BR315" s="108"/>
      <c r="BS315" s="104"/>
      <c r="BT315" s="87">
        <f t="shared" si="67"/>
      </c>
      <c r="BU315" s="85">
        <f t="shared" si="68"/>
      </c>
      <c r="BV315" s="85">
        <f t="shared" si="69"/>
      </c>
      <c r="BW315" s="87">
        <f t="shared" si="70"/>
      </c>
      <c r="BX315" s="104"/>
      <c r="BY315" s="106"/>
      <c r="BZ315" s="104"/>
      <c r="CA315" s="105"/>
      <c r="CB315" s="77">
        <f>IF($A315="",0,IF($B315='FICHA CLIENTE'!$C$4,1,0))</f>
      </c>
      <c r="CC315" s="77">
        <f t="shared" si="71"/>
      </c>
      <c r="CD315" s="77">
        <f>IF($A315="",0,IF($D315='FICHA VEHICULO'!$C$4,1,0))</f>
      </c>
      <c r="CE315" s="77">
        <f t="shared" si="72"/>
      </c>
      <c r="CF315" s="77">
        <f t="shared" si="73"/>
      </c>
      <c r="CG315" s="77">
        <f t="shared" si="74"/>
      </c>
    </row>
    <row r="316" spans="1:85" ht="19.5" customHeight="1" x14ac:dyDescent="0.2">
      <c r="A316" s="104"/>
      <c r="B316" s="104"/>
      <c r="C316" s="105"/>
      <c r="D316" s="104"/>
      <c r="E316" s="105"/>
      <c r="F316" s="106"/>
      <c r="G316" s="104"/>
      <c r="H316" s="106"/>
      <c r="I316" s="107"/>
      <c r="J316" s="108"/>
      <c r="K316" s="108"/>
      <c r="L316" s="108"/>
      <c r="M316" s="105"/>
      <c r="N316" s="105"/>
      <c r="O316" s="105"/>
      <c r="P316" s="108"/>
      <c r="Q316" s="105"/>
      <c r="R316" s="105"/>
      <c r="S316" s="105"/>
      <c r="T316" s="105"/>
      <c r="U316" s="108"/>
      <c r="V316" s="105"/>
      <c r="W316" s="105"/>
      <c r="X316" s="105"/>
      <c r="Y316" s="105"/>
      <c r="Z316" s="105"/>
      <c r="AA316" s="108"/>
      <c r="AB316" s="108"/>
      <c r="AC316" s="105"/>
      <c r="AD316" s="279"/>
      <c r="AE316" s="105"/>
      <c r="AF316" s="279"/>
      <c r="AG316" s="105"/>
      <c r="AH316" s="108"/>
      <c r="AI316" s="108"/>
      <c r="AJ316" s="108"/>
      <c r="AK316" s="108"/>
      <c r="AL316" s="105"/>
      <c r="AM316" s="108"/>
      <c r="AN316" s="105"/>
      <c r="AO316" s="108"/>
      <c r="AP316" s="108"/>
      <c r="AQ316" s="105"/>
      <c r="AR316" s="108"/>
      <c r="AS316" s="108"/>
      <c r="AT316" s="105"/>
      <c r="AU316" s="105"/>
      <c r="AV316" s="105"/>
      <c r="AW316" s="105"/>
      <c r="AX316" s="105"/>
      <c r="AY316" s="105"/>
      <c r="AZ316" s="105"/>
      <c r="BA316" s="105"/>
      <c r="BB316" s="105"/>
      <c r="BC316" s="105"/>
      <c r="BD316" s="108"/>
      <c r="BE316" s="83">
        <f>IF($A316="","",IF(TRIM($D316&amp;"")="",IF(TRIM($AX316&amp;$AY316&amp;$AZ316&amp;$BA316&amp;$BB316&amp;$BC316&amp;$BD316&amp;"")="","","SUBARRENDADO"),IFERROR(IF(VLOOKUP($D316,VEHICULOS!$A$3:$H$202,7,FALSE)="","",VLOOKUP($D316,VEHICULOS!$A$3:$H$202,7,FALSE)),"")))</f>
      </c>
      <c r="BF316" s="82">
        <f>IF($A316="","",IF(TRIM($BC316&amp;"")&lt;&gt;"",$BC316,IF(TRIM($D316&amp;"")="","",IFERROR(IF(VLOOKUP($D316,VEHICULOS!$A$3:$H$202,8,FALSE)="","",VLOOKUP($D316,VEHICULOS!$A$3:$H$202,8,FALSE)),""))))</f>
      </c>
      <c r="BG316" s="106"/>
      <c r="BH316" s="107"/>
      <c r="BI316" s="86">
        <f t="shared" si="60"/>
      </c>
      <c r="BJ316" s="83">
        <f t="shared" si="61"/>
      </c>
      <c r="BK316" s="85">
        <f t="shared" si="62"/>
      </c>
      <c r="BL316" s="85">
        <f t="shared" si="63"/>
      </c>
      <c r="BM316" s="108"/>
      <c r="BN316" s="85">
        <f t="shared" si="64"/>
      </c>
      <c r="BO316" s="108"/>
      <c r="BP316" s="85">
        <f t="shared" si="65"/>
      </c>
      <c r="BQ316" s="85">
        <f t="shared" si="66"/>
      </c>
      <c r="BR316" s="108"/>
      <c r="BS316" s="104"/>
      <c r="BT316" s="87">
        <f t="shared" si="67"/>
      </c>
      <c r="BU316" s="85">
        <f t="shared" si="68"/>
      </c>
      <c r="BV316" s="85">
        <f t="shared" si="69"/>
      </c>
      <c r="BW316" s="87">
        <f t="shared" si="70"/>
      </c>
      <c r="BX316" s="104"/>
      <c r="BY316" s="106"/>
      <c r="BZ316" s="104"/>
      <c r="CA316" s="105"/>
      <c r="CB316" s="77">
        <f>IF($A316="",0,IF($B316='FICHA CLIENTE'!$C$4,1,0))</f>
      </c>
      <c r="CC316" s="77">
        <f t="shared" si="71"/>
      </c>
      <c r="CD316" s="77">
        <f>IF($A316="",0,IF($D316='FICHA VEHICULO'!$C$4,1,0))</f>
      </c>
      <c r="CE316" s="77">
        <f t="shared" si="72"/>
      </c>
      <c r="CF316" s="77">
        <f t="shared" si="73"/>
      </c>
      <c r="CG316" s="77">
        <f t="shared" si="74"/>
      </c>
    </row>
    <row r="317" spans="1:85" ht="19.5" customHeight="1" x14ac:dyDescent="0.2">
      <c r="A317" s="104"/>
      <c r="B317" s="104"/>
      <c r="C317" s="105"/>
      <c r="D317" s="104"/>
      <c r="E317" s="105"/>
      <c r="F317" s="106"/>
      <c r="G317" s="104"/>
      <c r="H317" s="106"/>
      <c r="I317" s="107"/>
      <c r="J317" s="108"/>
      <c r="K317" s="108"/>
      <c r="L317" s="108"/>
      <c r="M317" s="105"/>
      <c r="N317" s="105"/>
      <c r="O317" s="105"/>
      <c r="P317" s="108"/>
      <c r="Q317" s="105"/>
      <c r="R317" s="105"/>
      <c r="S317" s="105"/>
      <c r="T317" s="105"/>
      <c r="U317" s="108"/>
      <c r="V317" s="105"/>
      <c r="W317" s="105"/>
      <c r="X317" s="105"/>
      <c r="Y317" s="105"/>
      <c r="Z317" s="105"/>
      <c r="AA317" s="108"/>
      <c r="AB317" s="108"/>
      <c r="AC317" s="105"/>
      <c r="AD317" s="279"/>
      <c r="AE317" s="105"/>
      <c r="AF317" s="279"/>
      <c r="AG317" s="105"/>
      <c r="AH317" s="108"/>
      <c r="AI317" s="108"/>
      <c r="AJ317" s="108"/>
      <c r="AK317" s="108"/>
      <c r="AL317" s="105"/>
      <c r="AM317" s="108"/>
      <c r="AN317" s="105"/>
      <c r="AO317" s="108"/>
      <c r="AP317" s="108"/>
      <c r="AQ317" s="105"/>
      <c r="AR317" s="108"/>
      <c r="AS317" s="108"/>
      <c r="AT317" s="105"/>
      <c r="AU317" s="105"/>
      <c r="AV317" s="105"/>
      <c r="AW317" s="105"/>
      <c r="AX317" s="105"/>
      <c r="AY317" s="105"/>
      <c r="AZ317" s="105"/>
      <c r="BA317" s="105"/>
      <c r="BB317" s="105"/>
      <c r="BC317" s="105"/>
      <c r="BD317" s="108"/>
      <c r="BE317" s="83">
        <f>IF($A317="","",IF(TRIM($D317&amp;"")="",IF(TRIM($AX317&amp;$AY317&amp;$AZ317&amp;$BA317&amp;$BB317&amp;$BC317&amp;$BD317&amp;"")="","","SUBARRENDADO"),IFERROR(IF(VLOOKUP($D317,VEHICULOS!$A$3:$H$202,7,FALSE)="","",VLOOKUP($D317,VEHICULOS!$A$3:$H$202,7,FALSE)),"")))</f>
      </c>
      <c r="BF317" s="82">
        <f>IF($A317="","",IF(TRIM($BC317&amp;"")&lt;&gt;"",$BC317,IF(TRIM($D317&amp;"")="","",IFERROR(IF(VLOOKUP($D317,VEHICULOS!$A$3:$H$202,8,FALSE)="","",VLOOKUP($D317,VEHICULOS!$A$3:$H$202,8,FALSE)),""))))</f>
      </c>
      <c r="BG317" s="106"/>
      <c r="BH317" s="107"/>
      <c r="BI317" s="86">
        <f t="shared" si="60"/>
      </c>
      <c r="BJ317" s="83">
        <f t="shared" si="61"/>
      </c>
      <c r="BK317" s="85">
        <f t="shared" si="62"/>
      </c>
      <c r="BL317" s="85">
        <f t="shared" si="63"/>
      </c>
      <c r="BM317" s="108"/>
      <c r="BN317" s="85">
        <f t="shared" si="64"/>
      </c>
      <c r="BO317" s="108"/>
      <c r="BP317" s="85">
        <f t="shared" si="65"/>
      </c>
      <c r="BQ317" s="85">
        <f t="shared" si="66"/>
      </c>
      <c r="BR317" s="108"/>
      <c r="BS317" s="104"/>
      <c r="BT317" s="87">
        <f t="shared" si="67"/>
      </c>
      <c r="BU317" s="85">
        <f t="shared" si="68"/>
      </c>
      <c r="BV317" s="85">
        <f t="shared" si="69"/>
      </c>
      <c r="BW317" s="87">
        <f t="shared" si="70"/>
      </c>
      <c r="BX317" s="104"/>
      <c r="BY317" s="106"/>
      <c r="BZ317" s="104"/>
      <c r="CA317" s="105"/>
      <c r="CB317" s="77">
        <f>IF($A317="",0,IF($B317='FICHA CLIENTE'!$C$4,1,0))</f>
      </c>
      <c r="CC317" s="77">
        <f t="shared" si="71"/>
      </c>
      <c r="CD317" s="77">
        <f>IF($A317="",0,IF($D317='FICHA VEHICULO'!$C$4,1,0))</f>
      </c>
      <c r="CE317" s="77">
        <f t="shared" si="72"/>
      </c>
      <c r="CF317" s="77">
        <f t="shared" si="73"/>
      </c>
      <c r="CG317" s="77">
        <f t="shared" si="74"/>
      </c>
    </row>
    <row r="318" spans="1:85" ht="19.5" customHeight="1" x14ac:dyDescent="0.2">
      <c r="A318" s="104"/>
      <c r="B318" s="104"/>
      <c r="C318" s="105"/>
      <c r="D318" s="104"/>
      <c r="E318" s="105"/>
      <c r="F318" s="106"/>
      <c r="G318" s="104"/>
      <c r="H318" s="106"/>
      <c r="I318" s="107"/>
      <c r="J318" s="108"/>
      <c r="K318" s="108"/>
      <c r="L318" s="108"/>
      <c r="M318" s="105"/>
      <c r="N318" s="105"/>
      <c r="O318" s="105"/>
      <c r="P318" s="108"/>
      <c r="Q318" s="105"/>
      <c r="R318" s="105"/>
      <c r="S318" s="105"/>
      <c r="T318" s="105"/>
      <c r="U318" s="108"/>
      <c r="V318" s="105"/>
      <c r="W318" s="105"/>
      <c r="X318" s="105"/>
      <c r="Y318" s="105"/>
      <c r="Z318" s="105"/>
      <c r="AA318" s="108"/>
      <c r="AB318" s="108"/>
      <c r="AC318" s="105"/>
      <c r="AD318" s="279"/>
      <c r="AE318" s="105"/>
      <c r="AF318" s="279"/>
      <c r="AG318" s="105"/>
      <c r="AH318" s="108"/>
      <c r="AI318" s="108"/>
      <c r="AJ318" s="108"/>
      <c r="AK318" s="108"/>
      <c r="AL318" s="105"/>
      <c r="AM318" s="108"/>
      <c r="AN318" s="105"/>
      <c r="AO318" s="108"/>
      <c r="AP318" s="108"/>
      <c r="AQ318" s="105"/>
      <c r="AR318" s="108"/>
      <c r="AS318" s="108"/>
      <c r="AT318" s="105"/>
      <c r="AU318" s="105"/>
      <c r="AV318" s="105"/>
      <c r="AW318" s="105"/>
      <c r="AX318" s="105"/>
      <c r="AY318" s="105"/>
      <c r="AZ318" s="105"/>
      <c r="BA318" s="105"/>
      <c r="BB318" s="105"/>
      <c r="BC318" s="105"/>
      <c r="BD318" s="108"/>
      <c r="BE318" s="83">
        <f>IF($A318="","",IF(TRIM($D318&amp;"")="",IF(TRIM($AX318&amp;$AY318&amp;$AZ318&amp;$BA318&amp;$BB318&amp;$BC318&amp;$BD318&amp;"")="","","SUBARRENDADO"),IFERROR(IF(VLOOKUP($D318,VEHICULOS!$A$3:$H$202,7,FALSE)="","",VLOOKUP($D318,VEHICULOS!$A$3:$H$202,7,FALSE)),"")))</f>
      </c>
      <c r="BF318" s="82">
        <f>IF($A318="","",IF(TRIM($BC318&amp;"")&lt;&gt;"",$BC318,IF(TRIM($D318&amp;"")="","",IFERROR(IF(VLOOKUP($D318,VEHICULOS!$A$3:$H$202,8,FALSE)="","",VLOOKUP($D318,VEHICULOS!$A$3:$H$202,8,FALSE)),""))))</f>
      </c>
      <c r="BG318" s="106"/>
      <c r="BH318" s="107"/>
      <c r="BI318" s="86">
        <f t="shared" si="60"/>
      </c>
      <c r="BJ318" s="83">
        <f t="shared" si="61"/>
      </c>
      <c r="BK318" s="85">
        <f t="shared" si="62"/>
      </c>
      <c r="BL318" s="85">
        <f t="shared" si="63"/>
      </c>
      <c r="BM318" s="108"/>
      <c r="BN318" s="85">
        <f t="shared" si="64"/>
      </c>
      <c r="BO318" s="108"/>
      <c r="BP318" s="85">
        <f t="shared" si="65"/>
      </c>
      <c r="BQ318" s="85">
        <f t="shared" si="66"/>
      </c>
      <c r="BR318" s="108"/>
      <c r="BS318" s="104"/>
      <c r="BT318" s="87">
        <f t="shared" si="67"/>
      </c>
      <c r="BU318" s="85">
        <f t="shared" si="68"/>
      </c>
      <c r="BV318" s="85">
        <f t="shared" si="69"/>
      </c>
      <c r="BW318" s="87">
        <f t="shared" si="70"/>
      </c>
      <c r="BX318" s="104"/>
      <c r="BY318" s="106"/>
      <c r="BZ318" s="104"/>
      <c r="CA318" s="105"/>
      <c r="CB318" s="77">
        <f>IF($A318="",0,IF($B318='FICHA CLIENTE'!$C$4,1,0))</f>
      </c>
      <c r="CC318" s="77">
        <f t="shared" si="71"/>
      </c>
      <c r="CD318" s="77">
        <f>IF($A318="",0,IF($D318='FICHA VEHICULO'!$C$4,1,0))</f>
      </c>
      <c r="CE318" s="77">
        <f t="shared" si="72"/>
      </c>
      <c r="CF318" s="77">
        <f t="shared" si="73"/>
      </c>
      <c r="CG318" s="77">
        <f t="shared" si="74"/>
      </c>
    </row>
    <row r="319" spans="1:85" ht="19.5" customHeight="1" x14ac:dyDescent="0.2">
      <c r="A319" s="104"/>
      <c r="B319" s="104"/>
      <c r="C319" s="105"/>
      <c r="D319" s="104"/>
      <c r="E319" s="105"/>
      <c r="F319" s="106"/>
      <c r="G319" s="104"/>
      <c r="H319" s="106"/>
      <c r="I319" s="107"/>
      <c r="J319" s="108"/>
      <c r="K319" s="108"/>
      <c r="L319" s="108"/>
      <c r="M319" s="105"/>
      <c r="N319" s="105"/>
      <c r="O319" s="105"/>
      <c r="P319" s="108"/>
      <c r="Q319" s="105"/>
      <c r="R319" s="105"/>
      <c r="S319" s="105"/>
      <c r="T319" s="105"/>
      <c r="U319" s="108"/>
      <c r="V319" s="105"/>
      <c r="W319" s="105"/>
      <c r="X319" s="105"/>
      <c r="Y319" s="105"/>
      <c r="Z319" s="105"/>
      <c r="AA319" s="108"/>
      <c r="AB319" s="108"/>
      <c r="AC319" s="105"/>
      <c r="AD319" s="279"/>
      <c r="AE319" s="105"/>
      <c r="AF319" s="279"/>
      <c r="AG319" s="105"/>
      <c r="AH319" s="108"/>
      <c r="AI319" s="108"/>
      <c r="AJ319" s="108"/>
      <c r="AK319" s="108"/>
      <c r="AL319" s="105"/>
      <c r="AM319" s="108"/>
      <c r="AN319" s="105"/>
      <c r="AO319" s="108"/>
      <c r="AP319" s="108"/>
      <c r="AQ319" s="105"/>
      <c r="AR319" s="108"/>
      <c r="AS319" s="108"/>
      <c r="AT319" s="105"/>
      <c r="AU319" s="105"/>
      <c r="AV319" s="105"/>
      <c r="AW319" s="105"/>
      <c r="AX319" s="105"/>
      <c r="AY319" s="105"/>
      <c r="AZ319" s="105"/>
      <c r="BA319" s="105"/>
      <c r="BB319" s="105"/>
      <c r="BC319" s="105"/>
      <c r="BD319" s="108"/>
      <c r="BE319" s="83">
        <f>IF($A319="","",IF(TRIM($D319&amp;"")="",IF(TRIM($AX319&amp;$AY319&amp;$AZ319&amp;$BA319&amp;$BB319&amp;$BC319&amp;$BD319&amp;"")="","","SUBARRENDADO"),IFERROR(IF(VLOOKUP($D319,VEHICULOS!$A$3:$H$202,7,FALSE)="","",VLOOKUP($D319,VEHICULOS!$A$3:$H$202,7,FALSE)),"")))</f>
      </c>
      <c r="BF319" s="82">
        <f>IF($A319="","",IF(TRIM($BC319&amp;"")&lt;&gt;"",$BC319,IF(TRIM($D319&amp;"")="","",IFERROR(IF(VLOOKUP($D319,VEHICULOS!$A$3:$H$202,8,FALSE)="","",VLOOKUP($D319,VEHICULOS!$A$3:$H$202,8,FALSE)),""))))</f>
      </c>
      <c r="BG319" s="106"/>
      <c r="BH319" s="107"/>
      <c r="BI319" s="86">
        <f t="shared" si="60"/>
      </c>
      <c r="BJ319" s="83">
        <f t="shared" si="61"/>
      </c>
      <c r="BK319" s="85">
        <f t="shared" si="62"/>
      </c>
      <c r="BL319" s="85">
        <f t="shared" si="63"/>
      </c>
      <c r="BM319" s="108"/>
      <c r="BN319" s="85">
        <f t="shared" si="64"/>
      </c>
      <c r="BO319" s="108"/>
      <c r="BP319" s="85">
        <f t="shared" si="65"/>
      </c>
      <c r="BQ319" s="85">
        <f t="shared" si="66"/>
      </c>
      <c r="BR319" s="108"/>
      <c r="BS319" s="104"/>
      <c r="BT319" s="87">
        <f t="shared" si="67"/>
      </c>
      <c r="BU319" s="85">
        <f t="shared" si="68"/>
      </c>
      <c r="BV319" s="85">
        <f t="shared" si="69"/>
      </c>
      <c r="BW319" s="87">
        <f t="shared" si="70"/>
      </c>
      <c r="BX319" s="104"/>
      <c r="BY319" s="106"/>
      <c r="BZ319" s="104"/>
      <c r="CA319" s="105"/>
      <c r="CB319" s="77">
        <f>IF($A319="",0,IF($B319='FICHA CLIENTE'!$C$4,1,0))</f>
      </c>
      <c r="CC319" s="77">
        <f t="shared" si="71"/>
      </c>
      <c r="CD319" s="77">
        <f>IF($A319="",0,IF($D319='FICHA VEHICULO'!$C$4,1,0))</f>
      </c>
      <c r="CE319" s="77">
        <f t="shared" si="72"/>
      </c>
      <c r="CF319" s="77">
        <f t="shared" si="73"/>
      </c>
      <c r="CG319" s="77">
        <f t="shared" si="74"/>
      </c>
    </row>
    <row r="320" spans="1:85" ht="19.5" customHeight="1" x14ac:dyDescent="0.2">
      <c r="A320" s="104"/>
      <c r="B320" s="104"/>
      <c r="C320" s="105"/>
      <c r="D320" s="104"/>
      <c r="E320" s="105"/>
      <c r="F320" s="106"/>
      <c r="G320" s="104"/>
      <c r="H320" s="106"/>
      <c r="I320" s="107"/>
      <c r="J320" s="108"/>
      <c r="K320" s="108"/>
      <c r="L320" s="108"/>
      <c r="M320" s="105"/>
      <c r="N320" s="105"/>
      <c r="O320" s="105"/>
      <c r="P320" s="108"/>
      <c r="Q320" s="105"/>
      <c r="R320" s="105"/>
      <c r="S320" s="105"/>
      <c r="T320" s="105"/>
      <c r="U320" s="108"/>
      <c r="V320" s="105"/>
      <c r="W320" s="105"/>
      <c r="X320" s="105"/>
      <c r="Y320" s="105"/>
      <c r="Z320" s="105"/>
      <c r="AA320" s="108"/>
      <c r="AB320" s="108"/>
      <c r="AC320" s="105"/>
      <c r="AD320" s="279"/>
      <c r="AE320" s="105"/>
      <c r="AF320" s="279"/>
      <c r="AG320" s="105"/>
      <c r="AH320" s="108"/>
      <c r="AI320" s="108"/>
      <c r="AJ320" s="108"/>
      <c r="AK320" s="108"/>
      <c r="AL320" s="105"/>
      <c r="AM320" s="108"/>
      <c r="AN320" s="105"/>
      <c r="AO320" s="108"/>
      <c r="AP320" s="108"/>
      <c r="AQ320" s="105"/>
      <c r="AR320" s="108"/>
      <c r="AS320" s="108"/>
      <c r="AT320" s="105"/>
      <c r="AU320" s="105"/>
      <c r="AV320" s="105"/>
      <c r="AW320" s="105"/>
      <c r="AX320" s="105"/>
      <c r="AY320" s="105"/>
      <c r="AZ320" s="105"/>
      <c r="BA320" s="105"/>
      <c r="BB320" s="105"/>
      <c r="BC320" s="105"/>
      <c r="BD320" s="108"/>
      <c r="BE320" s="83">
        <f>IF($A320="","",IF(TRIM($D320&amp;"")="",IF(TRIM($AX320&amp;$AY320&amp;$AZ320&amp;$BA320&amp;$BB320&amp;$BC320&amp;$BD320&amp;"")="","","SUBARRENDADO"),IFERROR(IF(VLOOKUP($D320,VEHICULOS!$A$3:$H$202,7,FALSE)="","",VLOOKUP($D320,VEHICULOS!$A$3:$H$202,7,FALSE)),"")))</f>
      </c>
      <c r="BF320" s="82">
        <f>IF($A320="","",IF(TRIM($BC320&amp;"")&lt;&gt;"",$BC320,IF(TRIM($D320&amp;"")="","",IFERROR(IF(VLOOKUP($D320,VEHICULOS!$A$3:$H$202,8,FALSE)="","",VLOOKUP($D320,VEHICULOS!$A$3:$H$202,8,FALSE)),""))))</f>
      </c>
      <c r="BG320" s="106"/>
      <c r="BH320" s="107"/>
      <c r="BI320" s="86">
        <f t="shared" si="60"/>
      </c>
      <c r="BJ320" s="83">
        <f t="shared" si="61"/>
      </c>
      <c r="BK320" s="85">
        <f t="shared" si="62"/>
      </c>
      <c r="BL320" s="85">
        <f t="shared" si="63"/>
      </c>
      <c r="BM320" s="108"/>
      <c r="BN320" s="85">
        <f t="shared" si="64"/>
      </c>
      <c r="BO320" s="108"/>
      <c r="BP320" s="85">
        <f t="shared" si="65"/>
      </c>
      <c r="BQ320" s="85">
        <f t="shared" si="66"/>
      </c>
      <c r="BR320" s="108"/>
      <c r="BS320" s="104"/>
      <c r="BT320" s="87">
        <f t="shared" si="67"/>
      </c>
      <c r="BU320" s="85">
        <f t="shared" si="68"/>
      </c>
      <c r="BV320" s="85">
        <f t="shared" si="69"/>
      </c>
      <c r="BW320" s="87">
        <f t="shared" si="70"/>
      </c>
      <c r="BX320" s="104"/>
      <c r="BY320" s="106"/>
      <c r="BZ320" s="104"/>
      <c r="CA320" s="105"/>
      <c r="CB320" s="77">
        <f>IF($A320="",0,IF($B320='FICHA CLIENTE'!$C$4,1,0))</f>
      </c>
      <c r="CC320" s="77">
        <f t="shared" si="71"/>
      </c>
      <c r="CD320" s="77">
        <f>IF($A320="",0,IF($D320='FICHA VEHICULO'!$C$4,1,0))</f>
      </c>
      <c r="CE320" s="77">
        <f t="shared" si="72"/>
      </c>
      <c r="CF320" s="77">
        <f t="shared" si="73"/>
      </c>
      <c r="CG320" s="77">
        <f t="shared" si="74"/>
      </c>
    </row>
    <row r="321" spans="1:85" ht="19.5" customHeight="1" x14ac:dyDescent="0.2">
      <c r="A321" s="104"/>
      <c r="B321" s="104"/>
      <c r="C321" s="105"/>
      <c r="D321" s="104"/>
      <c r="E321" s="105"/>
      <c r="F321" s="106"/>
      <c r="G321" s="104"/>
      <c r="H321" s="106"/>
      <c r="I321" s="107"/>
      <c r="J321" s="108"/>
      <c r="K321" s="108"/>
      <c r="L321" s="108"/>
      <c r="M321" s="105"/>
      <c r="N321" s="105"/>
      <c r="O321" s="105"/>
      <c r="P321" s="108"/>
      <c r="Q321" s="105"/>
      <c r="R321" s="105"/>
      <c r="S321" s="105"/>
      <c r="T321" s="105"/>
      <c r="U321" s="108"/>
      <c r="V321" s="105"/>
      <c r="W321" s="105"/>
      <c r="X321" s="105"/>
      <c r="Y321" s="105"/>
      <c r="Z321" s="105"/>
      <c r="AA321" s="108"/>
      <c r="AB321" s="108"/>
      <c r="AC321" s="105"/>
      <c r="AD321" s="279"/>
      <c r="AE321" s="105"/>
      <c r="AF321" s="279"/>
      <c r="AG321" s="105"/>
      <c r="AH321" s="108"/>
      <c r="AI321" s="108"/>
      <c r="AJ321" s="108"/>
      <c r="AK321" s="108"/>
      <c r="AL321" s="105"/>
      <c r="AM321" s="108"/>
      <c r="AN321" s="105"/>
      <c r="AO321" s="108"/>
      <c r="AP321" s="108"/>
      <c r="AQ321" s="105"/>
      <c r="AR321" s="108"/>
      <c r="AS321" s="108"/>
      <c r="AT321" s="105"/>
      <c r="AU321" s="105"/>
      <c r="AV321" s="105"/>
      <c r="AW321" s="105"/>
      <c r="AX321" s="105"/>
      <c r="AY321" s="105"/>
      <c r="AZ321" s="105"/>
      <c r="BA321" s="105"/>
      <c r="BB321" s="105"/>
      <c r="BC321" s="105"/>
      <c r="BD321" s="108"/>
      <c r="BE321" s="83">
        <f>IF($A321="","",IF(TRIM($D321&amp;"")="",IF(TRIM($AX321&amp;$AY321&amp;$AZ321&amp;$BA321&amp;$BB321&amp;$BC321&amp;$BD321&amp;"")="","","SUBARRENDADO"),IFERROR(IF(VLOOKUP($D321,VEHICULOS!$A$3:$H$202,7,FALSE)="","",VLOOKUP($D321,VEHICULOS!$A$3:$H$202,7,FALSE)),"")))</f>
      </c>
      <c r="BF321" s="82">
        <f>IF($A321="","",IF(TRIM($BC321&amp;"")&lt;&gt;"",$BC321,IF(TRIM($D321&amp;"")="","",IFERROR(IF(VLOOKUP($D321,VEHICULOS!$A$3:$H$202,8,FALSE)="","",VLOOKUP($D321,VEHICULOS!$A$3:$H$202,8,FALSE)),""))))</f>
      </c>
      <c r="BG321" s="106"/>
      <c r="BH321" s="107"/>
      <c r="BI321" s="86">
        <f t="shared" si="60"/>
      </c>
      <c r="BJ321" s="83">
        <f t="shared" si="61"/>
      </c>
      <c r="BK321" s="85">
        <f t="shared" si="62"/>
      </c>
      <c r="BL321" s="85">
        <f t="shared" si="63"/>
      </c>
      <c r="BM321" s="108"/>
      <c r="BN321" s="85">
        <f t="shared" si="64"/>
      </c>
      <c r="BO321" s="108"/>
      <c r="BP321" s="85">
        <f t="shared" si="65"/>
      </c>
      <c r="BQ321" s="85">
        <f t="shared" si="66"/>
      </c>
      <c r="BR321" s="108"/>
      <c r="BS321" s="104"/>
      <c r="BT321" s="87">
        <f t="shared" si="67"/>
      </c>
      <c r="BU321" s="85">
        <f t="shared" si="68"/>
      </c>
      <c r="BV321" s="85">
        <f t="shared" si="69"/>
      </c>
      <c r="BW321" s="87">
        <f t="shared" si="70"/>
      </c>
      <c r="BX321" s="104"/>
      <c r="BY321" s="106"/>
      <c r="BZ321" s="104"/>
      <c r="CA321" s="105"/>
      <c r="CB321" s="77">
        <f>IF($A321="",0,IF($B321='FICHA CLIENTE'!$C$4,1,0))</f>
      </c>
      <c r="CC321" s="77">
        <f t="shared" si="71"/>
      </c>
      <c r="CD321" s="77">
        <f>IF($A321="",0,IF($D321='FICHA VEHICULO'!$C$4,1,0))</f>
      </c>
      <c r="CE321" s="77">
        <f t="shared" si="72"/>
      </c>
      <c r="CF321" s="77">
        <f t="shared" si="73"/>
      </c>
      <c r="CG321" s="77">
        <f t="shared" si="74"/>
      </c>
    </row>
    <row r="322" spans="1:85" ht="19.5" customHeight="1" x14ac:dyDescent="0.2">
      <c r="A322" s="104"/>
      <c r="B322" s="104"/>
      <c r="C322" s="105"/>
      <c r="D322" s="104"/>
      <c r="E322" s="105"/>
      <c r="F322" s="106"/>
      <c r="G322" s="104"/>
      <c r="H322" s="106"/>
      <c r="I322" s="107"/>
      <c r="J322" s="108"/>
      <c r="K322" s="108"/>
      <c r="L322" s="108"/>
      <c r="M322" s="105"/>
      <c r="N322" s="105"/>
      <c r="O322" s="105"/>
      <c r="P322" s="108"/>
      <c r="Q322" s="105"/>
      <c r="R322" s="105"/>
      <c r="S322" s="105"/>
      <c r="T322" s="105"/>
      <c r="U322" s="108"/>
      <c r="V322" s="105"/>
      <c r="W322" s="105"/>
      <c r="X322" s="105"/>
      <c r="Y322" s="105"/>
      <c r="Z322" s="105"/>
      <c r="AA322" s="108"/>
      <c r="AB322" s="108"/>
      <c r="AC322" s="105"/>
      <c r="AD322" s="279"/>
      <c r="AE322" s="105"/>
      <c r="AF322" s="279"/>
      <c r="AG322" s="105"/>
      <c r="AH322" s="108"/>
      <c r="AI322" s="108"/>
      <c r="AJ322" s="108"/>
      <c r="AK322" s="108"/>
      <c r="AL322" s="105"/>
      <c r="AM322" s="108"/>
      <c r="AN322" s="105"/>
      <c r="AO322" s="108"/>
      <c r="AP322" s="108"/>
      <c r="AQ322" s="105"/>
      <c r="AR322" s="108"/>
      <c r="AS322" s="108"/>
      <c r="AT322" s="105"/>
      <c r="AU322" s="105"/>
      <c r="AV322" s="105"/>
      <c r="AW322" s="105"/>
      <c r="AX322" s="105"/>
      <c r="AY322" s="105"/>
      <c r="AZ322" s="105"/>
      <c r="BA322" s="105"/>
      <c r="BB322" s="105"/>
      <c r="BC322" s="105"/>
      <c r="BD322" s="108"/>
      <c r="BE322" s="83">
        <f>IF($A322="","",IF(TRIM($D322&amp;"")="",IF(TRIM($AX322&amp;$AY322&amp;$AZ322&amp;$BA322&amp;$BB322&amp;$BC322&amp;$BD322&amp;"")="","","SUBARRENDADO"),IFERROR(IF(VLOOKUP($D322,VEHICULOS!$A$3:$H$202,7,FALSE)="","",VLOOKUP($D322,VEHICULOS!$A$3:$H$202,7,FALSE)),"")))</f>
      </c>
      <c r="BF322" s="82">
        <f>IF($A322="","",IF(TRIM($BC322&amp;"")&lt;&gt;"",$BC322,IF(TRIM($D322&amp;"")="","",IFERROR(IF(VLOOKUP($D322,VEHICULOS!$A$3:$H$202,8,FALSE)="","",VLOOKUP($D322,VEHICULOS!$A$3:$H$202,8,FALSE)),""))))</f>
      </c>
      <c r="BG322" s="106"/>
      <c r="BH322" s="107"/>
      <c r="BI322" s="86">
        <f t="shared" si="60"/>
      </c>
      <c r="BJ322" s="83">
        <f t="shared" si="61"/>
      </c>
      <c r="BK322" s="85">
        <f t="shared" si="62"/>
      </c>
      <c r="BL322" s="85">
        <f t="shared" si="63"/>
      </c>
      <c r="BM322" s="108"/>
      <c r="BN322" s="85">
        <f t="shared" si="64"/>
      </c>
      <c r="BO322" s="108"/>
      <c r="BP322" s="85">
        <f t="shared" si="65"/>
      </c>
      <c r="BQ322" s="85">
        <f t="shared" si="66"/>
      </c>
      <c r="BR322" s="108"/>
      <c r="BS322" s="104"/>
      <c r="BT322" s="87">
        <f t="shared" si="67"/>
      </c>
      <c r="BU322" s="85">
        <f t="shared" si="68"/>
      </c>
      <c r="BV322" s="85">
        <f t="shared" si="69"/>
      </c>
      <c r="BW322" s="87">
        <f t="shared" si="70"/>
      </c>
      <c r="BX322" s="104"/>
      <c r="BY322" s="106"/>
      <c r="BZ322" s="104"/>
      <c r="CA322" s="105"/>
      <c r="CB322" s="77">
        <f>IF($A322="",0,IF($B322='FICHA CLIENTE'!$C$4,1,0))</f>
      </c>
      <c r="CC322" s="77">
        <f t="shared" si="71"/>
      </c>
      <c r="CD322" s="77">
        <f>IF($A322="",0,IF($D322='FICHA VEHICULO'!$C$4,1,0))</f>
      </c>
      <c r="CE322" s="77">
        <f t="shared" si="72"/>
      </c>
      <c r="CF322" s="77">
        <f t="shared" si="73"/>
      </c>
      <c r="CG322" s="77">
        <f t="shared" si="74"/>
      </c>
    </row>
    <row r="323" spans="1:85" ht="19.5" customHeight="1" x14ac:dyDescent="0.2">
      <c r="A323" s="104"/>
      <c r="B323" s="104"/>
      <c r="C323" s="105"/>
      <c r="D323" s="104"/>
      <c r="E323" s="105"/>
      <c r="F323" s="106"/>
      <c r="G323" s="104"/>
      <c r="H323" s="106"/>
      <c r="I323" s="107"/>
      <c r="J323" s="108"/>
      <c r="K323" s="108"/>
      <c r="L323" s="108"/>
      <c r="M323" s="105"/>
      <c r="N323" s="105"/>
      <c r="O323" s="105"/>
      <c r="P323" s="108"/>
      <c r="Q323" s="105"/>
      <c r="R323" s="105"/>
      <c r="S323" s="105"/>
      <c r="T323" s="105"/>
      <c r="U323" s="108"/>
      <c r="V323" s="105"/>
      <c r="W323" s="105"/>
      <c r="X323" s="105"/>
      <c r="Y323" s="105"/>
      <c r="Z323" s="105"/>
      <c r="AA323" s="108"/>
      <c r="AB323" s="108"/>
      <c r="AC323" s="105"/>
      <c r="AD323" s="279"/>
      <c r="AE323" s="105"/>
      <c r="AF323" s="279"/>
      <c r="AG323" s="105"/>
      <c r="AH323" s="108"/>
      <c r="AI323" s="108"/>
      <c r="AJ323" s="108"/>
      <c r="AK323" s="108"/>
      <c r="AL323" s="105"/>
      <c r="AM323" s="108"/>
      <c r="AN323" s="105"/>
      <c r="AO323" s="108"/>
      <c r="AP323" s="108"/>
      <c r="AQ323" s="105"/>
      <c r="AR323" s="108"/>
      <c r="AS323" s="108"/>
      <c r="AT323" s="105"/>
      <c r="AU323" s="105"/>
      <c r="AV323" s="105"/>
      <c r="AW323" s="105"/>
      <c r="AX323" s="105"/>
      <c r="AY323" s="105"/>
      <c r="AZ323" s="105"/>
      <c r="BA323" s="105"/>
      <c r="BB323" s="105"/>
      <c r="BC323" s="105"/>
      <c r="BD323" s="108"/>
      <c r="BE323" s="83">
        <f>IF($A323="","",IF(TRIM($D323&amp;"")="",IF(TRIM($AX323&amp;$AY323&amp;$AZ323&amp;$BA323&amp;$BB323&amp;$BC323&amp;$BD323&amp;"")="","","SUBARRENDADO"),IFERROR(IF(VLOOKUP($D323,VEHICULOS!$A$3:$H$202,7,FALSE)="","",VLOOKUP($D323,VEHICULOS!$A$3:$H$202,7,FALSE)),"")))</f>
      </c>
      <c r="BF323" s="82">
        <f>IF($A323="","",IF(TRIM($BC323&amp;"")&lt;&gt;"",$BC323,IF(TRIM($D323&amp;"")="","",IFERROR(IF(VLOOKUP($D323,VEHICULOS!$A$3:$H$202,8,FALSE)="","",VLOOKUP($D323,VEHICULOS!$A$3:$H$202,8,FALSE)),""))))</f>
      </c>
      <c r="BG323" s="106"/>
      <c r="BH323" s="107"/>
      <c r="BI323" s="86">
        <f t="shared" si="60"/>
      </c>
      <c r="BJ323" s="83">
        <f t="shared" si="61"/>
      </c>
      <c r="BK323" s="85">
        <f t="shared" si="62"/>
      </c>
      <c r="BL323" s="85">
        <f t="shared" si="63"/>
      </c>
      <c r="BM323" s="108"/>
      <c r="BN323" s="85">
        <f t="shared" si="64"/>
      </c>
      <c r="BO323" s="108"/>
      <c r="BP323" s="85">
        <f t="shared" si="65"/>
      </c>
      <c r="BQ323" s="85">
        <f t="shared" si="66"/>
      </c>
      <c r="BR323" s="108"/>
      <c r="BS323" s="104"/>
      <c r="BT323" s="87">
        <f t="shared" si="67"/>
      </c>
      <c r="BU323" s="85">
        <f t="shared" si="68"/>
      </c>
      <c r="BV323" s="85">
        <f t="shared" si="69"/>
      </c>
      <c r="BW323" s="87">
        <f t="shared" si="70"/>
      </c>
      <c r="BX323" s="104"/>
      <c r="BY323" s="106"/>
      <c r="BZ323" s="104"/>
      <c r="CA323" s="105"/>
      <c r="CB323" s="77">
        <f>IF($A323="",0,IF($B323='FICHA CLIENTE'!$C$4,1,0))</f>
      </c>
      <c r="CC323" s="77">
        <f t="shared" si="71"/>
      </c>
      <c r="CD323" s="77">
        <f>IF($A323="",0,IF($D323='FICHA VEHICULO'!$C$4,1,0))</f>
      </c>
      <c r="CE323" s="77">
        <f t="shared" si="72"/>
      </c>
      <c r="CF323" s="77">
        <f t="shared" si="73"/>
      </c>
      <c r="CG323" s="77">
        <f t="shared" si="74"/>
      </c>
    </row>
    <row r="324" spans="1:85" ht="19.5" customHeight="1" x14ac:dyDescent="0.2">
      <c r="A324" s="104"/>
      <c r="B324" s="104"/>
      <c r="C324" s="105"/>
      <c r="D324" s="104"/>
      <c r="E324" s="105"/>
      <c r="F324" s="106"/>
      <c r="G324" s="104"/>
      <c r="H324" s="106"/>
      <c r="I324" s="107"/>
      <c r="J324" s="108"/>
      <c r="K324" s="108"/>
      <c r="L324" s="108"/>
      <c r="M324" s="105"/>
      <c r="N324" s="105"/>
      <c r="O324" s="105"/>
      <c r="P324" s="108"/>
      <c r="Q324" s="105"/>
      <c r="R324" s="105"/>
      <c r="S324" s="105"/>
      <c r="T324" s="105"/>
      <c r="U324" s="108"/>
      <c r="V324" s="105"/>
      <c r="W324" s="105"/>
      <c r="X324" s="105"/>
      <c r="Y324" s="105"/>
      <c r="Z324" s="105"/>
      <c r="AA324" s="108"/>
      <c r="AB324" s="108"/>
      <c r="AC324" s="105"/>
      <c r="AD324" s="279"/>
      <c r="AE324" s="105"/>
      <c r="AF324" s="279"/>
      <c r="AG324" s="105"/>
      <c r="AH324" s="108"/>
      <c r="AI324" s="108"/>
      <c r="AJ324" s="108"/>
      <c r="AK324" s="108"/>
      <c r="AL324" s="105"/>
      <c r="AM324" s="108"/>
      <c r="AN324" s="105"/>
      <c r="AO324" s="108"/>
      <c r="AP324" s="108"/>
      <c r="AQ324" s="105"/>
      <c r="AR324" s="108"/>
      <c r="AS324" s="108"/>
      <c r="AT324" s="105"/>
      <c r="AU324" s="105"/>
      <c r="AV324" s="105"/>
      <c r="AW324" s="105"/>
      <c r="AX324" s="105"/>
      <c r="AY324" s="105"/>
      <c r="AZ324" s="105"/>
      <c r="BA324" s="105"/>
      <c r="BB324" s="105"/>
      <c r="BC324" s="105"/>
      <c r="BD324" s="108"/>
      <c r="BE324" s="83">
        <f>IF($A324="","",IF(TRIM($D324&amp;"")="",IF(TRIM($AX324&amp;$AY324&amp;$AZ324&amp;$BA324&amp;$BB324&amp;$BC324&amp;$BD324&amp;"")="","","SUBARRENDADO"),IFERROR(IF(VLOOKUP($D324,VEHICULOS!$A$3:$H$202,7,FALSE)="","",VLOOKUP($D324,VEHICULOS!$A$3:$H$202,7,FALSE)),"")))</f>
      </c>
      <c r="BF324" s="82">
        <f>IF($A324="","",IF(TRIM($BC324&amp;"")&lt;&gt;"",$BC324,IF(TRIM($D324&amp;"")="","",IFERROR(IF(VLOOKUP($D324,VEHICULOS!$A$3:$H$202,8,FALSE)="","",VLOOKUP($D324,VEHICULOS!$A$3:$H$202,8,FALSE)),""))))</f>
      </c>
      <c r="BG324" s="106"/>
      <c r="BH324" s="107"/>
      <c r="BI324" s="86">
        <f t="shared" si="60"/>
      </c>
      <c r="BJ324" s="83">
        <f t="shared" si="61"/>
      </c>
      <c r="BK324" s="85">
        <f t="shared" si="62"/>
      </c>
      <c r="BL324" s="85">
        <f t="shared" si="63"/>
      </c>
      <c r="BM324" s="108"/>
      <c r="BN324" s="85">
        <f t="shared" si="64"/>
      </c>
      <c r="BO324" s="108"/>
      <c r="BP324" s="85">
        <f t="shared" si="65"/>
      </c>
      <c r="BQ324" s="85">
        <f t="shared" si="66"/>
      </c>
      <c r="BR324" s="108"/>
      <c r="BS324" s="104"/>
      <c r="BT324" s="87">
        <f t="shared" si="67"/>
      </c>
      <c r="BU324" s="85">
        <f t="shared" si="68"/>
      </c>
      <c r="BV324" s="85">
        <f t="shared" si="69"/>
      </c>
      <c r="BW324" s="87">
        <f t="shared" si="70"/>
      </c>
      <c r="BX324" s="104"/>
      <c r="BY324" s="106"/>
      <c r="BZ324" s="104"/>
      <c r="CA324" s="105"/>
      <c r="CB324" s="77">
        <f>IF($A324="",0,IF($B324='FICHA CLIENTE'!$C$4,1,0))</f>
      </c>
      <c r="CC324" s="77">
        <f t="shared" si="71"/>
      </c>
      <c r="CD324" s="77">
        <f>IF($A324="",0,IF($D324='FICHA VEHICULO'!$C$4,1,0))</f>
      </c>
      <c r="CE324" s="77">
        <f t="shared" si="72"/>
      </c>
      <c r="CF324" s="77">
        <f t="shared" si="73"/>
      </c>
      <c r="CG324" s="77">
        <f t="shared" si="74"/>
      </c>
    </row>
    <row r="325" spans="1:85" ht="19.5" customHeight="1" x14ac:dyDescent="0.2">
      <c r="A325" s="104"/>
      <c r="B325" s="104"/>
      <c r="C325" s="105"/>
      <c r="D325" s="104"/>
      <c r="E325" s="105"/>
      <c r="F325" s="106"/>
      <c r="G325" s="104"/>
      <c r="H325" s="106"/>
      <c r="I325" s="107"/>
      <c r="J325" s="108"/>
      <c r="K325" s="108"/>
      <c r="L325" s="108"/>
      <c r="M325" s="105"/>
      <c r="N325" s="105"/>
      <c r="O325" s="105"/>
      <c r="P325" s="108"/>
      <c r="Q325" s="105"/>
      <c r="R325" s="105"/>
      <c r="S325" s="105"/>
      <c r="T325" s="105"/>
      <c r="U325" s="108"/>
      <c r="V325" s="105"/>
      <c r="W325" s="105"/>
      <c r="X325" s="105"/>
      <c r="Y325" s="105"/>
      <c r="Z325" s="105"/>
      <c r="AA325" s="108"/>
      <c r="AB325" s="108"/>
      <c r="AC325" s="105"/>
      <c r="AD325" s="279"/>
      <c r="AE325" s="105"/>
      <c r="AF325" s="279"/>
      <c r="AG325" s="105"/>
      <c r="AH325" s="108"/>
      <c r="AI325" s="108"/>
      <c r="AJ325" s="108"/>
      <c r="AK325" s="108"/>
      <c r="AL325" s="105"/>
      <c r="AM325" s="108"/>
      <c r="AN325" s="105"/>
      <c r="AO325" s="108"/>
      <c r="AP325" s="108"/>
      <c r="AQ325" s="105"/>
      <c r="AR325" s="108"/>
      <c r="AS325" s="108"/>
      <c r="AT325" s="105"/>
      <c r="AU325" s="105"/>
      <c r="AV325" s="105"/>
      <c r="AW325" s="105"/>
      <c r="AX325" s="105"/>
      <c r="AY325" s="105"/>
      <c r="AZ325" s="105"/>
      <c r="BA325" s="105"/>
      <c r="BB325" s="105"/>
      <c r="BC325" s="105"/>
      <c r="BD325" s="108"/>
      <c r="BE325" s="83">
        <f>IF($A325="","",IF(TRIM($D325&amp;"")="",IF(TRIM($AX325&amp;$AY325&amp;$AZ325&amp;$BA325&amp;$BB325&amp;$BC325&amp;$BD325&amp;"")="","","SUBARRENDADO"),IFERROR(IF(VLOOKUP($D325,VEHICULOS!$A$3:$H$202,7,FALSE)="","",VLOOKUP($D325,VEHICULOS!$A$3:$H$202,7,FALSE)),"")))</f>
      </c>
      <c r="BF325" s="82">
        <f>IF($A325="","",IF(TRIM($BC325&amp;"")&lt;&gt;"",$BC325,IF(TRIM($D325&amp;"")="","",IFERROR(IF(VLOOKUP($D325,VEHICULOS!$A$3:$H$202,8,FALSE)="","",VLOOKUP($D325,VEHICULOS!$A$3:$H$202,8,FALSE)),""))))</f>
      </c>
      <c r="BG325" s="106"/>
      <c r="BH325" s="107"/>
      <c r="BI325" s="86">
        <f t="shared" si="60"/>
      </c>
      <c r="BJ325" s="83">
        <f t="shared" si="61"/>
      </c>
      <c r="BK325" s="85">
        <f t="shared" si="62"/>
      </c>
      <c r="BL325" s="85">
        <f t="shared" si="63"/>
      </c>
      <c r="BM325" s="108"/>
      <c r="BN325" s="85">
        <f t="shared" si="64"/>
      </c>
      <c r="BO325" s="108"/>
      <c r="BP325" s="85">
        <f t="shared" si="65"/>
      </c>
      <c r="BQ325" s="85">
        <f t="shared" si="66"/>
      </c>
      <c r="BR325" s="108"/>
      <c r="BS325" s="104"/>
      <c r="BT325" s="87">
        <f t="shared" si="67"/>
      </c>
      <c r="BU325" s="85">
        <f t="shared" si="68"/>
      </c>
      <c r="BV325" s="85">
        <f t="shared" si="69"/>
      </c>
      <c r="BW325" s="87">
        <f t="shared" si="70"/>
      </c>
      <c r="BX325" s="104"/>
      <c r="BY325" s="106"/>
      <c r="BZ325" s="104"/>
      <c r="CA325" s="105"/>
      <c r="CB325" s="77">
        <f>IF($A325="",0,IF($B325='FICHA CLIENTE'!$C$4,1,0))</f>
      </c>
      <c r="CC325" s="77">
        <f t="shared" si="71"/>
      </c>
      <c r="CD325" s="77">
        <f>IF($A325="",0,IF($D325='FICHA VEHICULO'!$C$4,1,0))</f>
      </c>
      <c r="CE325" s="77">
        <f t="shared" si="72"/>
      </c>
      <c r="CF325" s="77">
        <f t="shared" si="73"/>
      </c>
      <c r="CG325" s="77">
        <f t="shared" si="74"/>
      </c>
    </row>
    <row r="326" spans="1:85" ht="19.5" customHeight="1" x14ac:dyDescent="0.2">
      <c r="A326" s="104"/>
      <c r="B326" s="104"/>
      <c r="C326" s="105"/>
      <c r="D326" s="104"/>
      <c r="E326" s="105"/>
      <c r="F326" s="106"/>
      <c r="G326" s="104"/>
      <c r="H326" s="106"/>
      <c r="I326" s="107"/>
      <c r="J326" s="108"/>
      <c r="K326" s="108"/>
      <c r="L326" s="108"/>
      <c r="M326" s="105"/>
      <c r="N326" s="105"/>
      <c r="O326" s="105"/>
      <c r="P326" s="108"/>
      <c r="Q326" s="105"/>
      <c r="R326" s="105"/>
      <c r="S326" s="105"/>
      <c r="T326" s="105"/>
      <c r="U326" s="108"/>
      <c r="V326" s="105"/>
      <c r="W326" s="105"/>
      <c r="X326" s="105"/>
      <c r="Y326" s="105"/>
      <c r="Z326" s="105"/>
      <c r="AA326" s="108"/>
      <c r="AB326" s="108"/>
      <c r="AC326" s="105"/>
      <c r="AD326" s="279"/>
      <c r="AE326" s="105"/>
      <c r="AF326" s="279"/>
      <c r="AG326" s="105"/>
      <c r="AH326" s="108"/>
      <c r="AI326" s="108"/>
      <c r="AJ326" s="108"/>
      <c r="AK326" s="108"/>
      <c r="AL326" s="105"/>
      <c r="AM326" s="108"/>
      <c r="AN326" s="105"/>
      <c r="AO326" s="108"/>
      <c r="AP326" s="108"/>
      <c r="AQ326" s="105"/>
      <c r="AR326" s="108"/>
      <c r="AS326" s="108"/>
      <c r="AT326" s="105"/>
      <c r="AU326" s="105"/>
      <c r="AV326" s="105"/>
      <c r="AW326" s="105"/>
      <c r="AX326" s="105"/>
      <c r="AY326" s="105"/>
      <c r="AZ326" s="105"/>
      <c r="BA326" s="105"/>
      <c r="BB326" s="105"/>
      <c r="BC326" s="105"/>
      <c r="BD326" s="108"/>
      <c r="BE326" s="83">
        <f>IF($A326="","",IF(TRIM($D326&amp;"")="",IF(TRIM($AX326&amp;$AY326&amp;$AZ326&amp;$BA326&amp;$BB326&amp;$BC326&amp;$BD326&amp;"")="","","SUBARRENDADO"),IFERROR(IF(VLOOKUP($D326,VEHICULOS!$A$3:$H$202,7,FALSE)="","",VLOOKUP($D326,VEHICULOS!$A$3:$H$202,7,FALSE)),"")))</f>
      </c>
      <c r="BF326" s="82">
        <f>IF($A326="","",IF(TRIM($BC326&amp;"")&lt;&gt;"",$BC326,IF(TRIM($D326&amp;"")="","",IFERROR(IF(VLOOKUP($D326,VEHICULOS!$A$3:$H$202,8,FALSE)="","",VLOOKUP($D326,VEHICULOS!$A$3:$H$202,8,FALSE)),""))))</f>
      </c>
      <c r="BG326" s="106"/>
      <c r="BH326" s="107"/>
      <c r="BI326" s="86">
        <f t="shared" ref="BI326:BI389" si="75">IF(OR($BH326="",$I326=""),"",$BH326-$I326)</f>
      </c>
      <c r="BJ326" s="83">
        <f t="shared" ref="BJ326:BJ389" si="76">IF(OR($BG326="",$H326=""),"",MAX(0,$BG326-$H326))</f>
      </c>
      <c r="BK326" s="85">
        <f t="shared" ref="BK326:BK389" si="77">IF($A326="","",N($BJ326)*N($J326))</f>
      </c>
      <c r="BL326" s="85">
        <f t="shared" ref="BL326:BL389" si="78">IF($A326="","",(N($AM326)+N($AS326))*(N($G326)+N($BJ326))+N($AP326))</f>
      </c>
      <c r="BM326" s="108"/>
      <c r="BN326" s="85">
        <f t="shared" ref="BN326:BN389" si="79">IF($A326="","",N($AO326))</f>
      </c>
      <c r="BO326" s="108"/>
      <c r="BP326" s="85">
        <f t="shared" ref="BP326:BP389" si="80">IF($A326="","",N($AR326))</f>
      </c>
      <c r="BQ326" s="85">
        <f t="shared" ref="BQ326:BQ389" si="81">IF($A326="","",N($K326)+N($BK326)+N($BL326)+N($BM326)+N($BN326)+N($BO326)+N($BP326))</f>
      </c>
      <c r="BR326" s="108"/>
      <c r="BS326" s="104"/>
      <c r="BT326" s="87">
        <f t="shared" ref="BT326:BT389" si="82">IF($A326="","",ROUND((N($BQ326)-N($BR326))*(1+N($BS326)/100),2))</f>
      </c>
      <c r="BU326" s="85">
        <f t="shared" ref="BU326:BU389" si="83">IF($A326="","",N($BD326))</f>
      </c>
      <c r="BV326" s="85">
        <f t="shared" ref="BV326:BV389" si="84">IF($A326="","",N($BU326)*(N($G326)+N($BJ326)))</f>
      </c>
      <c r="BW326" s="87">
        <f t="shared" ref="BW326:BW389" si="85">IF($A326="","",N($BT326)-N($BV326))</f>
      </c>
      <c r="BX326" s="104"/>
      <c r="BY326" s="106"/>
      <c r="BZ326" s="104"/>
      <c r="CA326" s="105"/>
      <c r="CB326" s="77">
        <f>IF($A326="",0,IF($B326='FICHA CLIENTE'!$C$4,1,0))</f>
      </c>
      <c r="CC326" s="77">
        <f t="shared" ref="CC326:CC389" si="86">$CC325+$CB326</f>
      </c>
      <c r="CD326" s="77">
        <f>IF($A326="",0,IF($D326='FICHA VEHICULO'!$C$4,1,0))</f>
      </c>
      <c r="CE326" s="77">
        <f t="shared" ref="CE326:CE389" si="87">$CE325+$CD326</f>
      </c>
      <c r="CF326" s="77">
        <f t="shared" ref="CF326:CF389" si="88">IF($A326="",0,IF($BG326="",1,0))</f>
      </c>
      <c r="CG326" s="77">
        <f t="shared" ref="CG326:CG389" si="89">$CG325+$CF326</f>
      </c>
    </row>
    <row r="327" spans="1:85" ht="19.5" customHeight="1" x14ac:dyDescent="0.2">
      <c r="A327" s="104"/>
      <c r="B327" s="104"/>
      <c r="C327" s="105"/>
      <c r="D327" s="104"/>
      <c r="E327" s="105"/>
      <c r="F327" s="106"/>
      <c r="G327" s="104"/>
      <c r="H327" s="106"/>
      <c r="I327" s="107"/>
      <c r="J327" s="108"/>
      <c r="K327" s="108"/>
      <c r="L327" s="108"/>
      <c r="M327" s="105"/>
      <c r="N327" s="105"/>
      <c r="O327" s="105"/>
      <c r="P327" s="108"/>
      <c r="Q327" s="105"/>
      <c r="R327" s="105"/>
      <c r="S327" s="105"/>
      <c r="T327" s="105"/>
      <c r="U327" s="108"/>
      <c r="V327" s="105"/>
      <c r="W327" s="105"/>
      <c r="X327" s="105"/>
      <c r="Y327" s="105"/>
      <c r="Z327" s="105"/>
      <c r="AA327" s="108"/>
      <c r="AB327" s="108"/>
      <c r="AC327" s="105"/>
      <c r="AD327" s="279"/>
      <c r="AE327" s="105"/>
      <c r="AF327" s="279"/>
      <c r="AG327" s="105"/>
      <c r="AH327" s="108"/>
      <c r="AI327" s="108"/>
      <c r="AJ327" s="108"/>
      <c r="AK327" s="108"/>
      <c r="AL327" s="105"/>
      <c r="AM327" s="108"/>
      <c r="AN327" s="105"/>
      <c r="AO327" s="108"/>
      <c r="AP327" s="108"/>
      <c r="AQ327" s="105"/>
      <c r="AR327" s="108"/>
      <c r="AS327" s="108"/>
      <c r="AT327" s="105"/>
      <c r="AU327" s="105"/>
      <c r="AV327" s="105"/>
      <c r="AW327" s="105"/>
      <c r="AX327" s="105"/>
      <c r="AY327" s="105"/>
      <c r="AZ327" s="105"/>
      <c r="BA327" s="105"/>
      <c r="BB327" s="105"/>
      <c r="BC327" s="105"/>
      <c r="BD327" s="108"/>
      <c r="BE327" s="83">
        <f>IF($A327="","",IF(TRIM($D327&amp;"")="",IF(TRIM($AX327&amp;$AY327&amp;$AZ327&amp;$BA327&amp;$BB327&amp;$BC327&amp;$BD327&amp;"")="","","SUBARRENDADO"),IFERROR(IF(VLOOKUP($D327,VEHICULOS!$A$3:$H$202,7,FALSE)="","",VLOOKUP($D327,VEHICULOS!$A$3:$H$202,7,FALSE)),"")))</f>
      </c>
      <c r="BF327" s="82">
        <f>IF($A327="","",IF(TRIM($BC327&amp;"")&lt;&gt;"",$BC327,IF(TRIM($D327&amp;"")="","",IFERROR(IF(VLOOKUP($D327,VEHICULOS!$A$3:$H$202,8,FALSE)="","",VLOOKUP($D327,VEHICULOS!$A$3:$H$202,8,FALSE)),""))))</f>
      </c>
      <c r="BG327" s="106"/>
      <c r="BH327" s="107"/>
      <c r="BI327" s="86">
        <f t="shared" si="75"/>
      </c>
      <c r="BJ327" s="83">
        <f t="shared" si="76"/>
      </c>
      <c r="BK327" s="85">
        <f t="shared" si="77"/>
      </c>
      <c r="BL327" s="85">
        <f t="shared" si="78"/>
      </c>
      <c r="BM327" s="108"/>
      <c r="BN327" s="85">
        <f t="shared" si="79"/>
      </c>
      <c r="BO327" s="108"/>
      <c r="BP327" s="85">
        <f t="shared" si="80"/>
      </c>
      <c r="BQ327" s="85">
        <f t="shared" si="81"/>
      </c>
      <c r="BR327" s="108"/>
      <c r="BS327" s="104"/>
      <c r="BT327" s="87">
        <f t="shared" si="82"/>
      </c>
      <c r="BU327" s="85">
        <f t="shared" si="83"/>
      </c>
      <c r="BV327" s="85">
        <f t="shared" si="84"/>
      </c>
      <c r="BW327" s="87">
        <f t="shared" si="85"/>
      </c>
      <c r="BX327" s="104"/>
      <c r="BY327" s="106"/>
      <c r="BZ327" s="104"/>
      <c r="CA327" s="105"/>
      <c r="CB327" s="77">
        <f>IF($A327="",0,IF($B327='FICHA CLIENTE'!$C$4,1,0))</f>
      </c>
      <c r="CC327" s="77">
        <f t="shared" si="86"/>
      </c>
      <c r="CD327" s="77">
        <f>IF($A327="",0,IF($D327='FICHA VEHICULO'!$C$4,1,0))</f>
      </c>
      <c r="CE327" s="77">
        <f t="shared" si="87"/>
      </c>
      <c r="CF327" s="77">
        <f t="shared" si="88"/>
      </c>
      <c r="CG327" s="77">
        <f t="shared" si="89"/>
      </c>
    </row>
    <row r="328" spans="1:85" ht="19.5" customHeight="1" x14ac:dyDescent="0.2">
      <c r="A328" s="104"/>
      <c r="B328" s="104"/>
      <c r="C328" s="105"/>
      <c r="D328" s="104"/>
      <c r="E328" s="105"/>
      <c r="F328" s="106"/>
      <c r="G328" s="104"/>
      <c r="H328" s="106"/>
      <c r="I328" s="107"/>
      <c r="J328" s="108"/>
      <c r="K328" s="108"/>
      <c r="L328" s="108"/>
      <c r="M328" s="105"/>
      <c r="N328" s="105"/>
      <c r="O328" s="105"/>
      <c r="P328" s="108"/>
      <c r="Q328" s="105"/>
      <c r="R328" s="105"/>
      <c r="S328" s="105"/>
      <c r="T328" s="105"/>
      <c r="U328" s="108"/>
      <c r="V328" s="105"/>
      <c r="W328" s="105"/>
      <c r="X328" s="105"/>
      <c r="Y328" s="105"/>
      <c r="Z328" s="105"/>
      <c r="AA328" s="108"/>
      <c r="AB328" s="108"/>
      <c r="AC328" s="105"/>
      <c r="AD328" s="279"/>
      <c r="AE328" s="105"/>
      <c r="AF328" s="279"/>
      <c r="AG328" s="105"/>
      <c r="AH328" s="108"/>
      <c r="AI328" s="108"/>
      <c r="AJ328" s="108"/>
      <c r="AK328" s="108"/>
      <c r="AL328" s="105"/>
      <c r="AM328" s="108"/>
      <c r="AN328" s="105"/>
      <c r="AO328" s="108"/>
      <c r="AP328" s="108"/>
      <c r="AQ328" s="105"/>
      <c r="AR328" s="108"/>
      <c r="AS328" s="108"/>
      <c r="AT328" s="105"/>
      <c r="AU328" s="105"/>
      <c r="AV328" s="105"/>
      <c r="AW328" s="105"/>
      <c r="AX328" s="105"/>
      <c r="AY328" s="105"/>
      <c r="AZ328" s="105"/>
      <c r="BA328" s="105"/>
      <c r="BB328" s="105"/>
      <c r="BC328" s="105"/>
      <c r="BD328" s="108"/>
      <c r="BE328" s="83">
        <f>IF($A328="","",IF(TRIM($D328&amp;"")="",IF(TRIM($AX328&amp;$AY328&amp;$AZ328&amp;$BA328&amp;$BB328&amp;$BC328&amp;$BD328&amp;"")="","","SUBARRENDADO"),IFERROR(IF(VLOOKUP($D328,VEHICULOS!$A$3:$H$202,7,FALSE)="","",VLOOKUP($D328,VEHICULOS!$A$3:$H$202,7,FALSE)),"")))</f>
      </c>
      <c r="BF328" s="82">
        <f>IF($A328="","",IF(TRIM($BC328&amp;"")&lt;&gt;"",$BC328,IF(TRIM($D328&amp;"")="","",IFERROR(IF(VLOOKUP($D328,VEHICULOS!$A$3:$H$202,8,FALSE)="","",VLOOKUP($D328,VEHICULOS!$A$3:$H$202,8,FALSE)),""))))</f>
      </c>
      <c r="BG328" s="106"/>
      <c r="BH328" s="107"/>
      <c r="BI328" s="86">
        <f t="shared" si="75"/>
      </c>
      <c r="BJ328" s="83">
        <f t="shared" si="76"/>
      </c>
      <c r="BK328" s="85">
        <f t="shared" si="77"/>
      </c>
      <c r="BL328" s="85">
        <f t="shared" si="78"/>
      </c>
      <c r="BM328" s="108"/>
      <c r="BN328" s="85">
        <f t="shared" si="79"/>
      </c>
      <c r="BO328" s="108"/>
      <c r="BP328" s="85">
        <f t="shared" si="80"/>
      </c>
      <c r="BQ328" s="85">
        <f t="shared" si="81"/>
      </c>
      <c r="BR328" s="108"/>
      <c r="BS328" s="104"/>
      <c r="BT328" s="87">
        <f t="shared" si="82"/>
      </c>
      <c r="BU328" s="85">
        <f t="shared" si="83"/>
      </c>
      <c r="BV328" s="85">
        <f t="shared" si="84"/>
      </c>
      <c r="BW328" s="87">
        <f t="shared" si="85"/>
      </c>
      <c r="BX328" s="104"/>
      <c r="BY328" s="106"/>
      <c r="BZ328" s="104"/>
      <c r="CA328" s="105"/>
      <c r="CB328" s="77">
        <f>IF($A328="",0,IF($B328='FICHA CLIENTE'!$C$4,1,0))</f>
      </c>
      <c r="CC328" s="77">
        <f t="shared" si="86"/>
      </c>
      <c r="CD328" s="77">
        <f>IF($A328="",0,IF($D328='FICHA VEHICULO'!$C$4,1,0))</f>
      </c>
      <c r="CE328" s="77">
        <f t="shared" si="87"/>
      </c>
      <c r="CF328" s="77">
        <f t="shared" si="88"/>
      </c>
      <c r="CG328" s="77">
        <f t="shared" si="89"/>
      </c>
    </row>
    <row r="329" spans="1:85" ht="19.5" customHeight="1" x14ac:dyDescent="0.2">
      <c r="A329" s="104"/>
      <c r="B329" s="104"/>
      <c r="C329" s="105"/>
      <c r="D329" s="104"/>
      <c r="E329" s="105"/>
      <c r="F329" s="106"/>
      <c r="G329" s="104"/>
      <c r="H329" s="106"/>
      <c r="I329" s="107"/>
      <c r="J329" s="108"/>
      <c r="K329" s="108"/>
      <c r="L329" s="108"/>
      <c r="M329" s="105"/>
      <c r="N329" s="105"/>
      <c r="O329" s="105"/>
      <c r="P329" s="108"/>
      <c r="Q329" s="105"/>
      <c r="R329" s="105"/>
      <c r="S329" s="105"/>
      <c r="T329" s="105"/>
      <c r="U329" s="108"/>
      <c r="V329" s="105"/>
      <c r="W329" s="105"/>
      <c r="X329" s="105"/>
      <c r="Y329" s="105"/>
      <c r="Z329" s="105"/>
      <c r="AA329" s="108"/>
      <c r="AB329" s="108"/>
      <c r="AC329" s="105"/>
      <c r="AD329" s="279"/>
      <c r="AE329" s="105"/>
      <c r="AF329" s="279"/>
      <c r="AG329" s="105"/>
      <c r="AH329" s="108"/>
      <c r="AI329" s="108"/>
      <c r="AJ329" s="108"/>
      <c r="AK329" s="108"/>
      <c r="AL329" s="105"/>
      <c r="AM329" s="108"/>
      <c r="AN329" s="105"/>
      <c r="AO329" s="108"/>
      <c r="AP329" s="108"/>
      <c r="AQ329" s="105"/>
      <c r="AR329" s="108"/>
      <c r="AS329" s="108"/>
      <c r="AT329" s="105"/>
      <c r="AU329" s="105"/>
      <c r="AV329" s="105"/>
      <c r="AW329" s="105"/>
      <c r="AX329" s="105"/>
      <c r="AY329" s="105"/>
      <c r="AZ329" s="105"/>
      <c r="BA329" s="105"/>
      <c r="BB329" s="105"/>
      <c r="BC329" s="105"/>
      <c r="BD329" s="108"/>
      <c r="BE329" s="83">
        <f>IF($A329="","",IF(TRIM($D329&amp;"")="",IF(TRIM($AX329&amp;$AY329&amp;$AZ329&amp;$BA329&amp;$BB329&amp;$BC329&amp;$BD329&amp;"")="","","SUBARRENDADO"),IFERROR(IF(VLOOKUP($D329,VEHICULOS!$A$3:$H$202,7,FALSE)="","",VLOOKUP($D329,VEHICULOS!$A$3:$H$202,7,FALSE)),"")))</f>
      </c>
      <c r="BF329" s="82">
        <f>IF($A329="","",IF(TRIM($BC329&amp;"")&lt;&gt;"",$BC329,IF(TRIM($D329&amp;"")="","",IFERROR(IF(VLOOKUP($D329,VEHICULOS!$A$3:$H$202,8,FALSE)="","",VLOOKUP($D329,VEHICULOS!$A$3:$H$202,8,FALSE)),""))))</f>
      </c>
      <c r="BG329" s="106"/>
      <c r="BH329" s="107"/>
      <c r="BI329" s="86">
        <f t="shared" si="75"/>
      </c>
      <c r="BJ329" s="83">
        <f t="shared" si="76"/>
      </c>
      <c r="BK329" s="85">
        <f t="shared" si="77"/>
      </c>
      <c r="BL329" s="85">
        <f t="shared" si="78"/>
      </c>
      <c r="BM329" s="108"/>
      <c r="BN329" s="85">
        <f t="shared" si="79"/>
      </c>
      <c r="BO329" s="108"/>
      <c r="BP329" s="85">
        <f t="shared" si="80"/>
      </c>
      <c r="BQ329" s="85">
        <f t="shared" si="81"/>
      </c>
      <c r="BR329" s="108"/>
      <c r="BS329" s="104"/>
      <c r="BT329" s="87">
        <f t="shared" si="82"/>
      </c>
      <c r="BU329" s="85">
        <f t="shared" si="83"/>
      </c>
      <c r="BV329" s="85">
        <f t="shared" si="84"/>
      </c>
      <c r="BW329" s="87">
        <f t="shared" si="85"/>
      </c>
      <c r="BX329" s="104"/>
      <c r="BY329" s="106"/>
      <c r="BZ329" s="104"/>
      <c r="CA329" s="105"/>
      <c r="CB329" s="77">
        <f>IF($A329="",0,IF($B329='FICHA CLIENTE'!$C$4,1,0))</f>
      </c>
      <c r="CC329" s="77">
        <f t="shared" si="86"/>
      </c>
      <c r="CD329" s="77">
        <f>IF($A329="",0,IF($D329='FICHA VEHICULO'!$C$4,1,0))</f>
      </c>
      <c r="CE329" s="77">
        <f t="shared" si="87"/>
      </c>
      <c r="CF329" s="77">
        <f t="shared" si="88"/>
      </c>
      <c r="CG329" s="77">
        <f t="shared" si="89"/>
      </c>
    </row>
    <row r="330" spans="1:85" ht="19.5" customHeight="1" x14ac:dyDescent="0.2">
      <c r="A330" s="104"/>
      <c r="B330" s="104"/>
      <c r="C330" s="105"/>
      <c r="D330" s="104"/>
      <c r="E330" s="105"/>
      <c r="F330" s="106"/>
      <c r="G330" s="104"/>
      <c r="H330" s="106"/>
      <c r="I330" s="107"/>
      <c r="J330" s="108"/>
      <c r="K330" s="108"/>
      <c r="L330" s="108"/>
      <c r="M330" s="105"/>
      <c r="N330" s="105"/>
      <c r="O330" s="105"/>
      <c r="P330" s="108"/>
      <c r="Q330" s="105"/>
      <c r="R330" s="105"/>
      <c r="S330" s="105"/>
      <c r="T330" s="105"/>
      <c r="U330" s="108"/>
      <c r="V330" s="105"/>
      <c r="W330" s="105"/>
      <c r="X330" s="105"/>
      <c r="Y330" s="105"/>
      <c r="Z330" s="105"/>
      <c r="AA330" s="108"/>
      <c r="AB330" s="108"/>
      <c r="AC330" s="105"/>
      <c r="AD330" s="279"/>
      <c r="AE330" s="105"/>
      <c r="AF330" s="279"/>
      <c r="AG330" s="105"/>
      <c r="AH330" s="108"/>
      <c r="AI330" s="108"/>
      <c r="AJ330" s="108"/>
      <c r="AK330" s="108"/>
      <c r="AL330" s="105"/>
      <c r="AM330" s="108"/>
      <c r="AN330" s="105"/>
      <c r="AO330" s="108"/>
      <c r="AP330" s="108"/>
      <c r="AQ330" s="105"/>
      <c r="AR330" s="108"/>
      <c r="AS330" s="108"/>
      <c r="AT330" s="105"/>
      <c r="AU330" s="105"/>
      <c r="AV330" s="105"/>
      <c r="AW330" s="105"/>
      <c r="AX330" s="105"/>
      <c r="AY330" s="105"/>
      <c r="AZ330" s="105"/>
      <c r="BA330" s="105"/>
      <c r="BB330" s="105"/>
      <c r="BC330" s="105"/>
      <c r="BD330" s="108"/>
      <c r="BE330" s="83">
        <f>IF($A330="","",IF(TRIM($D330&amp;"")="",IF(TRIM($AX330&amp;$AY330&amp;$AZ330&amp;$BA330&amp;$BB330&amp;$BC330&amp;$BD330&amp;"")="","","SUBARRENDADO"),IFERROR(IF(VLOOKUP($D330,VEHICULOS!$A$3:$H$202,7,FALSE)="","",VLOOKUP($D330,VEHICULOS!$A$3:$H$202,7,FALSE)),"")))</f>
      </c>
      <c r="BF330" s="82">
        <f>IF($A330="","",IF(TRIM($BC330&amp;"")&lt;&gt;"",$BC330,IF(TRIM($D330&amp;"")="","",IFERROR(IF(VLOOKUP($D330,VEHICULOS!$A$3:$H$202,8,FALSE)="","",VLOOKUP($D330,VEHICULOS!$A$3:$H$202,8,FALSE)),""))))</f>
      </c>
      <c r="BG330" s="106"/>
      <c r="BH330" s="107"/>
      <c r="BI330" s="86">
        <f t="shared" si="75"/>
      </c>
      <c r="BJ330" s="83">
        <f t="shared" si="76"/>
      </c>
      <c r="BK330" s="85">
        <f t="shared" si="77"/>
      </c>
      <c r="BL330" s="85">
        <f t="shared" si="78"/>
      </c>
      <c r="BM330" s="108"/>
      <c r="BN330" s="85">
        <f t="shared" si="79"/>
      </c>
      <c r="BO330" s="108"/>
      <c r="BP330" s="85">
        <f t="shared" si="80"/>
      </c>
      <c r="BQ330" s="85">
        <f t="shared" si="81"/>
      </c>
      <c r="BR330" s="108"/>
      <c r="BS330" s="104"/>
      <c r="BT330" s="87">
        <f t="shared" si="82"/>
      </c>
      <c r="BU330" s="85">
        <f t="shared" si="83"/>
      </c>
      <c r="BV330" s="85">
        <f t="shared" si="84"/>
      </c>
      <c r="BW330" s="87">
        <f t="shared" si="85"/>
      </c>
      <c r="BX330" s="104"/>
      <c r="BY330" s="106"/>
      <c r="BZ330" s="104"/>
      <c r="CA330" s="105"/>
      <c r="CB330" s="77">
        <f>IF($A330="",0,IF($B330='FICHA CLIENTE'!$C$4,1,0))</f>
      </c>
      <c r="CC330" s="77">
        <f t="shared" si="86"/>
      </c>
      <c r="CD330" s="77">
        <f>IF($A330="",0,IF($D330='FICHA VEHICULO'!$C$4,1,0))</f>
      </c>
      <c r="CE330" s="77">
        <f t="shared" si="87"/>
      </c>
      <c r="CF330" s="77">
        <f t="shared" si="88"/>
      </c>
      <c r="CG330" s="77">
        <f t="shared" si="89"/>
      </c>
    </row>
    <row r="331" spans="1:85" ht="19.5" customHeight="1" x14ac:dyDescent="0.2">
      <c r="A331" s="104"/>
      <c r="B331" s="104"/>
      <c r="C331" s="105"/>
      <c r="D331" s="104"/>
      <c r="E331" s="105"/>
      <c r="F331" s="106"/>
      <c r="G331" s="104"/>
      <c r="H331" s="106"/>
      <c r="I331" s="107"/>
      <c r="J331" s="108"/>
      <c r="K331" s="108"/>
      <c r="L331" s="108"/>
      <c r="M331" s="105"/>
      <c r="N331" s="105"/>
      <c r="O331" s="105"/>
      <c r="P331" s="108"/>
      <c r="Q331" s="105"/>
      <c r="R331" s="105"/>
      <c r="S331" s="105"/>
      <c r="T331" s="105"/>
      <c r="U331" s="108"/>
      <c r="V331" s="105"/>
      <c r="W331" s="105"/>
      <c r="X331" s="105"/>
      <c r="Y331" s="105"/>
      <c r="Z331" s="105"/>
      <c r="AA331" s="108"/>
      <c r="AB331" s="108"/>
      <c r="AC331" s="105"/>
      <c r="AD331" s="279"/>
      <c r="AE331" s="105"/>
      <c r="AF331" s="279"/>
      <c r="AG331" s="105"/>
      <c r="AH331" s="108"/>
      <c r="AI331" s="108"/>
      <c r="AJ331" s="108"/>
      <c r="AK331" s="108"/>
      <c r="AL331" s="105"/>
      <c r="AM331" s="108"/>
      <c r="AN331" s="105"/>
      <c r="AO331" s="108"/>
      <c r="AP331" s="108"/>
      <c r="AQ331" s="105"/>
      <c r="AR331" s="108"/>
      <c r="AS331" s="108"/>
      <c r="AT331" s="105"/>
      <c r="AU331" s="105"/>
      <c r="AV331" s="105"/>
      <c r="AW331" s="105"/>
      <c r="AX331" s="105"/>
      <c r="AY331" s="105"/>
      <c r="AZ331" s="105"/>
      <c r="BA331" s="105"/>
      <c r="BB331" s="105"/>
      <c r="BC331" s="105"/>
      <c r="BD331" s="108"/>
      <c r="BE331" s="83">
        <f>IF($A331="","",IF(TRIM($D331&amp;"")="",IF(TRIM($AX331&amp;$AY331&amp;$AZ331&amp;$BA331&amp;$BB331&amp;$BC331&amp;$BD331&amp;"")="","","SUBARRENDADO"),IFERROR(IF(VLOOKUP($D331,VEHICULOS!$A$3:$H$202,7,FALSE)="","",VLOOKUP($D331,VEHICULOS!$A$3:$H$202,7,FALSE)),"")))</f>
      </c>
      <c r="BF331" s="82">
        <f>IF($A331="","",IF(TRIM($BC331&amp;"")&lt;&gt;"",$BC331,IF(TRIM($D331&amp;"")="","",IFERROR(IF(VLOOKUP($D331,VEHICULOS!$A$3:$H$202,8,FALSE)="","",VLOOKUP($D331,VEHICULOS!$A$3:$H$202,8,FALSE)),""))))</f>
      </c>
      <c r="BG331" s="106"/>
      <c r="BH331" s="107"/>
      <c r="BI331" s="86">
        <f t="shared" si="75"/>
      </c>
      <c r="BJ331" s="83">
        <f t="shared" si="76"/>
      </c>
      <c r="BK331" s="85">
        <f t="shared" si="77"/>
      </c>
      <c r="BL331" s="85">
        <f t="shared" si="78"/>
      </c>
      <c r="BM331" s="108"/>
      <c r="BN331" s="85">
        <f t="shared" si="79"/>
      </c>
      <c r="BO331" s="108"/>
      <c r="BP331" s="85">
        <f t="shared" si="80"/>
      </c>
      <c r="BQ331" s="85">
        <f t="shared" si="81"/>
      </c>
      <c r="BR331" s="108"/>
      <c r="BS331" s="104"/>
      <c r="BT331" s="87">
        <f t="shared" si="82"/>
      </c>
      <c r="BU331" s="85">
        <f t="shared" si="83"/>
      </c>
      <c r="BV331" s="85">
        <f t="shared" si="84"/>
      </c>
      <c r="BW331" s="87">
        <f t="shared" si="85"/>
      </c>
      <c r="BX331" s="104"/>
      <c r="BY331" s="106"/>
      <c r="BZ331" s="104"/>
      <c r="CA331" s="105"/>
      <c r="CB331" s="77">
        <f>IF($A331="",0,IF($B331='FICHA CLIENTE'!$C$4,1,0))</f>
      </c>
      <c r="CC331" s="77">
        <f t="shared" si="86"/>
      </c>
      <c r="CD331" s="77">
        <f>IF($A331="",0,IF($D331='FICHA VEHICULO'!$C$4,1,0))</f>
      </c>
      <c r="CE331" s="77">
        <f t="shared" si="87"/>
      </c>
      <c r="CF331" s="77">
        <f t="shared" si="88"/>
      </c>
      <c r="CG331" s="77">
        <f t="shared" si="89"/>
      </c>
    </row>
    <row r="332" spans="1:85" ht="19.5" customHeight="1" x14ac:dyDescent="0.2">
      <c r="A332" s="104"/>
      <c r="B332" s="104"/>
      <c r="C332" s="105"/>
      <c r="D332" s="104"/>
      <c r="E332" s="105"/>
      <c r="F332" s="106"/>
      <c r="G332" s="104"/>
      <c r="H332" s="106"/>
      <c r="I332" s="107"/>
      <c r="J332" s="108"/>
      <c r="K332" s="108"/>
      <c r="L332" s="108"/>
      <c r="M332" s="105"/>
      <c r="N332" s="105"/>
      <c r="O332" s="105"/>
      <c r="P332" s="108"/>
      <c r="Q332" s="105"/>
      <c r="R332" s="105"/>
      <c r="S332" s="105"/>
      <c r="T332" s="105"/>
      <c r="U332" s="108"/>
      <c r="V332" s="105"/>
      <c r="W332" s="105"/>
      <c r="X332" s="105"/>
      <c r="Y332" s="105"/>
      <c r="Z332" s="105"/>
      <c r="AA332" s="108"/>
      <c r="AB332" s="108"/>
      <c r="AC332" s="105"/>
      <c r="AD332" s="279"/>
      <c r="AE332" s="105"/>
      <c r="AF332" s="279"/>
      <c r="AG332" s="105"/>
      <c r="AH332" s="108"/>
      <c r="AI332" s="108"/>
      <c r="AJ332" s="108"/>
      <c r="AK332" s="108"/>
      <c r="AL332" s="105"/>
      <c r="AM332" s="108"/>
      <c r="AN332" s="105"/>
      <c r="AO332" s="108"/>
      <c r="AP332" s="108"/>
      <c r="AQ332" s="105"/>
      <c r="AR332" s="108"/>
      <c r="AS332" s="108"/>
      <c r="AT332" s="105"/>
      <c r="AU332" s="105"/>
      <c r="AV332" s="105"/>
      <c r="AW332" s="105"/>
      <c r="AX332" s="105"/>
      <c r="AY332" s="105"/>
      <c r="AZ332" s="105"/>
      <c r="BA332" s="105"/>
      <c r="BB332" s="105"/>
      <c r="BC332" s="105"/>
      <c r="BD332" s="108"/>
      <c r="BE332" s="83">
        <f>IF($A332="","",IF(TRIM($D332&amp;"")="",IF(TRIM($AX332&amp;$AY332&amp;$AZ332&amp;$BA332&amp;$BB332&amp;$BC332&amp;$BD332&amp;"")="","","SUBARRENDADO"),IFERROR(IF(VLOOKUP($D332,VEHICULOS!$A$3:$H$202,7,FALSE)="","",VLOOKUP($D332,VEHICULOS!$A$3:$H$202,7,FALSE)),"")))</f>
      </c>
      <c r="BF332" s="82">
        <f>IF($A332="","",IF(TRIM($BC332&amp;"")&lt;&gt;"",$BC332,IF(TRIM($D332&amp;"")="","",IFERROR(IF(VLOOKUP($D332,VEHICULOS!$A$3:$H$202,8,FALSE)="","",VLOOKUP($D332,VEHICULOS!$A$3:$H$202,8,FALSE)),""))))</f>
      </c>
      <c r="BG332" s="106"/>
      <c r="BH332" s="107"/>
      <c r="BI332" s="86">
        <f t="shared" si="75"/>
      </c>
      <c r="BJ332" s="83">
        <f t="shared" si="76"/>
      </c>
      <c r="BK332" s="85">
        <f t="shared" si="77"/>
      </c>
      <c r="BL332" s="85">
        <f t="shared" si="78"/>
      </c>
      <c r="BM332" s="108"/>
      <c r="BN332" s="85">
        <f t="shared" si="79"/>
      </c>
      <c r="BO332" s="108"/>
      <c r="BP332" s="85">
        <f t="shared" si="80"/>
      </c>
      <c r="BQ332" s="85">
        <f t="shared" si="81"/>
      </c>
      <c r="BR332" s="108"/>
      <c r="BS332" s="104"/>
      <c r="BT332" s="87">
        <f t="shared" si="82"/>
      </c>
      <c r="BU332" s="85">
        <f t="shared" si="83"/>
      </c>
      <c r="BV332" s="85">
        <f t="shared" si="84"/>
      </c>
      <c r="BW332" s="87">
        <f t="shared" si="85"/>
      </c>
      <c r="BX332" s="104"/>
      <c r="BY332" s="106"/>
      <c r="BZ332" s="104"/>
      <c r="CA332" s="105"/>
      <c r="CB332" s="77">
        <f>IF($A332="",0,IF($B332='FICHA CLIENTE'!$C$4,1,0))</f>
      </c>
      <c r="CC332" s="77">
        <f t="shared" si="86"/>
      </c>
      <c r="CD332" s="77">
        <f>IF($A332="",0,IF($D332='FICHA VEHICULO'!$C$4,1,0))</f>
      </c>
      <c r="CE332" s="77">
        <f t="shared" si="87"/>
      </c>
      <c r="CF332" s="77">
        <f t="shared" si="88"/>
      </c>
      <c r="CG332" s="77">
        <f t="shared" si="89"/>
      </c>
    </row>
    <row r="333" spans="1:85" ht="19.5" customHeight="1" x14ac:dyDescent="0.2">
      <c r="A333" s="104"/>
      <c r="B333" s="104"/>
      <c r="C333" s="105"/>
      <c r="D333" s="104"/>
      <c r="E333" s="105"/>
      <c r="F333" s="106"/>
      <c r="G333" s="104"/>
      <c r="H333" s="106"/>
      <c r="I333" s="107"/>
      <c r="J333" s="108"/>
      <c r="K333" s="108"/>
      <c r="L333" s="108"/>
      <c r="M333" s="105"/>
      <c r="N333" s="105"/>
      <c r="O333" s="105"/>
      <c r="P333" s="108"/>
      <c r="Q333" s="105"/>
      <c r="R333" s="105"/>
      <c r="S333" s="105"/>
      <c r="T333" s="105"/>
      <c r="U333" s="108"/>
      <c r="V333" s="105"/>
      <c r="W333" s="105"/>
      <c r="X333" s="105"/>
      <c r="Y333" s="105"/>
      <c r="Z333" s="105"/>
      <c r="AA333" s="108"/>
      <c r="AB333" s="108"/>
      <c r="AC333" s="105"/>
      <c r="AD333" s="279"/>
      <c r="AE333" s="105"/>
      <c r="AF333" s="279"/>
      <c r="AG333" s="105"/>
      <c r="AH333" s="108"/>
      <c r="AI333" s="108"/>
      <c r="AJ333" s="108"/>
      <c r="AK333" s="108"/>
      <c r="AL333" s="105"/>
      <c r="AM333" s="108"/>
      <c r="AN333" s="105"/>
      <c r="AO333" s="108"/>
      <c r="AP333" s="108"/>
      <c r="AQ333" s="105"/>
      <c r="AR333" s="108"/>
      <c r="AS333" s="108"/>
      <c r="AT333" s="105"/>
      <c r="AU333" s="105"/>
      <c r="AV333" s="105"/>
      <c r="AW333" s="105"/>
      <c r="AX333" s="105"/>
      <c r="AY333" s="105"/>
      <c r="AZ333" s="105"/>
      <c r="BA333" s="105"/>
      <c r="BB333" s="105"/>
      <c r="BC333" s="105"/>
      <c r="BD333" s="108"/>
      <c r="BE333" s="83">
        <f>IF($A333="","",IF(TRIM($D333&amp;"")="",IF(TRIM($AX333&amp;$AY333&amp;$AZ333&amp;$BA333&amp;$BB333&amp;$BC333&amp;$BD333&amp;"")="","","SUBARRENDADO"),IFERROR(IF(VLOOKUP($D333,VEHICULOS!$A$3:$H$202,7,FALSE)="","",VLOOKUP($D333,VEHICULOS!$A$3:$H$202,7,FALSE)),"")))</f>
      </c>
      <c r="BF333" s="82">
        <f>IF($A333="","",IF(TRIM($BC333&amp;"")&lt;&gt;"",$BC333,IF(TRIM($D333&amp;"")="","",IFERROR(IF(VLOOKUP($D333,VEHICULOS!$A$3:$H$202,8,FALSE)="","",VLOOKUP($D333,VEHICULOS!$A$3:$H$202,8,FALSE)),""))))</f>
      </c>
      <c r="BG333" s="106"/>
      <c r="BH333" s="107"/>
      <c r="BI333" s="86">
        <f t="shared" si="75"/>
      </c>
      <c r="BJ333" s="83">
        <f t="shared" si="76"/>
      </c>
      <c r="BK333" s="85">
        <f t="shared" si="77"/>
      </c>
      <c r="BL333" s="85">
        <f t="shared" si="78"/>
      </c>
      <c r="BM333" s="108"/>
      <c r="BN333" s="85">
        <f t="shared" si="79"/>
      </c>
      <c r="BO333" s="108"/>
      <c r="BP333" s="85">
        <f t="shared" si="80"/>
      </c>
      <c r="BQ333" s="85">
        <f t="shared" si="81"/>
      </c>
      <c r="BR333" s="108"/>
      <c r="BS333" s="104"/>
      <c r="BT333" s="87">
        <f t="shared" si="82"/>
      </c>
      <c r="BU333" s="85">
        <f t="shared" si="83"/>
      </c>
      <c r="BV333" s="85">
        <f t="shared" si="84"/>
      </c>
      <c r="BW333" s="87">
        <f t="shared" si="85"/>
      </c>
      <c r="BX333" s="104"/>
      <c r="BY333" s="106"/>
      <c r="BZ333" s="104"/>
      <c r="CA333" s="105"/>
      <c r="CB333" s="77">
        <f>IF($A333="",0,IF($B333='FICHA CLIENTE'!$C$4,1,0))</f>
      </c>
      <c r="CC333" s="77">
        <f t="shared" si="86"/>
      </c>
      <c r="CD333" s="77">
        <f>IF($A333="",0,IF($D333='FICHA VEHICULO'!$C$4,1,0))</f>
      </c>
      <c r="CE333" s="77">
        <f t="shared" si="87"/>
      </c>
      <c r="CF333" s="77">
        <f t="shared" si="88"/>
      </c>
      <c r="CG333" s="77">
        <f t="shared" si="89"/>
      </c>
    </row>
    <row r="334" spans="1:85" ht="19.5" customHeight="1" x14ac:dyDescent="0.2">
      <c r="A334" s="104"/>
      <c r="B334" s="104"/>
      <c r="C334" s="105"/>
      <c r="D334" s="104"/>
      <c r="E334" s="105"/>
      <c r="F334" s="106"/>
      <c r="G334" s="104"/>
      <c r="H334" s="106"/>
      <c r="I334" s="107"/>
      <c r="J334" s="108"/>
      <c r="K334" s="108"/>
      <c r="L334" s="108"/>
      <c r="M334" s="105"/>
      <c r="N334" s="105"/>
      <c r="O334" s="105"/>
      <c r="P334" s="108"/>
      <c r="Q334" s="105"/>
      <c r="R334" s="105"/>
      <c r="S334" s="105"/>
      <c r="T334" s="105"/>
      <c r="U334" s="108"/>
      <c r="V334" s="105"/>
      <c r="W334" s="105"/>
      <c r="X334" s="105"/>
      <c r="Y334" s="105"/>
      <c r="Z334" s="105"/>
      <c r="AA334" s="108"/>
      <c r="AB334" s="108"/>
      <c r="AC334" s="105"/>
      <c r="AD334" s="279"/>
      <c r="AE334" s="105"/>
      <c r="AF334" s="279"/>
      <c r="AG334" s="105"/>
      <c r="AH334" s="108"/>
      <c r="AI334" s="108"/>
      <c r="AJ334" s="108"/>
      <c r="AK334" s="108"/>
      <c r="AL334" s="105"/>
      <c r="AM334" s="108"/>
      <c r="AN334" s="105"/>
      <c r="AO334" s="108"/>
      <c r="AP334" s="108"/>
      <c r="AQ334" s="105"/>
      <c r="AR334" s="108"/>
      <c r="AS334" s="108"/>
      <c r="AT334" s="105"/>
      <c r="AU334" s="105"/>
      <c r="AV334" s="105"/>
      <c r="AW334" s="105"/>
      <c r="AX334" s="105"/>
      <c r="AY334" s="105"/>
      <c r="AZ334" s="105"/>
      <c r="BA334" s="105"/>
      <c r="BB334" s="105"/>
      <c r="BC334" s="105"/>
      <c r="BD334" s="108"/>
      <c r="BE334" s="83">
        <f>IF($A334="","",IF(TRIM($D334&amp;"")="",IF(TRIM($AX334&amp;$AY334&amp;$AZ334&amp;$BA334&amp;$BB334&amp;$BC334&amp;$BD334&amp;"")="","","SUBARRENDADO"),IFERROR(IF(VLOOKUP($D334,VEHICULOS!$A$3:$H$202,7,FALSE)="","",VLOOKUP($D334,VEHICULOS!$A$3:$H$202,7,FALSE)),"")))</f>
      </c>
      <c r="BF334" s="82">
        <f>IF($A334="","",IF(TRIM($BC334&amp;"")&lt;&gt;"",$BC334,IF(TRIM($D334&amp;"")="","",IFERROR(IF(VLOOKUP($D334,VEHICULOS!$A$3:$H$202,8,FALSE)="","",VLOOKUP($D334,VEHICULOS!$A$3:$H$202,8,FALSE)),""))))</f>
      </c>
      <c r="BG334" s="106"/>
      <c r="BH334" s="107"/>
      <c r="BI334" s="86">
        <f t="shared" si="75"/>
      </c>
      <c r="BJ334" s="83">
        <f t="shared" si="76"/>
      </c>
      <c r="BK334" s="85">
        <f t="shared" si="77"/>
      </c>
      <c r="BL334" s="85">
        <f t="shared" si="78"/>
      </c>
      <c r="BM334" s="108"/>
      <c r="BN334" s="85">
        <f t="shared" si="79"/>
      </c>
      <c r="BO334" s="108"/>
      <c r="BP334" s="85">
        <f t="shared" si="80"/>
      </c>
      <c r="BQ334" s="85">
        <f t="shared" si="81"/>
      </c>
      <c r="BR334" s="108"/>
      <c r="BS334" s="104"/>
      <c r="BT334" s="87">
        <f t="shared" si="82"/>
      </c>
      <c r="BU334" s="85">
        <f t="shared" si="83"/>
      </c>
      <c r="BV334" s="85">
        <f t="shared" si="84"/>
      </c>
      <c r="BW334" s="87">
        <f t="shared" si="85"/>
      </c>
      <c r="BX334" s="104"/>
      <c r="BY334" s="106"/>
      <c r="BZ334" s="104"/>
      <c r="CA334" s="105"/>
      <c r="CB334" s="77">
        <f>IF($A334="",0,IF($B334='FICHA CLIENTE'!$C$4,1,0))</f>
      </c>
      <c r="CC334" s="77">
        <f t="shared" si="86"/>
      </c>
      <c r="CD334" s="77">
        <f>IF($A334="",0,IF($D334='FICHA VEHICULO'!$C$4,1,0))</f>
      </c>
      <c r="CE334" s="77">
        <f t="shared" si="87"/>
      </c>
      <c r="CF334" s="77">
        <f t="shared" si="88"/>
      </c>
      <c r="CG334" s="77">
        <f t="shared" si="89"/>
      </c>
    </row>
    <row r="335" spans="1:85" ht="19.5" customHeight="1" x14ac:dyDescent="0.2">
      <c r="A335" s="104"/>
      <c r="B335" s="104"/>
      <c r="C335" s="105"/>
      <c r="D335" s="104"/>
      <c r="E335" s="105"/>
      <c r="F335" s="106"/>
      <c r="G335" s="104"/>
      <c r="H335" s="106"/>
      <c r="I335" s="107"/>
      <c r="J335" s="108"/>
      <c r="K335" s="108"/>
      <c r="L335" s="108"/>
      <c r="M335" s="105"/>
      <c r="N335" s="105"/>
      <c r="O335" s="105"/>
      <c r="P335" s="108"/>
      <c r="Q335" s="105"/>
      <c r="R335" s="105"/>
      <c r="S335" s="105"/>
      <c r="T335" s="105"/>
      <c r="U335" s="108"/>
      <c r="V335" s="105"/>
      <c r="W335" s="105"/>
      <c r="X335" s="105"/>
      <c r="Y335" s="105"/>
      <c r="Z335" s="105"/>
      <c r="AA335" s="108"/>
      <c r="AB335" s="108"/>
      <c r="AC335" s="105"/>
      <c r="AD335" s="279"/>
      <c r="AE335" s="105"/>
      <c r="AF335" s="279"/>
      <c r="AG335" s="105"/>
      <c r="AH335" s="108"/>
      <c r="AI335" s="108"/>
      <c r="AJ335" s="108"/>
      <c r="AK335" s="108"/>
      <c r="AL335" s="105"/>
      <c r="AM335" s="108"/>
      <c r="AN335" s="105"/>
      <c r="AO335" s="108"/>
      <c r="AP335" s="108"/>
      <c r="AQ335" s="105"/>
      <c r="AR335" s="108"/>
      <c r="AS335" s="108"/>
      <c r="AT335" s="105"/>
      <c r="AU335" s="105"/>
      <c r="AV335" s="105"/>
      <c r="AW335" s="105"/>
      <c r="AX335" s="105"/>
      <c r="AY335" s="105"/>
      <c r="AZ335" s="105"/>
      <c r="BA335" s="105"/>
      <c r="BB335" s="105"/>
      <c r="BC335" s="105"/>
      <c r="BD335" s="108"/>
      <c r="BE335" s="83">
        <f>IF($A335="","",IF(TRIM($D335&amp;"")="",IF(TRIM($AX335&amp;$AY335&amp;$AZ335&amp;$BA335&amp;$BB335&amp;$BC335&amp;$BD335&amp;"")="","","SUBARRENDADO"),IFERROR(IF(VLOOKUP($D335,VEHICULOS!$A$3:$H$202,7,FALSE)="","",VLOOKUP($D335,VEHICULOS!$A$3:$H$202,7,FALSE)),"")))</f>
      </c>
      <c r="BF335" s="82">
        <f>IF($A335="","",IF(TRIM($BC335&amp;"")&lt;&gt;"",$BC335,IF(TRIM($D335&amp;"")="","",IFERROR(IF(VLOOKUP($D335,VEHICULOS!$A$3:$H$202,8,FALSE)="","",VLOOKUP($D335,VEHICULOS!$A$3:$H$202,8,FALSE)),""))))</f>
      </c>
      <c r="BG335" s="106"/>
      <c r="BH335" s="107"/>
      <c r="BI335" s="86">
        <f t="shared" si="75"/>
      </c>
      <c r="BJ335" s="83">
        <f t="shared" si="76"/>
      </c>
      <c r="BK335" s="85">
        <f t="shared" si="77"/>
      </c>
      <c r="BL335" s="85">
        <f t="shared" si="78"/>
      </c>
      <c r="BM335" s="108"/>
      <c r="BN335" s="85">
        <f t="shared" si="79"/>
      </c>
      <c r="BO335" s="108"/>
      <c r="BP335" s="85">
        <f t="shared" si="80"/>
      </c>
      <c r="BQ335" s="85">
        <f t="shared" si="81"/>
      </c>
      <c r="BR335" s="108"/>
      <c r="BS335" s="104"/>
      <c r="BT335" s="87">
        <f t="shared" si="82"/>
      </c>
      <c r="BU335" s="85">
        <f t="shared" si="83"/>
      </c>
      <c r="BV335" s="85">
        <f t="shared" si="84"/>
      </c>
      <c r="BW335" s="87">
        <f t="shared" si="85"/>
      </c>
      <c r="BX335" s="104"/>
      <c r="BY335" s="106"/>
      <c r="BZ335" s="104"/>
      <c r="CA335" s="105"/>
      <c r="CB335" s="77">
        <f>IF($A335="",0,IF($B335='FICHA CLIENTE'!$C$4,1,0))</f>
      </c>
      <c r="CC335" s="77">
        <f t="shared" si="86"/>
      </c>
      <c r="CD335" s="77">
        <f>IF($A335="",0,IF($D335='FICHA VEHICULO'!$C$4,1,0))</f>
      </c>
      <c r="CE335" s="77">
        <f t="shared" si="87"/>
      </c>
      <c r="CF335" s="77">
        <f t="shared" si="88"/>
      </c>
      <c r="CG335" s="77">
        <f t="shared" si="89"/>
      </c>
    </row>
    <row r="336" spans="1:85" ht="19.5" customHeight="1" x14ac:dyDescent="0.2">
      <c r="A336" s="104"/>
      <c r="B336" s="104"/>
      <c r="C336" s="105"/>
      <c r="D336" s="104"/>
      <c r="E336" s="105"/>
      <c r="F336" s="106"/>
      <c r="G336" s="104"/>
      <c r="H336" s="106"/>
      <c r="I336" s="107"/>
      <c r="J336" s="108"/>
      <c r="K336" s="108"/>
      <c r="L336" s="108"/>
      <c r="M336" s="105"/>
      <c r="N336" s="105"/>
      <c r="O336" s="105"/>
      <c r="P336" s="108"/>
      <c r="Q336" s="105"/>
      <c r="R336" s="105"/>
      <c r="S336" s="105"/>
      <c r="T336" s="105"/>
      <c r="U336" s="108"/>
      <c r="V336" s="105"/>
      <c r="W336" s="105"/>
      <c r="X336" s="105"/>
      <c r="Y336" s="105"/>
      <c r="Z336" s="105"/>
      <c r="AA336" s="108"/>
      <c r="AB336" s="108"/>
      <c r="AC336" s="105"/>
      <c r="AD336" s="279"/>
      <c r="AE336" s="105"/>
      <c r="AF336" s="279"/>
      <c r="AG336" s="105"/>
      <c r="AH336" s="108"/>
      <c r="AI336" s="108"/>
      <c r="AJ336" s="108"/>
      <c r="AK336" s="108"/>
      <c r="AL336" s="105"/>
      <c r="AM336" s="108"/>
      <c r="AN336" s="105"/>
      <c r="AO336" s="108"/>
      <c r="AP336" s="108"/>
      <c r="AQ336" s="105"/>
      <c r="AR336" s="108"/>
      <c r="AS336" s="108"/>
      <c r="AT336" s="105"/>
      <c r="AU336" s="105"/>
      <c r="AV336" s="105"/>
      <c r="AW336" s="105"/>
      <c r="AX336" s="105"/>
      <c r="AY336" s="105"/>
      <c r="AZ336" s="105"/>
      <c r="BA336" s="105"/>
      <c r="BB336" s="105"/>
      <c r="BC336" s="105"/>
      <c r="BD336" s="108"/>
      <c r="BE336" s="83">
        <f>IF($A336="","",IF(TRIM($D336&amp;"")="",IF(TRIM($AX336&amp;$AY336&amp;$AZ336&amp;$BA336&amp;$BB336&amp;$BC336&amp;$BD336&amp;"")="","","SUBARRENDADO"),IFERROR(IF(VLOOKUP($D336,VEHICULOS!$A$3:$H$202,7,FALSE)="","",VLOOKUP($D336,VEHICULOS!$A$3:$H$202,7,FALSE)),"")))</f>
      </c>
      <c r="BF336" s="82">
        <f>IF($A336="","",IF(TRIM($BC336&amp;"")&lt;&gt;"",$BC336,IF(TRIM($D336&amp;"")="","",IFERROR(IF(VLOOKUP($D336,VEHICULOS!$A$3:$H$202,8,FALSE)="","",VLOOKUP($D336,VEHICULOS!$A$3:$H$202,8,FALSE)),""))))</f>
      </c>
      <c r="BG336" s="106"/>
      <c r="BH336" s="107"/>
      <c r="BI336" s="86">
        <f t="shared" si="75"/>
      </c>
      <c r="BJ336" s="83">
        <f t="shared" si="76"/>
      </c>
      <c r="BK336" s="85">
        <f t="shared" si="77"/>
      </c>
      <c r="BL336" s="85">
        <f t="shared" si="78"/>
      </c>
      <c r="BM336" s="108"/>
      <c r="BN336" s="85">
        <f t="shared" si="79"/>
      </c>
      <c r="BO336" s="108"/>
      <c r="BP336" s="85">
        <f t="shared" si="80"/>
      </c>
      <c r="BQ336" s="85">
        <f t="shared" si="81"/>
      </c>
      <c r="BR336" s="108"/>
      <c r="BS336" s="104"/>
      <c r="BT336" s="87">
        <f t="shared" si="82"/>
      </c>
      <c r="BU336" s="85">
        <f t="shared" si="83"/>
      </c>
      <c r="BV336" s="85">
        <f t="shared" si="84"/>
      </c>
      <c r="BW336" s="87">
        <f t="shared" si="85"/>
      </c>
      <c r="BX336" s="104"/>
      <c r="BY336" s="106"/>
      <c r="BZ336" s="104"/>
      <c r="CA336" s="105"/>
      <c r="CB336" s="77">
        <f>IF($A336="",0,IF($B336='FICHA CLIENTE'!$C$4,1,0))</f>
      </c>
      <c r="CC336" s="77">
        <f t="shared" si="86"/>
      </c>
      <c r="CD336" s="77">
        <f>IF($A336="",0,IF($D336='FICHA VEHICULO'!$C$4,1,0))</f>
      </c>
      <c r="CE336" s="77">
        <f t="shared" si="87"/>
      </c>
      <c r="CF336" s="77">
        <f t="shared" si="88"/>
      </c>
      <c r="CG336" s="77">
        <f t="shared" si="89"/>
      </c>
    </row>
    <row r="337" spans="1:85" ht="19.5" customHeight="1" x14ac:dyDescent="0.2">
      <c r="A337" s="104"/>
      <c r="B337" s="104"/>
      <c r="C337" s="105"/>
      <c r="D337" s="104"/>
      <c r="E337" s="105"/>
      <c r="F337" s="106"/>
      <c r="G337" s="104"/>
      <c r="H337" s="106"/>
      <c r="I337" s="107"/>
      <c r="J337" s="108"/>
      <c r="K337" s="108"/>
      <c r="L337" s="108"/>
      <c r="M337" s="105"/>
      <c r="N337" s="105"/>
      <c r="O337" s="105"/>
      <c r="P337" s="108"/>
      <c r="Q337" s="105"/>
      <c r="R337" s="105"/>
      <c r="S337" s="105"/>
      <c r="T337" s="105"/>
      <c r="U337" s="108"/>
      <c r="V337" s="105"/>
      <c r="W337" s="105"/>
      <c r="X337" s="105"/>
      <c r="Y337" s="105"/>
      <c r="Z337" s="105"/>
      <c r="AA337" s="108"/>
      <c r="AB337" s="108"/>
      <c r="AC337" s="105"/>
      <c r="AD337" s="279"/>
      <c r="AE337" s="105"/>
      <c r="AF337" s="279"/>
      <c r="AG337" s="105"/>
      <c r="AH337" s="108"/>
      <c r="AI337" s="108"/>
      <c r="AJ337" s="108"/>
      <c r="AK337" s="108"/>
      <c r="AL337" s="105"/>
      <c r="AM337" s="108"/>
      <c r="AN337" s="105"/>
      <c r="AO337" s="108"/>
      <c r="AP337" s="108"/>
      <c r="AQ337" s="105"/>
      <c r="AR337" s="108"/>
      <c r="AS337" s="108"/>
      <c r="AT337" s="105"/>
      <c r="AU337" s="105"/>
      <c r="AV337" s="105"/>
      <c r="AW337" s="105"/>
      <c r="AX337" s="105"/>
      <c r="AY337" s="105"/>
      <c r="AZ337" s="105"/>
      <c r="BA337" s="105"/>
      <c r="BB337" s="105"/>
      <c r="BC337" s="105"/>
      <c r="BD337" s="108"/>
      <c r="BE337" s="83">
        <f>IF($A337="","",IF(TRIM($D337&amp;"")="",IF(TRIM($AX337&amp;$AY337&amp;$AZ337&amp;$BA337&amp;$BB337&amp;$BC337&amp;$BD337&amp;"")="","","SUBARRENDADO"),IFERROR(IF(VLOOKUP($D337,VEHICULOS!$A$3:$H$202,7,FALSE)="","",VLOOKUP($D337,VEHICULOS!$A$3:$H$202,7,FALSE)),"")))</f>
      </c>
      <c r="BF337" s="82">
        <f>IF($A337="","",IF(TRIM($BC337&amp;"")&lt;&gt;"",$BC337,IF(TRIM($D337&amp;"")="","",IFERROR(IF(VLOOKUP($D337,VEHICULOS!$A$3:$H$202,8,FALSE)="","",VLOOKUP($D337,VEHICULOS!$A$3:$H$202,8,FALSE)),""))))</f>
      </c>
      <c r="BG337" s="106"/>
      <c r="BH337" s="107"/>
      <c r="BI337" s="86">
        <f t="shared" si="75"/>
      </c>
      <c r="BJ337" s="83">
        <f t="shared" si="76"/>
      </c>
      <c r="BK337" s="85">
        <f t="shared" si="77"/>
      </c>
      <c r="BL337" s="85">
        <f t="shared" si="78"/>
      </c>
      <c r="BM337" s="108"/>
      <c r="BN337" s="85">
        <f t="shared" si="79"/>
      </c>
      <c r="BO337" s="108"/>
      <c r="BP337" s="85">
        <f t="shared" si="80"/>
      </c>
      <c r="BQ337" s="85">
        <f t="shared" si="81"/>
      </c>
      <c r="BR337" s="108"/>
      <c r="BS337" s="104"/>
      <c r="BT337" s="87">
        <f t="shared" si="82"/>
      </c>
      <c r="BU337" s="85">
        <f t="shared" si="83"/>
      </c>
      <c r="BV337" s="85">
        <f t="shared" si="84"/>
      </c>
      <c r="BW337" s="87">
        <f t="shared" si="85"/>
      </c>
      <c r="BX337" s="104"/>
      <c r="BY337" s="106"/>
      <c r="BZ337" s="104"/>
      <c r="CA337" s="105"/>
      <c r="CB337" s="77">
        <f>IF($A337="",0,IF($B337='FICHA CLIENTE'!$C$4,1,0))</f>
      </c>
      <c r="CC337" s="77">
        <f t="shared" si="86"/>
      </c>
      <c r="CD337" s="77">
        <f>IF($A337="",0,IF($D337='FICHA VEHICULO'!$C$4,1,0))</f>
      </c>
      <c r="CE337" s="77">
        <f t="shared" si="87"/>
      </c>
      <c r="CF337" s="77">
        <f t="shared" si="88"/>
      </c>
      <c r="CG337" s="77">
        <f t="shared" si="89"/>
      </c>
    </row>
    <row r="338" spans="1:85" ht="19.5" customHeight="1" x14ac:dyDescent="0.2">
      <c r="A338" s="104"/>
      <c r="B338" s="104"/>
      <c r="C338" s="105"/>
      <c r="D338" s="104"/>
      <c r="E338" s="105"/>
      <c r="F338" s="106"/>
      <c r="G338" s="104"/>
      <c r="H338" s="106"/>
      <c r="I338" s="107"/>
      <c r="J338" s="108"/>
      <c r="K338" s="108"/>
      <c r="L338" s="108"/>
      <c r="M338" s="105"/>
      <c r="N338" s="105"/>
      <c r="O338" s="105"/>
      <c r="P338" s="108"/>
      <c r="Q338" s="105"/>
      <c r="R338" s="105"/>
      <c r="S338" s="105"/>
      <c r="T338" s="105"/>
      <c r="U338" s="108"/>
      <c r="V338" s="105"/>
      <c r="W338" s="105"/>
      <c r="X338" s="105"/>
      <c r="Y338" s="105"/>
      <c r="Z338" s="105"/>
      <c r="AA338" s="108"/>
      <c r="AB338" s="108"/>
      <c r="AC338" s="105"/>
      <c r="AD338" s="279"/>
      <c r="AE338" s="105"/>
      <c r="AF338" s="279"/>
      <c r="AG338" s="105"/>
      <c r="AH338" s="108"/>
      <c r="AI338" s="108"/>
      <c r="AJ338" s="108"/>
      <c r="AK338" s="108"/>
      <c r="AL338" s="105"/>
      <c r="AM338" s="108"/>
      <c r="AN338" s="105"/>
      <c r="AO338" s="108"/>
      <c r="AP338" s="108"/>
      <c r="AQ338" s="105"/>
      <c r="AR338" s="108"/>
      <c r="AS338" s="108"/>
      <c r="AT338" s="105"/>
      <c r="AU338" s="105"/>
      <c r="AV338" s="105"/>
      <c r="AW338" s="105"/>
      <c r="AX338" s="105"/>
      <c r="AY338" s="105"/>
      <c r="AZ338" s="105"/>
      <c r="BA338" s="105"/>
      <c r="BB338" s="105"/>
      <c r="BC338" s="105"/>
      <c r="BD338" s="108"/>
      <c r="BE338" s="83">
        <f>IF($A338="","",IF(TRIM($D338&amp;"")="",IF(TRIM($AX338&amp;$AY338&amp;$AZ338&amp;$BA338&amp;$BB338&amp;$BC338&amp;$BD338&amp;"")="","","SUBARRENDADO"),IFERROR(IF(VLOOKUP($D338,VEHICULOS!$A$3:$H$202,7,FALSE)="","",VLOOKUP($D338,VEHICULOS!$A$3:$H$202,7,FALSE)),"")))</f>
      </c>
      <c r="BF338" s="82">
        <f>IF($A338="","",IF(TRIM($BC338&amp;"")&lt;&gt;"",$BC338,IF(TRIM($D338&amp;"")="","",IFERROR(IF(VLOOKUP($D338,VEHICULOS!$A$3:$H$202,8,FALSE)="","",VLOOKUP($D338,VEHICULOS!$A$3:$H$202,8,FALSE)),""))))</f>
      </c>
      <c r="BG338" s="106"/>
      <c r="BH338" s="107"/>
      <c r="BI338" s="86">
        <f t="shared" si="75"/>
      </c>
      <c r="BJ338" s="83">
        <f t="shared" si="76"/>
      </c>
      <c r="BK338" s="85">
        <f t="shared" si="77"/>
      </c>
      <c r="BL338" s="85">
        <f t="shared" si="78"/>
      </c>
      <c r="BM338" s="108"/>
      <c r="BN338" s="85">
        <f t="shared" si="79"/>
      </c>
      <c r="BO338" s="108"/>
      <c r="BP338" s="85">
        <f t="shared" si="80"/>
      </c>
      <c r="BQ338" s="85">
        <f t="shared" si="81"/>
      </c>
      <c r="BR338" s="108"/>
      <c r="BS338" s="104"/>
      <c r="BT338" s="87">
        <f t="shared" si="82"/>
      </c>
      <c r="BU338" s="85">
        <f t="shared" si="83"/>
      </c>
      <c r="BV338" s="85">
        <f t="shared" si="84"/>
      </c>
      <c r="BW338" s="87">
        <f t="shared" si="85"/>
      </c>
      <c r="BX338" s="104"/>
      <c r="BY338" s="106"/>
      <c r="BZ338" s="104"/>
      <c r="CA338" s="105"/>
      <c r="CB338" s="77">
        <f>IF($A338="",0,IF($B338='FICHA CLIENTE'!$C$4,1,0))</f>
      </c>
      <c r="CC338" s="77">
        <f t="shared" si="86"/>
      </c>
      <c r="CD338" s="77">
        <f>IF($A338="",0,IF($D338='FICHA VEHICULO'!$C$4,1,0))</f>
      </c>
      <c r="CE338" s="77">
        <f t="shared" si="87"/>
      </c>
      <c r="CF338" s="77">
        <f t="shared" si="88"/>
      </c>
      <c r="CG338" s="77">
        <f t="shared" si="89"/>
      </c>
    </row>
    <row r="339" spans="1:85" ht="19.5" customHeight="1" x14ac:dyDescent="0.2">
      <c r="A339" s="104"/>
      <c r="B339" s="104"/>
      <c r="C339" s="105"/>
      <c r="D339" s="104"/>
      <c r="E339" s="105"/>
      <c r="F339" s="106"/>
      <c r="G339" s="104"/>
      <c r="H339" s="106"/>
      <c r="I339" s="107"/>
      <c r="J339" s="108"/>
      <c r="K339" s="108"/>
      <c r="L339" s="108"/>
      <c r="M339" s="105"/>
      <c r="N339" s="105"/>
      <c r="O339" s="105"/>
      <c r="P339" s="108"/>
      <c r="Q339" s="105"/>
      <c r="R339" s="105"/>
      <c r="S339" s="105"/>
      <c r="T339" s="105"/>
      <c r="U339" s="108"/>
      <c r="V339" s="105"/>
      <c r="W339" s="105"/>
      <c r="X339" s="105"/>
      <c r="Y339" s="105"/>
      <c r="Z339" s="105"/>
      <c r="AA339" s="108"/>
      <c r="AB339" s="108"/>
      <c r="AC339" s="105"/>
      <c r="AD339" s="279"/>
      <c r="AE339" s="105"/>
      <c r="AF339" s="279"/>
      <c r="AG339" s="105"/>
      <c r="AH339" s="108"/>
      <c r="AI339" s="108"/>
      <c r="AJ339" s="108"/>
      <c r="AK339" s="108"/>
      <c r="AL339" s="105"/>
      <c r="AM339" s="108"/>
      <c r="AN339" s="105"/>
      <c r="AO339" s="108"/>
      <c r="AP339" s="108"/>
      <c r="AQ339" s="105"/>
      <c r="AR339" s="108"/>
      <c r="AS339" s="108"/>
      <c r="AT339" s="105"/>
      <c r="AU339" s="105"/>
      <c r="AV339" s="105"/>
      <c r="AW339" s="105"/>
      <c r="AX339" s="105"/>
      <c r="AY339" s="105"/>
      <c r="AZ339" s="105"/>
      <c r="BA339" s="105"/>
      <c r="BB339" s="105"/>
      <c r="BC339" s="105"/>
      <c r="BD339" s="108"/>
      <c r="BE339" s="83">
        <f>IF($A339="","",IF(TRIM($D339&amp;"")="",IF(TRIM($AX339&amp;$AY339&amp;$AZ339&amp;$BA339&amp;$BB339&amp;$BC339&amp;$BD339&amp;"")="","","SUBARRENDADO"),IFERROR(IF(VLOOKUP($D339,VEHICULOS!$A$3:$H$202,7,FALSE)="","",VLOOKUP($D339,VEHICULOS!$A$3:$H$202,7,FALSE)),"")))</f>
      </c>
      <c r="BF339" s="82">
        <f>IF($A339="","",IF(TRIM($BC339&amp;"")&lt;&gt;"",$BC339,IF(TRIM($D339&amp;"")="","",IFERROR(IF(VLOOKUP($D339,VEHICULOS!$A$3:$H$202,8,FALSE)="","",VLOOKUP($D339,VEHICULOS!$A$3:$H$202,8,FALSE)),""))))</f>
      </c>
      <c r="BG339" s="106"/>
      <c r="BH339" s="107"/>
      <c r="BI339" s="86">
        <f t="shared" si="75"/>
      </c>
      <c r="BJ339" s="83">
        <f t="shared" si="76"/>
      </c>
      <c r="BK339" s="85">
        <f t="shared" si="77"/>
      </c>
      <c r="BL339" s="85">
        <f t="shared" si="78"/>
      </c>
      <c r="BM339" s="108"/>
      <c r="BN339" s="85">
        <f t="shared" si="79"/>
      </c>
      <c r="BO339" s="108"/>
      <c r="BP339" s="85">
        <f t="shared" si="80"/>
      </c>
      <c r="BQ339" s="85">
        <f t="shared" si="81"/>
      </c>
      <c r="BR339" s="108"/>
      <c r="BS339" s="104"/>
      <c r="BT339" s="87">
        <f t="shared" si="82"/>
      </c>
      <c r="BU339" s="85">
        <f t="shared" si="83"/>
      </c>
      <c r="BV339" s="85">
        <f t="shared" si="84"/>
      </c>
      <c r="BW339" s="87">
        <f t="shared" si="85"/>
      </c>
      <c r="BX339" s="104"/>
      <c r="BY339" s="106"/>
      <c r="BZ339" s="104"/>
      <c r="CA339" s="105"/>
      <c r="CB339" s="77">
        <f>IF($A339="",0,IF($B339='FICHA CLIENTE'!$C$4,1,0))</f>
      </c>
      <c r="CC339" s="77">
        <f t="shared" si="86"/>
      </c>
      <c r="CD339" s="77">
        <f>IF($A339="",0,IF($D339='FICHA VEHICULO'!$C$4,1,0))</f>
      </c>
      <c r="CE339" s="77">
        <f t="shared" si="87"/>
      </c>
      <c r="CF339" s="77">
        <f t="shared" si="88"/>
      </c>
      <c r="CG339" s="77">
        <f t="shared" si="89"/>
      </c>
    </row>
    <row r="340" spans="1:85" ht="19.5" customHeight="1" x14ac:dyDescent="0.2">
      <c r="A340" s="104"/>
      <c r="B340" s="104"/>
      <c r="C340" s="105"/>
      <c r="D340" s="104"/>
      <c r="E340" s="105"/>
      <c r="F340" s="106"/>
      <c r="G340" s="104"/>
      <c r="H340" s="106"/>
      <c r="I340" s="107"/>
      <c r="J340" s="108"/>
      <c r="K340" s="108"/>
      <c r="L340" s="108"/>
      <c r="M340" s="105"/>
      <c r="N340" s="105"/>
      <c r="O340" s="105"/>
      <c r="P340" s="108"/>
      <c r="Q340" s="105"/>
      <c r="R340" s="105"/>
      <c r="S340" s="105"/>
      <c r="T340" s="105"/>
      <c r="U340" s="108"/>
      <c r="V340" s="105"/>
      <c r="W340" s="105"/>
      <c r="X340" s="105"/>
      <c r="Y340" s="105"/>
      <c r="Z340" s="105"/>
      <c r="AA340" s="108"/>
      <c r="AB340" s="108"/>
      <c r="AC340" s="105"/>
      <c r="AD340" s="279"/>
      <c r="AE340" s="105"/>
      <c r="AF340" s="279"/>
      <c r="AG340" s="105"/>
      <c r="AH340" s="108"/>
      <c r="AI340" s="108"/>
      <c r="AJ340" s="108"/>
      <c r="AK340" s="108"/>
      <c r="AL340" s="105"/>
      <c r="AM340" s="108"/>
      <c r="AN340" s="105"/>
      <c r="AO340" s="108"/>
      <c r="AP340" s="108"/>
      <c r="AQ340" s="105"/>
      <c r="AR340" s="108"/>
      <c r="AS340" s="108"/>
      <c r="AT340" s="105"/>
      <c r="AU340" s="105"/>
      <c r="AV340" s="105"/>
      <c r="AW340" s="105"/>
      <c r="AX340" s="105"/>
      <c r="AY340" s="105"/>
      <c r="AZ340" s="105"/>
      <c r="BA340" s="105"/>
      <c r="BB340" s="105"/>
      <c r="BC340" s="105"/>
      <c r="BD340" s="108"/>
      <c r="BE340" s="83">
        <f>IF($A340="","",IF(TRIM($D340&amp;"")="",IF(TRIM($AX340&amp;$AY340&amp;$AZ340&amp;$BA340&amp;$BB340&amp;$BC340&amp;$BD340&amp;"")="","","SUBARRENDADO"),IFERROR(IF(VLOOKUP($D340,VEHICULOS!$A$3:$H$202,7,FALSE)="","",VLOOKUP($D340,VEHICULOS!$A$3:$H$202,7,FALSE)),"")))</f>
      </c>
      <c r="BF340" s="82">
        <f>IF($A340="","",IF(TRIM($BC340&amp;"")&lt;&gt;"",$BC340,IF(TRIM($D340&amp;"")="","",IFERROR(IF(VLOOKUP($D340,VEHICULOS!$A$3:$H$202,8,FALSE)="","",VLOOKUP($D340,VEHICULOS!$A$3:$H$202,8,FALSE)),""))))</f>
      </c>
      <c r="BG340" s="106"/>
      <c r="BH340" s="107"/>
      <c r="BI340" s="86">
        <f t="shared" si="75"/>
      </c>
      <c r="BJ340" s="83">
        <f t="shared" si="76"/>
      </c>
      <c r="BK340" s="85">
        <f t="shared" si="77"/>
      </c>
      <c r="BL340" s="85">
        <f t="shared" si="78"/>
      </c>
      <c r="BM340" s="108"/>
      <c r="BN340" s="85">
        <f t="shared" si="79"/>
      </c>
      <c r="BO340" s="108"/>
      <c r="BP340" s="85">
        <f t="shared" si="80"/>
      </c>
      <c r="BQ340" s="85">
        <f t="shared" si="81"/>
      </c>
      <c r="BR340" s="108"/>
      <c r="BS340" s="104"/>
      <c r="BT340" s="87">
        <f t="shared" si="82"/>
      </c>
      <c r="BU340" s="85">
        <f t="shared" si="83"/>
      </c>
      <c r="BV340" s="85">
        <f t="shared" si="84"/>
      </c>
      <c r="BW340" s="87">
        <f t="shared" si="85"/>
      </c>
      <c r="BX340" s="104"/>
      <c r="BY340" s="106"/>
      <c r="BZ340" s="104"/>
      <c r="CA340" s="105"/>
      <c r="CB340" s="77">
        <f>IF($A340="",0,IF($B340='FICHA CLIENTE'!$C$4,1,0))</f>
      </c>
      <c r="CC340" s="77">
        <f t="shared" si="86"/>
      </c>
      <c r="CD340" s="77">
        <f>IF($A340="",0,IF($D340='FICHA VEHICULO'!$C$4,1,0))</f>
      </c>
      <c r="CE340" s="77">
        <f t="shared" si="87"/>
      </c>
      <c r="CF340" s="77">
        <f t="shared" si="88"/>
      </c>
      <c r="CG340" s="77">
        <f t="shared" si="89"/>
      </c>
    </row>
    <row r="341" spans="1:85" ht="19.5" customHeight="1" x14ac:dyDescent="0.2">
      <c r="A341" s="104"/>
      <c r="B341" s="104"/>
      <c r="C341" s="105"/>
      <c r="D341" s="104"/>
      <c r="E341" s="105"/>
      <c r="F341" s="106"/>
      <c r="G341" s="104"/>
      <c r="H341" s="106"/>
      <c r="I341" s="107"/>
      <c r="J341" s="108"/>
      <c r="K341" s="108"/>
      <c r="L341" s="108"/>
      <c r="M341" s="105"/>
      <c r="N341" s="105"/>
      <c r="O341" s="105"/>
      <c r="P341" s="108"/>
      <c r="Q341" s="105"/>
      <c r="R341" s="105"/>
      <c r="S341" s="105"/>
      <c r="T341" s="105"/>
      <c r="U341" s="108"/>
      <c r="V341" s="105"/>
      <c r="W341" s="105"/>
      <c r="X341" s="105"/>
      <c r="Y341" s="105"/>
      <c r="Z341" s="105"/>
      <c r="AA341" s="108"/>
      <c r="AB341" s="108"/>
      <c r="AC341" s="105"/>
      <c r="AD341" s="279"/>
      <c r="AE341" s="105"/>
      <c r="AF341" s="279"/>
      <c r="AG341" s="105"/>
      <c r="AH341" s="108"/>
      <c r="AI341" s="108"/>
      <c r="AJ341" s="108"/>
      <c r="AK341" s="108"/>
      <c r="AL341" s="105"/>
      <c r="AM341" s="108"/>
      <c r="AN341" s="105"/>
      <c r="AO341" s="108"/>
      <c r="AP341" s="108"/>
      <c r="AQ341" s="105"/>
      <c r="AR341" s="108"/>
      <c r="AS341" s="108"/>
      <c r="AT341" s="105"/>
      <c r="AU341" s="105"/>
      <c r="AV341" s="105"/>
      <c r="AW341" s="105"/>
      <c r="AX341" s="105"/>
      <c r="AY341" s="105"/>
      <c r="AZ341" s="105"/>
      <c r="BA341" s="105"/>
      <c r="BB341" s="105"/>
      <c r="BC341" s="105"/>
      <c r="BD341" s="108"/>
      <c r="BE341" s="83">
        <f>IF($A341="","",IF(TRIM($D341&amp;"")="",IF(TRIM($AX341&amp;$AY341&amp;$AZ341&amp;$BA341&amp;$BB341&amp;$BC341&amp;$BD341&amp;"")="","","SUBARRENDADO"),IFERROR(IF(VLOOKUP($D341,VEHICULOS!$A$3:$H$202,7,FALSE)="","",VLOOKUP($D341,VEHICULOS!$A$3:$H$202,7,FALSE)),"")))</f>
      </c>
      <c r="BF341" s="82">
        <f>IF($A341="","",IF(TRIM($BC341&amp;"")&lt;&gt;"",$BC341,IF(TRIM($D341&amp;"")="","",IFERROR(IF(VLOOKUP($D341,VEHICULOS!$A$3:$H$202,8,FALSE)="","",VLOOKUP($D341,VEHICULOS!$A$3:$H$202,8,FALSE)),""))))</f>
      </c>
      <c r="BG341" s="106"/>
      <c r="BH341" s="107"/>
      <c r="BI341" s="86">
        <f t="shared" si="75"/>
      </c>
      <c r="BJ341" s="83">
        <f t="shared" si="76"/>
      </c>
      <c r="BK341" s="85">
        <f t="shared" si="77"/>
      </c>
      <c r="BL341" s="85">
        <f t="shared" si="78"/>
      </c>
      <c r="BM341" s="108"/>
      <c r="BN341" s="85">
        <f t="shared" si="79"/>
      </c>
      <c r="BO341" s="108"/>
      <c r="BP341" s="85">
        <f t="shared" si="80"/>
      </c>
      <c r="BQ341" s="85">
        <f t="shared" si="81"/>
      </c>
      <c r="BR341" s="108"/>
      <c r="BS341" s="104"/>
      <c r="BT341" s="87">
        <f t="shared" si="82"/>
      </c>
      <c r="BU341" s="85">
        <f t="shared" si="83"/>
      </c>
      <c r="BV341" s="85">
        <f t="shared" si="84"/>
      </c>
      <c r="BW341" s="87">
        <f t="shared" si="85"/>
      </c>
      <c r="BX341" s="104"/>
      <c r="BY341" s="106"/>
      <c r="BZ341" s="104"/>
      <c r="CA341" s="105"/>
      <c r="CB341" s="77">
        <f>IF($A341="",0,IF($B341='FICHA CLIENTE'!$C$4,1,0))</f>
      </c>
      <c r="CC341" s="77">
        <f t="shared" si="86"/>
      </c>
      <c r="CD341" s="77">
        <f>IF($A341="",0,IF($D341='FICHA VEHICULO'!$C$4,1,0))</f>
      </c>
      <c r="CE341" s="77">
        <f t="shared" si="87"/>
      </c>
      <c r="CF341" s="77">
        <f t="shared" si="88"/>
      </c>
      <c r="CG341" s="77">
        <f t="shared" si="89"/>
      </c>
    </row>
    <row r="342" spans="1:85" ht="19.5" customHeight="1" x14ac:dyDescent="0.2">
      <c r="A342" s="104"/>
      <c r="B342" s="104"/>
      <c r="C342" s="105"/>
      <c r="D342" s="104"/>
      <c r="E342" s="105"/>
      <c r="F342" s="106"/>
      <c r="G342" s="104"/>
      <c r="H342" s="106"/>
      <c r="I342" s="107"/>
      <c r="J342" s="108"/>
      <c r="K342" s="108"/>
      <c r="L342" s="108"/>
      <c r="M342" s="105"/>
      <c r="N342" s="105"/>
      <c r="O342" s="105"/>
      <c r="P342" s="108"/>
      <c r="Q342" s="105"/>
      <c r="R342" s="105"/>
      <c r="S342" s="105"/>
      <c r="T342" s="105"/>
      <c r="U342" s="108"/>
      <c r="V342" s="105"/>
      <c r="W342" s="105"/>
      <c r="X342" s="105"/>
      <c r="Y342" s="105"/>
      <c r="Z342" s="105"/>
      <c r="AA342" s="108"/>
      <c r="AB342" s="108"/>
      <c r="AC342" s="105"/>
      <c r="AD342" s="279"/>
      <c r="AE342" s="105"/>
      <c r="AF342" s="279"/>
      <c r="AG342" s="105"/>
      <c r="AH342" s="108"/>
      <c r="AI342" s="108"/>
      <c r="AJ342" s="108"/>
      <c r="AK342" s="108"/>
      <c r="AL342" s="105"/>
      <c r="AM342" s="108"/>
      <c r="AN342" s="105"/>
      <c r="AO342" s="108"/>
      <c r="AP342" s="108"/>
      <c r="AQ342" s="105"/>
      <c r="AR342" s="108"/>
      <c r="AS342" s="108"/>
      <c r="AT342" s="105"/>
      <c r="AU342" s="105"/>
      <c r="AV342" s="105"/>
      <c r="AW342" s="105"/>
      <c r="AX342" s="105"/>
      <c r="AY342" s="105"/>
      <c r="AZ342" s="105"/>
      <c r="BA342" s="105"/>
      <c r="BB342" s="105"/>
      <c r="BC342" s="105"/>
      <c r="BD342" s="108"/>
      <c r="BE342" s="83">
        <f>IF($A342="","",IF(TRIM($D342&amp;"")="",IF(TRIM($AX342&amp;$AY342&amp;$AZ342&amp;$BA342&amp;$BB342&amp;$BC342&amp;$BD342&amp;"")="","","SUBARRENDADO"),IFERROR(IF(VLOOKUP($D342,VEHICULOS!$A$3:$H$202,7,FALSE)="","",VLOOKUP($D342,VEHICULOS!$A$3:$H$202,7,FALSE)),"")))</f>
      </c>
      <c r="BF342" s="82">
        <f>IF($A342="","",IF(TRIM($BC342&amp;"")&lt;&gt;"",$BC342,IF(TRIM($D342&amp;"")="","",IFERROR(IF(VLOOKUP($D342,VEHICULOS!$A$3:$H$202,8,FALSE)="","",VLOOKUP($D342,VEHICULOS!$A$3:$H$202,8,FALSE)),""))))</f>
      </c>
      <c r="BG342" s="106"/>
      <c r="BH342" s="107"/>
      <c r="BI342" s="86">
        <f t="shared" si="75"/>
      </c>
      <c r="BJ342" s="83">
        <f t="shared" si="76"/>
      </c>
      <c r="BK342" s="85">
        <f t="shared" si="77"/>
      </c>
      <c r="BL342" s="85">
        <f t="shared" si="78"/>
      </c>
      <c r="BM342" s="108"/>
      <c r="BN342" s="85">
        <f t="shared" si="79"/>
      </c>
      <c r="BO342" s="108"/>
      <c r="BP342" s="85">
        <f t="shared" si="80"/>
      </c>
      <c r="BQ342" s="85">
        <f t="shared" si="81"/>
      </c>
      <c r="BR342" s="108"/>
      <c r="BS342" s="104"/>
      <c r="BT342" s="87">
        <f t="shared" si="82"/>
      </c>
      <c r="BU342" s="85">
        <f t="shared" si="83"/>
      </c>
      <c r="BV342" s="85">
        <f t="shared" si="84"/>
      </c>
      <c r="BW342" s="87">
        <f t="shared" si="85"/>
      </c>
      <c r="BX342" s="104"/>
      <c r="BY342" s="106"/>
      <c r="BZ342" s="104"/>
      <c r="CA342" s="105"/>
      <c r="CB342" s="77">
        <f>IF($A342="",0,IF($B342='FICHA CLIENTE'!$C$4,1,0))</f>
      </c>
      <c r="CC342" s="77">
        <f t="shared" si="86"/>
      </c>
      <c r="CD342" s="77">
        <f>IF($A342="",0,IF($D342='FICHA VEHICULO'!$C$4,1,0))</f>
      </c>
      <c r="CE342" s="77">
        <f t="shared" si="87"/>
      </c>
      <c r="CF342" s="77">
        <f t="shared" si="88"/>
      </c>
      <c r="CG342" s="77">
        <f t="shared" si="89"/>
      </c>
    </row>
    <row r="343" spans="1:85" ht="19.5" customHeight="1" x14ac:dyDescent="0.2">
      <c r="A343" s="104"/>
      <c r="B343" s="104"/>
      <c r="C343" s="105"/>
      <c r="D343" s="104"/>
      <c r="E343" s="105"/>
      <c r="F343" s="106"/>
      <c r="G343" s="104"/>
      <c r="H343" s="106"/>
      <c r="I343" s="107"/>
      <c r="J343" s="108"/>
      <c r="K343" s="108"/>
      <c r="L343" s="108"/>
      <c r="M343" s="105"/>
      <c r="N343" s="105"/>
      <c r="O343" s="105"/>
      <c r="P343" s="108"/>
      <c r="Q343" s="105"/>
      <c r="R343" s="105"/>
      <c r="S343" s="105"/>
      <c r="T343" s="105"/>
      <c r="U343" s="108"/>
      <c r="V343" s="105"/>
      <c r="W343" s="105"/>
      <c r="X343" s="105"/>
      <c r="Y343" s="105"/>
      <c r="Z343" s="105"/>
      <c r="AA343" s="108"/>
      <c r="AB343" s="108"/>
      <c r="AC343" s="105"/>
      <c r="AD343" s="279"/>
      <c r="AE343" s="105"/>
      <c r="AF343" s="279"/>
      <c r="AG343" s="105"/>
      <c r="AH343" s="108"/>
      <c r="AI343" s="108"/>
      <c r="AJ343" s="108"/>
      <c r="AK343" s="108"/>
      <c r="AL343" s="105"/>
      <c r="AM343" s="108"/>
      <c r="AN343" s="105"/>
      <c r="AO343" s="108"/>
      <c r="AP343" s="108"/>
      <c r="AQ343" s="105"/>
      <c r="AR343" s="108"/>
      <c r="AS343" s="108"/>
      <c r="AT343" s="105"/>
      <c r="AU343" s="105"/>
      <c r="AV343" s="105"/>
      <c r="AW343" s="105"/>
      <c r="AX343" s="105"/>
      <c r="AY343" s="105"/>
      <c r="AZ343" s="105"/>
      <c r="BA343" s="105"/>
      <c r="BB343" s="105"/>
      <c r="BC343" s="105"/>
      <c r="BD343" s="108"/>
      <c r="BE343" s="83">
        <f>IF($A343="","",IF(TRIM($D343&amp;"")="",IF(TRIM($AX343&amp;$AY343&amp;$AZ343&amp;$BA343&amp;$BB343&amp;$BC343&amp;$BD343&amp;"")="","","SUBARRENDADO"),IFERROR(IF(VLOOKUP($D343,VEHICULOS!$A$3:$H$202,7,FALSE)="","",VLOOKUP($D343,VEHICULOS!$A$3:$H$202,7,FALSE)),"")))</f>
      </c>
      <c r="BF343" s="82">
        <f>IF($A343="","",IF(TRIM($BC343&amp;"")&lt;&gt;"",$BC343,IF(TRIM($D343&amp;"")="","",IFERROR(IF(VLOOKUP($D343,VEHICULOS!$A$3:$H$202,8,FALSE)="","",VLOOKUP($D343,VEHICULOS!$A$3:$H$202,8,FALSE)),""))))</f>
      </c>
      <c r="BG343" s="106"/>
      <c r="BH343" s="107"/>
      <c r="BI343" s="86">
        <f t="shared" si="75"/>
      </c>
      <c r="BJ343" s="83">
        <f t="shared" si="76"/>
      </c>
      <c r="BK343" s="85">
        <f t="shared" si="77"/>
      </c>
      <c r="BL343" s="85">
        <f t="shared" si="78"/>
      </c>
      <c r="BM343" s="108"/>
      <c r="BN343" s="85">
        <f t="shared" si="79"/>
      </c>
      <c r="BO343" s="108"/>
      <c r="BP343" s="85">
        <f t="shared" si="80"/>
      </c>
      <c r="BQ343" s="85">
        <f t="shared" si="81"/>
      </c>
      <c r="BR343" s="108"/>
      <c r="BS343" s="104"/>
      <c r="BT343" s="87">
        <f t="shared" si="82"/>
      </c>
      <c r="BU343" s="85">
        <f t="shared" si="83"/>
      </c>
      <c r="BV343" s="85">
        <f t="shared" si="84"/>
      </c>
      <c r="BW343" s="87">
        <f t="shared" si="85"/>
      </c>
      <c r="BX343" s="104"/>
      <c r="BY343" s="106"/>
      <c r="BZ343" s="104"/>
      <c r="CA343" s="105"/>
      <c r="CB343" s="77">
        <f>IF($A343="",0,IF($B343='FICHA CLIENTE'!$C$4,1,0))</f>
      </c>
      <c r="CC343" s="77">
        <f t="shared" si="86"/>
      </c>
      <c r="CD343" s="77">
        <f>IF($A343="",0,IF($D343='FICHA VEHICULO'!$C$4,1,0))</f>
      </c>
      <c r="CE343" s="77">
        <f t="shared" si="87"/>
      </c>
      <c r="CF343" s="77">
        <f t="shared" si="88"/>
      </c>
      <c r="CG343" s="77">
        <f t="shared" si="89"/>
      </c>
    </row>
    <row r="344" spans="1:85" ht="19.5" customHeight="1" x14ac:dyDescent="0.2">
      <c r="A344" s="104"/>
      <c r="B344" s="104"/>
      <c r="C344" s="105"/>
      <c r="D344" s="104"/>
      <c r="E344" s="105"/>
      <c r="F344" s="106"/>
      <c r="G344" s="104"/>
      <c r="H344" s="106"/>
      <c r="I344" s="107"/>
      <c r="J344" s="108"/>
      <c r="K344" s="108"/>
      <c r="L344" s="108"/>
      <c r="M344" s="105"/>
      <c r="N344" s="105"/>
      <c r="O344" s="105"/>
      <c r="P344" s="108"/>
      <c r="Q344" s="105"/>
      <c r="R344" s="105"/>
      <c r="S344" s="105"/>
      <c r="T344" s="105"/>
      <c r="U344" s="108"/>
      <c r="V344" s="105"/>
      <c r="W344" s="105"/>
      <c r="X344" s="105"/>
      <c r="Y344" s="105"/>
      <c r="Z344" s="105"/>
      <c r="AA344" s="108"/>
      <c r="AB344" s="108"/>
      <c r="AC344" s="105"/>
      <c r="AD344" s="279"/>
      <c r="AE344" s="105"/>
      <c r="AF344" s="279"/>
      <c r="AG344" s="105"/>
      <c r="AH344" s="108"/>
      <c r="AI344" s="108"/>
      <c r="AJ344" s="108"/>
      <c r="AK344" s="108"/>
      <c r="AL344" s="105"/>
      <c r="AM344" s="108"/>
      <c r="AN344" s="105"/>
      <c r="AO344" s="108"/>
      <c r="AP344" s="108"/>
      <c r="AQ344" s="105"/>
      <c r="AR344" s="108"/>
      <c r="AS344" s="108"/>
      <c r="AT344" s="105"/>
      <c r="AU344" s="105"/>
      <c r="AV344" s="105"/>
      <c r="AW344" s="105"/>
      <c r="AX344" s="105"/>
      <c r="AY344" s="105"/>
      <c r="AZ344" s="105"/>
      <c r="BA344" s="105"/>
      <c r="BB344" s="105"/>
      <c r="BC344" s="105"/>
      <c r="BD344" s="108"/>
      <c r="BE344" s="83">
        <f>IF($A344="","",IF(TRIM($D344&amp;"")="",IF(TRIM($AX344&amp;$AY344&amp;$AZ344&amp;$BA344&amp;$BB344&amp;$BC344&amp;$BD344&amp;"")="","","SUBARRENDADO"),IFERROR(IF(VLOOKUP($D344,VEHICULOS!$A$3:$H$202,7,FALSE)="","",VLOOKUP($D344,VEHICULOS!$A$3:$H$202,7,FALSE)),"")))</f>
      </c>
      <c r="BF344" s="82">
        <f>IF($A344="","",IF(TRIM($BC344&amp;"")&lt;&gt;"",$BC344,IF(TRIM($D344&amp;"")="","",IFERROR(IF(VLOOKUP($D344,VEHICULOS!$A$3:$H$202,8,FALSE)="","",VLOOKUP($D344,VEHICULOS!$A$3:$H$202,8,FALSE)),""))))</f>
      </c>
      <c r="BG344" s="106"/>
      <c r="BH344" s="107"/>
      <c r="BI344" s="86">
        <f t="shared" si="75"/>
      </c>
      <c r="BJ344" s="83">
        <f t="shared" si="76"/>
      </c>
      <c r="BK344" s="85">
        <f t="shared" si="77"/>
      </c>
      <c r="BL344" s="85">
        <f t="shared" si="78"/>
      </c>
      <c r="BM344" s="108"/>
      <c r="BN344" s="85">
        <f t="shared" si="79"/>
      </c>
      <c r="BO344" s="108"/>
      <c r="BP344" s="85">
        <f t="shared" si="80"/>
      </c>
      <c r="BQ344" s="85">
        <f t="shared" si="81"/>
      </c>
      <c r="BR344" s="108"/>
      <c r="BS344" s="104"/>
      <c r="BT344" s="87">
        <f t="shared" si="82"/>
      </c>
      <c r="BU344" s="85">
        <f t="shared" si="83"/>
      </c>
      <c r="BV344" s="85">
        <f t="shared" si="84"/>
      </c>
      <c r="BW344" s="87">
        <f t="shared" si="85"/>
      </c>
      <c r="BX344" s="104"/>
      <c r="BY344" s="106"/>
      <c r="BZ344" s="104"/>
      <c r="CA344" s="105"/>
      <c r="CB344" s="77">
        <f>IF($A344="",0,IF($B344='FICHA CLIENTE'!$C$4,1,0))</f>
      </c>
      <c r="CC344" s="77">
        <f t="shared" si="86"/>
      </c>
      <c r="CD344" s="77">
        <f>IF($A344="",0,IF($D344='FICHA VEHICULO'!$C$4,1,0))</f>
      </c>
      <c r="CE344" s="77">
        <f t="shared" si="87"/>
      </c>
      <c r="CF344" s="77">
        <f t="shared" si="88"/>
      </c>
      <c r="CG344" s="77">
        <f t="shared" si="89"/>
      </c>
    </row>
    <row r="345" spans="1:85" ht="19.5" customHeight="1" x14ac:dyDescent="0.2">
      <c r="A345" s="104"/>
      <c r="B345" s="104"/>
      <c r="C345" s="105"/>
      <c r="D345" s="104"/>
      <c r="E345" s="105"/>
      <c r="F345" s="106"/>
      <c r="G345" s="104"/>
      <c r="H345" s="106"/>
      <c r="I345" s="107"/>
      <c r="J345" s="108"/>
      <c r="K345" s="108"/>
      <c r="L345" s="108"/>
      <c r="M345" s="105"/>
      <c r="N345" s="105"/>
      <c r="O345" s="105"/>
      <c r="P345" s="108"/>
      <c r="Q345" s="105"/>
      <c r="R345" s="105"/>
      <c r="S345" s="105"/>
      <c r="T345" s="105"/>
      <c r="U345" s="108"/>
      <c r="V345" s="105"/>
      <c r="W345" s="105"/>
      <c r="X345" s="105"/>
      <c r="Y345" s="105"/>
      <c r="Z345" s="105"/>
      <c r="AA345" s="108"/>
      <c r="AB345" s="108"/>
      <c r="AC345" s="105"/>
      <c r="AD345" s="279"/>
      <c r="AE345" s="105"/>
      <c r="AF345" s="279"/>
      <c r="AG345" s="105"/>
      <c r="AH345" s="108"/>
      <c r="AI345" s="108"/>
      <c r="AJ345" s="108"/>
      <c r="AK345" s="108"/>
      <c r="AL345" s="105"/>
      <c r="AM345" s="108"/>
      <c r="AN345" s="105"/>
      <c r="AO345" s="108"/>
      <c r="AP345" s="108"/>
      <c r="AQ345" s="105"/>
      <c r="AR345" s="108"/>
      <c r="AS345" s="108"/>
      <c r="AT345" s="105"/>
      <c r="AU345" s="105"/>
      <c r="AV345" s="105"/>
      <c r="AW345" s="105"/>
      <c r="AX345" s="105"/>
      <c r="AY345" s="105"/>
      <c r="AZ345" s="105"/>
      <c r="BA345" s="105"/>
      <c r="BB345" s="105"/>
      <c r="BC345" s="105"/>
      <c r="BD345" s="108"/>
      <c r="BE345" s="83">
        <f>IF($A345="","",IF(TRIM($D345&amp;"")="",IF(TRIM($AX345&amp;$AY345&amp;$AZ345&amp;$BA345&amp;$BB345&amp;$BC345&amp;$BD345&amp;"")="","","SUBARRENDADO"),IFERROR(IF(VLOOKUP($D345,VEHICULOS!$A$3:$H$202,7,FALSE)="","",VLOOKUP($D345,VEHICULOS!$A$3:$H$202,7,FALSE)),"")))</f>
      </c>
      <c r="BF345" s="82">
        <f>IF($A345="","",IF(TRIM($BC345&amp;"")&lt;&gt;"",$BC345,IF(TRIM($D345&amp;"")="","",IFERROR(IF(VLOOKUP($D345,VEHICULOS!$A$3:$H$202,8,FALSE)="","",VLOOKUP($D345,VEHICULOS!$A$3:$H$202,8,FALSE)),""))))</f>
      </c>
      <c r="BG345" s="106"/>
      <c r="BH345" s="107"/>
      <c r="BI345" s="86">
        <f t="shared" si="75"/>
      </c>
      <c r="BJ345" s="83">
        <f t="shared" si="76"/>
      </c>
      <c r="BK345" s="85">
        <f t="shared" si="77"/>
      </c>
      <c r="BL345" s="85">
        <f t="shared" si="78"/>
      </c>
      <c r="BM345" s="108"/>
      <c r="BN345" s="85">
        <f t="shared" si="79"/>
      </c>
      <c r="BO345" s="108"/>
      <c r="BP345" s="85">
        <f t="shared" si="80"/>
      </c>
      <c r="BQ345" s="85">
        <f t="shared" si="81"/>
      </c>
      <c r="BR345" s="108"/>
      <c r="BS345" s="104"/>
      <c r="BT345" s="87">
        <f t="shared" si="82"/>
      </c>
      <c r="BU345" s="85">
        <f t="shared" si="83"/>
      </c>
      <c r="BV345" s="85">
        <f t="shared" si="84"/>
      </c>
      <c r="BW345" s="87">
        <f t="shared" si="85"/>
      </c>
      <c r="BX345" s="104"/>
      <c r="BY345" s="106"/>
      <c r="BZ345" s="104"/>
      <c r="CA345" s="105"/>
      <c r="CB345" s="77">
        <f>IF($A345="",0,IF($B345='FICHA CLIENTE'!$C$4,1,0))</f>
      </c>
      <c r="CC345" s="77">
        <f t="shared" si="86"/>
      </c>
      <c r="CD345" s="77">
        <f>IF($A345="",0,IF($D345='FICHA VEHICULO'!$C$4,1,0))</f>
      </c>
      <c r="CE345" s="77">
        <f t="shared" si="87"/>
      </c>
      <c r="CF345" s="77">
        <f t="shared" si="88"/>
      </c>
      <c r="CG345" s="77">
        <f t="shared" si="89"/>
      </c>
    </row>
    <row r="346" spans="1:85" ht="19.5" customHeight="1" x14ac:dyDescent="0.2">
      <c r="A346" s="104"/>
      <c r="B346" s="104"/>
      <c r="C346" s="105"/>
      <c r="D346" s="104"/>
      <c r="E346" s="105"/>
      <c r="F346" s="106"/>
      <c r="G346" s="104"/>
      <c r="H346" s="106"/>
      <c r="I346" s="107"/>
      <c r="J346" s="108"/>
      <c r="K346" s="108"/>
      <c r="L346" s="108"/>
      <c r="M346" s="105"/>
      <c r="N346" s="105"/>
      <c r="O346" s="105"/>
      <c r="P346" s="108"/>
      <c r="Q346" s="105"/>
      <c r="R346" s="105"/>
      <c r="S346" s="105"/>
      <c r="T346" s="105"/>
      <c r="U346" s="108"/>
      <c r="V346" s="105"/>
      <c r="W346" s="105"/>
      <c r="X346" s="105"/>
      <c r="Y346" s="105"/>
      <c r="Z346" s="105"/>
      <c r="AA346" s="108"/>
      <c r="AB346" s="108"/>
      <c r="AC346" s="105"/>
      <c r="AD346" s="279"/>
      <c r="AE346" s="105"/>
      <c r="AF346" s="279"/>
      <c r="AG346" s="105"/>
      <c r="AH346" s="108"/>
      <c r="AI346" s="108"/>
      <c r="AJ346" s="108"/>
      <c r="AK346" s="108"/>
      <c r="AL346" s="105"/>
      <c r="AM346" s="108"/>
      <c r="AN346" s="105"/>
      <c r="AO346" s="108"/>
      <c r="AP346" s="108"/>
      <c r="AQ346" s="105"/>
      <c r="AR346" s="108"/>
      <c r="AS346" s="108"/>
      <c r="AT346" s="105"/>
      <c r="AU346" s="105"/>
      <c r="AV346" s="105"/>
      <c r="AW346" s="105"/>
      <c r="AX346" s="105"/>
      <c r="AY346" s="105"/>
      <c r="AZ346" s="105"/>
      <c r="BA346" s="105"/>
      <c r="BB346" s="105"/>
      <c r="BC346" s="105"/>
      <c r="BD346" s="108"/>
      <c r="BE346" s="83">
        <f>IF($A346="","",IF(TRIM($D346&amp;"")="",IF(TRIM($AX346&amp;$AY346&amp;$AZ346&amp;$BA346&amp;$BB346&amp;$BC346&amp;$BD346&amp;"")="","","SUBARRENDADO"),IFERROR(IF(VLOOKUP($D346,VEHICULOS!$A$3:$H$202,7,FALSE)="","",VLOOKUP($D346,VEHICULOS!$A$3:$H$202,7,FALSE)),"")))</f>
      </c>
      <c r="BF346" s="82">
        <f>IF($A346="","",IF(TRIM($BC346&amp;"")&lt;&gt;"",$BC346,IF(TRIM($D346&amp;"")="","",IFERROR(IF(VLOOKUP($D346,VEHICULOS!$A$3:$H$202,8,FALSE)="","",VLOOKUP($D346,VEHICULOS!$A$3:$H$202,8,FALSE)),""))))</f>
      </c>
      <c r="BG346" s="106"/>
      <c r="BH346" s="107"/>
      <c r="BI346" s="86">
        <f t="shared" si="75"/>
      </c>
      <c r="BJ346" s="83">
        <f t="shared" si="76"/>
      </c>
      <c r="BK346" s="85">
        <f t="shared" si="77"/>
      </c>
      <c r="BL346" s="85">
        <f t="shared" si="78"/>
      </c>
      <c r="BM346" s="108"/>
      <c r="BN346" s="85">
        <f t="shared" si="79"/>
      </c>
      <c r="BO346" s="108"/>
      <c r="BP346" s="85">
        <f t="shared" si="80"/>
      </c>
      <c r="BQ346" s="85">
        <f t="shared" si="81"/>
      </c>
      <c r="BR346" s="108"/>
      <c r="BS346" s="104"/>
      <c r="BT346" s="87">
        <f t="shared" si="82"/>
      </c>
      <c r="BU346" s="85">
        <f t="shared" si="83"/>
      </c>
      <c r="BV346" s="85">
        <f t="shared" si="84"/>
      </c>
      <c r="BW346" s="87">
        <f t="shared" si="85"/>
      </c>
      <c r="BX346" s="104"/>
      <c r="BY346" s="106"/>
      <c r="BZ346" s="104"/>
      <c r="CA346" s="105"/>
      <c r="CB346" s="77">
        <f>IF($A346="",0,IF($B346='FICHA CLIENTE'!$C$4,1,0))</f>
      </c>
      <c r="CC346" s="77">
        <f t="shared" si="86"/>
      </c>
      <c r="CD346" s="77">
        <f>IF($A346="",0,IF($D346='FICHA VEHICULO'!$C$4,1,0))</f>
      </c>
      <c r="CE346" s="77">
        <f t="shared" si="87"/>
      </c>
      <c r="CF346" s="77">
        <f t="shared" si="88"/>
      </c>
      <c r="CG346" s="77">
        <f t="shared" si="89"/>
      </c>
    </row>
    <row r="347" spans="1:85" ht="19.5" customHeight="1" x14ac:dyDescent="0.2">
      <c r="A347" s="104"/>
      <c r="B347" s="104"/>
      <c r="C347" s="105"/>
      <c r="D347" s="104"/>
      <c r="E347" s="105"/>
      <c r="F347" s="106"/>
      <c r="G347" s="104"/>
      <c r="H347" s="106"/>
      <c r="I347" s="107"/>
      <c r="J347" s="108"/>
      <c r="K347" s="108"/>
      <c r="L347" s="108"/>
      <c r="M347" s="105"/>
      <c r="N347" s="105"/>
      <c r="O347" s="105"/>
      <c r="P347" s="108"/>
      <c r="Q347" s="105"/>
      <c r="R347" s="105"/>
      <c r="S347" s="105"/>
      <c r="T347" s="105"/>
      <c r="U347" s="108"/>
      <c r="V347" s="105"/>
      <c r="W347" s="105"/>
      <c r="X347" s="105"/>
      <c r="Y347" s="105"/>
      <c r="Z347" s="105"/>
      <c r="AA347" s="108"/>
      <c r="AB347" s="108"/>
      <c r="AC347" s="105"/>
      <c r="AD347" s="279"/>
      <c r="AE347" s="105"/>
      <c r="AF347" s="279"/>
      <c r="AG347" s="105"/>
      <c r="AH347" s="108"/>
      <c r="AI347" s="108"/>
      <c r="AJ347" s="108"/>
      <c r="AK347" s="108"/>
      <c r="AL347" s="105"/>
      <c r="AM347" s="108"/>
      <c r="AN347" s="105"/>
      <c r="AO347" s="108"/>
      <c r="AP347" s="108"/>
      <c r="AQ347" s="105"/>
      <c r="AR347" s="108"/>
      <c r="AS347" s="108"/>
      <c r="AT347" s="105"/>
      <c r="AU347" s="105"/>
      <c r="AV347" s="105"/>
      <c r="AW347" s="105"/>
      <c r="AX347" s="105"/>
      <c r="AY347" s="105"/>
      <c r="AZ347" s="105"/>
      <c r="BA347" s="105"/>
      <c r="BB347" s="105"/>
      <c r="BC347" s="105"/>
      <c r="BD347" s="108"/>
      <c r="BE347" s="83">
        <f>IF($A347="","",IF(TRIM($D347&amp;"")="",IF(TRIM($AX347&amp;$AY347&amp;$AZ347&amp;$BA347&amp;$BB347&amp;$BC347&amp;$BD347&amp;"")="","","SUBARRENDADO"),IFERROR(IF(VLOOKUP($D347,VEHICULOS!$A$3:$H$202,7,FALSE)="","",VLOOKUP($D347,VEHICULOS!$A$3:$H$202,7,FALSE)),"")))</f>
      </c>
      <c r="BF347" s="82">
        <f>IF($A347="","",IF(TRIM($BC347&amp;"")&lt;&gt;"",$BC347,IF(TRIM($D347&amp;"")="","",IFERROR(IF(VLOOKUP($D347,VEHICULOS!$A$3:$H$202,8,FALSE)="","",VLOOKUP($D347,VEHICULOS!$A$3:$H$202,8,FALSE)),""))))</f>
      </c>
      <c r="BG347" s="106"/>
      <c r="BH347" s="107"/>
      <c r="BI347" s="86">
        <f t="shared" si="75"/>
      </c>
      <c r="BJ347" s="83">
        <f t="shared" si="76"/>
      </c>
      <c r="BK347" s="85">
        <f t="shared" si="77"/>
      </c>
      <c r="BL347" s="85">
        <f t="shared" si="78"/>
      </c>
      <c r="BM347" s="108"/>
      <c r="BN347" s="85">
        <f t="shared" si="79"/>
      </c>
      <c r="BO347" s="108"/>
      <c r="BP347" s="85">
        <f t="shared" si="80"/>
      </c>
      <c r="BQ347" s="85">
        <f t="shared" si="81"/>
      </c>
      <c r="BR347" s="108"/>
      <c r="BS347" s="104"/>
      <c r="BT347" s="87">
        <f t="shared" si="82"/>
      </c>
      <c r="BU347" s="85">
        <f t="shared" si="83"/>
      </c>
      <c r="BV347" s="85">
        <f t="shared" si="84"/>
      </c>
      <c r="BW347" s="87">
        <f t="shared" si="85"/>
      </c>
      <c r="BX347" s="104"/>
      <c r="BY347" s="106"/>
      <c r="BZ347" s="104"/>
      <c r="CA347" s="105"/>
      <c r="CB347" s="77">
        <f>IF($A347="",0,IF($B347='FICHA CLIENTE'!$C$4,1,0))</f>
      </c>
      <c r="CC347" s="77">
        <f t="shared" si="86"/>
      </c>
      <c r="CD347" s="77">
        <f>IF($A347="",0,IF($D347='FICHA VEHICULO'!$C$4,1,0))</f>
      </c>
      <c r="CE347" s="77">
        <f t="shared" si="87"/>
      </c>
      <c r="CF347" s="77">
        <f t="shared" si="88"/>
      </c>
      <c r="CG347" s="77">
        <f t="shared" si="89"/>
      </c>
    </row>
    <row r="348" spans="1:85" ht="19.5" customHeight="1" x14ac:dyDescent="0.2">
      <c r="A348" s="104"/>
      <c r="B348" s="104"/>
      <c r="C348" s="105"/>
      <c r="D348" s="104"/>
      <c r="E348" s="105"/>
      <c r="F348" s="106"/>
      <c r="G348" s="104"/>
      <c r="H348" s="106"/>
      <c r="I348" s="107"/>
      <c r="J348" s="108"/>
      <c r="K348" s="108"/>
      <c r="L348" s="108"/>
      <c r="M348" s="105"/>
      <c r="N348" s="105"/>
      <c r="O348" s="105"/>
      <c r="P348" s="108"/>
      <c r="Q348" s="105"/>
      <c r="R348" s="105"/>
      <c r="S348" s="105"/>
      <c r="T348" s="105"/>
      <c r="U348" s="108"/>
      <c r="V348" s="105"/>
      <c r="W348" s="105"/>
      <c r="X348" s="105"/>
      <c r="Y348" s="105"/>
      <c r="Z348" s="105"/>
      <c r="AA348" s="108"/>
      <c r="AB348" s="108"/>
      <c r="AC348" s="105"/>
      <c r="AD348" s="279"/>
      <c r="AE348" s="105"/>
      <c r="AF348" s="279"/>
      <c r="AG348" s="105"/>
      <c r="AH348" s="108"/>
      <c r="AI348" s="108"/>
      <c r="AJ348" s="108"/>
      <c r="AK348" s="108"/>
      <c r="AL348" s="105"/>
      <c r="AM348" s="108"/>
      <c r="AN348" s="105"/>
      <c r="AO348" s="108"/>
      <c r="AP348" s="108"/>
      <c r="AQ348" s="105"/>
      <c r="AR348" s="108"/>
      <c r="AS348" s="108"/>
      <c r="AT348" s="105"/>
      <c r="AU348" s="105"/>
      <c r="AV348" s="105"/>
      <c r="AW348" s="105"/>
      <c r="AX348" s="105"/>
      <c r="AY348" s="105"/>
      <c r="AZ348" s="105"/>
      <c r="BA348" s="105"/>
      <c r="BB348" s="105"/>
      <c r="BC348" s="105"/>
      <c r="BD348" s="108"/>
      <c r="BE348" s="83">
        <f>IF($A348="","",IF(TRIM($D348&amp;"")="",IF(TRIM($AX348&amp;$AY348&amp;$AZ348&amp;$BA348&amp;$BB348&amp;$BC348&amp;$BD348&amp;"")="","","SUBARRENDADO"),IFERROR(IF(VLOOKUP($D348,VEHICULOS!$A$3:$H$202,7,FALSE)="","",VLOOKUP($D348,VEHICULOS!$A$3:$H$202,7,FALSE)),"")))</f>
      </c>
      <c r="BF348" s="82">
        <f>IF($A348="","",IF(TRIM($BC348&amp;"")&lt;&gt;"",$BC348,IF(TRIM($D348&amp;"")="","",IFERROR(IF(VLOOKUP($D348,VEHICULOS!$A$3:$H$202,8,FALSE)="","",VLOOKUP($D348,VEHICULOS!$A$3:$H$202,8,FALSE)),""))))</f>
      </c>
      <c r="BG348" s="106"/>
      <c r="BH348" s="107"/>
      <c r="BI348" s="86">
        <f t="shared" si="75"/>
      </c>
      <c r="BJ348" s="83">
        <f t="shared" si="76"/>
      </c>
      <c r="BK348" s="85">
        <f t="shared" si="77"/>
      </c>
      <c r="BL348" s="85">
        <f t="shared" si="78"/>
      </c>
      <c r="BM348" s="108"/>
      <c r="BN348" s="85">
        <f t="shared" si="79"/>
      </c>
      <c r="BO348" s="108"/>
      <c r="BP348" s="85">
        <f t="shared" si="80"/>
      </c>
      <c r="BQ348" s="85">
        <f t="shared" si="81"/>
      </c>
      <c r="BR348" s="108"/>
      <c r="BS348" s="104"/>
      <c r="BT348" s="87">
        <f t="shared" si="82"/>
      </c>
      <c r="BU348" s="85">
        <f t="shared" si="83"/>
      </c>
      <c r="BV348" s="85">
        <f t="shared" si="84"/>
      </c>
      <c r="BW348" s="87">
        <f t="shared" si="85"/>
      </c>
      <c r="BX348" s="104"/>
      <c r="BY348" s="106"/>
      <c r="BZ348" s="104"/>
      <c r="CA348" s="105"/>
      <c r="CB348" s="77">
        <f>IF($A348="",0,IF($B348='FICHA CLIENTE'!$C$4,1,0))</f>
      </c>
      <c r="CC348" s="77">
        <f t="shared" si="86"/>
      </c>
      <c r="CD348" s="77">
        <f>IF($A348="",0,IF($D348='FICHA VEHICULO'!$C$4,1,0))</f>
      </c>
      <c r="CE348" s="77">
        <f t="shared" si="87"/>
      </c>
      <c r="CF348" s="77">
        <f t="shared" si="88"/>
      </c>
      <c r="CG348" s="77">
        <f t="shared" si="89"/>
      </c>
    </row>
    <row r="349" spans="1:85" ht="19.5" customHeight="1" x14ac:dyDescent="0.2">
      <c r="A349" s="104"/>
      <c r="B349" s="104"/>
      <c r="C349" s="105"/>
      <c r="D349" s="104"/>
      <c r="E349" s="105"/>
      <c r="F349" s="106"/>
      <c r="G349" s="104"/>
      <c r="H349" s="106"/>
      <c r="I349" s="107"/>
      <c r="J349" s="108"/>
      <c r="K349" s="108"/>
      <c r="L349" s="108"/>
      <c r="M349" s="105"/>
      <c r="N349" s="105"/>
      <c r="O349" s="105"/>
      <c r="P349" s="108"/>
      <c r="Q349" s="105"/>
      <c r="R349" s="105"/>
      <c r="S349" s="105"/>
      <c r="T349" s="105"/>
      <c r="U349" s="108"/>
      <c r="V349" s="105"/>
      <c r="W349" s="105"/>
      <c r="X349" s="105"/>
      <c r="Y349" s="105"/>
      <c r="Z349" s="105"/>
      <c r="AA349" s="108"/>
      <c r="AB349" s="108"/>
      <c r="AC349" s="105"/>
      <c r="AD349" s="279"/>
      <c r="AE349" s="105"/>
      <c r="AF349" s="279"/>
      <c r="AG349" s="105"/>
      <c r="AH349" s="108"/>
      <c r="AI349" s="108"/>
      <c r="AJ349" s="108"/>
      <c r="AK349" s="108"/>
      <c r="AL349" s="105"/>
      <c r="AM349" s="108"/>
      <c r="AN349" s="105"/>
      <c r="AO349" s="108"/>
      <c r="AP349" s="108"/>
      <c r="AQ349" s="105"/>
      <c r="AR349" s="108"/>
      <c r="AS349" s="108"/>
      <c r="AT349" s="105"/>
      <c r="AU349" s="105"/>
      <c r="AV349" s="105"/>
      <c r="AW349" s="105"/>
      <c r="AX349" s="105"/>
      <c r="AY349" s="105"/>
      <c r="AZ349" s="105"/>
      <c r="BA349" s="105"/>
      <c r="BB349" s="105"/>
      <c r="BC349" s="105"/>
      <c r="BD349" s="108"/>
      <c r="BE349" s="83">
        <f>IF($A349="","",IF(TRIM($D349&amp;"")="",IF(TRIM($AX349&amp;$AY349&amp;$AZ349&amp;$BA349&amp;$BB349&amp;$BC349&amp;$BD349&amp;"")="","","SUBARRENDADO"),IFERROR(IF(VLOOKUP($D349,VEHICULOS!$A$3:$H$202,7,FALSE)="","",VLOOKUP($D349,VEHICULOS!$A$3:$H$202,7,FALSE)),"")))</f>
      </c>
      <c r="BF349" s="82">
        <f>IF($A349="","",IF(TRIM($BC349&amp;"")&lt;&gt;"",$BC349,IF(TRIM($D349&amp;"")="","",IFERROR(IF(VLOOKUP($D349,VEHICULOS!$A$3:$H$202,8,FALSE)="","",VLOOKUP($D349,VEHICULOS!$A$3:$H$202,8,FALSE)),""))))</f>
      </c>
      <c r="BG349" s="106"/>
      <c r="BH349" s="107"/>
      <c r="BI349" s="86">
        <f t="shared" si="75"/>
      </c>
      <c r="BJ349" s="83">
        <f t="shared" si="76"/>
      </c>
      <c r="BK349" s="85">
        <f t="shared" si="77"/>
      </c>
      <c r="BL349" s="85">
        <f t="shared" si="78"/>
      </c>
      <c r="BM349" s="108"/>
      <c r="BN349" s="85">
        <f t="shared" si="79"/>
      </c>
      <c r="BO349" s="108"/>
      <c r="BP349" s="85">
        <f t="shared" si="80"/>
      </c>
      <c r="BQ349" s="85">
        <f t="shared" si="81"/>
      </c>
      <c r="BR349" s="108"/>
      <c r="BS349" s="104"/>
      <c r="BT349" s="87">
        <f t="shared" si="82"/>
      </c>
      <c r="BU349" s="85">
        <f t="shared" si="83"/>
      </c>
      <c r="BV349" s="85">
        <f t="shared" si="84"/>
      </c>
      <c r="BW349" s="87">
        <f t="shared" si="85"/>
      </c>
      <c r="BX349" s="104"/>
      <c r="BY349" s="106"/>
      <c r="BZ349" s="104"/>
      <c r="CA349" s="105"/>
      <c r="CB349" s="77">
        <f>IF($A349="",0,IF($B349='FICHA CLIENTE'!$C$4,1,0))</f>
      </c>
      <c r="CC349" s="77">
        <f t="shared" si="86"/>
      </c>
      <c r="CD349" s="77">
        <f>IF($A349="",0,IF($D349='FICHA VEHICULO'!$C$4,1,0))</f>
      </c>
      <c r="CE349" s="77">
        <f t="shared" si="87"/>
      </c>
      <c r="CF349" s="77">
        <f t="shared" si="88"/>
      </c>
      <c r="CG349" s="77">
        <f t="shared" si="89"/>
      </c>
    </row>
    <row r="350" spans="1:85" ht="19.5" customHeight="1" x14ac:dyDescent="0.2">
      <c r="A350" s="104"/>
      <c r="B350" s="104"/>
      <c r="C350" s="105"/>
      <c r="D350" s="104"/>
      <c r="E350" s="105"/>
      <c r="F350" s="106"/>
      <c r="G350" s="104"/>
      <c r="H350" s="106"/>
      <c r="I350" s="107"/>
      <c r="J350" s="108"/>
      <c r="K350" s="108"/>
      <c r="L350" s="108"/>
      <c r="M350" s="105"/>
      <c r="N350" s="105"/>
      <c r="O350" s="105"/>
      <c r="P350" s="108"/>
      <c r="Q350" s="105"/>
      <c r="R350" s="105"/>
      <c r="S350" s="105"/>
      <c r="T350" s="105"/>
      <c r="U350" s="108"/>
      <c r="V350" s="105"/>
      <c r="W350" s="105"/>
      <c r="X350" s="105"/>
      <c r="Y350" s="105"/>
      <c r="Z350" s="105"/>
      <c r="AA350" s="108"/>
      <c r="AB350" s="108"/>
      <c r="AC350" s="105"/>
      <c r="AD350" s="279"/>
      <c r="AE350" s="105"/>
      <c r="AF350" s="279"/>
      <c r="AG350" s="105"/>
      <c r="AH350" s="108"/>
      <c r="AI350" s="108"/>
      <c r="AJ350" s="108"/>
      <c r="AK350" s="108"/>
      <c r="AL350" s="105"/>
      <c r="AM350" s="108"/>
      <c r="AN350" s="105"/>
      <c r="AO350" s="108"/>
      <c r="AP350" s="108"/>
      <c r="AQ350" s="105"/>
      <c r="AR350" s="108"/>
      <c r="AS350" s="108"/>
      <c r="AT350" s="105"/>
      <c r="AU350" s="105"/>
      <c r="AV350" s="105"/>
      <c r="AW350" s="105"/>
      <c r="AX350" s="105"/>
      <c r="AY350" s="105"/>
      <c r="AZ350" s="105"/>
      <c r="BA350" s="105"/>
      <c r="BB350" s="105"/>
      <c r="BC350" s="105"/>
      <c r="BD350" s="108"/>
      <c r="BE350" s="83">
        <f>IF($A350="","",IF(TRIM($D350&amp;"")="",IF(TRIM($AX350&amp;$AY350&amp;$AZ350&amp;$BA350&amp;$BB350&amp;$BC350&amp;$BD350&amp;"")="","","SUBARRENDADO"),IFERROR(IF(VLOOKUP($D350,VEHICULOS!$A$3:$H$202,7,FALSE)="","",VLOOKUP($D350,VEHICULOS!$A$3:$H$202,7,FALSE)),"")))</f>
      </c>
      <c r="BF350" s="82">
        <f>IF($A350="","",IF(TRIM($BC350&amp;"")&lt;&gt;"",$BC350,IF(TRIM($D350&amp;"")="","",IFERROR(IF(VLOOKUP($D350,VEHICULOS!$A$3:$H$202,8,FALSE)="","",VLOOKUP($D350,VEHICULOS!$A$3:$H$202,8,FALSE)),""))))</f>
      </c>
      <c r="BG350" s="106"/>
      <c r="BH350" s="107"/>
      <c r="BI350" s="86">
        <f t="shared" si="75"/>
      </c>
      <c r="BJ350" s="83">
        <f t="shared" si="76"/>
      </c>
      <c r="BK350" s="85">
        <f t="shared" si="77"/>
      </c>
      <c r="BL350" s="85">
        <f t="shared" si="78"/>
      </c>
      <c r="BM350" s="108"/>
      <c r="BN350" s="85">
        <f t="shared" si="79"/>
      </c>
      <c r="BO350" s="108"/>
      <c r="BP350" s="85">
        <f t="shared" si="80"/>
      </c>
      <c r="BQ350" s="85">
        <f t="shared" si="81"/>
      </c>
      <c r="BR350" s="108"/>
      <c r="BS350" s="104"/>
      <c r="BT350" s="87">
        <f t="shared" si="82"/>
      </c>
      <c r="BU350" s="85">
        <f t="shared" si="83"/>
      </c>
      <c r="BV350" s="85">
        <f t="shared" si="84"/>
      </c>
      <c r="BW350" s="87">
        <f t="shared" si="85"/>
      </c>
      <c r="BX350" s="104"/>
      <c r="BY350" s="106"/>
      <c r="BZ350" s="104"/>
      <c r="CA350" s="105"/>
      <c r="CB350" s="77">
        <f>IF($A350="",0,IF($B350='FICHA CLIENTE'!$C$4,1,0))</f>
      </c>
      <c r="CC350" s="77">
        <f t="shared" si="86"/>
      </c>
      <c r="CD350" s="77">
        <f>IF($A350="",0,IF($D350='FICHA VEHICULO'!$C$4,1,0))</f>
      </c>
      <c r="CE350" s="77">
        <f t="shared" si="87"/>
      </c>
      <c r="CF350" s="77">
        <f t="shared" si="88"/>
      </c>
      <c r="CG350" s="77">
        <f t="shared" si="89"/>
      </c>
    </row>
    <row r="351" spans="1:85" ht="19.5" customHeight="1" x14ac:dyDescent="0.2">
      <c r="A351" s="104"/>
      <c r="B351" s="104"/>
      <c r="C351" s="105"/>
      <c r="D351" s="104"/>
      <c r="E351" s="105"/>
      <c r="F351" s="106"/>
      <c r="G351" s="104"/>
      <c r="H351" s="106"/>
      <c r="I351" s="107"/>
      <c r="J351" s="108"/>
      <c r="K351" s="108"/>
      <c r="L351" s="108"/>
      <c r="M351" s="105"/>
      <c r="N351" s="105"/>
      <c r="O351" s="105"/>
      <c r="P351" s="108"/>
      <c r="Q351" s="105"/>
      <c r="R351" s="105"/>
      <c r="S351" s="105"/>
      <c r="T351" s="105"/>
      <c r="U351" s="108"/>
      <c r="V351" s="105"/>
      <c r="W351" s="105"/>
      <c r="X351" s="105"/>
      <c r="Y351" s="105"/>
      <c r="Z351" s="105"/>
      <c r="AA351" s="108"/>
      <c r="AB351" s="108"/>
      <c r="AC351" s="105"/>
      <c r="AD351" s="279"/>
      <c r="AE351" s="105"/>
      <c r="AF351" s="279"/>
      <c r="AG351" s="105"/>
      <c r="AH351" s="108"/>
      <c r="AI351" s="108"/>
      <c r="AJ351" s="108"/>
      <c r="AK351" s="108"/>
      <c r="AL351" s="105"/>
      <c r="AM351" s="108"/>
      <c r="AN351" s="105"/>
      <c r="AO351" s="108"/>
      <c r="AP351" s="108"/>
      <c r="AQ351" s="105"/>
      <c r="AR351" s="108"/>
      <c r="AS351" s="108"/>
      <c r="AT351" s="105"/>
      <c r="AU351" s="105"/>
      <c r="AV351" s="105"/>
      <c r="AW351" s="105"/>
      <c r="AX351" s="105"/>
      <c r="AY351" s="105"/>
      <c r="AZ351" s="105"/>
      <c r="BA351" s="105"/>
      <c r="BB351" s="105"/>
      <c r="BC351" s="105"/>
      <c r="BD351" s="108"/>
      <c r="BE351" s="83">
        <f>IF($A351="","",IF(TRIM($D351&amp;"")="",IF(TRIM($AX351&amp;$AY351&amp;$AZ351&amp;$BA351&amp;$BB351&amp;$BC351&amp;$BD351&amp;"")="","","SUBARRENDADO"),IFERROR(IF(VLOOKUP($D351,VEHICULOS!$A$3:$H$202,7,FALSE)="","",VLOOKUP($D351,VEHICULOS!$A$3:$H$202,7,FALSE)),"")))</f>
      </c>
      <c r="BF351" s="82">
        <f>IF($A351="","",IF(TRIM($BC351&amp;"")&lt;&gt;"",$BC351,IF(TRIM($D351&amp;"")="","",IFERROR(IF(VLOOKUP($D351,VEHICULOS!$A$3:$H$202,8,FALSE)="","",VLOOKUP($D351,VEHICULOS!$A$3:$H$202,8,FALSE)),""))))</f>
      </c>
      <c r="BG351" s="106"/>
      <c r="BH351" s="107"/>
      <c r="BI351" s="86">
        <f t="shared" si="75"/>
      </c>
      <c r="BJ351" s="83">
        <f t="shared" si="76"/>
      </c>
      <c r="BK351" s="85">
        <f t="shared" si="77"/>
      </c>
      <c r="BL351" s="85">
        <f t="shared" si="78"/>
      </c>
      <c r="BM351" s="108"/>
      <c r="BN351" s="85">
        <f t="shared" si="79"/>
      </c>
      <c r="BO351" s="108"/>
      <c r="BP351" s="85">
        <f t="shared" si="80"/>
      </c>
      <c r="BQ351" s="85">
        <f t="shared" si="81"/>
      </c>
      <c r="BR351" s="108"/>
      <c r="BS351" s="104"/>
      <c r="BT351" s="87">
        <f t="shared" si="82"/>
      </c>
      <c r="BU351" s="85">
        <f t="shared" si="83"/>
      </c>
      <c r="BV351" s="85">
        <f t="shared" si="84"/>
      </c>
      <c r="BW351" s="87">
        <f t="shared" si="85"/>
      </c>
      <c r="BX351" s="104"/>
      <c r="BY351" s="106"/>
      <c r="BZ351" s="104"/>
      <c r="CA351" s="105"/>
      <c r="CB351" s="77">
        <f>IF($A351="",0,IF($B351='FICHA CLIENTE'!$C$4,1,0))</f>
      </c>
      <c r="CC351" s="77">
        <f t="shared" si="86"/>
      </c>
      <c r="CD351" s="77">
        <f>IF($A351="",0,IF($D351='FICHA VEHICULO'!$C$4,1,0))</f>
      </c>
      <c r="CE351" s="77">
        <f t="shared" si="87"/>
      </c>
      <c r="CF351" s="77">
        <f t="shared" si="88"/>
      </c>
      <c r="CG351" s="77">
        <f t="shared" si="89"/>
      </c>
    </row>
    <row r="352" spans="1:85" ht="19.5" customHeight="1" x14ac:dyDescent="0.2">
      <c r="A352" s="104"/>
      <c r="B352" s="104"/>
      <c r="C352" s="105"/>
      <c r="D352" s="104"/>
      <c r="E352" s="105"/>
      <c r="F352" s="106"/>
      <c r="G352" s="104"/>
      <c r="H352" s="106"/>
      <c r="I352" s="107"/>
      <c r="J352" s="108"/>
      <c r="K352" s="108"/>
      <c r="L352" s="108"/>
      <c r="M352" s="105"/>
      <c r="N352" s="105"/>
      <c r="O352" s="105"/>
      <c r="P352" s="108"/>
      <c r="Q352" s="105"/>
      <c r="R352" s="105"/>
      <c r="S352" s="105"/>
      <c r="T352" s="105"/>
      <c r="U352" s="108"/>
      <c r="V352" s="105"/>
      <c r="W352" s="105"/>
      <c r="X352" s="105"/>
      <c r="Y352" s="105"/>
      <c r="Z352" s="105"/>
      <c r="AA352" s="108"/>
      <c r="AB352" s="108"/>
      <c r="AC352" s="105"/>
      <c r="AD352" s="279"/>
      <c r="AE352" s="105"/>
      <c r="AF352" s="279"/>
      <c r="AG352" s="105"/>
      <c r="AH352" s="108"/>
      <c r="AI352" s="108"/>
      <c r="AJ352" s="108"/>
      <c r="AK352" s="108"/>
      <c r="AL352" s="105"/>
      <c r="AM352" s="108"/>
      <c r="AN352" s="105"/>
      <c r="AO352" s="108"/>
      <c r="AP352" s="108"/>
      <c r="AQ352" s="105"/>
      <c r="AR352" s="108"/>
      <c r="AS352" s="108"/>
      <c r="AT352" s="105"/>
      <c r="AU352" s="105"/>
      <c r="AV352" s="105"/>
      <c r="AW352" s="105"/>
      <c r="AX352" s="105"/>
      <c r="AY352" s="105"/>
      <c r="AZ352" s="105"/>
      <c r="BA352" s="105"/>
      <c r="BB352" s="105"/>
      <c r="BC352" s="105"/>
      <c r="BD352" s="108"/>
      <c r="BE352" s="83">
        <f>IF($A352="","",IF(TRIM($D352&amp;"")="",IF(TRIM($AX352&amp;$AY352&amp;$AZ352&amp;$BA352&amp;$BB352&amp;$BC352&amp;$BD352&amp;"")="","","SUBARRENDADO"),IFERROR(IF(VLOOKUP($D352,VEHICULOS!$A$3:$H$202,7,FALSE)="","",VLOOKUP($D352,VEHICULOS!$A$3:$H$202,7,FALSE)),"")))</f>
      </c>
      <c r="BF352" s="82">
        <f>IF($A352="","",IF(TRIM($BC352&amp;"")&lt;&gt;"",$BC352,IF(TRIM($D352&amp;"")="","",IFERROR(IF(VLOOKUP($D352,VEHICULOS!$A$3:$H$202,8,FALSE)="","",VLOOKUP($D352,VEHICULOS!$A$3:$H$202,8,FALSE)),""))))</f>
      </c>
      <c r="BG352" s="106"/>
      <c r="BH352" s="107"/>
      <c r="BI352" s="86">
        <f t="shared" si="75"/>
      </c>
      <c r="BJ352" s="83">
        <f t="shared" si="76"/>
      </c>
      <c r="BK352" s="85">
        <f t="shared" si="77"/>
      </c>
      <c r="BL352" s="85">
        <f t="shared" si="78"/>
      </c>
      <c r="BM352" s="108"/>
      <c r="BN352" s="85">
        <f t="shared" si="79"/>
      </c>
      <c r="BO352" s="108"/>
      <c r="BP352" s="85">
        <f t="shared" si="80"/>
      </c>
      <c r="BQ352" s="85">
        <f t="shared" si="81"/>
      </c>
      <c r="BR352" s="108"/>
      <c r="BS352" s="104"/>
      <c r="BT352" s="87">
        <f t="shared" si="82"/>
      </c>
      <c r="BU352" s="85">
        <f t="shared" si="83"/>
      </c>
      <c r="BV352" s="85">
        <f t="shared" si="84"/>
      </c>
      <c r="BW352" s="87">
        <f t="shared" si="85"/>
      </c>
      <c r="BX352" s="104"/>
      <c r="BY352" s="106"/>
      <c r="BZ352" s="104"/>
      <c r="CA352" s="105"/>
      <c r="CB352" s="77">
        <f>IF($A352="",0,IF($B352='FICHA CLIENTE'!$C$4,1,0))</f>
      </c>
      <c r="CC352" s="77">
        <f t="shared" si="86"/>
      </c>
      <c r="CD352" s="77">
        <f>IF($A352="",0,IF($D352='FICHA VEHICULO'!$C$4,1,0))</f>
      </c>
      <c r="CE352" s="77">
        <f t="shared" si="87"/>
      </c>
      <c r="CF352" s="77">
        <f t="shared" si="88"/>
      </c>
      <c r="CG352" s="77">
        <f t="shared" si="89"/>
      </c>
    </row>
    <row r="353" spans="1:85" ht="19.5" customHeight="1" x14ac:dyDescent="0.2">
      <c r="A353" s="104"/>
      <c r="B353" s="104"/>
      <c r="C353" s="105"/>
      <c r="D353" s="104"/>
      <c r="E353" s="105"/>
      <c r="F353" s="106"/>
      <c r="G353" s="104"/>
      <c r="H353" s="106"/>
      <c r="I353" s="107"/>
      <c r="J353" s="108"/>
      <c r="K353" s="108"/>
      <c r="L353" s="108"/>
      <c r="M353" s="105"/>
      <c r="N353" s="105"/>
      <c r="O353" s="105"/>
      <c r="P353" s="108"/>
      <c r="Q353" s="105"/>
      <c r="R353" s="105"/>
      <c r="S353" s="105"/>
      <c r="T353" s="105"/>
      <c r="U353" s="108"/>
      <c r="V353" s="105"/>
      <c r="W353" s="105"/>
      <c r="X353" s="105"/>
      <c r="Y353" s="105"/>
      <c r="Z353" s="105"/>
      <c r="AA353" s="108"/>
      <c r="AB353" s="108"/>
      <c r="AC353" s="105"/>
      <c r="AD353" s="279"/>
      <c r="AE353" s="105"/>
      <c r="AF353" s="279"/>
      <c r="AG353" s="105"/>
      <c r="AH353" s="108"/>
      <c r="AI353" s="108"/>
      <c r="AJ353" s="108"/>
      <c r="AK353" s="108"/>
      <c r="AL353" s="105"/>
      <c r="AM353" s="108"/>
      <c r="AN353" s="105"/>
      <c r="AO353" s="108"/>
      <c r="AP353" s="108"/>
      <c r="AQ353" s="105"/>
      <c r="AR353" s="108"/>
      <c r="AS353" s="108"/>
      <c r="AT353" s="105"/>
      <c r="AU353" s="105"/>
      <c r="AV353" s="105"/>
      <c r="AW353" s="105"/>
      <c r="AX353" s="105"/>
      <c r="AY353" s="105"/>
      <c r="AZ353" s="105"/>
      <c r="BA353" s="105"/>
      <c r="BB353" s="105"/>
      <c r="BC353" s="105"/>
      <c r="BD353" s="108"/>
      <c r="BE353" s="83">
        <f>IF($A353="","",IF(TRIM($D353&amp;"")="",IF(TRIM($AX353&amp;$AY353&amp;$AZ353&amp;$BA353&amp;$BB353&amp;$BC353&amp;$BD353&amp;"")="","","SUBARRENDADO"),IFERROR(IF(VLOOKUP($D353,VEHICULOS!$A$3:$H$202,7,FALSE)="","",VLOOKUP($D353,VEHICULOS!$A$3:$H$202,7,FALSE)),"")))</f>
      </c>
      <c r="BF353" s="82">
        <f>IF($A353="","",IF(TRIM($BC353&amp;"")&lt;&gt;"",$BC353,IF(TRIM($D353&amp;"")="","",IFERROR(IF(VLOOKUP($D353,VEHICULOS!$A$3:$H$202,8,FALSE)="","",VLOOKUP($D353,VEHICULOS!$A$3:$H$202,8,FALSE)),""))))</f>
      </c>
      <c r="BG353" s="106"/>
      <c r="BH353" s="107"/>
      <c r="BI353" s="86">
        <f t="shared" si="75"/>
      </c>
      <c r="BJ353" s="83">
        <f t="shared" si="76"/>
      </c>
      <c r="BK353" s="85">
        <f t="shared" si="77"/>
      </c>
      <c r="BL353" s="85">
        <f t="shared" si="78"/>
      </c>
      <c r="BM353" s="108"/>
      <c r="BN353" s="85">
        <f t="shared" si="79"/>
      </c>
      <c r="BO353" s="108"/>
      <c r="BP353" s="85">
        <f t="shared" si="80"/>
      </c>
      <c r="BQ353" s="85">
        <f t="shared" si="81"/>
      </c>
      <c r="BR353" s="108"/>
      <c r="BS353" s="104"/>
      <c r="BT353" s="87">
        <f t="shared" si="82"/>
      </c>
      <c r="BU353" s="85">
        <f t="shared" si="83"/>
      </c>
      <c r="BV353" s="85">
        <f t="shared" si="84"/>
      </c>
      <c r="BW353" s="87">
        <f t="shared" si="85"/>
      </c>
      <c r="BX353" s="104"/>
      <c r="BY353" s="106"/>
      <c r="BZ353" s="104"/>
      <c r="CA353" s="105"/>
      <c r="CB353" s="77">
        <f>IF($A353="",0,IF($B353='FICHA CLIENTE'!$C$4,1,0))</f>
      </c>
      <c r="CC353" s="77">
        <f t="shared" si="86"/>
      </c>
      <c r="CD353" s="77">
        <f>IF($A353="",0,IF($D353='FICHA VEHICULO'!$C$4,1,0))</f>
      </c>
      <c r="CE353" s="77">
        <f t="shared" si="87"/>
      </c>
      <c r="CF353" s="77">
        <f t="shared" si="88"/>
      </c>
      <c r="CG353" s="77">
        <f t="shared" si="89"/>
      </c>
    </row>
    <row r="354" spans="1:85" ht="19.5" customHeight="1" x14ac:dyDescent="0.2">
      <c r="A354" s="104"/>
      <c r="B354" s="104"/>
      <c r="C354" s="105"/>
      <c r="D354" s="104"/>
      <c r="E354" s="105"/>
      <c r="F354" s="106"/>
      <c r="G354" s="104"/>
      <c r="H354" s="106"/>
      <c r="I354" s="107"/>
      <c r="J354" s="108"/>
      <c r="K354" s="108"/>
      <c r="L354" s="108"/>
      <c r="M354" s="105"/>
      <c r="N354" s="105"/>
      <c r="O354" s="105"/>
      <c r="P354" s="108"/>
      <c r="Q354" s="105"/>
      <c r="R354" s="105"/>
      <c r="S354" s="105"/>
      <c r="T354" s="105"/>
      <c r="U354" s="108"/>
      <c r="V354" s="105"/>
      <c r="W354" s="105"/>
      <c r="X354" s="105"/>
      <c r="Y354" s="105"/>
      <c r="Z354" s="105"/>
      <c r="AA354" s="108"/>
      <c r="AB354" s="108"/>
      <c r="AC354" s="105"/>
      <c r="AD354" s="279"/>
      <c r="AE354" s="105"/>
      <c r="AF354" s="279"/>
      <c r="AG354" s="105"/>
      <c r="AH354" s="108"/>
      <c r="AI354" s="108"/>
      <c r="AJ354" s="108"/>
      <c r="AK354" s="108"/>
      <c r="AL354" s="105"/>
      <c r="AM354" s="108"/>
      <c r="AN354" s="105"/>
      <c r="AO354" s="108"/>
      <c r="AP354" s="108"/>
      <c r="AQ354" s="105"/>
      <c r="AR354" s="108"/>
      <c r="AS354" s="108"/>
      <c r="AT354" s="105"/>
      <c r="AU354" s="105"/>
      <c r="AV354" s="105"/>
      <c r="AW354" s="105"/>
      <c r="AX354" s="105"/>
      <c r="AY354" s="105"/>
      <c r="AZ354" s="105"/>
      <c r="BA354" s="105"/>
      <c r="BB354" s="105"/>
      <c r="BC354" s="105"/>
      <c r="BD354" s="108"/>
      <c r="BE354" s="83">
        <f>IF($A354="","",IF(TRIM($D354&amp;"")="",IF(TRIM($AX354&amp;$AY354&amp;$AZ354&amp;$BA354&amp;$BB354&amp;$BC354&amp;$BD354&amp;"")="","","SUBARRENDADO"),IFERROR(IF(VLOOKUP($D354,VEHICULOS!$A$3:$H$202,7,FALSE)="","",VLOOKUP($D354,VEHICULOS!$A$3:$H$202,7,FALSE)),"")))</f>
      </c>
      <c r="BF354" s="82">
        <f>IF($A354="","",IF(TRIM($BC354&amp;"")&lt;&gt;"",$BC354,IF(TRIM($D354&amp;"")="","",IFERROR(IF(VLOOKUP($D354,VEHICULOS!$A$3:$H$202,8,FALSE)="","",VLOOKUP($D354,VEHICULOS!$A$3:$H$202,8,FALSE)),""))))</f>
      </c>
      <c r="BG354" s="106"/>
      <c r="BH354" s="107"/>
      <c r="BI354" s="86">
        <f t="shared" si="75"/>
      </c>
      <c r="BJ354" s="83">
        <f t="shared" si="76"/>
      </c>
      <c r="BK354" s="85">
        <f t="shared" si="77"/>
      </c>
      <c r="BL354" s="85">
        <f t="shared" si="78"/>
      </c>
      <c r="BM354" s="108"/>
      <c r="BN354" s="85">
        <f t="shared" si="79"/>
      </c>
      <c r="BO354" s="108"/>
      <c r="BP354" s="85">
        <f t="shared" si="80"/>
      </c>
      <c r="BQ354" s="85">
        <f t="shared" si="81"/>
      </c>
      <c r="BR354" s="108"/>
      <c r="BS354" s="104"/>
      <c r="BT354" s="87">
        <f t="shared" si="82"/>
      </c>
      <c r="BU354" s="85">
        <f t="shared" si="83"/>
      </c>
      <c r="BV354" s="85">
        <f t="shared" si="84"/>
      </c>
      <c r="BW354" s="87">
        <f t="shared" si="85"/>
      </c>
      <c r="BX354" s="104"/>
      <c r="BY354" s="106"/>
      <c r="BZ354" s="104"/>
      <c r="CA354" s="105"/>
      <c r="CB354" s="77">
        <f>IF($A354="",0,IF($B354='FICHA CLIENTE'!$C$4,1,0))</f>
      </c>
      <c r="CC354" s="77">
        <f t="shared" si="86"/>
      </c>
      <c r="CD354" s="77">
        <f>IF($A354="",0,IF($D354='FICHA VEHICULO'!$C$4,1,0))</f>
      </c>
      <c r="CE354" s="77">
        <f t="shared" si="87"/>
      </c>
      <c r="CF354" s="77">
        <f t="shared" si="88"/>
      </c>
      <c r="CG354" s="77">
        <f t="shared" si="89"/>
      </c>
    </row>
    <row r="355" spans="1:85" ht="19.5" customHeight="1" x14ac:dyDescent="0.2">
      <c r="A355" s="104"/>
      <c r="B355" s="104"/>
      <c r="C355" s="105"/>
      <c r="D355" s="104"/>
      <c r="E355" s="105"/>
      <c r="F355" s="106"/>
      <c r="G355" s="104"/>
      <c r="H355" s="106"/>
      <c r="I355" s="107"/>
      <c r="J355" s="108"/>
      <c r="K355" s="108"/>
      <c r="L355" s="108"/>
      <c r="M355" s="105"/>
      <c r="N355" s="105"/>
      <c r="O355" s="105"/>
      <c r="P355" s="108"/>
      <c r="Q355" s="105"/>
      <c r="R355" s="105"/>
      <c r="S355" s="105"/>
      <c r="T355" s="105"/>
      <c r="U355" s="108"/>
      <c r="V355" s="105"/>
      <c r="W355" s="105"/>
      <c r="X355" s="105"/>
      <c r="Y355" s="105"/>
      <c r="Z355" s="105"/>
      <c r="AA355" s="108"/>
      <c r="AB355" s="108"/>
      <c r="AC355" s="105"/>
      <c r="AD355" s="279"/>
      <c r="AE355" s="105"/>
      <c r="AF355" s="279"/>
      <c r="AG355" s="105"/>
      <c r="AH355" s="108"/>
      <c r="AI355" s="108"/>
      <c r="AJ355" s="108"/>
      <c r="AK355" s="108"/>
      <c r="AL355" s="105"/>
      <c r="AM355" s="108"/>
      <c r="AN355" s="105"/>
      <c r="AO355" s="108"/>
      <c r="AP355" s="108"/>
      <c r="AQ355" s="105"/>
      <c r="AR355" s="108"/>
      <c r="AS355" s="108"/>
      <c r="AT355" s="105"/>
      <c r="AU355" s="105"/>
      <c r="AV355" s="105"/>
      <c r="AW355" s="105"/>
      <c r="AX355" s="105"/>
      <c r="AY355" s="105"/>
      <c r="AZ355" s="105"/>
      <c r="BA355" s="105"/>
      <c r="BB355" s="105"/>
      <c r="BC355" s="105"/>
      <c r="BD355" s="108"/>
      <c r="BE355" s="83">
        <f>IF($A355="","",IF(TRIM($D355&amp;"")="",IF(TRIM($AX355&amp;$AY355&amp;$AZ355&amp;$BA355&amp;$BB355&amp;$BC355&amp;$BD355&amp;"")="","","SUBARRENDADO"),IFERROR(IF(VLOOKUP($D355,VEHICULOS!$A$3:$H$202,7,FALSE)="","",VLOOKUP($D355,VEHICULOS!$A$3:$H$202,7,FALSE)),"")))</f>
      </c>
      <c r="BF355" s="82">
        <f>IF($A355="","",IF(TRIM($BC355&amp;"")&lt;&gt;"",$BC355,IF(TRIM($D355&amp;"")="","",IFERROR(IF(VLOOKUP($D355,VEHICULOS!$A$3:$H$202,8,FALSE)="","",VLOOKUP($D355,VEHICULOS!$A$3:$H$202,8,FALSE)),""))))</f>
      </c>
      <c r="BG355" s="106"/>
      <c r="BH355" s="107"/>
      <c r="BI355" s="86">
        <f t="shared" si="75"/>
      </c>
      <c r="BJ355" s="83">
        <f t="shared" si="76"/>
      </c>
      <c r="BK355" s="85">
        <f t="shared" si="77"/>
      </c>
      <c r="BL355" s="85">
        <f t="shared" si="78"/>
      </c>
      <c r="BM355" s="108"/>
      <c r="BN355" s="85">
        <f t="shared" si="79"/>
      </c>
      <c r="BO355" s="108"/>
      <c r="BP355" s="85">
        <f t="shared" si="80"/>
      </c>
      <c r="BQ355" s="85">
        <f t="shared" si="81"/>
      </c>
      <c r="BR355" s="108"/>
      <c r="BS355" s="104"/>
      <c r="BT355" s="87">
        <f t="shared" si="82"/>
      </c>
      <c r="BU355" s="85">
        <f t="shared" si="83"/>
      </c>
      <c r="BV355" s="85">
        <f t="shared" si="84"/>
      </c>
      <c r="BW355" s="87">
        <f t="shared" si="85"/>
      </c>
      <c r="BX355" s="104"/>
      <c r="BY355" s="106"/>
      <c r="BZ355" s="104"/>
      <c r="CA355" s="105"/>
      <c r="CB355" s="77">
        <f>IF($A355="",0,IF($B355='FICHA CLIENTE'!$C$4,1,0))</f>
      </c>
      <c r="CC355" s="77">
        <f t="shared" si="86"/>
      </c>
      <c r="CD355" s="77">
        <f>IF($A355="",0,IF($D355='FICHA VEHICULO'!$C$4,1,0))</f>
      </c>
      <c r="CE355" s="77">
        <f t="shared" si="87"/>
      </c>
      <c r="CF355" s="77">
        <f t="shared" si="88"/>
      </c>
      <c r="CG355" s="77">
        <f t="shared" si="89"/>
      </c>
    </row>
    <row r="356" spans="1:85" ht="19.5" customHeight="1" x14ac:dyDescent="0.2">
      <c r="A356" s="104"/>
      <c r="B356" s="104"/>
      <c r="C356" s="105"/>
      <c r="D356" s="104"/>
      <c r="E356" s="105"/>
      <c r="F356" s="106"/>
      <c r="G356" s="104"/>
      <c r="H356" s="106"/>
      <c r="I356" s="107"/>
      <c r="J356" s="108"/>
      <c r="K356" s="108"/>
      <c r="L356" s="108"/>
      <c r="M356" s="105"/>
      <c r="N356" s="105"/>
      <c r="O356" s="105"/>
      <c r="P356" s="108"/>
      <c r="Q356" s="105"/>
      <c r="R356" s="105"/>
      <c r="S356" s="105"/>
      <c r="T356" s="105"/>
      <c r="U356" s="108"/>
      <c r="V356" s="105"/>
      <c r="W356" s="105"/>
      <c r="X356" s="105"/>
      <c r="Y356" s="105"/>
      <c r="Z356" s="105"/>
      <c r="AA356" s="108"/>
      <c r="AB356" s="108"/>
      <c r="AC356" s="105"/>
      <c r="AD356" s="279"/>
      <c r="AE356" s="105"/>
      <c r="AF356" s="279"/>
      <c r="AG356" s="105"/>
      <c r="AH356" s="108"/>
      <c r="AI356" s="108"/>
      <c r="AJ356" s="108"/>
      <c r="AK356" s="108"/>
      <c r="AL356" s="105"/>
      <c r="AM356" s="108"/>
      <c r="AN356" s="105"/>
      <c r="AO356" s="108"/>
      <c r="AP356" s="108"/>
      <c r="AQ356" s="105"/>
      <c r="AR356" s="108"/>
      <c r="AS356" s="108"/>
      <c r="AT356" s="105"/>
      <c r="AU356" s="105"/>
      <c r="AV356" s="105"/>
      <c r="AW356" s="105"/>
      <c r="AX356" s="105"/>
      <c r="AY356" s="105"/>
      <c r="AZ356" s="105"/>
      <c r="BA356" s="105"/>
      <c r="BB356" s="105"/>
      <c r="BC356" s="105"/>
      <c r="BD356" s="108"/>
      <c r="BE356" s="83">
        <f>IF($A356="","",IF(TRIM($D356&amp;"")="",IF(TRIM($AX356&amp;$AY356&amp;$AZ356&amp;$BA356&amp;$BB356&amp;$BC356&amp;$BD356&amp;"")="","","SUBARRENDADO"),IFERROR(IF(VLOOKUP($D356,VEHICULOS!$A$3:$H$202,7,FALSE)="","",VLOOKUP($D356,VEHICULOS!$A$3:$H$202,7,FALSE)),"")))</f>
      </c>
      <c r="BF356" s="82">
        <f>IF($A356="","",IF(TRIM($BC356&amp;"")&lt;&gt;"",$BC356,IF(TRIM($D356&amp;"")="","",IFERROR(IF(VLOOKUP($D356,VEHICULOS!$A$3:$H$202,8,FALSE)="","",VLOOKUP($D356,VEHICULOS!$A$3:$H$202,8,FALSE)),""))))</f>
      </c>
      <c r="BG356" s="106"/>
      <c r="BH356" s="107"/>
      <c r="BI356" s="86">
        <f t="shared" si="75"/>
      </c>
      <c r="BJ356" s="83">
        <f t="shared" si="76"/>
      </c>
      <c r="BK356" s="85">
        <f t="shared" si="77"/>
      </c>
      <c r="BL356" s="85">
        <f t="shared" si="78"/>
      </c>
      <c r="BM356" s="108"/>
      <c r="BN356" s="85">
        <f t="shared" si="79"/>
      </c>
      <c r="BO356" s="108"/>
      <c r="BP356" s="85">
        <f t="shared" si="80"/>
      </c>
      <c r="BQ356" s="85">
        <f t="shared" si="81"/>
      </c>
      <c r="BR356" s="108"/>
      <c r="BS356" s="104"/>
      <c r="BT356" s="87">
        <f t="shared" si="82"/>
      </c>
      <c r="BU356" s="85">
        <f t="shared" si="83"/>
      </c>
      <c r="BV356" s="85">
        <f t="shared" si="84"/>
      </c>
      <c r="BW356" s="87">
        <f t="shared" si="85"/>
      </c>
      <c r="BX356" s="104"/>
      <c r="BY356" s="106"/>
      <c r="BZ356" s="104"/>
      <c r="CA356" s="105"/>
      <c r="CB356" s="77">
        <f>IF($A356="",0,IF($B356='FICHA CLIENTE'!$C$4,1,0))</f>
      </c>
      <c r="CC356" s="77">
        <f t="shared" si="86"/>
      </c>
      <c r="CD356" s="77">
        <f>IF($A356="",0,IF($D356='FICHA VEHICULO'!$C$4,1,0))</f>
      </c>
      <c r="CE356" s="77">
        <f t="shared" si="87"/>
      </c>
      <c r="CF356" s="77">
        <f t="shared" si="88"/>
      </c>
      <c r="CG356" s="77">
        <f t="shared" si="89"/>
      </c>
    </row>
    <row r="357" spans="1:85" ht="19.5" customHeight="1" x14ac:dyDescent="0.2">
      <c r="A357" s="104"/>
      <c r="B357" s="104"/>
      <c r="C357" s="105"/>
      <c r="D357" s="104"/>
      <c r="E357" s="105"/>
      <c r="F357" s="106"/>
      <c r="G357" s="104"/>
      <c r="H357" s="106"/>
      <c r="I357" s="107"/>
      <c r="J357" s="108"/>
      <c r="K357" s="108"/>
      <c r="L357" s="108"/>
      <c r="M357" s="105"/>
      <c r="N357" s="105"/>
      <c r="O357" s="105"/>
      <c r="P357" s="108"/>
      <c r="Q357" s="105"/>
      <c r="R357" s="105"/>
      <c r="S357" s="105"/>
      <c r="T357" s="105"/>
      <c r="U357" s="108"/>
      <c r="V357" s="105"/>
      <c r="W357" s="105"/>
      <c r="X357" s="105"/>
      <c r="Y357" s="105"/>
      <c r="Z357" s="105"/>
      <c r="AA357" s="108"/>
      <c r="AB357" s="108"/>
      <c r="AC357" s="105"/>
      <c r="AD357" s="279"/>
      <c r="AE357" s="105"/>
      <c r="AF357" s="279"/>
      <c r="AG357" s="105"/>
      <c r="AH357" s="108"/>
      <c r="AI357" s="108"/>
      <c r="AJ357" s="108"/>
      <c r="AK357" s="108"/>
      <c r="AL357" s="105"/>
      <c r="AM357" s="108"/>
      <c r="AN357" s="105"/>
      <c r="AO357" s="108"/>
      <c r="AP357" s="108"/>
      <c r="AQ357" s="105"/>
      <c r="AR357" s="108"/>
      <c r="AS357" s="108"/>
      <c r="AT357" s="105"/>
      <c r="AU357" s="105"/>
      <c r="AV357" s="105"/>
      <c r="AW357" s="105"/>
      <c r="AX357" s="105"/>
      <c r="AY357" s="105"/>
      <c r="AZ357" s="105"/>
      <c r="BA357" s="105"/>
      <c r="BB357" s="105"/>
      <c r="BC357" s="105"/>
      <c r="BD357" s="108"/>
      <c r="BE357" s="83">
        <f>IF($A357="","",IF(TRIM($D357&amp;"")="",IF(TRIM($AX357&amp;$AY357&amp;$AZ357&amp;$BA357&amp;$BB357&amp;$BC357&amp;$BD357&amp;"")="","","SUBARRENDADO"),IFERROR(IF(VLOOKUP($D357,VEHICULOS!$A$3:$H$202,7,FALSE)="","",VLOOKUP($D357,VEHICULOS!$A$3:$H$202,7,FALSE)),"")))</f>
      </c>
      <c r="BF357" s="82">
        <f>IF($A357="","",IF(TRIM($BC357&amp;"")&lt;&gt;"",$BC357,IF(TRIM($D357&amp;"")="","",IFERROR(IF(VLOOKUP($D357,VEHICULOS!$A$3:$H$202,8,FALSE)="","",VLOOKUP($D357,VEHICULOS!$A$3:$H$202,8,FALSE)),""))))</f>
      </c>
      <c r="BG357" s="106"/>
      <c r="BH357" s="107"/>
      <c r="BI357" s="86">
        <f t="shared" si="75"/>
      </c>
      <c r="BJ357" s="83">
        <f t="shared" si="76"/>
      </c>
      <c r="BK357" s="85">
        <f t="shared" si="77"/>
      </c>
      <c r="BL357" s="85">
        <f t="shared" si="78"/>
      </c>
      <c r="BM357" s="108"/>
      <c r="BN357" s="85">
        <f t="shared" si="79"/>
      </c>
      <c r="BO357" s="108"/>
      <c r="BP357" s="85">
        <f t="shared" si="80"/>
      </c>
      <c r="BQ357" s="85">
        <f t="shared" si="81"/>
      </c>
      <c r="BR357" s="108"/>
      <c r="BS357" s="104"/>
      <c r="BT357" s="87">
        <f t="shared" si="82"/>
      </c>
      <c r="BU357" s="85">
        <f t="shared" si="83"/>
      </c>
      <c r="BV357" s="85">
        <f t="shared" si="84"/>
      </c>
      <c r="BW357" s="87">
        <f t="shared" si="85"/>
      </c>
      <c r="BX357" s="104"/>
      <c r="BY357" s="106"/>
      <c r="BZ357" s="104"/>
      <c r="CA357" s="105"/>
      <c r="CB357" s="77">
        <f>IF($A357="",0,IF($B357='FICHA CLIENTE'!$C$4,1,0))</f>
      </c>
      <c r="CC357" s="77">
        <f t="shared" si="86"/>
      </c>
      <c r="CD357" s="77">
        <f>IF($A357="",0,IF($D357='FICHA VEHICULO'!$C$4,1,0))</f>
      </c>
      <c r="CE357" s="77">
        <f t="shared" si="87"/>
      </c>
      <c r="CF357" s="77">
        <f t="shared" si="88"/>
      </c>
      <c r="CG357" s="77">
        <f t="shared" si="89"/>
      </c>
    </row>
    <row r="358" spans="1:85" ht="19.5" customHeight="1" x14ac:dyDescent="0.2">
      <c r="A358" s="104"/>
      <c r="B358" s="104"/>
      <c r="C358" s="105"/>
      <c r="D358" s="104"/>
      <c r="E358" s="105"/>
      <c r="F358" s="106"/>
      <c r="G358" s="104"/>
      <c r="H358" s="106"/>
      <c r="I358" s="107"/>
      <c r="J358" s="108"/>
      <c r="K358" s="108"/>
      <c r="L358" s="108"/>
      <c r="M358" s="105"/>
      <c r="N358" s="105"/>
      <c r="O358" s="105"/>
      <c r="P358" s="108"/>
      <c r="Q358" s="105"/>
      <c r="R358" s="105"/>
      <c r="S358" s="105"/>
      <c r="T358" s="105"/>
      <c r="U358" s="108"/>
      <c r="V358" s="105"/>
      <c r="W358" s="105"/>
      <c r="X358" s="105"/>
      <c r="Y358" s="105"/>
      <c r="Z358" s="105"/>
      <c r="AA358" s="108"/>
      <c r="AB358" s="108"/>
      <c r="AC358" s="105"/>
      <c r="AD358" s="279"/>
      <c r="AE358" s="105"/>
      <c r="AF358" s="279"/>
      <c r="AG358" s="105"/>
      <c r="AH358" s="108"/>
      <c r="AI358" s="108"/>
      <c r="AJ358" s="108"/>
      <c r="AK358" s="108"/>
      <c r="AL358" s="105"/>
      <c r="AM358" s="108"/>
      <c r="AN358" s="105"/>
      <c r="AO358" s="108"/>
      <c r="AP358" s="108"/>
      <c r="AQ358" s="105"/>
      <c r="AR358" s="108"/>
      <c r="AS358" s="108"/>
      <c r="AT358" s="105"/>
      <c r="AU358" s="105"/>
      <c r="AV358" s="105"/>
      <c r="AW358" s="105"/>
      <c r="AX358" s="105"/>
      <c r="AY358" s="105"/>
      <c r="AZ358" s="105"/>
      <c r="BA358" s="105"/>
      <c r="BB358" s="105"/>
      <c r="BC358" s="105"/>
      <c r="BD358" s="108"/>
      <c r="BE358" s="83">
        <f>IF($A358="","",IF(TRIM($D358&amp;"")="",IF(TRIM($AX358&amp;$AY358&amp;$AZ358&amp;$BA358&amp;$BB358&amp;$BC358&amp;$BD358&amp;"")="","","SUBARRENDADO"),IFERROR(IF(VLOOKUP($D358,VEHICULOS!$A$3:$H$202,7,FALSE)="","",VLOOKUP($D358,VEHICULOS!$A$3:$H$202,7,FALSE)),"")))</f>
      </c>
      <c r="BF358" s="82">
        <f>IF($A358="","",IF(TRIM($BC358&amp;"")&lt;&gt;"",$BC358,IF(TRIM($D358&amp;"")="","",IFERROR(IF(VLOOKUP($D358,VEHICULOS!$A$3:$H$202,8,FALSE)="","",VLOOKUP($D358,VEHICULOS!$A$3:$H$202,8,FALSE)),""))))</f>
      </c>
      <c r="BG358" s="106"/>
      <c r="BH358" s="107"/>
      <c r="BI358" s="86">
        <f t="shared" si="75"/>
      </c>
      <c r="BJ358" s="83">
        <f t="shared" si="76"/>
      </c>
      <c r="BK358" s="85">
        <f t="shared" si="77"/>
      </c>
      <c r="BL358" s="85">
        <f t="shared" si="78"/>
      </c>
      <c r="BM358" s="108"/>
      <c r="BN358" s="85">
        <f t="shared" si="79"/>
      </c>
      <c r="BO358" s="108"/>
      <c r="BP358" s="85">
        <f t="shared" si="80"/>
      </c>
      <c r="BQ358" s="85">
        <f t="shared" si="81"/>
      </c>
      <c r="BR358" s="108"/>
      <c r="BS358" s="104"/>
      <c r="BT358" s="87">
        <f t="shared" si="82"/>
      </c>
      <c r="BU358" s="85">
        <f t="shared" si="83"/>
      </c>
      <c r="BV358" s="85">
        <f t="shared" si="84"/>
      </c>
      <c r="BW358" s="87">
        <f t="shared" si="85"/>
      </c>
      <c r="BX358" s="104"/>
      <c r="BY358" s="106"/>
      <c r="BZ358" s="104"/>
      <c r="CA358" s="105"/>
      <c r="CB358" s="77">
        <f>IF($A358="",0,IF($B358='FICHA CLIENTE'!$C$4,1,0))</f>
      </c>
      <c r="CC358" s="77">
        <f t="shared" si="86"/>
      </c>
      <c r="CD358" s="77">
        <f>IF($A358="",0,IF($D358='FICHA VEHICULO'!$C$4,1,0))</f>
      </c>
      <c r="CE358" s="77">
        <f t="shared" si="87"/>
      </c>
      <c r="CF358" s="77">
        <f t="shared" si="88"/>
      </c>
      <c r="CG358" s="77">
        <f t="shared" si="89"/>
      </c>
    </row>
    <row r="359" spans="1:85" ht="19.5" customHeight="1" x14ac:dyDescent="0.2">
      <c r="A359" s="104"/>
      <c r="B359" s="104"/>
      <c r="C359" s="105"/>
      <c r="D359" s="104"/>
      <c r="E359" s="105"/>
      <c r="F359" s="106"/>
      <c r="G359" s="104"/>
      <c r="H359" s="106"/>
      <c r="I359" s="107"/>
      <c r="J359" s="108"/>
      <c r="K359" s="108"/>
      <c r="L359" s="108"/>
      <c r="M359" s="105"/>
      <c r="N359" s="105"/>
      <c r="O359" s="105"/>
      <c r="P359" s="108"/>
      <c r="Q359" s="105"/>
      <c r="R359" s="105"/>
      <c r="S359" s="105"/>
      <c r="T359" s="105"/>
      <c r="U359" s="108"/>
      <c r="V359" s="105"/>
      <c r="W359" s="105"/>
      <c r="X359" s="105"/>
      <c r="Y359" s="105"/>
      <c r="Z359" s="105"/>
      <c r="AA359" s="108"/>
      <c r="AB359" s="108"/>
      <c r="AC359" s="105"/>
      <c r="AD359" s="279"/>
      <c r="AE359" s="105"/>
      <c r="AF359" s="279"/>
      <c r="AG359" s="105"/>
      <c r="AH359" s="108"/>
      <c r="AI359" s="108"/>
      <c r="AJ359" s="108"/>
      <c r="AK359" s="108"/>
      <c r="AL359" s="105"/>
      <c r="AM359" s="108"/>
      <c r="AN359" s="105"/>
      <c r="AO359" s="108"/>
      <c r="AP359" s="108"/>
      <c r="AQ359" s="105"/>
      <c r="AR359" s="108"/>
      <c r="AS359" s="108"/>
      <c r="AT359" s="105"/>
      <c r="AU359" s="105"/>
      <c r="AV359" s="105"/>
      <c r="AW359" s="105"/>
      <c r="AX359" s="105"/>
      <c r="AY359" s="105"/>
      <c r="AZ359" s="105"/>
      <c r="BA359" s="105"/>
      <c r="BB359" s="105"/>
      <c r="BC359" s="105"/>
      <c r="BD359" s="108"/>
      <c r="BE359" s="83">
        <f>IF($A359="","",IF(TRIM($D359&amp;"")="",IF(TRIM($AX359&amp;$AY359&amp;$AZ359&amp;$BA359&amp;$BB359&amp;$BC359&amp;$BD359&amp;"")="","","SUBARRENDADO"),IFERROR(IF(VLOOKUP($D359,VEHICULOS!$A$3:$H$202,7,FALSE)="","",VLOOKUP($D359,VEHICULOS!$A$3:$H$202,7,FALSE)),"")))</f>
      </c>
      <c r="BF359" s="82">
        <f>IF($A359="","",IF(TRIM($BC359&amp;"")&lt;&gt;"",$BC359,IF(TRIM($D359&amp;"")="","",IFERROR(IF(VLOOKUP($D359,VEHICULOS!$A$3:$H$202,8,FALSE)="","",VLOOKUP($D359,VEHICULOS!$A$3:$H$202,8,FALSE)),""))))</f>
      </c>
      <c r="BG359" s="106"/>
      <c r="BH359" s="107"/>
      <c r="BI359" s="86">
        <f t="shared" si="75"/>
      </c>
      <c r="BJ359" s="83">
        <f t="shared" si="76"/>
      </c>
      <c r="BK359" s="85">
        <f t="shared" si="77"/>
      </c>
      <c r="BL359" s="85">
        <f t="shared" si="78"/>
      </c>
      <c r="BM359" s="108"/>
      <c r="BN359" s="85">
        <f t="shared" si="79"/>
      </c>
      <c r="BO359" s="108"/>
      <c r="BP359" s="85">
        <f t="shared" si="80"/>
      </c>
      <c r="BQ359" s="85">
        <f t="shared" si="81"/>
      </c>
      <c r="BR359" s="108"/>
      <c r="BS359" s="104"/>
      <c r="BT359" s="87">
        <f t="shared" si="82"/>
      </c>
      <c r="BU359" s="85">
        <f t="shared" si="83"/>
      </c>
      <c r="BV359" s="85">
        <f t="shared" si="84"/>
      </c>
      <c r="BW359" s="87">
        <f t="shared" si="85"/>
      </c>
      <c r="BX359" s="104"/>
      <c r="BY359" s="106"/>
      <c r="BZ359" s="104"/>
      <c r="CA359" s="105"/>
      <c r="CB359" s="77">
        <f>IF($A359="",0,IF($B359='FICHA CLIENTE'!$C$4,1,0))</f>
      </c>
      <c r="CC359" s="77">
        <f t="shared" si="86"/>
      </c>
      <c r="CD359" s="77">
        <f>IF($A359="",0,IF($D359='FICHA VEHICULO'!$C$4,1,0))</f>
      </c>
      <c r="CE359" s="77">
        <f t="shared" si="87"/>
      </c>
      <c r="CF359" s="77">
        <f t="shared" si="88"/>
      </c>
      <c r="CG359" s="77">
        <f t="shared" si="89"/>
      </c>
    </row>
    <row r="360" spans="1:85" ht="19.5" customHeight="1" x14ac:dyDescent="0.2">
      <c r="A360" s="104"/>
      <c r="B360" s="104"/>
      <c r="C360" s="105"/>
      <c r="D360" s="104"/>
      <c r="E360" s="105"/>
      <c r="F360" s="106"/>
      <c r="G360" s="104"/>
      <c r="H360" s="106"/>
      <c r="I360" s="107"/>
      <c r="J360" s="108"/>
      <c r="K360" s="108"/>
      <c r="L360" s="108"/>
      <c r="M360" s="105"/>
      <c r="N360" s="105"/>
      <c r="O360" s="105"/>
      <c r="P360" s="108"/>
      <c r="Q360" s="105"/>
      <c r="R360" s="105"/>
      <c r="S360" s="105"/>
      <c r="T360" s="105"/>
      <c r="U360" s="108"/>
      <c r="V360" s="105"/>
      <c r="W360" s="105"/>
      <c r="X360" s="105"/>
      <c r="Y360" s="105"/>
      <c r="Z360" s="105"/>
      <c r="AA360" s="108"/>
      <c r="AB360" s="108"/>
      <c r="AC360" s="105"/>
      <c r="AD360" s="279"/>
      <c r="AE360" s="105"/>
      <c r="AF360" s="279"/>
      <c r="AG360" s="105"/>
      <c r="AH360" s="108"/>
      <c r="AI360" s="108"/>
      <c r="AJ360" s="108"/>
      <c r="AK360" s="108"/>
      <c r="AL360" s="105"/>
      <c r="AM360" s="108"/>
      <c r="AN360" s="105"/>
      <c r="AO360" s="108"/>
      <c r="AP360" s="108"/>
      <c r="AQ360" s="105"/>
      <c r="AR360" s="108"/>
      <c r="AS360" s="108"/>
      <c r="AT360" s="105"/>
      <c r="AU360" s="105"/>
      <c r="AV360" s="105"/>
      <c r="AW360" s="105"/>
      <c r="AX360" s="105"/>
      <c r="AY360" s="105"/>
      <c r="AZ360" s="105"/>
      <c r="BA360" s="105"/>
      <c r="BB360" s="105"/>
      <c r="BC360" s="105"/>
      <c r="BD360" s="108"/>
      <c r="BE360" s="83">
        <f>IF($A360="","",IF(TRIM($D360&amp;"")="",IF(TRIM($AX360&amp;$AY360&amp;$AZ360&amp;$BA360&amp;$BB360&amp;$BC360&amp;$BD360&amp;"")="","","SUBARRENDADO"),IFERROR(IF(VLOOKUP($D360,VEHICULOS!$A$3:$H$202,7,FALSE)="","",VLOOKUP($D360,VEHICULOS!$A$3:$H$202,7,FALSE)),"")))</f>
      </c>
      <c r="BF360" s="82">
        <f>IF($A360="","",IF(TRIM($BC360&amp;"")&lt;&gt;"",$BC360,IF(TRIM($D360&amp;"")="","",IFERROR(IF(VLOOKUP($D360,VEHICULOS!$A$3:$H$202,8,FALSE)="","",VLOOKUP($D360,VEHICULOS!$A$3:$H$202,8,FALSE)),""))))</f>
      </c>
      <c r="BG360" s="106"/>
      <c r="BH360" s="107"/>
      <c r="BI360" s="86">
        <f t="shared" si="75"/>
      </c>
      <c r="BJ360" s="83">
        <f t="shared" si="76"/>
      </c>
      <c r="BK360" s="85">
        <f t="shared" si="77"/>
      </c>
      <c r="BL360" s="85">
        <f t="shared" si="78"/>
      </c>
      <c r="BM360" s="108"/>
      <c r="BN360" s="85">
        <f t="shared" si="79"/>
      </c>
      <c r="BO360" s="108"/>
      <c r="BP360" s="85">
        <f t="shared" si="80"/>
      </c>
      <c r="BQ360" s="85">
        <f t="shared" si="81"/>
      </c>
      <c r="BR360" s="108"/>
      <c r="BS360" s="104"/>
      <c r="BT360" s="87">
        <f t="shared" si="82"/>
      </c>
      <c r="BU360" s="85">
        <f t="shared" si="83"/>
      </c>
      <c r="BV360" s="85">
        <f t="shared" si="84"/>
      </c>
      <c r="BW360" s="87">
        <f t="shared" si="85"/>
      </c>
      <c r="BX360" s="104"/>
      <c r="BY360" s="106"/>
      <c r="BZ360" s="104"/>
      <c r="CA360" s="105"/>
      <c r="CB360" s="77">
        <f>IF($A360="",0,IF($B360='FICHA CLIENTE'!$C$4,1,0))</f>
      </c>
      <c r="CC360" s="77">
        <f t="shared" si="86"/>
      </c>
      <c r="CD360" s="77">
        <f>IF($A360="",0,IF($D360='FICHA VEHICULO'!$C$4,1,0))</f>
      </c>
      <c r="CE360" s="77">
        <f t="shared" si="87"/>
      </c>
      <c r="CF360" s="77">
        <f t="shared" si="88"/>
      </c>
      <c r="CG360" s="77">
        <f t="shared" si="89"/>
      </c>
    </row>
    <row r="361" spans="1:85" ht="19.5" customHeight="1" x14ac:dyDescent="0.2">
      <c r="A361" s="104"/>
      <c r="B361" s="104"/>
      <c r="C361" s="105"/>
      <c r="D361" s="104"/>
      <c r="E361" s="105"/>
      <c r="F361" s="106"/>
      <c r="G361" s="104"/>
      <c r="H361" s="106"/>
      <c r="I361" s="107"/>
      <c r="J361" s="108"/>
      <c r="K361" s="108"/>
      <c r="L361" s="108"/>
      <c r="M361" s="105"/>
      <c r="N361" s="105"/>
      <c r="O361" s="105"/>
      <c r="P361" s="108"/>
      <c r="Q361" s="105"/>
      <c r="R361" s="105"/>
      <c r="S361" s="105"/>
      <c r="T361" s="105"/>
      <c r="U361" s="108"/>
      <c r="V361" s="105"/>
      <c r="W361" s="105"/>
      <c r="X361" s="105"/>
      <c r="Y361" s="105"/>
      <c r="Z361" s="105"/>
      <c r="AA361" s="108"/>
      <c r="AB361" s="108"/>
      <c r="AC361" s="105"/>
      <c r="AD361" s="279"/>
      <c r="AE361" s="105"/>
      <c r="AF361" s="279"/>
      <c r="AG361" s="105"/>
      <c r="AH361" s="108"/>
      <c r="AI361" s="108"/>
      <c r="AJ361" s="108"/>
      <c r="AK361" s="108"/>
      <c r="AL361" s="105"/>
      <c r="AM361" s="108"/>
      <c r="AN361" s="105"/>
      <c r="AO361" s="108"/>
      <c r="AP361" s="108"/>
      <c r="AQ361" s="105"/>
      <c r="AR361" s="108"/>
      <c r="AS361" s="108"/>
      <c r="AT361" s="105"/>
      <c r="AU361" s="105"/>
      <c r="AV361" s="105"/>
      <c r="AW361" s="105"/>
      <c r="AX361" s="105"/>
      <c r="AY361" s="105"/>
      <c r="AZ361" s="105"/>
      <c r="BA361" s="105"/>
      <c r="BB361" s="105"/>
      <c r="BC361" s="105"/>
      <c r="BD361" s="108"/>
      <c r="BE361" s="83">
        <f>IF($A361="","",IF(TRIM($D361&amp;"")="",IF(TRIM($AX361&amp;$AY361&amp;$AZ361&amp;$BA361&amp;$BB361&amp;$BC361&amp;$BD361&amp;"")="","","SUBARRENDADO"),IFERROR(IF(VLOOKUP($D361,VEHICULOS!$A$3:$H$202,7,FALSE)="","",VLOOKUP($D361,VEHICULOS!$A$3:$H$202,7,FALSE)),"")))</f>
      </c>
      <c r="BF361" s="82">
        <f>IF($A361="","",IF(TRIM($BC361&amp;"")&lt;&gt;"",$BC361,IF(TRIM($D361&amp;"")="","",IFERROR(IF(VLOOKUP($D361,VEHICULOS!$A$3:$H$202,8,FALSE)="","",VLOOKUP($D361,VEHICULOS!$A$3:$H$202,8,FALSE)),""))))</f>
      </c>
      <c r="BG361" s="106"/>
      <c r="BH361" s="107"/>
      <c r="BI361" s="86">
        <f t="shared" si="75"/>
      </c>
      <c r="BJ361" s="83">
        <f t="shared" si="76"/>
      </c>
      <c r="BK361" s="85">
        <f t="shared" si="77"/>
      </c>
      <c r="BL361" s="85">
        <f t="shared" si="78"/>
      </c>
      <c r="BM361" s="108"/>
      <c r="BN361" s="85">
        <f t="shared" si="79"/>
      </c>
      <c r="BO361" s="108"/>
      <c r="BP361" s="85">
        <f t="shared" si="80"/>
      </c>
      <c r="BQ361" s="85">
        <f t="shared" si="81"/>
      </c>
      <c r="BR361" s="108"/>
      <c r="BS361" s="104"/>
      <c r="BT361" s="87">
        <f t="shared" si="82"/>
      </c>
      <c r="BU361" s="85">
        <f t="shared" si="83"/>
      </c>
      <c r="BV361" s="85">
        <f t="shared" si="84"/>
      </c>
      <c r="BW361" s="87">
        <f t="shared" si="85"/>
      </c>
      <c r="BX361" s="104"/>
      <c r="BY361" s="106"/>
      <c r="BZ361" s="104"/>
      <c r="CA361" s="105"/>
      <c r="CB361" s="77">
        <f>IF($A361="",0,IF($B361='FICHA CLIENTE'!$C$4,1,0))</f>
      </c>
      <c r="CC361" s="77">
        <f t="shared" si="86"/>
      </c>
      <c r="CD361" s="77">
        <f>IF($A361="",0,IF($D361='FICHA VEHICULO'!$C$4,1,0))</f>
      </c>
      <c r="CE361" s="77">
        <f t="shared" si="87"/>
      </c>
      <c r="CF361" s="77">
        <f t="shared" si="88"/>
      </c>
      <c r="CG361" s="77">
        <f t="shared" si="89"/>
      </c>
    </row>
    <row r="362" spans="1:85" ht="19.5" customHeight="1" x14ac:dyDescent="0.2">
      <c r="A362" s="104"/>
      <c r="B362" s="104"/>
      <c r="C362" s="105"/>
      <c r="D362" s="104"/>
      <c r="E362" s="105"/>
      <c r="F362" s="106"/>
      <c r="G362" s="104"/>
      <c r="H362" s="106"/>
      <c r="I362" s="107"/>
      <c r="J362" s="108"/>
      <c r="K362" s="108"/>
      <c r="L362" s="108"/>
      <c r="M362" s="105"/>
      <c r="N362" s="105"/>
      <c r="O362" s="105"/>
      <c r="P362" s="108"/>
      <c r="Q362" s="105"/>
      <c r="R362" s="105"/>
      <c r="S362" s="105"/>
      <c r="T362" s="105"/>
      <c r="U362" s="108"/>
      <c r="V362" s="105"/>
      <c r="W362" s="105"/>
      <c r="X362" s="105"/>
      <c r="Y362" s="105"/>
      <c r="Z362" s="105"/>
      <c r="AA362" s="108"/>
      <c r="AB362" s="108"/>
      <c r="AC362" s="105"/>
      <c r="AD362" s="279"/>
      <c r="AE362" s="105"/>
      <c r="AF362" s="279"/>
      <c r="AG362" s="105"/>
      <c r="AH362" s="108"/>
      <c r="AI362" s="108"/>
      <c r="AJ362" s="108"/>
      <c r="AK362" s="108"/>
      <c r="AL362" s="105"/>
      <c r="AM362" s="108"/>
      <c r="AN362" s="105"/>
      <c r="AO362" s="108"/>
      <c r="AP362" s="108"/>
      <c r="AQ362" s="105"/>
      <c r="AR362" s="108"/>
      <c r="AS362" s="108"/>
      <c r="AT362" s="105"/>
      <c r="AU362" s="105"/>
      <c r="AV362" s="105"/>
      <c r="AW362" s="105"/>
      <c r="AX362" s="105"/>
      <c r="AY362" s="105"/>
      <c r="AZ362" s="105"/>
      <c r="BA362" s="105"/>
      <c r="BB362" s="105"/>
      <c r="BC362" s="105"/>
      <c r="BD362" s="108"/>
      <c r="BE362" s="83">
        <f>IF($A362="","",IF(TRIM($D362&amp;"")="",IF(TRIM($AX362&amp;$AY362&amp;$AZ362&amp;$BA362&amp;$BB362&amp;$BC362&amp;$BD362&amp;"")="","","SUBARRENDADO"),IFERROR(IF(VLOOKUP($D362,VEHICULOS!$A$3:$H$202,7,FALSE)="","",VLOOKUP($D362,VEHICULOS!$A$3:$H$202,7,FALSE)),"")))</f>
      </c>
      <c r="BF362" s="82">
        <f>IF($A362="","",IF(TRIM($BC362&amp;"")&lt;&gt;"",$BC362,IF(TRIM($D362&amp;"")="","",IFERROR(IF(VLOOKUP($D362,VEHICULOS!$A$3:$H$202,8,FALSE)="","",VLOOKUP($D362,VEHICULOS!$A$3:$H$202,8,FALSE)),""))))</f>
      </c>
      <c r="BG362" s="106"/>
      <c r="BH362" s="107"/>
      <c r="BI362" s="86">
        <f t="shared" si="75"/>
      </c>
      <c r="BJ362" s="83">
        <f t="shared" si="76"/>
      </c>
      <c r="BK362" s="85">
        <f t="shared" si="77"/>
      </c>
      <c r="BL362" s="85">
        <f t="shared" si="78"/>
      </c>
      <c r="BM362" s="108"/>
      <c r="BN362" s="85">
        <f t="shared" si="79"/>
      </c>
      <c r="BO362" s="108"/>
      <c r="BP362" s="85">
        <f t="shared" si="80"/>
      </c>
      <c r="BQ362" s="85">
        <f t="shared" si="81"/>
      </c>
      <c r="BR362" s="108"/>
      <c r="BS362" s="104"/>
      <c r="BT362" s="87">
        <f t="shared" si="82"/>
      </c>
      <c r="BU362" s="85">
        <f t="shared" si="83"/>
      </c>
      <c r="BV362" s="85">
        <f t="shared" si="84"/>
      </c>
      <c r="BW362" s="87">
        <f t="shared" si="85"/>
      </c>
      <c r="BX362" s="104"/>
      <c r="BY362" s="106"/>
      <c r="BZ362" s="104"/>
      <c r="CA362" s="105"/>
      <c r="CB362" s="77">
        <f>IF($A362="",0,IF($B362='FICHA CLIENTE'!$C$4,1,0))</f>
      </c>
      <c r="CC362" s="77">
        <f t="shared" si="86"/>
      </c>
      <c r="CD362" s="77">
        <f>IF($A362="",0,IF($D362='FICHA VEHICULO'!$C$4,1,0))</f>
      </c>
      <c r="CE362" s="77">
        <f t="shared" si="87"/>
      </c>
      <c r="CF362" s="77">
        <f t="shared" si="88"/>
      </c>
      <c r="CG362" s="77">
        <f t="shared" si="89"/>
      </c>
    </row>
    <row r="363" spans="1:85" ht="19.5" customHeight="1" x14ac:dyDescent="0.2">
      <c r="A363" s="104"/>
      <c r="B363" s="104"/>
      <c r="C363" s="105"/>
      <c r="D363" s="104"/>
      <c r="E363" s="105"/>
      <c r="F363" s="106"/>
      <c r="G363" s="104"/>
      <c r="H363" s="106"/>
      <c r="I363" s="107"/>
      <c r="J363" s="108"/>
      <c r="K363" s="108"/>
      <c r="L363" s="108"/>
      <c r="M363" s="105"/>
      <c r="N363" s="105"/>
      <c r="O363" s="105"/>
      <c r="P363" s="108"/>
      <c r="Q363" s="105"/>
      <c r="R363" s="105"/>
      <c r="S363" s="105"/>
      <c r="T363" s="105"/>
      <c r="U363" s="108"/>
      <c r="V363" s="105"/>
      <c r="W363" s="105"/>
      <c r="X363" s="105"/>
      <c r="Y363" s="105"/>
      <c r="Z363" s="105"/>
      <c r="AA363" s="108"/>
      <c r="AB363" s="108"/>
      <c r="AC363" s="105"/>
      <c r="AD363" s="279"/>
      <c r="AE363" s="105"/>
      <c r="AF363" s="279"/>
      <c r="AG363" s="105"/>
      <c r="AH363" s="108"/>
      <c r="AI363" s="108"/>
      <c r="AJ363" s="108"/>
      <c r="AK363" s="108"/>
      <c r="AL363" s="105"/>
      <c r="AM363" s="108"/>
      <c r="AN363" s="105"/>
      <c r="AO363" s="108"/>
      <c r="AP363" s="108"/>
      <c r="AQ363" s="105"/>
      <c r="AR363" s="108"/>
      <c r="AS363" s="108"/>
      <c r="AT363" s="105"/>
      <c r="AU363" s="105"/>
      <c r="AV363" s="105"/>
      <c r="AW363" s="105"/>
      <c r="AX363" s="105"/>
      <c r="AY363" s="105"/>
      <c r="AZ363" s="105"/>
      <c r="BA363" s="105"/>
      <c r="BB363" s="105"/>
      <c r="BC363" s="105"/>
      <c r="BD363" s="108"/>
      <c r="BE363" s="83">
        <f>IF($A363="","",IF(TRIM($D363&amp;"")="",IF(TRIM($AX363&amp;$AY363&amp;$AZ363&amp;$BA363&amp;$BB363&amp;$BC363&amp;$BD363&amp;"")="","","SUBARRENDADO"),IFERROR(IF(VLOOKUP($D363,VEHICULOS!$A$3:$H$202,7,FALSE)="","",VLOOKUP($D363,VEHICULOS!$A$3:$H$202,7,FALSE)),"")))</f>
      </c>
      <c r="BF363" s="82">
        <f>IF($A363="","",IF(TRIM($BC363&amp;"")&lt;&gt;"",$BC363,IF(TRIM($D363&amp;"")="","",IFERROR(IF(VLOOKUP($D363,VEHICULOS!$A$3:$H$202,8,FALSE)="","",VLOOKUP($D363,VEHICULOS!$A$3:$H$202,8,FALSE)),""))))</f>
      </c>
      <c r="BG363" s="106"/>
      <c r="BH363" s="107"/>
      <c r="BI363" s="86">
        <f t="shared" si="75"/>
      </c>
      <c r="BJ363" s="83">
        <f t="shared" si="76"/>
      </c>
      <c r="BK363" s="85">
        <f t="shared" si="77"/>
      </c>
      <c r="BL363" s="85">
        <f t="shared" si="78"/>
      </c>
      <c r="BM363" s="108"/>
      <c r="BN363" s="85">
        <f t="shared" si="79"/>
      </c>
      <c r="BO363" s="108"/>
      <c r="BP363" s="85">
        <f t="shared" si="80"/>
      </c>
      <c r="BQ363" s="85">
        <f t="shared" si="81"/>
      </c>
      <c r="BR363" s="108"/>
      <c r="BS363" s="104"/>
      <c r="BT363" s="87">
        <f t="shared" si="82"/>
      </c>
      <c r="BU363" s="85">
        <f t="shared" si="83"/>
      </c>
      <c r="BV363" s="85">
        <f t="shared" si="84"/>
      </c>
      <c r="BW363" s="87">
        <f t="shared" si="85"/>
      </c>
      <c r="BX363" s="104"/>
      <c r="BY363" s="106"/>
      <c r="BZ363" s="104"/>
      <c r="CA363" s="105"/>
      <c r="CB363" s="77">
        <f>IF($A363="",0,IF($B363='FICHA CLIENTE'!$C$4,1,0))</f>
      </c>
      <c r="CC363" s="77">
        <f t="shared" si="86"/>
      </c>
      <c r="CD363" s="77">
        <f>IF($A363="",0,IF($D363='FICHA VEHICULO'!$C$4,1,0))</f>
      </c>
      <c r="CE363" s="77">
        <f t="shared" si="87"/>
      </c>
      <c r="CF363" s="77">
        <f t="shared" si="88"/>
      </c>
      <c r="CG363" s="77">
        <f t="shared" si="89"/>
      </c>
    </row>
    <row r="364" spans="1:85" ht="19.5" customHeight="1" x14ac:dyDescent="0.2">
      <c r="A364" s="104"/>
      <c r="B364" s="104"/>
      <c r="C364" s="105"/>
      <c r="D364" s="104"/>
      <c r="E364" s="105"/>
      <c r="F364" s="106"/>
      <c r="G364" s="104"/>
      <c r="H364" s="106"/>
      <c r="I364" s="107"/>
      <c r="J364" s="108"/>
      <c r="K364" s="108"/>
      <c r="L364" s="108"/>
      <c r="M364" s="105"/>
      <c r="N364" s="105"/>
      <c r="O364" s="105"/>
      <c r="P364" s="108"/>
      <c r="Q364" s="105"/>
      <c r="R364" s="105"/>
      <c r="S364" s="105"/>
      <c r="T364" s="105"/>
      <c r="U364" s="108"/>
      <c r="V364" s="105"/>
      <c r="W364" s="105"/>
      <c r="X364" s="105"/>
      <c r="Y364" s="105"/>
      <c r="Z364" s="105"/>
      <c r="AA364" s="108"/>
      <c r="AB364" s="108"/>
      <c r="AC364" s="105"/>
      <c r="AD364" s="279"/>
      <c r="AE364" s="105"/>
      <c r="AF364" s="279"/>
      <c r="AG364" s="105"/>
      <c r="AH364" s="108"/>
      <c r="AI364" s="108"/>
      <c r="AJ364" s="108"/>
      <c r="AK364" s="108"/>
      <c r="AL364" s="105"/>
      <c r="AM364" s="108"/>
      <c r="AN364" s="105"/>
      <c r="AO364" s="108"/>
      <c r="AP364" s="108"/>
      <c r="AQ364" s="105"/>
      <c r="AR364" s="108"/>
      <c r="AS364" s="108"/>
      <c r="AT364" s="105"/>
      <c r="AU364" s="105"/>
      <c r="AV364" s="105"/>
      <c r="AW364" s="105"/>
      <c r="AX364" s="105"/>
      <c r="AY364" s="105"/>
      <c r="AZ364" s="105"/>
      <c r="BA364" s="105"/>
      <c r="BB364" s="105"/>
      <c r="BC364" s="105"/>
      <c r="BD364" s="108"/>
      <c r="BE364" s="83">
        <f>IF($A364="","",IF(TRIM($D364&amp;"")="",IF(TRIM($AX364&amp;$AY364&amp;$AZ364&amp;$BA364&amp;$BB364&amp;$BC364&amp;$BD364&amp;"")="","","SUBARRENDADO"),IFERROR(IF(VLOOKUP($D364,VEHICULOS!$A$3:$H$202,7,FALSE)="","",VLOOKUP($D364,VEHICULOS!$A$3:$H$202,7,FALSE)),"")))</f>
      </c>
      <c r="BF364" s="82">
        <f>IF($A364="","",IF(TRIM($BC364&amp;"")&lt;&gt;"",$BC364,IF(TRIM($D364&amp;"")="","",IFERROR(IF(VLOOKUP($D364,VEHICULOS!$A$3:$H$202,8,FALSE)="","",VLOOKUP($D364,VEHICULOS!$A$3:$H$202,8,FALSE)),""))))</f>
      </c>
      <c r="BG364" s="106"/>
      <c r="BH364" s="107"/>
      <c r="BI364" s="86">
        <f t="shared" si="75"/>
      </c>
      <c r="BJ364" s="83">
        <f t="shared" si="76"/>
      </c>
      <c r="BK364" s="85">
        <f t="shared" si="77"/>
      </c>
      <c r="BL364" s="85">
        <f t="shared" si="78"/>
      </c>
      <c r="BM364" s="108"/>
      <c r="BN364" s="85">
        <f t="shared" si="79"/>
      </c>
      <c r="BO364" s="108"/>
      <c r="BP364" s="85">
        <f t="shared" si="80"/>
      </c>
      <c r="BQ364" s="85">
        <f t="shared" si="81"/>
      </c>
      <c r="BR364" s="108"/>
      <c r="BS364" s="104"/>
      <c r="BT364" s="87">
        <f t="shared" si="82"/>
      </c>
      <c r="BU364" s="85">
        <f t="shared" si="83"/>
      </c>
      <c r="BV364" s="85">
        <f t="shared" si="84"/>
      </c>
      <c r="BW364" s="87">
        <f t="shared" si="85"/>
      </c>
      <c r="BX364" s="104"/>
      <c r="BY364" s="106"/>
      <c r="BZ364" s="104"/>
      <c r="CA364" s="105"/>
      <c r="CB364" s="77">
        <f>IF($A364="",0,IF($B364='FICHA CLIENTE'!$C$4,1,0))</f>
      </c>
      <c r="CC364" s="77">
        <f t="shared" si="86"/>
      </c>
      <c r="CD364" s="77">
        <f>IF($A364="",0,IF($D364='FICHA VEHICULO'!$C$4,1,0))</f>
      </c>
      <c r="CE364" s="77">
        <f t="shared" si="87"/>
      </c>
      <c r="CF364" s="77">
        <f t="shared" si="88"/>
      </c>
      <c r="CG364" s="77">
        <f t="shared" si="89"/>
      </c>
    </row>
    <row r="365" spans="1:85" ht="19.5" customHeight="1" x14ac:dyDescent="0.2">
      <c r="A365" s="104"/>
      <c r="B365" s="104"/>
      <c r="C365" s="105"/>
      <c r="D365" s="104"/>
      <c r="E365" s="105"/>
      <c r="F365" s="106"/>
      <c r="G365" s="104"/>
      <c r="H365" s="106"/>
      <c r="I365" s="107"/>
      <c r="J365" s="108"/>
      <c r="K365" s="108"/>
      <c r="L365" s="108"/>
      <c r="M365" s="105"/>
      <c r="N365" s="105"/>
      <c r="O365" s="105"/>
      <c r="P365" s="108"/>
      <c r="Q365" s="105"/>
      <c r="R365" s="105"/>
      <c r="S365" s="105"/>
      <c r="T365" s="105"/>
      <c r="U365" s="108"/>
      <c r="V365" s="105"/>
      <c r="W365" s="105"/>
      <c r="X365" s="105"/>
      <c r="Y365" s="105"/>
      <c r="Z365" s="105"/>
      <c r="AA365" s="108"/>
      <c r="AB365" s="108"/>
      <c r="AC365" s="105"/>
      <c r="AD365" s="279"/>
      <c r="AE365" s="105"/>
      <c r="AF365" s="279"/>
      <c r="AG365" s="105"/>
      <c r="AH365" s="108"/>
      <c r="AI365" s="108"/>
      <c r="AJ365" s="108"/>
      <c r="AK365" s="108"/>
      <c r="AL365" s="105"/>
      <c r="AM365" s="108"/>
      <c r="AN365" s="105"/>
      <c r="AO365" s="108"/>
      <c r="AP365" s="108"/>
      <c r="AQ365" s="105"/>
      <c r="AR365" s="108"/>
      <c r="AS365" s="108"/>
      <c r="AT365" s="105"/>
      <c r="AU365" s="105"/>
      <c r="AV365" s="105"/>
      <c r="AW365" s="105"/>
      <c r="AX365" s="105"/>
      <c r="AY365" s="105"/>
      <c r="AZ365" s="105"/>
      <c r="BA365" s="105"/>
      <c r="BB365" s="105"/>
      <c r="BC365" s="105"/>
      <c r="BD365" s="108"/>
      <c r="BE365" s="83">
        <f>IF($A365="","",IF(TRIM($D365&amp;"")="",IF(TRIM($AX365&amp;$AY365&amp;$AZ365&amp;$BA365&amp;$BB365&amp;$BC365&amp;$BD365&amp;"")="","","SUBARRENDADO"),IFERROR(IF(VLOOKUP($D365,VEHICULOS!$A$3:$H$202,7,FALSE)="","",VLOOKUP($D365,VEHICULOS!$A$3:$H$202,7,FALSE)),"")))</f>
      </c>
      <c r="BF365" s="82">
        <f>IF($A365="","",IF(TRIM($BC365&amp;"")&lt;&gt;"",$BC365,IF(TRIM($D365&amp;"")="","",IFERROR(IF(VLOOKUP($D365,VEHICULOS!$A$3:$H$202,8,FALSE)="","",VLOOKUP($D365,VEHICULOS!$A$3:$H$202,8,FALSE)),""))))</f>
      </c>
      <c r="BG365" s="106"/>
      <c r="BH365" s="107"/>
      <c r="BI365" s="86">
        <f t="shared" si="75"/>
      </c>
      <c r="BJ365" s="83">
        <f t="shared" si="76"/>
      </c>
      <c r="BK365" s="85">
        <f t="shared" si="77"/>
      </c>
      <c r="BL365" s="85">
        <f t="shared" si="78"/>
      </c>
      <c r="BM365" s="108"/>
      <c r="BN365" s="85">
        <f t="shared" si="79"/>
      </c>
      <c r="BO365" s="108"/>
      <c r="BP365" s="85">
        <f t="shared" si="80"/>
      </c>
      <c r="BQ365" s="85">
        <f t="shared" si="81"/>
      </c>
      <c r="BR365" s="108"/>
      <c r="BS365" s="104"/>
      <c r="BT365" s="87">
        <f t="shared" si="82"/>
      </c>
      <c r="BU365" s="85">
        <f t="shared" si="83"/>
      </c>
      <c r="BV365" s="85">
        <f t="shared" si="84"/>
      </c>
      <c r="BW365" s="87">
        <f t="shared" si="85"/>
      </c>
      <c r="BX365" s="104"/>
      <c r="BY365" s="106"/>
      <c r="BZ365" s="104"/>
      <c r="CA365" s="105"/>
      <c r="CB365" s="77">
        <f>IF($A365="",0,IF($B365='FICHA CLIENTE'!$C$4,1,0))</f>
      </c>
      <c r="CC365" s="77">
        <f t="shared" si="86"/>
      </c>
      <c r="CD365" s="77">
        <f>IF($A365="",0,IF($D365='FICHA VEHICULO'!$C$4,1,0))</f>
      </c>
      <c r="CE365" s="77">
        <f t="shared" si="87"/>
      </c>
      <c r="CF365" s="77">
        <f t="shared" si="88"/>
      </c>
      <c r="CG365" s="77">
        <f t="shared" si="89"/>
      </c>
    </row>
    <row r="366" spans="1:85" ht="19.5" customHeight="1" x14ac:dyDescent="0.2">
      <c r="A366" s="104"/>
      <c r="B366" s="104"/>
      <c r="C366" s="105"/>
      <c r="D366" s="104"/>
      <c r="E366" s="105"/>
      <c r="F366" s="106"/>
      <c r="G366" s="104"/>
      <c r="H366" s="106"/>
      <c r="I366" s="107"/>
      <c r="J366" s="108"/>
      <c r="K366" s="108"/>
      <c r="L366" s="108"/>
      <c r="M366" s="105"/>
      <c r="N366" s="105"/>
      <c r="O366" s="105"/>
      <c r="P366" s="108"/>
      <c r="Q366" s="105"/>
      <c r="R366" s="105"/>
      <c r="S366" s="105"/>
      <c r="T366" s="105"/>
      <c r="U366" s="108"/>
      <c r="V366" s="105"/>
      <c r="W366" s="105"/>
      <c r="X366" s="105"/>
      <c r="Y366" s="105"/>
      <c r="Z366" s="105"/>
      <c r="AA366" s="108"/>
      <c r="AB366" s="108"/>
      <c r="AC366" s="105"/>
      <c r="AD366" s="279"/>
      <c r="AE366" s="105"/>
      <c r="AF366" s="279"/>
      <c r="AG366" s="105"/>
      <c r="AH366" s="108"/>
      <c r="AI366" s="108"/>
      <c r="AJ366" s="108"/>
      <c r="AK366" s="108"/>
      <c r="AL366" s="105"/>
      <c r="AM366" s="108"/>
      <c r="AN366" s="105"/>
      <c r="AO366" s="108"/>
      <c r="AP366" s="108"/>
      <c r="AQ366" s="105"/>
      <c r="AR366" s="108"/>
      <c r="AS366" s="108"/>
      <c r="AT366" s="105"/>
      <c r="AU366" s="105"/>
      <c r="AV366" s="105"/>
      <c r="AW366" s="105"/>
      <c r="AX366" s="105"/>
      <c r="AY366" s="105"/>
      <c r="AZ366" s="105"/>
      <c r="BA366" s="105"/>
      <c r="BB366" s="105"/>
      <c r="BC366" s="105"/>
      <c r="BD366" s="108"/>
      <c r="BE366" s="83">
        <f>IF($A366="","",IF(TRIM($D366&amp;"")="",IF(TRIM($AX366&amp;$AY366&amp;$AZ366&amp;$BA366&amp;$BB366&amp;$BC366&amp;$BD366&amp;"")="","","SUBARRENDADO"),IFERROR(IF(VLOOKUP($D366,VEHICULOS!$A$3:$H$202,7,FALSE)="","",VLOOKUP($D366,VEHICULOS!$A$3:$H$202,7,FALSE)),"")))</f>
      </c>
      <c r="BF366" s="82">
        <f>IF($A366="","",IF(TRIM($BC366&amp;"")&lt;&gt;"",$BC366,IF(TRIM($D366&amp;"")="","",IFERROR(IF(VLOOKUP($D366,VEHICULOS!$A$3:$H$202,8,FALSE)="","",VLOOKUP($D366,VEHICULOS!$A$3:$H$202,8,FALSE)),""))))</f>
      </c>
      <c r="BG366" s="106"/>
      <c r="BH366" s="107"/>
      <c r="BI366" s="86">
        <f t="shared" si="75"/>
      </c>
      <c r="BJ366" s="83">
        <f t="shared" si="76"/>
      </c>
      <c r="BK366" s="85">
        <f t="shared" si="77"/>
      </c>
      <c r="BL366" s="85">
        <f t="shared" si="78"/>
      </c>
      <c r="BM366" s="108"/>
      <c r="BN366" s="85">
        <f t="shared" si="79"/>
      </c>
      <c r="BO366" s="108"/>
      <c r="BP366" s="85">
        <f t="shared" si="80"/>
      </c>
      <c r="BQ366" s="85">
        <f t="shared" si="81"/>
      </c>
      <c r="BR366" s="108"/>
      <c r="BS366" s="104"/>
      <c r="BT366" s="87">
        <f t="shared" si="82"/>
      </c>
      <c r="BU366" s="85">
        <f t="shared" si="83"/>
      </c>
      <c r="BV366" s="85">
        <f t="shared" si="84"/>
      </c>
      <c r="BW366" s="87">
        <f t="shared" si="85"/>
      </c>
      <c r="BX366" s="104"/>
      <c r="BY366" s="106"/>
      <c r="BZ366" s="104"/>
      <c r="CA366" s="105"/>
      <c r="CB366" s="77">
        <f>IF($A366="",0,IF($B366='FICHA CLIENTE'!$C$4,1,0))</f>
      </c>
      <c r="CC366" s="77">
        <f t="shared" si="86"/>
      </c>
      <c r="CD366" s="77">
        <f>IF($A366="",0,IF($D366='FICHA VEHICULO'!$C$4,1,0))</f>
      </c>
      <c r="CE366" s="77">
        <f t="shared" si="87"/>
      </c>
      <c r="CF366" s="77">
        <f t="shared" si="88"/>
      </c>
      <c r="CG366" s="77">
        <f t="shared" si="89"/>
      </c>
    </row>
    <row r="367" spans="1:85" ht="19.5" customHeight="1" x14ac:dyDescent="0.2">
      <c r="A367" s="104"/>
      <c r="B367" s="104"/>
      <c r="C367" s="105"/>
      <c r="D367" s="104"/>
      <c r="E367" s="105"/>
      <c r="F367" s="106"/>
      <c r="G367" s="104"/>
      <c r="H367" s="106"/>
      <c r="I367" s="107"/>
      <c r="J367" s="108"/>
      <c r="K367" s="108"/>
      <c r="L367" s="108"/>
      <c r="M367" s="105"/>
      <c r="N367" s="105"/>
      <c r="O367" s="105"/>
      <c r="P367" s="108"/>
      <c r="Q367" s="105"/>
      <c r="R367" s="105"/>
      <c r="S367" s="105"/>
      <c r="T367" s="105"/>
      <c r="U367" s="108"/>
      <c r="V367" s="105"/>
      <c r="W367" s="105"/>
      <c r="X367" s="105"/>
      <c r="Y367" s="105"/>
      <c r="Z367" s="105"/>
      <c r="AA367" s="108"/>
      <c r="AB367" s="108"/>
      <c r="AC367" s="105"/>
      <c r="AD367" s="279"/>
      <c r="AE367" s="105"/>
      <c r="AF367" s="279"/>
      <c r="AG367" s="105"/>
      <c r="AH367" s="108"/>
      <c r="AI367" s="108"/>
      <c r="AJ367" s="108"/>
      <c r="AK367" s="108"/>
      <c r="AL367" s="105"/>
      <c r="AM367" s="108"/>
      <c r="AN367" s="105"/>
      <c r="AO367" s="108"/>
      <c r="AP367" s="108"/>
      <c r="AQ367" s="105"/>
      <c r="AR367" s="108"/>
      <c r="AS367" s="108"/>
      <c r="AT367" s="105"/>
      <c r="AU367" s="105"/>
      <c r="AV367" s="105"/>
      <c r="AW367" s="105"/>
      <c r="AX367" s="105"/>
      <c r="AY367" s="105"/>
      <c r="AZ367" s="105"/>
      <c r="BA367" s="105"/>
      <c r="BB367" s="105"/>
      <c r="BC367" s="105"/>
      <c r="BD367" s="108"/>
      <c r="BE367" s="83">
        <f>IF($A367="","",IF(TRIM($D367&amp;"")="",IF(TRIM($AX367&amp;$AY367&amp;$AZ367&amp;$BA367&amp;$BB367&amp;$BC367&amp;$BD367&amp;"")="","","SUBARRENDADO"),IFERROR(IF(VLOOKUP($D367,VEHICULOS!$A$3:$H$202,7,FALSE)="","",VLOOKUP($D367,VEHICULOS!$A$3:$H$202,7,FALSE)),"")))</f>
      </c>
      <c r="BF367" s="82">
        <f>IF($A367="","",IF(TRIM($BC367&amp;"")&lt;&gt;"",$BC367,IF(TRIM($D367&amp;"")="","",IFERROR(IF(VLOOKUP($D367,VEHICULOS!$A$3:$H$202,8,FALSE)="","",VLOOKUP($D367,VEHICULOS!$A$3:$H$202,8,FALSE)),""))))</f>
      </c>
      <c r="BG367" s="106"/>
      <c r="BH367" s="107"/>
      <c r="BI367" s="86">
        <f t="shared" si="75"/>
      </c>
      <c r="BJ367" s="83">
        <f t="shared" si="76"/>
      </c>
      <c r="BK367" s="85">
        <f t="shared" si="77"/>
      </c>
      <c r="BL367" s="85">
        <f t="shared" si="78"/>
      </c>
      <c r="BM367" s="108"/>
      <c r="BN367" s="85">
        <f t="shared" si="79"/>
      </c>
      <c r="BO367" s="108"/>
      <c r="BP367" s="85">
        <f t="shared" si="80"/>
      </c>
      <c r="BQ367" s="85">
        <f t="shared" si="81"/>
      </c>
      <c r="BR367" s="108"/>
      <c r="BS367" s="104"/>
      <c r="BT367" s="87">
        <f t="shared" si="82"/>
      </c>
      <c r="BU367" s="85">
        <f t="shared" si="83"/>
      </c>
      <c r="BV367" s="85">
        <f t="shared" si="84"/>
      </c>
      <c r="BW367" s="87">
        <f t="shared" si="85"/>
      </c>
      <c r="BX367" s="104"/>
      <c r="BY367" s="106"/>
      <c r="BZ367" s="104"/>
      <c r="CA367" s="105"/>
      <c r="CB367" s="77">
        <f>IF($A367="",0,IF($B367='FICHA CLIENTE'!$C$4,1,0))</f>
      </c>
      <c r="CC367" s="77">
        <f t="shared" si="86"/>
      </c>
      <c r="CD367" s="77">
        <f>IF($A367="",0,IF($D367='FICHA VEHICULO'!$C$4,1,0))</f>
      </c>
      <c r="CE367" s="77">
        <f t="shared" si="87"/>
      </c>
      <c r="CF367" s="77">
        <f t="shared" si="88"/>
      </c>
      <c r="CG367" s="77">
        <f t="shared" si="89"/>
      </c>
    </row>
    <row r="368" spans="1:85" ht="19.5" customHeight="1" x14ac:dyDescent="0.2">
      <c r="A368" s="104"/>
      <c r="B368" s="104"/>
      <c r="C368" s="105"/>
      <c r="D368" s="104"/>
      <c r="E368" s="105"/>
      <c r="F368" s="106"/>
      <c r="G368" s="104"/>
      <c r="H368" s="106"/>
      <c r="I368" s="107"/>
      <c r="J368" s="108"/>
      <c r="K368" s="108"/>
      <c r="L368" s="108"/>
      <c r="M368" s="105"/>
      <c r="N368" s="105"/>
      <c r="O368" s="105"/>
      <c r="P368" s="108"/>
      <c r="Q368" s="105"/>
      <c r="R368" s="105"/>
      <c r="S368" s="105"/>
      <c r="T368" s="105"/>
      <c r="U368" s="108"/>
      <c r="V368" s="105"/>
      <c r="W368" s="105"/>
      <c r="X368" s="105"/>
      <c r="Y368" s="105"/>
      <c r="Z368" s="105"/>
      <c r="AA368" s="108"/>
      <c r="AB368" s="108"/>
      <c r="AC368" s="105"/>
      <c r="AD368" s="279"/>
      <c r="AE368" s="105"/>
      <c r="AF368" s="279"/>
      <c r="AG368" s="105"/>
      <c r="AH368" s="108"/>
      <c r="AI368" s="108"/>
      <c r="AJ368" s="108"/>
      <c r="AK368" s="108"/>
      <c r="AL368" s="105"/>
      <c r="AM368" s="108"/>
      <c r="AN368" s="105"/>
      <c r="AO368" s="108"/>
      <c r="AP368" s="108"/>
      <c r="AQ368" s="105"/>
      <c r="AR368" s="108"/>
      <c r="AS368" s="108"/>
      <c r="AT368" s="105"/>
      <c r="AU368" s="105"/>
      <c r="AV368" s="105"/>
      <c r="AW368" s="105"/>
      <c r="AX368" s="105"/>
      <c r="AY368" s="105"/>
      <c r="AZ368" s="105"/>
      <c r="BA368" s="105"/>
      <c r="BB368" s="105"/>
      <c r="BC368" s="105"/>
      <c r="BD368" s="108"/>
      <c r="BE368" s="83">
        <f>IF($A368="","",IF(TRIM($D368&amp;"")="",IF(TRIM($AX368&amp;$AY368&amp;$AZ368&amp;$BA368&amp;$BB368&amp;$BC368&amp;$BD368&amp;"")="","","SUBARRENDADO"),IFERROR(IF(VLOOKUP($D368,VEHICULOS!$A$3:$H$202,7,FALSE)="","",VLOOKUP($D368,VEHICULOS!$A$3:$H$202,7,FALSE)),"")))</f>
      </c>
      <c r="BF368" s="82">
        <f>IF($A368="","",IF(TRIM($BC368&amp;"")&lt;&gt;"",$BC368,IF(TRIM($D368&amp;"")="","",IFERROR(IF(VLOOKUP($D368,VEHICULOS!$A$3:$H$202,8,FALSE)="","",VLOOKUP($D368,VEHICULOS!$A$3:$H$202,8,FALSE)),""))))</f>
      </c>
      <c r="BG368" s="106"/>
      <c r="BH368" s="107"/>
      <c r="BI368" s="86">
        <f t="shared" si="75"/>
      </c>
      <c r="BJ368" s="83">
        <f t="shared" si="76"/>
      </c>
      <c r="BK368" s="85">
        <f t="shared" si="77"/>
      </c>
      <c r="BL368" s="85">
        <f t="shared" si="78"/>
      </c>
      <c r="BM368" s="108"/>
      <c r="BN368" s="85">
        <f t="shared" si="79"/>
      </c>
      <c r="BO368" s="108"/>
      <c r="BP368" s="85">
        <f t="shared" si="80"/>
      </c>
      <c r="BQ368" s="85">
        <f t="shared" si="81"/>
      </c>
      <c r="BR368" s="108"/>
      <c r="BS368" s="104"/>
      <c r="BT368" s="87">
        <f t="shared" si="82"/>
      </c>
      <c r="BU368" s="85">
        <f t="shared" si="83"/>
      </c>
      <c r="BV368" s="85">
        <f t="shared" si="84"/>
      </c>
      <c r="BW368" s="87">
        <f t="shared" si="85"/>
      </c>
      <c r="BX368" s="104"/>
      <c r="BY368" s="106"/>
      <c r="BZ368" s="104"/>
      <c r="CA368" s="105"/>
      <c r="CB368" s="77">
        <f>IF($A368="",0,IF($B368='FICHA CLIENTE'!$C$4,1,0))</f>
      </c>
      <c r="CC368" s="77">
        <f t="shared" si="86"/>
      </c>
      <c r="CD368" s="77">
        <f>IF($A368="",0,IF($D368='FICHA VEHICULO'!$C$4,1,0))</f>
      </c>
      <c r="CE368" s="77">
        <f t="shared" si="87"/>
      </c>
      <c r="CF368" s="77">
        <f t="shared" si="88"/>
      </c>
      <c r="CG368" s="77">
        <f t="shared" si="89"/>
      </c>
    </row>
    <row r="369" spans="1:85" ht="19.5" customHeight="1" x14ac:dyDescent="0.2">
      <c r="A369" s="104"/>
      <c r="B369" s="104"/>
      <c r="C369" s="105"/>
      <c r="D369" s="104"/>
      <c r="E369" s="105"/>
      <c r="F369" s="106"/>
      <c r="G369" s="104"/>
      <c r="H369" s="106"/>
      <c r="I369" s="107"/>
      <c r="J369" s="108"/>
      <c r="K369" s="108"/>
      <c r="L369" s="108"/>
      <c r="M369" s="105"/>
      <c r="N369" s="105"/>
      <c r="O369" s="105"/>
      <c r="P369" s="108"/>
      <c r="Q369" s="105"/>
      <c r="R369" s="105"/>
      <c r="S369" s="105"/>
      <c r="T369" s="105"/>
      <c r="U369" s="108"/>
      <c r="V369" s="105"/>
      <c r="W369" s="105"/>
      <c r="X369" s="105"/>
      <c r="Y369" s="105"/>
      <c r="Z369" s="105"/>
      <c r="AA369" s="108"/>
      <c r="AB369" s="108"/>
      <c r="AC369" s="105"/>
      <c r="AD369" s="279"/>
      <c r="AE369" s="105"/>
      <c r="AF369" s="279"/>
      <c r="AG369" s="105"/>
      <c r="AH369" s="108"/>
      <c r="AI369" s="108"/>
      <c r="AJ369" s="108"/>
      <c r="AK369" s="108"/>
      <c r="AL369" s="105"/>
      <c r="AM369" s="108"/>
      <c r="AN369" s="105"/>
      <c r="AO369" s="108"/>
      <c r="AP369" s="108"/>
      <c r="AQ369" s="105"/>
      <c r="AR369" s="108"/>
      <c r="AS369" s="108"/>
      <c r="AT369" s="105"/>
      <c r="AU369" s="105"/>
      <c r="AV369" s="105"/>
      <c r="AW369" s="105"/>
      <c r="AX369" s="105"/>
      <c r="AY369" s="105"/>
      <c r="AZ369" s="105"/>
      <c r="BA369" s="105"/>
      <c r="BB369" s="105"/>
      <c r="BC369" s="105"/>
      <c r="BD369" s="108"/>
      <c r="BE369" s="83">
        <f>IF($A369="","",IF(TRIM($D369&amp;"")="",IF(TRIM($AX369&amp;$AY369&amp;$AZ369&amp;$BA369&amp;$BB369&amp;$BC369&amp;$BD369&amp;"")="","","SUBARRENDADO"),IFERROR(IF(VLOOKUP($D369,VEHICULOS!$A$3:$H$202,7,FALSE)="","",VLOOKUP($D369,VEHICULOS!$A$3:$H$202,7,FALSE)),"")))</f>
      </c>
      <c r="BF369" s="82">
        <f>IF($A369="","",IF(TRIM($BC369&amp;"")&lt;&gt;"",$BC369,IF(TRIM($D369&amp;"")="","",IFERROR(IF(VLOOKUP($D369,VEHICULOS!$A$3:$H$202,8,FALSE)="","",VLOOKUP($D369,VEHICULOS!$A$3:$H$202,8,FALSE)),""))))</f>
      </c>
      <c r="BG369" s="106"/>
      <c r="BH369" s="107"/>
      <c r="BI369" s="86">
        <f t="shared" si="75"/>
      </c>
      <c r="BJ369" s="83">
        <f t="shared" si="76"/>
      </c>
      <c r="BK369" s="85">
        <f t="shared" si="77"/>
      </c>
      <c r="BL369" s="85">
        <f t="shared" si="78"/>
      </c>
      <c r="BM369" s="108"/>
      <c r="BN369" s="85">
        <f t="shared" si="79"/>
      </c>
      <c r="BO369" s="108"/>
      <c r="BP369" s="85">
        <f t="shared" si="80"/>
      </c>
      <c r="BQ369" s="85">
        <f t="shared" si="81"/>
      </c>
      <c r="BR369" s="108"/>
      <c r="BS369" s="104"/>
      <c r="BT369" s="87">
        <f t="shared" si="82"/>
      </c>
      <c r="BU369" s="85">
        <f t="shared" si="83"/>
      </c>
      <c r="BV369" s="85">
        <f t="shared" si="84"/>
      </c>
      <c r="BW369" s="87">
        <f t="shared" si="85"/>
      </c>
      <c r="BX369" s="104"/>
      <c r="BY369" s="106"/>
      <c r="BZ369" s="104"/>
      <c r="CA369" s="105"/>
      <c r="CB369" s="77">
        <f>IF($A369="",0,IF($B369='FICHA CLIENTE'!$C$4,1,0))</f>
      </c>
      <c r="CC369" s="77">
        <f t="shared" si="86"/>
      </c>
      <c r="CD369" s="77">
        <f>IF($A369="",0,IF($D369='FICHA VEHICULO'!$C$4,1,0))</f>
      </c>
      <c r="CE369" s="77">
        <f t="shared" si="87"/>
      </c>
      <c r="CF369" s="77">
        <f t="shared" si="88"/>
      </c>
      <c r="CG369" s="77">
        <f t="shared" si="89"/>
      </c>
    </row>
    <row r="370" spans="1:85" ht="19.5" customHeight="1" x14ac:dyDescent="0.2">
      <c r="A370" s="104"/>
      <c r="B370" s="104"/>
      <c r="C370" s="105"/>
      <c r="D370" s="104"/>
      <c r="E370" s="105"/>
      <c r="F370" s="106"/>
      <c r="G370" s="104"/>
      <c r="H370" s="106"/>
      <c r="I370" s="107"/>
      <c r="J370" s="108"/>
      <c r="K370" s="108"/>
      <c r="L370" s="108"/>
      <c r="M370" s="105"/>
      <c r="N370" s="105"/>
      <c r="O370" s="105"/>
      <c r="P370" s="108"/>
      <c r="Q370" s="105"/>
      <c r="R370" s="105"/>
      <c r="S370" s="105"/>
      <c r="T370" s="105"/>
      <c r="U370" s="108"/>
      <c r="V370" s="105"/>
      <c r="W370" s="105"/>
      <c r="X370" s="105"/>
      <c r="Y370" s="105"/>
      <c r="Z370" s="105"/>
      <c r="AA370" s="108"/>
      <c r="AB370" s="108"/>
      <c r="AC370" s="105"/>
      <c r="AD370" s="279"/>
      <c r="AE370" s="105"/>
      <c r="AF370" s="279"/>
      <c r="AG370" s="105"/>
      <c r="AH370" s="108"/>
      <c r="AI370" s="108"/>
      <c r="AJ370" s="108"/>
      <c r="AK370" s="108"/>
      <c r="AL370" s="105"/>
      <c r="AM370" s="108"/>
      <c r="AN370" s="105"/>
      <c r="AO370" s="108"/>
      <c r="AP370" s="108"/>
      <c r="AQ370" s="105"/>
      <c r="AR370" s="108"/>
      <c r="AS370" s="108"/>
      <c r="AT370" s="105"/>
      <c r="AU370" s="105"/>
      <c r="AV370" s="105"/>
      <c r="AW370" s="105"/>
      <c r="AX370" s="105"/>
      <c r="AY370" s="105"/>
      <c r="AZ370" s="105"/>
      <c r="BA370" s="105"/>
      <c r="BB370" s="105"/>
      <c r="BC370" s="105"/>
      <c r="BD370" s="108"/>
      <c r="BE370" s="83">
        <f>IF($A370="","",IF(TRIM($D370&amp;"")="",IF(TRIM($AX370&amp;$AY370&amp;$AZ370&amp;$BA370&amp;$BB370&amp;$BC370&amp;$BD370&amp;"")="","","SUBARRENDADO"),IFERROR(IF(VLOOKUP($D370,VEHICULOS!$A$3:$H$202,7,FALSE)="","",VLOOKUP($D370,VEHICULOS!$A$3:$H$202,7,FALSE)),"")))</f>
      </c>
      <c r="BF370" s="82">
        <f>IF($A370="","",IF(TRIM($BC370&amp;"")&lt;&gt;"",$BC370,IF(TRIM($D370&amp;"")="","",IFERROR(IF(VLOOKUP($D370,VEHICULOS!$A$3:$H$202,8,FALSE)="","",VLOOKUP($D370,VEHICULOS!$A$3:$H$202,8,FALSE)),""))))</f>
      </c>
      <c r="BG370" s="106"/>
      <c r="BH370" s="107"/>
      <c r="BI370" s="86">
        <f t="shared" si="75"/>
      </c>
      <c r="BJ370" s="83">
        <f t="shared" si="76"/>
      </c>
      <c r="BK370" s="85">
        <f t="shared" si="77"/>
      </c>
      <c r="BL370" s="85">
        <f t="shared" si="78"/>
      </c>
      <c r="BM370" s="108"/>
      <c r="BN370" s="85">
        <f t="shared" si="79"/>
      </c>
      <c r="BO370" s="108"/>
      <c r="BP370" s="85">
        <f t="shared" si="80"/>
      </c>
      <c r="BQ370" s="85">
        <f t="shared" si="81"/>
      </c>
      <c r="BR370" s="108"/>
      <c r="BS370" s="104"/>
      <c r="BT370" s="87">
        <f t="shared" si="82"/>
      </c>
      <c r="BU370" s="85">
        <f t="shared" si="83"/>
      </c>
      <c r="BV370" s="85">
        <f t="shared" si="84"/>
      </c>
      <c r="BW370" s="87">
        <f t="shared" si="85"/>
      </c>
      <c r="BX370" s="104"/>
      <c r="BY370" s="106"/>
      <c r="BZ370" s="104"/>
      <c r="CA370" s="105"/>
      <c r="CB370" s="77">
        <f>IF($A370="",0,IF($B370='FICHA CLIENTE'!$C$4,1,0))</f>
      </c>
      <c r="CC370" s="77">
        <f t="shared" si="86"/>
      </c>
      <c r="CD370" s="77">
        <f>IF($A370="",0,IF($D370='FICHA VEHICULO'!$C$4,1,0))</f>
      </c>
      <c r="CE370" s="77">
        <f t="shared" si="87"/>
      </c>
      <c r="CF370" s="77">
        <f t="shared" si="88"/>
      </c>
      <c r="CG370" s="77">
        <f t="shared" si="89"/>
      </c>
    </row>
    <row r="371" spans="1:85" ht="19.5" customHeight="1" x14ac:dyDescent="0.2">
      <c r="A371" s="104"/>
      <c r="B371" s="104"/>
      <c r="C371" s="105"/>
      <c r="D371" s="104"/>
      <c r="E371" s="105"/>
      <c r="F371" s="106"/>
      <c r="G371" s="104"/>
      <c r="H371" s="106"/>
      <c r="I371" s="107"/>
      <c r="J371" s="108"/>
      <c r="K371" s="108"/>
      <c r="L371" s="108"/>
      <c r="M371" s="105"/>
      <c r="N371" s="105"/>
      <c r="O371" s="105"/>
      <c r="P371" s="108"/>
      <c r="Q371" s="105"/>
      <c r="R371" s="105"/>
      <c r="S371" s="105"/>
      <c r="T371" s="105"/>
      <c r="U371" s="108"/>
      <c r="V371" s="105"/>
      <c r="W371" s="105"/>
      <c r="X371" s="105"/>
      <c r="Y371" s="105"/>
      <c r="Z371" s="105"/>
      <c r="AA371" s="108"/>
      <c r="AB371" s="108"/>
      <c r="AC371" s="105"/>
      <c r="AD371" s="279"/>
      <c r="AE371" s="105"/>
      <c r="AF371" s="279"/>
      <c r="AG371" s="105"/>
      <c r="AH371" s="108"/>
      <c r="AI371" s="108"/>
      <c r="AJ371" s="108"/>
      <c r="AK371" s="108"/>
      <c r="AL371" s="105"/>
      <c r="AM371" s="108"/>
      <c r="AN371" s="105"/>
      <c r="AO371" s="108"/>
      <c r="AP371" s="108"/>
      <c r="AQ371" s="105"/>
      <c r="AR371" s="108"/>
      <c r="AS371" s="108"/>
      <c r="AT371" s="105"/>
      <c r="AU371" s="105"/>
      <c r="AV371" s="105"/>
      <c r="AW371" s="105"/>
      <c r="AX371" s="105"/>
      <c r="AY371" s="105"/>
      <c r="AZ371" s="105"/>
      <c r="BA371" s="105"/>
      <c r="BB371" s="105"/>
      <c r="BC371" s="105"/>
      <c r="BD371" s="108"/>
      <c r="BE371" s="83">
        <f>IF($A371="","",IF(TRIM($D371&amp;"")="",IF(TRIM($AX371&amp;$AY371&amp;$AZ371&amp;$BA371&amp;$BB371&amp;$BC371&amp;$BD371&amp;"")="","","SUBARRENDADO"),IFERROR(IF(VLOOKUP($D371,VEHICULOS!$A$3:$H$202,7,FALSE)="","",VLOOKUP($D371,VEHICULOS!$A$3:$H$202,7,FALSE)),"")))</f>
      </c>
      <c r="BF371" s="82">
        <f>IF($A371="","",IF(TRIM($BC371&amp;"")&lt;&gt;"",$BC371,IF(TRIM($D371&amp;"")="","",IFERROR(IF(VLOOKUP($D371,VEHICULOS!$A$3:$H$202,8,FALSE)="","",VLOOKUP($D371,VEHICULOS!$A$3:$H$202,8,FALSE)),""))))</f>
      </c>
      <c r="BG371" s="106"/>
      <c r="BH371" s="107"/>
      <c r="BI371" s="86">
        <f t="shared" si="75"/>
      </c>
      <c r="BJ371" s="83">
        <f t="shared" si="76"/>
      </c>
      <c r="BK371" s="85">
        <f t="shared" si="77"/>
      </c>
      <c r="BL371" s="85">
        <f t="shared" si="78"/>
      </c>
      <c r="BM371" s="108"/>
      <c r="BN371" s="85">
        <f t="shared" si="79"/>
      </c>
      <c r="BO371" s="108"/>
      <c r="BP371" s="85">
        <f t="shared" si="80"/>
      </c>
      <c r="BQ371" s="85">
        <f t="shared" si="81"/>
      </c>
      <c r="BR371" s="108"/>
      <c r="BS371" s="104"/>
      <c r="BT371" s="87">
        <f t="shared" si="82"/>
      </c>
      <c r="BU371" s="85">
        <f t="shared" si="83"/>
      </c>
      <c r="BV371" s="85">
        <f t="shared" si="84"/>
      </c>
      <c r="BW371" s="87">
        <f t="shared" si="85"/>
      </c>
      <c r="BX371" s="104"/>
      <c r="BY371" s="106"/>
      <c r="BZ371" s="104"/>
      <c r="CA371" s="105"/>
      <c r="CB371" s="77">
        <f>IF($A371="",0,IF($B371='FICHA CLIENTE'!$C$4,1,0))</f>
      </c>
      <c r="CC371" s="77">
        <f t="shared" si="86"/>
      </c>
      <c r="CD371" s="77">
        <f>IF($A371="",0,IF($D371='FICHA VEHICULO'!$C$4,1,0))</f>
      </c>
      <c r="CE371" s="77">
        <f t="shared" si="87"/>
      </c>
      <c r="CF371" s="77">
        <f t="shared" si="88"/>
      </c>
      <c r="CG371" s="77">
        <f t="shared" si="89"/>
      </c>
    </row>
    <row r="372" spans="1:85" ht="19.5" customHeight="1" x14ac:dyDescent="0.2">
      <c r="A372" s="104"/>
      <c r="B372" s="104"/>
      <c r="C372" s="105"/>
      <c r="D372" s="104"/>
      <c r="E372" s="105"/>
      <c r="F372" s="106"/>
      <c r="G372" s="104"/>
      <c r="H372" s="106"/>
      <c r="I372" s="107"/>
      <c r="J372" s="108"/>
      <c r="K372" s="108"/>
      <c r="L372" s="108"/>
      <c r="M372" s="105"/>
      <c r="N372" s="105"/>
      <c r="O372" s="105"/>
      <c r="P372" s="108"/>
      <c r="Q372" s="105"/>
      <c r="R372" s="105"/>
      <c r="S372" s="105"/>
      <c r="T372" s="105"/>
      <c r="U372" s="108"/>
      <c r="V372" s="105"/>
      <c r="W372" s="105"/>
      <c r="X372" s="105"/>
      <c r="Y372" s="105"/>
      <c r="Z372" s="105"/>
      <c r="AA372" s="108"/>
      <c r="AB372" s="108"/>
      <c r="AC372" s="105"/>
      <c r="AD372" s="279"/>
      <c r="AE372" s="105"/>
      <c r="AF372" s="279"/>
      <c r="AG372" s="105"/>
      <c r="AH372" s="108"/>
      <c r="AI372" s="108"/>
      <c r="AJ372" s="108"/>
      <c r="AK372" s="108"/>
      <c r="AL372" s="105"/>
      <c r="AM372" s="108"/>
      <c r="AN372" s="105"/>
      <c r="AO372" s="108"/>
      <c r="AP372" s="108"/>
      <c r="AQ372" s="105"/>
      <c r="AR372" s="108"/>
      <c r="AS372" s="108"/>
      <c r="AT372" s="105"/>
      <c r="AU372" s="105"/>
      <c r="AV372" s="105"/>
      <c r="AW372" s="105"/>
      <c r="AX372" s="105"/>
      <c r="AY372" s="105"/>
      <c r="AZ372" s="105"/>
      <c r="BA372" s="105"/>
      <c r="BB372" s="105"/>
      <c r="BC372" s="105"/>
      <c r="BD372" s="108"/>
      <c r="BE372" s="83">
        <f>IF($A372="","",IF(TRIM($D372&amp;"")="",IF(TRIM($AX372&amp;$AY372&amp;$AZ372&amp;$BA372&amp;$BB372&amp;$BC372&amp;$BD372&amp;"")="","","SUBARRENDADO"),IFERROR(IF(VLOOKUP($D372,VEHICULOS!$A$3:$H$202,7,FALSE)="","",VLOOKUP($D372,VEHICULOS!$A$3:$H$202,7,FALSE)),"")))</f>
      </c>
      <c r="BF372" s="82">
        <f>IF($A372="","",IF(TRIM($BC372&amp;"")&lt;&gt;"",$BC372,IF(TRIM($D372&amp;"")="","",IFERROR(IF(VLOOKUP($D372,VEHICULOS!$A$3:$H$202,8,FALSE)="","",VLOOKUP($D372,VEHICULOS!$A$3:$H$202,8,FALSE)),""))))</f>
      </c>
      <c r="BG372" s="106"/>
      <c r="BH372" s="107"/>
      <c r="BI372" s="86">
        <f t="shared" si="75"/>
      </c>
      <c r="BJ372" s="83">
        <f t="shared" si="76"/>
      </c>
      <c r="BK372" s="85">
        <f t="shared" si="77"/>
      </c>
      <c r="BL372" s="85">
        <f t="shared" si="78"/>
      </c>
      <c r="BM372" s="108"/>
      <c r="BN372" s="85">
        <f t="shared" si="79"/>
      </c>
      <c r="BO372" s="108"/>
      <c r="BP372" s="85">
        <f t="shared" si="80"/>
      </c>
      <c r="BQ372" s="85">
        <f t="shared" si="81"/>
      </c>
      <c r="BR372" s="108"/>
      <c r="BS372" s="104"/>
      <c r="BT372" s="87">
        <f t="shared" si="82"/>
      </c>
      <c r="BU372" s="85">
        <f t="shared" si="83"/>
      </c>
      <c r="BV372" s="85">
        <f t="shared" si="84"/>
      </c>
      <c r="BW372" s="87">
        <f t="shared" si="85"/>
      </c>
      <c r="BX372" s="104"/>
      <c r="BY372" s="106"/>
      <c r="BZ372" s="104"/>
      <c r="CA372" s="105"/>
      <c r="CB372" s="77">
        <f>IF($A372="",0,IF($B372='FICHA CLIENTE'!$C$4,1,0))</f>
      </c>
      <c r="CC372" s="77">
        <f t="shared" si="86"/>
      </c>
      <c r="CD372" s="77">
        <f>IF($A372="",0,IF($D372='FICHA VEHICULO'!$C$4,1,0))</f>
      </c>
      <c r="CE372" s="77">
        <f t="shared" si="87"/>
      </c>
      <c r="CF372" s="77">
        <f t="shared" si="88"/>
      </c>
      <c r="CG372" s="77">
        <f t="shared" si="89"/>
      </c>
    </row>
    <row r="373" spans="1:85" ht="19.5" customHeight="1" x14ac:dyDescent="0.2">
      <c r="A373" s="104"/>
      <c r="B373" s="104"/>
      <c r="C373" s="105"/>
      <c r="D373" s="104"/>
      <c r="E373" s="105"/>
      <c r="F373" s="106"/>
      <c r="G373" s="104"/>
      <c r="H373" s="106"/>
      <c r="I373" s="107"/>
      <c r="J373" s="108"/>
      <c r="K373" s="108"/>
      <c r="L373" s="108"/>
      <c r="M373" s="105"/>
      <c r="N373" s="105"/>
      <c r="O373" s="105"/>
      <c r="P373" s="108"/>
      <c r="Q373" s="105"/>
      <c r="R373" s="105"/>
      <c r="S373" s="105"/>
      <c r="T373" s="105"/>
      <c r="U373" s="108"/>
      <c r="V373" s="105"/>
      <c r="W373" s="105"/>
      <c r="X373" s="105"/>
      <c r="Y373" s="105"/>
      <c r="Z373" s="105"/>
      <c r="AA373" s="108"/>
      <c r="AB373" s="108"/>
      <c r="AC373" s="105"/>
      <c r="AD373" s="279"/>
      <c r="AE373" s="105"/>
      <c r="AF373" s="279"/>
      <c r="AG373" s="105"/>
      <c r="AH373" s="108"/>
      <c r="AI373" s="108"/>
      <c r="AJ373" s="108"/>
      <c r="AK373" s="108"/>
      <c r="AL373" s="105"/>
      <c r="AM373" s="108"/>
      <c r="AN373" s="105"/>
      <c r="AO373" s="108"/>
      <c r="AP373" s="108"/>
      <c r="AQ373" s="105"/>
      <c r="AR373" s="108"/>
      <c r="AS373" s="108"/>
      <c r="AT373" s="105"/>
      <c r="AU373" s="105"/>
      <c r="AV373" s="105"/>
      <c r="AW373" s="105"/>
      <c r="AX373" s="105"/>
      <c r="AY373" s="105"/>
      <c r="AZ373" s="105"/>
      <c r="BA373" s="105"/>
      <c r="BB373" s="105"/>
      <c r="BC373" s="105"/>
      <c r="BD373" s="108"/>
      <c r="BE373" s="83">
        <f>IF($A373="","",IF(TRIM($D373&amp;"")="",IF(TRIM($AX373&amp;$AY373&amp;$AZ373&amp;$BA373&amp;$BB373&amp;$BC373&amp;$BD373&amp;"")="","","SUBARRENDADO"),IFERROR(IF(VLOOKUP($D373,VEHICULOS!$A$3:$H$202,7,FALSE)="","",VLOOKUP($D373,VEHICULOS!$A$3:$H$202,7,FALSE)),"")))</f>
      </c>
      <c r="BF373" s="82">
        <f>IF($A373="","",IF(TRIM($BC373&amp;"")&lt;&gt;"",$BC373,IF(TRIM($D373&amp;"")="","",IFERROR(IF(VLOOKUP($D373,VEHICULOS!$A$3:$H$202,8,FALSE)="","",VLOOKUP($D373,VEHICULOS!$A$3:$H$202,8,FALSE)),""))))</f>
      </c>
      <c r="BG373" s="106"/>
      <c r="BH373" s="107"/>
      <c r="BI373" s="86">
        <f t="shared" si="75"/>
      </c>
      <c r="BJ373" s="83">
        <f t="shared" si="76"/>
      </c>
      <c r="BK373" s="85">
        <f t="shared" si="77"/>
      </c>
      <c r="BL373" s="85">
        <f t="shared" si="78"/>
      </c>
      <c r="BM373" s="108"/>
      <c r="BN373" s="85">
        <f t="shared" si="79"/>
      </c>
      <c r="BO373" s="108"/>
      <c r="BP373" s="85">
        <f t="shared" si="80"/>
      </c>
      <c r="BQ373" s="85">
        <f t="shared" si="81"/>
      </c>
      <c r="BR373" s="108"/>
      <c r="BS373" s="104"/>
      <c r="BT373" s="87">
        <f t="shared" si="82"/>
      </c>
      <c r="BU373" s="85">
        <f t="shared" si="83"/>
      </c>
      <c r="BV373" s="85">
        <f t="shared" si="84"/>
      </c>
      <c r="BW373" s="87">
        <f t="shared" si="85"/>
      </c>
      <c r="BX373" s="104"/>
      <c r="BY373" s="106"/>
      <c r="BZ373" s="104"/>
      <c r="CA373" s="105"/>
      <c r="CB373" s="77">
        <f>IF($A373="",0,IF($B373='FICHA CLIENTE'!$C$4,1,0))</f>
      </c>
      <c r="CC373" s="77">
        <f t="shared" si="86"/>
      </c>
      <c r="CD373" s="77">
        <f>IF($A373="",0,IF($D373='FICHA VEHICULO'!$C$4,1,0))</f>
      </c>
      <c r="CE373" s="77">
        <f t="shared" si="87"/>
      </c>
      <c r="CF373" s="77">
        <f t="shared" si="88"/>
      </c>
      <c r="CG373" s="77">
        <f t="shared" si="89"/>
      </c>
    </row>
    <row r="374" spans="1:85" ht="19.5" customHeight="1" x14ac:dyDescent="0.2">
      <c r="A374" s="104"/>
      <c r="B374" s="104"/>
      <c r="C374" s="105"/>
      <c r="D374" s="104"/>
      <c r="E374" s="105"/>
      <c r="F374" s="106"/>
      <c r="G374" s="104"/>
      <c r="H374" s="106"/>
      <c r="I374" s="107"/>
      <c r="J374" s="108"/>
      <c r="K374" s="108"/>
      <c r="L374" s="108"/>
      <c r="M374" s="105"/>
      <c r="N374" s="105"/>
      <c r="O374" s="105"/>
      <c r="P374" s="108"/>
      <c r="Q374" s="105"/>
      <c r="R374" s="105"/>
      <c r="S374" s="105"/>
      <c r="T374" s="105"/>
      <c r="U374" s="108"/>
      <c r="V374" s="105"/>
      <c r="W374" s="105"/>
      <c r="X374" s="105"/>
      <c r="Y374" s="105"/>
      <c r="Z374" s="105"/>
      <c r="AA374" s="108"/>
      <c r="AB374" s="108"/>
      <c r="AC374" s="105"/>
      <c r="AD374" s="279"/>
      <c r="AE374" s="105"/>
      <c r="AF374" s="279"/>
      <c r="AG374" s="105"/>
      <c r="AH374" s="108"/>
      <c r="AI374" s="108"/>
      <c r="AJ374" s="108"/>
      <c r="AK374" s="108"/>
      <c r="AL374" s="105"/>
      <c r="AM374" s="108"/>
      <c r="AN374" s="105"/>
      <c r="AO374" s="108"/>
      <c r="AP374" s="108"/>
      <c r="AQ374" s="105"/>
      <c r="AR374" s="108"/>
      <c r="AS374" s="108"/>
      <c r="AT374" s="105"/>
      <c r="AU374" s="105"/>
      <c r="AV374" s="105"/>
      <c r="AW374" s="105"/>
      <c r="AX374" s="105"/>
      <c r="AY374" s="105"/>
      <c r="AZ374" s="105"/>
      <c r="BA374" s="105"/>
      <c r="BB374" s="105"/>
      <c r="BC374" s="105"/>
      <c r="BD374" s="108"/>
      <c r="BE374" s="83">
        <f>IF($A374="","",IF(TRIM($D374&amp;"")="",IF(TRIM($AX374&amp;$AY374&amp;$AZ374&amp;$BA374&amp;$BB374&amp;$BC374&amp;$BD374&amp;"")="","","SUBARRENDADO"),IFERROR(IF(VLOOKUP($D374,VEHICULOS!$A$3:$H$202,7,FALSE)="","",VLOOKUP($D374,VEHICULOS!$A$3:$H$202,7,FALSE)),"")))</f>
      </c>
      <c r="BF374" s="82">
        <f>IF($A374="","",IF(TRIM($BC374&amp;"")&lt;&gt;"",$BC374,IF(TRIM($D374&amp;"")="","",IFERROR(IF(VLOOKUP($D374,VEHICULOS!$A$3:$H$202,8,FALSE)="","",VLOOKUP($D374,VEHICULOS!$A$3:$H$202,8,FALSE)),""))))</f>
      </c>
      <c r="BG374" s="106"/>
      <c r="BH374" s="107"/>
      <c r="BI374" s="86">
        <f t="shared" si="75"/>
      </c>
      <c r="BJ374" s="83">
        <f t="shared" si="76"/>
      </c>
      <c r="BK374" s="85">
        <f t="shared" si="77"/>
      </c>
      <c r="BL374" s="85">
        <f t="shared" si="78"/>
      </c>
      <c r="BM374" s="108"/>
      <c r="BN374" s="85">
        <f t="shared" si="79"/>
      </c>
      <c r="BO374" s="108"/>
      <c r="BP374" s="85">
        <f t="shared" si="80"/>
      </c>
      <c r="BQ374" s="85">
        <f t="shared" si="81"/>
      </c>
      <c r="BR374" s="108"/>
      <c r="BS374" s="104"/>
      <c r="BT374" s="87">
        <f t="shared" si="82"/>
      </c>
      <c r="BU374" s="85">
        <f t="shared" si="83"/>
      </c>
      <c r="BV374" s="85">
        <f t="shared" si="84"/>
      </c>
      <c r="BW374" s="87">
        <f t="shared" si="85"/>
      </c>
      <c r="BX374" s="104"/>
      <c r="BY374" s="106"/>
      <c r="BZ374" s="104"/>
      <c r="CA374" s="105"/>
      <c r="CB374" s="77">
        <f>IF($A374="",0,IF($B374='FICHA CLIENTE'!$C$4,1,0))</f>
      </c>
      <c r="CC374" s="77">
        <f t="shared" si="86"/>
      </c>
      <c r="CD374" s="77">
        <f>IF($A374="",0,IF($D374='FICHA VEHICULO'!$C$4,1,0))</f>
      </c>
      <c r="CE374" s="77">
        <f t="shared" si="87"/>
      </c>
      <c r="CF374" s="77">
        <f t="shared" si="88"/>
      </c>
      <c r="CG374" s="77">
        <f t="shared" si="89"/>
      </c>
    </row>
    <row r="375" spans="1:85" ht="19.5" customHeight="1" x14ac:dyDescent="0.2">
      <c r="A375" s="104"/>
      <c r="B375" s="104"/>
      <c r="C375" s="105"/>
      <c r="D375" s="104"/>
      <c r="E375" s="105"/>
      <c r="F375" s="106"/>
      <c r="G375" s="104"/>
      <c r="H375" s="106"/>
      <c r="I375" s="107"/>
      <c r="J375" s="108"/>
      <c r="K375" s="108"/>
      <c r="L375" s="108"/>
      <c r="M375" s="105"/>
      <c r="N375" s="105"/>
      <c r="O375" s="105"/>
      <c r="P375" s="108"/>
      <c r="Q375" s="105"/>
      <c r="R375" s="105"/>
      <c r="S375" s="105"/>
      <c r="T375" s="105"/>
      <c r="U375" s="108"/>
      <c r="V375" s="105"/>
      <c r="W375" s="105"/>
      <c r="X375" s="105"/>
      <c r="Y375" s="105"/>
      <c r="Z375" s="105"/>
      <c r="AA375" s="108"/>
      <c r="AB375" s="108"/>
      <c r="AC375" s="105"/>
      <c r="AD375" s="279"/>
      <c r="AE375" s="105"/>
      <c r="AF375" s="279"/>
      <c r="AG375" s="105"/>
      <c r="AH375" s="108"/>
      <c r="AI375" s="108"/>
      <c r="AJ375" s="108"/>
      <c r="AK375" s="108"/>
      <c r="AL375" s="105"/>
      <c r="AM375" s="108"/>
      <c r="AN375" s="105"/>
      <c r="AO375" s="108"/>
      <c r="AP375" s="108"/>
      <c r="AQ375" s="105"/>
      <c r="AR375" s="108"/>
      <c r="AS375" s="108"/>
      <c r="AT375" s="105"/>
      <c r="AU375" s="105"/>
      <c r="AV375" s="105"/>
      <c r="AW375" s="105"/>
      <c r="AX375" s="105"/>
      <c r="AY375" s="105"/>
      <c r="AZ375" s="105"/>
      <c r="BA375" s="105"/>
      <c r="BB375" s="105"/>
      <c r="BC375" s="105"/>
      <c r="BD375" s="108"/>
      <c r="BE375" s="83">
        <f>IF($A375="","",IF(TRIM($D375&amp;"")="",IF(TRIM($AX375&amp;$AY375&amp;$AZ375&amp;$BA375&amp;$BB375&amp;$BC375&amp;$BD375&amp;"")="","","SUBARRENDADO"),IFERROR(IF(VLOOKUP($D375,VEHICULOS!$A$3:$H$202,7,FALSE)="","",VLOOKUP($D375,VEHICULOS!$A$3:$H$202,7,FALSE)),"")))</f>
      </c>
      <c r="BF375" s="82">
        <f>IF($A375="","",IF(TRIM($BC375&amp;"")&lt;&gt;"",$BC375,IF(TRIM($D375&amp;"")="","",IFERROR(IF(VLOOKUP($D375,VEHICULOS!$A$3:$H$202,8,FALSE)="","",VLOOKUP($D375,VEHICULOS!$A$3:$H$202,8,FALSE)),""))))</f>
      </c>
      <c r="BG375" s="106"/>
      <c r="BH375" s="107"/>
      <c r="BI375" s="86">
        <f t="shared" si="75"/>
      </c>
      <c r="BJ375" s="83">
        <f t="shared" si="76"/>
      </c>
      <c r="BK375" s="85">
        <f t="shared" si="77"/>
      </c>
      <c r="BL375" s="85">
        <f t="shared" si="78"/>
      </c>
      <c r="BM375" s="108"/>
      <c r="BN375" s="85">
        <f t="shared" si="79"/>
      </c>
      <c r="BO375" s="108"/>
      <c r="BP375" s="85">
        <f t="shared" si="80"/>
      </c>
      <c r="BQ375" s="85">
        <f t="shared" si="81"/>
      </c>
      <c r="BR375" s="108"/>
      <c r="BS375" s="104"/>
      <c r="BT375" s="87">
        <f t="shared" si="82"/>
      </c>
      <c r="BU375" s="85">
        <f t="shared" si="83"/>
      </c>
      <c r="BV375" s="85">
        <f t="shared" si="84"/>
      </c>
      <c r="BW375" s="87">
        <f t="shared" si="85"/>
      </c>
      <c r="BX375" s="104"/>
      <c r="BY375" s="106"/>
      <c r="BZ375" s="104"/>
      <c r="CA375" s="105"/>
      <c r="CB375" s="77">
        <f>IF($A375="",0,IF($B375='FICHA CLIENTE'!$C$4,1,0))</f>
      </c>
      <c r="CC375" s="77">
        <f t="shared" si="86"/>
      </c>
      <c r="CD375" s="77">
        <f>IF($A375="",0,IF($D375='FICHA VEHICULO'!$C$4,1,0))</f>
      </c>
      <c r="CE375" s="77">
        <f t="shared" si="87"/>
      </c>
      <c r="CF375" s="77">
        <f t="shared" si="88"/>
      </c>
      <c r="CG375" s="77">
        <f t="shared" si="89"/>
      </c>
    </row>
    <row r="376" spans="1:85" ht="19.5" customHeight="1" x14ac:dyDescent="0.2">
      <c r="A376" s="104"/>
      <c r="B376" s="104"/>
      <c r="C376" s="105"/>
      <c r="D376" s="104"/>
      <c r="E376" s="105"/>
      <c r="F376" s="106"/>
      <c r="G376" s="104"/>
      <c r="H376" s="106"/>
      <c r="I376" s="107"/>
      <c r="J376" s="108"/>
      <c r="K376" s="108"/>
      <c r="L376" s="108"/>
      <c r="M376" s="105"/>
      <c r="N376" s="105"/>
      <c r="O376" s="105"/>
      <c r="P376" s="108"/>
      <c r="Q376" s="105"/>
      <c r="R376" s="105"/>
      <c r="S376" s="105"/>
      <c r="T376" s="105"/>
      <c r="U376" s="108"/>
      <c r="V376" s="105"/>
      <c r="W376" s="105"/>
      <c r="X376" s="105"/>
      <c r="Y376" s="105"/>
      <c r="Z376" s="105"/>
      <c r="AA376" s="108"/>
      <c r="AB376" s="108"/>
      <c r="AC376" s="105"/>
      <c r="AD376" s="279"/>
      <c r="AE376" s="105"/>
      <c r="AF376" s="279"/>
      <c r="AG376" s="105"/>
      <c r="AH376" s="108"/>
      <c r="AI376" s="108"/>
      <c r="AJ376" s="108"/>
      <c r="AK376" s="108"/>
      <c r="AL376" s="105"/>
      <c r="AM376" s="108"/>
      <c r="AN376" s="105"/>
      <c r="AO376" s="108"/>
      <c r="AP376" s="108"/>
      <c r="AQ376" s="105"/>
      <c r="AR376" s="108"/>
      <c r="AS376" s="108"/>
      <c r="AT376" s="105"/>
      <c r="AU376" s="105"/>
      <c r="AV376" s="105"/>
      <c r="AW376" s="105"/>
      <c r="AX376" s="105"/>
      <c r="AY376" s="105"/>
      <c r="AZ376" s="105"/>
      <c r="BA376" s="105"/>
      <c r="BB376" s="105"/>
      <c r="BC376" s="105"/>
      <c r="BD376" s="108"/>
      <c r="BE376" s="83">
        <f>IF($A376="","",IF(TRIM($D376&amp;"")="",IF(TRIM($AX376&amp;$AY376&amp;$AZ376&amp;$BA376&amp;$BB376&amp;$BC376&amp;$BD376&amp;"")="","","SUBARRENDADO"),IFERROR(IF(VLOOKUP($D376,VEHICULOS!$A$3:$H$202,7,FALSE)="","",VLOOKUP($D376,VEHICULOS!$A$3:$H$202,7,FALSE)),"")))</f>
      </c>
      <c r="BF376" s="82">
        <f>IF($A376="","",IF(TRIM($BC376&amp;"")&lt;&gt;"",$BC376,IF(TRIM($D376&amp;"")="","",IFERROR(IF(VLOOKUP($D376,VEHICULOS!$A$3:$H$202,8,FALSE)="","",VLOOKUP($D376,VEHICULOS!$A$3:$H$202,8,FALSE)),""))))</f>
      </c>
      <c r="BG376" s="106"/>
      <c r="BH376" s="107"/>
      <c r="BI376" s="86">
        <f t="shared" si="75"/>
      </c>
      <c r="BJ376" s="83">
        <f t="shared" si="76"/>
      </c>
      <c r="BK376" s="85">
        <f t="shared" si="77"/>
      </c>
      <c r="BL376" s="85">
        <f t="shared" si="78"/>
      </c>
      <c r="BM376" s="108"/>
      <c r="BN376" s="85">
        <f t="shared" si="79"/>
      </c>
      <c r="BO376" s="108"/>
      <c r="BP376" s="85">
        <f t="shared" si="80"/>
      </c>
      <c r="BQ376" s="85">
        <f t="shared" si="81"/>
      </c>
      <c r="BR376" s="108"/>
      <c r="BS376" s="104"/>
      <c r="BT376" s="87">
        <f t="shared" si="82"/>
      </c>
      <c r="BU376" s="85">
        <f t="shared" si="83"/>
      </c>
      <c r="BV376" s="85">
        <f t="shared" si="84"/>
      </c>
      <c r="BW376" s="87">
        <f t="shared" si="85"/>
      </c>
      <c r="BX376" s="104"/>
      <c r="BY376" s="106"/>
      <c r="BZ376" s="104"/>
      <c r="CA376" s="105"/>
      <c r="CB376" s="77">
        <f>IF($A376="",0,IF($B376='FICHA CLIENTE'!$C$4,1,0))</f>
      </c>
      <c r="CC376" s="77">
        <f t="shared" si="86"/>
      </c>
      <c r="CD376" s="77">
        <f>IF($A376="",0,IF($D376='FICHA VEHICULO'!$C$4,1,0))</f>
      </c>
      <c r="CE376" s="77">
        <f t="shared" si="87"/>
      </c>
      <c r="CF376" s="77">
        <f t="shared" si="88"/>
      </c>
      <c r="CG376" s="77">
        <f t="shared" si="89"/>
      </c>
    </row>
    <row r="377" spans="1:85" ht="19.5" customHeight="1" x14ac:dyDescent="0.2">
      <c r="A377" s="104"/>
      <c r="B377" s="104"/>
      <c r="C377" s="105"/>
      <c r="D377" s="104"/>
      <c r="E377" s="105"/>
      <c r="F377" s="106"/>
      <c r="G377" s="104"/>
      <c r="H377" s="106"/>
      <c r="I377" s="107"/>
      <c r="J377" s="108"/>
      <c r="K377" s="108"/>
      <c r="L377" s="108"/>
      <c r="M377" s="105"/>
      <c r="N377" s="105"/>
      <c r="O377" s="105"/>
      <c r="P377" s="108"/>
      <c r="Q377" s="105"/>
      <c r="R377" s="105"/>
      <c r="S377" s="105"/>
      <c r="T377" s="105"/>
      <c r="U377" s="108"/>
      <c r="V377" s="105"/>
      <c r="W377" s="105"/>
      <c r="X377" s="105"/>
      <c r="Y377" s="105"/>
      <c r="Z377" s="105"/>
      <c r="AA377" s="108"/>
      <c r="AB377" s="108"/>
      <c r="AC377" s="105"/>
      <c r="AD377" s="279"/>
      <c r="AE377" s="105"/>
      <c r="AF377" s="279"/>
      <c r="AG377" s="105"/>
      <c r="AH377" s="108"/>
      <c r="AI377" s="108"/>
      <c r="AJ377" s="108"/>
      <c r="AK377" s="108"/>
      <c r="AL377" s="105"/>
      <c r="AM377" s="108"/>
      <c r="AN377" s="105"/>
      <c r="AO377" s="108"/>
      <c r="AP377" s="108"/>
      <c r="AQ377" s="105"/>
      <c r="AR377" s="108"/>
      <c r="AS377" s="108"/>
      <c r="AT377" s="105"/>
      <c r="AU377" s="105"/>
      <c r="AV377" s="105"/>
      <c r="AW377" s="105"/>
      <c r="AX377" s="105"/>
      <c r="AY377" s="105"/>
      <c r="AZ377" s="105"/>
      <c r="BA377" s="105"/>
      <c r="BB377" s="105"/>
      <c r="BC377" s="105"/>
      <c r="BD377" s="108"/>
      <c r="BE377" s="83">
        <f>IF($A377="","",IF(TRIM($D377&amp;"")="",IF(TRIM($AX377&amp;$AY377&amp;$AZ377&amp;$BA377&amp;$BB377&amp;$BC377&amp;$BD377&amp;"")="","","SUBARRENDADO"),IFERROR(IF(VLOOKUP($D377,VEHICULOS!$A$3:$H$202,7,FALSE)="","",VLOOKUP($D377,VEHICULOS!$A$3:$H$202,7,FALSE)),"")))</f>
      </c>
      <c r="BF377" s="82">
        <f>IF($A377="","",IF(TRIM($BC377&amp;"")&lt;&gt;"",$BC377,IF(TRIM($D377&amp;"")="","",IFERROR(IF(VLOOKUP($D377,VEHICULOS!$A$3:$H$202,8,FALSE)="","",VLOOKUP($D377,VEHICULOS!$A$3:$H$202,8,FALSE)),""))))</f>
      </c>
      <c r="BG377" s="106"/>
      <c r="BH377" s="107"/>
      <c r="BI377" s="86">
        <f t="shared" si="75"/>
      </c>
      <c r="BJ377" s="83">
        <f t="shared" si="76"/>
      </c>
      <c r="BK377" s="85">
        <f t="shared" si="77"/>
      </c>
      <c r="BL377" s="85">
        <f t="shared" si="78"/>
      </c>
      <c r="BM377" s="108"/>
      <c r="BN377" s="85">
        <f t="shared" si="79"/>
      </c>
      <c r="BO377" s="108"/>
      <c r="BP377" s="85">
        <f t="shared" si="80"/>
      </c>
      <c r="BQ377" s="85">
        <f t="shared" si="81"/>
      </c>
      <c r="BR377" s="108"/>
      <c r="BS377" s="104"/>
      <c r="BT377" s="87">
        <f t="shared" si="82"/>
      </c>
      <c r="BU377" s="85">
        <f t="shared" si="83"/>
      </c>
      <c r="BV377" s="85">
        <f t="shared" si="84"/>
      </c>
      <c r="BW377" s="87">
        <f t="shared" si="85"/>
      </c>
      <c r="BX377" s="104"/>
      <c r="BY377" s="106"/>
      <c r="BZ377" s="104"/>
      <c r="CA377" s="105"/>
      <c r="CB377" s="77">
        <f>IF($A377="",0,IF($B377='FICHA CLIENTE'!$C$4,1,0))</f>
      </c>
      <c r="CC377" s="77">
        <f t="shared" si="86"/>
      </c>
      <c r="CD377" s="77">
        <f>IF($A377="",0,IF($D377='FICHA VEHICULO'!$C$4,1,0))</f>
      </c>
      <c r="CE377" s="77">
        <f t="shared" si="87"/>
      </c>
      <c r="CF377" s="77">
        <f t="shared" si="88"/>
      </c>
      <c r="CG377" s="77">
        <f t="shared" si="89"/>
      </c>
    </row>
    <row r="378" spans="1:85" ht="19.5" customHeight="1" x14ac:dyDescent="0.2">
      <c r="A378" s="104"/>
      <c r="B378" s="104"/>
      <c r="C378" s="105"/>
      <c r="D378" s="104"/>
      <c r="E378" s="105"/>
      <c r="F378" s="106"/>
      <c r="G378" s="104"/>
      <c r="H378" s="106"/>
      <c r="I378" s="107"/>
      <c r="J378" s="108"/>
      <c r="K378" s="108"/>
      <c r="L378" s="108"/>
      <c r="M378" s="105"/>
      <c r="N378" s="105"/>
      <c r="O378" s="105"/>
      <c r="P378" s="108"/>
      <c r="Q378" s="105"/>
      <c r="R378" s="105"/>
      <c r="S378" s="105"/>
      <c r="T378" s="105"/>
      <c r="U378" s="108"/>
      <c r="V378" s="105"/>
      <c r="W378" s="105"/>
      <c r="X378" s="105"/>
      <c r="Y378" s="105"/>
      <c r="Z378" s="105"/>
      <c r="AA378" s="108"/>
      <c r="AB378" s="108"/>
      <c r="AC378" s="105"/>
      <c r="AD378" s="279"/>
      <c r="AE378" s="105"/>
      <c r="AF378" s="279"/>
      <c r="AG378" s="105"/>
      <c r="AH378" s="108"/>
      <c r="AI378" s="108"/>
      <c r="AJ378" s="108"/>
      <c r="AK378" s="108"/>
      <c r="AL378" s="105"/>
      <c r="AM378" s="108"/>
      <c r="AN378" s="105"/>
      <c r="AO378" s="108"/>
      <c r="AP378" s="108"/>
      <c r="AQ378" s="105"/>
      <c r="AR378" s="108"/>
      <c r="AS378" s="108"/>
      <c r="AT378" s="105"/>
      <c r="AU378" s="105"/>
      <c r="AV378" s="105"/>
      <c r="AW378" s="105"/>
      <c r="AX378" s="105"/>
      <c r="AY378" s="105"/>
      <c r="AZ378" s="105"/>
      <c r="BA378" s="105"/>
      <c r="BB378" s="105"/>
      <c r="BC378" s="105"/>
      <c r="BD378" s="108"/>
      <c r="BE378" s="83">
        <f>IF($A378="","",IF(TRIM($D378&amp;"")="",IF(TRIM($AX378&amp;$AY378&amp;$AZ378&amp;$BA378&amp;$BB378&amp;$BC378&amp;$BD378&amp;"")="","","SUBARRENDADO"),IFERROR(IF(VLOOKUP($D378,VEHICULOS!$A$3:$H$202,7,FALSE)="","",VLOOKUP($D378,VEHICULOS!$A$3:$H$202,7,FALSE)),"")))</f>
      </c>
      <c r="BF378" s="82">
        <f>IF($A378="","",IF(TRIM($BC378&amp;"")&lt;&gt;"",$BC378,IF(TRIM($D378&amp;"")="","",IFERROR(IF(VLOOKUP($D378,VEHICULOS!$A$3:$H$202,8,FALSE)="","",VLOOKUP($D378,VEHICULOS!$A$3:$H$202,8,FALSE)),""))))</f>
      </c>
      <c r="BG378" s="106"/>
      <c r="BH378" s="107"/>
      <c r="BI378" s="86">
        <f t="shared" si="75"/>
      </c>
      <c r="BJ378" s="83">
        <f t="shared" si="76"/>
      </c>
      <c r="BK378" s="85">
        <f t="shared" si="77"/>
      </c>
      <c r="BL378" s="85">
        <f t="shared" si="78"/>
      </c>
      <c r="BM378" s="108"/>
      <c r="BN378" s="85">
        <f t="shared" si="79"/>
      </c>
      <c r="BO378" s="108"/>
      <c r="BP378" s="85">
        <f t="shared" si="80"/>
      </c>
      <c r="BQ378" s="85">
        <f t="shared" si="81"/>
      </c>
      <c r="BR378" s="108"/>
      <c r="BS378" s="104"/>
      <c r="BT378" s="87">
        <f t="shared" si="82"/>
      </c>
      <c r="BU378" s="85">
        <f t="shared" si="83"/>
      </c>
      <c r="BV378" s="85">
        <f t="shared" si="84"/>
      </c>
      <c r="BW378" s="87">
        <f t="shared" si="85"/>
      </c>
      <c r="BX378" s="104"/>
      <c r="BY378" s="106"/>
      <c r="BZ378" s="104"/>
      <c r="CA378" s="105"/>
      <c r="CB378" s="77">
        <f>IF($A378="",0,IF($B378='FICHA CLIENTE'!$C$4,1,0))</f>
      </c>
      <c r="CC378" s="77">
        <f t="shared" si="86"/>
      </c>
      <c r="CD378" s="77">
        <f>IF($A378="",0,IF($D378='FICHA VEHICULO'!$C$4,1,0))</f>
      </c>
      <c r="CE378" s="77">
        <f t="shared" si="87"/>
      </c>
      <c r="CF378" s="77">
        <f t="shared" si="88"/>
      </c>
      <c r="CG378" s="77">
        <f t="shared" si="89"/>
      </c>
    </row>
    <row r="379" spans="1:85" ht="19.5" customHeight="1" x14ac:dyDescent="0.2">
      <c r="A379" s="104"/>
      <c r="B379" s="104"/>
      <c r="C379" s="105"/>
      <c r="D379" s="104"/>
      <c r="E379" s="105"/>
      <c r="F379" s="106"/>
      <c r="G379" s="104"/>
      <c r="H379" s="106"/>
      <c r="I379" s="107"/>
      <c r="J379" s="108"/>
      <c r="K379" s="108"/>
      <c r="L379" s="108"/>
      <c r="M379" s="105"/>
      <c r="N379" s="105"/>
      <c r="O379" s="105"/>
      <c r="P379" s="108"/>
      <c r="Q379" s="105"/>
      <c r="R379" s="105"/>
      <c r="S379" s="105"/>
      <c r="T379" s="105"/>
      <c r="U379" s="108"/>
      <c r="V379" s="105"/>
      <c r="W379" s="105"/>
      <c r="X379" s="105"/>
      <c r="Y379" s="105"/>
      <c r="Z379" s="105"/>
      <c r="AA379" s="108"/>
      <c r="AB379" s="108"/>
      <c r="AC379" s="105"/>
      <c r="AD379" s="279"/>
      <c r="AE379" s="105"/>
      <c r="AF379" s="279"/>
      <c r="AG379" s="105"/>
      <c r="AH379" s="108"/>
      <c r="AI379" s="108"/>
      <c r="AJ379" s="108"/>
      <c r="AK379" s="108"/>
      <c r="AL379" s="105"/>
      <c r="AM379" s="108"/>
      <c r="AN379" s="105"/>
      <c r="AO379" s="108"/>
      <c r="AP379" s="108"/>
      <c r="AQ379" s="105"/>
      <c r="AR379" s="108"/>
      <c r="AS379" s="108"/>
      <c r="AT379" s="105"/>
      <c r="AU379" s="105"/>
      <c r="AV379" s="105"/>
      <c r="AW379" s="105"/>
      <c r="AX379" s="105"/>
      <c r="AY379" s="105"/>
      <c r="AZ379" s="105"/>
      <c r="BA379" s="105"/>
      <c r="BB379" s="105"/>
      <c r="BC379" s="105"/>
      <c r="BD379" s="108"/>
      <c r="BE379" s="83">
        <f>IF($A379="","",IF(TRIM($D379&amp;"")="",IF(TRIM($AX379&amp;$AY379&amp;$AZ379&amp;$BA379&amp;$BB379&amp;$BC379&amp;$BD379&amp;"")="","","SUBARRENDADO"),IFERROR(IF(VLOOKUP($D379,VEHICULOS!$A$3:$H$202,7,FALSE)="","",VLOOKUP($D379,VEHICULOS!$A$3:$H$202,7,FALSE)),"")))</f>
      </c>
      <c r="BF379" s="82">
        <f>IF($A379="","",IF(TRIM($BC379&amp;"")&lt;&gt;"",$BC379,IF(TRIM($D379&amp;"")="","",IFERROR(IF(VLOOKUP($D379,VEHICULOS!$A$3:$H$202,8,FALSE)="","",VLOOKUP($D379,VEHICULOS!$A$3:$H$202,8,FALSE)),""))))</f>
      </c>
      <c r="BG379" s="106"/>
      <c r="BH379" s="107"/>
      <c r="BI379" s="86">
        <f t="shared" si="75"/>
      </c>
      <c r="BJ379" s="83">
        <f t="shared" si="76"/>
      </c>
      <c r="BK379" s="85">
        <f t="shared" si="77"/>
      </c>
      <c r="BL379" s="85">
        <f t="shared" si="78"/>
      </c>
      <c r="BM379" s="108"/>
      <c r="BN379" s="85">
        <f t="shared" si="79"/>
      </c>
      <c r="BO379" s="108"/>
      <c r="BP379" s="85">
        <f t="shared" si="80"/>
      </c>
      <c r="BQ379" s="85">
        <f t="shared" si="81"/>
      </c>
      <c r="BR379" s="108"/>
      <c r="BS379" s="104"/>
      <c r="BT379" s="87">
        <f t="shared" si="82"/>
      </c>
      <c r="BU379" s="85">
        <f t="shared" si="83"/>
      </c>
      <c r="BV379" s="85">
        <f t="shared" si="84"/>
      </c>
      <c r="BW379" s="87">
        <f t="shared" si="85"/>
      </c>
      <c r="BX379" s="104"/>
      <c r="BY379" s="106"/>
      <c r="BZ379" s="104"/>
      <c r="CA379" s="105"/>
      <c r="CB379" s="77">
        <f>IF($A379="",0,IF($B379='FICHA CLIENTE'!$C$4,1,0))</f>
      </c>
      <c r="CC379" s="77">
        <f t="shared" si="86"/>
      </c>
      <c r="CD379" s="77">
        <f>IF($A379="",0,IF($D379='FICHA VEHICULO'!$C$4,1,0))</f>
      </c>
      <c r="CE379" s="77">
        <f t="shared" si="87"/>
      </c>
      <c r="CF379" s="77">
        <f t="shared" si="88"/>
      </c>
      <c r="CG379" s="77">
        <f t="shared" si="89"/>
      </c>
    </row>
    <row r="380" spans="1:85" ht="19.5" customHeight="1" x14ac:dyDescent="0.2">
      <c r="A380" s="104"/>
      <c r="B380" s="104"/>
      <c r="C380" s="105"/>
      <c r="D380" s="104"/>
      <c r="E380" s="105"/>
      <c r="F380" s="106"/>
      <c r="G380" s="104"/>
      <c r="H380" s="106"/>
      <c r="I380" s="107"/>
      <c r="J380" s="108"/>
      <c r="K380" s="108"/>
      <c r="L380" s="108"/>
      <c r="M380" s="105"/>
      <c r="N380" s="105"/>
      <c r="O380" s="105"/>
      <c r="P380" s="108"/>
      <c r="Q380" s="105"/>
      <c r="R380" s="105"/>
      <c r="S380" s="105"/>
      <c r="T380" s="105"/>
      <c r="U380" s="108"/>
      <c r="V380" s="105"/>
      <c r="W380" s="105"/>
      <c r="X380" s="105"/>
      <c r="Y380" s="105"/>
      <c r="Z380" s="105"/>
      <c r="AA380" s="108"/>
      <c r="AB380" s="108"/>
      <c r="AC380" s="105"/>
      <c r="AD380" s="279"/>
      <c r="AE380" s="105"/>
      <c r="AF380" s="279"/>
      <c r="AG380" s="105"/>
      <c r="AH380" s="108"/>
      <c r="AI380" s="108"/>
      <c r="AJ380" s="108"/>
      <c r="AK380" s="108"/>
      <c r="AL380" s="105"/>
      <c r="AM380" s="108"/>
      <c r="AN380" s="105"/>
      <c r="AO380" s="108"/>
      <c r="AP380" s="108"/>
      <c r="AQ380" s="105"/>
      <c r="AR380" s="108"/>
      <c r="AS380" s="108"/>
      <c r="AT380" s="105"/>
      <c r="AU380" s="105"/>
      <c r="AV380" s="105"/>
      <c r="AW380" s="105"/>
      <c r="AX380" s="105"/>
      <c r="AY380" s="105"/>
      <c r="AZ380" s="105"/>
      <c r="BA380" s="105"/>
      <c r="BB380" s="105"/>
      <c r="BC380" s="105"/>
      <c r="BD380" s="108"/>
      <c r="BE380" s="83">
        <f>IF($A380="","",IF(TRIM($D380&amp;"")="",IF(TRIM($AX380&amp;$AY380&amp;$AZ380&amp;$BA380&amp;$BB380&amp;$BC380&amp;$BD380&amp;"")="","","SUBARRENDADO"),IFERROR(IF(VLOOKUP($D380,VEHICULOS!$A$3:$H$202,7,FALSE)="","",VLOOKUP($D380,VEHICULOS!$A$3:$H$202,7,FALSE)),"")))</f>
      </c>
      <c r="BF380" s="82">
        <f>IF($A380="","",IF(TRIM($BC380&amp;"")&lt;&gt;"",$BC380,IF(TRIM($D380&amp;"")="","",IFERROR(IF(VLOOKUP($D380,VEHICULOS!$A$3:$H$202,8,FALSE)="","",VLOOKUP($D380,VEHICULOS!$A$3:$H$202,8,FALSE)),""))))</f>
      </c>
      <c r="BG380" s="106"/>
      <c r="BH380" s="107"/>
      <c r="BI380" s="86">
        <f t="shared" si="75"/>
      </c>
      <c r="BJ380" s="83">
        <f t="shared" si="76"/>
      </c>
      <c r="BK380" s="85">
        <f t="shared" si="77"/>
      </c>
      <c r="BL380" s="85">
        <f t="shared" si="78"/>
      </c>
      <c r="BM380" s="108"/>
      <c r="BN380" s="85">
        <f t="shared" si="79"/>
      </c>
      <c r="BO380" s="108"/>
      <c r="BP380" s="85">
        <f t="shared" si="80"/>
      </c>
      <c r="BQ380" s="85">
        <f t="shared" si="81"/>
      </c>
      <c r="BR380" s="108"/>
      <c r="BS380" s="104"/>
      <c r="BT380" s="87">
        <f t="shared" si="82"/>
      </c>
      <c r="BU380" s="85">
        <f t="shared" si="83"/>
      </c>
      <c r="BV380" s="85">
        <f t="shared" si="84"/>
      </c>
      <c r="BW380" s="87">
        <f t="shared" si="85"/>
      </c>
      <c r="BX380" s="104"/>
      <c r="BY380" s="106"/>
      <c r="BZ380" s="104"/>
      <c r="CA380" s="105"/>
      <c r="CB380" s="77">
        <f>IF($A380="",0,IF($B380='FICHA CLIENTE'!$C$4,1,0))</f>
      </c>
      <c r="CC380" s="77">
        <f t="shared" si="86"/>
      </c>
      <c r="CD380" s="77">
        <f>IF($A380="",0,IF($D380='FICHA VEHICULO'!$C$4,1,0))</f>
      </c>
      <c r="CE380" s="77">
        <f t="shared" si="87"/>
      </c>
      <c r="CF380" s="77">
        <f t="shared" si="88"/>
      </c>
      <c r="CG380" s="77">
        <f t="shared" si="89"/>
      </c>
    </row>
    <row r="381" spans="1:85" ht="19.5" customHeight="1" x14ac:dyDescent="0.2">
      <c r="A381" s="104"/>
      <c r="B381" s="104"/>
      <c r="C381" s="105"/>
      <c r="D381" s="104"/>
      <c r="E381" s="105"/>
      <c r="F381" s="106"/>
      <c r="G381" s="104"/>
      <c r="H381" s="106"/>
      <c r="I381" s="107"/>
      <c r="J381" s="108"/>
      <c r="K381" s="108"/>
      <c r="L381" s="108"/>
      <c r="M381" s="105"/>
      <c r="N381" s="105"/>
      <c r="O381" s="105"/>
      <c r="P381" s="108"/>
      <c r="Q381" s="105"/>
      <c r="R381" s="105"/>
      <c r="S381" s="105"/>
      <c r="T381" s="105"/>
      <c r="U381" s="108"/>
      <c r="V381" s="105"/>
      <c r="W381" s="105"/>
      <c r="X381" s="105"/>
      <c r="Y381" s="105"/>
      <c r="Z381" s="105"/>
      <c r="AA381" s="108"/>
      <c r="AB381" s="108"/>
      <c r="AC381" s="105"/>
      <c r="AD381" s="279"/>
      <c r="AE381" s="105"/>
      <c r="AF381" s="279"/>
      <c r="AG381" s="105"/>
      <c r="AH381" s="108"/>
      <c r="AI381" s="108"/>
      <c r="AJ381" s="108"/>
      <c r="AK381" s="108"/>
      <c r="AL381" s="105"/>
      <c r="AM381" s="108"/>
      <c r="AN381" s="105"/>
      <c r="AO381" s="108"/>
      <c r="AP381" s="108"/>
      <c r="AQ381" s="105"/>
      <c r="AR381" s="108"/>
      <c r="AS381" s="108"/>
      <c r="AT381" s="105"/>
      <c r="AU381" s="105"/>
      <c r="AV381" s="105"/>
      <c r="AW381" s="105"/>
      <c r="AX381" s="105"/>
      <c r="AY381" s="105"/>
      <c r="AZ381" s="105"/>
      <c r="BA381" s="105"/>
      <c r="BB381" s="105"/>
      <c r="BC381" s="105"/>
      <c r="BD381" s="108"/>
      <c r="BE381" s="83">
        <f>IF($A381="","",IF(TRIM($D381&amp;"")="",IF(TRIM($AX381&amp;$AY381&amp;$AZ381&amp;$BA381&amp;$BB381&amp;$BC381&amp;$BD381&amp;"")="","","SUBARRENDADO"),IFERROR(IF(VLOOKUP($D381,VEHICULOS!$A$3:$H$202,7,FALSE)="","",VLOOKUP($D381,VEHICULOS!$A$3:$H$202,7,FALSE)),"")))</f>
      </c>
      <c r="BF381" s="82">
        <f>IF($A381="","",IF(TRIM($BC381&amp;"")&lt;&gt;"",$BC381,IF(TRIM($D381&amp;"")="","",IFERROR(IF(VLOOKUP($D381,VEHICULOS!$A$3:$H$202,8,FALSE)="","",VLOOKUP($D381,VEHICULOS!$A$3:$H$202,8,FALSE)),""))))</f>
      </c>
      <c r="BG381" s="106"/>
      <c r="BH381" s="107"/>
      <c r="BI381" s="86">
        <f t="shared" si="75"/>
      </c>
      <c r="BJ381" s="83">
        <f t="shared" si="76"/>
      </c>
      <c r="BK381" s="85">
        <f t="shared" si="77"/>
      </c>
      <c r="BL381" s="85">
        <f t="shared" si="78"/>
      </c>
      <c r="BM381" s="108"/>
      <c r="BN381" s="85">
        <f t="shared" si="79"/>
      </c>
      <c r="BO381" s="108"/>
      <c r="BP381" s="85">
        <f t="shared" si="80"/>
      </c>
      <c r="BQ381" s="85">
        <f t="shared" si="81"/>
      </c>
      <c r="BR381" s="108"/>
      <c r="BS381" s="104"/>
      <c r="BT381" s="87">
        <f t="shared" si="82"/>
      </c>
      <c r="BU381" s="85">
        <f t="shared" si="83"/>
      </c>
      <c r="BV381" s="85">
        <f t="shared" si="84"/>
      </c>
      <c r="BW381" s="87">
        <f t="shared" si="85"/>
      </c>
      <c r="BX381" s="104"/>
      <c r="BY381" s="106"/>
      <c r="BZ381" s="104"/>
      <c r="CA381" s="105"/>
      <c r="CB381" s="77">
        <f>IF($A381="",0,IF($B381='FICHA CLIENTE'!$C$4,1,0))</f>
      </c>
      <c r="CC381" s="77">
        <f t="shared" si="86"/>
      </c>
      <c r="CD381" s="77">
        <f>IF($A381="",0,IF($D381='FICHA VEHICULO'!$C$4,1,0))</f>
      </c>
      <c r="CE381" s="77">
        <f t="shared" si="87"/>
      </c>
      <c r="CF381" s="77">
        <f t="shared" si="88"/>
      </c>
      <c r="CG381" s="77">
        <f t="shared" si="89"/>
      </c>
    </row>
    <row r="382" spans="1:85" ht="19.5" customHeight="1" x14ac:dyDescent="0.2">
      <c r="A382" s="104"/>
      <c r="B382" s="104"/>
      <c r="C382" s="105"/>
      <c r="D382" s="104"/>
      <c r="E382" s="105"/>
      <c r="F382" s="106"/>
      <c r="G382" s="104"/>
      <c r="H382" s="106"/>
      <c r="I382" s="107"/>
      <c r="J382" s="108"/>
      <c r="K382" s="108"/>
      <c r="L382" s="108"/>
      <c r="M382" s="105"/>
      <c r="N382" s="105"/>
      <c r="O382" s="105"/>
      <c r="P382" s="108"/>
      <c r="Q382" s="105"/>
      <c r="R382" s="105"/>
      <c r="S382" s="105"/>
      <c r="T382" s="105"/>
      <c r="U382" s="108"/>
      <c r="V382" s="105"/>
      <c r="W382" s="105"/>
      <c r="X382" s="105"/>
      <c r="Y382" s="105"/>
      <c r="Z382" s="105"/>
      <c r="AA382" s="108"/>
      <c r="AB382" s="108"/>
      <c r="AC382" s="105"/>
      <c r="AD382" s="279"/>
      <c r="AE382" s="105"/>
      <c r="AF382" s="279"/>
      <c r="AG382" s="105"/>
      <c r="AH382" s="108"/>
      <c r="AI382" s="108"/>
      <c r="AJ382" s="108"/>
      <c r="AK382" s="108"/>
      <c r="AL382" s="105"/>
      <c r="AM382" s="108"/>
      <c r="AN382" s="105"/>
      <c r="AO382" s="108"/>
      <c r="AP382" s="108"/>
      <c r="AQ382" s="105"/>
      <c r="AR382" s="108"/>
      <c r="AS382" s="108"/>
      <c r="AT382" s="105"/>
      <c r="AU382" s="105"/>
      <c r="AV382" s="105"/>
      <c r="AW382" s="105"/>
      <c r="AX382" s="105"/>
      <c r="AY382" s="105"/>
      <c r="AZ382" s="105"/>
      <c r="BA382" s="105"/>
      <c r="BB382" s="105"/>
      <c r="BC382" s="105"/>
      <c r="BD382" s="108"/>
      <c r="BE382" s="83">
        <f>IF($A382="","",IF(TRIM($D382&amp;"")="",IF(TRIM($AX382&amp;$AY382&amp;$AZ382&amp;$BA382&amp;$BB382&amp;$BC382&amp;$BD382&amp;"")="","","SUBARRENDADO"),IFERROR(IF(VLOOKUP($D382,VEHICULOS!$A$3:$H$202,7,FALSE)="","",VLOOKUP($D382,VEHICULOS!$A$3:$H$202,7,FALSE)),"")))</f>
      </c>
      <c r="BF382" s="82">
        <f>IF($A382="","",IF(TRIM($BC382&amp;"")&lt;&gt;"",$BC382,IF(TRIM($D382&amp;"")="","",IFERROR(IF(VLOOKUP($D382,VEHICULOS!$A$3:$H$202,8,FALSE)="","",VLOOKUP($D382,VEHICULOS!$A$3:$H$202,8,FALSE)),""))))</f>
      </c>
      <c r="BG382" s="106"/>
      <c r="BH382" s="107"/>
      <c r="BI382" s="86">
        <f t="shared" si="75"/>
      </c>
      <c r="BJ382" s="83">
        <f t="shared" si="76"/>
      </c>
      <c r="BK382" s="85">
        <f t="shared" si="77"/>
      </c>
      <c r="BL382" s="85">
        <f t="shared" si="78"/>
      </c>
      <c r="BM382" s="108"/>
      <c r="BN382" s="85">
        <f t="shared" si="79"/>
      </c>
      <c r="BO382" s="108"/>
      <c r="BP382" s="85">
        <f t="shared" si="80"/>
      </c>
      <c r="BQ382" s="85">
        <f t="shared" si="81"/>
      </c>
      <c r="BR382" s="108"/>
      <c r="BS382" s="104"/>
      <c r="BT382" s="87">
        <f t="shared" si="82"/>
      </c>
      <c r="BU382" s="85">
        <f t="shared" si="83"/>
      </c>
      <c r="BV382" s="85">
        <f t="shared" si="84"/>
      </c>
      <c r="BW382" s="87">
        <f t="shared" si="85"/>
      </c>
      <c r="BX382" s="104"/>
      <c r="BY382" s="106"/>
      <c r="BZ382" s="104"/>
      <c r="CA382" s="105"/>
      <c r="CB382" s="77">
        <f>IF($A382="",0,IF($B382='FICHA CLIENTE'!$C$4,1,0))</f>
      </c>
      <c r="CC382" s="77">
        <f t="shared" si="86"/>
      </c>
      <c r="CD382" s="77">
        <f>IF($A382="",0,IF($D382='FICHA VEHICULO'!$C$4,1,0))</f>
      </c>
      <c r="CE382" s="77">
        <f t="shared" si="87"/>
      </c>
      <c r="CF382" s="77">
        <f t="shared" si="88"/>
      </c>
      <c r="CG382" s="77">
        <f t="shared" si="89"/>
      </c>
    </row>
    <row r="383" spans="1:85" ht="19.5" customHeight="1" x14ac:dyDescent="0.2">
      <c r="A383" s="104"/>
      <c r="B383" s="104"/>
      <c r="C383" s="105"/>
      <c r="D383" s="104"/>
      <c r="E383" s="105"/>
      <c r="F383" s="106"/>
      <c r="G383" s="104"/>
      <c r="H383" s="106"/>
      <c r="I383" s="107"/>
      <c r="J383" s="108"/>
      <c r="K383" s="108"/>
      <c r="L383" s="108"/>
      <c r="M383" s="105"/>
      <c r="N383" s="105"/>
      <c r="O383" s="105"/>
      <c r="P383" s="108"/>
      <c r="Q383" s="105"/>
      <c r="R383" s="105"/>
      <c r="S383" s="105"/>
      <c r="T383" s="105"/>
      <c r="U383" s="108"/>
      <c r="V383" s="105"/>
      <c r="W383" s="105"/>
      <c r="X383" s="105"/>
      <c r="Y383" s="105"/>
      <c r="Z383" s="105"/>
      <c r="AA383" s="108"/>
      <c r="AB383" s="108"/>
      <c r="AC383" s="105"/>
      <c r="AD383" s="279"/>
      <c r="AE383" s="105"/>
      <c r="AF383" s="279"/>
      <c r="AG383" s="105"/>
      <c r="AH383" s="108"/>
      <c r="AI383" s="108"/>
      <c r="AJ383" s="108"/>
      <c r="AK383" s="108"/>
      <c r="AL383" s="105"/>
      <c r="AM383" s="108"/>
      <c r="AN383" s="105"/>
      <c r="AO383" s="108"/>
      <c r="AP383" s="108"/>
      <c r="AQ383" s="105"/>
      <c r="AR383" s="108"/>
      <c r="AS383" s="108"/>
      <c r="AT383" s="105"/>
      <c r="AU383" s="105"/>
      <c r="AV383" s="105"/>
      <c r="AW383" s="105"/>
      <c r="AX383" s="105"/>
      <c r="AY383" s="105"/>
      <c r="AZ383" s="105"/>
      <c r="BA383" s="105"/>
      <c r="BB383" s="105"/>
      <c r="BC383" s="105"/>
      <c r="BD383" s="108"/>
      <c r="BE383" s="83">
        <f>IF($A383="","",IF(TRIM($D383&amp;"")="",IF(TRIM($AX383&amp;$AY383&amp;$AZ383&amp;$BA383&amp;$BB383&amp;$BC383&amp;$BD383&amp;"")="","","SUBARRENDADO"),IFERROR(IF(VLOOKUP($D383,VEHICULOS!$A$3:$H$202,7,FALSE)="","",VLOOKUP($D383,VEHICULOS!$A$3:$H$202,7,FALSE)),"")))</f>
      </c>
      <c r="BF383" s="82">
        <f>IF($A383="","",IF(TRIM($BC383&amp;"")&lt;&gt;"",$BC383,IF(TRIM($D383&amp;"")="","",IFERROR(IF(VLOOKUP($D383,VEHICULOS!$A$3:$H$202,8,FALSE)="","",VLOOKUP($D383,VEHICULOS!$A$3:$H$202,8,FALSE)),""))))</f>
      </c>
      <c r="BG383" s="106"/>
      <c r="BH383" s="107"/>
      <c r="BI383" s="86">
        <f t="shared" si="75"/>
      </c>
      <c r="BJ383" s="83">
        <f t="shared" si="76"/>
      </c>
      <c r="BK383" s="85">
        <f t="shared" si="77"/>
      </c>
      <c r="BL383" s="85">
        <f t="shared" si="78"/>
      </c>
      <c r="BM383" s="108"/>
      <c r="BN383" s="85">
        <f t="shared" si="79"/>
      </c>
      <c r="BO383" s="108"/>
      <c r="BP383" s="85">
        <f t="shared" si="80"/>
      </c>
      <c r="BQ383" s="85">
        <f t="shared" si="81"/>
      </c>
      <c r="BR383" s="108"/>
      <c r="BS383" s="104"/>
      <c r="BT383" s="87">
        <f t="shared" si="82"/>
      </c>
      <c r="BU383" s="85">
        <f t="shared" si="83"/>
      </c>
      <c r="BV383" s="85">
        <f t="shared" si="84"/>
      </c>
      <c r="BW383" s="87">
        <f t="shared" si="85"/>
      </c>
      <c r="BX383" s="104"/>
      <c r="BY383" s="106"/>
      <c r="BZ383" s="104"/>
      <c r="CA383" s="105"/>
      <c r="CB383" s="77">
        <f>IF($A383="",0,IF($B383='FICHA CLIENTE'!$C$4,1,0))</f>
      </c>
      <c r="CC383" s="77">
        <f t="shared" si="86"/>
      </c>
      <c r="CD383" s="77">
        <f>IF($A383="",0,IF($D383='FICHA VEHICULO'!$C$4,1,0))</f>
      </c>
      <c r="CE383" s="77">
        <f t="shared" si="87"/>
      </c>
      <c r="CF383" s="77">
        <f t="shared" si="88"/>
      </c>
      <c r="CG383" s="77">
        <f t="shared" si="89"/>
      </c>
    </row>
    <row r="384" spans="1:85" ht="19.5" customHeight="1" x14ac:dyDescent="0.2">
      <c r="A384" s="104"/>
      <c r="B384" s="104"/>
      <c r="C384" s="105"/>
      <c r="D384" s="104"/>
      <c r="E384" s="105"/>
      <c r="F384" s="106"/>
      <c r="G384" s="104"/>
      <c r="H384" s="106"/>
      <c r="I384" s="107"/>
      <c r="J384" s="108"/>
      <c r="K384" s="108"/>
      <c r="L384" s="108"/>
      <c r="M384" s="105"/>
      <c r="N384" s="105"/>
      <c r="O384" s="105"/>
      <c r="P384" s="108"/>
      <c r="Q384" s="105"/>
      <c r="R384" s="105"/>
      <c r="S384" s="105"/>
      <c r="T384" s="105"/>
      <c r="U384" s="108"/>
      <c r="V384" s="105"/>
      <c r="W384" s="105"/>
      <c r="X384" s="105"/>
      <c r="Y384" s="105"/>
      <c r="Z384" s="105"/>
      <c r="AA384" s="108"/>
      <c r="AB384" s="108"/>
      <c r="AC384" s="105"/>
      <c r="AD384" s="279"/>
      <c r="AE384" s="105"/>
      <c r="AF384" s="279"/>
      <c r="AG384" s="105"/>
      <c r="AH384" s="108"/>
      <c r="AI384" s="108"/>
      <c r="AJ384" s="108"/>
      <c r="AK384" s="108"/>
      <c r="AL384" s="105"/>
      <c r="AM384" s="108"/>
      <c r="AN384" s="105"/>
      <c r="AO384" s="108"/>
      <c r="AP384" s="108"/>
      <c r="AQ384" s="105"/>
      <c r="AR384" s="108"/>
      <c r="AS384" s="108"/>
      <c r="AT384" s="105"/>
      <c r="AU384" s="105"/>
      <c r="AV384" s="105"/>
      <c r="AW384" s="105"/>
      <c r="AX384" s="105"/>
      <c r="AY384" s="105"/>
      <c r="AZ384" s="105"/>
      <c r="BA384" s="105"/>
      <c r="BB384" s="105"/>
      <c r="BC384" s="105"/>
      <c r="BD384" s="108"/>
      <c r="BE384" s="83">
        <f>IF($A384="","",IF(TRIM($D384&amp;"")="",IF(TRIM($AX384&amp;$AY384&amp;$AZ384&amp;$BA384&amp;$BB384&amp;$BC384&amp;$BD384&amp;"")="","","SUBARRENDADO"),IFERROR(IF(VLOOKUP($D384,VEHICULOS!$A$3:$H$202,7,FALSE)="","",VLOOKUP($D384,VEHICULOS!$A$3:$H$202,7,FALSE)),"")))</f>
      </c>
      <c r="BF384" s="82">
        <f>IF($A384="","",IF(TRIM($BC384&amp;"")&lt;&gt;"",$BC384,IF(TRIM($D384&amp;"")="","",IFERROR(IF(VLOOKUP($D384,VEHICULOS!$A$3:$H$202,8,FALSE)="","",VLOOKUP($D384,VEHICULOS!$A$3:$H$202,8,FALSE)),""))))</f>
      </c>
      <c r="BG384" s="106"/>
      <c r="BH384" s="107"/>
      <c r="BI384" s="86">
        <f t="shared" si="75"/>
      </c>
      <c r="BJ384" s="83">
        <f t="shared" si="76"/>
      </c>
      <c r="BK384" s="85">
        <f t="shared" si="77"/>
      </c>
      <c r="BL384" s="85">
        <f t="shared" si="78"/>
      </c>
      <c r="BM384" s="108"/>
      <c r="BN384" s="85">
        <f t="shared" si="79"/>
      </c>
      <c r="BO384" s="108"/>
      <c r="BP384" s="85">
        <f t="shared" si="80"/>
      </c>
      <c r="BQ384" s="85">
        <f t="shared" si="81"/>
      </c>
      <c r="BR384" s="108"/>
      <c r="BS384" s="104"/>
      <c r="BT384" s="87">
        <f t="shared" si="82"/>
      </c>
      <c r="BU384" s="85">
        <f t="shared" si="83"/>
      </c>
      <c r="BV384" s="85">
        <f t="shared" si="84"/>
      </c>
      <c r="BW384" s="87">
        <f t="shared" si="85"/>
      </c>
      <c r="BX384" s="104"/>
      <c r="BY384" s="106"/>
      <c r="BZ384" s="104"/>
      <c r="CA384" s="105"/>
      <c r="CB384" s="77">
        <f>IF($A384="",0,IF($B384='FICHA CLIENTE'!$C$4,1,0))</f>
      </c>
      <c r="CC384" s="77">
        <f t="shared" si="86"/>
      </c>
      <c r="CD384" s="77">
        <f>IF($A384="",0,IF($D384='FICHA VEHICULO'!$C$4,1,0))</f>
      </c>
      <c r="CE384" s="77">
        <f t="shared" si="87"/>
      </c>
      <c r="CF384" s="77">
        <f t="shared" si="88"/>
      </c>
      <c r="CG384" s="77">
        <f t="shared" si="89"/>
      </c>
    </row>
    <row r="385" spans="1:85" ht="19.5" customHeight="1" x14ac:dyDescent="0.2">
      <c r="A385" s="104"/>
      <c r="B385" s="104"/>
      <c r="C385" s="105"/>
      <c r="D385" s="104"/>
      <c r="E385" s="105"/>
      <c r="F385" s="106"/>
      <c r="G385" s="104"/>
      <c r="H385" s="106"/>
      <c r="I385" s="107"/>
      <c r="J385" s="108"/>
      <c r="K385" s="108"/>
      <c r="L385" s="108"/>
      <c r="M385" s="105"/>
      <c r="N385" s="105"/>
      <c r="O385" s="105"/>
      <c r="P385" s="108"/>
      <c r="Q385" s="105"/>
      <c r="R385" s="105"/>
      <c r="S385" s="105"/>
      <c r="T385" s="105"/>
      <c r="U385" s="108"/>
      <c r="V385" s="105"/>
      <c r="W385" s="105"/>
      <c r="X385" s="105"/>
      <c r="Y385" s="105"/>
      <c r="Z385" s="105"/>
      <c r="AA385" s="108"/>
      <c r="AB385" s="108"/>
      <c r="AC385" s="105"/>
      <c r="AD385" s="279"/>
      <c r="AE385" s="105"/>
      <c r="AF385" s="279"/>
      <c r="AG385" s="105"/>
      <c r="AH385" s="108"/>
      <c r="AI385" s="108"/>
      <c r="AJ385" s="108"/>
      <c r="AK385" s="108"/>
      <c r="AL385" s="105"/>
      <c r="AM385" s="108"/>
      <c r="AN385" s="105"/>
      <c r="AO385" s="108"/>
      <c r="AP385" s="108"/>
      <c r="AQ385" s="105"/>
      <c r="AR385" s="108"/>
      <c r="AS385" s="108"/>
      <c r="AT385" s="105"/>
      <c r="AU385" s="105"/>
      <c r="AV385" s="105"/>
      <c r="AW385" s="105"/>
      <c r="AX385" s="105"/>
      <c r="AY385" s="105"/>
      <c r="AZ385" s="105"/>
      <c r="BA385" s="105"/>
      <c r="BB385" s="105"/>
      <c r="BC385" s="105"/>
      <c r="BD385" s="108"/>
      <c r="BE385" s="83">
        <f>IF($A385="","",IF(TRIM($D385&amp;"")="",IF(TRIM($AX385&amp;$AY385&amp;$AZ385&amp;$BA385&amp;$BB385&amp;$BC385&amp;$BD385&amp;"")="","","SUBARRENDADO"),IFERROR(IF(VLOOKUP($D385,VEHICULOS!$A$3:$H$202,7,FALSE)="","",VLOOKUP($D385,VEHICULOS!$A$3:$H$202,7,FALSE)),"")))</f>
      </c>
      <c r="BF385" s="82">
        <f>IF($A385="","",IF(TRIM($BC385&amp;"")&lt;&gt;"",$BC385,IF(TRIM($D385&amp;"")="","",IFERROR(IF(VLOOKUP($D385,VEHICULOS!$A$3:$H$202,8,FALSE)="","",VLOOKUP($D385,VEHICULOS!$A$3:$H$202,8,FALSE)),""))))</f>
      </c>
      <c r="BG385" s="106"/>
      <c r="BH385" s="107"/>
      <c r="BI385" s="86">
        <f t="shared" si="75"/>
      </c>
      <c r="BJ385" s="83">
        <f t="shared" si="76"/>
      </c>
      <c r="BK385" s="85">
        <f t="shared" si="77"/>
      </c>
      <c r="BL385" s="85">
        <f t="shared" si="78"/>
      </c>
      <c r="BM385" s="108"/>
      <c r="BN385" s="85">
        <f t="shared" si="79"/>
      </c>
      <c r="BO385" s="108"/>
      <c r="BP385" s="85">
        <f t="shared" si="80"/>
      </c>
      <c r="BQ385" s="85">
        <f t="shared" si="81"/>
      </c>
      <c r="BR385" s="108"/>
      <c r="BS385" s="104"/>
      <c r="BT385" s="87">
        <f t="shared" si="82"/>
      </c>
      <c r="BU385" s="85">
        <f t="shared" si="83"/>
      </c>
      <c r="BV385" s="85">
        <f t="shared" si="84"/>
      </c>
      <c r="BW385" s="87">
        <f t="shared" si="85"/>
      </c>
      <c r="BX385" s="104"/>
      <c r="BY385" s="106"/>
      <c r="BZ385" s="104"/>
      <c r="CA385" s="105"/>
      <c r="CB385" s="77">
        <f>IF($A385="",0,IF($B385='FICHA CLIENTE'!$C$4,1,0))</f>
      </c>
      <c r="CC385" s="77">
        <f t="shared" si="86"/>
      </c>
      <c r="CD385" s="77">
        <f>IF($A385="",0,IF($D385='FICHA VEHICULO'!$C$4,1,0))</f>
      </c>
      <c r="CE385" s="77">
        <f t="shared" si="87"/>
      </c>
      <c r="CF385" s="77">
        <f t="shared" si="88"/>
      </c>
      <c r="CG385" s="77">
        <f t="shared" si="89"/>
      </c>
    </row>
    <row r="386" spans="1:85" ht="19.5" customHeight="1" x14ac:dyDescent="0.2">
      <c r="A386" s="104"/>
      <c r="B386" s="104"/>
      <c r="C386" s="105"/>
      <c r="D386" s="104"/>
      <c r="E386" s="105"/>
      <c r="F386" s="106"/>
      <c r="G386" s="104"/>
      <c r="H386" s="106"/>
      <c r="I386" s="107"/>
      <c r="J386" s="108"/>
      <c r="K386" s="108"/>
      <c r="L386" s="108"/>
      <c r="M386" s="105"/>
      <c r="N386" s="105"/>
      <c r="O386" s="105"/>
      <c r="P386" s="108"/>
      <c r="Q386" s="105"/>
      <c r="R386" s="105"/>
      <c r="S386" s="105"/>
      <c r="T386" s="105"/>
      <c r="U386" s="108"/>
      <c r="V386" s="105"/>
      <c r="W386" s="105"/>
      <c r="X386" s="105"/>
      <c r="Y386" s="105"/>
      <c r="Z386" s="105"/>
      <c r="AA386" s="108"/>
      <c r="AB386" s="108"/>
      <c r="AC386" s="105"/>
      <c r="AD386" s="279"/>
      <c r="AE386" s="105"/>
      <c r="AF386" s="279"/>
      <c r="AG386" s="105"/>
      <c r="AH386" s="108"/>
      <c r="AI386" s="108"/>
      <c r="AJ386" s="108"/>
      <c r="AK386" s="108"/>
      <c r="AL386" s="105"/>
      <c r="AM386" s="108"/>
      <c r="AN386" s="105"/>
      <c r="AO386" s="108"/>
      <c r="AP386" s="108"/>
      <c r="AQ386" s="105"/>
      <c r="AR386" s="108"/>
      <c r="AS386" s="108"/>
      <c r="AT386" s="105"/>
      <c r="AU386" s="105"/>
      <c r="AV386" s="105"/>
      <c r="AW386" s="105"/>
      <c r="AX386" s="105"/>
      <c r="AY386" s="105"/>
      <c r="AZ386" s="105"/>
      <c r="BA386" s="105"/>
      <c r="BB386" s="105"/>
      <c r="BC386" s="105"/>
      <c r="BD386" s="108"/>
      <c r="BE386" s="83">
        <f>IF($A386="","",IF(TRIM($D386&amp;"")="",IF(TRIM($AX386&amp;$AY386&amp;$AZ386&amp;$BA386&amp;$BB386&amp;$BC386&amp;$BD386&amp;"")="","","SUBARRENDADO"),IFERROR(IF(VLOOKUP($D386,VEHICULOS!$A$3:$H$202,7,FALSE)="","",VLOOKUP($D386,VEHICULOS!$A$3:$H$202,7,FALSE)),"")))</f>
      </c>
      <c r="BF386" s="82">
        <f>IF($A386="","",IF(TRIM($BC386&amp;"")&lt;&gt;"",$BC386,IF(TRIM($D386&amp;"")="","",IFERROR(IF(VLOOKUP($D386,VEHICULOS!$A$3:$H$202,8,FALSE)="","",VLOOKUP($D386,VEHICULOS!$A$3:$H$202,8,FALSE)),""))))</f>
      </c>
      <c r="BG386" s="106"/>
      <c r="BH386" s="107"/>
      <c r="BI386" s="86">
        <f t="shared" si="75"/>
      </c>
      <c r="BJ386" s="83">
        <f t="shared" si="76"/>
      </c>
      <c r="BK386" s="85">
        <f t="shared" si="77"/>
      </c>
      <c r="BL386" s="85">
        <f t="shared" si="78"/>
      </c>
      <c r="BM386" s="108"/>
      <c r="BN386" s="85">
        <f t="shared" si="79"/>
      </c>
      <c r="BO386" s="108"/>
      <c r="BP386" s="85">
        <f t="shared" si="80"/>
      </c>
      <c r="BQ386" s="85">
        <f t="shared" si="81"/>
      </c>
      <c r="BR386" s="108"/>
      <c r="BS386" s="104"/>
      <c r="BT386" s="87">
        <f t="shared" si="82"/>
      </c>
      <c r="BU386" s="85">
        <f t="shared" si="83"/>
      </c>
      <c r="BV386" s="85">
        <f t="shared" si="84"/>
      </c>
      <c r="BW386" s="87">
        <f t="shared" si="85"/>
      </c>
      <c r="BX386" s="104"/>
      <c r="BY386" s="106"/>
      <c r="BZ386" s="104"/>
      <c r="CA386" s="105"/>
      <c r="CB386" s="77">
        <f>IF($A386="",0,IF($B386='FICHA CLIENTE'!$C$4,1,0))</f>
      </c>
      <c r="CC386" s="77">
        <f t="shared" si="86"/>
      </c>
      <c r="CD386" s="77">
        <f>IF($A386="",0,IF($D386='FICHA VEHICULO'!$C$4,1,0))</f>
      </c>
      <c r="CE386" s="77">
        <f t="shared" si="87"/>
      </c>
      <c r="CF386" s="77">
        <f t="shared" si="88"/>
      </c>
      <c r="CG386" s="77">
        <f t="shared" si="89"/>
      </c>
    </row>
    <row r="387" spans="1:85" ht="19.5" customHeight="1" x14ac:dyDescent="0.2">
      <c r="A387" s="104"/>
      <c r="B387" s="104"/>
      <c r="C387" s="105"/>
      <c r="D387" s="104"/>
      <c r="E387" s="105"/>
      <c r="F387" s="106"/>
      <c r="G387" s="104"/>
      <c r="H387" s="106"/>
      <c r="I387" s="107"/>
      <c r="J387" s="108"/>
      <c r="K387" s="108"/>
      <c r="L387" s="108"/>
      <c r="M387" s="105"/>
      <c r="N387" s="105"/>
      <c r="O387" s="105"/>
      <c r="P387" s="108"/>
      <c r="Q387" s="105"/>
      <c r="R387" s="105"/>
      <c r="S387" s="105"/>
      <c r="T387" s="105"/>
      <c r="U387" s="108"/>
      <c r="V387" s="105"/>
      <c r="W387" s="105"/>
      <c r="X387" s="105"/>
      <c r="Y387" s="105"/>
      <c r="Z387" s="105"/>
      <c r="AA387" s="108"/>
      <c r="AB387" s="108"/>
      <c r="AC387" s="105"/>
      <c r="AD387" s="279"/>
      <c r="AE387" s="105"/>
      <c r="AF387" s="279"/>
      <c r="AG387" s="105"/>
      <c r="AH387" s="108"/>
      <c r="AI387" s="108"/>
      <c r="AJ387" s="108"/>
      <c r="AK387" s="108"/>
      <c r="AL387" s="105"/>
      <c r="AM387" s="108"/>
      <c r="AN387" s="105"/>
      <c r="AO387" s="108"/>
      <c r="AP387" s="108"/>
      <c r="AQ387" s="105"/>
      <c r="AR387" s="108"/>
      <c r="AS387" s="108"/>
      <c r="AT387" s="105"/>
      <c r="AU387" s="105"/>
      <c r="AV387" s="105"/>
      <c r="AW387" s="105"/>
      <c r="AX387" s="105"/>
      <c r="AY387" s="105"/>
      <c r="AZ387" s="105"/>
      <c r="BA387" s="105"/>
      <c r="BB387" s="105"/>
      <c r="BC387" s="105"/>
      <c r="BD387" s="108"/>
      <c r="BE387" s="83">
        <f>IF($A387="","",IF(TRIM($D387&amp;"")="",IF(TRIM($AX387&amp;$AY387&amp;$AZ387&amp;$BA387&amp;$BB387&amp;$BC387&amp;$BD387&amp;"")="","","SUBARRENDADO"),IFERROR(IF(VLOOKUP($D387,VEHICULOS!$A$3:$H$202,7,FALSE)="","",VLOOKUP($D387,VEHICULOS!$A$3:$H$202,7,FALSE)),"")))</f>
      </c>
      <c r="BF387" s="82">
        <f>IF($A387="","",IF(TRIM($BC387&amp;"")&lt;&gt;"",$BC387,IF(TRIM($D387&amp;"")="","",IFERROR(IF(VLOOKUP($D387,VEHICULOS!$A$3:$H$202,8,FALSE)="","",VLOOKUP($D387,VEHICULOS!$A$3:$H$202,8,FALSE)),""))))</f>
      </c>
      <c r="BG387" s="106"/>
      <c r="BH387" s="107"/>
      <c r="BI387" s="86">
        <f t="shared" si="75"/>
      </c>
      <c r="BJ387" s="83">
        <f t="shared" si="76"/>
      </c>
      <c r="BK387" s="85">
        <f t="shared" si="77"/>
      </c>
      <c r="BL387" s="85">
        <f t="shared" si="78"/>
      </c>
      <c r="BM387" s="108"/>
      <c r="BN387" s="85">
        <f t="shared" si="79"/>
      </c>
      <c r="BO387" s="108"/>
      <c r="BP387" s="85">
        <f t="shared" si="80"/>
      </c>
      <c r="BQ387" s="85">
        <f t="shared" si="81"/>
      </c>
      <c r="BR387" s="108"/>
      <c r="BS387" s="104"/>
      <c r="BT387" s="87">
        <f t="shared" si="82"/>
      </c>
      <c r="BU387" s="85">
        <f t="shared" si="83"/>
      </c>
      <c r="BV387" s="85">
        <f t="shared" si="84"/>
      </c>
      <c r="BW387" s="87">
        <f t="shared" si="85"/>
      </c>
      <c r="BX387" s="104"/>
      <c r="BY387" s="106"/>
      <c r="BZ387" s="104"/>
      <c r="CA387" s="105"/>
      <c r="CB387" s="77">
        <f>IF($A387="",0,IF($B387='FICHA CLIENTE'!$C$4,1,0))</f>
      </c>
      <c r="CC387" s="77">
        <f t="shared" si="86"/>
      </c>
      <c r="CD387" s="77">
        <f>IF($A387="",0,IF($D387='FICHA VEHICULO'!$C$4,1,0))</f>
      </c>
      <c r="CE387" s="77">
        <f t="shared" si="87"/>
      </c>
      <c r="CF387" s="77">
        <f t="shared" si="88"/>
      </c>
      <c r="CG387" s="77">
        <f t="shared" si="89"/>
      </c>
    </row>
    <row r="388" spans="1:85" ht="19.5" customHeight="1" x14ac:dyDescent="0.2">
      <c r="A388" s="104"/>
      <c r="B388" s="104"/>
      <c r="C388" s="105"/>
      <c r="D388" s="104"/>
      <c r="E388" s="105"/>
      <c r="F388" s="106"/>
      <c r="G388" s="104"/>
      <c r="H388" s="106"/>
      <c r="I388" s="107"/>
      <c r="J388" s="108"/>
      <c r="K388" s="108"/>
      <c r="L388" s="108"/>
      <c r="M388" s="105"/>
      <c r="N388" s="105"/>
      <c r="O388" s="105"/>
      <c r="P388" s="108"/>
      <c r="Q388" s="105"/>
      <c r="R388" s="105"/>
      <c r="S388" s="105"/>
      <c r="T388" s="105"/>
      <c r="U388" s="108"/>
      <c r="V388" s="105"/>
      <c r="W388" s="105"/>
      <c r="X388" s="105"/>
      <c r="Y388" s="105"/>
      <c r="Z388" s="105"/>
      <c r="AA388" s="108"/>
      <c r="AB388" s="108"/>
      <c r="AC388" s="105"/>
      <c r="AD388" s="279"/>
      <c r="AE388" s="105"/>
      <c r="AF388" s="279"/>
      <c r="AG388" s="105"/>
      <c r="AH388" s="108"/>
      <c r="AI388" s="108"/>
      <c r="AJ388" s="108"/>
      <c r="AK388" s="108"/>
      <c r="AL388" s="105"/>
      <c r="AM388" s="108"/>
      <c r="AN388" s="105"/>
      <c r="AO388" s="108"/>
      <c r="AP388" s="108"/>
      <c r="AQ388" s="105"/>
      <c r="AR388" s="108"/>
      <c r="AS388" s="108"/>
      <c r="AT388" s="105"/>
      <c r="AU388" s="105"/>
      <c r="AV388" s="105"/>
      <c r="AW388" s="105"/>
      <c r="AX388" s="105"/>
      <c r="AY388" s="105"/>
      <c r="AZ388" s="105"/>
      <c r="BA388" s="105"/>
      <c r="BB388" s="105"/>
      <c r="BC388" s="105"/>
      <c r="BD388" s="108"/>
      <c r="BE388" s="83">
        <f>IF($A388="","",IF(TRIM($D388&amp;"")="",IF(TRIM($AX388&amp;$AY388&amp;$AZ388&amp;$BA388&amp;$BB388&amp;$BC388&amp;$BD388&amp;"")="","","SUBARRENDADO"),IFERROR(IF(VLOOKUP($D388,VEHICULOS!$A$3:$H$202,7,FALSE)="","",VLOOKUP($D388,VEHICULOS!$A$3:$H$202,7,FALSE)),"")))</f>
      </c>
      <c r="BF388" s="82">
        <f>IF($A388="","",IF(TRIM($BC388&amp;"")&lt;&gt;"",$BC388,IF(TRIM($D388&amp;"")="","",IFERROR(IF(VLOOKUP($D388,VEHICULOS!$A$3:$H$202,8,FALSE)="","",VLOOKUP($D388,VEHICULOS!$A$3:$H$202,8,FALSE)),""))))</f>
      </c>
      <c r="BG388" s="106"/>
      <c r="BH388" s="107"/>
      <c r="BI388" s="86">
        <f t="shared" si="75"/>
      </c>
      <c r="BJ388" s="83">
        <f t="shared" si="76"/>
      </c>
      <c r="BK388" s="85">
        <f t="shared" si="77"/>
      </c>
      <c r="BL388" s="85">
        <f t="shared" si="78"/>
      </c>
      <c r="BM388" s="108"/>
      <c r="BN388" s="85">
        <f t="shared" si="79"/>
      </c>
      <c r="BO388" s="108"/>
      <c r="BP388" s="85">
        <f t="shared" si="80"/>
      </c>
      <c r="BQ388" s="85">
        <f t="shared" si="81"/>
      </c>
      <c r="BR388" s="108"/>
      <c r="BS388" s="104"/>
      <c r="BT388" s="87">
        <f t="shared" si="82"/>
      </c>
      <c r="BU388" s="85">
        <f t="shared" si="83"/>
      </c>
      <c r="BV388" s="85">
        <f t="shared" si="84"/>
      </c>
      <c r="BW388" s="87">
        <f t="shared" si="85"/>
      </c>
      <c r="BX388" s="104"/>
      <c r="BY388" s="106"/>
      <c r="BZ388" s="104"/>
      <c r="CA388" s="105"/>
      <c r="CB388" s="77">
        <f>IF($A388="",0,IF($B388='FICHA CLIENTE'!$C$4,1,0))</f>
      </c>
      <c r="CC388" s="77">
        <f t="shared" si="86"/>
      </c>
      <c r="CD388" s="77">
        <f>IF($A388="",0,IF($D388='FICHA VEHICULO'!$C$4,1,0))</f>
      </c>
      <c r="CE388" s="77">
        <f t="shared" si="87"/>
      </c>
      <c r="CF388" s="77">
        <f t="shared" si="88"/>
      </c>
      <c r="CG388" s="77">
        <f t="shared" si="89"/>
      </c>
    </row>
    <row r="389" spans="1:85" ht="19.5" customHeight="1" x14ac:dyDescent="0.2">
      <c r="A389" s="104"/>
      <c r="B389" s="104"/>
      <c r="C389" s="105"/>
      <c r="D389" s="104"/>
      <c r="E389" s="105"/>
      <c r="F389" s="106"/>
      <c r="G389" s="104"/>
      <c r="H389" s="106"/>
      <c r="I389" s="107"/>
      <c r="J389" s="108"/>
      <c r="K389" s="108"/>
      <c r="L389" s="108"/>
      <c r="M389" s="105"/>
      <c r="N389" s="105"/>
      <c r="O389" s="105"/>
      <c r="P389" s="108"/>
      <c r="Q389" s="105"/>
      <c r="R389" s="105"/>
      <c r="S389" s="105"/>
      <c r="T389" s="105"/>
      <c r="U389" s="108"/>
      <c r="V389" s="105"/>
      <c r="W389" s="105"/>
      <c r="X389" s="105"/>
      <c r="Y389" s="105"/>
      <c r="Z389" s="105"/>
      <c r="AA389" s="108"/>
      <c r="AB389" s="108"/>
      <c r="AC389" s="105"/>
      <c r="AD389" s="279"/>
      <c r="AE389" s="105"/>
      <c r="AF389" s="279"/>
      <c r="AG389" s="105"/>
      <c r="AH389" s="108"/>
      <c r="AI389" s="108"/>
      <c r="AJ389" s="108"/>
      <c r="AK389" s="108"/>
      <c r="AL389" s="105"/>
      <c r="AM389" s="108"/>
      <c r="AN389" s="105"/>
      <c r="AO389" s="108"/>
      <c r="AP389" s="108"/>
      <c r="AQ389" s="105"/>
      <c r="AR389" s="108"/>
      <c r="AS389" s="108"/>
      <c r="AT389" s="105"/>
      <c r="AU389" s="105"/>
      <c r="AV389" s="105"/>
      <c r="AW389" s="105"/>
      <c r="AX389" s="105"/>
      <c r="AY389" s="105"/>
      <c r="AZ389" s="105"/>
      <c r="BA389" s="105"/>
      <c r="BB389" s="105"/>
      <c r="BC389" s="105"/>
      <c r="BD389" s="108"/>
      <c r="BE389" s="83">
        <f>IF($A389="","",IF(TRIM($D389&amp;"")="",IF(TRIM($AX389&amp;$AY389&amp;$AZ389&amp;$BA389&amp;$BB389&amp;$BC389&amp;$BD389&amp;"")="","","SUBARRENDADO"),IFERROR(IF(VLOOKUP($D389,VEHICULOS!$A$3:$H$202,7,FALSE)="","",VLOOKUP($D389,VEHICULOS!$A$3:$H$202,7,FALSE)),"")))</f>
      </c>
      <c r="BF389" s="82">
        <f>IF($A389="","",IF(TRIM($BC389&amp;"")&lt;&gt;"",$BC389,IF(TRIM($D389&amp;"")="","",IFERROR(IF(VLOOKUP($D389,VEHICULOS!$A$3:$H$202,8,FALSE)="","",VLOOKUP($D389,VEHICULOS!$A$3:$H$202,8,FALSE)),""))))</f>
      </c>
      <c r="BG389" s="106"/>
      <c r="BH389" s="107"/>
      <c r="BI389" s="86">
        <f t="shared" si="75"/>
      </c>
      <c r="BJ389" s="83">
        <f t="shared" si="76"/>
      </c>
      <c r="BK389" s="85">
        <f t="shared" si="77"/>
      </c>
      <c r="BL389" s="85">
        <f t="shared" si="78"/>
      </c>
      <c r="BM389" s="108"/>
      <c r="BN389" s="85">
        <f t="shared" si="79"/>
      </c>
      <c r="BO389" s="108"/>
      <c r="BP389" s="85">
        <f t="shared" si="80"/>
      </c>
      <c r="BQ389" s="85">
        <f t="shared" si="81"/>
      </c>
      <c r="BR389" s="108"/>
      <c r="BS389" s="104"/>
      <c r="BT389" s="87">
        <f t="shared" si="82"/>
      </c>
      <c r="BU389" s="85">
        <f t="shared" si="83"/>
      </c>
      <c r="BV389" s="85">
        <f t="shared" si="84"/>
      </c>
      <c r="BW389" s="87">
        <f t="shared" si="85"/>
      </c>
      <c r="BX389" s="104"/>
      <c r="BY389" s="106"/>
      <c r="BZ389" s="104"/>
      <c r="CA389" s="105"/>
      <c r="CB389" s="77">
        <f>IF($A389="",0,IF($B389='FICHA CLIENTE'!$C$4,1,0))</f>
      </c>
      <c r="CC389" s="77">
        <f t="shared" si="86"/>
      </c>
      <c r="CD389" s="77">
        <f>IF($A389="",0,IF($D389='FICHA VEHICULO'!$C$4,1,0))</f>
      </c>
      <c r="CE389" s="77">
        <f t="shared" si="87"/>
      </c>
      <c r="CF389" s="77">
        <f t="shared" si="88"/>
      </c>
      <c r="CG389" s="77">
        <f t="shared" si="89"/>
      </c>
    </row>
    <row r="390" spans="1:85" ht="19.5" customHeight="1" x14ac:dyDescent="0.2">
      <c r="A390" s="104"/>
      <c r="B390" s="104"/>
      <c r="C390" s="105"/>
      <c r="D390" s="104"/>
      <c r="E390" s="105"/>
      <c r="F390" s="106"/>
      <c r="G390" s="104"/>
      <c r="H390" s="106"/>
      <c r="I390" s="107"/>
      <c r="J390" s="108"/>
      <c r="K390" s="108"/>
      <c r="L390" s="108"/>
      <c r="M390" s="105"/>
      <c r="N390" s="105"/>
      <c r="O390" s="105"/>
      <c r="P390" s="108"/>
      <c r="Q390" s="105"/>
      <c r="R390" s="105"/>
      <c r="S390" s="105"/>
      <c r="T390" s="105"/>
      <c r="U390" s="108"/>
      <c r="V390" s="105"/>
      <c r="W390" s="105"/>
      <c r="X390" s="105"/>
      <c r="Y390" s="105"/>
      <c r="Z390" s="105"/>
      <c r="AA390" s="108"/>
      <c r="AB390" s="108"/>
      <c r="AC390" s="105"/>
      <c r="AD390" s="279"/>
      <c r="AE390" s="105"/>
      <c r="AF390" s="279"/>
      <c r="AG390" s="105"/>
      <c r="AH390" s="108"/>
      <c r="AI390" s="108"/>
      <c r="AJ390" s="108"/>
      <c r="AK390" s="108"/>
      <c r="AL390" s="105"/>
      <c r="AM390" s="108"/>
      <c r="AN390" s="105"/>
      <c r="AO390" s="108"/>
      <c r="AP390" s="108"/>
      <c r="AQ390" s="105"/>
      <c r="AR390" s="108"/>
      <c r="AS390" s="108"/>
      <c r="AT390" s="105"/>
      <c r="AU390" s="105"/>
      <c r="AV390" s="105"/>
      <c r="AW390" s="105"/>
      <c r="AX390" s="105"/>
      <c r="AY390" s="105"/>
      <c r="AZ390" s="105"/>
      <c r="BA390" s="105"/>
      <c r="BB390" s="105"/>
      <c r="BC390" s="105"/>
      <c r="BD390" s="108"/>
      <c r="BE390" s="83">
        <f>IF($A390="","",IF(TRIM($D390&amp;"")="",IF(TRIM($AX390&amp;$AY390&amp;$AZ390&amp;$BA390&amp;$BB390&amp;$BC390&amp;$BD390&amp;"")="","","SUBARRENDADO"),IFERROR(IF(VLOOKUP($D390,VEHICULOS!$A$3:$H$202,7,FALSE)="","",VLOOKUP($D390,VEHICULOS!$A$3:$H$202,7,FALSE)),"")))</f>
      </c>
      <c r="BF390" s="82">
        <f>IF($A390="","",IF(TRIM($BC390&amp;"")&lt;&gt;"",$BC390,IF(TRIM($D390&amp;"")="","",IFERROR(IF(VLOOKUP($D390,VEHICULOS!$A$3:$H$202,8,FALSE)="","",VLOOKUP($D390,VEHICULOS!$A$3:$H$202,8,FALSE)),""))))</f>
      </c>
      <c r="BG390" s="106"/>
      <c r="BH390" s="107"/>
      <c r="BI390" s="86">
        <f t="shared" ref="BI390:BI453" si="90">IF(OR($BH390="",$I390=""),"",$BH390-$I390)</f>
      </c>
      <c r="BJ390" s="83">
        <f t="shared" ref="BJ390:BJ453" si="91">IF(OR($BG390="",$H390=""),"",MAX(0,$BG390-$H390))</f>
      </c>
      <c r="BK390" s="85">
        <f t="shared" ref="BK390:BK453" si="92">IF($A390="","",N($BJ390)*N($J390))</f>
      </c>
      <c r="BL390" s="85">
        <f t="shared" ref="BL390:BL453" si="93">IF($A390="","",(N($AM390)+N($AS390))*(N($G390)+N($BJ390))+N($AP390))</f>
      </c>
      <c r="BM390" s="108"/>
      <c r="BN390" s="85">
        <f t="shared" ref="BN390:BN453" si="94">IF($A390="","",N($AO390))</f>
      </c>
      <c r="BO390" s="108"/>
      <c r="BP390" s="85">
        <f t="shared" ref="BP390:BP453" si="95">IF($A390="","",N($AR390))</f>
      </c>
      <c r="BQ390" s="85">
        <f t="shared" ref="BQ390:BQ453" si="96">IF($A390="","",N($K390)+N($BK390)+N($BL390)+N($BM390)+N($BN390)+N($BO390)+N($BP390))</f>
      </c>
      <c r="BR390" s="108"/>
      <c r="BS390" s="104"/>
      <c r="BT390" s="87">
        <f t="shared" ref="BT390:BT453" si="97">IF($A390="","",ROUND((N($BQ390)-N($BR390))*(1+N($BS390)/100),2))</f>
      </c>
      <c r="BU390" s="85">
        <f t="shared" ref="BU390:BU453" si="98">IF($A390="","",N($BD390))</f>
      </c>
      <c r="BV390" s="85">
        <f t="shared" ref="BV390:BV453" si="99">IF($A390="","",N($BU390)*(N($G390)+N($BJ390)))</f>
      </c>
      <c r="BW390" s="87">
        <f t="shared" ref="BW390:BW453" si="100">IF($A390="","",N($BT390)-N($BV390))</f>
      </c>
      <c r="BX390" s="104"/>
      <c r="BY390" s="106"/>
      <c r="BZ390" s="104"/>
      <c r="CA390" s="105"/>
      <c r="CB390" s="77">
        <f>IF($A390="",0,IF($B390='FICHA CLIENTE'!$C$4,1,0))</f>
      </c>
      <c r="CC390" s="77">
        <f t="shared" ref="CC390:CC453" si="101">$CC389+$CB390</f>
      </c>
      <c r="CD390" s="77">
        <f>IF($A390="",0,IF($D390='FICHA VEHICULO'!$C$4,1,0))</f>
      </c>
      <c r="CE390" s="77">
        <f t="shared" ref="CE390:CE453" si="102">$CE389+$CD390</f>
      </c>
      <c r="CF390" s="77">
        <f t="shared" ref="CF390:CF453" si="103">IF($A390="",0,IF($BG390="",1,0))</f>
      </c>
      <c r="CG390" s="77">
        <f t="shared" ref="CG390:CG453" si="104">$CG389+$CF390</f>
      </c>
    </row>
    <row r="391" spans="1:85" ht="19.5" customHeight="1" x14ac:dyDescent="0.2">
      <c r="A391" s="104"/>
      <c r="B391" s="104"/>
      <c r="C391" s="105"/>
      <c r="D391" s="104"/>
      <c r="E391" s="105"/>
      <c r="F391" s="106"/>
      <c r="G391" s="104"/>
      <c r="H391" s="106"/>
      <c r="I391" s="107"/>
      <c r="J391" s="108"/>
      <c r="K391" s="108"/>
      <c r="L391" s="108"/>
      <c r="M391" s="105"/>
      <c r="N391" s="105"/>
      <c r="O391" s="105"/>
      <c r="P391" s="108"/>
      <c r="Q391" s="105"/>
      <c r="R391" s="105"/>
      <c r="S391" s="105"/>
      <c r="T391" s="105"/>
      <c r="U391" s="108"/>
      <c r="V391" s="105"/>
      <c r="W391" s="105"/>
      <c r="X391" s="105"/>
      <c r="Y391" s="105"/>
      <c r="Z391" s="105"/>
      <c r="AA391" s="108"/>
      <c r="AB391" s="108"/>
      <c r="AC391" s="105"/>
      <c r="AD391" s="279"/>
      <c r="AE391" s="105"/>
      <c r="AF391" s="279"/>
      <c r="AG391" s="105"/>
      <c r="AH391" s="108"/>
      <c r="AI391" s="108"/>
      <c r="AJ391" s="108"/>
      <c r="AK391" s="108"/>
      <c r="AL391" s="105"/>
      <c r="AM391" s="108"/>
      <c r="AN391" s="105"/>
      <c r="AO391" s="108"/>
      <c r="AP391" s="108"/>
      <c r="AQ391" s="105"/>
      <c r="AR391" s="108"/>
      <c r="AS391" s="108"/>
      <c r="AT391" s="105"/>
      <c r="AU391" s="105"/>
      <c r="AV391" s="105"/>
      <c r="AW391" s="105"/>
      <c r="AX391" s="105"/>
      <c r="AY391" s="105"/>
      <c r="AZ391" s="105"/>
      <c r="BA391" s="105"/>
      <c r="BB391" s="105"/>
      <c r="BC391" s="105"/>
      <c r="BD391" s="108"/>
      <c r="BE391" s="83">
        <f>IF($A391="","",IF(TRIM($D391&amp;"")="",IF(TRIM($AX391&amp;$AY391&amp;$AZ391&amp;$BA391&amp;$BB391&amp;$BC391&amp;$BD391&amp;"")="","","SUBARRENDADO"),IFERROR(IF(VLOOKUP($D391,VEHICULOS!$A$3:$H$202,7,FALSE)="","",VLOOKUP($D391,VEHICULOS!$A$3:$H$202,7,FALSE)),"")))</f>
      </c>
      <c r="BF391" s="82">
        <f>IF($A391="","",IF(TRIM($BC391&amp;"")&lt;&gt;"",$BC391,IF(TRIM($D391&amp;"")="","",IFERROR(IF(VLOOKUP($D391,VEHICULOS!$A$3:$H$202,8,FALSE)="","",VLOOKUP($D391,VEHICULOS!$A$3:$H$202,8,FALSE)),""))))</f>
      </c>
      <c r="BG391" s="106"/>
      <c r="BH391" s="107"/>
      <c r="BI391" s="86">
        <f t="shared" si="90"/>
      </c>
      <c r="BJ391" s="83">
        <f t="shared" si="91"/>
      </c>
      <c r="BK391" s="85">
        <f t="shared" si="92"/>
      </c>
      <c r="BL391" s="85">
        <f t="shared" si="93"/>
      </c>
      <c r="BM391" s="108"/>
      <c r="BN391" s="85">
        <f t="shared" si="94"/>
      </c>
      <c r="BO391" s="108"/>
      <c r="BP391" s="85">
        <f t="shared" si="95"/>
      </c>
      <c r="BQ391" s="85">
        <f t="shared" si="96"/>
      </c>
      <c r="BR391" s="108"/>
      <c r="BS391" s="104"/>
      <c r="BT391" s="87">
        <f t="shared" si="97"/>
      </c>
      <c r="BU391" s="85">
        <f t="shared" si="98"/>
      </c>
      <c r="BV391" s="85">
        <f t="shared" si="99"/>
      </c>
      <c r="BW391" s="87">
        <f t="shared" si="100"/>
      </c>
      <c r="BX391" s="104"/>
      <c r="BY391" s="106"/>
      <c r="BZ391" s="104"/>
      <c r="CA391" s="105"/>
      <c r="CB391" s="77">
        <f>IF($A391="",0,IF($B391='FICHA CLIENTE'!$C$4,1,0))</f>
      </c>
      <c r="CC391" s="77">
        <f t="shared" si="101"/>
      </c>
      <c r="CD391" s="77">
        <f>IF($A391="",0,IF($D391='FICHA VEHICULO'!$C$4,1,0))</f>
      </c>
      <c r="CE391" s="77">
        <f t="shared" si="102"/>
      </c>
      <c r="CF391" s="77">
        <f t="shared" si="103"/>
      </c>
      <c r="CG391" s="77">
        <f t="shared" si="104"/>
      </c>
    </row>
    <row r="392" spans="1:85" ht="19.5" customHeight="1" x14ac:dyDescent="0.2">
      <c r="A392" s="104"/>
      <c r="B392" s="104"/>
      <c r="C392" s="105"/>
      <c r="D392" s="104"/>
      <c r="E392" s="105"/>
      <c r="F392" s="106"/>
      <c r="G392" s="104"/>
      <c r="H392" s="106"/>
      <c r="I392" s="107"/>
      <c r="J392" s="108"/>
      <c r="K392" s="108"/>
      <c r="L392" s="108"/>
      <c r="M392" s="105"/>
      <c r="N392" s="105"/>
      <c r="O392" s="105"/>
      <c r="P392" s="108"/>
      <c r="Q392" s="105"/>
      <c r="R392" s="105"/>
      <c r="S392" s="105"/>
      <c r="T392" s="105"/>
      <c r="U392" s="108"/>
      <c r="V392" s="105"/>
      <c r="W392" s="105"/>
      <c r="X392" s="105"/>
      <c r="Y392" s="105"/>
      <c r="Z392" s="105"/>
      <c r="AA392" s="108"/>
      <c r="AB392" s="108"/>
      <c r="AC392" s="105"/>
      <c r="AD392" s="279"/>
      <c r="AE392" s="105"/>
      <c r="AF392" s="279"/>
      <c r="AG392" s="105"/>
      <c r="AH392" s="108"/>
      <c r="AI392" s="108"/>
      <c r="AJ392" s="108"/>
      <c r="AK392" s="108"/>
      <c r="AL392" s="105"/>
      <c r="AM392" s="108"/>
      <c r="AN392" s="105"/>
      <c r="AO392" s="108"/>
      <c r="AP392" s="108"/>
      <c r="AQ392" s="105"/>
      <c r="AR392" s="108"/>
      <c r="AS392" s="108"/>
      <c r="AT392" s="105"/>
      <c r="AU392" s="105"/>
      <c r="AV392" s="105"/>
      <c r="AW392" s="105"/>
      <c r="AX392" s="105"/>
      <c r="AY392" s="105"/>
      <c r="AZ392" s="105"/>
      <c r="BA392" s="105"/>
      <c r="BB392" s="105"/>
      <c r="BC392" s="105"/>
      <c r="BD392" s="108"/>
      <c r="BE392" s="83">
        <f>IF($A392="","",IF(TRIM($D392&amp;"")="",IF(TRIM($AX392&amp;$AY392&amp;$AZ392&amp;$BA392&amp;$BB392&amp;$BC392&amp;$BD392&amp;"")="","","SUBARRENDADO"),IFERROR(IF(VLOOKUP($D392,VEHICULOS!$A$3:$H$202,7,FALSE)="","",VLOOKUP($D392,VEHICULOS!$A$3:$H$202,7,FALSE)),"")))</f>
      </c>
      <c r="BF392" s="82">
        <f>IF($A392="","",IF(TRIM($BC392&amp;"")&lt;&gt;"",$BC392,IF(TRIM($D392&amp;"")="","",IFERROR(IF(VLOOKUP($D392,VEHICULOS!$A$3:$H$202,8,FALSE)="","",VLOOKUP($D392,VEHICULOS!$A$3:$H$202,8,FALSE)),""))))</f>
      </c>
      <c r="BG392" s="106"/>
      <c r="BH392" s="107"/>
      <c r="BI392" s="86">
        <f t="shared" si="90"/>
      </c>
      <c r="BJ392" s="83">
        <f t="shared" si="91"/>
      </c>
      <c r="BK392" s="85">
        <f t="shared" si="92"/>
      </c>
      <c r="BL392" s="85">
        <f t="shared" si="93"/>
      </c>
      <c r="BM392" s="108"/>
      <c r="BN392" s="85">
        <f t="shared" si="94"/>
      </c>
      <c r="BO392" s="108"/>
      <c r="BP392" s="85">
        <f t="shared" si="95"/>
      </c>
      <c r="BQ392" s="85">
        <f t="shared" si="96"/>
      </c>
      <c r="BR392" s="108"/>
      <c r="BS392" s="104"/>
      <c r="BT392" s="87">
        <f t="shared" si="97"/>
      </c>
      <c r="BU392" s="85">
        <f t="shared" si="98"/>
      </c>
      <c r="BV392" s="85">
        <f t="shared" si="99"/>
      </c>
      <c r="BW392" s="87">
        <f t="shared" si="100"/>
      </c>
      <c r="BX392" s="104"/>
      <c r="BY392" s="106"/>
      <c r="BZ392" s="104"/>
      <c r="CA392" s="105"/>
      <c r="CB392" s="77">
        <f>IF($A392="",0,IF($B392='FICHA CLIENTE'!$C$4,1,0))</f>
      </c>
      <c r="CC392" s="77">
        <f t="shared" si="101"/>
      </c>
      <c r="CD392" s="77">
        <f>IF($A392="",0,IF($D392='FICHA VEHICULO'!$C$4,1,0))</f>
      </c>
      <c r="CE392" s="77">
        <f t="shared" si="102"/>
      </c>
      <c r="CF392" s="77">
        <f t="shared" si="103"/>
      </c>
      <c r="CG392" s="77">
        <f t="shared" si="104"/>
      </c>
    </row>
    <row r="393" spans="1:85" ht="19.5" customHeight="1" x14ac:dyDescent="0.2">
      <c r="A393" s="104"/>
      <c r="B393" s="104"/>
      <c r="C393" s="105"/>
      <c r="D393" s="104"/>
      <c r="E393" s="105"/>
      <c r="F393" s="106"/>
      <c r="G393" s="104"/>
      <c r="H393" s="106"/>
      <c r="I393" s="107"/>
      <c r="J393" s="108"/>
      <c r="K393" s="108"/>
      <c r="L393" s="108"/>
      <c r="M393" s="105"/>
      <c r="N393" s="105"/>
      <c r="O393" s="105"/>
      <c r="P393" s="108"/>
      <c r="Q393" s="105"/>
      <c r="R393" s="105"/>
      <c r="S393" s="105"/>
      <c r="T393" s="105"/>
      <c r="U393" s="108"/>
      <c r="V393" s="105"/>
      <c r="W393" s="105"/>
      <c r="X393" s="105"/>
      <c r="Y393" s="105"/>
      <c r="Z393" s="105"/>
      <c r="AA393" s="108"/>
      <c r="AB393" s="108"/>
      <c r="AC393" s="105"/>
      <c r="AD393" s="279"/>
      <c r="AE393" s="105"/>
      <c r="AF393" s="279"/>
      <c r="AG393" s="105"/>
      <c r="AH393" s="108"/>
      <c r="AI393" s="108"/>
      <c r="AJ393" s="108"/>
      <c r="AK393" s="108"/>
      <c r="AL393" s="105"/>
      <c r="AM393" s="108"/>
      <c r="AN393" s="105"/>
      <c r="AO393" s="108"/>
      <c r="AP393" s="108"/>
      <c r="AQ393" s="105"/>
      <c r="AR393" s="108"/>
      <c r="AS393" s="108"/>
      <c r="AT393" s="105"/>
      <c r="AU393" s="105"/>
      <c r="AV393" s="105"/>
      <c r="AW393" s="105"/>
      <c r="AX393" s="105"/>
      <c r="AY393" s="105"/>
      <c r="AZ393" s="105"/>
      <c r="BA393" s="105"/>
      <c r="BB393" s="105"/>
      <c r="BC393" s="105"/>
      <c r="BD393" s="108"/>
      <c r="BE393" s="83">
        <f>IF($A393="","",IF(TRIM($D393&amp;"")="",IF(TRIM($AX393&amp;$AY393&amp;$AZ393&amp;$BA393&amp;$BB393&amp;$BC393&amp;$BD393&amp;"")="","","SUBARRENDADO"),IFERROR(IF(VLOOKUP($D393,VEHICULOS!$A$3:$H$202,7,FALSE)="","",VLOOKUP($D393,VEHICULOS!$A$3:$H$202,7,FALSE)),"")))</f>
      </c>
      <c r="BF393" s="82">
        <f>IF($A393="","",IF(TRIM($BC393&amp;"")&lt;&gt;"",$BC393,IF(TRIM($D393&amp;"")="","",IFERROR(IF(VLOOKUP($D393,VEHICULOS!$A$3:$H$202,8,FALSE)="","",VLOOKUP($D393,VEHICULOS!$A$3:$H$202,8,FALSE)),""))))</f>
      </c>
      <c r="BG393" s="106"/>
      <c r="BH393" s="107"/>
      <c r="BI393" s="86">
        <f t="shared" si="90"/>
      </c>
      <c r="BJ393" s="83">
        <f t="shared" si="91"/>
      </c>
      <c r="BK393" s="85">
        <f t="shared" si="92"/>
      </c>
      <c r="BL393" s="85">
        <f t="shared" si="93"/>
      </c>
      <c r="BM393" s="108"/>
      <c r="BN393" s="85">
        <f t="shared" si="94"/>
      </c>
      <c r="BO393" s="108"/>
      <c r="BP393" s="85">
        <f t="shared" si="95"/>
      </c>
      <c r="BQ393" s="85">
        <f t="shared" si="96"/>
      </c>
      <c r="BR393" s="108"/>
      <c r="BS393" s="104"/>
      <c r="BT393" s="87">
        <f t="shared" si="97"/>
      </c>
      <c r="BU393" s="85">
        <f t="shared" si="98"/>
      </c>
      <c r="BV393" s="85">
        <f t="shared" si="99"/>
      </c>
      <c r="BW393" s="87">
        <f t="shared" si="100"/>
      </c>
      <c r="BX393" s="104"/>
      <c r="BY393" s="106"/>
      <c r="BZ393" s="104"/>
      <c r="CA393" s="105"/>
      <c r="CB393" s="77">
        <f>IF($A393="",0,IF($B393='FICHA CLIENTE'!$C$4,1,0))</f>
      </c>
      <c r="CC393" s="77">
        <f t="shared" si="101"/>
      </c>
      <c r="CD393" s="77">
        <f>IF($A393="",0,IF($D393='FICHA VEHICULO'!$C$4,1,0))</f>
      </c>
      <c r="CE393" s="77">
        <f t="shared" si="102"/>
      </c>
      <c r="CF393" s="77">
        <f t="shared" si="103"/>
      </c>
      <c r="CG393" s="77">
        <f t="shared" si="104"/>
      </c>
    </row>
    <row r="394" spans="1:85" ht="19.5" customHeight="1" x14ac:dyDescent="0.2">
      <c r="A394" s="104"/>
      <c r="B394" s="104"/>
      <c r="C394" s="105"/>
      <c r="D394" s="104"/>
      <c r="E394" s="105"/>
      <c r="F394" s="106"/>
      <c r="G394" s="104"/>
      <c r="H394" s="106"/>
      <c r="I394" s="107"/>
      <c r="J394" s="108"/>
      <c r="K394" s="108"/>
      <c r="L394" s="108"/>
      <c r="M394" s="105"/>
      <c r="N394" s="105"/>
      <c r="O394" s="105"/>
      <c r="P394" s="108"/>
      <c r="Q394" s="105"/>
      <c r="R394" s="105"/>
      <c r="S394" s="105"/>
      <c r="T394" s="105"/>
      <c r="U394" s="108"/>
      <c r="V394" s="105"/>
      <c r="W394" s="105"/>
      <c r="X394" s="105"/>
      <c r="Y394" s="105"/>
      <c r="Z394" s="105"/>
      <c r="AA394" s="108"/>
      <c r="AB394" s="108"/>
      <c r="AC394" s="105"/>
      <c r="AD394" s="279"/>
      <c r="AE394" s="105"/>
      <c r="AF394" s="279"/>
      <c r="AG394" s="105"/>
      <c r="AH394" s="108"/>
      <c r="AI394" s="108"/>
      <c r="AJ394" s="108"/>
      <c r="AK394" s="108"/>
      <c r="AL394" s="105"/>
      <c r="AM394" s="108"/>
      <c r="AN394" s="105"/>
      <c r="AO394" s="108"/>
      <c r="AP394" s="108"/>
      <c r="AQ394" s="105"/>
      <c r="AR394" s="108"/>
      <c r="AS394" s="108"/>
      <c r="AT394" s="105"/>
      <c r="AU394" s="105"/>
      <c r="AV394" s="105"/>
      <c r="AW394" s="105"/>
      <c r="AX394" s="105"/>
      <c r="AY394" s="105"/>
      <c r="AZ394" s="105"/>
      <c r="BA394" s="105"/>
      <c r="BB394" s="105"/>
      <c r="BC394" s="105"/>
      <c r="BD394" s="108"/>
      <c r="BE394" s="83">
        <f>IF($A394="","",IF(TRIM($D394&amp;"")="",IF(TRIM($AX394&amp;$AY394&amp;$AZ394&amp;$BA394&amp;$BB394&amp;$BC394&amp;$BD394&amp;"")="","","SUBARRENDADO"),IFERROR(IF(VLOOKUP($D394,VEHICULOS!$A$3:$H$202,7,FALSE)="","",VLOOKUP($D394,VEHICULOS!$A$3:$H$202,7,FALSE)),"")))</f>
      </c>
      <c r="BF394" s="82">
        <f>IF($A394="","",IF(TRIM($BC394&amp;"")&lt;&gt;"",$BC394,IF(TRIM($D394&amp;"")="","",IFERROR(IF(VLOOKUP($D394,VEHICULOS!$A$3:$H$202,8,FALSE)="","",VLOOKUP($D394,VEHICULOS!$A$3:$H$202,8,FALSE)),""))))</f>
      </c>
      <c r="BG394" s="106"/>
      <c r="BH394" s="107"/>
      <c r="BI394" s="86">
        <f t="shared" si="90"/>
      </c>
      <c r="BJ394" s="83">
        <f t="shared" si="91"/>
      </c>
      <c r="BK394" s="85">
        <f t="shared" si="92"/>
      </c>
      <c r="BL394" s="85">
        <f t="shared" si="93"/>
      </c>
      <c r="BM394" s="108"/>
      <c r="BN394" s="85">
        <f t="shared" si="94"/>
      </c>
      <c r="BO394" s="108"/>
      <c r="BP394" s="85">
        <f t="shared" si="95"/>
      </c>
      <c r="BQ394" s="85">
        <f t="shared" si="96"/>
      </c>
      <c r="BR394" s="108"/>
      <c r="BS394" s="104"/>
      <c r="BT394" s="87">
        <f t="shared" si="97"/>
      </c>
      <c r="BU394" s="85">
        <f t="shared" si="98"/>
      </c>
      <c r="BV394" s="85">
        <f t="shared" si="99"/>
      </c>
      <c r="BW394" s="87">
        <f t="shared" si="100"/>
      </c>
      <c r="BX394" s="104"/>
      <c r="BY394" s="106"/>
      <c r="BZ394" s="104"/>
      <c r="CA394" s="105"/>
      <c r="CB394" s="77">
        <f>IF($A394="",0,IF($B394='FICHA CLIENTE'!$C$4,1,0))</f>
      </c>
      <c r="CC394" s="77">
        <f t="shared" si="101"/>
      </c>
      <c r="CD394" s="77">
        <f>IF($A394="",0,IF($D394='FICHA VEHICULO'!$C$4,1,0))</f>
      </c>
      <c r="CE394" s="77">
        <f t="shared" si="102"/>
      </c>
      <c r="CF394" s="77">
        <f t="shared" si="103"/>
      </c>
      <c r="CG394" s="77">
        <f t="shared" si="104"/>
      </c>
    </row>
    <row r="395" spans="1:85" ht="19.5" customHeight="1" x14ac:dyDescent="0.2">
      <c r="A395" s="104"/>
      <c r="B395" s="104"/>
      <c r="C395" s="105"/>
      <c r="D395" s="104"/>
      <c r="E395" s="105"/>
      <c r="F395" s="106"/>
      <c r="G395" s="104"/>
      <c r="H395" s="106"/>
      <c r="I395" s="107"/>
      <c r="J395" s="108"/>
      <c r="K395" s="108"/>
      <c r="L395" s="108"/>
      <c r="M395" s="105"/>
      <c r="N395" s="105"/>
      <c r="O395" s="105"/>
      <c r="P395" s="108"/>
      <c r="Q395" s="105"/>
      <c r="R395" s="105"/>
      <c r="S395" s="105"/>
      <c r="T395" s="105"/>
      <c r="U395" s="108"/>
      <c r="V395" s="105"/>
      <c r="W395" s="105"/>
      <c r="X395" s="105"/>
      <c r="Y395" s="105"/>
      <c r="Z395" s="105"/>
      <c r="AA395" s="108"/>
      <c r="AB395" s="108"/>
      <c r="AC395" s="105"/>
      <c r="AD395" s="279"/>
      <c r="AE395" s="105"/>
      <c r="AF395" s="279"/>
      <c r="AG395" s="105"/>
      <c r="AH395" s="108"/>
      <c r="AI395" s="108"/>
      <c r="AJ395" s="108"/>
      <c r="AK395" s="108"/>
      <c r="AL395" s="105"/>
      <c r="AM395" s="108"/>
      <c r="AN395" s="105"/>
      <c r="AO395" s="108"/>
      <c r="AP395" s="108"/>
      <c r="AQ395" s="105"/>
      <c r="AR395" s="108"/>
      <c r="AS395" s="108"/>
      <c r="AT395" s="105"/>
      <c r="AU395" s="105"/>
      <c r="AV395" s="105"/>
      <c r="AW395" s="105"/>
      <c r="AX395" s="105"/>
      <c r="AY395" s="105"/>
      <c r="AZ395" s="105"/>
      <c r="BA395" s="105"/>
      <c r="BB395" s="105"/>
      <c r="BC395" s="105"/>
      <c r="BD395" s="108"/>
      <c r="BE395" s="83">
        <f>IF($A395="","",IF(TRIM($D395&amp;"")="",IF(TRIM($AX395&amp;$AY395&amp;$AZ395&amp;$BA395&amp;$BB395&amp;$BC395&amp;$BD395&amp;"")="","","SUBARRENDADO"),IFERROR(IF(VLOOKUP($D395,VEHICULOS!$A$3:$H$202,7,FALSE)="","",VLOOKUP($D395,VEHICULOS!$A$3:$H$202,7,FALSE)),"")))</f>
      </c>
      <c r="BF395" s="82">
        <f>IF($A395="","",IF(TRIM($BC395&amp;"")&lt;&gt;"",$BC395,IF(TRIM($D395&amp;"")="","",IFERROR(IF(VLOOKUP($D395,VEHICULOS!$A$3:$H$202,8,FALSE)="","",VLOOKUP($D395,VEHICULOS!$A$3:$H$202,8,FALSE)),""))))</f>
      </c>
      <c r="BG395" s="106"/>
      <c r="BH395" s="107"/>
      <c r="BI395" s="86">
        <f t="shared" si="90"/>
      </c>
      <c r="BJ395" s="83">
        <f t="shared" si="91"/>
      </c>
      <c r="BK395" s="85">
        <f t="shared" si="92"/>
      </c>
      <c r="BL395" s="85">
        <f t="shared" si="93"/>
      </c>
      <c r="BM395" s="108"/>
      <c r="BN395" s="85">
        <f t="shared" si="94"/>
      </c>
      <c r="BO395" s="108"/>
      <c r="BP395" s="85">
        <f t="shared" si="95"/>
      </c>
      <c r="BQ395" s="85">
        <f t="shared" si="96"/>
      </c>
      <c r="BR395" s="108"/>
      <c r="BS395" s="104"/>
      <c r="BT395" s="87">
        <f t="shared" si="97"/>
      </c>
      <c r="BU395" s="85">
        <f t="shared" si="98"/>
      </c>
      <c r="BV395" s="85">
        <f t="shared" si="99"/>
      </c>
      <c r="BW395" s="87">
        <f t="shared" si="100"/>
      </c>
      <c r="BX395" s="104"/>
      <c r="BY395" s="106"/>
      <c r="BZ395" s="104"/>
      <c r="CA395" s="105"/>
      <c r="CB395" s="77">
        <f>IF($A395="",0,IF($B395='FICHA CLIENTE'!$C$4,1,0))</f>
      </c>
      <c r="CC395" s="77">
        <f t="shared" si="101"/>
      </c>
      <c r="CD395" s="77">
        <f>IF($A395="",0,IF($D395='FICHA VEHICULO'!$C$4,1,0))</f>
      </c>
      <c r="CE395" s="77">
        <f t="shared" si="102"/>
      </c>
      <c r="CF395" s="77">
        <f t="shared" si="103"/>
      </c>
      <c r="CG395" s="77">
        <f t="shared" si="104"/>
      </c>
    </row>
    <row r="396" spans="1:85" ht="19.5" customHeight="1" x14ac:dyDescent="0.2">
      <c r="A396" s="104"/>
      <c r="B396" s="104"/>
      <c r="C396" s="105"/>
      <c r="D396" s="104"/>
      <c r="E396" s="105"/>
      <c r="F396" s="106"/>
      <c r="G396" s="104"/>
      <c r="H396" s="106"/>
      <c r="I396" s="107"/>
      <c r="J396" s="108"/>
      <c r="K396" s="108"/>
      <c r="L396" s="108"/>
      <c r="M396" s="105"/>
      <c r="N396" s="105"/>
      <c r="O396" s="105"/>
      <c r="P396" s="108"/>
      <c r="Q396" s="105"/>
      <c r="R396" s="105"/>
      <c r="S396" s="105"/>
      <c r="T396" s="105"/>
      <c r="U396" s="108"/>
      <c r="V396" s="105"/>
      <c r="W396" s="105"/>
      <c r="X396" s="105"/>
      <c r="Y396" s="105"/>
      <c r="Z396" s="105"/>
      <c r="AA396" s="108"/>
      <c r="AB396" s="108"/>
      <c r="AC396" s="105"/>
      <c r="AD396" s="279"/>
      <c r="AE396" s="105"/>
      <c r="AF396" s="279"/>
      <c r="AG396" s="105"/>
      <c r="AH396" s="108"/>
      <c r="AI396" s="108"/>
      <c r="AJ396" s="108"/>
      <c r="AK396" s="108"/>
      <c r="AL396" s="105"/>
      <c r="AM396" s="108"/>
      <c r="AN396" s="105"/>
      <c r="AO396" s="108"/>
      <c r="AP396" s="108"/>
      <c r="AQ396" s="105"/>
      <c r="AR396" s="108"/>
      <c r="AS396" s="108"/>
      <c r="AT396" s="105"/>
      <c r="AU396" s="105"/>
      <c r="AV396" s="105"/>
      <c r="AW396" s="105"/>
      <c r="AX396" s="105"/>
      <c r="AY396" s="105"/>
      <c r="AZ396" s="105"/>
      <c r="BA396" s="105"/>
      <c r="BB396" s="105"/>
      <c r="BC396" s="105"/>
      <c r="BD396" s="108"/>
      <c r="BE396" s="83">
        <f>IF($A396="","",IF(TRIM($D396&amp;"")="",IF(TRIM($AX396&amp;$AY396&amp;$AZ396&amp;$BA396&amp;$BB396&amp;$BC396&amp;$BD396&amp;"")="","","SUBARRENDADO"),IFERROR(IF(VLOOKUP($D396,VEHICULOS!$A$3:$H$202,7,FALSE)="","",VLOOKUP($D396,VEHICULOS!$A$3:$H$202,7,FALSE)),"")))</f>
      </c>
      <c r="BF396" s="82">
        <f>IF($A396="","",IF(TRIM($BC396&amp;"")&lt;&gt;"",$BC396,IF(TRIM($D396&amp;"")="","",IFERROR(IF(VLOOKUP($D396,VEHICULOS!$A$3:$H$202,8,FALSE)="","",VLOOKUP($D396,VEHICULOS!$A$3:$H$202,8,FALSE)),""))))</f>
      </c>
      <c r="BG396" s="106"/>
      <c r="BH396" s="107"/>
      <c r="BI396" s="86">
        <f t="shared" si="90"/>
      </c>
      <c r="BJ396" s="83">
        <f t="shared" si="91"/>
      </c>
      <c r="BK396" s="85">
        <f t="shared" si="92"/>
      </c>
      <c r="BL396" s="85">
        <f t="shared" si="93"/>
      </c>
      <c r="BM396" s="108"/>
      <c r="BN396" s="85">
        <f t="shared" si="94"/>
      </c>
      <c r="BO396" s="108"/>
      <c r="BP396" s="85">
        <f t="shared" si="95"/>
      </c>
      <c r="BQ396" s="85">
        <f t="shared" si="96"/>
      </c>
      <c r="BR396" s="108"/>
      <c r="BS396" s="104"/>
      <c r="BT396" s="87">
        <f t="shared" si="97"/>
      </c>
      <c r="BU396" s="85">
        <f t="shared" si="98"/>
      </c>
      <c r="BV396" s="85">
        <f t="shared" si="99"/>
      </c>
      <c r="BW396" s="87">
        <f t="shared" si="100"/>
      </c>
      <c r="BX396" s="104"/>
      <c r="BY396" s="106"/>
      <c r="BZ396" s="104"/>
      <c r="CA396" s="105"/>
      <c r="CB396" s="77">
        <f>IF($A396="",0,IF($B396='FICHA CLIENTE'!$C$4,1,0))</f>
      </c>
      <c r="CC396" s="77">
        <f t="shared" si="101"/>
      </c>
      <c r="CD396" s="77">
        <f>IF($A396="",0,IF($D396='FICHA VEHICULO'!$C$4,1,0))</f>
      </c>
      <c r="CE396" s="77">
        <f t="shared" si="102"/>
      </c>
      <c r="CF396" s="77">
        <f t="shared" si="103"/>
      </c>
      <c r="CG396" s="77">
        <f t="shared" si="104"/>
      </c>
    </row>
    <row r="397" spans="1:85" ht="19.5" customHeight="1" x14ac:dyDescent="0.2">
      <c r="A397" s="104"/>
      <c r="B397" s="104"/>
      <c r="C397" s="105"/>
      <c r="D397" s="104"/>
      <c r="E397" s="105"/>
      <c r="F397" s="106"/>
      <c r="G397" s="104"/>
      <c r="H397" s="106"/>
      <c r="I397" s="107"/>
      <c r="J397" s="108"/>
      <c r="K397" s="108"/>
      <c r="L397" s="108"/>
      <c r="M397" s="105"/>
      <c r="N397" s="105"/>
      <c r="O397" s="105"/>
      <c r="P397" s="108"/>
      <c r="Q397" s="105"/>
      <c r="R397" s="105"/>
      <c r="S397" s="105"/>
      <c r="T397" s="105"/>
      <c r="U397" s="108"/>
      <c r="V397" s="105"/>
      <c r="W397" s="105"/>
      <c r="X397" s="105"/>
      <c r="Y397" s="105"/>
      <c r="Z397" s="105"/>
      <c r="AA397" s="108"/>
      <c r="AB397" s="108"/>
      <c r="AC397" s="105"/>
      <c r="AD397" s="279"/>
      <c r="AE397" s="105"/>
      <c r="AF397" s="279"/>
      <c r="AG397" s="105"/>
      <c r="AH397" s="108"/>
      <c r="AI397" s="108"/>
      <c r="AJ397" s="108"/>
      <c r="AK397" s="108"/>
      <c r="AL397" s="105"/>
      <c r="AM397" s="108"/>
      <c r="AN397" s="105"/>
      <c r="AO397" s="108"/>
      <c r="AP397" s="108"/>
      <c r="AQ397" s="105"/>
      <c r="AR397" s="108"/>
      <c r="AS397" s="108"/>
      <c r="AT397" s="105"/>
      <c r="AU397" s="105"/>
      <c r="AV397" s="105"/>
      <c r="AW397" s="105"/>
      <c r="AX397" s="105"/>
      <c r="AY397" s="105"/>
      <c r="AZ397" s="105"/>
      <c r="BA397" s="105"/>
      <c r="BB397" s="105"/>
      <c r="BC397" s="105"/>
      <c r="BD397" s="108"/>
      <c r="BE397" s="83">
        <f>IF($A397="","",IF(TRIM($D397&amp;"")="",IF(TRIM($AX397&amp;$AY397&amp;$AZ397&amp;$BA397&amp;$BB397&amp;$BC397&amp;$BD397&amp;"")="","","SUBARRENDADO"),IFERROR(IF(VLOOKUP($D397,VEHICULOS!$A$3:$H$202,7,FALSE)="","",VLOOKUP($D397,VEHICULOS!$A$3:$H$202,7,FALSE)),"")))</f>
      </c>
      <c r="BF397" s="82">
        <f>IF($A397="","",IF(TRIM($BC397&amp;"")&lt;&gt;"",$BC397,IF(TRIM($D397&amp;"")="","",IFERROR(IF(VLOOKUP($D397,VEHICULOS!$A$3:$H$202,8,FALSE)="","",VLOOKUP($D397,VEHICULOS!$A$3:$H$202,8,FALSE)),""))))</f>
      </c>
      <c r="BG397" s="106"/>
      <c r="BH397" s="107"/>
      <c r="BI397" s="86">
        <f t="shared" si="90"/>
      </c>
      <c r="BJ397" s="83">
        <f t="shared" si="91"/>
      </c>
      <c r="BK397" s="85">
        <f t="shared" si="92"/>
      </c>
      <c r="BL397" s="85">
        <f t="shared" si="93"/>
      </c>
      <c r="BM397" s="108"/>
      <c r="BN397" s="85">
        <f t="shared" si="94"/>
      </c>
      <c r="BO397" s="108"/>
      <c r="BP397" s="85">
        <f t="shared" si="95"/>
      </c>
      <c r="BQ397" s="85">
        <f t="shared" si="96"/>
      </c>
      <c r="BR397" s="108"/>
      <c r="BS397" s="104"/>
      <c r="BT397" s="87">
        <f t="shared" si="97"/>
      </c>
      <c r="BU397" s="85">
        <f t="shared" si="98"/>
      </c>
      <c r="BV397" s="85">
        <f t="shared" si="99"/>
      </c>
      <c r="BW397" s="87">
        <f t="shared" si="100"/>
      </c>
      <c r="BX397" s="104"/>
      <c r="BY397" s="106"/>
      <c r="BZ397" s="104"/>
      <c r="CA397" s="105"/>
      <c r="CB397" s="77">
        <f>IF($A397="",0,IF($B397='FICHA CLIENTE'!$C$4,1,0))</f>
      </c>
      <c r="CC397" s="77">
        <f t="shared" si="101"/>
      </c>
      <c r="CD397" s="77">
        <f>IF($A397="",0,IF($D397='FICHA VEHICULO'!$C$4,1,0))</f>
      </c>
      <c r="CE397" s="77">
        <f t="shared" si="102"/>
      </c>
      <c r="CF397" s="77">
        <f t="shared" si="103"/>
      </c>
      <c r="CG397" s="77">
        <f t="shared" si="104"/>
      </c>
    </row>
    <row r="398" spans="1:85" ht="19.5" customHeight="1" x14ac:dyDescent="0.2">
      <c r="A398" s="104"/>
      <c r="B398" s="104"/>
      <c r="C398" s="105"/>
      <c r="D398" s="104"/>
      <c r="E398" s="105"/>
      <c r="F398" s="106"/>
      <c r="G398" s="104"/>
      <c r="H398" s="106"/>
      <c r="I398" s="107"/>
      <c r="J398" s="108"/>
      <c r="K398" s="108"/>
      <c r="L398" s="108"/>
      <c r="M398" s="105"/>
      <c r="N398" s="105"/>
      <c r="O398" s="105"/>
      <c r="P398" s="108"/>
      <c r="Q398" s="105"/>
      <c r="R398" s="105"/>
      <c r="S398" s="105"/>
      <c r="T398" s="105"/>
      <c r="U398" s="108"/>
      <c r="V398" s="105"/>
      <c r="W398" s="105"/>
      <c r="X398" s="105"/>
      <c r="Y398" s="105"/>
      <c r="Z398" s="105"/>
      <c r="AA398" s="108"/>
      <c r="AB398" s="108"/>
      <c r="AC398" s="105"/>
      <c r="AD398" s="279"/>
      <c r="AE398" s="105"/>
      <c r="AF398" s="279"/>
      <c r="AG398" s="105"/>
      <c r="AH398" s="108"/>
      <c r="AI398" s="108"/>
      <c r="AJ398" s="108"/>
      <c r="AK398" s="108"/>
      <c r="AL398" s="105"/>
      <c r="AM398" s="108"/>
      <c r="AN398" s="105"/>
      <c r="AO398" s="108"/>
      <c r="AP398" s="108"/>
      <c r="AQ398" s="105"/>
      <c r="AR398" s="108"/>
      <c r="AS398" s="108"/>
      <c r="AT398" s="105"/>
      <c r="AU398" s="105"/>
      <c r="AV398" s="105"/>
      <c r="AW398" s="105"/>
      <c r="AX398" s="105"/>
      <c r="AY398" s="105"/>
      <c r="AZ398" s="105"/>
      <c r="BA398" s="105"/>
      <c r="BB398" s="105"/>
      <c r="BC398" s="105"/>
      <c r="BD398" s="108"/>
      <c r="BE398" s="83">
        <f>IF($A398="","",IF(TRIM($D398&amp;"")="",IF(TRIM($AX398&amp;$AY398&amp;$AZ398&amp;$BA398&amp;$BB398&amp;$BC398&amp;$BD398&amp;"")="","","SUBARRENDADO"),IFERROR(IF(VLOOKUP($D398,VEHICULOS!$A$3:$H$202,7,FALSE)="","",VLOOKUP($D398,VEHICULOS!$A$3:$H$202,7,FALSE)),"")))</f>
      </c>
      <c r="BF398" s="82">
        <f>IF($A398="","",IF(TRIM($BC398&amp;"")&lt;&gt;"",$BC398,IF(TRIM($D398&amp;"")="","",IFERROR(IF(VLOOKUP($D398,VEHICULOS!$A$3:$H$202,8,FALSE)="","",VLOOKUP($D398,VEHICULOS!$A$3:$H$202,8,FALSE)),""))))</f>
      </c>
      <c r="BG398" s="106"/>
      <c r="BH398" s="107"/>
      <c r="BI398" s="86">
        <f t="shared" si="90"/>
      </c>
      <c r="BJ398" s="83">
        <f t="shared" si="91"/>
      </c>
      <c r="BK398" s="85">
        <f t="shared" si="92"/>
      </c>
      <c r="BL398" s="85">
        <f t="shared" si="93"/>
      </c>
      <c r="BM398" s="108"/>
      <c r="BN398" s="85">
        <f t="shared" si="94"/>
      </c>
      <c r="BO398" s="108"/>
      <c r="BP398" s="85">
        <f t="shared" si="95"/>
      </c>
      <c r="BQ398" s="85">
        <f t="shared" si="96"/>
      </c>
      <c r="BR398" s="108"/>
      <c r="BS398" s="104"/>
      <c r="BT398" s="87">
        <f t="shared" si="97"/>
      </c>
      <c r="BU398" s="85">
        <f t="shared" si="98"/>
      </c>
      <c r="BV398" s="85">
        <f t="shared" si="99"/>
      </c>
      <c r="BW398" s="87">
        <f t="shared" si="100"/>
      </c>
      <c r="BX398" s="104"/>
      <c r="BY398" s="106"/>
      <c r="BZ398" s="104"/>
      <c r="CA398" s="105"/>
      <c r="CB398" s="77">
        <f>IF($A398="",0,IF($B398='FICHA CLIENTE'!$C$4,1,0))</f>
      </c>
      <c r="CC398" s="77">
        <f t="shared" si="101"/>
      </c>
      <c r="CD398" s="77">
        <f>IF($A398="",0,IF($D398='FICHA VEHICULO'!$C$4,1,0))</f>
      </c>
      <c r="CE398" s="77">
        <f t="shared" si="102"/>
      </c>
      <c r="CF398" s="77">
        <f t="shared" si="103"/>
      </c>
      <c r="CG398" s="77">
        <f t="shared" si="104"/>
      </c>
    </row>
    <row r="399" spans="1:85" ht="19.5" customHeight="1" x14ac:dyDescent="0.2">
      <c r="A399" s="104"/>
      <c r="B399" s="104"/>
      <c r="C399" s="105"/>
      <c r="D399" s="104"/>
      <c r="E399" s="105"/>
      <c r="F399" s="106"/>
      <c r="G399" s="104"/>
      <c r="H399" s="106"/>
      <c r="I399" s="107"/>
      <c r="J399" s="108"/>
      <c r="K399" s="108"/>
      <c r="L399" s="108"/>
      <c r="M399" s="105"/>
      <c r="N399" s="105"/>
      <c r="O399" s="105"/>
      <c r="P399" s="108"/>
      <c r="Q399" s="105"/>
      <c r="R399" s="105"/>
      <c r="S399" s="105"/>
      <c r="T399" s="105"/>
      <c r="U399" s="108"/>
      <c r="V399" s="105"/>
      <c r="W399" s="105"/>
      <c r="X399" s="105"/>
      <c r="Y399" s="105"/>
      <c r="Z399" s="105"/>
      <c r="AA399" s="108"/>
      <c r="AB399" s="108"/>
      <c r="AC399" s="105"/>
      <c r="AD399" s="279"/>
      <c r="AE399" s="105"/>
      <c r="AF399" s="279"/>
      <c r="AG399" s="105"/>
      <c r="AH399" s="108"/>
      <c r="AI399" s="108"/>
      <c r="AJ399" s="108"/>
      <c r="AK399" s="108"/>
      <c r="AL399" s="105"/>
      <c r="AM399" s="108"/>
      <c r="AN399" s="105"/>
      <c r="AO399" s="108"/>
      <c r="AP399" s="108"/>
      <c r="AQ399" s="105"/>
      <c r="AR399" s="108"/>
      <c r="AS399" s="108"/>
      <c r="AT399" s="105"/>
      <c r="AU399" s="105"/>
      <c r="AV399" s="105"/>
      <c r="AW399" s="105"/>
      <c r="AX399" s="105"/>
      <c r="AY399" s="105"/>
      <c r="AZ399" s="105"/>
      <c r="BA399" s="105"/>
      <c r="BB399" s="105"/>
      <c r="BC399" s="105"/>
      <c r="BD399" s="108"/>
      <c r="BE399" s="83">
        <f>IF($A399="","",IF(TRIM($D399&amp;"")="",IF(TRIM($AX399&amp;$AY399&amp;$AZ399&amp;$BA399&amp;$BB399&amp;$BC399&amp;$BD399&amp;"")="","","SUBARRENDADO"),IFERROR(IF(VLOOKUP($D399,VEHICULOS!$A$3:$H$202,7,FALSE)="","",VLOOKUP($D399,VEHICULOS!$A$3:$H$202,7,FALSE)),"")))</f>
      </c>
      <c r="BF399" s="82">
        <f>IF($A399="","",IF(TRIM($BC399&amp;"")&lt;&gt;"",$BC399,IF(TRIM($D399&amp;"")="","",IFERROR(IF(VLOOKUP($D399,VEHICULOS!$A$3:$H$202,8,FALSE)="","",VLOOKUP($D399,VEHICULOS!$A$3:$H$202,8,FALSE)),""))))</f>
      </c>
      <c r="BG399" s="106"/>
      <c r="BH399" s="107"/>
      <c r="BI399" s="86">
        <f t="shared" si="90"/>
      </c>
      <c r="BJ399" s="83">
        <f t="shared" si="91"/>
      </c>
      <c r="BK399" s="85">
        <f t="shared" si="92"/>
      </c>
      <c r="BL399" s="85">
        <f t="shared" si="93"/>
      </c>
      <c r="BM399" s="108"/>
      <c r="BN399" s="85">
        <f t="shared" si="94"/>
      </c>
      <c r="BO399" s="108"/>
      <c r="BP399" s="85">
        <f t="shared" si="95"/>
      </c>
      <c r="BQ399" s="85">
        <f t="shared" si="96"/>
      </c>
      <c r="BR399" s="108"/>
      <c r="BS399" s="104"/>
      <c r="BT399" s="87">
        <f t="shared" si="97"/>
      </c>
      <c r="BU399" s="85">
        <f t="shared" si="98"/>
      </c>
      <c r="BV399" s="85">
        <f t="shared" si="99"/>
      </c>
      <c r="BW399" s="87">
        <f t="shared" si="100"/>
      </c>
      <c r="BX399" s="104"/>
      <c r="BY399" s="106"/>
      <c r="BZ399" s="104"/>
      <c r="CA399" s="105"/>
      <c r="CB399" s="77">
        <f>IF($A399="",0,IF($B399='FICHA CLIENTE'!$C$4,1,0))</f>
      </c>
      <c r="CC399" s="77">
        <f t="shared" si="101"/>
      </c>
      <c r="CD399" s="77">
        <f>IF($A399="",0,IF($D399='FICHA VEHICULO'!$C$4,1,0))</f>
      </c>
      <c r="CE399" s="77">
        <f t="shared" si="102"/>
      </c>
      <c r="CF399" s="77">
        <f t="shared" si="103"/>
      </c>
      <c r="CG399" s="77">
        <f t="shared" si="104"/>
      </c>
    </row>
    <row r="400" spans="1:85" ht="19.5" customHeight="1" x14ac:dyDescent="0.2">
      <c r="A400" s="104"/>
      <c r="B400" s="104"/>
      <c r="C400" s="105"/>
      <c r="D400" s="104"/>
      <c r="E400" s="105"/>
      <c r="F400" s="106"/>
      <c r="G400" s="104"/>
      <c r="H400" s="106"/>
      <c r="I400" s="107"/>
      <c r="J400" s="108"/>
      <c r="K400" s="108"/>
      <c r="L400" s="108"/>
      <c r="M400" s="105"/>
      <c r="N400" s="105"/>
      <c r="O400" s="105"/>
      <c r="P400" s="108"/>
      <c r="Q400" s="105"/>
      <c r="R400" s="105"/>
      <c r="S400" s="105"/>
      <c r="T400" s="105"/>
      <c r="U400" s="108"/>
      <c r="V400" s="105"/>
      <c r="W400" s="105"/>
      <c r="X400" s="105"/>
      <c r="Y400" s="105"/>
      <c r="Z400" s="105"/>
      <c r="AA400" s="108"/>
      <c r="AB400" s="108"/>
      <c r="AC400" s="105"/>
      <c r="AD400" s="279"/>
      <c r="AE400" s="105"/>
      <c r="AF400" s="279"/>
      <c r="AG400" s="105"/>
      <c r="AH400" s="108"/>
      <c r="AI400" s="108"/>
      <c r="AJ400" s="108"/>
      <c r="AK400" s="108"/>
      <c r="AL400" s="105"/>
      <c r="AM400" s="108"/>
      <c r="AN400" s="105"/>
      <c r="AO400" s="108"/>
      <c r="AP400" s="108"/>
      <c r="AQ400" s="105"/>
      <c r="AR400" s="108"/>
      <c r="AS400" s="108"/>
      <c r="AT400" s="105"/>
      <c r="AU400" s="105"/>
      <c r="AV400" s="105"/>
      <c r="AW400" s="105"/>
      <c r="AX400" s="105"/>
      <c r="AY400" s="105"/>
      <c r="AZ400" s="105"/>
      <c r="BA400" s="105"/>
      <c r="BB400" s="105"/>
      <c r="BC400" s="105"/>
      <c r="BD400" s="108"/>
      <c r="BE400" s="83">
        <f>IF($A400="","",IF(TRIM($D400&amp;"")="",IF(TRIM($AX400&amp;$AY400&amp;$AZ400&amp;$BA400&amp;$BB400&amp;$BC400&amp;$BD400&amp;"")="","","SUBARRENDADO"),IFERROR(IF(VLOOKUP($D400,VEHICULOS!$A$3:$H$202,7,FALSE)="","",VLOOKUP($D400,VEHICULOS!$A$3:$H$202,7,FALSE)),"")))</f>
      </c>
      <c r="BF400" s="82">
        <f>IF($A400="","",IF(TRIM($BC400&amp;"")&lt;&gt;"",$BC400,IF(TRIM($D400&amp;"")="","",IFERROR(IF(VLOOKUP($D400,VEHICULOS!$A$3:$H$202,8,FALSE)="","",VLOOKUP($D400,VEHICULOS!$A$3:$H$202,8,FALSE)),""))))</f>
      </c>
      <c r="BG400" s="106"/>
      <c r="BH400" s="107"/>
      <c r="BI400" s="86">
        <f t="shared" si="90"/>
      </c>
      <c r="BJ400" s="83">
        <f t="shared" si="91"/>
      </c>
      <c r="BK400" s="85">
        <f t="shared" si="92"/>
      </c>
      <c r="BL400" s="85">
        <f t="shared" si="93"/>
      </c>
      <c r="BM400" s="108"/>
      <c r="BN400" s="85">
        <f t="shared" si="94"/>
      </c>
      <c r="BO400" s="108"/>
      <c r="BP400" s="85">
        <f t="shared" si="95"/>
      </c>
      <c r="BQ400" s="85">
        <f t="shared" si="96"/>
      </c>
      <c r="BR400" s="108"/>
      <c r="BS400" s="104"/>
      <c r="BT400" s="87">
        <f t="shared" si="97"/>
      </c>
      <c r="BU400" s="85">
        <f t="shared" si="98"/>
      </c>
      <c r="BV400" s="85">
        <f t="shared" si="99"/>
      </c>
      <c r="BW400" s="87">
        <f t="shared" si="100"/>
      </c>
      <c r="BX400" s="104"/>
      <c r="BY400" s="106"/>
      <c r="BZ400" s="104"/>
      <c r="CA400" s="105"/>
      <c r="CB400" s="77">
        <f>IF($A400="",0,IF($B400='FICHA CLIENTE'!$C$4,1,0))</f>
      </c>
      <c r="CC400" s="77">
        <f t="shared" si="101"/>
      </c>
      <c r="CD400" s="77">
        <f>IF($A400="",0,IF($D400='FICHA VEHICULO'!$C$4,1,0))</f>
      </c>
      <c r="CE400" s="77">
        <f t="shared" si="102"/>
      </c>
      <c r="CF400" s="77">
        <f t="shared" si="103"/>
      </c>
      <c r="CG400" s="77">
        <f t="shared" si="104"/>
      </c>
    </row>
    <row r="401" spans="1:85" ht="19.5" customHeight="1" x14ac:dyDescent="0.2">
      <c r="A401" s="104"/>
      <c r="B401" s="104"/>
      <c r="C401" s="105"/>
      <c r="D401" s="104"/>
      <c r="E401" s="105"/>
      <c r="F401" s="106"/>
      <c r="G401" s="104"/>
      <c r="H401" s="106"/>
      <c r="I401" s="107"/>
      <c r="J401" s="108"/>
      <c r="K401" s="108"/>
      <c r="L401" s="108"/>
      <c r="M401" s="105"/>
      <c r="N401" s="105"/>
      <c r="O401" s="105"/>
      <c r="P401" s="108"/>
      <c r="Q401" s="105"/>
      <c r="R401" s="105"/>
      <c r="S401" s="105"/>
      <c r="T401" s="105"/>
      <c r="U401" s="108"/>
      <c r="V401" s="105"/>
      <c r="W401" s="105"/>
      <c r="X401" s="105"/>
      <c r="Y401" s="105"/>
      <c r="Z401" s="105"/>
      <c r="AA401" s="108"/>
      <c r="AB401" s="108"/>
      <c r="AC401" s="105"/>
      <c r="AD401" s="279"/>
      <c r="AE401" s="105"/>
      <c r="AF401" s="279"/>
      <c r="AG401" s="105"/>
      <c r="AH401" s="108"/>
      <c r="AI401" s="108"/>
      <c r="AJ401" s="108"/>
      <c r="AK401" s="108"/>
      <c r="AL401" s="105"/>
      <c r="AM401" s="108"/>
      <c r="AN401" s="105"/>
      <c r="AO401" s="108"/>
      <c r="AP401" s="108"/>
      <c r="AQ401" s="105"/>
      <c r="AR401" s="108"/>
      <c r="AS401" s="108"/>
      <c r="AT401" s="105"/>
      <c r="AU401" s="105"/>
      <c r="AV401" s="105"/>
      <c r="AW401" s="105"/>
      <c r="AX401" s="105"/>
      <c r="AY401" s="105"/>
      <c r="AZ401" s="105"/>
      <c r="BA401" s="105"/>
      <c r="BB401" s="105"/>
      <c r="BC401" s="105"/>
      <c r="BD401" s="108"/>
      <c r="BE401" s="83">
        <f>IF($A401="","",IF(TRIM($D401&amp;"")="",IF(TRIM($AX401&amp;$AY401&amp;$AZ401&amp;$BA401&amp;$BB401&amp;$BC401&amp;$BD401&amp;"")="","","SUBARRENDADO"),IFERROR(IF(VLOOKUP($D401,VEHICULOS!$A$3:$H$202,7,FALSE)="","",VLOOKUP($D401,VEHICULOS!$A$3:$H$202,7,FALSE)),"")))</f>
      </c>
      <c r="BF401" s="82">
        <f>IF($A401="","",IF(TRIM($BC401&amp;"")&lt;&gt;"",$BC401,IF(TRIM($D401&amp;"")="","",IFERROR(IF(VLOOKUP($D401,VEHICULOS!$A$3:$H$202,8,FALSE)="","",VLOOKUP($D401,VEHICULOS!$A$3:$H$202,8,FALSE)),""))))</f>
      </c>
      <c r="BG401" s="106"/>
      <c r="BH401" s="107"/>
      <c r="BI401" s="86">
        <f t="shared" si="90"/>
      </c>
      <c r="BJ401" s="83">
        <f t="shared" si="91"/>
      </c>
      <c r="BK401" s="85">
        <f t="shared" si="92"/>
      </c>
      <c r="BL401" s="85">
        <f t="shared" si="93"/>
      </c>
      <c r="BM401" s="108"/>
      <c r="BN401" s="85">
        <f t="shared" si="94"/>
      </c>
      <c r="BO401" s="108"/>
      <c r="BP401" s="85">
        <f t="shared" si="95"/>
      </c>
      <c r="BQ401" s="85">
        <f t="shared" si="96"/>
      </c>
      <c r="BR401" s="108"/>
      <c r="BS401" s="104"/>
      <c r="BT401" s="87">
        <f t="shared" si="97"/>
      </c>
      <c r="BU401" s="85">
        <f t="shared" si="98"/>
      </c>
      <c r="BV401" s="85">
        <f t="shared" si="99"/>
      </c>
      <c r="BW401" s="87">
        <f t="shared" si="100"/>
      </c>
      <c r="BX401" s="104"/>
      <c r="BY401" s="106"/>
      <c r="BZ401" s="104"/>
      <c r="CA401" s="105"/>
      <c r="CB401" s="77">
        <f>IF($A401="",0,IF($B401='FICHA CLIENTE'!$C$4,1,0))</f>
      </c>
      <c r="CC401" s="77">
        <f t="shared" si="101"/>
      </c>
      <c r="CD401" s="77">
        <f>IF($A401="",0,IF($D401='FICHA VEHICULO'!$C$4,1,0))</f>
      </c>
      <c r="CE401" s="77">
        <f t="shared" si="102"/>
      </c>
      <c r="CF401" s="77">
        <f t="shared" si="103"/>
      </c>
      <c r="CG401" s="77">
        <f t="shared" si="104"/>
      </c>
    </row>
    <row r="402" spans="1:85" ht="19.5" customHeight="1" x14ac:dyDescent="0.2">
      <c r="A402" s="104"/>
      <c r="B402" s="104"/>
      <c r="C402" s="105"/>
      <c r="D402" s="104"/>
      <c r="E402" s="105"/>
      <c r="F402" s="106"/>
      <c r="G402" s="104"/>
      <c r="H402" s="106"/>
      <c r="I402" s="107"/>
      <c r="J402" s="108"/>
      <c r="K402" s="108"/>
      <c r="L402" s="108"/>
      <c r="M402" s="105"/>
      <c r="N402" s="105"/>
      <c r="O402" s="105"/>
      <c r="P402" s="108"/>
      <c r="Q402" s="105"/>
      <c r="R402" s="105"/>
      <c r="S402" s="105"/>
      <c r="T402" s="105"/>
      <c r="U402" s="108"/>
      <c r="V402" s="105"/>
      <c r="W402" s="105"/>
      <c r="X402" s="105"/>
      <c r="Y402" s="105"/>
      <c r="Z402" s="105"/>
      <c r="AA402" s="108"/>
      <c r="AB402" s="108"/>
      <c r="AC402" s="105"/>
      <c r="AD402" s="279"/>
      <c r="AE402" s="105"/>
      <c r="AF402" s="279"/>
      <c r="AG402" s="105"/>
      <c r="AH402" s="108"/>
      <c r="AI402" s="108"/>
      <c r="AJ402" s="108"/>
      <c r="AK402" s="108"/>
      <c r="AL402" s="105"/>
      <c r="AM402" s="108"/>
      <c r="AN402" s="105"/>
      <c r="AO402" s="108"/>
      <c r="AP402" s="108"/>
      <c r="AQ402" s="105"/>
      <c r="AR402" s="108"/>
      <c r="AS402" s="108"/>
      <c r="AT402" s="105"/>
      <c r="AU402" s="105"/>
      <c r="AV402" s="105"/>
      <c r="AW402" s="105"/>
      <c r="AX402" s="105"/>
      <c r="AY402" s="105"/>
      <c r="AZ402" s="105"/>
      <c r="BA402" s="105"/>
      <c r="BB402" s="105"/>
      <c r="BC402" s="105"/>
      <c r="BD402" s="108"/>
      <c r="BE402" s="83">
        <f>IF($A402="","",IF(TRIM($D402&amp;"")="",IF(TRIM($AX402&amp;$AY402&amp;$AZ402&amp;$BA402&amp;$BB402&amp;$BC402&amp;$BD402&amp;"")="","","SUBARRENDADO"),IFERROR(IF(VLOOKUP($D402,VEHICULOS!$A$3:$H$202,7,FALSE)="","",VLOOKUP($D402,VEHICULOS!$A$3:$H$202,7,FALSE)),"")))</f>
      </c>
      <c r="BF402" s="82">
        <f>IF($A402="","",IF(TRIM($BC402&amp;"")&lt;&gt;"",$BC402,IF(TRIM($D402&amp;"")="","",IFERROR(IF(VLOOKUP($D402,VEHICULOS!$A$3:$H$202,8,FALSE)="","",VLOOKUP($D402,VEHICULOS!$A$3:$H$202,8,FALSE)),""))))</f>
      </c>
      <c r="BG402" s="106"/>
      <c r="BH402" s="107"/>
      <c r="BI402" s="86">
        <f t="shared" si="90"/>
      </c>
      <c r="BJ402" s="83">
        <f t="shared" si="91"/>
      </c>
      <c r="BK402" s="85">
        <f t="shared" si="92"/>
      </c>
      <c r="BL402" s="85">
        <f t="shared" si="93"/>
      </c>
      <c r="BM402" s="108"/>
      <c r="BN402" s="85">
        <f t="shared" si="94"/>
      </c>
      <c r="BO402" s="108"/>
      <c r="BP402" s="85">
        <f t="shared" si="95"/>
      </c>
      <c r="BQ402" s="85">
        <f t="shared" si="96"/>
      </c>
      <c r="BR402" s="108"/>
      <c r="BS402" s="104"/>
      <c r="BT402" s="87">
        <f t="shared" si="97"/>
      </c>
      <c r="BU402" s="85">
        <f t="shared" si="98"/>
      </c>
      <c r="BV402" s="85">
        <f t="shared" si="99"/>
      </c>
      <c r="BW402" s="87">
        <f t="shared" si="100"/>
      </c>
      <c r="BX402" s="104"/>
      <c r="BY402" s="106"/>
      <c r="BZ402" s="104"/>
      <c r="CA402" s="105"/>
      <c r="CB402" s="77">
        <f>IF($A402="",0,IF($B402='FICHA CLIENTE'!$C$4,1,0))</f>
      </c>
      <c r="CC402" s="77">
        <f t="shared" si="101"/>
      </c>
      <c r="CD402" s="77">
        <f>IF($A402="",0,IF($D402='FICHA VEHICULO'!$C$4,1,0))</f>
      </c>
      <c r="CE402" s="77">
        <f t="shared" si="102"/>
      </c>
      <c r="CF402" s="77">
        <f t="shared" si="103"/>
      </c>
      <c r="CG402" s="77">
        <f t="shared" si="104"/>
      </c>
    </row>
    <row r="403" spans="1:85" ht="19.5" customHeight="1" x14ac:dyDescent="0.2">
      <c r="A403" s="104"/>
      <c r="B403" s="104"/>
      <c r="C403" s="105"/>
      <c r="D403" s="104"/>
      <c r="E403" s="105"/>
      <c r="F403" s="106"/>
      <c r="G403" s="104"/>
      <c r="H403" s="106"/>
      <c r="I403" s="107"/>
      <c r="J403" s="108"/>
      <c r="K403" s="108"/>
      <c r="L403" s="108"/>
      <c r="M403" s="105"/>
      <c r="N403" s="105"/>
      <c r="O403" s="105"/>
      <c r="P403" s="108"/>
      <c r="Q403" s="105"/>
      <c r="R403" s="105"/>
      <c r="S403" s="105"/>
      <c r="T403" s="105"/>
      <c r="U403" s="108"/>
      <c r="V403" s="105"/>
      <c r="W403" s="105"/>
      <c r="X403" s="105"/>
      <c r="Y403" s="105"/>
      <c r="Z403" s="105"/>
      <c r="AA403" s="108"/>
      <c r="AB403" s="108"/>
      <c r="AC403" s="105"/>
      <c r="AD403" s="279"/>
      <c r="AE403" s="105"/>
      <c r="AF403" s="279"/>
      <c r="AG403" s="105"/>
      <c r="AH403" s="108"/>
      <c r="AI403" s="108"/>
      <c r="AJ403" s="108"/>
      <c r="AK403" s="108"/>
      <c r="AL403" s="105"/>
      <c r="AM403" s="108"/>
      <c r="AN403" s="105"/>
      <c r="AO403" s="108"/>
      <c r="AP403" s="108"/>
      <c r="AQ403" s="105"/>
      <c r="AR403" s="108"/>
      <c r="AS403" s="108"/>
      <c r="AT403" s="105"/>
      <c r="AU403" s="105"/>
      <c r="AV403" s="105"/>
      <c r="AW403" s="105"/>
      <c r="AX403" s="105"/>
      <c r="AY403" s="105"/>
      <c r="AZ403" s="105"/>
      <c r="BA403" s="105"/>
      <c r="BB403" s="105"/>
      <c r="BC403" s="105"/>
      <c r="BD403" s="108"/>
      <c r="BE403" s="83">
        <f>IF($A403="","",IF(TRIM($D403&amp;"")="",IF(TRIM($AX403&amp;$AY403&amp;$AZ403&amp;$BA403&amp;$BB403&amp;$BC403&amp;$BD403&amp;"")="","","SUBARRENDADO"),IFERROR(IF(VLOOKUP($D403,VEHICULOS!$A$3:$H$202,7,FALSE)="","",VLOOKUP($D403,VEHICULOS!$A$3:$H$202,7,FALSE)),"")))</f>
      </c>
      <c r="BF403" s="82">
        <f>IF($A403="","",IF(TRIM($BC403&amp;"")&lt;&gt;"",$BC403,IF(TRIM($D403&amp;"")="","",IFERROR(IF(VLOOKUP($D403,VEHICULOS!$A$3:$H$202,8,FALSE)="","",VLOOKUP($D403,VEHICULOS!$A$3:$H$202,8,FALSE)),""))))</f>
      </c>
      <c r="BG403" s="106"/>
      <c r="BH403" s="107"/>
      <c r="BI403" s="86">
        <f t="shared" si="90"/>
      </c>
      <c r="BJ403" s="83">
        <f t="shared" si="91"/>
      </c>
      <c r="BK403" s="85">
        <f t="shared" si="92"/>
      </c>
      <c r="BL403" s="85">
        <f t="shared" si="93"/>
      </c>
      <c r="BM403" s="108"/>
      <c r="BN403" s="85">
        <f t="shared" si="94"/>
      </c>
      <c r="BO403" s="108"/>
      <c r="BP403" s="85">
        <f t="shared" si="95"/>
      </c>
      <c r="BQ403" s="85">
        <f t="shared" si="96"/>
      </c>
      <c r="BR403" s="108"/>
      <c r="BS403" s="104"/>
      <c r="BT403" s="87">
        <f t="shared" si="97"/>
      </c>
      <c r="BU403" s="85">
        <f t="shared" si="98"/>
      </c>
      <c r="BV403" s="85">
        <f t="shared" si="99"/>
      </c>
      <c r="BW403" s="87">
        <f t="shared" si="100"/>
      </c>
      <c r="BX403" s="104"/>
      <c r="BY403" s="106"/>
      <c r="BZ403" s="104"/>
      <c r="CA403" s="105"/>
      <c r="CB403" s="77">
        <f>IF($A403="",0,IF($B403='FICHA CLIENTE'!$C$4,1,0))</f>
      </c>
      <c r="CC403" s="77">
        <f t="shared" si="101"/>
      </c>
      <c r="CD403" s="77">
        <f>IF($A403="",0,IF($D403='FICHA VEHICULO'!$C$4,1,0))</f>
      </c>
      <c r="CE403" s="77">
        <f t="shared" si="102"/>
      </c>
      <c r="CF403" s="77">
        <f t="shared" si="103"/>
      </c>
      <c r="CG403" s="77">
        <f t="shared" si="104"/>
      </c>
    </row>
    <row r="404" spans="1:85" ht="19.5" customHeight="1" x14ac:dyDescent="0.2">
      <c r="A404" s="104"/>
      <c r="B404" s="104"/>
      <c r="C404" s="105"/>
      <c r="D404" s="104"/>
      <c r="E404" s="105"/>
      <c r="F404" s="106"/>
      <c r="G404" s="104"/>
      <c r="H404" s="106"/>
      <c r="I404" s="107"/>
      <c r="J404" s="108"/>
      <c r="K404" s="108"/>
      <c r="L404" s="108"/>
      <c r="M404" s="105"/>
      <c r="N404" s="105"/>
      <c r="O404" s="105"/>
      <c r="P404" s="108"/>
      <c r="Q404" s="105"/>
      <c r="R404" s="105"/>
      <c r="S404" s="105"/>
      <c r="T404" s="105"/>
      <c r="U404" s="108"/>
      <c r="V404" s="105"/>
      <c r="W404" s="105"/>
      <c r="X404" s="105"/>
      <c r="Y404" s="105"/>
      <c r="Z404" s="105"/>
      <c r="AA404" s="108"/>
      <c r="AB404" s="108"/>
      <c r="AC404" s="105"/>
      <c r="AD404" s="279"/>
      <c r="AE404" s="105"/>
      <c r="AF404" s="279"/>
      <c r="AG404" s="105"/>
      <c r="AH404" s="108"/>
      <c r="AI404" s="108"/>
      <c r="AJ404" s="108"/>
      <c r="AK404" s="108"/>
      <c r="AL404" s="105"/>
      <c r="AM404" s="108"/>
      <c r="AN404" s="105"/>
      <c r="AO404" s="108"/>
      <c r="AP404" s="108"/>
      <c r="AQ404" s="105"/>
      <c r="AR404" s="108"/>
      <c r="AS404" s="108"/>
      <c r="AT404" s="105"/>
      <c r="AU404" s="105"/>
      <c r="AV404" s="105"/>
      <c r="AW404" s="105"/>
      <c r="AX404" s="105"/>
      <c r="AY404" s="105"/>
      <c r="AZ404" s="105"/>
      <c r="BA404" s="105"/>
      <c r="BB404" s="105"/>
      <c r="BC404" s="105"/>
      <c r="BD404" s="108"/>
      <c r="BE404" s="83">
        <f>IF($A404="","",IF(TRIM($D404&amp;"")="",IF(TRIM($AX404&amp;$AY404&amp;$AZ404&amp;$BA404&amp;$BB404&amp;$BC404&amp;$BD404&amp;"")="","","SUBARRENDADO"),IFERROR(IF(VLOOKUP($D404,VEHICULOS!$A$3:$H$202,7,FALSE)="","",VLOOKUP($D404,VEHICULOS!$A$3:$H$202,7,FALSE)),"")))</f>
      </c>
      <c r="BF404" s="82">
        <f>IF($A404="","",IF(TRIM($BC404&amp;"")&lt;&gt;"",$BC404,IF(TRIM($D404&amp;"")="","",IFERROR(IF(VLOOKUP($D404,VEHICULOS!$A$3:$H$202,8,FALSE)="","",VLOOKUP($D404,VEHICULOS!$A$3:$H$202,8,FALSE)),""))))</f>
      </c>
      <c r="BG404" s="106"/>
      <c r="BH404" s="107"/>
      <c r="BI404" s="86">
        <f t="shared" si="90"/>
      </c>
      <c r="BJ404" s="83">
        <f t="shared" si="91"/>
      </c>
      <c r="BK404" s="85">
        <f t="shared" si="92"/>
      </c>
      <c r="BL404" s="85">
        <f t="shared" si="93"/>
      </c>
      <c r="BM404" s="108"/>
      <c r="BN404" s="85">
        <f t="shared" si="94"/>
      </c>
      <c r="BO404" s="108"/>
      <c r="BP404" s="85">
        <f t="shared" si="95"/>
      </c>
      <c r="BQ404" s="85">
        <f t="shared" si="96"/>
      </c>
      <c r="BR404" s="108"/>
      <c r="BS404" s="104"/>
      <c r="BT404" s="87">
        <f t="shared" si="97"/>
      </c>
      <c r="BU404" s="85">
        <f t="shared" si="98"/>
      </c>
      <c r="BV404" s="85">
        <f t="shared" si="99"/>
      </c>
      <c r="BW404" s="87">
        <f t="shared" si="100"/>
      </c>
      <c r="BX404" s="104"/>
      <c r="BY404" s="106"/>
      <c r="BZ404" s="104"/>
      <c r="CA404" s="105"/>
      <c r="CB404" s="77">
        <f>IF($A404="",0,IF($B404='FICHA CLIENTE'!$C$4,1,0))</f>
      </c>
      <c r="CC404" s="77">
        <f t="shared" si="101"/>
      </c>
      <c r="CD404" s="77">
        <f>IF($A404="",0,IF($D404='FICHA VEHICULO'!$C$4,1,0))</f>
      </c>
      <c r="CE404" s="77">
        <f t="shared" si="102"/>
      </c>
      <c r="CF404" s="77">
        <f t="shared" si="103"/>
      </c>
      <c r="CG404" s="77">
        <f t="shared" si="104"/>
      </c>
    </row>
    <row r="405" spans="1:85" ht="19.5" customHeight="1" x14ac:dyDescent="0.2">
      <c r="A405" s="104"/>
      <c r="B405" s="104"/>
      <c r="C405" s="105"/>
      <c r="D405" s="104"/>
      <c r="E405" s="105"/>
      <c r="F405" s="106"/>
      <c r="G405" s="104"/>
      <c r="H405" s="106"/>
      <c r="I405" s="107"/>
      <c r="J405" s="108"/>
      <c r="K405" s="108"/>
      <c r="L405" s="108"/>
      <c r="M405" s="105"/>
      <c r="N405" s="105"/>
      <c r="O405" s="105"/>
      <c r="P405" s="108"/>
      <c r="Q405" s="105"/>
      <c r="R405" s="105"/>
      <c r="S405" s="105"/>
      <c r="T405" s="105"/>
      <c r="U405" s="108"/>
      <c r="V405" s="105"/>
      <c r="W405" s="105"/>
      <c r="X405" s="105"/>
      <c r="Y405" s="105"/>
      <c r="Z405" s="105"/>
      <c r="AA405" s="108"/>
      <c r="AB405" s="108"/>
      <c r="AC405" s="105"/>
      <c r="AD405" s="279"/>
      <c r="AE405" s="105"/>
      <c r="AF405" s="279"/>
      <c r="AG405" s="105"/>
      <c r="AH405" s="108"/>
      <c r="AI405" s="108"/>
      <c r="AJ405" s="108"/>
      <c r="AK405" s="108"/>
      <c r="AL405" s="105"/>
      <c r="AM405" s="108"/>
      <c r="AN405" s="105"/>
      <c r="AO405" s="108"/>
      <c r="AP405" s="108"/>
      <c r="AQ405" s="105"/>
      <c r="AR405" s="108"/>
      <c r="AS405" s="108"/>
      <c r="AT405" s="105"/>
      <c r="AU405" s="105"/>
      <c r="AV405" s="105"/>
      <c r="AW405" s="105"/>
      <c r="AX405" s="105"/>
      <c r="AY405" s="105"/>
      <c r="AZ405" s="105"/>
      <c r="BA405" s="105"/>
      <c r="BB405" s="105"/>
      <c r="BC405" s="105"/>
      <c r="BD405" s="108"/>
      <c r="BE405" s="83">
        <f>IF($A405="","",IF(TRIM($D405&amp;"")="",IF(TRIM($AX405&amp;$AY405&amp;$AZ405&amp;$BA405&amp;$BB405&amp;$BC405&amp;$BD405&amp;"")="","","SUBARRENDADO"),IFERROR(IF(VLOOKUP($D405,VEHICULOS!$A$3:$H$202,7,FALSE)="","",VLOOKUP($D405,VEHICULOS!$A$3:$H$202,7,FALSE)),"")))</f>
      </c>
      <c r="BF405" s="82">
        <f>IF($A405="","",IF(TRIM($BC405&amp;"")&lt;&gt;"",$BC405,IF(TRIM($D405&amp;"")="","",IFERROR(IF(VLOOKUP($D405,VEHICULOS!$A$3:$H$202,8,FALSE)="","",VLOOKUP($D405,VEHICULOS!$A$3:$H$202,8,FALSE)),""))))</f>
      </c>
      <c r="BG405" s="106"/>
      <c r="BH405" s="107"/>
      <c r="BI405" s="86">
        <f t="shared" si="90"/>
      </c>
      <c r="BJ405" s="83">
        <f t="shared" si="91"/>
      </c>
      <c r="BK405" s="85">
        <f t="shared" si="92"/>
      </c>
      <c r="BL405" s="85">
        <f t="shared" si="93"/>
      </c>
      <c r="BM405" s="108"/>
      <c r="BN405" s="85">
        <f t="shared" si="94"/>
      </c>
      <c r="BO405" s="108"/>
      <c r="BP405" s="85">
        <f t="shared" si="95"/>
      </c>
      <c r="BQ405" s="85">
        <f t="shared" si="96"/>
      </c>
      <c r="BR405" s="108"/>
      <c r="BS405" s="104"/>
      <c r="BT405" s="87">
        <f t="shared" si="97"/>
      </c>
      <c r="BU405" s="85">
        <f t="shared" si="98"/>
      </c>
      <c r="BV405" s="85">
        <f t="shared" si="99"/>
      </c>
      <c r="BW405" s="87">
        <f t="shared" si="100"/>
      </c>
      <c r="BX405" s="104"/>
      <c r="BY405" s="106"/>
      <c r="BZ405" s="104"/>
      <c r="CA405" s="105"/>
      <c r="CB405" s="77">
        <f>IF($A405="",0,IF($B405='FICHA CLIENTE'!$C$4,1,0))</f>
      </c>
      <c r="CC405" s="77">
        <f t="shared" si="101"/>
      </c>
      <c r="CD405" s="77">
        <f>IF($A405="",0,IF($D405='FICHA VEHICULO'!$C$4,1,0))</f>
      </c>
      <c r="CE405" s="77">
        <f t="shared" si="102"/>
      </c>
      <c r="CF405" s="77">
        <f t="shared" si="103"/>
      </c>
      <c r="CG405" s="77">
        <f t="shared" si="104"/>
      </c>
    </row>
    <row r="406" spans="1:85" ht="19.5" customHeight="1" x14ac:dyDescent="0.2">
      <c r="A406" s="104"/>
      <c r="B406" s="104"/>
      <c r="C406" s="105"/>
      <c r="D406" s="104"/>
      <c r="E406" s="105"/>
      <c r="F406" s="106"/>
      <c r="G406" s="104"/>
      <c r="H406" s="106"/>
      <c r="I406" s="107"/>
      <c r="J406" s="108"/>
      <c r="K406" s="108"/>
      <c r="L406" s="108"/>
      <c r="M406" s="105"/>
      <c r="N406" s="105"/>
      <c r="O406" s="105"/>
      <c r="P406" s="108"/>
      <c r="Q406" s="105"/>
      <c r="R406" s="105"/>
      <c r="S406" s="105"/>
      <c r="T406" s="105"/>
      <c r="U406" s="108"/>
      <c r="V406" s="105"/>
      <c r="W406" s="105"/>
      <c r="X406" s="105"/>
      <c r="Y406" s="105"/>
      <c r="Z406" s="105"/>
      <c r="AA406" s="108"/>
      <c r="AB406" s="108"/>
      <c r="AC406" s="105"/>
      <c r="AD406" s="279"/>
      <c r="AE406" s="105"/>
      <c r="AF406" s="279"/>
      <c r="AG406" s="105"/>
      <c r="AH406" s="108"/>
      <c r="AI406" s="108"/>
      <c r="AJ406" s="108"/>
      <c r="AK406" s="108"/>
      <c r="AL406" s="105"/>
      <c r="AM406" s="108"/>
      <c r="AN406" s="105"/>
      <c r="AO406" s="108"/>
      <c r="AP406" s="108"/>
      <c r="AQ406" s="105"/>
      <c r="AR406" s="108"/>
      <c r="AS406" s="108"/>
      <c r="AT406" s="105"/>
      <c r="AU406" s="105"/>
      <c r="AV406" s="105"/>
      <c r="AW406" s="105"/>
      <c r="AX406" s="105"/>
      <c r="AY406" s="105"/>
      <c r="AZ406" s="105"/>
      <c r="BA406" s="105"/>
      <c r="BB406" s="105"/>
      <c r="BC406" s="105"/>
      <c r="BD406" s="108"/>
      <c r="BE406" s="83">
        <f>IF($A406="","",IF(TRIM($D406&amp;"")="",IF(TRIM($AX406&amp;$AY406&amp;$AZ406&amp;$BA406&amp;$BB406&amp;$BC406&amp;$BD406&amp;"")="","","SUBARRENDADO"),IFERROR(IF(VLOOKUP($D406,VEHICULOS!$A$3:$H$202,7,FALSE)="","",VLOOKUP($D406,VEHICULOS!$A$3:$H$202,7,FALSE)),"")))</f>
      </c>
      <c r="BF406" s="82">
        <f>IF($A406="","",IF(TRIM($BC406&amp;"")&lt;&gt;"",$BC406,IF(TRIM($D406&amp;"")="","",IFERROR(IF(VLOOKUP($D406,VEHICULOS!$A$3:$H$202,8,FALSE)="","",VLOOKUP($D406,VEHICULOS!$A$3:$H$202,8,FALSE)),""))))</f>
      </c>
      <c r="BG406" s="106"/>
      <c r="BH406" s="107"/>
      <c r="BI406" s="86">
        <f t="shared" si="90"/>
      </c>
      <c r="BJ406" s="83">
        <f t="shared" si="91"/>
      </c>
      <c r="BK406" s="85">
        <f t="shared" si="92"/>
      </c>
      <c r="BL406" s="85">
        <f t="shared" si="93"/>
      </c>
      <c r="BM406" s="108"/>
      <c r="BN406" s="85">
        <f t="shared" si="94"/>
      </c>
      <c r="BO406" s="108"/>
      <c r="BP406" s="85">
        <f t="shared" si="95"/>
      </c>
      <c r="BQ406" s="85">
        <f t="shared" si="96"/>
      </c>
      <c r="BR406" s="108"/>
      <c r="BS406" s="104"/>
      <c r="BT406" s="87">
        <f t="shared" si="97"/>
      </c>
      <c r="BU406" s="85">
        <f t="shared" si="98"/>
      </c>
      <c r="BV406" s="85">
        <f t="shared" si="99"/>
      </c>
      <c r="BW406" s="87">
        <f t="shared" si="100"/>
      </c>
      <c r="BX406" s="104"/>
      <c r="BY406" s="106"/>
      <c r="BZ406" s="104"/>
      <c r="CA406" s="105"/>
      <c r="CB406" s="77">
        <f>IF($A406="",0,IF($B406='FICHA CLIENTE'!$C$4,1,0))</f>
      </c>
      <c r="CC406" s="77">
        <f t="shared" si="101"/>
      </c>
      <c r="CD406" s="77">
        <f>IF($A406="",0,IF($D406='FICHA VEHICULO'!$C$4,1,0))</f>
      </c>
      <c r="CE406" s="77">
        <f t="shared" si="102"/>
      </c>
      <c r="CF406" s="77">
        <f t="shared" si="103"/>
      </c>
      <c r="CG406" s="77">
        <f t="shared" si="104"/>
      </c>
    </row>
    <row r="407" spans="1:85" ht="19.5" customHeight="1" x14ac:dyDescent="0.2">
      <c r="A407" s="104"/>
      <c r="B407" s="104"/>
      <c r="C407" s="105"/>
      <c r="D407" s="104"/>
      <c r="E407" s="105"/>
      <c r="F407" s="106"/>
      <c r="G407" s="104"/>
      <c r="H407" s="106"/>
      <c r="I407" s="107"/>
      <c r="J407" s="108"/>
      <c r="K407" s="108"/>
      <c r="L407" s="108"/>
      <c r="M407" s="105"/>
      <c r="N407" s="105"/>
      <c r="O407" s="105"/>
      <c r="P407" s="108"/>
      <c r="Q407" s="105"/>
      <c r="R407" s="105"/>
      <c r="S407" s="105"/>
      <c r="T407" s="105"/>
      <c r="U407" s="108"/>
      <c r="V407" s="105"/>
      <c r="W407" s="105"/>
      <c r="X407" s="105"/>
      <c r="Y407" s="105"/>
      <c r="Z407" s="105"/>
      <c r="AA407" s="108"/>
      <c r="AB407" s="108"/>
      <c r="AC407" s="105"/>
      <c r="AD407" s="279"/>
      <c r="AE407" s="105"/>
      <c r="AF407" s="279"/>
      <c r="AG407" s="105"/>
      <c r="AH407" s="108"/>
      <c r="AI407" s="108"/>
      <c r="AJ407" s="108"/>
      <c r="AK407" s="108"/>
      <c r="AL407" s="105"/>
      <c r="AM407" s="108"/>
      <c r="AN407" s="105"/>
      <c r="AO407" s="108"/>
      <c r="AP407" s="108"/>
      <c r="AQ407" s="105"/>
      <c r="AR407" s="108"/>
      <c r="AS407" s="108"/>
      <c r="AT407" s="105"/>
      <c r="AU407" s="105"/>
      <c r="AV407" s="105"/>
      <c r="AW407" s="105"/>
      <c r="AX407" s="105"/>
      <c r="AY407" s="105"/>
      <c r="AZ407" s="105"/>
      <c r="BA407" s="105"/>
      <c r="BB407" s="105"/>
      <c r="BC407" s="105"/>
      <c r="BD407" s="108"/>
      <c r="BE407" s="83">
        <f>IF($A407="","",IF(TRIM($D407&amp;"")="",IF(TRIM($AX407&amp;$AY407&amp;$AZ407&amp;$BA407&amp;$BB407&amp;$BC407&amp;$BD407&amp;"")="","","SUBARRENDADO"),IFERROR(IF(VLOOKUP($D407,VEHICULOS!$A$3:$H$202,7,FALSE)="","",VLOOKUP($D407,VEHICULOS!$A$3:$H$202,7,FALSE)),"")))</f>
      </c>
      <c r="BF407" s="82">
        <f>IF($A407="","",IF(TRIM($BC407&amp;"")&lt;&gt;"",$BC407,IF(TRIM($D407&amp;"")="","",IFERROR(IF(VLOOKUP($D407,VEHICULOS!$A$3:$H$202,8,FALSE)="","",VLOOKUP($D407,VEHICULOS!$A$3:$H$202,8,FALSE)),""))))</f>
      </c>
      <c r="BG407" s="106"/>
      <c r="BH407" s="107"/>
      <c r="BI407" s="86">
        <f t="shared" si="90"/>
      </c>
      <c r="BJ407" s="83">
        <f t="shared" si="91"/>
      </c>
      <c r="BK407" s="85">
        <f t="shared" si="92"/>
      </c>
      <c r="BL407" s="85">
        <f t="shared" si="93"/>
      </c>
      <c r="BM407" s="108"/>
      <c r="BN407" s="85">
        <f t="shared" si="94"/>
      </c>
      <c r="BO407" s="108"/>
      <c r="BP407" s="85">
        <f t="shared" si="95"/>
      </c>
      <c r="BQ407" s="85">
        <f t="shared" si="96"/>
      </c>
      <c r="BR407" s="108"/>
      <c r="BS407" s="104"/>
      <c r="BT407" s="87">
        <f t="shared" si="97"/>
      </c>
      <c r="BU407" s="85">
        <f t="shared" si="98"/>
      </c>
      <c r="BV407" s="85">
        <f t="shared" si="99"/>
      </c>
      <c r="BW407" s="87">
        <f t="shared" si="100"/>
      </c>
      <c r="BX407" s="104"/>
      <c r="BY407" s="106"/>
      <c r="BZ407" s="104"/>
      <c r="CA407" s="105"/>
      <c r="CB407" s="77">
        <f>IF($A407="",0,IF($B407='FICHA CLIENTE'!$C$4,1,0))</f>
      </c>
      <c r="CC407" s="77">
        <f t="shared" si="101"/>
      </c>
      <c r="CD407" s="77">
        <f>IF($A407="",0,IF($D407='FICHA VEHICULO'!$C$4,1,0))</f>
      </c>
      <c r="CE407" s="77">
        <f t="shared" si="102"/>
      </c>
      <c r="CF407" s="77">
        <f t="shared" si="103"/>
      </c>
      <c r="CG407" s="77">
        <f t="shared" si="104"/>
      </c>
    </row>
    <row r="408" spans="1:85" ht="19.5" customHeight="1" x14ac:dyDescent="0.2">
      <c r="A408" s="104"/>
      <c r="B408" s="104"/>
      <c r="C408" s="105"/>
      <c r="D408" s="104"/>
      <c r="E408" s="105"/>
      <c r="F408" s="106"/>
      <c r="G408" s="104"/>
      <c r="H408" s="106"/>
      <c r="I408" s="107"/>
      <c r="J408" s="108"/>
      <c r="K408" s="108"/>
      <c r="L408" s="108"/>
      <c r="M408" s="105"/>
      <c r="N408" s="105"/>
      <c r="O408" s="105"/>
      <c r="P408" s="108"/>
      <c r="Q408" s="105"/>
      <c r="R408" s="105"/>
      <c r="S408" s="105"/>
      <c r="T408" s="105"/>
      <c r="U408" s="108"/>
      <c r="V408" s="105"/>
      <c r="W408" s="105"/>
      <c r="X408" s="105"/>
      <c r="Y408" s="105"/>
      <c r="Z408" s="105"/>
      <c r="AA408" s="108"/>
      <c r="AB408" s="108"/>
      <c r="AC408" s="105"/>
      <c r="AD408" s="279"/>
      <c r="AE408" s="105"/>
      <c r="AF408" s="279"/>
      <c r="AG408" s="105"/>
      <c r="AH408" s="108"/>
      <c r="AI408" s="108"/>
      <c r="AJ408" s="108"/>
      <c r="AK408" s="108"/>
      <c r="AL408" s="105"/>
      <c r="AM408" s="108"/>
      <c r="AN408" s="105"/>
      <c r="AO408" s="108"/>
      <c r="AP408" s="108"/>
      <c r="AQ408" s="105"/>
      <c r="AR408" s="108"/>
      <c r="AS408" s="108"/>
      <c r="AT408" s="105"/>
      <c r="AU408" s="105"/>
      <c r="AV408" s="105"/>
      <c r="AW408" s="105"/>
      <c r="AX408" s="105"/>
      <c r="AY408" s="105"/>
      <c r="AZ408" s="105"/>
      <c r="BA408" s="105"/>
      <c r="BB408" s="105"/>
      <c r="BC408" s="105"/>
      <c r="BD408" s="108"/>
      <c r="BE408" s="83">
        <f>IF($A408="","",IF(TRIM($D408&amp;"")="",IF(TRIM($AX408&amp;$AY408&amp;$AZ408&amp;$BA408&amp;$BB408&amp;$BC408&amp;$BD408&amp;"")="","","SUBARRENDADO"),IFERROR(IF(VLOOKUP($D408,VEHICULOS!$A$3:$H$202,7,FALSE)="","",VLOOKUP($D408,VEHICULOS!$A$3:$H$202,7,FALSE)),"")))</f>
      </c>
      <c r="BF408" s="82">
        <f>IF($A408="","",IF(TRIM($BC408&amp;"")&lt;&gt;"",$BC408,IF(TRIM($D408&amp;"")="","",IFERROR(IF(VLOOKUP($D408,VEHICULOS!$A$3:$H$202,8,FALSE)="","",VLOOKUP($D408,VEHICULOS!$A$3:$H$202,8,FALSE)),""))))</f>
      </c>
      <c r="BG408" s="106"/>
      <c r="BH408" s="107"/>
      <c r="BI408" s="86">
        <f t="shared" si="90"/>
      </c>
      <c r="BJ408" s="83">
        <f t="shared" si="91"/>
      </c>
      <c r="BK408" s="85">
        <f t="shared" si="92"/>
      </c>
      <c r="BL408" s="85">
        <f t="shared" si="93"/>
      </c>
      <c r="BM408" s="108"/>
      <c r="BN408" s="85">
        <f t="shared" si="94"/>
      </c>
      <c r="BO408" s="108"/>
      <c r="BP408" s="85">
        <f t="shared" si="95"/>
      </c>
      <c r="BQ408" s="85">
        <f t="shared" si="96"/>
      </c>
      <c r="BR408" s="108"/>
      <c r="BS408" s="104"/>
      <c r="BT408" s="87">
        <f t="shared" si="97"/>
      </c>
      <c r="BU408" s="85">
        <f t="shared" si="98"/>
      </c>
      <c r="BV408" s="85">
        <f t="shared" si="99"/>
      </c>
      <c r="BW408" s="87">
        <f t="shared" si="100"/>
      </c>
      <c r="BX408" s="104"/>
      <c r="BY408" s="106"/>
      <c r="BZ408" s="104"/>
      <c r="CA408" s="105"/>
      <c r="CB408" s="77">
        <f>IF($A408="",0,IF($B408='FICHA CLIENTE'!$C$4,1,0))</f>
      </c>
      <c r="CC408" s="77">
        <f t="shared" si="101"/>
      </c>
      <c r="CD408" s="77">
        <f>IF($A408="",0,IF($D408='FICHA VEHICULO'!$C$4,1,0))</f>
      </c>
      <c r="CE408" s="77">
        <f t="shared" si="102"/>
      </c>
      <c r="CF408" s="77">
        <f t="shared" si="103"/>
      </c>
      <c r="CG408" s="77">
        <f t="shared" si="104"/>
      </c>
    </row>
    <row r="409" spans="1:85" ht="19.5" customHeight="1" x14ac:dyDescent="0.2">
      <c r="A409" s="104"/>
      <c r="B409" s="104"/>
      <c r="C409" s="105"/>
      <c r="D409" s="104"/>
      <c r="E409" s="105"/>
      <c r="F409" s="106"/>
      <c r="G409" s="104"/>
      <c r="H409" s="106"/>
      <c r="I409" s="107"/>
      <c r="J409" s="108"/>
      <c r="K409" s="108"/>
      <c r="L409" s="108"/>
      <c r="M409" s="105"/>
      <c r="N409" s="105"/>
      <c r="O409" s="105"/>
      <c r="P409" s="108"/>
      <c r="Q409" s="105"/>
      <c r="R409" s="105"/>
      <c r="S409" s="105"/>
      <c r="T409" s="105"/>
      <c r="U409" s="108"/>
      <c r="V409" s="105"/>
      <c r="W409" s="105"/>
      <c r="X409" s="105"/>
      <c r="Y409" s="105"/>
      <c r="Z409" s="105"/>
      <c r="AA409" s="108"/>
      <c r="AB409" s="108"/>
      <c r="AC409" s="105"/>
      <c r="AD409" s="279"/>
      <c r="AE409" s="105"/>
      <c r="AF409" s="279"/>
      <c r="AG409" s="105"/>
      <c r="AH409" s="108"/>
      <c r="AI409" s="108"/>
      <c r="AJ409" s="108"/>
      <c r="AK409" s="108"/>
      <c r="AL409" s="105"/>
      <c r="AM409" s="108"/>
      <c r="AN409" s="105"/>
      <c r="AO409" s="108"/>
      <c r="AP409" s="108"/>
      <c r="AQ409" s="105"/>
      <c r="AR409" s="108"/>
      <c r="AS409" s="108"/>
      <c r="AT409" s="105"/>
      <c r="AU409" s="105"/>
      <c r="AV409" s="105"/>
      <c r="AW409" s="105"/>
      <c r="AX409" s="105"/>
      <c r="AY409" s="105"/>
      <c r="AZ409" s="105"/>
      <c r="BA409" s="105"/>
      <c r="BB409" s="105"/>
      <c r="BC409" s="105"/>
      <c r="BD409" s="108"/>
      <c r="BE409" s="83">
        <f>IF($A409="","",IF(TRIM($D409&amp;"")="",IF(TRIM($AX409&amp;$AY409&amp;$AZ409&amp;$BA409&amp;$BB409&amp;$BC409&amp;$BD409&amp;"")="","","SUBARRENDADO"),IFERROR(IF(VLOOKUP($D409,VEHICULOS!$A$3:$H$202,7,FALSE)="","",VLOOKUP($D409,VEHICULOS!$A$3:$H$202,7,FALSE)),"")))</f>
      </c>
      <c r="BF409" s="82">
        <f>IF($A409="","",IF(TRIM($BC409&amp;"")&lt;&gt;"",$BC409,IF(TRIM($D409&amp;"")="","",IFERROR(IF(VLOOKUP($D409,VEHICULOS!$A$3:$H$202,8,FALSE)="","",VLOOKUP($D409,VEHICULOS!$A$3:$H$202,8,FALSE)),""))))</f>
      </c>
      <c r="BG409" s="106"/>
      <c r="BH409" s="107"/>
      <c r="BI409" s="86">
        <f t="shared" si="90"/>
      </c>
      <c r="BJ409" s="83">
        <f t="shared" si="91"/>
      </c>
      <c r="BK409" s="85">
        <f t="shared" si="92"/>
      </c>
      <c r="BL409" s="85">
        <f t="shared" si="93"/>
      </c>
      <c r="BM409" s="108"/>
      <c r="BN409" s="85">
        <f t="shared" si="94"/>
      </c>
      <c r="BO409" s="108"/>
      <c r="BP409" s="85">
        <f t="shared" si="95"/>
      </c>
      <c r="BQ409" s="85">
        <f t="shared" si="96"/>
      </c>
      <c r="BR409" s="108"/>
      <c r="BS409" s="104"/>
      <c r="BT409" s="87">
        <f t="shared" si="97"/>
      </c>
      <c r="BU409" s="85">
        <f t="shared" si="98"/>
      </c>
      <c r="BV409" s="85">
        <f t="shared" si="99"/>
      </c>
      <c r="BW409" s="87">
        <f t="shared" si="100"/>
      </c>
      <c r="BX409" s="104"/>
      <c r="BY409" s="106"/>
      <c r="BZ409" s="104"/>
      <c r="CA409" s="105"/>
      <c r="CB409" s="77">
        <f>IF($A409="",0,IF($B409='FICHA CLIENTE'!$C$4,1,0))</f>
      </c>
      <c r="CC409" s="77">
        <f t="shared" si="101"/>
      </c>
      <c r="CD409" s="77">
        <f>IF($A409="",0,IF($D409='FICHA VEHICULO'!$C$4,1,0))</f>
      </c>
      <c r="CE409" s="77">
        <f t="shared" si="102"/>
      </c>
      <c r="CF409" s="77">
        <f t="shared" si="103"/>
      </c>
      <c r="CG409" s="77">
        <f t="shared" si="104"/>
      </c>
    </row>
    <row r="410" spans="1:85" ht="19.5" customHeight="1" x14ac:dyDescent="0.2">
      <c r="A410" s="104"/>
      <c r="B410" s="104"/>
      <c r="C410" s="105"/>
      <c r="D410" s="104"/>
      <c r="E410" s="105"/>
      <c r="F410" s="106"/>
      <c r="G410" s="104"/>
      <c r="H410" s="106"/>
      <c r="I410" s="107"/>
      <c r="J410" s="108"/>
      <c r="K410" s="108"/>
      <c r="L410" s="108"/>
      <c r="M410" s="105"/>
      <c r="N410" s="105"/>
      <c r="O410" s="105"/>
      <c r="P410" s="108"/>
      <c r="Q410" s="105"/>
      <c r="R410" s="105"/>
      <c r="S410" s="105"/>
      <c r="T410" s="105"/>
      <c r="U410" s="108"/>
      <c r="V410" s="105"/>
      <c r="W410" s="105"/>
      <c r="X410" s="105"/>
      <c r="Y410" s="105"/>
      <c r="Z410" s="105"/>
      <c r="AA410" s="108"/>
      <c r="AB410" s="108"/>
      <c r="AC410" s="105"/>
      <c r="AD410" s="279"/>
      <c r="AE410" s="105"/>
      <c r="AF410" s="279"/>
      <c r="AG410" s="105"/>
      <c r="AH410" s="108"/>
      <c r="AI410" s="108"/>
      <c r="AJ410" s="108"/>
      <c r="AK410" s="108"/>
      <c r="AL410" s="105"/>
      <c r="AM410" s="108"/>
      <c r="AN410" s="105"/>
      <c r="AO410" s="108"/>
      <c r="AP410" s="108"/>
      <c r="AQ410" s="105"/>
      <c r="AR410" s="108"/>
      <c r="AS410" s="108"/>
      <c r="AT410" s="105"/>
      <c r="AU410" s="105"/>
      <c r="AV410" s="105"/>
      <c r="AW410" s="105"/>
      <c r="AX410" s="105"/>
      <c r="AY410" s="105"/>
      <c r="AZ410" s="105"/>
      <c r="BA410" s="105"/>
      <c r="BB410" s="105"/>
      <c r="BC410" s="105"/>
      <c r="BD410" s="108"/>
      <c r="BE410" s="83">
        <f>IF($A410="","",IF(TRIM($D410&amp;"")="",IF(TRIM($AX410&amp;$AY410&amp;$AZ410&amp;$BA410&amp;$BB410&amp;$BC410&amp;$BD410&amp;"")="","","SUBARRENDADO"),IFERROR(IF(VLOOKUP($D410,VEHICULOS!$A$3:$H$202,7,FALSE)="","",VLOOKUP($D410,VEHICULOS!$A$3:$H$202,7,FALSE)),"")))</f>
      </c>
      <c r="BF410" s="82">
        <f>IF($A410="","",IF(TRIM($BC410&amp;"")&lt;&gt;"",$BC410,IF(TRIM($D410&amp;"")="","",IFERROR(IF(VLOOKUP($D410,VEHICULOS!$A$3:$H$202,8,FALSE)="","",VLOOKUP($D410,VEHICULOS!$A$3:$H$202,8,FALSE)),""))))</f>
      </c>
      <c r="BG410" s="106"/>
      <c r="BH410" s="107"/>
      <c r="BI410" s="86">
        <f t="shared" si="90"/>
      </c>
      <c r="BJ410" s="83">
        <f t="shared" si="91"/>
      </c>
      <c r="BK410" s="85">
        <f t="shared" si="92"/>
      </c>
      <c r="BL410" s="85">
        <f t="shared" si="93"/>
      </c>
      <c r="BM410" s="108"/>
      <c r="BN410" s="85">
        <f t="shared" si="94"/>
      </c>
      <c r="BO410" s="108"/>
      <c r="BP410" s="85">
        <f t="shared" si="95"/>
      </c>
      <c r="BQ410" s="85">
        <f t="shared" si="96"/>
      </c>
      <c r="BR410" s="108"/>
      <c r="BS410" s="104"/>
      <c r="BT410" s="87">
        <f t="shared" si="97"/>
      </c>
      <c r="BU410" s="85">
        <f t="shared" si="98"/>
      </c>
      <c r="BV410" s="85">
        <f t="shared" si="99"/>
      </c>
      <c r="BW410" s="87">
        <f t="shared" si="100"/>
      </c>
      <c r="BX410" s="104"/>
      <c r="BY410" s="106"/>
      <c r="BZ410" s="104"/>
      <c r="CA410" s="105"/>
      <c r="CB410" s="77">
        <f>IF($A410="",0,IF($B410='FICHA CLIENTE'!$C$4,1,0))</f>
      </c>
      <c r="CC410" s="77">
        <f t="shared" si="101"/>
      </c>
      <c r="CD410" s="77">
        <f>IF($A410="",0,IF($D410='FICHA VEHICULO'!$C$4,1,0))</f>
      </c>
      <c r="CE410" s="77">
        <f t="shared" si="102"/>
      </c>
      <c r="CF410" s="77">
        <f t="shared" si="103"/>
      </c>
      <c r="CG410" s="77">
        <f t="shared" si="104"/>
      </c>
    </row>
    <row r="411" spans="1:85" ht="19.5" customHeight="1" x14ac:dyDescent="0.2">
      <c r="A411" s="104"/>
      <c r="B411" s="104"/>
      <c r="C411" s="105"/>
      <c r="D411" s="104"/>
      <c r="E411" s="105"/>
      <c r="F411" s="106"/>
      <c r="G411" s="104"/>
      <c r="H411" s="106"/>
      <c r="I411" s="107"/>
      <c r="J411" s="108"/>
      <c r="K411" s="108"/>
      <c r="L411" s="108"/>
      <c r="M411" s="105"/>
      <c r="N411" s="105"/>
      <c r="O411" s="105"/>
      <c r="P411" s="108"/>
      <c r="Q411" s="105"/>
      <c r="R411" s="105"/>
      <c r="S411" s="105"/>
      <c r="T411" s="105"/>
      <c r="U411" s="108"/>
      <c r="V411" s="105"/>
      <c r="W411" s="105"/>
      <c r="X411" s="105"/>
      <c r="Y411" s="105"/>
      <c r="Z411" s="105"/>
      <c r="AA411" s="108"/>
      <c r="AB411" s="108"/>
      <c r="AC411" s="105"/>
      <c r="AD411" s="279"/>
      <c r="AE411" s="105"/>
      <c r="AF411" s="279"/>
      <c r="AG411" s="105"/>
      <c r="AH411" s="108"/>
      <c r="AI411" s="108"/>
      <c r="AJ411" s="108"/>
      <c r="AK411" s="108"/>
      <c r="AL411" s="105"/>
      <c r="AM411" s="108"/>
      <c r="AN411" s="105"/>
      <c r="AO411" s="108"/>
      <c r="AP411" s="108"/>
      <c r="AQ411" s="105"/>
      <c r="AR411" s="108"/>
      <c r="AS411" s="108"/>
      <c r="AT411" s="105"/>
      <c r="AU411" s="105"/>
      <c r="AV411" s="105"/>
      <c r="AW411" s="105"/>
      <c r="AX411" s="105"/>
      <c r="AY411" s="105"/>
      <c r="AZ411" s="105"/>
      <c r="BA411" s="105"/>
      <c r="BB411" s="105"/>
      <c r="BC411" s="105"/>
      <c r="BD411" s="108"/>
      <c r="BE411" s="83">
        <f>IF($A411="","",IF(TRIM($D411&amp;"")="",IF(TRIM($AX411&amp;$AY411&amp;$AZ411&amp;$BA411&amp;$BB411&amp;$BC411&amp;$BD411&amp;"")="","","SUBARRENDADO"),IFERROR(IF(VLOOKUP($D411,VEHICULOS!$A$3:$H$202,7,FALSE)="","",VLOOKUP($D411,VEHICULOS!$A$3:$H$202,7,FALSE)),"")))</f>
      </c>
      <c r="BF411" s="82">
        <f>IF($A411="","",IF(TRIM($BC411&amp;"")&lt;&gt;"",$BC411,IF(TRIM($D411&amp;"")="","",IFERROR(IF(VLOOKUP($D411,VEHICULOS!$A$3:$H$202,8,FALSE)="","",VLOOKUP($D411,VEHICULOS!$A$3:$H$202,8,FALSE)),""))))</f>
      </c>
      <c r="BG411" s="106"/>
      <c r="BH411" s="107"/>
      <c r="BI411" s="86">
        <f t="shared" si="90"/>
      </c>
      <c r="BJ411" s="83">
        <f t="shared" si="91"/>
      </c>
      <c r="BK411" s="85">
        <f t="shared" si="92"/>
      </c>
      <c r="BL411" s="85">
        <f t="shared" si="93"/>
      </c>
      <c r="BM411" s="108"/>
      <c r="BN411" s="85">
        <f t="shared" si="94"/>
      </c>
      <c r="BO411" s="108"/>
      <c r="BP411" s="85">
        <f t="shared" si="95"/>
      </c>
      <c r="BQ411" s="85">
        <f t="shared" si="96"/>
      </c>
      <c r="BR411" s="108"/>
      <c r="BS411" s="104"/>
      <c r="BT411" s="87">
        <f t="shared" si="97"/>
      </c>
      <c r="BU411" s="85">
        <f t="shared" si="98"/>
      </c>
      <c r="BV411" s="85">
        <f t="shared" si="99"/>
      </c>
      <c r="BW411" s="87">
        <f t="shared" si="100"/>
      </c>
      <c r="BX411" s="104"/>
      <c r="BY411" s="106"/>
      <c r="BZ411" s="104"/>
      <c r="CA411" s="105"/>
      <c r="CB411" s="77">
        <f>IF($A411="",0,IF($B411='FICHA CLIENTE'!$C$4,1,0))</f>
      </c>
      <c r="CC411" s="77">
        <f t="shared" si="101"/>
      </c>
      <c r="CD411" s="77">
        <f>IF($A411="",0,IF($D411='FICHA VEHICULO'!$C$4,1,0))</f>
      </c>
      <c r="CE411" s="77">
        <f t="shared" si="102"/>
      </c>
      <c r="CF411" s="77">
        <f t="shared" si="103"/>
      </c>
      <c r="CG411" s="77">
        <f t="shared" si="104"/>
      </c>
    </row>
    <row r="412" spans="1:85" ht="19.5" customHeight="1" x14ac:dyDescent="0.2">
      <c r="A412" s="104"/>
      <c r="B412" s="104"/>
      <c r="C412" s="105"/>
      <c r="D412" s="104"/>
      <c r="E412" s="105"/>
      <c r="F412" s="106"/>
      <c r="G412" s="104"/>
      <c r="H412" s="106"/>
      <c r="I412" s="107"/>
      <c r="J412" s="108"/>
      <c r="K412" s="108"/>
      <c r="L412" s="108"/>
      <c r="M412" s="105"/>
      <c r="N412" s="105"/>
      <c r="O412" s="105"/>
      <c r="P412" s="108"/>
      <c r="Q412" s="105"/>
      <c r="R412" s="105"/>
      <c r="S412" s="105"/>
      <c r="T412" s="105"/>
      <c r="U412" s="108"/>
      <c r="V412" s="105"/>
      <c r="W412" s="105"/>
      <c r="X412" s="105"/>
      <c r="Y412" s="105"/>
      <c r="Z412" s="105"/>
      <c r="AA412" s="108"/>
      <c r="AB412" s="108"/>
      <c r="AC412" s="105"/>
      <c r="AD412" s="279"/>
      <c r="AE412" s="105"/>
      <c r="AF412" s="279"/>
      <c r="AG412" s="105"/>
      <c r="AH412" s="108"/>
      <c r="AI412" s="108"/>
      <c r="AJ412" s="108"/>
      <c r="AK412" s="108"/>
      <c r="AL412" s="105"/>
      <c r="AM412" s="108"/>
      <c r="AN412" s="105"/>
      <c r="AO412" s="108"/>
      <c r="AP412" s="108"/>
      <c r="AQ412" s="105"/>
      <c r="AR412" s="108"/>
      <c r="AS412" s="108"/>
      <c r="AT412" s="105"/>
      <c r="AU412" s="105"/>
      <c r="AV412" s="105"/>
      <c r="AW412" s="105"/>
      <c r="AX412" s="105"/>
      <c r="AY412" s="105"/>
      <c r="AZ412" s="105"/>
      <c r="BA412" s="105"/>
      <c r="BB412" s="105"/>
      <c r="BC412" s="105"/>
      <c r="BD412" s="108"/>
      <c r="BE412" s="83">
        <f>IF($A412="","",IF(TRIM($D412&amp;"")="",IF(TRIM($AX412&amp;$AY412&amp;$AZ412&amp;$BA412&amp;$BB412&amp;$BC412&amp;$BD412&amp;"")="","","SUBARRENDADO"),IFERROR(IF(VLOOKUP($D412,VEHICULOS!$A$3:$H$202,7,FALSE)="","",VLOOKUP($D412,VEHICULOS!$A$3:$H$202,7,FALSE)),"")))</f>
      </c>
      <c r="BF412" s="82">
        <f>IF($A412="","",IF(TRIM($BC412&amp;"")&lt;&gt;"",$BC412,IF(TRIM($D412&amp;"")="","",IFERROR(IF(VLOOKUP($D412,VEHICULOS!$A$3:$H$202,8,FALSE)="","",VLOOKUP($D412,VEHICULOS!$A$3:$H$202,8,FALSE)),""))))</f>
      </c>
      <c r="BG412" s="106"/>
      <c r="BH412" s="107"/>
      <c r="BI412" s="86">
        <f t="shared" si="90"/>
      </c>
      <c r="BJ412" s="83">
        <f t="shared" si="91"/>
      </c>
      <c r="BK412" s="85">
        <f t="shared" si="92"/>
      </c>
      <c r="BL412" s="85">
        <f t="shared" si="93"/>
      </c>
      <c r="BM412" s="108"/>
      <c r="BN412" s="85">
        <f t="shared" si="94"/>
      </c>
      <c r="BO412" s="108"/>
      <c r="BP412" s="85">
        <f t="shared" si="95"/>
      </c>
      <c r="BQ412" s="85">
        <f t="shared" si="96"/>
      </c>
      <c r="BR412" s="108"/>
      <c r="BS412" s="104"/>
      <c r="BT412" s="87">
        <f t="shared" si="97"/>
      </c>
      <c r="BU412" s="85">
        <f t="shared" si="98"/>
      </c>
      <c r="BV412" s="85">
        <f t="shared" si="99"/>
      </c>
      <c r="BW412" s="87">
        <f t="shared" si="100"/>
      </c>
      <c r="BX412" s="104"/>
      <c r="BY412" s="106"/>
      <c r="BZ412" s="104"/>
      <c r="CA412" s="105"/>
      <c r="CB412" s="77">
        <f>IF($A412="",0,IF($B412='FICHA CLIENTE'!$C$4,1,0))</f>
      </c>
      <c r="CC412" s="77">
        <f t="shared" si="101"/>
      </c>
      <c r="CD412" s="77">
        <f>IF($A412="",0,IF($D412='FICHA VEHICULO'!$C$4,1,0))</f>
      </c>
      <c r="CE412" s="77">
        <f t="shared" si="102"/>
      </c>
      <c r="CF412" s="77">
        <f t="shared" si="103"/>
      </c>
      <c r="CG412" s="77">
        <f t="shared" si="104"/>
      </c>
    </row>
    <row r="413" spans="1:85" ht="19.5" customHeight="1" x14ac:dyDescent="0.2">
      <c r="A413" s="104"/>
      <c r="B413" s="104"/>
      <c r="C413" s="105"/>
      <c r="D413" s="104"/>
      <c r="E413" s="105"/>
      <c r="F413" s="106"/>
      <c r="G413" s="104"/>
      <c r="H413" s="106"/>
      <c r="I413" s="107"/>
      <c r="J413" s="108"/>
      <c r="K413" s="108"/>
      <c r="L413" s="108"/>
      <c r="M413" s="105"/>
      <c r="N413" s="105"/>
      <c r="O413" s="105"/>
      <c r="P413" s="108"/>
      <c r="Q413" s="105"/>
      <c r="R413" s="105"/>
      <c r="S413" s="105"/>
      <c r="T413" s="105"/>
      <c r="U413" s="108"/>
      <c r="V413" s="105"/>
      <c r="W413" s="105"/>
      <c r="X413" s="105"/>
      <c r="Y413" s="105"/>
      <c r="Z413" s="105"/>
      <c r="AA413" s="108"/>
      <c r="AB413" s="108"/>
      <c r="AC413" s="105"/>
      <c r="AD413" s="279"/>
      <c r="AE413" s="105"/>
      <c r="AF413" s="279"/>
      <c r="AG413" s="105"/>
      <c r="AH413" s="108"/>
      <c r="AI413" s="108"/>
      <c r="AJ413" s="108"/>
      <c r="AK413" s="108"/>
      <c r="AL413" s="105"/>
      <c r="AM413" s="108"/>
      <c r="AN413" s="105"/>
      <c r="AO413" s="108"/>
      <c r="AP413" s="108"/>
      <c r="AQ413" s="105"/>
      <c r="AR413" s="108"/>
      <c r="AS413" s="108"/>
      <c r="AT413" s="105"/>
      <c r="AU413" s="105"/>
      <c r="AV413" s="105"/>
      <c r="AW413" s="105"/>
      <c r="AX413" s="105"/>
      <c r="AY413" s="105"/>
      <c r="AZ413" s="105"/>
      <c r="BA413" s="105"/>
      <c r="BB413" s="105"/>
      <c r="BC413" s="105"/>
      <c r="BD413" s="108"/>
      <c r="BE413" s="83">
        <f>IF($A413="","",IF(TRIM($D413&amp;"")="",IF(TRIM($AX413&amp;$AY413&amp;$AZ413&amp;$BA413&amp;$BB413&amp;$BC413&amp;$BD413&amp;"")="","","SUBARRENDADO"),IFERROR(IF(VLOOKUP($D413,VEHICULOS!$A$3:$H$202,7,FALSE)="","",VLOOKUP($D413,VEHICULOS!$A$3:$H$202,7,FALSE)),"")))</f>
      </c>
      <c r="BF413" s="82">
        <f>IF($A413="","",IF(TRIM($BC413&amp;"")&lt;&gt;"",$BC413,IF(TRIM($D413&amp;"")="","",IFERROR(IF(VLOOKUP($D413,VEHICULOS!$A$3:$H$202,8,FALSE)="","",VLOOKUP($D413,VEHICULOS!$A$3:$H$202,8,FALSE)),""))))</f>
      </c>
      <c r="BG413" s="106"/>
      <c r="BH413" s="107"/>
      <c r="BI413" s="86">
        <f t="shared" si="90"/>
      </c>
      <c r="BJ413" s="83">
        <f t="shared" si="91"/>
      </c>
      <c r="BK413" s="85">
        <f t="shared" si="92"/>
      </c>
      <c r="BL413" s="85">
        <f t="shared" si="93"/>
      </c>
      <c r="BM413" s="108"/>
      <c r="BN413" s="85">
        <f t="shared" si="94"/>
      </c>
      <c r="BO413" s="108"/>
      <c r="BP413" s="85">
        <f t="shared" si="95"/>
      </c>
      <c r="BQ413" s="85">
        <f t="shared" si="96"/>
      </c>
      <c r="BR413" s="108"/>
      <c r="BS413" s="104"/>
      <c r="BT413" s="87">
        <f t="shared" si="97"/>
      </c>
      <c r="BU413" s="85">
        <f t="shared" si="98"/>
      </c>
      <c r="BV413" s="85">
        <f t="shared" si="99"/>
      </c>
      <c r="BW413" s="87">
        <f t="shared" si="100"/>
      </c>
      <c r="BX413" s="104"/>
      <c r="BY413" s="106"/>
      <c r="BZ413" s="104"/>
      <c r="CA413" s="105"/>
      <c r="CB413" s="77">
        <f>IF($A413="",0,IF($B413='FICHA CLIENTE'!$C$4,1,0))</f>
      </c>
      <c r="CC413" s="77">
        <f t="shared" si="101"/>
      </c>
      <c r="CD413" s="77">
        <f>IF($A413="",0,IF($D413='FICHA VEHICULO'!$C$4,1,0))</f>
      </c>
      <c r="CE413" s="77">
        <f t="shared" si="102"/>
      </c>
      <c r="CF413" s="77">
        <f t="shared" si="103"/>
      </c>
      <c r="CG413" s="77">
        <f t="shared" si="104"/>
      </c>
    </row>
    <row r="414" spans="1:85" ht="19.5" customHeight="1" x14ac:dyDescent="0.2">
      <c r="A414" s="104"/>
      <c r="B414" s="104"/>
      <c r="C414" s="105"/>
      <c r="D414" s="104"/>
      <c r="E414" s="105"/>
      <c r="F414" s="106"/>
      <c r="G414" s="104"/>
      <c r="H414" s="106"/>
      <c r="I414" s="107"/>
      <c r="J414" s="108"/>
      <c r="K414" s="108"/>
      <c r="L414" s="108"/>
      <c r="M414" s="105"/>
      <c r="N414" s="105"/>
      <c r="O414" s="105"/>
      <c r="P414" s="108"/>
      <c r="Q414" s="105"/>
      <c r="R414" s="105"/>
      <c r="S414" s="105"/>
      <c r="T414" s="105"/>
      <c r="U414" s="108"/>
      <c r="V414" s="105"/>
      <c r="W414" s="105"/>
      <c r="X414" s="105"/>
      <c r="Y414" s="105"/>
      <c r="Z414" s="105"/>
      <c r="AA414" s="108"/>
      <c r="AB414" s="108"/>
      <c r="AC414" s="105"/>
      <c r="AD414" s="279"/>
      <c r="AE414" s="105"/>
      <c r="AF414" s="279"/>
      <c r="AG414" s="105"/>
      <c r="AH414" s="108"/>
      <c r="AI414" s="108"/>
      <c r="AJ414" s="108"/>
      <c r="AK414" s="108"/>
      <c r="AL414" s="105"/>
      <c r="AM414" s="108"/>
      <c r="AN414" s="105"/>
      <c r="AO414" s="108"/>
      <c r="AP414" s="108"/>
      <c r="AQ414" s="105"/>
      <c r="AR414" s="108"/>
      <c r="AS414" s="108"/>
      <c r="AT414" s="105"/>
      <c r="AU414" s="105"/>
      <c r="AV414" s="105"/>
      <c r="AW414" s="105"/>
      <c r="AX414" s="105"/>
      <c r="AY414" s="105"/>
      <c r="AZ414" s="105"/>
      <c r="BA414" s="105"/>
      <c r="BB414" s="105"/>
      <c r="BC414" s="105"/>
      <c r="BD414" s="108"/>
      <c r="BE414" s="83">
        <f>IF($A414="","",IF(TRIM($D414&amp;"")="",IF(TRIM($AX414&amp;$AY414&amp;$AZ414&amp;$BA414&amp;$BB414&amp;$BC414&amp;$BD414&amp;"")="","","SUBARRENDADO"),IFERROR(IF(VLOOKUP($D414,VEHICULOS!$A$3:$H$202,7,FALSE)="","",VLOOKUP($D414,VEHICULOS!$A$3:$H$202,7,FALSE)),"")))</f>
      </c>
      <c r="BF414" s="82">
        <f>IF($A414="","",IF(TRIM($BC414&amp;"")&lt;&gt;"",$BC414,IF(TRIM($D414&amp;"")="","",IFERROR(IF(VLOOKUP($D414,VEHICULOS!$A$3:$H$202,8,FALSE)="","",VLOOKUP($D414,VEHICULOS!$A$3:$H$202,8,FALSE)),""))))</f>
      </c>
      <c r="BG414" s="106"/>
      <c r="BH414" s="107"/>
      <c r="BI414" s="86">
        <f t="shared" si="90"/>
      </c>
      <c r="BJ414" s="83">
        <f t="shared" si="91"/>
      </c>
      <c r="BK414" s="85">
        <f t="shared" si="92"/>
      </c>
      <c r="BL414" s="85">
        <f t="shared" si="93"/>
      </c>
      <c r="BM414" s="108"/>
      <c r="BN414" s="85">
        <f t="shared" si="94"/>
      </c>
      <c r="BO414" s="108"/>
      <c r="BP414" s="85">
        <f t="shared" si="95"/>
      </c>
      <c r="BQ414" s="85">
        <f t="shared" si="96"/>
      </c>
      <c r="BR414" s="108"/>
      <c r="BS414" s="104"/>
      <c r="BT414" s="87">
        <f t="shared" si="97"/>
      </c>
      <c r="BU414" s="85">
        <f t="shared" si="98"/>
      </c>
      <c r="BV414" s="85">
        <f t="shared" si="99"/>
      </c>
      <c r="BW414" s="87">
        <f t="shared" si="100"/>
      </c>
      <c r="BX414" s="104"/>
      <c r="BY414" s="106"/>
      <c r="BZ414" s="104"/>
      <c r="CA414" s="105"/>
      <c r="CB414" s="77">
        <f>IF($A414="",0,IF($B414='FICHA CLIENTE'!$C$4,1,0))</f>
      </c>
      <c r="CC414" s="77">
        <f t="shared" si="101"/>
      </c>
      <c r="CD414" s="77">
        <f>IF($A414="",0,IF($D414='FICHA VEHICULO'!$C$4,1,0))</f>
      </c>
      <c r="CE414" s="77">
        <f t="shared" si="102"/>
      </c>
      <c r="CF414" s="77">
        <f t="shared" si="103"/>
      </c>
      <c r="CG414" s="77">
        <f t="shared" si="104"/>
      </c>
    </row>
    <row r="415" spans="1:85" ht="19.5" customHeight="1" x14ac:dyDescent="0.2">
      <c r="A415" s="104"/>
      <c r="B415" s="104"/>
      <c r="C415" s="105"/>
      <c r="D415" s="104"/>
      <c r="E415" s="105"/>
      <c r="F415" s="106"/>
      <c r="G415" s="104"/>
      <c r="H415" s="106"/>
      <c r="I415" s="107"/>
      <c r="J415" s="108"/>
      <c r="K415" s="108"/>
      <c r="L415" s="108"/>
      <c r="M415" s="105"/>
      <c r="N415" s="105"/>
      <c r="O415" s="105"/>
      <c r="P415" s="108"/>
      <c r="Q415" s="105"/>
      <c r="R415" s="105"/>
      <c r="S415" s="105"/>
      <c r="T415" s="105"/>
      <c r="U415" s="108"/>
      <c r="V415" s="105"/>
      <c r="W415" s="105"/>
      <c r="X415" s="105"/>
      <c r="Y415" s="105"/>
      <c r="Z415" s="105"/>
      <c r="AA415" s="108"/>
      <c r="AB415" s="108"/>
      <c r="AC415" s="105"/>
      <c r="AD415" s="279"/>
      <c r="AE415" s="105"/>
      <c r="AF415" s="279"/>
      <c r="AG415" s="105"/>
      <c r="AH415" s="108"/>
      <c r="AI415" s="108"/>
      <c r="AJ415" s="108"/>
      <c r="AK415" s="108"/>
      <c r="AL415" s="105"/>
      <c r="AM415" s="108"/>
      <c r="AN415" s="105"/>
      <c r="AO415" s="108"/>
      <c r="AP415" s="108"/>
      <c r="AQ415" s="105"/>
      <c r="AR415" s="108"/>
      <c r="AS415" s="108"/>
      <c r="AT415" s="105"/>
      <c r="AU415" s="105"/>
      <c r="AV415" s="105"/>
      <c r="AW415" s="105"/>
      <c r="AX415" s="105"/>
      <c r="AY415" s="105"/>
      <c r="AZ415" s="105"/>
      <c r="BA415" s="105"/>
      <c r="BB415" s="105"/>
      <c r="BC415" s="105"/>
      <c r="BD415" s="108"/>
      <c r="BE415" s="83">
        <f>IF($A415="","",IF(TRIM($D415&amp;"")="",IF(TRIM($AX415&amp;$AY415&amp;$AZ415&amp;$BA415&amp;$BB415&amp;$BC415&amp;$BD415&amp;"")="","","SUBARRENDADO"),IFERROR(IF(VLOOKUP($D415,VEHICULOS!$A$3:$H$202,7,FALSE)="","",VLOOKUP($D415,VEHICULOS!$A$3:$H$202,7,FALSE)),"")))</f>
      </c>
      <c r="BF415" s="82">
        <f>IF($A415="","",IF(TRIM($BC415&amp;"")&lt;&gt;"",$BC415,IF(TRIM($D415&amp;"")="","",IFERROR(IF(VLOOKUP($D415,VEHICULOS!$A$3:$H$202,8,FALSE)="","",VLOOKUP($D415,VEHICULOS!$A$3:$H$202,8,FALSE)),""))))</f>
      </c>
      <c r="BG415" s="106"/>
      <c r="BH415" s="107"/>
      <c r="BI415" s="86">
        <f t="shared" si="90"/>
      </c>
      <c r="BJ415" s="83">
        <f t="shared" si="91"/>
      </c>
      <c r="BK415" s="85">
        <f t="shared" si="92"/>
      </c>
      <c r="BL415" s="85">
        <f t="shared" si="93"/>
      </c>
      <c r="BM415" s="108"/>
      <c r="BN415" s="85">
        <f t="shared" si="94"/>
      </c>
      <c r="BO415" s="108"/>
      <c r="BP415" s="85">
        <f t="shared" si="95"/>
      </c>
      <c r="BQ415" s="85">
        <f t="shared" si="96"/>
      </c>
      <c r="BR415" s="108"/>
      <c r="BS415" s="104"/>
      <c r="BT415" s="87">
        <f t="shared" si="97"/>
      </c>
      <c r="BU415" s="85">
        <f t="shared" si="98"/>
      </c>
      <c r="BV415" s="85">
        <f t="shared" si="99"/>
      </c>
      <c r="BW415" s="87">
        <f t="shared" si="100"/>
      </c>
      <c r="BX415" s="104"/>
      <c r="BY415" s="106"/>
      <c r="BZ415" s="104"/>
      <c r="CA415" s="105"/>
      <c r="CB415" s="77">
        <f>IF($A415="",0,IF($B415='FICHA CLIENTE'!$C$4,1,0))</f>
      </c>
      <c r="CC415" s="77">
        <f t="shared" si="101"/>
      </c>
      <c r="CD415" s="77">
        <f>IF($A415="",0,IF($D415='FICHA VEHICULO'!$C$4,1,0))</f>
      </c>
      <c r="CE415" s="77">
        <f t="shared" si="102"/>
      </c>
      <c r="CF415" s="77">
        <f t="shared" si="103"/>
      </c>
      <c r="CG415" s="77">
        <f t="shared" si="104"/>
      </c>
    </row>
    <row r="416" spans="1:85" ht="19.5" customHeight="1" x14ac:dyDescent="0.2">
      <c r="A416" s="104"/>
      <c r="B416" s="104"/>
      <c r="C416" s="105"/>
      <c r="D416" s="104"/>
      <c r="E416" s="105"/>
      <c r="F416" s="106"/>
      <c r="G416" s="104"/>
      <c r="H416" s="106"/>
      <c r="I416" s="107"/>
      <c r="J416" s="108"/>
      <c r="K416" s="108"/>
      <c r="L416" s="108"/>
      <c r="M416" s="105"/>
      <c r="N416" s="105"/>
      <c r="O416" s="105"/>
      <c r="P416" s="108"/>
      <c r="Q416" s="105"/>
      <c r="R416" s="105"/>
      <c r="S416" s="105"/>
      <c r="T416" s="105"/>
      <c r="U416" s="108"/>
      <c r="V416" s="105"/>
      <c r="W416" s="105"/>
      <c r="X416" s="105"/>
      <c r="Y416" s="105"/>
      <c r="Z416" s="105"/>
      <c r="AA416" s="108"/>
      <c r="AB416" s="108"/>
      <c r="AC416" s="105"/>
      <c r="AD416" s="279"/>
      <c r="AE416" s="105"/>
      <c r="AF416" s="279"/>
      <c r="AG416" s="105"/>
      <c r="AH416" s="108"/>
      <c r="AI416" s="108"/>
      <c r="AJ416" s="108"/>
      <c r="AK416" s="108"/>
      <c r="AL416" s="105"/>
      <c r="AM416" s="108"/>
      <c r="AN416" s="105"/>
      <c r="AO416" s="108"/>
      <c r="AP416" s="108"/>
      <c r="AQ416" s="105"/>
      <c r="AR416" s="108"/>
      <c r="AS416" s="108"/>
      <c r="AT416" s="105"/>
      <c r="AU416" s="105"/>
      <c r="AV416" s="105"/>
      <c r="AW416" s="105"/>
      <c r="AX416" s="105"/>
      <c r="AY416" s="105"/>
      <c r="AZ416" s="105"/>
      <c r="BA416" s="105"/>
      <c r="BB416" s="105"/>
      <c r="BC416" s="105"/>
      <c r="BD416" s="108"/>
      <c r="BE416" s="83">
        <f>IF($A416="","",IF(TRIM($D416&amp;"")="",IF(TRIM($AX416&amp;$AY416&amp;$AZ416&amp;$BA416&amp;$BB416&amp;$BC416&amp;$BD416&amp;"")="","","SUBARRENDADO"),IFERROR(IF(VLOOKUP($D416,VEHICULOS!$A$3:$H$202,7,FALSE)="","",VLOOKUP($D416,VEHICULOS!$A$3:$H$202,7,FALSE)),"")))</f>
      </c>
      <c r="BF416" s="82">
        <f>IF($A416="","",IF(TRIM($BC416&amp;"")&lt;&gt;"",$BC416,IF(TRIM($D416&amp;"")="","",IFERROR(IF(VLOOKUP($D416,VEHICULOS!$A$3:$H$202,8,FALSE)="","",VLOOKUP($D416,VEHICULOS!$A$3:$H$202,8,FALSE)),""))))</f>
      </c>
      <c r="BG416" s="106"/>
      <c r="BH416" s="107"/>
      <c r="BI416" s="86">
        <f t="shared" si="90"/>
      </c>
      <c r="BJ416" s="83">
        <f t="shared" si="91"/>
      </c>
      <c r="BK416" s="85">
        <f t="shared" si="92"/>
      </c>
      <c r="BL416" s="85">
        <f t="shared" si="93"/>
      </c>
      <c r="BM416" s="108"/>
      <c r="BN416" s="85">
        <f t="shared" si="94"/>
      </c>
      <c r="BO416" s="108"/>
      <c r="BP416" s="85">
        <f t="shared" si="95"/>
      </c>
      <c r="BQ416" s="85">
        <f t="shared" si="96"/>
      </c>
      <c r="BR416" s="108"/>
      <c r="BS416" s="104"/>
      <c r="BT416" s="87">
        <f t="shared" si="97"/>
      </c>
      <c r="BU416" s="85">
        <f t="shared" si="98"/>
      </c>
      <c r="BV416" s="85">
        <f t="shared" si="99"/>
      </c>
      <c r="BW416" s="87">
        <f t="shared" si="100"/>
      </c>
      <c r="BX416" s="104"/>
      <c r="BY416" s="106"/>
      <c r="BZ416" s="104"/>
      <c r="CA416" s="105"/>
      <c r="CB416" s="77">
        <f>IF($A416="",0,IF($B416='FICHA CLIENTE'!$C$4,1,0))</f>
      </c>
      <c r="CC416" s="77">
        <f t="shared" si="101"/>
      </c>
      <c r="CD416" s="77">
        <f>IF($A416="",0,IF($D416='FICHA VEHICULO'!$C$4,1,0))</f>
      </c>
      <c r="CE416" s="77">
        <f t="shared" si="102"/>
      </c>
      <c r="CF416" s="77">
        <f t="shared" si="103"/>
      </c>
      <c r="CG416" s="77">
        <f t="shared" si="104"/>
      </c>
    </row>
    <row r="417" spans="1:85" ht="19.5" customHeight="1" x14ac:dyDescent="0.2">
      <c r="A417" s="104"/>
      <c r="B417" s="104"/>
      <c r="C417" s="105"/>
      <c r="D417" s="104"/>
      <c r="E417" s="105"/>
      <c r="F417" s="106"/>
      <c r="G417" s="104"/>
      <c r="H417" s="106"/>
      <c r="I417" s="107"/>
      <c r="J417" s="108"/>
      <c r="K417" s="108"/>
      <c r="L417" s="108"/>
      <c r="M417" s="105"/>
      <c r="N417" s="105"/>
      <c r="O417" s="105"/>
      <c r="P417" s="108"/>
      <c r="Q417" s="105"/>
      <c r="R417" s="105"/>
      <c r="S417" s="105"/>
      <c r="T417" s="105"/>
      <c r="U417" s="108"/>
      <c r="V417" s="105"/>
      <c r="W417" s="105"/>
      <c r="X417" s="105"/>
      <c r="Y417" s="105"/>
      <c r="Z417" s="105"/>
      <c r="AA417" s="108"/>
      <c r="AB417" s="108"/>
      <c r="AC417" s="105"/>
      <c r="AD417" s="279"/>
      <c r="AE417" s="105"/>
      <c r="AF417" s="279"/>
      <c r="AG417" s="105"/>
      <c r="AH417" s="108"/>
      <c r="AI417" s="108"/>
      <c r="AJ417" s="108"/>
      <c r="AK417" s="108"/>
      <c r="AL417" s="105"/>
      <c r="AM417" s="108"/>
      <c r="AN417" s="105"/>
      <c r="AO417" s="108"/>
      <c r="AP417" s="108"/>
      <c r="AQ417" s="105"/>
      <c r="AR417" s="108"/>
      <c r="AS417" s="108"/>
      <c r="AT417" s="105"/>
      <c r="AU417" s="105"/>
      <c r="AV417" s="105"/>
      <c r="AW417" s="105"/>
      <c r="AX417" s="105"/>
      <c r="AY417" s="105"/>
      <c r="AZ417" s="105"/>
      <c r="BA417" s="105"/>
      <c r="BB417" s="105"/>
      <c r="BC417" s="105"/>
      <c r="BD417" s="108"/>
      <c r="BE417" s="83">
        <f>IF($A417="","",IF(TRIM($D417&amp;"")="",IF(TRIM($AX417&amp;$AY417&amp;$AZ417&amp;$BA417&amp;$BB417&amp;$BC417&amp;$BD417&amp;"")="","","SUBARRENDADO"),IFERROR(IF(VLOOKUP($D417,VEHICULOS!$A$3:$H$202,7,FALSE)="","",VLOOKUP($D417,VEHICULOS!$A$3:$H$202,7,FALSE)),"")))</f>
      </c>
      <c r="BF417" s="82">
        <f>IF($A417="","",IF(TRIM($BC417&amp;"")&lt;&gt;"",$BC417,IF(TRIM($D417&amp;"")="","",IFERROR(IF(VLOOKUP($D417,VEHICULOS!$A$3:$H$202,8,FALSE)="","",VLOOKUP($D417,VEHICULOS!$A$3:$H$202,8,FALSE)),""))))</f>
      </c>
      <c r="BG417" s="106"/>
      <c r="BH417" s="107"/>
      <c r="BI417" s="86">
        <f t="shared" si="90"/>
      </c>
      <c r="BJ417" s="83">
        <f t="shared" si="91"/>
      </c>
      <c r="BK417" s="85">
        <f t="shared" si="92"/>
      </c>
      <c r="BL417" s="85">
        <f t="shared" si="93"/>
      </c>
      <c r="BM417" s="108"/>
      <c r="BN417" s="85">
        <f t="shared" si="94"/>
      </c>
      <c r="BO417" s="108"/>
      <c r="BP417" s="85">
        <f t="shared" si="95"/>
      </c>
      <c r="BQ417" s="85">
        <f t="shared" si="96"/>
      </c>
      <c r="BR417" s="108"/>
      <c r="BS417" s="104"/>
      <c r="BT417" s="87">
        <f t="shared" si="97"/>
      </c>
      <c r="BU417" s="85">
        <f t="shared" si="98"/>
      </c>
      <c r="BV417" s="85">
        <f t="shared" si="99"/>
      </c>
      <c r="BW417" s="87">
        <f t="shared" si="100"/>
      </c>
      <c r="BX417" s="104"/>
      <c r="BY417" s="106"/>
      <c r="BZ417" s="104"/>
      <c r="CA417" s="105"/>
      <c r="CB417" s="77">
        <f>IF($A417="",0,IF($B417='FICHA CLIENTE'!$C$4,1,0))</f>
      </c>
      <c r="CC417" s="77">
        <f t="shared" si="101"/>
      </c>
      <c r="CD417" s="77">
        <f>IF($A417="",0,IF($D417='FICHA VEHICULO'!$C$4,1,0))</f>
      </c>
      <c r="CE417" s="77">
        <f t="shared" si="102"/>
      </c>
      <c r="CF417" s="77">
        <f t="shared" si="103"/>
      </c>
      <c r="CG417" s="77">
        <f t="shared" si="104"/>
      </c>
    </row>
    <row r="418" spans="1:85" ht="19.5" customHeight="1" x14ac:dyDescent="0.2">
      <c r="A418" s="104"/>
      <c r="B418" s="104"/>
      <c r="C418" s="105"/>
      <c r="D418" s="104"/>
      <c r="E418" s="105"/>
      <c r="F418" s="106"/>
      <c r="G418" s="104"/>
      <c r="H418" s="106"/>
      <c r="I418" s="107"/>
      <c r="J418" s="108"/>
      <c r="K418" s="108"/>
      <c r="L418" s="108"/>
      <c r="M418" s="105"/>
      <c r="N418" s="105"/>
      <c r="O418" s="105"/>
      <c r="P418" s="108"/>
      <c r="Q418" s="105"/>
      <c r="R418" s="105"/>
      <c r="S418" s="105"/>
      <c r="T418" s="105"/>
      <c r="U418" s="108"/>
      <c r="V418" s="105"/>
      <c r="W418" s="105"/>
      <c r="X418" s="105"/>
      <c r="Y418" s="105"/>
      <c r="Z418" s="105"/>
      <c r="AA418" s="108"/>
      <c r="AB418" s="108"/>
      <c r="AC418" s="105"/>
      <c r="AD418" s="279"/>
      <c r="AE418" s="105"/>
      <c r="AF418" s="279"/>
      <c r="AG418" s="105"/>
      <c r="AH418" s="108"/>
      <c r="AI418" s="108"/>
      <c r="AJ418" s="108"/>
      <c r="AK418" s="108"/>
      <c r="AL418" s="105"/>
      <c r="AM418" s="108"/>
      <c r="AN418" s="105"/>
      <c r="AO418" s="108"/>
      <c r="AP418" s="108"/>
      <c r="AQ418" s="105"/>
      <c r="AR418" s="108"/>
      <c r="AS418" s="108"/>
      <c r="AT418" s="105"/>
      <c r="AU418" s="105"/>
      <c r="AV418" s="105"/>
      <c r="AW418" s="105"/>
      <c r="AX418" s="105"/>
      <c r="AY418" s="105"/>
      <c r="AZ418" s="105"/>
      <c r="BA418" s="105"/>
      <c r="BB418" s="105"/>
      <c r="BC418" s="105"/>
      <c r="BD418" s="108"/>
      <c r="BE418" s="83">
        <f>IF($A418="","",IF(TRIM($D418&amp;"")="",IF(TRIM($AX418&amp;$AY418&amp;$AZ418&amp;$BA418&amp;$BB418&amp;$BC418&amp;$BD418&amp;"")="","","SUBARRENDADO"),IFERROR(IF(VLOOKUP($D418,VEHICULOS!$A$3:$H$202,7,FALSE)="","",VLOOKUP($D418,VEHICULOS!$A$3:$H$202,7,FALSE)),"")))</f>
      </c>
      <c r="BF418" s="82">
        <f>IF($A418="","",IF(TRIM($BC418&amp;"")&lt;&gt;"",$BC418,IF(TRIM($D418&amp;"")="","",IFERROR(IF(VLOOKUP($D418,VEHICULOS!$A$3:$H$202,8,FALSE)="","",VLOOKUP($D418,VEHICULOS!$A$3:$H$202,8,FALSE)),""))))</f>
      </c>
      <c r="BG418" s="106"/>
      <c r="BH418" s="107"/>
      <c r="BI418" s="86">
        <f t="shared" si="90"/>
      </c>
      <c r="BJ418" s="83">
        <f t="shared" si="91"/>
      </c>
      <c r="BK418" s="85">
        <f t="shared" si="92"/>
      </c>
      <c r="BL418" s="85">
        <f t="shared" si="93"/>
      </c>
      <c r="BM418" s="108"/>
      <c r="BN418" s="85">
        <f t="shared" si="94"/>
      </c>
      <c r="BO418" s="108"/>
      <c r="BP418" s="85">
        <f t="shared" si="95"/>
      </c>
      <c r="BQ418" s="85">
        <f t="shared" si="96"/>
      </c>
      <c r="BR418" s="108"/>
      <c r="BS418" s="104"/>
      <c r="BT418" s="87">
        <f t="shared" si="97"/>
      </c>
      <c r="BU418" s="85">
        <f t="shared" si="98"/>
      </c>
      <c r="BV418" s="85">
        <f t="shared" si="99"/>
      </c>
      <c r="BW418" s="87">
        <f t="shared" si="100"/>
      </c>
      <c r="BX418" s="104"/>
      <c r="BY418" s="106"/>
      <c r="BZ418" s="104"/>
      <c r="CA418" s="105"/>
      <c r="CB418" s="77">
        <f>IF($A418="",0,IF($B418='FICHA CLIENTE'!$C$4,1,0))</f>
      </c>
      <c r="CC418" s="77">
        <f t="shared" si="101"/>
      </c>
      <c r="CD418" s="77">
        <f>IF($A418="",0,IF($D418='FICHA VEHICULO'!$C$4,1,0))</f>
      </c>
      <c r="CE418" s="77">
        <f t="shared" si="102"/>
      </c>
      <c r="CF418" s="77">
        <f t="shared" si="103"/>
      </c>
      <c r="CG418" s="77">
        <f t="shared" si="104"/>
      </c>
    </row>
    <row r="419" spans="1:85" ht="19.5" customHeight="1" x14ac:dyDescent="0.2">
      <c r="A419" s="104"/>
      <c r="B419" s="104"/>
      <c r="C419" s="105"/>
      <c r="D419" s="104"/>
      <c r="E419" s="105"/>
      <c r="F419" s="106"/>
      <c r="G419" s="104"/>
      <c r="H419" s="106"/>
      <c r="I419" s="107"/>
      <c r="J419" s="108"/>
      <c r="K419" s="108"/>
      <c r="L419" s="108"/>
      <c r="M419" s="105"/>
      <c r="N419" s="105"/>
      <c r="O419" s="105"/>
      <c r="P419" s="108"/>
      <c r="Q419" s="105"/>
      <c r="R419" s="105"/>
      <c r="S419" s="105"/>
      <c r="T419" s="105"/>
      <c r="U419" s="108"/>
      <c r="V419" s="105"/>
      <c r="W419" s="105"/>
      <c r="X419" s="105"/>
      <c r="Y419" s="105"/>
      <c r="Z419" s="105"/>
      <c r="AA419" s="108"/>
      <c r="AB419" s="108"/>
      <c r="AC419" s="105"/>
      <c r="AD419" s="279"/>
      <c r="AE419" s="105"/>
      <c r="AF419" s="279"/>
      <c r="AG419" s="105"/>
      <c r="AH419" s="108"/>
      <c r="AI419" s="108"/>
      <c r="AJ419" s="108"/>
      <c r="AK419" s="108"/>
      <c r="AL419" s="105"/>
      <c r="AM419" s="108"/>
      <c r="AN419" s="105"/>
      <c r="AO419" s="108"/>
      <c r="AP419" s="108"/>
      <c r="AQ419" s="105"/>
      <c r="AR419" s="108"/>
      <c r="AS419" s="108"/>
      <c r="AT419" s="105"/>
      <c r="AU419" s="105"/>
      <c r="AV419" s="105"/>
      <c r="AW419" s="105"/>
      <c r="AX419" s="105"/>
      <c r="AY419" s="105"/>
      <c r="AZ419" s="105"/>
      <c r="BA419" s="105"/>
      <c r="BB419" s="105"/>
      <c r="BC419" s="105"/>
      <c r="BD419" s="108"/>
      <c r="BE419" s="83">
        <f>IF($A419="","",IF(TRIM($D419&amp;"")="",IF(TRIM($AX419&amp;$AY419&amp;$AZ419&amp;$BA419&amp;$BB419&amp;$BC419&amp;$BD419&amp;"")="","","SUBARRENDADO"),IFERROR(IF(VLOOKUP($D419,VEHICULOS!$A$3:$H$202,7,FALSE)="","",VLOOKUP($D419,VEHICULOS!$A$3:$H$202,7,FALSE)),"")))</f>
      </c>
      <c r="BF419" s="82">
        <f>IF($A419="","",IF(TRIM($BC419&amp;"")&lt;&gt;"",$BC419,IF(TRIM($D419&amp;"")="","",IFERROR(IF(VLOOKUP($D419,VEHICULOS!$A$3:$H$202,8,FALSE)="","",VLOOKUP($D419,VEHICULOS!$A$3:$H$202,8,FALSE)),""))))</f>
      </c>
      <c r="BG419" s="106"/>
      <c r="BH419" s="107"/>
      <c r="BI419" s="86">
        <f t="shared" si="90"/>
      </c>
      <c r="BJ419" s="83">
        <f t="shared" si="91"/>
      </c>
      <c r="BK419" s="85">
        <f t="shared" si="92"/>
      </c>
      <c r="BL419" s="85">
        <f t="shared" si="93"/>
      </c>
      <c r="BM419" s="108"/>
      <c r="BN419" s="85">
        <f t="shared" si="94"/>
      </c>
      <c r="BO419" s="108"/>
      <c r="BP419" s="85">
        <f t="shared" si="95"/>
      </c>
      <c r="BQ419" s="85">
        <f t="shared" si="96"/>
      </c>
      <c r="BR419" s="108"/>
      <c r="BS419" s="104"/>
      <c r="BT419" s="87">
        <f t="shared" si="97"/>
      </c>
      <c r="BU419" s="85">
        <f t="shared" si="98"/>
      </c>
      <c r="BV419" s="85">
        <f t="shared" si="99"/>
      </c>
      <c r="BW419" s="87">
        <f t="shared" si="100"/>
      </c>
      <c r="BX419" s="104"/>
      <c r="BY419" s="106"/>
      <c r="BZ419" s="104"/>
      <c r="CA419" s="105"/>
      <c r="CB419" s="77">
        <f>IF($A419="",0,IF($B419='FICHA CLIENTE'!$C$4,1,0))</f>
      </c>
      <c r="CC419" s="77">
        <f t="shared" si="101"/>
      </c>
      <c r="CD419" s="77">
        <f>IF($A419="",0,IF($D419='FICHA VEHICULO'!$C$4,1,0))</f>
      </c>
      <c r="CE419" s="77">
        <f t="shared" si="102"/>
      </c>
      <c r="CF419" s="77">
        <f t="shared" si="103"/>
      </c>
      <c r="CG419" s="77">
        <f t="shared" si="104"/>
      </c>
    </row>
    <row r="420" spans="1:85" ht="19.5" customHeight="1" x14ac:dyDescent="0.2">
      <c r="A420" s="104"/>
      <c r="B420" s="104"/>
      <c r="C420" s="105"/>
      <c r="D420" s="104"/>
      <c r="E420" s="105"/>
      <c r="F420" s="106"/>
      <c r="G420" s="104"/>
      <c r="H420" s="106"/>
      <c r="I420" s="107"/>
      <c r="J420" s="108"/>
      <c r="K420" s="108"/>
      <c r="L420" s="108"/>
      <c r="M420" s="105"/>
      <c r="N420" s="105"/>
      <c r="O420" s="105"/>
      <c r="P420" s="108"/>
      <c r="Q420" s="105"/>
      <c r="R420" s="105"/>
      <c r="S420" s="105"/>
      <c r="T420" s="105"/>
      <c r="U420" s="108"/>
      <c r="V420" s="105"/>
      <c r="W420" s="105"/>
      <c r="X420" s="105"/>
      <c r="Y420" s="105"/>
      <c r="Z420" s="105"/>
      <c r="AA420" s="108"/>
      <c r="AB420" s="108"/>
      <c r="AC420" s="105"/>
      <c r="AD420" s="279"/>
      <c r="AE420" s="105"/>
      <c r="AF420" s="279"/>
      <c r="AG420" s="105"/>
      <c r="AH420" s="108"/>
      <c r="AI420" s="108"/>
      <c r="AJ420" s="108"/>
      <c r="AK420" s="108"/>
      <c r="AL420" s="105"/>
      <c r="AM420" s="108"/>
      <c r="AN420" s="105"/>
      <c r="AO420" s="108"/>
      <c r="AP420" s="108"/>
      <c r="AQ420" s="105"/>
      <c r="AR420" s="108"/>
      <c r="AS420" s="108"/>
      <c r="AT420" s="105"/>
      <c r="AU420" s="105"/>
      <c r="AV420" s="105"/>
      <c r="AW420" s="105"/>
      <c r="AX420" s="105"/>
      <c r="AY420" s="105"/>
      <c r="AZ420" s="105"/>
      <c r="BA420" s="105"/>
      <c r="BB420" s="105"/>
      <c r="BC420" s="105"/>
      <c r="BD420" s="108"/>
      <c r="BE420" s="83">
        <f>IF($A420="","",IF(TRIM($D420&amp;"")="",IF(TRIM($AX420&amp;$AY420&amp;$AZ420&amp;$BA420&amp;$BB420&amp;$BC420&amp;$BD420&amp;"")="","","SUBARRENDADO"),IFERROR(IF(VLOOKUP($D420,VEHICULOS!$A$3:$H$202,7,FALSE)="","",VLOOKUP($D420,VEHICULOS!$A$3:$H$202,7,FALSE)),"")))</f>
      </c>
      <c r="BF420" s="82">
        <f>IF($A420="","",IF(TRIM($BC420&amp;"")&lt;&gt;"",$BC420,IF(TRIM($D420&amp;"")="","",IFERROR(IF(VLOOKUP($D420,VEHICULOS!$A$3:$H$202,8,FALSE)="","",VLOOKUP($D420,VEHICULOS!$A$3:$H$202,8,FALSE)),""))))</f>
      </c>
      <c r="BG420" s="106"/>
      <c r="BH420" s="107"/>
      <c r="BI420" s="86">
        <f t="shared" si="90"/>
      </c>
      <c r="BJ420" s="83">
        <f t="shared" si="91"/>
      </c>
      <c r="BK420" s="85">
        <f t="shared" si="92"/>
      </c>
      <c r="BL420" s="85">
        <f t="shared" si="93"/>
      </c>
      <c r="BM420" s="108"/>
      <c r="BN420" s="85">
        <f t="shared" si="94"/>
      </c>
      <c r="BO420" s="108"/>
      <c r="BP420" s="85">
        <f t="shared" si="95"/>
      </c>
      <c r="BQ420" s="85">
        <f t="shared" si="96"/>
      </c>
      <c r="BR420" s="108"/>
      <c r="BS420" s="104"/>
      <c r="BT420" s="87">
        <f t="shared" si="97"/>
      </c>
      <c r="BU420" s="85">
        <f t="shared" si="98"/>
      </c>
      <c r="BV420" s="85">
        <f t="shared" si="99"/>
      </c>
      <c r="BW420" s="87">
        <f t="shared" si="100"/>
      </c>
      <c r="BX420" s="104"/>
      <c r="BY420" s="106"/>
      <c r="BZ420" s="104"/>
      <c r="CA420" s="105"/>
      <c r="CB420" s="77">
        <f>IF($A420="",0,IF($B420='FICHA CLIENTE'!$C$4,1,0))</f>
      </c>
      <c r="CC420" s="77">
        <f t="shared" si="101"/>
      </c>
      <c r="CD420" s="77">
        <f>IF($A420="",0,IF($D420='FICHA VEHICULO'!$C$4,1,0))</f>
      </c>
      <c r="CE420" s="77">
        <f t="shared" si="102"/>
      </c>
      <c r="CF420" s="77">
        <f t="shared" si="103"/>
      </c>
      <c r="CG420" s="77">
        <f t="shared" si="104"/>
      </c>
    </row>
    <row r="421" spans="1:85" ht="19.5" customHeight="1" x14ac:dyDescent="0.2">
      <c r="A421" s="104"/>
      <c r="B421" s="104"/>
      <c r="C421" s="105"/>
      <c r="D421" s="104"/>
      <c r="E421" s="105"/>
      <c r="F421" s="106"/>
      <c r="G421" s="104"/>
      <c r="H421" s="106"/>
      <c r="I421" s="107"/>
      <c r="J421" s="108"/>
      <c r="K421" s="108"/>
      <c r="L421" s="108"/>
      <c r="M421" s="105"/>
      <c r="N421" s="105"/>
      <c r="O421" s="105"/>
      <c r="P421" s="108"/>
      <c r="Q421" s="105"/>
      <c r="R421" s="105"/>
      <c r="S421" s="105"/>
      <c r="T421" s="105"/>
      <c r="U421" s="108"/>
      <c r="V421" s="105"/>
      <c r="W421" s="105"/>
      <c r="X421" s="105"/>
      <c r="Y421" s="105"/>
      <c r="Z421" s="105"/>
      <c r="AA421" s="108"/>
      <c r="AB421" s="108"/>
      <c r="AC421" s="105"/>
      <c r="AD421" s="279"/>
      <c r="AE421" s="105"/>
      <c r="AF421" s="279"/>
      <c r="AG421" s="105"/>
      <c r="AH421" s="108"/>
      <c r="AI421" s="108"/>
      <c r="AJ421" s="108"/>
      <c r="AK421" s="108"/>
      <c r="AL421" s="105"/>
      <c r="AM421" s="108"/>
      <c r="AN421" s="105"/>
      <c r="AO421" s="108"/>
      <c r="AP421" s="108"/>
      <c r="AQ421" s="105"/>
      <c r="AR421" s="108"/>
      <c r="AS421" s="108"/>
      <c r="AT421" s="105"/>
      <c r="AU421" s="105"/>
      <c r="AV421" s="105"/>
      <c r="AW421" s="105"/>
      <c r="AX421" s="105"/>
      <c r="AY421" s="105"/>
      <c r="AZ421" s="105"/>
      <c r="BA421" s="105"/>
      <c r="BB421" s="105"/>
      <c r="BC421" s="105"/>
      <c r="BD421" s="108"/>
      <c r="BE421" s="83">
        <f>IF($A421="","",IF(TRIM($D421&amp;"")="",IF(TRIM($AX421&amp;$AY421&amp;$AZ421&amp;$BA421&amp;$BB421&amp;$BC421&amp;$BD421&amp;"")="","","SUBARRENDADO"),IFERROR(IF(VLOOKUP($D421,VEHICULOS!$A$3:$H$202,7,FALSE)="","",VLOOKUP($D421,VEHICULOS!$A$3:$H$202,7,FALSE)),"")))</f>
      </c>
      <c r="BF421" s="82">
        <f>IF($A421="","",IF(TRIM($BC421&amp;"")&lt;&gt;"",$BC421,IF(TRIM($D421&amp;"")="","",IFERROR(IF(VLOOKUP($D421,VEHICULOS!$A$3:$H$202,8,FALSE)="","",VLOOKUP($D421,VEHICULOS!$A$3:$H$202,8,FALSE)),""))))</f>
      </c>
      <c r="BG421" s="106"/>
      <c r="BH421" s="107"/>
      <c r="BI421" s="86">
        <f t="shared" si="90"/>
      </c>
      <c r="BJ421" s="83">
        <f t="shared" si="91"/>
      </c>
      <c r="BK421" s="85">
        <f t="shared" si="92"/>
      </c>
      <c r="BL421" s="85">
        <f t="shared" si="93"/>
      </c>
      <c r="BM421" s="108"/>
      <c r="BN421" s="85">
        <f t="shared" si="94"/>
      </c>
      <c r="BO421" s="108"/>
      <c r="BP421" s="85">
        <f t="shared" si="95"/>
      </c>
      <c r="BQ421" s="85">
        <f t="shared" si="96"/>
      </c>
      <c r="BR421" s="108"/>
      <c r="BS421" s="104"/>
      <c r="BT421" s="87">
        <f t="shared" si="97"/>
      </c>
      <c r="BU421" s="85">
        <f t="shared" si="98"/>
      </c>
      <c r="BV421" s="85">
        <f t="shared" si="99"/>
      </c>
      <c r="BW421" s="87">
        <f t="shared" si="100"/>
      </c>
      <c r="BX421" s="104"/>
      <c r="BY421" s="106"/>
      <c r="BZ421" s="104"/>
      <c r="CA421" s="105"/>
      <c r="CB421" s="77">
        <f>IF($A421="",0,IF($B421='FICHA CLIENTE'!$C$4,1,0))</f>
      </c>
      <c r="CC421" s="77">
        <f t="shared" si="101"/>
      </c>
      <c r="CD421" s="77">
        <f>IF($A421="",0,IF($D421='FICHA VEHICULO'!$C$4,1,0))</f>
      </c>
      <c r="CE421" s="77">
        <f t="shared" si="102"/>
      </c>
      <c r="CF421" s="77">
        <f t="shared" si="103"/>
      </c>
      <c r="CG421" s="77">
        <f t="shared" si="104"/>
      </c>
    </row>
    <row r="422" spans="1:85" ht="19.5" customHeight="1" x14ac:dyDescent="0.2">
      <c r="A422" s="104"/>
      <c r="B422" s="104"/>
      <c r="C422" s="105"/>
      <c r="D422" s="104"/>
      <c r="E422" s="105"/>
      <c r="F422" s="106"/>
      <c r="G422" s="104"/>
      <c r="H422" s="106"/>
      <c r="I422" s="107"/>
      <c r="J422" s="108"/>
      <c r="K422" s="108"/>
      <c r="L422" s="108"/>
      <c r="M422" s="105"/>
      <c r="N422" s="105"/>
      <c r="O422" s="105"/>
      <c r="P422" s="108"/>
      <c r="Q422" s="105"/>
      <c r="R422" s="105"/>
      <c r="S422" s="105"/>
      <c r="T422" s="105"/>
      <c r="U422" s="108"/>
      <c r="V422" s="105"/>
      <c r="W422" s="105"/>
      <c r="X422" s="105"/>
      <c r="Y422" s="105"/>
      <c r="Z422" s="105"/>
      <c r="AA422" s="108"/>
      <c r="AB422" s="108"/>
      <c r="AC422" s="105"/>
      <c r="AD422" s="279"/>
      <c r="AE422" s="105"/>
      <c r="AF422" s="279"/>
      <c r="AG422" s="105"/>
      <c r="AH422" s="108"/>
      <c r="AI422" s="108"/>
      <c r="AJ422" s="108"/>
      <c r="AK422" s="108"/>
      <c r="AL422" s="105"/>
      <c r="AM422" s="108"/>
      <c r="AN422" s="105"/>
      <c r="AO422" s="108"/>
      <c r="AP422" s="108"/>
      <c r="AQ422" s="105"/>
      <c r="AR422" s="108"/>
      <c r="AS422" s="108"/>
      <c r="AT422" s="105"/>
      <c r="AU422" s="105"/>
      <c r="AV422" s="105"/>
      <c r="AW422" s="105"/>
      <c r="AX422" s="105"/>
      <c r="AY422" s="105"/>
      <c r="AZ422" s="105"/>
      <c r="BA422" s="105"/>
      <c r="BB422" s="105"/>
      <c r="BC422" s="105"/>
      <c r="BD422" s="108"/>
      <c r="BE422" s="83">
        <f>IF($A422="","",IF(TRIM($D422&amp;"")="",IF(TRIM($AX422&amp;$AY422&amp;$AZ422&amp;$BA422&amp;$BB422&amp;$BC422&amp;$BD422&amp;"")="","","SUBARRENDADO"),IFERROR(IF(VLOOKUP($D422,VEHICULOS!$A$3:$H$202,7,FALSE)="","",VLOOKUP($D422,VEHICULOS!$A$3:$H$202,7,FALSE)),"")))</f>
      </c>
      <c r="BF422" s="82">
        <f>IF($A422="","",IF(TRIM($BC422&amp;"")&lt;&gt;"",$BC422,IF(TRIM($D422&amp;"")="","",IFERROR(IF(VLOOKUP($D422,VEHICULOS!$A$3:$H$202,8,FALSE)="","",VLOOKUP($D422,VEHICULOS!$A$3:$H$202,8,FALSE)),""))))</f>
      </c>
      <c r="BG422" s="106"/>
      <c r="BH422" s="107"/>
      <c r="BI422" s="86">
        <f t="shared" si="90"/>
      </c>
      <c r="BJ422" s="83">
        <f t="shared" si="91"/>
      </c>
      <c r="BK422" s="85">
        <f t="shared" si="92"/>
      </c>
      <c r="BL422" s="85">
        <f t="shared" si="93"/>
      </c>
      <c r="BM422" s="108"/>
      <c r="BN422" s="85">
        <f t="shared" si="94"/>
      </c>
      <c r="BO422" s="108"/>
      <c r="BP422" s="85">
        <f t="shared" si="95"/>
      </c>
      <c r="BQ422" s="85">
        <f t="shared" si="96"/>
      </c>
      <c r="BR422" s="108"/>
      <c r="BS422" s="104"/>
      <c r="BT422" s="87">
        <f t="shared" si="97"/>
      </c>
      <c r="BU422" s="85">
        <f t="shared" si="98"/>
      </c>
      <c r="BV422" s="85">
        <f t="shared" si="99"/>
      </c>
      <c r="BW422" s="87">
        <f t="shared" si="100"/>
      </c>
      <c r="BX422" s="104"/>
      <c r="BY422" s="106"/>
      <c r="BZ422" s="104"/>
      <c r="CA422" s="105"/>
      <c r="CB422" s="77">
        <f>IF($A422="",0,IF($B422='FICHA CLIENTE'!$C$4,1,0))</f>
      </c>
      <c r="CC422" s="77">
        <f t="shared" si="101"/>
      </c>
      <c r="CD422" s="77">
        <f>IF($A422="",0,IF($D422='FICHA VEHICULO'!$C$4,1,0))</f>
      </c>
      <c r="CE422" s="77">
        <f t="shared" si="102"/>
      </c>
      <c r="CF422" s="77">
        <f t="shared" si="103"/>
      </c>
      <c r="CG422" s="77">
        <f t="shared" si="104"/>
      </c>
    </row>
    <row r="423" spans="1:85" ht="19.5" customHeight="1" x14ac:dyDescent="0.2">
      <c r="A423" s="104"/>
      <c r="B423" s="104"/>
      <c r="C423" s="105"/>
      <c r="D423" s="104"/>
      <c r="E423" s="105"/>
      <c r="F423" s="106"/>
      <c r="G423" s="104"/>
      <c r="H423" s="106"/>
      <c r="I423" s="107"/>
      <c r="J423" s="108"/>
      <c r="K423" s="108"/>
      <c r="L423" s="108"/>
      <c r="M423" s="105"/>
      <c r="N423" s="105"/>
      <c r="O423" s="105"/>
      <c r="P423" s="108"/>
      <c r="Q423" s="105"/>
      <c r="R423" s="105"/>
      <c r="S423" s="105"/>
      <c r="T423" s="105"/>
      <c r="U423" s="108"/>
      <c r="V423" s="105"/>
      <c r="W423" s="105"/>
      <c r="X423" s="105"/>
      <c r="Y423" s="105"/>
      <c r="Z423" s="105"/>
      <c r="AA423" s="108"/>
      <c r="AB423" s="108"/>
      <c r="AC423" s="105"/>
      <c r="AD423" s="279"/>
      <c r="AE423" s="105"/>
      <c r="AF423" s="279"/>
      <c r="AG423" s="105"/>
      <c r="AH423" s="108"/>
      <c r="AI423" s="108"/>
      <c r="AJ423" s="108"/>
      <c r="AK423" s="108"/>
      <c r="AL423" s="105"/>
      <c r="AM423" s="108"/>
      <c r="AN423" s="105"/>
      <c r="AO423" s="108"/>
      <c r="AP423" s="108"/>
      <c r="AQ423" s="105"/>
      <c r="AR423" s="108"/>
      <c r="AS423" s="108"/>
      <c r="AT423" s="105"/>
      <c r="AU423" s="105"/>
      <c r="AV423" s="105"/>
      <c r="AW423" s="105"/>
      <c r="AX423" s="105"/>
      <c r="AY423" s="105"/>
      <c r="AZ423" s="105"/>
      <c r="BA423" s="105"/>
      <c r="BB423" s="105"/>
      <c r="BC423" s="105"/>
      <c r="BD423" s="108"/>
      <c r="BE423" s="83">
        <f>IF($A423="","",IF(TRIM($D423&amp;"")="",IF(TRIM($AX423&amp;$AY423&amp;$AZ423&amp;$BA423&amp;$BB423&amp;$BC423&amp;$BD423&amp;"")="","","SUBARRENDADO"),IFERROR(IF(VLOOKUP($D423,VEHICULOS!$A$3:$H$202,7,FALSE)="","",VLOOKUP($D423,VEHICULOS!$A$3:$H$202,7,FALSE)),"")))</f>
      </c>
      <c r="BF423" s="82">
        <f>IF($A423="","",IF(TRIM($BC423&amp;"")&lt;&gt;"",$BC423,IF(TRIM($D423&amp;"")="","",IFERROR(IF(VLOOKUP($D423,VEHICULOS!$A$3:$H$202,8,FALSE)="","",VLOOKUP($D423,VEHICULOS!$A$3:$H$202,8,FALSE)),""))))</f>
      </c>
      <c r="BG423" s="106"/>
      <c r="BH423" s="107"/>
      <c r="BI423" s="86">
        <f t="shared" si="90"/>
      </c>
      <c r="BJ423" s="83">
        <f t="shared" si="91"/>
      </c>
      <c r="BK423" s="85">
        <f t="shared" si="92"/>
      </c>
      <c r="BL423" s="85">
        <f t="shared" si="93"/>
      </c>
      <c r="BM423" s="108"/>
      <c r="BN423" s="85">
        <f t="shared" si="94"/>
      </c>
      <c r="BO423" s="108"/>
      <c r="BP423" s="85">
        <f t="shared" si="95"/>
      </c>
      <c r="BQ423" s="85">
        <f t="shared" si="96"/>
      </c>
      <c r="BR423" s="108"/>
      <c r="BS423" s="104"/>
      <c r="BT423" s="87">
        <f t="shared" si="97"/>
      </c>
      <c r="BU423" s="85">
        <f t="shared" si="98"/>
      </c>
      <c r="BV423" s="85">
        <f t="shared" si="99"/>
      </c>
      <c r="BW423" s="87">
        <f t="shared" si="100"/>
      </c>
      <c r="BX423" s="104"/>
      <c r="BY423" s="106"/>
      <c r="BZ423" s="104"/>
      <c r="CA423" s="105"/>
      <c r="CB423" s="77">
        <f>IF($A423="",0,IF($B423='FICHA CLIENTE'!$C$4,1,0))</f>
      </c>
      <c r="CC423" s="77">
        <f t="shared" si="101"/>
      </c>
      <c r="CD423" s="77">
        <f>IF($A423="",0,IF($D423='FICHA VEHICULO'!$C$4,1,0))</f>
      </c>
      <c r="CE423" s="77">
        <f t="shared" si="102"/>
      </c>
      <c r="CF423" s="77">
        <f t="shared" si="103"/>
      </c>
      <c r="CG423" s="77">
        <f t="shared" si="104"/>
      </c>
    </row>
    <row r="424" spans="1:85" ht="19.5" customHeight="1" x14ac:dyDescent="0.2">
      <c r="A424" s="104"/>
      <c r="B424" s="104"/>
      <c r="C424" s="105"/>
      <c r="D424" s="104"/>
      <c r="E424" s="105"/>
      <c r="F424" s="106"/>
      <c r="G424" s="104"/>
      <c r="H424" s="106"/>
      <c r="I424" s="107"/>
      <c r="J424" s="108"/>
      <c r="K424" s="108"/>
      <c r="L424" s="108"/>
      <c r="M424" s="105"/>
      <c r="N424" s="105"/>
      <c r="O424" s="105"/>
      <c r="P424" s="108"/>
      <c r="Q424" s="105"/>
      <c r="R424" s="105"/>
      <c r="S424" s="105"/>
      <c r="T424" s="105"/>
      <c r="U424" s="108"/>
      <c r="V424" s="105"/>
      <c r="W424" s="105"/>
      <c r="X424" s="105"/>
      <c r="Y424" s="105"/>
      <c r="Z424" s="105"/>
      <c r="AA424" s="108"/>
      <c r="AB424" s="108"/>
      <c r="AC424" s="105"/>
      <c r="AD424" s="279"/>
      <c r="AE424" s="105"/>
      <c r="AF424" s="279"/>
      <c r="AG424" s="105"/>
      <c r="AH424" s="108"/>
      <c r="AI424" s="108"/>
      <c r="AJ424" s="108"/>
      <c r="AK424" s="108"/>
      <c r="AL424" s="105"/>
      <c r="AM424" s="108"/>
      <c r="AN424" s="105"/>
      <c r="AO424" s="108"/>
      <c r="AP424" s="108"/>
      <c r="AQ424" s="105"/>
      <c r="AR424" s="108"/>
      <c r="AS424" s="108"/>
      <c r="AT424" s="105"/>
      <c r="AU424" s="105"/>
      <c r="AV424" s="105"/>
      <c r="AW424" s="105"/>
      <c r="AX424" s="105"/>
      <c r="AY424" s="105"/>
      <c r="AZ424" s="105"/>
      <c r="BA424" s="105"/>
      <c r="BB424" s="105"/>
      <c r="BC424" s="105"/>
      <c r="BD424" s="108"/>
      <c r="BE424" s="83">
        <f>IF($A424="","",IF(TRIM($D424&amp;"")="",IF(TRIM($AX424&amp;$AY424&amp;$AZ424&amp;$BA424&amp;$BB424&amp;$BC424&amp;$BD424&amp;"")="","","SUBARRENDADO"),IFERROR(IF(VLOOKUP($D424,VEHICULOS!$A$3:$H$202,7,FALSE)="","",VLOOKUP($D424,VEHICULOS!$A$3:$H$202,7,FALSE)),"")))</f>
      </c>
      <c r="BF424" s="82">
        <f>IF($A424="","",IF(TRIM($BC424&amp;"")&lt;&gt;"",$BC424,IF(TRIM($D424&amp;"")="","",IFERROR(IF(VLOOKUP($D424,VEHICULOS!$A$3:$H$202,8,FALSE)="","",VLOOKUP($D424,VEHICULOS!$A$3:$H$202,8,FALSE)),""))))</f>
      </c>
      <c r="BG424" s="106"/>
      <c r="BH424" s="107"/>
      <c r="BI424" s="86">
        <f t="shared" si="90"/>
      </c>
      <c r="BJ424" s="83">
        <f t="shared" si="91"/>
      </c>
      <c r="BK424" s="85">
        <f t="shared" si="92"/>
      </c>
      <c r="BL424" s="85">
        <f t="shared" si="93"/>
      </c>
      <c r="BM424" s="108"/>
      <c r="BN424" s="85">
        <f t="shared" si="94"/>
      </c>
      <c r="BO424" s="108"/>
      <c r="BP424" s="85">
        <f t="shared" si="95"/>
      </c>
      <c r="BQ424" s="85">
        <f t="shared" si="96"/>
      </c>
      <c r="BR424" s="108"/>
      <c r="BS424" s="104"/>
      <c r="BT424" s="87">
        <f t="shared" si="97"/>
      </c>
      <c r="BU424" s="85">
        <f t="shared" si="98"/>
      </c>
      <c r="BV424" s="85">
        <f t="shared" si="99"/>
      </c>
      <c r="BW424" s="87">
        <f t="shared" si="100"/>
      </c>
      <c r="BX424" s="104"/>
      <c r="BY424" s="106"/>
      <c r="BZ424" s="104"/>
      <c r="CA424" s="105"/>
      <c r="CB424" s="77">
        <f>IF($A424="",0,IF($B424='FICHA CLIENTE'!$C$4,1,0))</f>
      </c>
      <c r="CC424" s="77">
        <f t="shared" si="101"/>
      </c>
      <c r="CD424" s="77">
        <f>IF($A424="",0,IF($D424='FICHA VEHICULO'!$C$4,1,0))</f>
      </c>
      <c r="CE424" s="77">
        <f t="shared" si="102"/>
      </c>
      <c r="CF424" s="77">
        <f t="shared" si="103"/>
      </c>
      <c r="CG424" s="77">
        <f t="shared" si="104"/>
      </c>
    </row>
    <row r="425" spans="1:85" ht="19.5" customHeight="1" x14ac:dyDescent="0.2">
      <c r="A425" s="104"/>
      <c r="B425" s="104"/>
      <c r="C425" s="105"/>
      <c r="D425" s="104"/>
      <c r="E425" s="105"/>
      <c r="F425" s="106"/>
      <c r="G425" s="104"/>
      <c r="H425" s="106"/>
      <c r="I425" s="107"/>
      <c r="J425" s="108"/>
      <c r="K425" s="108"/>
      <c r="L425" s="108"/>
      <c r="M425" s="105"/>
      <c r="N425" s="105"/>
      <c r="O425" s="105"/>
      <c r="P425" s="108"/>
      <c r="Q425" s="105"/>
      <c r="R425" s="105"/>
      <c r="S425" s="105"/>
      <c r="T425" s="105"/>
      <c r="U425" s="108"/>
      <c r="V425" s="105"/>
      <c r="W425" s="105"/>
      <c r="X425" s="105"/>
      <c r="Y425" s="105"/>
      <c r="Z425" s="105"/>
      <c r="AA425" s="108"/>
      <c r="AB425" s="108"/>
      <c r="AC425" s="105"/>
      <c r="AD425" s="279"/>
      <c r="AE425" s="105"/>
      <c r="AF425" s="279"/>
      <c r="AG425" s="105"/>
      <c r="AH425" s="108"/>
      <c r="AI425" s="108"/>
      <c r="AJ425" s="108"/>
      <c r="AK425" s="108"/>
      <c r="AL425" s="105"/>
      <c r="AM425" s="108"/>
      <c r="AN425" s="105"/>
      <c r="AO425" s="108"/>
      <c r="AP425" s="108"/>
      <c r="AQ425" s="105"/>
      <c r="AR425" s="108"/>
      <c r="AS425" s="108"/>
      <c r="AT425" s="105"/>
      <c r="AU425" s="105"/>
      <c r="AV425" s="105"/>
      <c r="AW425" s="105"/>
      <c r="AX425" s="105"/>
      <c r="AY425" s="105"/>
      <c r="AZ425" s="105"/>
      <c r="BA425" s="105"/>
      <c r="BB425" s="105"/>
      <c r="BC425" s="105"/>
      <c r="BD425" s="108"/>
      <c r="BE425" s="83">
        <f>IF($A425="","",IF(TRIM($D425&amp;"")="",IF(TRIM($AX425&amp;$AY425&amp;$AZ425&amp;$BA425&amp;$BB425&amp;$BC425&amp;$BD425&amp;"")="","","SUBARRENDADO"),IFERROR(IF(VLOOKUP($D425,VEHICULOS!$A$3:$H$202,7,FALSE)="","",VLOOKUP($D425,VEHICULOS!$A$3:$H$202,7,FALSE)),"")))</f>
      </c>
      <c r="BF425" s="82">
        <f>IF($A425="","",IF(TRIM($BC425&amp;"")&lt;&gt;"",$BC425,IF(TRIM($D425&amp;"")="","",IFERROR(IF(VLOOKUP($D425,VEHICULOS!$A$3:$H$202,8,FALSE)="","",VLOOKUP($D425,VEHICULOS!$A$3:$H$202,8,FALSE)),""))))</f>
      </c>
      <c r="BG425" s="106"/>
      <c r="BH425" s="107"/>
      <c r="BI425" s="86">
        <f t="shared" si="90"/>
      </c>
      <c r="BJ425" s="83">
        <f t="shared" si="91"/>
      </c>
      <c r="BK425" s="85">
        <f t="shared" si="92"/>
      </c>
      <c r="BL425" s="85">
        <f t="shared" si="93"/>
      </c>
      <c r="BM425" s="108"/>
      <c r="BN425" s="85">
        <f t="shared" si="94"/>
      </c>
      <c r="BO425" s="108"/>
      <c r="BP425" s="85">
        <f t="shared" si="95"/>
      </c>
      <c r="BQ425" s="85">
        <f t="shared" si="96"/>
      </c>
      <c r="BR425" s="108"/>
      <c r="BS425" s="104"/>
      <c r="BT425" s="87">
        <f t="shared" si="97"/>
      </c>
      <c r="BU425" s="85">
        <f t="shared" si="98"/>
      </c>
      <c r="BV425" s="85">
        <f t="shared" si="99"/>
      </c>
      <c r="BW425" s="87">
        <f t="shared" si="100"/>
      </c>
      <c r="BX425" s="104"/>
      <c r="BY425" s="106"/>
      <c r="BZ425" s="104"/>
      <c r="CA425" s="105"/>
      <c r="CB425" s="77">
        <f>IF($A425="",0,IF($B425='FICHA CLIENTE'!$C$4,1,0))</f>
      </c>
      <c r="CC425" s="77">
        <f t="shared" si="101"/>
      </c>
      <c r="CD425" s="77">
        <f>IF($A425="",0,IF($D425='FICHA VEHICULO'!$C$4,1,0))</f>
      </c>
      <c r="CE425" s="77">
        <f t="shared" si="102"/>
      </c>
      <c r="CF425" s="77">
        <f t="shared" si="103"/>
      </c>
      <c r="CG425" s="77">
        <f t="shared" si="104"/>
      </c>
    </row>
    <row r="426" spans="1:85" ht="19.5" customHeight="1" x14ac:dyDescent="0.2">
      <c r="A426" s="104"/>
      <c r="B426" s="104"/>
      <c r="C426" s="105"/>
      <c r="D426" s="104"/>
      <c r="E426" s="105"/>
      <c r="F426" s="106"/>
      <c r="G426" s="104"/>
      <c r="H426" s="106"/>
      <c r="I426" s="107"/>
      <c r="J426" s="108"/>
      <c r="K426" s="108"/>
      <c r="L426" s="108"/>
      <c r="M426" s="105"/>
      <c r="N426" s="105"/>
      <c r="O426" s="105"/>
      <c r="P426" s="108"/>
      <c r="Q426" s="105"/>
      <c r="R426" s="105"/>
      <c r="S426" s="105"/>
      <c r="T426" s="105"/>
      <c r="U426" s="108"/>
      <c r="V426" s="105"/>
      <c r="W426" s="105"/>
      <c r="X426" s="105"/>
      <c r="Y426" s="105"/>
      <c r="Z426" s="105"/>
      <c r="AA426" s="108"/>
      <c r="AB426" s="108"/>
      <c r="AC426" s="105"/>
      <c r="AD426" s="279"/>
      <c r="AE426" s="105"/>
      <c r="AF426" s="279"/>
      <c r="AG426" s="105"/>
      <c r="AH426" s="108"/>
      <c r="AI426" s="108"/>
      <c r="AJ426" s="108"/>
      <c r="AK426" s="108"/>
      <c r="AL426" s="105"/>
      <c r="AM426" s="108"/>
      <c r="AN426" s="105"/>
      <c r="AO426" s="108"/>
      <c r="AP426" s="108"/>
      <c r="AQ426" s="105"/>
      <c r="AR426" s="108"/>
      <c r="AS426" s="108"/>
      <c r="AT426" s="105"/>
      <c r="AU426" s="105"/>
      <c r="AV426" s="105"/>
      <c r="AW426" s="105"/>
      <c r="AX426" s="105"/>
      <c r="AY426" s="105"/>
      <c r="AZ426" s="105"/>
      <c r="BA426" s="105"/>
      <c r="BB426" s="105"/>
      <c r="BC426" s="105"/>
      <c r="BD426" s="108"/>
      <c r="BE426" s="83">
        <f>IF($A426="","",IF(TRIM($D426&amp;"")="",IF(TRIM($AX426&amp;$AY426&amp;$AZ426&amp;$BA426&amp;$BB426&amp;$BC426&amp;$BD426&amp;"")="","","SUBARRENDADO"),IFERROR(IF(VLOOKUP($D426,VEHICULOS!$A$3:$H$202,7,FALSE)="","",VLOOKUP($D426,VEHICULOS!$A$3:$H$202,7,FALSE)),"")))</f>
      </c>
      <c r="BF426" s="82">
        <f>IF($A426="","",IF(TRIM($BC426&amp;"")&lt;&gt;"",$BC426,IF(TRIM($D426&amp;"")="","",IFERROR(IF(VLOOKUP($D426,VEHICULOS!$A$3:$H$202,8,FALSE)="","",VLOOKUP($D426,VEHICULOS!$A$3:$H$202,8,FALSE)),""))))</f>
      </c>
      <c r="BG426" s="106"/>
      <c r="BH426" s="107"/>
      <c r="BI426" s="86">
        <f t="shared" si="90"/>
      </c>
      <c r="BJ426" s="83">
        <f t="shared" si="91"/>
      </c>
      <c r="BK426" s="85">
        <f t="shared" si="92"/>
      </c>
      <c r="BL426" s="85">
        <f t="shared" si="93"/>
      </c>
      <c r="BM426" s="108"/>
      <c r="BN426" s="85">
        <f t="shared" si="94"/>
      </c>
      <c r="BO426" s="108"/>
      <c r="BP426" s="85">
        <f t="shared" si="95"/>
      </c>
      <c r="BQ426" s="85">
        <f t="shared" si="96"/>
      </c>
      <c r="BR426" s="108"/>
      <c r="BS426" s="104"/>
      <c r="BT426" s="87">
        <f t="shared" si="97"/>
      </c>
      <c r="BU426" s="85">
        <f t="shared" si="98"/>
      </c>
      <c r="BV426" s="85">
        <f t="shared" si="99"/>
      </c>
      <c r="BW426" s="87">
        <f t="shared" si="100"/>
      </c>
      <c r="BX426" s="104"/>
      <c r="BY426" s="106"/>
      <c r="BZ426" s="104"/>
      <c r="CA426" s="105"/>
      <c r="CB426" s="77">
        <f>IF($A426="",0,IF($B426='FICHA CLIENTE'!$C$4,1,0))</f>
      </c>
      <c r="CC426" s="77">
        <f t="shared" si="101"/>
      </c>
      <c r="CD426" s="77">
        <f>IF($A426="",0,IF($D426='FICHA VEHICULO'!$C$4,1,0))</f>
      </c>
      <c r="CE426" s="77">
        <f t="shared" si="102"/>
      </c>
      <c r="CF426" s="77">
        <f t="shared" si="103"/>
      </c>
      <c r="CG426" s="77">
        <f t="shared" si="104"/>
      </c>
    </row>
    <row r="427" spans="1:85" ht="19.5" customHeight="1" x14ac:dyDescent="0.2">
      <c r="A427" s="104"/>
      <c r="B427" s="104"/>
      <c r="C427" s="105"/>
      <c r="D427" s="104"/>
      <c r="E427" s="105"/>
      <c r="F427" s="106"/>
      <c r="G427" s="104"/>
      <c r="H427" s="106"/>
      <c r="I427" s="107"/>
      <c r="J427" s="108"/>
      <c r="K427" s="108"/>
      <c r="L427" s="108"/>
      <c r="M427" s="105"/>
      <c r="N427" s="105"/>
      <c r="O427" s="105"/>
      <c r="P427" s="108"/>
      <c r="Q427" s="105"/>
      <c r="R427" s="105"/>
      <c r="S427" s="105"/>
      <c r="T427" s="105"/>
      <c r="U427" s="108"/>
      <c r="V427" s="105"/>
      <c r="W427" s="105"/>
      <c r="X427" s="105"/>
      <c r="Y427" s="105"/>
      <c r="Z427" s="105"/>
      <c r="AA427" s="108"/>
      <c r="AB427" s="108"/>
      <c r="AC427" s="105"/>
      <c r="AD427" s="279"/>
      <c r="AE427" s="105"/>
      <c r="AF427" s="279"/>
      <c r="AG427" s="105"/>
      <c r="AH427" s="108"/>
      <c r="AI427" s="108"/>
      <c r="AJ427" s="108"/>
      <c r="AK427" s="108"/>
      <c r="AL427" s="105"/>
      <c r="AM427" s="108"/>
      <c r="AN427" s="105"/>
      <c r="AO427" s="108"/>
      <c r="AP427" s="108"/>
      <c r="AQ427" s="105"/>
      <c r="AR427" s="108"/>
      <c r="AS427" s="108"/>
      <c r="AT427" s="105"/>
      <c r="AU427" s="105"/>
      <c r="AV427" s="105"/>
      <c r="AW427" s="105"/>
      <c r="AX427" s="105"/>
      <c r="AY427" s="105"/>
      <c r="AZ427" s="105"/>
      <c r="BA427" s="105"/>
      <c r="BB427" s="105"/>
      <c r="BC427" s="105"/>
      <c r="BD427" s="108"/>
      <c r="BE427" s="83">
        <f>IF($A427="","",IF(TRIM($D427&amp;"")="",IF(TRIM($AX427&amp;$AY427&amp;$AZ427&amp;$BA427&amp;$BB427&amp;$BC427&amp;$BD427&amp;"")="","","SUBARRENDADO"),IFERROR(IF(VLOOKUP($D427,VEHICULOS!$A$3:$H$202,7,FALSE)="","",VLOOKUP($D427,VEHICULOS!$A$3:$H$202,7,FALSE)),"")))</f>
      </c>
      <c r="BF427" s="82">
        <f>IF($A427="","",IF(TRIM($BC427&amp;"")&lt;&gt;"",$BC427,IF(TRIM($D427&amp;"")="","",IFERROR(IF(VLOOKUP($D427,VEHICULOS!$A$3:$H$202,8,FALSE)="","",VLOOKUP($D427,VEHICULOS!$A$3:$H$202,8,FALSE)),""))))</f>
      </c>
      <c r="BG427" s="106"/>
      <c r="BH427" s="107"/>
      <c r="BI427" s="86">
        <f t="shared" si="90"/>
      </c>
      <c r="BJ427" s="83">
        <f t="shared" si="91"/>
      </c>
      <c r="BK427" s="85">
        <f t="shared" si="92"/>
      </c>
      <c r="BL427" s="85">
        <f t="shared" si="93"/>
      </c>
      <c r="BM427" s="108"/>
      <c r="BN427" s="85">
        <f t="shared" si="94"/>
      </c>
      <c r="BO427" s="108"/>
      <c r="BP427" s="85">
        <f t="shared" si="95"/>
      </c>
      <c r="BQ427" s="85">
        <f t="shared" si="96"/>
      </c>
      <c r="BR427" s="108"/>
      <c r="BS427" s="104"/>
      <c r="BT427" s="87">
        <f t="shared" si="97"/>
      </c>
      <c r="BU427" s="85">
        <f t="shared" si="98"/>
      </c>
      <c r="BV427" s="85">
        <f t="shared" si="99"/>
      </c>
      <c r="BW427" s="87">
        <f t="shared" si="100"/>
      </c>
      <c r="BX427" s="104"/>
      <c r="BY427" s="106"/>
      <c r="BZ427" s="104"/>
      <c r="CA427" s="105"/>
      <c r="CB427" s="77">
        <f>IF($A427="",0,IF($B427='FICHA CLIENTE'!$C$4,1,0))</f>
      </c>
      <c r="CC427" s="77">
        <f t="shared" si="101"/>
      </c>
      <c r="CD427" s="77">
        <f>IF($A427="",0,IF($D427='FICHA VEHICULO'!$C$4,1,0))</f>
      </c>
      <c r="CE427" s="77">
        <f t="shared" si="102"/>
      </c>
      <c r="CF427" s="77">
        <f t="shared" si="103"/>
      </c>
      <c r="CG427" s="77">
        <f t="shared" si="104"/>
      </c>
    </row>
    <row r="428" spans="1:85" ht="19.5" customHeight="1" x14ac:dyDescent="0.2">
      <c r="A428" s="104"/>
      <c r="B428" s="104"/>
      <c r="C428" s="105"/>
      <c r="D428" s="104"/>
      <c r="E428" s="105"/>
      <c r="F428" s="106"/>
      <c r="G428" s="104"/>
      <c r="H428" s="106"/>
      <c r="I428" s="107"/>
      <c r="J428" s="108"/>
      <c r="K428" s="108"/>
      <c r="L428" s="108"/>
      <c r="M428" s="105"/>
      <c r="N428" s="105"/>
      <c r="O428" s="105"/>
      <c r="P428" s="108"/>
      <c r="Q428" s="105"/>
      <c r="R428" s="105"/>
      <c r="S428" s="105"/>
      <c r="T428" s="105"/>
      <c r="U428" s="108"/>
      <c r="V428" s="105"/>
      <c r="W428" s="105"/>
      <c r="X428" s="105"/>
      <c r="Y428" s="105"/>
      <c r="Z428" s="105"/>
      <c r="AA428" s="108"/>
      <c r="AB428" s="108"/>
      <c r="AC428" s="105"/>
      <c r="AD428" s="279"/>
      <c r="AE428" s="105"/>
      <c r="AF428" s="279"/>
      <c r="AG428" s="105"/>
      <c r="AH428" s="108"/>
      <c r="AI428" s="108"/>
      <c r="AJ428" s="108"/>
      <c r="AK428" s="108"/>
      <c r="AL428" s="105"/>
      <c r="AM428" s="108"/>
      <c r="AN428" s="105"/>
      <c r="AO428" s="108"/>
      <c r="AP428" s="108"/>
      <c r="AQ428" s="105"/>
      <c r="AR428" s="108"/>
      <c r="AS428" s="108"/>
      <c r="AT428" s="105"/>
      <c r="AU428" s="105"/>
      <c r="AV428" s="105"/>
      <c r="AW428" s="105"/>
      <c r="AX428" s="105"/>
      <c r="AY428" s="105"/>
      <c r="AZ428" s="105"/>
      <c r="BA428" s="105"/>
      <c r="BB428" s="105"/>
      <c r="BC428" s="105"/>
      <c r="BD428" s="108"/>
      <c r="BE428" s="83">
        <f>IF($A428="","",IF(TRIM($D428&amp;"")="",IF(TRIM($AX428&amp;$AY428&amp;$AZ428&amp;$BA428&amp;$BB428&amp;$BC428&amp;$BD428&amp;"")="","","SUBARRENDADO"),IFERROR(IF(VLOOKUP($D428,VEHICULOS!$A$3:$H$202,7,FALSE)="","",VLOOKUP($D428,VEHICULOS!$A$3:$H$202,7,FALSE)),"")))</f>
      </c>
      <c r="BF428" s="82">
        <f>IF($A428="","",IF(TRIM($BC428&amp;"")&lt;&gt;"",$BC428,IF(TRIM($D428&amp;"")="","",IFERROR(IF(VLOOKUP($D428,VEHICULOS!$A$3:$H$202,8,FALSE)="","",VLOOKUP($D428,VEHICULOS!$A$3:$H$202,8,FALSE)),""))))</f>
      </c>
      <c r="BG428" s="106"/>
      <c r="BH428" s="107"/>
      <c r="BI428" s="86">
        <f t="shared" si="90"/>
      </c>
      <c r="BJ428" s="83">
        <f t="shared" si="91"/>
      </c>
      <c r="BK428" s="85">
        <f t="shared" si="92"/>
      </c>
      <c r="BL428" s="85">
        <f t="shared" si="93"/>
      </c>
      <c r="BM428" s="108"/>
      <c r="BN428" s="85">
        <f t="shared" si="94"/>
      </c>
      <c r="BO428" s="108"/>
      <c r="BP428" s="85">
        <f t="shared" si="95"/>
      </c>
      <c r="BQ428" s="85">
        <f t="shared" si="96"/>
      </c>
      <c r="BR428" s="108"/>
      <c r="BS428" s="104"/>
      <c r="BT428" s="87">
        <f t="shared" si="97"/>
      </c>
      <c r="BU428" s="85">
        <f t="shared" si="98"/>
      </c>
      <c r="BV428" s="85">
        <f t="shared" si="99"/>
      </c>
      <c r="BW428" s="87">
        <f t="shared" si="100"/>
      </c>
      <c r="BX428" s="104"/>
      <c r="BY428" s="106"/>
      <c r="BZ428" s="104"/>
      <c r="CA428" s="105"/>
      <c r="CB428" s="77">
        <f>IF($A428="",0,IF($B428='FICHA CLIENTE'!$C$4,1,0))</f>
      </c>
      <c r="CC428" s="77">
        <f t="shared" si="101"/>
      </c>
      <c r="CD428" s="77">
        <f>IF($A428="",0,IF($D428='FICHA VEHICULO'!$C$4,1,0))</f>
      </c>
      <c r="CE428" s="77">
        <f t="shared" si="102"/>
      </c>
      <c r="CF428" s="77">
        <f t="shared" si="103"/>
      </c>
      <c r="CG428" s="77">
        <f t="shared" si="104"/>
      </c>
    </row>
    <row r="429" spans="1:85" ht="19.5" customHeight="1" x14ac:dyDescent="0.2">
      <c r="A429" s="104"/>
      <c r="B429" s="104"/>
      <c r="C429" s="105"/>
      <c r="D429" s="104"/>
      <c r="E429" s="105"/>
      <c r="F429" s="106"/>
      <c r="G429" s="104"/>
      <c r="H429" s="106"/>
      <c r="I429" s="107"/>
      <c r="J429" s="108"/>
      <c r="K429" s="108"/>
      <c r="L429" s="108"/>
      <c r="M429" s="105"/>
      <c r="N429" s="105"/>
      <c r="O429" s="105"/>
      <c r="P429" s="108"/>
      <c r="Q429" s="105"/>
      <c r="R429" s="105"/>
      <c r="S429" s="105"/>
      <c r="T429" s="105"/>
      <c r="U429" s="108"/>
      <c r="V429" s="105"/>
      <c r="W429" s="105"/>
      <c r="X429" s="105"/>
      <c r="Y429" s="105"/>
      <c r="Z429" s="105"/>
      <c r="AA429" s="108"/>
      <c r="AB429" s="108"/>
      <c r="AC429" s="105"/>
      <c r="AD429" s="279"/>
      <c r="AE429" s="105"/>
      <c r="AF429" s="279"/>
      <c r="AG429" s="105"/>
      <c r="AH429" s="108"/>
      <c r="AI429" s="108"/>
      <c r="AJ429" s="108"/>
      <c r="AK429" s="108"/>
      <c r="AL429" s="105"/>
      <c r="AM429" s="108"/>
      <c r="AN429" s="105"/>
      <c r="AO429" s="108"/>
      <c r="AP429" s="108"/>
      <c r="AQ429" s="105"/>
      <c r="AR429" s="108"/>
      <c r="AS429" s="108"/>
      <c r="AT429" s="105"/>
      <c r="AU429" s="105"/>
      <c r="AV429" s="105"/>
      <c r="AW429" s="105"/>
      <c r="AX429" s="105"/>
      <c r="AY429" s="105"/>
      <c r="AZ429" s="105"/>
      <c r="BA429" s="105"/>
      <c r="BB429" s="105"/>
      <c r="BC429" s="105"/>
      <c r="BD429" s="108"/>
      <c r="BE429" s="83">
        <f>IF($A429="","",IF(TRIM($D429&amp;"")="",IF(TRIM($AX429&amp;$AY429&amp;$AZ429&amp;$BA429&amp;$BB429&amp;$BC429&amp;$BD429&amp;"")="","","SUBARRENDADO"),IFERROR(IF(VLOOKUP($D429,VEHICULOS!$A$3:$H$202,7,FALSE)="","",VLOOKUP($D429,VEHICULOS!$A$3:$H$202,7,FALSE)),"")))</f>
      </c>
      <c r="BF429" s="82">
        <f>IF($A429="","",IF(TRIM($BC429&amp;"")&lt;&gt;"",$BC429,IF(TRIM($D429&amp;"")="","",IFERROR(IF(VLOOKUP($D429,VEHICULOS!$A$3:$H$202,8,FALSE)="","",VLOOKUP($D429,VEHICULOS!$A$3:$H$202,8,FALSE)),""))))</f>
      </c>
      <c r="BG429" s="106"/>
      <c r="BH429" s="107"/>
      <c r="BI429" s="86">
        <f t="shared" si="90"/>
      </c>
      <c r="BJ429" s="83">
        <f t="shared" si="91"/>
      </c>
      <c r="BK429" s="85">
        <f t="shared" si="92"/>
      </c>
      <c r="BL429" s="85">
        <f t="shared" si="93"/>
      </c>
      <c r="BM429" s="108"/>
      <c r="BN429" s="85">
        <f t="shared" si="94"/>
      </c>
      <c r="BO429" s="108"/>
      <c r="BP429" s="85">
        <f t="shared" si="95"/>
      </c>
      <c r="BQ429" s="85">
        <f t="shared" si="96"/>
      </c>
      <c r="BR429" s="108"/>
      <c r="BS429" s="104"/>
      <c r="BT429" s="87">
        <f t="shared" si="97"/>
      </c>
      <c r="BU429" s="85">
        <f t="shared" si="98"/>
      </c>
      <c r="BV429" s="85">
        <f t="shared" si="99"/>
      </c>
      <c r="BW429" s="87">
        <f t="shared" si="100"/>
      </c>
      <c r="BX429" s="104"/>
      <c r="BY429" s="106"/>
      <c r="BZ429" s="104"/>
      <c r="CA429" s="105"/>
      <c r="CB429" s="77">
        <f>IF($A429="",0,IF($B429='FICHA CLIENTE'!$C$4,1,0))</f>
      </c>
      <c r="CC429" s="77">
        <f t="shared" si="101"/>
      </c>
      <c r="CD429" s="77">
        <f>IF($A429="",0,IF($D429='FICHA VEHICULO'!$C$4,1,0))</f>
      </c>
      <c r="CE429" s="77">
        <f t="shared" si="102"/>
      </c>
      <c r="CF429" s="77">
        <f t="shared" si="103"/>
      </c>
      <c r="CG429" s="77">
        <f t="shared" si="104"/>
      </c>
    </row>
    <row r="430" spans="1:85" ht="19.5" customHeight="1" x14ac:dyDescent="0.2">
      <c r="A430" s="104"/>
      <c r="B430" s="104"/>
      <c r="C430" s="105"/>
      <c r="D430" s="104"/>
      <c r="E430" s="105"/>
      <c r="F430" s="106"/>
      <c r="G430" s="104"/>
      <c r="H430" s="106"/>
      <c r="I430" s="107"/>
      <c r="J430" s="108"/>
      <c r="K430" s="108"/>
      <c r="L430" s="108"/>
      <c r="M430" s="105"/>
      <c r="N430" s="105"/>
      <c r="O430" s="105"/>
      <c r="P430" s="108"/>
      <c r="Q430" s="105"/>
      <c r="R430" s="105"/>
      <c r="S430" s="105"/>
      <c r="T430" s="105"/>
      <c r="U430" s="108"/>
      <c r="V430" s="105"/>
      <c r="W430" s="105"/>
      <c r="X430" s="105"/>
      <c r="Y430" s="105"/>
      <c r="Z430" s="105"/>
      <c r="AA430" s="108"/>
      <c r="AB430" s="108"/>
      <c r="AC430" s="105"/>
      <c r="AD430" s="279"/>
      <c r="AE430" s="105"/>
      <c r="AF430" s="279"/>
      <c r="AG430" s="105"/>
      <c r="AH430" s="108"/>
      <c r="AI430" s="108"/>
      <c r="AJ430" s="108"/>
      <c r="AK430" s="108"/>
      <c r="AL430" s="105"/>
      <c r="AM430" s="108"/>
      <c r="AN430" s="105"/>
      <c r="AO430" s="108"/>
      <c r="AP430" s="108"/>
      <c r="AQ430" s="105"/>
      <c r="AR430" s="108"/>
      <c r="AS430" s="108"/>
      <c r="AT430" s="105"/>
      <c r="AU430" s="105"/>
      <c r="AV430" s="105"/>
      <c r="AW430" s="105"/>
      <c r="AX430" s="105"/>
      <c r="AY430" s="105"/>
      <c r="AZ430" s="105"/>
      <c r="BA430" s="105"/>
      <c r="BB430" s="105"/>
      <c r="BC430" s="105"/>
      <c r="BD430" s="108"/>
      <c r="BE430" s="83">
        <f>IF($A430="","",IF(TRIM($D430&amp;"")="",IF(TRIM($AX430&amp;$AY430&amp;$AZ430&amp;$BA430&amp;$BB430&amp;$BC430&amp;$BD430&amp;"")="","","SUBARRENDADO"),IFERROR(IF(VLOOKUP($D430,VEHICULOS!$A$3:$H$202,7,FALSE)="","",VLOOKUP($D430,VEHICULOS!$A$3:$H$202,7,FALSE)),"")))</f>
      </c>
      <c r="BF430" s="82">
        <f>IF($A430="","",IF(TRIM($BC430&amp;"")&lt;&gt;"",$BC430,IF(TRIM($D430&amp;"")="","",IFERROR(IF(VLOOKUP($D430,VEHICULOS!$A$3:$H$202,8,FALSE)="","",VLOOKUP($D430,VEHICULOS!$A$3:$H$202,8,FALSE)),""))))</f>
      </c>
      <c r="BG430" s="106"/>
      <c r="BH430" s="107"/>
      <c r="BI430" s="86">
        <f t="shared" si="90"/>
      </c>
      <c r="BJ430" s="83">
        <f t="shared" si="91"/>
      </c>
      <c r="BK430" s="85">
        <f t="shared" si="92"/>
      </c>
      <c r="BL430" s="85">
        <f t="shared" si="93"/>
      </c>
      <c r="BM430" s="108"/>
      <c r="BN430" s="85">
        <f t="shared" si="94"/>
      </c>
      <c r="BO430" s="108"/>
      <c r="BP430" s="85">
        <f t="shared" si="95"/>
      </c>
      <c r="BQ430" s="85">
        <f t="shared" si="96"/>
      </c>
      <c r="BR430" s="108"/>
      <c r="BS430" s="104"/>
      <c r="BT430" s="87">
        <f t="shared" si="97"/>
      </c>
      <c r="BU430" s="85">
        <f t="shared" si="98"/>
      </c>
      <c r="BV430" s="85">
        <f t="shared" si="99"/>
      </c>
      <c r="BW430" s="87">
        <f t="shared" si="100"/>
      </c>
      <c r="BX430" s="104"/>
      <c r="BY430" s="106"/>
      <c r="BZ430" s="104"/>
      <c r="CA430" s="105"/>
      <c r="CB430" s="77">
        <f>IF($A430="",0,IF($B430='FICHA CLIENTE'!$C$4,1,0))</f>
      </c>
      <c r="CC430" s="77">
        <f t="shared" si="101"/>
      </c>
      <c r="CD430" s="77">
        <f>IF($A430="",0,IF($D430='FICHA VEHICULO'!$C$4,1,0))</f>
      </c>
      <c r="CE430" s="77">
        <f t="shared" si="102"/>
      </c>
      <c r="CF430" s="77">
        <f t="shared" si="103"/>
      </c>
      <c r="CG430" s="77">
        <f t="shared" si="104"/>
      </c>
    </row>
    <row r="431" spans="1:85" ht="19.5" customHeight="1" x14ac:dyDescent="0.2">
      <c r="A431" s="104"/>
      <c r="B431" s="104"/>
      <c r="C431" s="105"/>
      <c r="D431" s="104"/>
      <c r="E431" s="105"/>
      <c r="F431" s="106"/>
      <c r="G431" s="104"/>
      <c r="H431" s="106"/>
      <c r="I431" s="107"/>
      <c r="J431" s="108"/>
      <c r="K431" s="108"/>
      <c r="L431" s="108"/>
      <c r="M431" s="105"/>
      <c r="N431" s="105"/>
      <c r="O431" s="105"/>
      <c r="P431" s="108"/>
      <c r="Q431" s="105"/>
      <c r="R431" s="105"/>
      <c r="S431" s="105"/>
      <c r="T431" s="105"/>
      <c r="U431" s="108"/>
      <c r="V431" s="105"/>
      <c r="W431" s="105"/>
      <c r="X431" s="105"/>
      <c r="Y431" s="105"/>
      <c r="Z431" s="105"/>
      <c r="AA431" s="108"/>
      <c r="AB431" s="108"/>
      <c r="AC431" s="105"/>
      <c r="AD431" s="279"/>
      <c r="AE431" s="105"/>
      <c r="AF431" s="279"/>
      <c r="AG431" s="105"/>
      <c r="AH431" s="108"/>
      <c r="AI431" s="108"/>
      <c r="AJ431" s="108"/>
      <c r="AK431" s="108"/>
      <c r="AL431" s="105"/>
      <c r="AM431" s="108"/>
      <c r="AN431" s="105"/>
      <c r="AO431" s="108"/>
      <c r="AP431" s="108"/>
      <c r="AQ431" s="105"/>
      <c r="AR431" s="108"/>
      <c r="AS431" s="108"/>
      <c r="AT431" s="105"/>
      <c r="AU431" s="105"/>
      <c r="AV431" s="105"/>
      <c r="AW431" s="105"/>
      <c r="AX431" s="105"/>
      <c r="AY431" s="105"/>
      <c r="AZ431" s="105"/>
      <c r="BA431" s="105"/>
      <c r="BB431" s="105"/>
      <c r="BC431" s="105"/>
      <c r="BD431" s="108"/>
      <c r="BE431" s="83">
        <f>IF($A431="","",IF(TRIM($D431&amp;"")="",IF(TRIM($AX431&amp;$AY431&amp;$AZ431&amp;$BA431&amp;$BB431&amp;$BC431&amp;$BD431&amp;"")="","","SUBARRENDADO"),IFERROR(IF(VLOOKUP($D431,VEHICULOS!$A$3:$H$202,7,FALSE)="","",VLOOKUP($D431,VEHICULOS!$A$3:$H$202,7,FALSE)),"")))</f>
      </c>
      <c r="BF431" s="82">
        <f>IF($A431="","",IF(TRIM($BC431&amp;"")&lt;&gt;"",$BC431,IF(TRIM($D431&amp;"")="","",IFERROR(IF(VLOOKUP($D431,VEHICULOS!$A$3:$H$202,8,FALSE)="","",VLOOKUP($D431,VEHICULOS!$A$3:$H$202,8,FALSE)),""))))</f>
      </c>
      <c r="BG431" s="106"/>
      <c r="BH431" s="107"/>
      <c r="BI431" s="86">
        <f t="shared" si="90"/>
      </c>
      <c r="BJ431" s="83">
        <f t="shared" si="91"/>
      </c>
      <c r="BK431" s="85">
        <f t="shared" si="92"/>
      </c>
      <c r="BL431" s="85">
        <f t="shared" si="93"/>
      </c>
      <c r="BM431" s="108"/>
      <c r="BN431" s="85">
        <f t="shared" si="94"/>
      </c>
      <c r="BO431" s="108"/>
      <c r="BP431" s="85">
        <f t="shared" si="95"/>
      </c>
      <c r="BQ431" s="85">
        <f t="shared" si="96"/>
      </c>
      <c r="BR431" s="108"/>
      <c r="BS431" s="104"/>
      <c r="BT431" s="87">
        <f t="shared" si="97"/>
      </c>
      <c r="BU431" s="85">
        <f t="shared" si="98"/>
      </c>
      <c r="BV431" s="85">
        <f t="shared" si="99"/>
      </c>
      <c r="BW431" s="87">
        <f t="shared" si="100"/>
      </c>
      <c r="BX431" s="104"/>
      <c r="BY431" s="106"/>
      <c r="BZ431" s="104"/>
      <c r="CA431" s="105"/>
      <c r="CB431" s="77">
        <f>IF($A431="",0,IF($B431='FICHA CLIENTE'!$C$4,1,0))</f>
      </c>
      <c r="CC431" s="77">
        <f t="shared" si="101"/>
      </c>
      <c r="CD431" s="77">
        <f>IF($A431="",0,IF($D431='FICHA VEHICULO'!$C$4,1,0))</f>
      </c>
      <c r="CE431" s="77">
        <f t="shared" si="102"/>
      </c>
      <c r="CF431" s="77">
        <f t="shared" si="103"/>
      </c>
      <c r="CG431" s="77">
        <f t="shared" si="104"/>
      </c>
    </row>
    <row r="432" spans="1:85" ht="19.5" customHeight="1" x14ac:dyDescent="0.2">
      <c r="A432" s="104"/>
      <c r="B432" s="104"/>
      <c r="C432" s="105"/>
      <c r="D432" s="104"/>
      <c r="E432" s="105"/>
      <c r="F432" s="106"/>
      <c r="G432" s="104"/>
      <c r="H432" s="106"/>
      <c r="I432" s="107"/>
      <c r="J432" s="108"/>
      <c r="K432" s="108"/>
      <c r="L432" s="108"/>
      <c r="M432" s="105"/>
      <c r="N432" s="105"/>
      <c r="O432" s="105"/>
      <c r="P432" s="108"/>
      <c r="Q432" s="105"/>
      <c r="R432" s="105"/>
      <c r="S432" s="105"/>
      <c r="T432" s="105"/>
      <c r="U432" s="108"/>
      <c r="V432" s="105"/>
      <c r="W432" s="105"/>
      <c r="X432" s="105"/>
      <c r="Y432" s="105"/>
      <c r="Z432" s="105"/>
      <c r="AA432" s="108"/>
      <c r="AB432" s="108"/>
      <c r="AC432" s="105"/>
      <c r="AD432" s="279"/>
      <c r="AE432" s="105"/>
      <c r="AF432" s="279"/>
      <c r="AG432" s="105"/>
      <c r="AH432" s="108"/>
      <c r="AI432" s="108"/>
      <c r="AJ432" s="108"/>
      <c r="AK432" s="108"/>
      <c r="AL432" s="105"/>
      <c r="AM432" s="108"/>
      <c r="AN432" s="105"/>
      <c r="AO432" s="108"/>
      <c r="AP432" s="108"/>
      <c r="AQ432" s="105"/>
      <c r="AR432" s="108"/>
      <c r="AS432" s="108"/>
      <c r="AT432" s="105"/>
      <c r="AU432" s="105"/>
      <c r="AV432" s="105"/>
      <c r="AW432" s="105"/>
      <c r="AX432" s="105"/>
      <c r="AY432" s="105"/>
      <c r="AZ432" s="105"/>
      <c r="BA432" s="105"/>
      <c r="BB432" s="105"/>
      <c r="BC432" s="105"/>
      <c r="BD432" s="108"/>
      <c r="BE432" s="83">
        <f>IF($A432="","",IF(TRIM($D432&amp;"")="",IF(TRIM($AX432&amp;$AY432&amp;$AZ432&amp;$BA432&amp;$BB432&amp;$BC432&amp;$BD432&amp;"")="","","SUBARRENDADO"),IFERROR(IF(VLOOKUP($D432,VEHICULOS!$A$3:$H$202,7,FALSE)="","",VLOOKUP($D432,VEHICULOS!$A$3:$H$202,7,FALSE)),"")))</f>
      </c>
      <c r="BF432" s="82">
        <f>IF($A432="","",IF(TRIM($BC432&amp;"")&lt;&gt;"",$BC432,IF(TRIM($D432&amp;"")="","",IFERROR(IF(VLOOKUP($D432,VEHICULOS!$A$3:$H$202,8,FALSE)="","",VLOOKUP($D432,VEHICULOS!$A$3:$H$202,8,FALSE)),""))))</f>
      </c>
      <c r="BG432" s="106"/>
      <c r="BH432" s="107"/>
      <c r="BI432" s="86">
        <f t="shared" si="90"/>
      </c>
      <c r="BJ432" s="83">
        <f t="shared" si="91"/>
      </c>
      <c r="BK432" s="85">
        <f t="shared" si="92"/>
      </c>
      <c r="BL432" s="85">
        <f t="shared" si="93"/>
      </c>
      <c r="BM432" s="108"/>
      <c r="BN432" s="85">
        <f t="shared" si="94"/>
      </c>
      <c r="BO432" s="108"/>
      <c r="BP432" s="85">
        <f t="shared" si="95"/>
      </c>
      <c r="BQ432" s="85">
        <f t="shared" si="96"/>
      </c>
      <c r="BR432" s="108"/>
      <c r="BS432" s="104"/>
      <c r="BT432" s="87">
        <f t="shared" si="97"/>
      </c>
      <c r="BU432" s="85">
        <f t="shared" si="98"/>
      </c>
      <c r="BV432" s="85">
        <f t="shared" si="99"/>
      </c>
      <c r="BW432" s="87">
        <f t="shared" si="100"/>
      </c>
      <c r="BX432" s="104"/>
      <c r="BY432" s="106"/>
      <c r="BZ432" s="104"/>
      <c r="CA432" s="105"/>
      <c r="CB432" s="77">
        <f>IF($A432="",0,IF($B432='FICHA CLIENTE'!$C$4,1,0))</f>
      </c>
      <c r="CC432" s="77">
        <f t="shared" si="101"/>
      </c>
      <c r="CD432" s="77">
        <f>IF($A432="",0,IF($D432='FICHA VEHICULO'!$C$4,1,0))</f>
      </c>
      <c r="CE432" s="77">
        <f t="shared" si="102"/>
      </c>
      <c r="CF432" s="77">
        <f t="shared" si="103"/>
      </c>
      <c r="CG432" s="77">
        <f t="shared" si="104"/>
      </c>
    </row>
    <row r="433" spans="1:85" ht="19.5" customHeight="1" x14ac:dyDescent="0.2">
      <c r="A433" s="104"/>
      <c r="B433" s="104"/>
      <c r="C433" s="105"/>
      <c r="D433" s="104"/>
      <c r="E433" s="105"/>
      <c r="F433" s="106"/>
      <c r="G433" s="104"/>
      <c r="H433" s="106"/>
      <c r="I433" s="107"/>
      <c r="J433" s="108"/>
      <c r="K433" s="108"/>
      <c r="L433" s="108"/>
      <c r="M433" s="105"/>
      <c r="N433" s="105"/>
      <c r="O433" s="105"/>
      <c r="P433" s="108"/>
      <c r="Q433" s="105"/>
      <c r="R433" s="105"/>
      <c r="S433" s="105"/>
      <c r="T433" s="105"/>
      <c r="U433" s="108"/>
      <c r="V433" s="105"/>
      <c r="W433" s="105"/>
      <c r="X433" s="105"/>
      <c r="Y433" s="105"/>
      <c r="Z433" s="105"/>
      <c r="AA433" s="108"/>
      <c r="AB433" s="108"/>
      <c r="AC433" s="105"/>
      <c r="AD433" s="279"/>
      <c r="AE433" s="105"/>
      <c r="AF433" s="279"/>
      <c r="AG433" s="105"/>
      <c r="AH433" s="108"/>
      <c r="AI433" s="108"/>
      <c r="AJ433" s="108"/>
      <c r="AK433" s="108"/>
      <c r="AL433" s="105"/>
      <c r="AM433" s="108"/>
      <c r="AN433" s="105"/>
      <c r="AO433" s="108"/>
      <c r="AP433" s="108"/>
      <c r="AQ433" s="105"/>
      <c r="AR433" s="108"/>
      <c r="AS433" s="108"/>
      <c r="AT433" s="105"/>
      <c r="AU433" s="105"/>
      <c r="AV433" s="105"/>
      <c r="AW433" s="105"/>
      <c r="AX433" s="105"/>
      <c r="AY433" s="105"/>
      <c r="AZ433" s="105"/>
      <c r="BA433" s="105"/>
      <c r="BB433" s="105"/>
      <c r="BC433" s="105"/>
      <c r="BD433" s="108"/>
      <c r="BE433" s="83">
        <f>IF($A433="","",IF(TRIM($D433&amp;"")="",IF(TRIM($AX433&amp;$AY433&amp;$AZ433&amp;$BA433&amp;$BB433&amp;$BC433&amp;$BD433&amp;"")="","","SUBARRENDADO"),IFERROR(IF(VLOOKUP($D433,VEHICULOS!$A$3:$H$202,7,FALSE)="","",VLOOKUP($D433,VEHICULOS!$A$3:$H$202,7,FALSE)),"")))</f>
      </c>
      <c r="BF433" s="82">
        <f>IF($A433="","",IF(TRIM($BC433&amp;"")&lt;&gt;"",$BC433,IF(TRIM($D433&amp;"")="","",IFERROR(IF(VLOOKUP($D433,VEHICULOS!$A$3:$H$202,8,FALSE)="","",VLOOKUP($D433,VEHICULOS!$A$3:$H$202,8,FALSE)),""))))</f>
      </c>
      <c r="BG433" s="106"/>
      <c r="BH433" s="107"/>
      <c r="BI433" s="86">
        <f t="shared" si="90"/>
      </c>
      <c r="BJ433" s="83">
        <f t="shared" si="91"/>
      </c>
      <c r="BK433" s="85">
        <f t="shared" si="92"/>
      </c>
      <c r="BL433" s="85">
        <f t="shared" si="93"/>
      </c>
      <c r="BM433" s="108"/>
      <c r="BN433" s="85">
        <f t="shared" si="94"/>
      </c>
      <c r="BO433" s="108"/>
      <c r="BP433" s="85">
        <f t="shared" si="95"/>
      </c>
      <c r="BQ433" s="85">
        <f t="shared" si="96"/>
      </c>
      <c r="BR433" s="108"/>
      <c r="BS433" s="104"/>
      <c r="BT433" s="87">
        <f t="shared" si="97"/>
      </c>
      <c r="BU433" s="85">
        <f t="shared" si="98"/>
      </c>
      <c r="BV433" s="85">
        <f t="shared" si="99"/>
      </c>
      <c r="BW433" s="87">
        <f t="shared" si="100"/>
      </c>
      <c r="BX433" s="104"/>
      <c r="BY433" s="106"/>
      <c r="BZ433" s="104"/>
      <c r="CA433" s="105"/>
      <c r="CB433" s="77">
        <f>IF($A433="",0,IF($B433='FICHA CLIENTE'!$C$4,1,0))</f>
      </c>
      <c r="CC433" s="77">
        <f t="shared" si="101"/>
      </c>
      <c r="CD433" s="77">
        <f>IF($A433="",0,IF($D433='FICHA VEHICULO'!$C$4,1,0))</f>
      </c>
      <c r="CE433" s="77">
        <f t="shared" si="102"/>
      </c>
      <c r="CF433" s="77">
        <f t="shared" si="103"/>
      </c>
      <c r="CG433" s="77">
        <f t="shared" si="104"/>
      </c>
    </row>
    <row r="434" spans="1:85" ht="19.5" customHeight="1" x14ac:dyDescent="0.2">
      <c r="A434" s="104"/>
      <c r="B434" s="104"/>
      <c r="C434" s="105"/>
      <c r="D434" s="104"/>
      <c r="E434" s="105"/>
      <c r="F434" s="106"/>
      <c r="G434" s="104"/>
      <c r="H434" s="106"/>
      <c r="I434" s="107"/>
      <c r="J434" s="108"/>
      <c r="K434" s="108"/>
      <c r="L434" s="108"/>
      <c r="M434" s="105"/>
      <c r="N434" s="105"/>
      <c r="O434" s="105"/>
      <c r="P434" s="108"/>
      <c r="Q434" s="105"/>
      <c r="R434" s="105"/>
      <c r="S434" s="105"/>
      <c r="T434" s="105"/>
      <c r="U434" s="108"/>
      <c r="V434" s="105"/>
      <c r="W434" s="105"/>
      <c r="X434" s="105"/>
      <c r="Y434" s="105"/>
      <c r="Z434" s="105"/>
      <c r="AA434" s="108"/>
      <c r="AB434" s="108"/>
      <c r="AC434" s="105"/>
      <c r="AD434" s="279"/>
      <c r="AE434" s="105"/>
      <c r="AF434" s="279"/>
      <c r="AG434" s="105"/>
      <c r="AH434" s="108"/>
      <c r="AI434" s="108"/>
      <c r="AJ434" s="108"/>
      <c r="AK434" s="108"/>
      <c r="AL434" s="105"/>
      <c r="AM434" s="108"/>
      <c r="AN434" s="105"/>
      <c r="AO434" s="108"/>
      <c r="AP434" s="108"/>
      <c r="AQ434" s="105"/>
      <c r="AR434" s="108"/>
      <c r="AS434" s="108"/>
      <c r="AT434" s="105"/>
      <c r="AU434" s="105"/>
      <c r="AV434" s="105"/>
      <c r="AW434" s="105"/>
      <c r="AX434" s="105"/>
      <c r="AY434" s="105"/>
      <c r="AZ434" s="105"/>
      <c r="BA434" s="105"/>
      <c r="BB434" s="105"/>
      <c r="BC434" s="105"/>
      <c r="BD434" s="108"/>
      <c r="BE434" s="83">
        <f>IF($A434="","",IF(TRIM($D434&amp;"")="",IF(TRIM($AX434&amp;$AY434&amp;$AZ434&amp;$BA434&amp;$BB434&amp;$BC434&amp;$BD434&amp;"")="","","SUBARRENDADO"),IFERROR(IF(VLOOKUP($D434,VEHICULOS!$A$3:$H$202,7,FALSE)="","",VLOOKUP($D434,VEHICULOS!$A$3:$H$202,7,FALSE)),"")))</f>
      </c>
      <c r="BF434" s="82">
        <f>IF($A434="","",IF(TRIM($BC434&amp;"")&lt;&gt;"",$BC434,IF(TRIM($D434&amp;"")="","",IFERROR(IF(VLOOKUP($D434,VEHICULOS!$A$3:$H$202,8,FALSE)="","",VLOOKUP($D434,VEHICULOS!$A$3:$H$202,8,FALSE)),""))))</f>
      </c>
      <c r="BG434" s="106"/>
      <c r="BH434" s="107"/>
      <c r="BI434" s="86">
        <f t="shared" si="90"/>
      </c>
      <c r="BJ434" s="83">
        <f t="shared" si="91"/>
      </c>
      <c r="BK434" s="85">
        <f t="shared" si="92"/>
      </c>
      <c r="BL434" s="85">
        <f t="shared" si="93"/>
      </c>
      <c r="BM434" s="108"/>
      <c r="BN434" s="85">
        <f t="shared" si="94"/>
      </c>
      <c r="BO434" s="108"/>
      <c r="BP434" s="85">
        <f t="shared" si="95"/>
      </c>
      <c r="BQ434" s="85">
        <f t="shared" si="96"/>
      </c>
      <c r="BR434" s="108"/>
      <c r="BS434" s="104"/>
      <c r="BT434" s="87">
        <f t="shared" si="97"/>
      </c>
      <c r="BU434" s="85">
        <f t="shared" si="98"/>
      </c>
      <c r="BV434" s="85">
        <f t="shared" si="99"/>
      </c>
      <c r="BW434" s="87">
        <f t="shared" si="100"/>
      </c>
      <c r="BX434" s="104"/>
      <c r="BY434" s="106"/>
      <c r="BZ434" s="104"/>
      <c r="CA434" s="105"/>
      <c r="CB434" s="77">
        <f>IF($A434="",0,IF($B434='FICHA CLIENTE'!$C$4,1,0))</f>
      </c>
      <c r="CC434" s="77">
        <f t="shared" si="101"/>
      </c>
      <c r="CD434" s="77">
        <f>IF($A434="",0,IF($D434='FICHA VEHICULO'!$C$4,1,0))</f>
      </c>
      <c r="CE434" s="77">
        <f t="shared" si="102"/>
      </c>
      <c r="CF434" s="77">
        <f t="shared" si="103"/>
      </c>
      <c r="CG434" s="77">
        <f t="shared" si="104"/>
      </c>
    </row>
    <row r="435" spans="1:85" ht="19.5" customHeight="1" x14ac:dyDescent="0.2">
      <c r="A435" s="104"/>
      <c r="B435" s="104"/>
      <c r="C435" s="105"/>
      <c r="D435" s="104"/>
      <c r="E435" s="105"/>
      <c r="F435" s="106"/>
      <c r="G435" s="104"/>
      <c r="H435" s="106"/>
      <c r="I435" s="107"/>
      <c r="J435" s="108"/>
      <c r="K435" s="108"/>
      <c r="L435" s="108"/>
      <c r="M435" s="105"/>
      <c r="N435" s="105"/>
      <c r="O435" s="105"/>
      <c r="P435" s="108"/>
      <c r="Q435" s="105"/>
      <c r="R435" s="105"/>
      <c r="S435" s="105"/>
      <c r="T435" s="105"/>
      <c r="U435" s="108"/>
      <c r="V435" s="105"/>
      <c r="W435" s="105"/>
      <c r="X435" s="105"/>
      <c r="Y435" s="105"/>
      <c r="Z435" s="105"/>
      <c r="AA435" s="108"/>
      <c r="AB435" s="108"/>
      <c r="AC435" s="105"/>
      <c r="AD435" s="279"/>
      <c r="AE435" s="105"/>
      <c r="AF435" s="279"/>
      <c r="AG435" s="105"/>
      <c r="AH435" s="108"/>
      <c r="AI435" s="108"/>
      <c r="AJ435" s="108"/>
      <c r="AK435" s="108"/>
      <c r="AL435" s="105"/>
      <c r="AM435" s="108"/>
      <c r="AN435" s="105"/>
      <c r="AO435" s="108"/>
      <c r="AP435" s="108"/>
      <c r="AQ435" s="105"/>
      <c r="AR435" s="108"/>
      <c r="AS435" s="108"/>
      <c r="AT435" s="105"/>
      <c r="AU435" s="105"/>
      <c r="AV435" s="105"/>
      <c r="AW435" s="105"/>
      <c r="AX435" s="105"/>
      <c r="AY435" s="105"/>
      <c r="AZ435" s="105"/>
      <c r="BA435" s="105"/>
      <c r="BB435" s="105"/>
      <c r="BC435" s="105"/>
      <c r="BD435" s="108"/>
      <c r="BE435" s="83">
        <f>IF($A435="","",IF(TRIM($D435&amp;"")="",IF(TRIM($AX435&amp;$AY435&amp;$AZ435&amp;$BA435&amp;$BB435&amp;$BC435&amp;$BD435&amp;"")="","","SUBARRENDADO"),IFERROR(IF(VLOOKUP($D435,VEHICULOS!$A$3:$H$202,7,FALSE)="","",VLOOKUP($D435,VEHICULOS!$A$3:$H$202,7,FALSE)),"")))</f>
      </c>
      <c r="BF435" s="82">
        <f>IF($A435="","",IF(TRIM($BC435&amp;"")&lt;&gt;"",$BC435,IF(TRIM($D435&amp;"")="","",IFERROR(IF(VLOOKUP($D435,VEHICULOS!$A$3:$H$202,8,FALSE)="","",VLOOKUP($D435,VEHICULOS!$A$3:$H$202,8,FALSE)),""))))</f>
      </c>
      <c r="BG435" s="106"/>
      <c r="BH435" s="107"/>
      <c r="BI435" s="86">
        <f t="shared" si="90"/>
      </c>
      <c r="BJ435" s="83">
        <f t="shared" si="91"/>
      </c>
      <c r="BK435" s="85">
        <f t="shared" si="92"/>
      </c>
      <c r="BL435" s="85">
        <f t="shared" si="93"/>
      </c>
      <c r="BM435" s="108"/>
      <c r="BN435" s="85">
        <f t="shared" si="94"/>
      </c>
      <c r="BO435" s="108"/>
      <c r="BP435" s="85">
        <f t="shared" si="95"/>
      </c>
      <c r="BQ435" s="85">
        <f t="shared" si="96"/>
      </c>
      <c r="BR435" s="108"/>
      <c r="BS435" s="104"/>
      <c r="BT435" s="87">
        <f t="shared" si="97"/>
      </c>
      <c r="BU435" s="85">
        <f t="shared" si="98"/>
      </c>
      <c r="BV435" s="85">
        <f t="shared" si="99"/>
      </c>
      <c r="BW435" s="87">
        <f t="shared" si="100"/>
      </c>
      <c r="BX435" s="104"/>
      <c r="BY435" s="106"/>
      <c r="BZ435" s="104"/>
      <c r="CA435" s="105"/>
      <c r="CB435" s="77">
        <f>IF($A435="",0,IF($B435='FICHA CLIENTE'!$C$4,1,0))</f>
      </c>
      <c r="CC435" s="77">
        <f t="shared" si="101"/>
      </c>
      <c r="CD435" s="77">
        <f>IF($A435="",0,IF($D435='FICHA VEHICULO'!$C$4,1,0))</f>
      </c>
      <c r="CE435" s="77">
        <f t="shared" si="102"/>
      </c>
      <c r="CF435" s="77">
        <f t="shared" si="103"/>
      </c>
      <c r="CG435" s="77">
        <f t="shared" si="104"/>
      </c>
    </row>
    <row r="436" spans="1:85" ht="19.5" customHeight="1" x14ac:dyDescent="0.2">
      <c r="A436" s="104"/>
      <c r="B436" s="104"/>
      <c r="C436" s="105"/>
      <c r="D436" s="104"/>
      <c r="E436" s="105"/>
      <c r="F436" s="106"/>
      <c r="G436" s="104"/>
      <c r="H436" s="106"/>
      <c r="I436" s="107"/>
      <c r="J436" s="108"/>
      <c r="K436" s="108"/>
      <c r="L436" s="108"/>
      <c r="M436" s="105"/>
      <c r="N436" s="105"/>
      <c r="O436" s="105"/>
      <c r="P436" s="108"/>
      <c r="Q436" s="105"/>
      <c r="R436" s="105"/>
      <c r="S436" s="105"/>
      <c r="T436" s="105"/>
      <c r="U436" s="108"/>
      <c r="V436" s="105"/>
      <c r="W436" s="105"/>
      <c r="X436" s="105"/>
      <c r="Y436" s="105"/>
      <c r="Z436" s="105"/>
      <c r="AA436" s="108"/>
      <c r="AB436" s="108"/>
      <c r="AC436" s="105"/>
      <c r="AD436" s="279"/>
      <c r="AE436" s="105"/>
      <c r="AF436" s="279"/>
      <c r="AG436" s="105"/>
      <c r="AH436" s="108"/>
      <c r="AI436" s="108"/>
      <c r="AJ436" s="108"/>
      <c r="AK436" s="108"/>
      <c r="AL436" s="105"/>
      <c r="AM436" s="108"/>
      <c r="AN436" s="105"/>
      <c r="AO436" s="108"/>
      <c r="AP436" s="108"/>
      <c r="AQ436" s="105"/>
      <c r="AR436" s="108"/>
      <c r="AS436" s="108"/>
      <c r="AT436" s="105"/>
      <c r="AU436" s="105"/>
      <c r="AV436" s="105"/>
      <c r="AW436" s="105"/>
      <c r="AX436" s="105"/>
      <c r="AY436" s="105"/>
      <c r="AZ436" s="105"/>
      <c r="BA436" s="105"/>
      <c r="BB436" s="105"/>
      <c r="BC436" s="105"/>
      <c r="BD436" s="108"/>
      <c r="BE436" s="83">
        <f>IF($A436="","",IF(TRIM($D436&amp;"")="",IF(TRIM($AX436&amp;$AY436&amp;$AZ436&amp;$BA436&amp;$BB436&amp;$BC436&amp;$BD436&amp;"")="","","SUBARRENDADO"),IFERROR(IF(VLOOKUP($D436,VEHICULOS!$A$3:$H$202,7,FALSE)="","",VLOOKUP($D436,VEHICULOS!$A$3:$H$202,7,FALSE)),"")))</f>
      </c>
      <c r="BF436" s="82">
        <f>IF($A436="","",IF(TRIM($BC436&amp;"")&lt;&gt;"",$BC436,IF(TRIM($D436&amp;"")="","",IFERROR(IF(VLOOKUP($D436,VEHICULOS!$A$3:$H$202,8,FALSE)="","",VLOOKUP($D436,VEHICULOS!$A$3:$H$202,8,FALSE)),""))))</f>
      </c>
      <c r="BG436" s="106"/>
      <c r="BH436" s="107"/>
      <c r="BI436" s="86">
        <f t="shared" si="90"/>
      </c>
      <c r="BJ436" s="83">
        <f t="shared" si="91"/>
      </c>
      <c r="BK436" s="85">
        <f t="shared" si="92"/>
      </c>
      <c r="BL436" s="85">
        <f t="shared" si="93"/>
      </c>
      <c r="BM436" s="108"/>
      <c r="BN436" s="85">
        <f t="shared" si="94"/>
      </c>
      <c r="BO436" s="108"/>
      <c r="BP436" s="85">
        <f t="shared" si="95"/>
      </c>
      <c r="BQ436" s="85">
        <f t="shared" si="96"/>
      </c>
      <c r="BR436" s="108"/>
      <c r="BS436" s="104"/>
      <c r="BT436" s="87">
        <f t="shared" si="97"/>
      </c>
      <c r="BU436" s="85">
        <f t="shared" si="98"/>
      </c>
      <c r="BV436" s="85">
        <f t="shared" si="99"/>
      </c>
      <c r="BW436" s="87">
        <f t="shared" si="100"/>
      </c>
      <c r="BX436" s="104"/>
      <c r="BY436" s="106"/>
      <c r="BZ436" s="104"/>
      <c r="CA436" s="105"/>
      <c r="CB436" s="77">
        <f>IF($A436="",0,IF($B436='FICHA CLIENTE'!$C$4,1,0))</f>
      </c>
      <c r="CC436" s="77">
        <f t="shared" si="101"/>
      </c>
      <c r="CD436" s="77">
        <f>IF($A436="",0,IF($D436='FICHA VEHICULO'!$C$4,1,0))</f>
      </c>
      <c r="CE436" s="77">
        <f t="shared" si="102"/>
      </c>
      <c r="CF436" s="77">
        <f t="shared" si="103"/>
      </c>
      <c r="CG436" s="77">
        <f t="shared" si="104"/>
      </c>
    </row>
    <row r="437" spans="1:85" ht="19.5" customHeight="1" x14ac:dyDescent="0.2">
      <c r="A437" s="104"/>
      <c r="B437" s="104"/>
      <c r="C437" s="105"/>
      <c r="D437" s="104"/>
      <c r="E437" s="105"/>
      <c r="F437" s="106"/>
      <c r="G437" s="104"/>
      <c r="H437" s="106"/>
      <c r="I437" s="107"/>
      <c r="J437" s="108"/>
      <c r="K437" s="108"/>
      <c r="L437" s="108"/>
      <c r="M437" s="105"/>
      <c r="N437" s="105"/>
      <c r="O437" s="105"/>
      <c r="P437" s="108"/>
      <c r="Q437" s="105"/>
      <c r="R437" s="105"/>
      <c r="S437" s="105"/>
      <c r="T437" s="105"/>
      <c r="U437" s="108"/>
      <c r="V437" s="105"/>
      <c r="W437" s="105"/>
      <c r="X437" s="105"/>
      <c r="Y437" s="105"/>
      <c r="Z437" s="105"/>
      <c r="AA437" s="108"/>
      <c r="AB437" s="108"/>
      <c r="AC437" s="105"/>
      <c r="AD437" s="279"/>
      <c r="AE437" s="105"/>
      <c r="AF437" s="279"/>
      <c r="AG437" s="105"/>
      <c r="AH437" s="108"/>
      <c r="AI437" s="108"/>
      <c r="AJ437" s="108"/>
      <c r="AK437" s="108"/>
      <c r="AL437" s="105"/>
      <c r="AM437" s="108"/>
      <c r="AN437" s="105"/>
      <c r="AO437" s="108"/>
      <c r="AP437" s="108"/>
      <c r="AQ437" s="105"/>
      <c r="AR437" s="108"/>
      <c r="AS437" s="108"/>
      <c r="AT437" s="105"/>
      <c r="AU437" s="105"/>
      <c r="AV437" s="105"/>
      <c r="AW437" s="105"/>
      <c r="AX437" s="105"/>
      <c r="AY437" s="105"/>
      <c r="AZ437" s="105"/>
      <c r="BA437" s="105"/>
      <c r="BB437" s="105"/>
      <c r="BC437" s="105"/>
      <c r="BD437" s="108"/>
      <c r="BE437" s="83">
        <f>IF($A437="","",IF(TRIM($D437&amp;"")="",IF(TRIM($AX437&amp;$AY437&amp;$AZ437&amp;$BA437&amp;$BB437&amp;$BC437&amp;$BD437&amp;"")="","","SUBARRENDADO"),IFERROR(IF(VLOOKUP($D437,VEHICULOS!$A$3:$H$202,7,FALSE)="","",VLOOKUP($D437,VEHICULOS!$A$3:$H$202,7,FALSE)),"")))</f>
      </c>
      <c r="BF437" s="82">
        <f>IF($A437="","",IF(TRIM($BC437&amp;"")&lt;&gt;"",$BC437,IF(TRIM($D437&amp;"")="","",IFERROR(IF(VLOOKUP($D437,VEHICULOS!$A$3:$H$202,8,FALSE)="","",VLOOKUP($D437,VEHICULOS!$A$3:$H$202,8,FALSE)),""))))</f>
      </c>
      <c r="BG437" s="106"/>
      <c r="BH437" s="107"/>
      <c r="BI437" s="86">
        <f t="shared" si="90"/>
      </c>
      <c r="BJ437" s="83">
        <f t="shared" si="91"/>
      </c>
      <c r="BK437" s="85">
        <f t="shared" si="92"/>
      </c>
      <c r="BL437" s="85">
        <f t="shared" si="93"/>
      </c>
      <c r="BM437" s="108"/>
      <c r="BN437" s="85">
        <f t="shared" si="94"/>
      </c>
      <c r="BO437" s="108"/>
      <c r="BP437" s="85">
        <f t="shared" si="95"/>
      </c>
      <c r="BQ437" s="85">
        <f t="shared" si="96"/>
      </c>
      <c r="BR437" s="108"/>
      <c r="BS437" s="104"/>
      <c r="BT437" s="87">
        <f t="shared" si="97"/>
      </c>
      <c r="BU437" s="85">
        <f t="shared" si="98"/>
      </c>
      <c r="BV437" s="85">
        <f t="shared" si="99"/>
      </c>
      <c r="BW437" s="87">
        <f t="shared" si="100"/>
      </c>
      <c r="BX437" s="104"/>
      <c r="BY437" s="106"/>
      <c r="BZ437" s="104"/>
      <c r="CA437" s="105"/>
      <c r="CB437" s="77">
        <f>IF($A437="",0,IF($B437='FICHA CLIENTE'!$C$4,1,0))</f>
      </c>
      <c r="CC437" s="77">
        <f t="shared" si="101"/>
      </c>
      <c r="CD437" s="77">
        <f>IF($A437="",0,IF($D437='FICHA VEHICULO'!$C$4,1,0))</f>
      </c>
      <c r="CE437" s="77">
        <f t="shared" si="102"/>
      </c>
      <c r="CF437" s="77">
        <f t="shared" si="103"/>
      </c>
      <c r="CG437" s="77">
        <f t="shared" si="104"/>
      </c>
    </row>
    <row r="438" spans="1:85" ht="19.5" customHeight="1" x14ac:dyDescent="0.2">
      <c r="A438" s="104"/>
      <c r="B438" s="104"/>
      <c r="C438" s="105"/>
      <c r="D438" s="104"/>
      <c r="E438" s="105"/>
      <c r="F438" s="106"/>
      <c r="G438" s="104"/>
      <c r="H438" s="106"/>
      <c r="I438" s="107"/>
      <c r="J438" s="108"/>
      <c r="K438" s="108"/>
      <c r="L438" s="108"/>
      <c r="M438" s="105"/>
      <c r="N438" s="105"/>
      <c r="O438" s="105"/>
      <c r="P438" s="108"/>
      <c r="Q438" s="105"/>
      <c r="R438" s="105"/>
      <c r="S438" s="105"/>
      <c r="T438" s="105"/>
      <c r="U438" s="108"/>
      <c r="V438" s="105"/>
      <c r="W438" s="105"/>
      <c r="X438" s="105"/>
      <c r="Y438" s="105"/>
      <c r="Z438" s="105"/>
      <c r="AA438" s="108"/>
      <c r="AB438" s="108"/>
      <c r="AC438" s="105"/>
      <c r="AD438" s="279"/>
      <c r="AE438" s="105"/>
      <c r="AF438" s="279"/>
      <c r="AG438" s="105"/>
      <c r="AH438" s="108"/>
      <c r="AI438" s="108"/>
      <c r="AJ438" s="108"/>
      <c r="AK438" s="108"/>
      <c r="AL438" s="105"/>
      <c r="AM438" s="108"/>
      <c r="AN438" s="105"/>
      <c r="AO438" s="108"/>
      <c r="AP438" s="108"/>
      <c r="AQ438" s="105"/>
      <c r="AR438" s="108"/>
      <c r="AS438" s="108"/>
      <c r="AT438" s="105"/>
      <c r="AU438" s="105"/>
      <c r="AV438" s="105"/>
      <c r="AW438" s="105"/>
      <c r="AX438" s="105"/>
      <c r="AY438" s="105"/>
      <c r="AZ438" s="105"/>
      <c r="BA438" s="105"/>
      <c r="BB438" s="105"/>
      <c r="BC438" s="105"/>
      <c r="BD438" s="108"/>
      <c r="BE438" s="83">
        <f>IF($A438="","",IF(TRIM($D438&amp;"")="",IF(TRIM($AX438&amp;$AY438&amp;$AZ438&amp;$BA438&amp;$BB438&amp;$BC438&amp;$BD438&amp;"")="","","SUBARRENDADO"),IFERROR(IF(VLOOKUP($D438,VEHICULOS!$A$3:$H$202,7,FALSE)="","",VLOOKUP($D438,VEHICULOS!$A$3:$H$202,7,FALSE)),"")))</f>
      </c>
      <c r="BF438" s="82">
        <f>IF($A438="","",IF(TRIM($BC438&amp;"")&lt;&gt;"",$BC438,IF(TRIM($D438&amp;"")="","",IFERROR(IF(VLOOKUP($D438,VEHICULOS!$A$3:$H$202,8,FALSE)="","",VLOOKUP($D438,VEHICULOS!$A$3:$H$202,8,FALSE)),""))))</f>
      </c>
      <c r="BG438" s="106"/>
      <c r="BH438" s="107"/>
      <c r="BI438" s="86">
        <f t="shared" si="90"/>
      </c>
      <c r="BJ438" s="83">
        <f t="shared" si="91"/>
      </c>
      <c r="BK438" s="85">
        <f t="shared" si="92"/>
      </c>
      <c r="BL438" s="85">
        <f t="shared" si="93"/>
      </c>
      <c r="BM438" s="108"/>
      <c r="BN438" s="85">
        <f t="shared" si="94"/>
      </c>
      <c r="BO438" s="108"/>
      <c r="BP438" s="85">
        <f t="shared" si="95"/>
      </c>
      <c r="BQ438" s="85">
        <f t="shared" si="96"/>
      </c>
      <c r="BR438" s="108"/>
      <c r="BS438" s="104"/>
      <c r="BT438" s="87">
        <f t="shared" si="97"/>
      </c>
      <c r="BU438" s="85">
        <f t="shared" si="98"/>
      </c>
      <c r="BV438" s="85">
        <f t="shared" si="99"/>
      </c>
      <c r="BW438" s="87">
        <f t="shared" si="100"/>
      </c>
      <c r="BX438" s="104"/>
      <c r="BY438" s="106"/>
      <c r="BZ438" s="104"/>
      <c r="CA438" s="105"/>
      <c r="CB438" s="77">
        <f>IF($A438="",0,IF($B438='FICHA CLIENTE'!$C$4,1,0))</f>
      </c>
      <c r="CC438" s="77">
        <f t="shared" si="101"/>
      </c>
      <c r="CD438" s="77">
        <f>IF($A438="",0,IF($D438='FICHA VEHICULO'!$C$4,1,0))</f>
      </c>
      <c r="CE438" s="77">
        <f t="shared" si="102"/>
      </c>
      <c r="CF438" s="77">
        <f t="shared" si="103"/>
      </c>
      <c r="CG438" s="77">
        <f t="shared" si="104"/>
      </c>
    </row>
    <row r="439" spans="1:85" ht="19.5" customHeight="1" x14ac:dyDescent="0.2">
      <c r="A439" s="104"/>
      <c r="B439" s="104"/>
      <c r="C439" s="105"/>
      <c r="D439" s="104"/>
      <c r="E439" s="105"/>
      <c r="F439" s="106"/>
      <c r="G439" s="104"/>
      <c r="H439" s="106"/>
      <c r="I439" s="107"/>
      <c r="J439" s="108"/>
      <c r="K439" s="108"/>
      <c r="L439" s="108"/>
      <c r="M439" s="105"/>
      <c r="N439" s="105"/>
      <c r="O439" s="105"/>
      <c r="P439" s="108"/>
      <c r="Q439" s="105"/>
      <c r="R439" s="105"/>
      <c r="S439" s="105"/>
      <c r="T439" s="105"/>
      <c r="U439" s="108"/>
      <c r="V439" s="105"/>
      <c r="W439" s="105"/>
      <c r="X439" s="105"/>
      <c r="Y439" s="105"/>
      <c r="Z439" s="105"/>
      <c r="AA439" s="108"/>
      <c r="AB439" s="108"/>
      <c r="AC439" s="105"/>
      <c r="AD439" s="279"/>
      <c r="AE439" s="105"/>
      <c r="AF439" s="279"/>
      <c r="AG439" s="105"/>
      <c r="AH439" s="108"/>
      <c r="AI439" s="108"/>
      <c r="AJ439" s="108"/>
      <c r="AK439" s="108"/>
      <c r="AL439" s="105"/>
      <c r="AM439" s="108"/>
      <c r="AN439" s="105"/>
      <c r="AO439" s="108"/>
      <c r="AP439" s="108"/>
      <c r="AQ439" s="105"/>
      <c r="AR439" s="108"/>
      <c r="AS439" s="108"/>
      <c r="AT439" s="105"/>
      <c r="AU439" s="105"/>
      <c r="AV439" s="105"/>
      <c r="AW439" s="105"/>
      <c r="AX439" s="105"/>
      <c r="AY439" s="105"/>
      <c r="AZ439" s="105"/>
      <c r="BA439" s="105"/>
      <c r="BB439" s="105"/>
      <c r="BC439" s="105"/>
      <c r="BD439" s="108"/>
      <c r="BE439" s="83">
        <f>IF($A439="","",IF(TRIM($D439&amp;"")="",IF(TRIM($AX439&amp;$AY439&amp;$AZ439&amp;$BA439&amp;$BB439&amp;$BC439&amp;$BD439&amp;"")="","","SUBARRENDADO"),IFERROR(IF(VLOOKUP($D439,VEHICULOS!$A$3:$H$202,7,FALSE)="","",VLOOKUP($D439,VEHICULOS!$A$3:$H$202,7,FALSE)),"")))</f>
      </c>
      <c r="BF439" s="82">
        <f>IF($A439="","",IF(TRIM($BC439&amp;"")&lt;&gt;"",$BC439,IF(TRIM($D439&amp;"")="","",IFERROR(IF(VLOOKUP($D439,VEHICULOS!$A$3:$H$202,8,FALSE)="","",VLOOKUP($D439,VEHICULOS!$A$3:$H$202,8,FALSE)),""))))</f>
      </c>
      <c r="BG439" s="106"/>
      <c r="BH439" s="107"/>
      <c r="BI439" s="86">
        <f t="shared" si="90"/>
      </c>
      <c r="BJ439" s="83">
        <f t="shared" si="91"/>
      </c>
      <c r="BK439" s="85">
        <f t="shared" si="92"/>
      </c>
      <c r="BL439" s="85">
        <f t="shared" si="93"/>
      </c>
      <c r="BM439" s="108"/>
      <c r="BN439" s="85">
        <f t="shared" si="94"/>
      </c>
      <c r="BO439" s="108"/>
      <c r="BP439" s="85">
        <f t="shared" si="95"/>
      </c>
      <c r="BQ439" s="85">
        <f t="shared" si="96"/>
      </c>
      <c r="BR439" s="108"/>
      <c r="BS439" s="104"/>
      <c r="BT439" s="87">
        <f t="shared" si="97"/>
      </c>
      <c r="BU439" s="85">
        <f t="shared" si="98"/>
      </c>
      <c r="BV439" s="85">
        <f t="shared" si="99"/>
      </c>
      <c r="BW439" s="87">
        <f t="shared" si="100"/>
      </c>
      <c r="BX439" s="104"/>
      <c r="BY439" s="106"/>
      <c r="BZ439" s="104"/>
      <c r="CA439" s="105"/>
      <c r="CB439" s="77">
        <f>IF($A439="",0,IF($B439='FICHA CLIENTE'!$C$4,1,0))</f>
      </c>
      <c r="CC439" s="77">
        <f t="shared" si="101"/>
      </c>
      <c r="CD439" s="77">
        <f>IF($A439="",0,IF($D439='FICHA VEHICULO'!$C$4,1,0))</f>
      </c>
      <c r="CE439" s="77">
        <f t="shared" si="102"/>
      </c>
      <c r="CF439" s="77">
        <f t="shared" si="103"/>
      </c>
      <c r="CG439" s="77">
        <f t="shared" si="104"/>
      </c>
    </row>
    <row r="440" spans="1:85" ht="19.5" customHeight="1" x14ac:dyDescent="0.2">
      <c r="A440" s="104"/>
      <c r="B440" s="104"/>
      <c r="C440" s="105"/>
      <c r="D440" s="104"/>
      <c r="E440" s="105"/>
      <c r="F440" s="106"/>
      <c r="G440" s="104"/>
      <c r="H440" s="106"/>
      <c r="I440" s="107"/>
      <c r="J440" s="108"/>
      <c r="K440" s="108"/>
      <c r="L440" s="108"/>
      <c r="M440" s="105"/>
      <c r="N440" s="105"/>
      <c r="O440" s="105"/>
      <c r="P440" s="108"/>
      <c r="Q440" s="105"/>
      <c r="R440" s="105"/>
      <c r="S440" s="105"/>
      <c r="T440" s="105"/>
      <c r="U440" s="108"/>
      <c r="V440" s="105"/>
      <c r="W440" s="105"/>
      <c r="X440" s="105"/>
      <c r="Y440" s="105"/>
      <c r="Z440" s="105"/>
      <c r="AA440" s="108"/>
      <c r="AB440" s="108"/>
      <c r="AC440" s="105"/>
      <c r="AD440" s="279"/>
      <c r="AE440" s="105"/>
      <c r="AF440" s="279"/>
      <c r="AG440" s="105"/>
      <c r="AH440" s="108"/>
      <c r="AI440" s="108"/>
      <c r="AJ440" s="108"/>
      <c r="AK440" s="108"/>
      <c r="AL440" s="105"/>
      <c r="AM440" s="108"/>
      <c r="AN440" s="105"/>
      <c r="AO440" s="108"/>
      <c r="AP440" s="108"/>
      <c r="AQ440" s="105"/>
      <c r="AR440" s="108"/>
      <c r="AS440" s="108"/>
      <c r="AT440" s="105"/>
      <c r="AU440" s="105"/>
      <c r="AV440" s="105"/>
      <c r="AW440" s="105"/>
      <c r="AX440" s="105"/>
      <c r="AY440" s="105"/>
      <c r="AZ440" s="105"/>
      <c r="BA440" s="105"/>
      <c r="BB440" s="105"/>
      <c r="BC440" s="105"/>
      <c r="BD440" s="108"/>
      <c r="BE440" s="83">
        <f>IF($A440="","",IF(TRIM($D440&amp;"")="",IF(TRIM($AX440&amp;$AY440&amp;$AZ440&amp;$BA440&amp;$BB440&amp;$BC440&amp;$BD440&amp;"")="","","SUBARRENDADO"),IFERROR(IF(VLOOKUP($D440,VEHICULOS!$A$3:$H$202,7,FALSE)="","",VLOOKUP($D440,VEHICULOS!$A$3:$H$202,7,FALSE)),"")))</f>
      </c>
      <c r="BF440" s="82">
        <f>IF($A440="","",IF(TRIM($BC440&amp;"")&lt;&gt;"",$BC440,IF(TRIM($D440&amp;"")="","",IFERROR(IF(VLOOKUP($D440,VEHICULOS!$A$3:$H$202,8,FALSE)="","",VLOOKUP($D440,VEHICULOS!$A$3:$H$202,8,FALSE)),""))))</f>
      </c>
      <c r="BG440" s="106"/>
      <c r="BH440" s="107"/>
      <c r="BI440" s="86">
        <f t="shared" si="90"/>
      </c>
      <c r="BJ440" s="83">
        <f t="shared" si="91"/>
      </c>
      <c r="BK440" s="85">
        <f t="shared" si="92"/>
      </c>
      <c r="BL440" s="85">
        <f t="shared" si="93"/>
      </c>
      <c r="BM440" s="108"/>
      <c r="BN440" s="85">
        <f t="shared" si="94"/>
      </c>
      <c r="BO440" s="108"/>
      <c r="BP440" s="85">
        <f t="shared" si="95"/>
      </c>
      <c r="BQ440" s="85">
        <f t="shared" si="96"/>
      </c>
      <c r="BR440" s="108"/>
      <c r="BS440" s="104"/>
      <c r="BT440" s="87">
        <f t="shared" si="97"/>
      </c>
      <c r="BU440" s="85">
        <f t="shared" si="98"/>
      </c>
      <c r="BV440" s="85">
        <f t="shared" si="99"/>
      </c>
      <c r="BW440" s="87">
        <f t="shared" si="100"/>
      </c>
      <c r="BX440" s="104"/>
      <c r="BY440" s="106"/>
      <c r="BZ440" s="104"/>
      <c r="CA440" s="105"/>
      <c r="CB440" s="77">
        <f>IF($A440="",0,IF($B440='FICHA CLIENTE'!$C$4,1,0))</f>
      </c>
      <c r="CC440" s="77">
        <f t="shared" si="101"/>
      </c>
      <c r="CD440" s="77">
        <f>IF($A440="",0,IF($D440='FICHA VEHICULO'!$C$4,1,0))</f>
      </c>
      <c r="CE440" s="77">
        <f t="shared" si="102"/>
      </c>
      <c r="CF440" s="77">
        <f t="shared" si="103"/>
      </c>
      <c r="CG440" s="77">
        <f t="shared" si="104"/>
      </c>
    </row>
    <row r="441" spans="1:85" ht="19.5" customHeight="1" x14ac:dyDescent="0.2">
      <c r="A441" s="104"/>
      <c r="B441" s="104"/>
      <c r="C441" s="105"/>
      <c r="D441" s="104"/>
      <c r="E441" s="105"/>
      <c r="F441" s="106"/>
      <c r="G441" s="104"/>
      <c r="H441" s="106"/>
      <c r="I441" s="107"/>
      <c r="J441" s="108"/>
      <c r="K441" s="108"/>
      <c r="L441" s="108"/>
      <c r="M441" s="105"/>
      <c r="N441" s="105"/>
      <c r="O441" s="105"/>
      <c r="P441" s="108"/>
      <c r="Q441" s="105"/>
      <c r="R441" s="105"/>
      <c r="S441" s="105"/>
      <c r="T441" s="105"/>
      <c r="U441" s="108"/>
      <c r="V441" s="105"/>
      <c r="W441" s="105"/>
      <c r="X441" s="105"/>
      <c r="Y441" s="105"/>
      <c r="Z441" s="105"/>
      <c r="AA441" s="108"/>
      <c r="AB441" s="108"/>
      <c r="AC441" s="105"/>
      <c r="AD441" s="279"/>
      <c r="AE441" s="105"/>
      <c r="AF441" s="279"/>
      <c r="AG441" s="105"/>
      <c r="AH441" s="108"/>
      <c r="AI441" s="108"/>
      <c r="AJ441" s="108"/>
      <c r="AK441" s="108"/>
      <c r="AL441" s="105"/>
      <c r="AM441" s="108"/>
      <c r="AN441" s="105"/>
      <c r="AO441" s="108"/>
      <c r="AP441" s="108"/>
      <c r="AQ441" s="105"/>
      <c r="AR441" s="108"/>
      <c r="AS441" s="108"/>
      <c r="AT441" s="105"/>
      <c r="AU441" s="105"/>
      <c r="AV441" s="105"/>
      <c r="AW441" s="105"/>
      <c r="AX441" s="105"/>
      <c r="AY441" s="105"/>
      <c r="AZ441" s="105"/>
      <c r="BA441" s="105"/>
      <c r="BB441" s="105"/>
      <c r="BC441" s="105"/>
      <c r="BD441" s="108"/>
      <c r="BE441" s="83">
        <f>IF($A441="","",IF(TRIM($D441&amp;"")="",IF(TRIM($AX441&amp;$AY441&amp;$AZ441&amp;$BA441&amp;$BB441&amp;$BC441&amp;$BD441&amp;"")="","","SUBARRENDADO"),IFERROR(IF(VLOOKUP($D441,VEHICULOS!$A$3:$H$202,7,FALSE)="","",VLOOKUP($D441,VEHICULOS!$A$3:$H$202,7,FALSE)),"")))</f>
      </c>
      <c r="BF441" s="82">
        <f>IF($A441="","",IF(TRIM($BC441&amp;"")&lt;&gt;"",$BC441,IF(TRIM($D441&amp;"")="","",IFERROR(IF(VLOOKUP($D441,VEHICULOS!$A$3:$H$202,8,FALSE)="","",VLOOKUP($D441,VEHICULOS!$A$3:$H$202,8,FALSE)),""))))</f>
      </c>
      <c r="BG441" s="106"/>
      <c r="BH441" s="107"/>
      <c r="BI441" s="86">
        <f t="shared" si="90"/>
      </c>
      <c r="BJ441" s="83">
        <f t="shared" si="91"/>
      </c>
      <c r="BK441" s="85">
        <f t="shared" si="92"/>
      </c>
      <c r="BL441" s="85">
        <f t="shared" si="93"/>
      </c>
      <c r="BM441" s="108"/>
      <c r="BN441" s="85">
        <f t="shared" si="94"/>
      </c>
      <c r="BO441" s="108"/>
      <c r="BP441" s="85">
        <f t="shared" si="95"/>
      </c>
      <c r="BQ441" s="85">
        <f t="shared" si="96"/>
      </c>
      <c r="BR441" s="108"/>
      <c r="BS441" s="104"/>
      <c r="BT441" s="87">
        <f t="shared" si="97"/>
      </c>
      <c r="BU441" s="85">
        <f t="shared" si="98"/>
      </c>
      <c r="BV441" s="85">
        <f t="shared" si="99"/>
      </c>
      <c r="BW441" s="87">
        <f t="shared" si="100"/>
      </c>
      <c r="BX441" s="104"/>
      <c r="BY441" s="106"/>
      <c r="BZ441" s="104"/>
      <c r="CA441" s="105"/>
      <c r="CB441" s="77">
        <f>IF($A441="",0,IF($B441='FICHA CLIENTE'!$C$4,1,0))</f>
      </c>
      <c r="CC441" s="77">
        <f t="shared" si="101"/>
      </c>
      <c r="CD441" s="77">
        <f>IF($A441="",0,IF($D441='FICHA VEHICULO'!$C$4,1,0))</f>
      </c>
      <c r="CE441" s="77">
        <f t="shared" si="102"/>
      </c>
      <c r="CF441" s="77">
        <f t="shared" si="103"/>
      </c>
      <c r="CG441" s="77">
        <f t="shared" si="104"/>
      </c>
    </row>
    <row r="442" spans="1:85" ht="19.5" customHeight="1" x14ac:dyDescent="0.2">
      <c r="A442" s="104"/>
      <c r="B442" s="104"/>
      <c r="C442" s="105"/>
      <c r="D442" s="104"/>
      <c r="E442" s="105"/>
      <c r="F442" s="106"/>
      <c r="G442" s="104"/>
      <c r="H442" s="106"/>
      <c r="I442" s="107"/>
      <c r="J442" s="108"/>
      <c r="K442" s="108"/>
      <c r="L442" s="108"/>
      <c r="M442" s="105"/>
      <c r="N442" s="105"/>
      <c r="O442" s="105"/>
      <c r="P442" s="108"/>
      <c r="Q442" s="105"/>
      <c r="R442" s="105"/>
      <c r="S442" s="105"/>
      <c r="T442" s="105"/>
      <c r="U442" s="108"/>
      <c r="V442" s="105"/>
      <c r="W442" s="105"/>
      <c r="X442" s="105"/>
      <c r="Y442" s="105"/>
      <c r="Z442" s="105"/>
      <c r="AA442" s="108"/>
      <c r="AB442" s="108"/>
      <c r="AC442" s="105"/>
      <c r="AD442" s="279"/>
      <c r="AE442" s="105"/>
      <c r="AF442" s="279"/>
      <c r="AG442" s="105"/>
      <c r="AH442" s="108"/>
      <c r="AI442" s="108"/>
      <c r="AJ442" s="108"/>
      <c r="AK442" s="108"/>
      <c r="AL442" s="105"/>
      <c r="AM442" s="108"/>
      <c r="AN442" s="105"/>
      <c r="AO442" s="108"/>
      <c r="AP442" s="108"/>
      <c r="AQ442" s="105"/>
      <c r="AR442" s="108"/>
      <c r="AS442" s="108"/>
      <c r="AT442" s="105"/>
      <c r="AU442" s="105"/>
      <c r="AV442" s="105"/>
      <c r="AW442" s="105"/>
      <c r="AX442" s="105"/>
      <c r="AY442" s="105"/>
      <c r="AZ442" s="105"/>
      <c r="BA442" s="105"/>
      <c r="BB442" s="105"/>
      <c r="BC442" s="105"/>
      <c r="BD442" s="108"/>
      <c r="BE442" s="83">
        <f>IF($A442="","",IF(TRIM($D442&amp;"")="",IF(TRIM($AX442&amp;$AY442&amp;$AZ442&amp;$BA442&amp;$BB442&amp;$BC442&amp;$BD442&amp;"")="","","SUBARRENDADO"),IFERROR(IF(VLOOKUP($D442,VEHICULOS!$A$3:$H$202,7,FALSE)="","",VLOOKUP($D442,VEHICULOS!$A$3:$H$202,7,FALSE)),"")))</f>
      </c>
      <c r="BF442" s="82">
        <f>IF($A442="","",IF(TRIM($BC442&amp;"")&lt;&gt;"",$BC442,IF(TRIM($D442&amp;"")="","",IFERROR(IF(VLOOKUP($D442,VEHICULOS!$A$3:$H$202,8,FALSE)="","",VLOOKUP($D442,VEHICULOS!$A$3:$H$202,8,FALSE)),""))))</f>
      </c>
      <c r="BG442" s="106"/>
      <c r="BH442" s="107"/>
      <c r="BI442" s="86">
        <f t="shared" si="90"/>
      </c>
      <c r="BJ442" s="83">
        <f t="shared" si="91"/>
      </c>
      <c r="BK442" s="85">
        <f t="shared" si="92"/>
      </c>
      <c r="BL442" s="85">
        <f t="shared" si="93"/>
      </c>
      <c r="BM442" s="108"/>
      <c r="BN442" s="85">
        <f t="shared" si="94"/>
      </c>
      <c r="BO442" s="108"/>
      <c r="BP442" s="85">
        <f t="shared" si="95"/>
      </c>
      <c r="BQ442" s="85">
        <f t="shared" si="96"/>
      </c>
      <c r="BR442" s="108"/>
      <c r="BS442" s="104"/>
      <c r="BT442" s="87">
        <f t="shared" si="97"/>
      </c>
      <c r="BU442" s="85">
        <f t="shared" si="98"/>
      </c>
      <c r="BV442" s="85">
        <f t="shared" si="99"/>
      </c>
      <c r="BW442" s="87">
        <f t="shared" si="100"/>
      </c>
      <c r="BX442" s="104"/>
      <c r="BY442" s="106"/>
      <c r="BZ442" s="104"/>
      <c r="CA442" s="105"/>
      <c r="CB442" s="77">
        <f>IF($A442="",0,IF($B442='FICHA CLIENTE'!$C$4,1,0))</f>
      </c>
      <c r="CC442" s="77">
        <f t="shared" si="101"/>
      </c>
      <c r="CD442" s="77">
        <f>IF($A442="",0,IF($D442='FICHA VEHICULO'!$C$4,1,0))</f>
      </c>
      <c r="CE442" s="77">
        <f t="shared" si="102"/>
      </c>
      <c r="CF442" s="77">
        <f t="shared" si="103"/>
      </c>
      <c r="CG442" s="77">
        <f t="shared" si="104"/>
      </c>
    </row>
    <row r="443" spans="1:85" ht="19.5" customHeight="1" x14ac:dyDescent="0.2">
      <c r="A443" s="104"/>
      <c r="B443" s="104"/>
      <c r="C443" s="105"/>
      <c r="D443" s="104"/>
      <c r="E443" s="105"/>
      <c r="F443" s="106"/>
      <c r="G443" s="104"/>
      <c r="H443" s="106"/>
      <c r="I443" s="107"/>
      <c r="J443" s="108"/>
      <c r="K443" s="108"/>
      <c r="L443" s="108"/>
      <c r="M443" s="105"/>
      <c r="N443" s="105"/>
      <c r="O443" s="105"/>
      <c r="P443" s="108"/>
      <c r="Q443" s="105"/>
      <c r="R443" s="105"/>
      <c r="S443" s="105"/>
      <c r="T443" s="105"/>
      <c r="U443" s="108"/>
      <c r="V443" s="105"/>
      <c r="W443" s="105"/>
      <c r="X443" s="105"/>
      <c r="Y443" s="105"/>
      <c r="Z443" s="105"/>
      <c r="AA443" s="108"/>
      <c r="AB443" s="108"/>
      <c r="AC443" s="105"/>
      <c r="AD443" s="279"/>
      <c r="AE443" s="105"/>
      <c r="AF443" s="279"/>
      <c r="AG443" s="105"/>
      <c r="AH443" s="108"/>
      <c r="AI443" s="108"/>
      <c r="AJ443" s="108"/>
      <c r="AK443" s="108"/>
      <c r="AL443" s="105"/>
      <c r="AM443" s="108"/>
      <c r="AN443" s="105"/>
      <c r="AO443" s="108"/>
      <c r="AP443" s="108"/>
      <c r="AQ443" s="105"/>
      <c r="AR443" s="108"/>
      <c r="AS443" s="108"/>
      <c r="AT443" s="105"/>
      <c r="AU443" s="105"/>
      <c r="AV443" s="105"/>
      <c r="AW443" s="105"/>
      <c r="AX443" s="105"/>
      <c r="AY443" s="105"/>
      <c r="AZ443" s="105"/>
      <c r="BA443" s="105"/>
      <c r="BB443" s="105"/>
      <c r="BC443" s="105"/>
      <c r="BD443" s="108"/>
      <c r="BE443" s="83">
        <f>IF($A443="","",IF(TRIM($D443&amp;"")="",IF(TRIM($AX443&amp;$AY443&amp;$AZ443&amp;$BA443&amp;$BB443&amp;$BC443&amp;$BD443&amp;"")="","","SUBARRENDADO"),IFERROR(IF(VLOOKUP($D443,VEHICULOS!$A$3:$H$202,7,FALSE)="","",VLOOKUP($D443,VEHICULOS!$A$3:$H$202,7,FALSE)),"")))</f>
      </c>
      <c r="BF443" s="82">
        <f>IF($A443="","",IF(TRIM($BC443&amp;"")&lt;&gt;"",$BC443,IF(TRIM($D443&amp;"")="","",IFERROR(IF(VLOOKUP($D443,VEHICULOS!$A$3:$H$202,8,FALSE)="","",VLOOKUP($D443,VEHICULOS!$A$3:$H$202,8,FALSE)),""))))</f>
      </c>
      <c r="BG443" s="106"/>
      <c r="BH443" s="107"/>
      <c r="BI443" s="86">
        <f t="shared" si="90"/>
      </c>
      <c r="BJ443" s="83">
        <f t="shared" si="91"/>
      </c>
      <c r="BK443" s="85">
        <f t="shared" si="92"/>
      </c>
      <c r="BL443" s="85">
        <f t="shared" si="93"/>
      </c>
      <c r="BM443" s="108"/>
      <c r="BN443" s="85">
        <f t="shared" si="94"/>
      </c>
      <c r="BO443" s="108"/>
      <c r="BP443" s="85">
        <f t="shared" si="95"/>
      </c>
      <c r="BQ443" s="85">
        <f t="shared" si="96"/>
      </c>
      <c r="BR443" s="108"/>
      <c r="BS443" s="104"/>
      <c r="BT443" s="87">
        <f t="shared" si="97"/>
      </c>
      <c r="BU443" s="85">
        <f t="shared" si="98"/>
      </c>
      <c r="BV443" s="85">
        <f t="shared" si="99"/>
      </c>
      <c r="BW443" s="87">
        <f t="shared" si="100"/>
      </c>
      <c r="BX443" s="104"/>
      <c r="BY443" s="106"/>
      <c r="BZ443" s="104"/>
      <c r="CA443" s="105"/>
      <c r="CB443" s="77">
        <f>IF($A443="",0,IF($B443='FICHA CLIENTE'!$C$4,1,0))</f>
      </c>
      <c r="CC443" s="77">
        <f t="shared" si="101"/>
      </c>
      <c r="CD443" s="77">
        <f>IF($A443="",0,IF($D443='FICHA VEHICULO'!$C$4,1,0))</f>
      </c>
      <c r="CE443" s="77">
        <f t="shared" si="102"/>
      </c>
      <c r="CF443" s="77">
        <f t="shared" si="103"/>
      </c>
      <c r="CG443" s="77">
        <f t="shared" si="104"/>
      </c>
    </row>
    <row r="444" spans="1:85" ht="19.5" customHeight="1" x14ac:dyDescent="0.2">
      <c r="A444" s="104"/>
      <c r="B444" s="104"/>
      <c r="C444" s="105"/>
      <c r="D444" s="104"/>
      <c r="E444" s="105"/>
      <c r="F444" s="106"/>
      <c r="G444" s="104"/>
      <c r="H444" s="106"/>
      <c r="I444" s="107"/>
      <c r="J444" s="108"/>
      <c r="K444" s="108"/>
      <c r="L444" s="108"/>
      <c r="M444" s="105"/>
      <c r="N444" s="105"/>
      <c r="O444" s="105"/>
      <c r="P444" s="108"/>
      <c r="Q444" s="105"/>
      <c r="R444" s="105"/>
      <c r="S444" s="105"/>
      <c r="T444" s="105"/>
      <c r="U444" s="108"/>
      <c r="V444" s="105"/>
      <c r="W444" s="105"/>
      <c r="X444" s="105"/>
      <c r="Y444" s="105"/>
      <c r="Z444" s="105"/>
      <c r="AA444" s="108"/>
      <c r="AB444" s="108"/>
      <c r="AC444" s="105"/>
      <c r="AD444" s="279"/>
      <c r="AE444" s="105"/>
      <c r="AF444" s="279"/>
      <c r="AG444" s="105"/>
      <c r="AH444" s="108"/>
      <c r="AI444" s="108"/>
      <c r="AJ444" s="108"/>
      <c r="AK444" s="108"/>
      <c r="AL444" s="105"/>
      <c r="AM444" s="108"/>
      <c r="AN444" s="105"/>
      <c r="AO444" s="108"/>
      <c r="AP444" s="108"/>
      <c r="AQ444" s="105"/>
      <c r="AR444" s="108"/>
      <c r="AS444" s="108"/>
      <c r="AT444" s="105"/>
      <c r="AU444" s="105"/>
      <c r="AV444" s="105"/>
      <c r="AW444" s="105"/>
      <c r="AX444" s="105"/>
      <c r="AY444" s="105"/>
      <c r="AZ444" s="105"/>
      <c r="BA444" s="105"/>
      <c r="BB444" s="105"/>
      <c r="BC444" s="105"/>
      <c r="BD444" s="108"/>
      <c r="BE444" s="83">
        <f>IF($A444="","",IF(TRIM($D444&amp;"")="",IF(TRIM($AX444&amp;$AY444&amp;$AZ444&amp;$BA444&amp;$BB444&amp;$BC444&amp;$BD444&amp;"")="","","SUBARRENDADO"),IFERROR(IF(VLOOKUP($D444,VEHICULOS!$A$3:$H$202,7,FALSE)="","",VLOOKUP($D444,VEHICULOS!$A$3:$H$202,7,FALSE)),"")))</f>
      </c>
      <c r="BF444" s="82">
        <f>IF($A444="","",IF(TRIM($BC444&amp;"")&lt;&gt;"",$BC444,IF(TRIM($D444&amp;"")="","",IFERROR(IF(VLOOKUP($D444,VEHICULOS!$A$3:$H$202,8,FALSE)="","",VLOOKUP($D444,VEHICULOS!$A$3:$H$202,8,FALSE)),""))))</f>
      </c>
      <c r="BG444" s="106"/>
      <c r="BH444" s="107"/>
      <c r="BI444" s="86">
        <f t="shared" si="90"/>
      </c>
      <c r="BJ444" s="83">
        <f t="shared" si="91"/>
      </c>
      <c r="BK444" s="85">
        <f t="shared" si="92"/>
      </c>
      <c r="BL444" s="85">
        <f t="shared" si="93"/>
      </c>
      <c r="BM444" s="108"/>
      <c r="BN444" s="85">
        <f t="shared" si="94"/>
      </c>
      <c r="BO444" s="108"/>
      <c r="BP444" s="85">
        <f t="shared" si="95"/>
      </c>
      <c r="BQ444" s="85">
        <f t="shared" si="96"/>
      </c>
      <c r="BR444" s="108"/>
      <c r="BS444" s="104"/>
      <c r="BT444" s="87">
        <f t="shared" si="97"/>
      </c>
      <c r="BU444" s="85">
        <f t="shared" si="98"/>
      </c>
      <c r="BV444" s="85">
        <f t="shared" si="99"/>
      </c>
      <c r="BW444" s="87">
        <f t="shared" si="100"/>
      </c>
      <c r="BX444" s="104"/>
      <c r="BY444" s="106"/>
      <c r="BZ444" s="104"/>
      <c r="CA444" s="105"/>
      <c r="CB444" s="77">
        <f>IF($A444="",0,IF($B444='FICHA CLIENTE'!$C$4,1,0))</f>
      </c>
      <c r="CC444" s="77">
        <f t="shared" si="101"/>
      </c>
      <c r="CD444" s="77">
        <f>IF($A444="",0,IF($D444='FICHA VEHICULO'!$C$4,1,0))</f>
      </c>
      <c r="CE444" s="77">
        <f t="shared" si="102"/>
      </c>
      <c r="CF444" s="77">
        <f t="shared" si="103"/>
      </c>
      <c r="CG444" s="77">
        <f t="shared" si="104"/>
      </c>
    </row>
    <row r="445" spans="1:85" ht="19.5" customHeight="1" x14ac:dyDescent="0.2">
      <c r="A445" s="104"/>
      <c r="B445" s="104"/>
      <c r="C445" s="105"/>
      <c r="D445" s="104"/>
      <c r="E445" s="105"/>
      <c r="F445" s="106"/>
      <c r="G445" s="104"/>
      <c r="H445" s="106"/>
      <c r="I445" s="107"/>
      <c r="J445" s="108"/>
      <c r="K445" s="108"/>
      <c r="L445" s="108"/>
      <c r="M445" s="105"/>
      <c r="N445" s="105"/>
      <c r="O445" s="105"/>
      <c r="P445" s="108"/>
      <c r="Q445" s="105"/>
      <c r="R445" s="105"/>
      <c r="S445" s="105"/>
      <c r="T445" s="105"/>
      <c r="U445" s="108"/>
      <c r="V445" s="105"/>
      <c r="W445" s="105"/>
      <c r="X445" s="105"/>
      <c r="Y445" s="105"/>
      <c r="Z445" s="105"/>
      <c r="AA445" s="108"/>
      <c r="AB445" s="108"/>
      <c r="AC445" s="105"/>
      <c r="AD445" s="279"/>
      <c r="AE445" s="105"/>
      <c r="AF445" s="279"/>
      <c r="AG445" s="105"/>
      <c r="AH445" s="108"/>
      <c r="AI445" s="108"/>
      <c r="AJ445" s="108"/>
      <c r="AK445" s="108"/>
      <c r="AL445" s="105"/>
      <c r="AM445" s="108"/>
      <c r="AN445" s="105"/>
      <c r="AO445" s="108"/>
      <c r="AP445" s="108"/>
      <c r="AQ445" s="105"/>
      <c r="AR445" s="108"/>
      <c r="AS445" s="108"/>
      <c r="AT445" s="105"/>
      <c r="AU445" s="105"/>
      <c r="AV445" s="105"/>
      <c r="AW445" s="105"/>
      <c r="AX445" s="105"/>
      <c r="AY445" s="105"/>
      <c r="AZ445" s="105"/>
      <c r="BA445" s="105"/>
      <c r="BB445" s="105"/>
      <c r="BC445" s="105"/>
      <c r="BD445" s="108"/>
      <c r="BE445" s="83">
        <f>IF($A445="","",IF(TRIM($D445&amp;"")="",IF(TRIM($AX445&amp;$AY445&amp;$AZ445&amp;$BA445&amp;$BB445&amp;$BC445&amp;$BD445&amp;"")="","","SUBARRENDADO"),IFERROR(IF(VLOOKUP($D445,VEHICULOS!$A$3:$H$202,7,FALSE)="","",VLOOKUP($D445,VEHICULOS!$A$3:$H$202,7,FALSE)),"")))</f>
      </c>
      <c r="BF445" s="82">
        <f>IF($A445="","",IF(TRIM($BC445&amp;"")&lt;&gt;"",$BC445,IF(TRIM($D445&amp;"")="","",IFERROR(IF(VLOOKUP($D445,VEHICULOS!$A$3:$H$202,8,FALSE)="","",VLOOKUP($D445,VEHICULOS!$A$3:$H$202,8,FALSE)),""))))</f>
      </c>
      <c r="BG445" s="106"/>
      <c r="BH445" s="107"/>
      <c r="BI445" s="86">
        <f t="shared" si="90"/>
      </c>
      <c r="BJ445" s="83">
        <f t="shared" si="91"/>
      </c>
      <c r="BK445" s="85">
        <f t="shared" si="92"/>
      </c>
      <c r="BL445" s="85">
        <f t="shared" si="93"/>
      </c>
      <c r="BM445" s="108"/>
      <c r="BN445" s="85">
        <f t="shared" si="94"/>
      </c>
      <c r="BO445" s="108"/>
      <c r="BP445" s="85">
        <f t="shared" si="95"/>
      </c>
      <c r="BQ445" s="85">
        <f t="shared" si="96"/>
      </c>
      <c r="BR445" s="108"/>
      <c r="BS445" s="104"/>
      <c r="BT445" s="87">
        <f t="shared" si="97"/>
      </c>
      <c r="BU445" s="85">
        <f t="shared" si="98"/>
      </c>
      <c r="BV445" s="85">
        <f t="shared" si="99"/>
      </c>
      <c r="BW445" s="87">
        <f t="shared" si="100"/>
      </c>
      <c r="BX445" s="104"/>
      <c r="BY445" s="106"/>
      <c r="BZ445" s="104"/>
      <c r="CA445" s="105"/>
      <c r="CB445" s="77">
        <f>IF($A445="",0,IF($B445='FICHA CLIENTE'!$C$4,1,0))</f>
      </c>
      <c r="CC445" s="77">
        <f t="shared" si="101"/>
      </c>
      <c r="CD445" s="77">
        <f>IF($A445="",0,IF($D445='FICHA VEHICULO'!$C$4,1,0))</f>
      </c>
      <c r="CE445" s="77">
        <f t="shared" si="102"/>
      </c>
      <c r="CF445" s="77">
        <f t="shared" si="103"/>
      </c>
      <c r="CG445" s="77">
        <f t="shared" si="104"/>
      </c>
    </row>
    <row r="446" spans="1:85" ht="19.5" customHeight="1" x14ac:dyDescent="0.2">
      <c r="A446" s="104"/>
      <c r="B446" s="104"/>
      <c r="C446" s="105"/>
      <c r="D446" s="104"/>
      <c r="E446" s="105"/>
      <c r="F446" s="106"/>
      <c r="G446" s="104"/>
      <c r="H446" s="106"/>
      <c r="I446" s="107"/>
      <c r="J446" s="108"/>
      <c r="K446" s="108"/>
      <c r="L446" s="108"/>
      <c r="M446" s="105"/>
      <c r="N446" s="105"/>
      <c r="O446" s="105"/>
      <c r="P446" s="108"/>
      <c r="Q446" s="105"/>
      <c r="R446" s="105"/>
      <c r="S446" s="105"/>
      <c r="T446" s="105"/>
      <c r="U446" s="108"/>
      <c r="V446" s="105"/>
      <c r="W446" s="105"/>
      <c r="X446" s="105"/>
      <c r="Y446" s="105"/>
      <c r="Z446" s="105"/>
      <c r="AA446" s="108"/>
      <c r="AB446" s="108"/>
      <c r="AC446" s="105"/>
      <c r="AD446" s="279"/>
      <c r="AE446" s="105"/>
      <c r="AF446" s="279"/>
      <c r="AG446" s="105"/>
      <c r="AH446" s="108"/>
      <c r="AI446" s="108"/>
      <c r="AJ446" s="108"/>
      <c r="AK446" s="108"/>
      <c r="AL446" s="105"/>
      <c r="AM446" s="108"/>
      <c r="AN446" s="105"/>
      <c r="AO446" s="108"/>
      <c r="AP446" s="108"/>
      <c r="AQ446" s="105"/>
      <c r="AR446" s="108"/>
      <c r="AS446" s="108"/>
      <c r="AT446" s="105"/>
      <c r="AU446" s="105"/>
      <c r="AV446" s="105"/>
      <c r="AW446" s="105"/>
      <c r="AX446" s="105"/>
      <c r="AY446" s="105"/>
      <c r="AZ446" s="105"/>
      <c r="BA446" s="105"/>
      <c r="BB446" s="105"/>
      <c r="BC446" s="105"/>
      <c r="BD446" s="108"/>
      <c r="BE446" s="83">
        <f>IF($A446="","",IF(TRIM($D446&amp;"")="",IF(TRIM($AX446&amp;$AY446&amp;$AZ446&amp;$BA446&amp;$BB446&amp;$BC446&amp;$BD446&amp;"")="","","SUBARRENDADO"),IFERROR(IF(VLOOKUP($D446,VEHICULOS!$A$3:$H$202,7,FALSE)="","",VLOOKUP($D446,VEHICULOS!$A$3:$H$202,7,FALSE)),"")))</f>
      </c>
      <c r="BF446" s="82">
        <f>IF($A446="","",IF(TRIM($BC446&amp;"")&lt;&gt;"",$BC446,IF(TRIM($D446&amp;"")="","",IFERROR(IF(VLOOKUP($D446,VEHICULOS!$A$3:$H$202,8,FALSE)="","",VLOOKUP($D446,VEHICULOS!$A$3:$H$202,8,FALSE)),""))))</f>
      </c>
      <c r="BG446" s="106"/>
      <c r="BH446" s="107"/>
      <c r="BI446" s="86">
        <f t="shared" si="90"/>
      </c>
      <c r="BJ446" s="83">
        <f t="shared" si="91"/>
      </c>
      <c r="BK446" s="85">
        <f t="shared" si="92"/>
      </c>
      <c r="BL446" s="85">
        <f t="shared" si="93"/>
      </c>
      <c r="BM446" s="108"/>
      <c r="BN446" s="85">
        <f t="shared" si="94"/>
      </c>
      <c r="BO446" s="108"/>
      <c r="BP446" s="85">
        <f t="shared" si="95"/>
      </c>
      <c r="BQ446" s="85">
        <f t="shared" si="96"/>
      </c>
      <c r="BR446" s="108"/>
      <c r="BS446" s="104"/>
      <c r="BT446" s="87">
        <f t="shared" si="97"/>
      </c>
      <c r="BU446" s="85">
        <f t="shared" si="98"/>
      </c>
      <c r="BV446" s="85">
        <f t="shared" si="99"/>
      </c>
      <c r="BW446" s="87">
        <f t="shared" si="100"/>
      </c>
      <c r="BX446" s="104"/>
      <c r="BY446" s="106"/>
      <c r="BZ446" s="104"/>
      <c r="CA446" s="105"/>
      <c r="CB446" s="77">
        <f>IF($A446="",0,IF($B446='FICHA CLIENTE'!$C$4,1,0))</f>
      </c>
      <c r="CC446" s="77">
        <f t="shared" si="101"/>
      </c>
      <c r="CD446" s="77">
        <f>IF($A446="",0,IF($D446='FICHA VEHICULO'!$C$4,1,0))</f>
      </c>
      <c r="CE446" s="77">
        <f t="shared" si="102"/>
      </c>
      <c r="CF446" s="77">
        <f t="shared" si="103"/>
      </c>
      <c r="CG446" s="77">
        <f t="shared" si="104"/>
      </c>
    </row>
    <row r="447" spans="1:85" ht="19.5" customHeight="1" x14ac:dyDescent="0.2">
      <c r="A447" s="104"/>
      <c r="B447" s="104"/>
      <c r="C447" s="105"/>
      <c r="D447" s="104"/>
      <c r="E447" s="105"/>
      <c r="F447" s="106"/>
      <c r="G447" s="104"/>
      <c r="H447" s="106"/>
      <c r="I447" s="107"/>
      <c r="J447" s="108"/>
      <c r="K447" s="108"/>
      <c r="L447" s="108"/>
      <c r="M447" s="105"/>
      <c r="N447" s="105"/>
      <c r="O447" s="105"/>
      <c r="P447" s="108"/>
      <c r="Q447" s="105"/>
      <c r="R447" s="105"/>
      <c r="S447" s="105"/>
      <c r="T447" s="105"/>
      <c r="U447" s="108"/>
      <c r="V447" s="105"/>
      <c r="W447" s="105"/>
      <c r="X447" s="105"/>
      <c r="Y447" s="105"/>
      <c r="Z447" s="105"/>
      <c r="AA447" s="108"/>
      <c r="AB447" s="108"/>
      <c r="AC447" s="105"/>
      <c r="AD447" s="279"/>
      <c r="AE447" s="105"/>
      <c r="AF447" s="279"/>
      <c r="AG447" s="105"/>
      <c r="AH447" s="108"/>
      <c r="AI447" s="108"/>
      <c r="AJ447" s="108"/>
      <c r="AK447" s="108"/>
      <c r="AL447" s="105"/>
      <c r="AM447" s="108"/>
      <c r="AN447" s="105"/>
      <c r="AO447" s="108"/>
      <c r="AP447" s="108"/>
      <c r="AQ447" s="105"/>
      <c r="AR447" s="108"/>
      <c r="AS447" s="108"/>
      <c r="AT447" s="105"/>
      <c r="AU447" s="105"/>
      <c r="AV447" s="105"/>
      <c r="AW447" s="105"/>
      <c r="AX447" s="105"/>
      <c r="AY447" s="105"/>
      <c r="AZ447" s="105"/>
      <c r="BA447" s="105"/>
      <c r="BB447" s="105"/>
      <c r="BC447" s="105"/>
      <c r="BD447" s="108"/>
      <c r="BE447" s="83">
        <f>IF($A447="","",IF(TRIM($D447&amp;"")="",IF(TRIM($AX447&amp;$AY447&amp;$AZ447&amp;$BA447&amp;$BB447&amp;$BC447&amp;$BD447&amp;"")="","","SUBARRENDADO"),IFERROR(IF(VLOOKUP($D447,VEHICULOS!$A$3:$H$202,7,FALSE)="","",VLOOKUP($D447,VEHICULOS!$A$3:$H$202,7,FALSE)),"")))</f>
      </c>
      <c r="BF447" s="82">
        <f>IF($A447="","",IF(TRIM($BC447&amp;"")&lt;&gt;"",$BC447,IF(TRIM($D447&amp;"")="","",IFERROR(IF(VLOOKUP($D447,VEHICULOS!$A$3:$H$202,8,FALSE)="","",VLOOKUP($D447,VEHICULOS!$A$3:$H$202,8,FALSE)),""))))</f>
      </c>
      <c r="BG447" s="106"/>
      <c r="BH447" s="107"/>
      <c r="BI447" s="86">
        <f t="shared" si="90"/>
      </c>
      <c r="BJ447" s="83">
        <f t="shared" si="91"/>
      </c>
      <c r="BK447" s="85">
        <f t="shared" si="92"/>
      </c>
      <c r="BL447" s="85">
        <f t="shared" si="93"/>
      </c>
      <c r="BM447" s="108"/>
      <c r="BN447" s="85">
        <f t="shared" si="94"/>
      </c>
      <c r="BO447" s="108"/>
      <c r="BP447" s="85">
        <f t="shared" si="95"/>
      </c>
      <c r="BQ447" s="85">
        <f t="shared" si="96"/>
      </c>
      <c r="BR447" s="108"/>
      <c r="BS447" s="104"/>
      <c r="BT447" s="87">
        <f t="shared" si="97"/>
      </c>
      <c r="BU447" s="85">
        <f t="shared" si="98"/>
      </c>
      <c r="BV447" s="85">
        <f t="shared" si="99"/>
      </c>
      <c r="BW447" s="87">
        <f t="shared" si="100"/>
      </c>
      <c r="BX447" s="104"/>
      <c r="BY447" s="106"/>
      <c r="BZ447" s="104"/>
      <c r="CA447" s="105"/>
      <c r="CB447" s="77">
        <f>IF($A447="",0,IF($B447='FICHA CLIENTE'!$C$4,1,0))</f>
      </c>
      <c r="CC447" s="77">
        <f t="shared" si="101"/>
      </c>
      <c r="CD447" s="77">
        <f>IF($A447="",0,IF($D447='FICHA VEHICULO'!$C$4,1,0))</f>
      </c>
      <c r="CE447" s="77">
        <f t="shared" si="102"/>
      </c>
      <c r="CF447" s="77">
        <f t="shared" si="103"/>
      </c>
      <c r="CG447" s="77">
        <f t="shared" si="104"/>
      </c>
    </row>
    <row r="448" spans="1:85" ht="19.5" customHeight="1" x14ac:dyDescent="0.2">
      <c r="A448" s="104"/>
      <c r="B448" s="104"/>
      <c r="C448" s="105"/>
      <c r="D448" s="104"/>
      <c r="E448" s="105"/>
      <c r="F448" s="106"/>
      <c r="G448" s="104"/>
      <c r="H448" s="106"/>
      <c r="I448" s="107"/>
      <c r="J448" s="108"/>
      <c r="K448" s="108"/>
      <c r="L448" s="108"/>
      <c r="M448" s="105"/>
      <c r="N448" s="105"/>
      <c r="O448" s="105"/>
      <c r="P448" s="108"/>
      <c r="Q448" s="105"/>
      <c r="R448" s="105"/>
      <c r="S448" s="105"/>
      <c r="T448" s="105"/>
      <c r="U448" s="108"/>
      <c r="V448" s="105"/>
      <c r="W448" s="105"/>
      <c r="X448" s="105"/>
      <c r="Y448" s="105"/>
      <c r="Z448" s="105"/>
      <c r="AA448" s="108"/>
      <c r="AB448" s="108"/>
      <c r="AC448" s="105"/>
      <c r="AD448" s="279"/>
      <c r="AE448" s="105"/>
      <c r="AF448" s="279"/>
      <c r="AG448" s="105"/>
      <c r="AH448" s="108"/>
      <c r="AI448" s="108"/>
      <c r="AJ448" s="108"/>
      <c r="AK448" s="108"/>
      <c r="AL448" s="105"/>
      <c r="AM448" s="108"/>
      <c r="AN448" s="105"/>
      <c r="AO448" s="108"/>
      <c r="AP448" s="108"/>
      <c r="AQ448" s="105"/>
      <c r="AR448" s="108"/>
      <c r="AS448" s="108"/>
      <c r="AT448" s="105"/>
      <c r="AU448" s="105"/>
      <c r="AV448" s="105"/>
      <c r="AW448" s="105"/>
      <c r="AX448" s="105"/>
      <c r="AY448" s="105"/>
      <c r="AZ448" s="105"/>
      <c r="BA448" s="105"/>
      <c r="BB448" s="105"/>
      <c r="BC448" s="105"/>
      <c r="BD448" s="108"/>
      <c r="BE448" s="83">
        <f>IF($A448="","",IF(TRIM($D448&amp;"")="",IF(TRIM($AX448&amp;$AY448&amp;$AZ448&amp;$BA448&amp;$BB448&amp;$BC448&amp;$BD448&amp;"")="","","SUBARRENDADO"),IFERROR(IF(VLOOKUP($D448,VEHICULOS!$A$3:$H$202,7,FALSE)="","",VLOOKUP($D448,VEHICULOS!$A$3:$H$202,7,FALSE)),"")))</f>
      </c>
      <c r="BF448" s="82">
        <f>IF($A448="","",IF(TRIM($BC448&amp;"")&lt;&gt;"",$BC448,IF(TRIM($D448&amp;"")="","",IFERROR(IF(VLOOKUP($D448,VEHICULOS!$A$3:$H$202,8,FALSE)="","",VLOOKUP($D448,VEHICULOS!$A$3:$H$202,8,FALSE)),""))))</f>
      </c>
      <c r="BG448" s="106"/>
      <c r="BH448" s="107"/>
      <c r="BI448" s="86">
        <f t="shared" si="90"/>
      </c>
      <c r="BJ448" s="83">
        <f t="shared" si="91"/>
      </c>
      <c r="BK448" s="85">
        <f t="shared" si="92"/>
      </c>
      <c r="BL448" s="85">
        <f t="shared" si="93"/>
      </c>
      <c r="BM448" s="108"/>
      <c r="BN448" s="85">
        <f t="shared" si="94"/>
      </c>
      <c r="BO448" s="108"/>
      <c r="BP448" s="85">
        <f t="shared" si="95"/>
      </c>
      <c r="BQ448" s="85">
        <f t="shared" si="96"/>
      </c>
      <c r="BR448" s="108"/>
      <c r="BS448" s="104"/>
      <c r="BT448" s="87">
        <f t="shared" si="97"/>
      </c>
      <c r="BU448" s="85">
        <f t="shared" si="98"/>
      </c>
      <c r="BV448" s="85">
        <f t="shared" si="99"/>
      </c>
      <c r="BW448" s="87">
        <f t="shared" si="100"/>
      </c>
      <c r="BX448" s="104"/>
      <c r="BY448" s="106"/>
      <c r="BZ448" s="104"/>
      <c r="CA448" s="105"/>
      <c r="CB448" s="77">
        <f>IF($A448="",0,IF($B448='FICHA CLIENTE'!$C$4,1,0))</f>
      </c>
      <c r="CC448" s="77">
        <f t="shared" si="101"/>
      </c>
      <c r="CD448" s="77">
        <f>IF($A448="",0,IF($D448='FICHA VEHICULO'!$C$4,1,0))</f>
      </c>
      <c r="CE448" s="77">
        <f t="shared" si="102"/>
      </c>
      <c r="CF448" s="77">
        <f t="shared" si="103"/>
      </c>
      <c r="CG448" s="77">
        <f t="shared" si="104"/>
      </c>
    </row>
    <row r="449" spans="1:85" ht="19.5" customHeight="1" x14ac:dyDescent="0.2">
      <c r="A449" s="104"/>
      <c r="B449" s="104"/>
      <c r="C449" s="105"/>
      <c r="D449" s="104"/>
      <c r="E449" s="105"/>
      <c r="F449" s="106"/>
      <c r="G449" s="104"/>
      <c r="H449" s="106"/>
      <c r="I449" s="107"/>
      <c r="J449" s="108"/>
      <c r="K449" s="108"/>
      <c r="L449" s="108"/>
      <c r="M449" s="105"/>
      <c r="N449" s="105"/>
      <c r="O449" s="105"/>
      <c r="P449" s="108"/>
      <c r="Q449" s="105"/>
      <c r="R449" s="105"/>
      <c r="S449" s="105"/>
      <c r="T449" s="105"/>
      <c r="U449" s="108"/>
      <c r="V449" s="105"/>
      <c r="W449" s="105"/>
      <c r="X449" s="105"/>
      <c r="Y449" s="105"/>
      <c r="Z449" s="105"/>
      <c r="AA449" s="108"/>
      <c r="AB449" s="108"/>
      <c r="AC449" s="105"/>
      <c r="AD449" s="279"/>
      <c r="AE449" s="105"/>
      <c r="AF449" s="279"/>
      <c r="AG449" s="105"/>
      <c r="AH449" s="108"/>
      <c r="AI449" s="108"/>
      <c r="AJ449" s="108"/>
      <c r="AK449" s="108"/>
      <c r="AL449" s="105"/>
      <c r="AM449" s="108"/>
      <c r="AN449" s="105"/>
      <c r="AO449" s="108"/>
      <c r="AP449" s="108"/>
      <c r="AQ449" s="105"/>
      <c r="AR449" s="108"/>
      <c r="AS449" s="108"/>
      <c r="AT449" s="105"/>
      <c r="AU449" s="105"/>
      <c r="AV449" s="105"/>
      <c r="AW449" s="105"/>
      <c r="AX449" s="105"/>
      <c r="AY449" s="105"/>
      <c r="AZ449" s="105"/>
      <c r="BA449" s="105"/>
      <c r="BB449" s="105"/>
      <c r="BC449" s="105"/>
      <c r="BD449" s="108"/>
      <c r="BE449" s="83">
        <f>IF($A449="","",IF(TRIM($D449&amp;"")="",IF(TRIM($AX449&amp;$AY449&amp;$AZ449&amp;$BA449&amp;$BB449&amp;$BC449&amp;$BD449&amp;"")="","","SUBARRENDADO"),IFERROR(IF(VLOOKUP($D449,VEHICULOS!$A$3:$H$202,7,FALSE)="","",VLOOKUP($D449,VEHICULOS!$A$3:$H$202,7,FALSE)),"")))</f>
      </c>
      <c r="BF449" s="82">
        <f>IF($A449="","",IF(TRIM($BC449&amp;"")&lt;&gt;"",$BC449,IF(TRIM($D449&amp;"")="","",IFERROR(IF(VLOOKUP($D449,VEHICULOS!$A$3:$H$202,8,FALSE)="","",VLOOKUP($D449,VEHICULOS!$A$3:$H$202,8,FALSE)),""))))</f>
      </c>
      <c r="BG449" s="106"/>
      <c r="BH449" s="107"/>
      <c r="BI449" s="86">
        <f t="shared" si="90"/>
      </c>
      <c r="BJ449" s="83">
        <f t="shared" si="91"/>
      </c>
      <c r="BK449" s="85">
        <f t="shared" si="92"/>
      </c>
      <c r="BL449" s="85">
        <f t="shared" si="93"/>
      </c>
      <c r="BM449" s="108"/>
      <c r="BN449" s="85">
        <f t="shared" si="94"/>
      </c>
      <c r="BO449" s="108"/>
      <c r="BP449" s="85">
        <f t="shared" si="95"/>
      </c>
      <c r="BQ449" s="85">
        <f t="shared" si="96"/>
      </c>
      <c r="BR449" s="108"/>
      <c r="BS449" s="104"/>
      <c r="BT449" s="87">
        <f t="shared" si="97"/>
      </c>
      <c r="BU449" s="85">
        <f t="shared" si="98"/>
      </c>
      <c r="BV449" s="85">
        <f t="shared" si="99"/>
      </c>
      <c r="BW449" s="87">
        <f t="shared" si="100"/>
      </c>
      <c r="BX449" s="104"/>
      <c r="BY449" s="106"/>
      <c r="BZ449" s="104"/>
      <c r="CA449" s="105"/>
      <c r="CB449" s="77">
        <f>IF($A449="",0,IF($B449='FICHA CLIENTE'!$C$4,1,0))</f>
      </c>
      <c r="CC449" s="77">
        <f t="shared" si="101"/>
      </c>
      <c r="CD449" s="77">
        <f>IF($A449="",0,IF($D449='FICHA VEHICULO'!$C$4,1,0))</f>
      </c>
      <c r="CE449" s="77">
        <f t="shared" si="102"/>
      </c>
      <c r="CF449" s="77">
        <f t="shared" si="103"/>
      </c>
      <c r="CG449" s="77">
        <f t="shared" si="104"/>
      </c>
    </row>
    <row r="450" spans="1:85" ht="19.5" customHeight="1" x14ac:dyDescent="0.2">
      <c r="A450" s="104"/>
      <c r="B450" s="104"/>
      <c r="C450" s="105"/>
      <c r="D450" s="104"/>
      <c r="E450" s="105"/>
      <c r="F450" s="106"/>
      <c r="G450" s="104"/>
      <c r="H450" s="106"/>
      <c r="I450" s="107"/>
      <c r="J450" s="108"/>
      <c r="K450" s="108"/>
      <c r="L450" s="108"/>
      <c r="M450" s="105"/>
      <c r="N450" s="105"/>
      <c r="O450" s="105"/>
      <c r="P450" s="108"/>
      <c r="Q450" s="105"/>
      <c r="R450" s="105"/>
      <c r="S450" s="105"/>
      <c r="T450" s="105"/>
      <c r="U450" s="108"/>
      <c r="V450" s="105"/>
      <c r="W450" s="105"/>
      <c r="X450" s="105"/>
      <c r="Y450" s="105"/>
      <c r="Z450" s="105"/>
      <c r="AA450" s="108"/>
      <c r="AB450" s="108"/>
      <c r="AC450" s="105"/>
      <c r="AD450" s="279"/>
      <c r="AE450" s="105"/>
      <c r="AF450" s="279"/>
      <c r="AG450" s="105"/>
      <c r="AH450" s="108"/>
      <c r="AI450" s="108"/>
      <c r="AJ450" s="108"/>
      <c r="AK450" s="108"/>
      <c r="AL450" s="105"/>
      <c r="AM450" s="108"/>
      <c r="AN450" s="105"/>
      <c r="AO450" s="108"/>
      <c r="AP450" s="108"/>
      <c r="AQ450" s="105"/>
      <c r="AR450" s="108"/>
      <c r="AS450" s="108"/>
      <c r="AT450" s="105"/>
      <c r="AU450" s="105"/>
      <c r="AV450" s="105"/>
      <c r="AW450" s="105"/>
      <c r="AX450" s="105"/>
      <c r="AY450" s="105"/>
      <c r="AZ450" s="105"/>
      <c r="BA450" s="105"/>
      <c r="BB450" s="105"/>
      <c r="BC450" s="105"/>
      <c r="BD450" s="108"/>
      <c r="BE450" s="83">
        <f>IF($A450="","",IF(TRIM($D450&amp;"")="",IF(TRIM($AX450&amp;$AY450&amp;$AZ450&amp;$BA450&amp;$BB450&amp;$BC450&amp;$BD450&amp;"")="","","SUBARRENDADO"),IFERROR(IF(VLOOKUP($D450,VEHICULOS!$A$3:$H$202,7,FALSE)="","",VLOOKUP($D450,VEHICULOS!$A$3:$H$202,7,FALSE)),"")))</f>
      </c>
      <c r="BF450" s="82">
        <f>IF($A450="","",IF(TRIM($BC450&amp;"")&lt;&gt;"",$BC450,IF(TRIM($D450&amp;"")="","",IFERROR(IF(VLOOKUP($D450,VEHICULOS!$A$3:$H$202,8,FALSE)="","",VLOOKUP($D450,VEHICULOS!$A$3:$H$202,8,FALSE)),""))))</f>
      </c>
      <c r="BG450" s="106"/>
      <c r="BH450" s="107"/>
      <c r="BI450" s="86">
        <f t="shared" si="90"/>
      </c>
      <c r="BJ450" s="83">
        <f t="shared" si="91"/>
      </c>
      <c r="BK450" s="85">
        <f t="shared" si="92"/>
      </c>
      <c r="BL450" s="85">
        <f t="shared" si="93"/>
      </c>
      <c r="BM450" s="108"/>
      <c r="BN450" s="85">
        <f t="shared" si="94"/>
      </c>
      <c r="BO450" s="108"/>
      <c r="BP450" s="85">
        <f t="shared" si="95"/>
      </c>
      <c r="BQ450" s="85">
        <f t="shared" si="96"/>
      </c>
      <c r="BR450" s="108"/>
      <c r="BS450" s="104"/>
      <c r="BT450" s="87">
        <f t="shared" si="97"/>
      </c>
      <c r="BU450" s="85">
        <f t="shared" si="98"/>
      </c>
      <c r="BV450" s="85">
        <f t="shared" si="99"/>
      </c>
      <c r="BW450" s="87">
        <f t="shared" si="100"/>
      </c>
      <c r="BX450" s="104"/>
      <c r="BY450" s="106"/>
      <c r="BZ450" s="104"/>
      <c r="CA450" s="105"/>
      <c r="CB450" s="77">
        <f>IF($A450="",0,IF($B450='FICHA CLIENTE'!$C$4,1,0))</f>
      </c>
      <c r="CC450" s="77">
        <f t="shared" si="101"/>
      </c>
      <c r="CD450" s="77">
        <f>IF($A450="",0,IF($D450='FICHA VEHICULO'!$C$4,1,0))</f>
      </c>
      <c r="CE450" s="77">
        <f t="shared" si="102"/>
      </c>
      <c r="CF450" s="77">
        <f t="shared" si="103"/>
      </c>
      <c r="CG450" s="77">
        <f t="shared" si="104"/>
      </c>
    </row>
    <row r="451" spans="1:85" ht="19.5" customHeight="1" x14ac:dyDescent="0.2">
      <c r="A451" s="104"/>
      <c r="B451" s="104"/>
      <c r="C451" s="105"/>
      <c r="D451" s="104"/>
      <c r="E451" s="105"/>
      <c r="F451" s="106"/>
      <c r="G451" s="104"/>
      <c r="H451" s="106"/>
      <c r="I451" s="107"/>
      <c r="J451" s="108"/>
      <c r="K451" s="108"/>
      <c r="L451" s="108"/>
      <c r="M451" s="105"/>
      <c r="N451" s="105"/>
      <c r="O451" s="105"/>
      <c r="P451" s="108"/>
      <c r="Q451" s="105"/>
      <c r="R451" s="105"/>
      <c r="S451" s="105"/>
      <c r="T451" s="105"/>
      <c r="U451" s="108"/>
      <c r="V451" s="105"/>
      <c r="W451" s="105"/>
      <c r="X451" s="105"/>
      <c r="Y451" s="105"/>
      <c r="Z451" s="105"/>
      <c r="AA451" s="108"/>
      <c r="AB451" s="108"/>
      <c r="AC451" s="105"/>
      <c r="AD451" s="279"/>
      <c r="AE451" s="105"/>
      <c r="AF451" s="279"/>
      <c r="AG451" s="105"/>
      <c r="AH451" s="108"/>
      <c r="AI451" s="108"/>
      <c r="AJ451" s="108"/>
      <c r="AK451" s="108"/>
      <c r="AL451" s="105"/>
      <c r="AM451" s="108"/>
      <c r="AN451" s="105"/>
      <c r="AO451" s="108"/>
      <c r="AP451" s="108"/>
      <c r="AQ451" s="105"/>
      <c r="AR451" s="108"/>
      <c r="AS451" s="108"/>
      <c r="AT451" s="105"/>
      <c r="AU451" s="105"/>
      <c r="AV451" s="105"/>
      <c r="AW451" s="105"/>
      <c r="AX451" s="105"/>
      <c r="AY451" s="105"/>
      <c r="AZ451" s="105"/>
      <c r="BA451" s="105"/>
      <c r="BB451" s="105"/>
      <c r="BC451" s="105"/>
      <c r="BD451" s="108"/>
      <c r="BE451" s="83">
        <f>IF($A451="","",IF(TRIM($D451&amp;"")="",IF(TRIM($AX451&amp;$AY451&amp;$AZ451&amp;$BA451&amp;$BB451&amp;$BC451&amp;$BD451&amp;"")="","","SUBARRENDADO"),IFERROR(IF(VLOOKUP($D451,VEHICULOS!$A$3:$H$202,7,FALSE)="","",VLOOKUP($D451,VEHICULOS!$A$3:$H$202,7,FALSE)),"")))</f>
      </c>
      <c r="BF451" s="82">
        <f>IF($A451="","",IF(TRIM($BC451&amp;"")&lt;&gt;"",$BC451,IF(TRIM($D451&amp;"")="","",IFERROR(IF(VLOOKUP($D451,VEHICULOS!$A$3:$H$202,8,FALSE)="","",VLOOKUP($D451,VEHICULOS!$A$3:$H$202,8,FALSE)),""))))</f>
      </c>
      <c r="BG451" s="106"/>
      <c r="BH451" s="107"/>
      <c r="BI451" s="86">
        <f t="shared" si="90"/>
      </c>
      <c r="BJ451" s="83">
        <f t="shared" si="91"/>
      </c>
      <c r="BK451" s="85">
        <f t="shared" si="92"/>
      </c>
      <c r="BL451" s="85">
        <f t="shared" si="93"/>
      </c>
      <c r="BM451" s="108"/>
      <c r="BN451" s="85">
        <f t="shared" si="94"/>
      </c>
      <c r="BO451" s="108"/>
      <c r="BP451" s="85">
        <f t="shared" si="95"/>
      </c>
      <c r="BQ451" s="85">
        <f t="shared" si="96"/>
      </c>
      <c r="BR451" s="108"/>
      <c r="BS451" s="104"/>
      <c r="BT451" s="87">
        <f t="shared" si="97"/>
      </c>
      <c r="BU451" s="85">
        <f t="shared" si="98"/>
      </c>
      <c r="BV451" s="85">
        <f t="shared" si="99"/>
      </c>
      <c r="BW451" s="87">
        <f t="shared" si="100"/>
      </c>
      <c r="BX451" s="104"/>
      <c r="BY451" s="106"/>
      <c r="BZ451" s="104"/>
      <c r="CA451" s="105"/>
      <c r="CB451" s="77">
        <f>IF($A451="",0,IF($B451='FICHA CLIENTE'!$C$4,1,0))</f>
      </c>
      <c r="CC451" s="77">
        <f t="shared" si="101"/>
      </c>
      <c r="CD451" s="77">
        <f>IF($A451="",0,IF($D451='FICHA VEHICULO'!$C$4,1,0))</f>
      </c>
      <c r="CE451" s="77">
        <f t="shared" si="102"/>
      </c>
      <c r="CF451" s="77">
        <f t="shared" si="103"/>
      </c>
      <c r="CG451" s="77">
        <f t="shared" si="104"/>
      </c>
    </row>
    <row r="452" spans="1:85" ht="19.5" customHeight="1" x14ac:dyDescent="0.2">
      <c r="A452" s="104"/>
      <c r="B452" s="104"/>
      <c r="C452" s="105"/>
      <c r="D452" s="104"/>
      <c r="E452" s="105"/>
      <c r="F452" s="106"/>
      <c r="G452" s="104"/>
      <c r="H452" s="106"/>
      <c r="I452" s="107"/>
      <c r="J452" s="108"/>
      <c r="K452" s="108"/>
      <c r="L452" s="108"/>
      <c r="M452" s="105"/>
      <c r="N452" s="105"/>
      <c r="O452" s="105"/>
      <c r="P452" s="108"/>
      <c r="Q452" s="105"/>
      <c r="R452" s="105"/>
      <c r="S452" s="105"/>
      <c r="T452" s="105"/>
      <c r="U452" s="108"/>
      <c r="V452" s="105"/>
      <c r="W452" s="105"/>
      <c r="X452" s="105"/>
      <c r="Y452" s="105"/>
      <c r="Z452" s="105"/>
      <c r="AA452" s="108"/>
      <c r="AB452" s="108"/>
      <c r="AC452" s="105"/>
      <c r="AD452" s="279"/>
      <c r="AE452" s="105"/>
      <c r="AF452" s="279"/>
      <c r="AG452" s="105"/>
      <c r="AH452" s="108"/>
      <c r="AI452" s="108"/>
      <c r="AJ452" s="108"/>
      <c r="AK452" s="108"/>
      <c r="AL452" s="105"/>
      <c r="AM452" s="108"/>
      <c r="AN452" s="105"/>
      <c r="AO452" s="108"/>
      <c r="AP452" s="108"/>
      <c r="AQ452" s="105"/>
      <c r="AR452" s="108"/>
      <c r="AS452" s="108"/>
      <c r="AT452" s="105"/>
      <c r="AU452" s="105"/>
      <c r="AV452" s="105"/>
      <c r="AW452" s="105"/>
      <c r="AX452" s="105"/>
      <c r="AY452" s="105"/>
      <c r="AZ452" s="105"/>
      <c r="BA452" s="105"/>
      <c r="BB452" s="105"/>
      <c r="BC452" s="105"/>
      <c r="BD452" s="108"/>
      <c r="BE452" s="83">
        <f>IF($A452="","",IF(TRIM($D452&amp;"")="",IF(TRIM($AX452&amp;$AY452&amp;$AZ452&amp;$BA452&amp;$BB452&amp;$BC452&amp;$BD452&amp;"")="","","SUBARRENDADO"),IFERROR(IF(VLOOKUP($D452,VEHICULOS!$A$3:$H$202,7,FALSE)="","",VLOOKUP($D452,VEHICULOS!$A$3:$H$202,7,FALSE)),"")))</f>
      </c>
      <c r="BF452" s="82">
        <f>IF($A452="","",IF(TRIM($BC452&amp;"")&lt;&gt;"",$BC452,IF(TRIM($D452&amp;"")="","",IFERROR(IF(VLOOKUP($D452,VEHICULOS!$A$3:$H$202,8,FALSE)="","",VLOOKUP($D452,VEHICULOS!$A$3:$H$202,8,FALSE)),""))))</f>
      </c>
      <c r="BG452" s="106"/>
      <c r="BH452" s="107"/>
      <c r="BI452" s="86">
        <f t="shared" si="90"/>
      </c>
      <c r="BJ452" s="83">
        <f t="shared" si="91"/>
      </c>
      <c r="BK452" s="85">
        <f t="shared" si="92"/>
      </c>
      <c r="BL452" s="85">
        <f t="shared" si="93"/>
      </c>
      <c r="BM452" s="108"/>
      <c r="BN452" s="85">
        <f t="shared" si="94"/>
      </c>
      <c r="BO452" s="108"/>
      <c r="BP452" s="85">
        <f t="shared" si="95"/>
      </c>
      <c r="BQ452" s="85">
        <f t="shared" si="96"/>
      </c>
      <c r="BR452" s="108"/>
      <c r="BS452" s="104"/>
      <c r="BT452" s="87">
        <f t="shared" si="97"/>
      </c>
      <c r="BU452" s="85">
        <f t="shared" si="98"/>
      </c>
      <c r="BV452" s="85">
        <f t="shared" si="99"/>
      </c>
      <c r="BW452" s="87">
        <f t="shared" si="100"/>
      </c>
      <c r="BX452" s="104"/>
      <c r="BY452" s="106"/>
      <c r="BZ452" s="104"/>
      <c r="CA452" s="105"/>
      <c r="CB452" s="77">
        <f>IF($A452="",0,IF($B452='FICHA CLIENTE'!$C$4,1,0))</f>
      </c>
      <c r="CC452" s="77">
        <f t="shared" si="101"/>
      </c>
      <c r="CD452" s="77">
        <f>IF($A452="",0,IF($D452='FICHA VEHICULO'!$C$4,1,0))</f>
      </c>
      <c r="CE452" s="77">
        <f t="shared" si="102"/>
      </c>
      <c r="CF452" s="77">
        <f t="shared" si="103"/>
      </c>
      <c r="CG452" s="77">
        <f t="shared" si="104"/>
      </c>
    </row>
    <row r="453" spans="1:85" ht="19.5" customHeight="1" x14ac:dyDescent="0.2">
      <c r="A453" s="104"/>
      <c r="B453" s="104"/>
      <c r="C453" s="105"/>
      <c r="D453" s="104"/>
      <c r="E453" s="105"/>
      <c r="F453" s="106"/>
      <c r="G453" s="104"/>
      <c r="H453" s="106"/>
      <c r="I453" s="107"/>
      <c r="J453" s="108"/>
      <c r="K453" s="108"/>
      <c r="L453" s="108"/>
      <c r="M453" s="105"/>
      <c r="N453" s="105"/>
      <c r="O453" s="105"/>
      <c r="P453" s="108"/>
      <c r="Q453" s="105"/>
      <c r="R453" s="105"/>
      <c r="S453" s="105"/>
      <c r="T453" s="105"/>
      <c r="U453" s="108"/>
      <c r="V453" s="105"/>
      <c r="W453" s="105"/>
      <c r="X453" s="105"/>
      <c r="Y453" s="105"/>
      <c r="Z453" s="105"/>
      <c r="AA453" s="108"/>
      <c r="AB453" s="108"/>
      <c r="AC453" s="105"/>
      <c r="AD453" s="279"/>
      <c r="AE453" s="105"/>
      <c r="AF453" s="279"/>
      <c r="AG453" s="105"/>
      <c r="AH453" s="108"/>
      <c r="AI453" s="108"/>
      <c r="AJ453" s="108"/>
      <c r="AK453" s="108"/>
      <c r="AL453" s="105"/>
      <c r="AM453" s="108"/>
      <c r="AN453" s="105"/>
      <c r="AO453" s="108"/>
      <c r="AP453" s="108"/>
      <c r="AQ453" s="105"/>
      <c r="AR453" s="108"/>
      <c r="AS453" s="108"/>
      <c r="AT453" s="105"/>
      <c r="AU453" s="105"/>
      <c r="AV453" s="105"/>
      <c r="AW453" s="105"/>
      <c r="AX453" s="105"/>
      <c r="AY453" s="105"/>
      <c r="AZ453" s="105"/>
      <c r="BA453" s="105"/>
      <c r="BB453" s="105"/>
      <c r="BC453" s="105"/>
      <c r="BD453" s="108"/>
      <c r="BE453" s="83">
        <f>IF($A453="","",IF(TRIM($D453&amp;"")="",IF(TRIM($AX453&amp;$AY453&amp;$AZ453&amp;$BA453&amp;$BB453&amp;$BC453&amp;$BD453&amp;"")="","","SUBARRENDADO"),IFERROR(IF(VLOOKUP($D453,VEHICULOS!$A$3:$H$202,7,FALSE)="","",VLOOKUP($D453,VEHICULOS!$A$3:$H$202,7,FALSE)),"")))</f>
      </c>
      <c r="BF453" s="82">
        <f>IF($A453="","",IF(TRIM($BC453&amp;"")&lt;&gt;"",$BC453,IF(TRIM($D453&amp;"")="","",IFERROR(IF(VLOOKUP($D453,VEHICULOS!$A$3:$H$202,8,FALSE)="","",VLOOKUP($D453,VEHICULOS!$A$3:$H$202,8,FALSE)),""))))</f>
      </c>
      <c r="BG453" s="106"/>
      <c r="BH453" s="107"/>
      <c r="BI453" s="86">
        <f t="shared" si="90"/>
      </c>
      <c r="BJ453" s="83">
        <f t="shared" si="91"/>
      </c>
      <c r="BK453" s="85">
        <f t="shared" si="92"/>
      </c>
      <c r="BL453" s="85">
        <f t="shared" si="93"/>
      </c>
      <c r="BM453" s="108"/>
      <c r="BN453" s="85">
        <f t="shared" si="94"/>
      </c>
      <c r="BO453" s="108"/>
      <c r="BP453" s="85">
        <f t="shared" si="95"/>
      </c>
      <c r="BQ453" s="85">
        <f t="shared" si="96"/>
      </c>
      <c r="BR453" s="108"/>
      <c r="BS453" s="104"/>
      <c r="BT453" s="87">
        <f t="shared" si="97"/>
      </c>
      <c r="BU453" s="85">
        <f t="shared" si="98"/>
      </c>
      <c r="BV453" s="85">
        <f t="shared" si="99"/>
      </c>
      <c r="BW453" s="87">
        <f t="shared" si="100"/>
      </c>
      <c r="BX453" s="104"/>
      <c r="BY453" s="106"/>
      <c r="BZ453" s="104"/>
      <c r="CA453" s="105"/>
      <c r="CB453" s="77">
        <f>IF($A453="",0,IF($B453='FICHA CLIENTE'!$C$4,1,0))</f>
      </c>
      <c r="CC453" s="77">
        <f t="shared" si="101"/>
      </c>
      <c r="CD453" s="77">
        <f>IF($A453="",0,IF($D453='FICHA VEHICULO'!$C$4,1,0))</f>
      </c>
      <c r="CE453" s="77">
        <f t="shared" si="102"/>
      </c>
      <c r="CF453" s="77">
        <f t="shared" si="103"/>
      </c>
      <c r="CG453" s="77">
        <f t="shared" si="104"/>
      </c>
    </row>
    <row r="454" spans="1:85" ht="19.5" customHeight="1" x14ac:dyDescent="0.2">
      <c r="A454" s="104"/>
      <c r="B454" s="104"/>
      <c r="C454" s="105"/>
      <c r="D454" s="104"/>
      <c r="E454" s="105"/>
      <c r="F454" s="106"/>
      <c r="G454" s="104"/>
      <c r="H454" s="106"/>
      <c r="I454" s="107"/>
      <c r="J454" s="108"/>
      <c r="K454" s="108"/>
      <c r="L454" s="108"/>
      <c r="M454" s="105"/>
      <c r="N454" s="105"/>
      <c r="O454" s="105"/>
      <c r="P454" s="108"/>
      <c r="Q454" s="105"/>
      <c r="R454" s="105"/>
      <c r="S454" s="105"/>
      <c r="T454" s="105"/>
      <c r="U454" s="108"/>
      <c r="V454" s="105"/>
      <c r="W454" s="105"/>
      <c r="X454" s="105"/>
      <c r="Y454" s="105"/>
      <c r="Z454" s="105"/>
      <c r="AA454" s="108"/>
      <c r="AB454" s="108"/>
      <c r="AC454" s="105"/>
      <c r="AD454" s="279"/>
      <c r="AE454" s="105"/>
      <c r="AF454" s="279"/>
      <c r="AG454" s="105"/>
      <c r="AH454" s="108"/>
      <c r="AI454" s="108"/>
      <c r="AJ454" s="108"/>
      <c r="AK454" s="108"/>
      <c r="AL454" s="105"/>
      <c r="AM454" s="108"/>
      <c r="AN454" s="105"/>
      <c r="AO454" s="108"/>
      <c r="AP454" s="108"/>
      <c r="AQ454" s="105"/>
      <c r="AR454" s="108"/>
      <c r="AS454" s="108"/>
      <c r="AT454" s="105"/>
      <c r="AU454" s="105"/>
      <c r="AV454" s="105"/>
      <c r="AW454" s="105"/>
      <c r="AX454" s="105"/>
      <c r="AY454" s="105"/>
      <c r="AZ454" s="105"/>
      <c r="BA454" s="105"/>
      <c r="BB454" s="105"/>
      <c r="BC454" s="105"/>
      <c r="BD454" s="108"/>
      <c r="BE454" s="83">
        <f>IF($A454="","",IF(TRIM($D454&amp;"")="",IF(TRIM($AX454&amp;$AY454&amp;$AZ454&amp;$BA454&amp;$BB454&amp;$BC454&amp;$BD454&amp;"")="","","SUBARRENDADO"),IFERROR(IF(VLOOKUP($D454,VEHICULOS!$A$3:$H$202,7,FALSE)="","",VLOOKUP($D454,VEHICULOS!$A$3:$H$202,7,FALSE)),"")))</f>
      </c>
      <c r="BF454" s="82">
        <f>IF($A454="","",IF(TRIM($BC454&amp;"")&lt;&gt;"",$BC454,IF(TRIM($D454&amp;"")="","",IFERROR(IF(VLOOKUP($D454,VEHICULOS!$A$3:$H$202,8,FALSE)="","",VLOOKUP($D454,VEHICULOS!$A$3:$H$202,8,FALSE)),""))))</f>
      </c>
      <c r="BG454" s="106"/>
      <c r="BH454" s="107"/>
      <c r="BI454" s="86">
        <f t="shared" ref="BI454:BI517" si="105">IF(OR($BH454="",$I454=""),"",$BH454-$I454)</f>
      </c>
      <c r="BJ454" s="83">
        <f t="shared" ref="BJ454:BJ517" si="106">IF(OR($BG454="",$H454=""),"",MAX(0,$BG454-$H454))</f>
      </c>
      <c r="BK454" s="85">
        <f t="shared" ref="BK454:BK517" si="107">IF($A454="","",N($BJ454)*N($J454))</f>
      </c>
      <c r="BL454" s="85">
        <f t="shared" ref="BL454:BL517" si="108">IF($A454="","",(N($AM454)+N($AS454))*(N($G454)+N($BJ454))+N($AP454))</f>
      </c>
      <c r="BM454" s="108"/>
      <c r="BN454" s="85">
        <f t="shared" ref="BN454:BN517" si="109">IF($A454="","",N($AO454))</f>
      </c>
      <c r="BO454" s="108"/>
      <c r="BP454" s="85">
        <f t="shared" ref="BP454:BP517" si="110">IF($A454="","",N($AR454))</f>
      </c>
      <c r="BQ454" s="85">
        <f t="shared" ref="BQ454:BQ517" si="111">IF($A454="","",N($K454)+N($BK454)+N($BL454)+N($BM454)+N($BN454)+N($BO454)+N($BP454))</f>
      </c>
      <c r="BR454" s="108"/>
      <c r="BS454" s="104"/>
      <c r="BT454" s="87">
        <f t="shared" ref="BT454:BT517" si="112">IF($A454="","",ROUND((N($BQ454)-N($BR454))*(1+N($BS454)/100),2))</f>
      </c>
      <c r="BU454" s="85">
        <f t="shared" ref="BU454:BU517" si="113">IF($A454="","",N($BD454))</f>
      </c>
      <c r="BV454" s="85">
        <f t="shared" ref="BV454:BV517" si="114">IF($A454="","",N($BU454)*(N($G454)+N($BJ454)))</f>
      </c>
      <c r="BW454" s="87">
        <f t="shared" ref="BW454:BW517" si="115">IF($A454="","",N($BT454)-N($BV454))</f>
      </c>
      <c r="BX454" s="104"/>
      <c r="BY454" s="106"/>
      <c r="BZ454" s="104"/>
      <c r="CA454" s="105"/>
      <c r="CB454" s="77">
        <f>IF($A454="",0,IF($B454='FICHA CLIENTE'!$C$4,1,0))</f>
      </c>
      <c r="CC454" s="77">
        <f t="shared" ref="CC454:CC517" si="116">$CC453+$CB454</f>
      </c>
      <c r="CD454" s="77">
        <f>IF($A454="",0,IF($D454='FICHA VEHICULO'!$C$4,1,0))</f>
      </c>
      <c r="CE454" s="77">
        <f t="shared" ref="CE454:CE517" si="117">$CE453+$CD454</f>
      </c>
      <c r="CF454" s="77">
        <f t="shared" ref="CF454:CF517" si="118">IF($A454="",0,IF($BG454="",1,0))</f>
      </c>
      <c r="CG454" s="77">
        <f t="shared" ref="CG454:CG517" si="119">$CG453+$CF454</f>
      </c>
    </row>
    <row r="455" spans="1:85" ht="19.5" customHeight="1" x14ac:dyDescent="0.2">
      <c r="A455" s="104"/>
      <c r="B455" s="104"/>
      <c r="C455" s="105"/>
      <c r="D455" s="104"/>
      <c r="E455" s="105"/>
      <c r="F455" s="106"/>
      <c r="G455" s="104"/>
      <c r="H455" s="106"/>
      <c r="I455" s="107"/>
      <c r="J455" s="108"/>
      <c r="K455" s="108"/>
      <c r="L455" s="108"/>
      <c r="M455" s="105"/>
      <c r="N455" s="105"/>
      <c r="O455" s="105"/>
      <c r="P455" s="108"/>
      <c r="Q455" s="105"/>
      <c r="R455" s="105"/>
      <c r="S455" s="105"/>
      <c r="T455" s="105"/>
      <c r="U455" s="108"/>
      <c r="V455" s="105"/>
      <c r="W455" s="105"/>
      <c r="X455" s="105"/>
      <c r="Y455" s="105"/>
      <c r="Z455" s="105"/>
      <c r="AA455" s="108"/>
      <c r="AB455" s="108"/>
      <c r="AC455" s="105"/>
      <c r="AD455" s="279"/>
      <c r="AE455" s="105"/>
      <c r="AF455" s="279"/>
      <c r="AG455" s="105"/>
      <c r="AH455" s="108"/>
      <c r="AI455" s="108"/>
      <c r="AJ455" s="108"/>
      <c r="AK455" s="108"/>
      <c r="AL455" s="105"/>
      <c r="AM455" s="108"/>
      <c r="AN455" s="105"/>
      <c r="AO455" s="108"/>
      <c r="AP455" s="108"/>
      <c r="AQ455" s="105"/>
      <c r="AR455" s="108"/>
      <c r="AS455" s="108"/>
      <c r="AT455" s="105"/>
      <c r="AU455" s="105"/>
      <c r="AV455" s="105"/>
      <c r="AW455" s="105"/>
      <c r="AX455" s="105"/>
      <c r="AY455" s="105"/>
      <c r="AZ455" s="105"/>
      <c r="BA455" s="105"/>
      <c r="BB455" s="105"/>
      <c r="BC455" s="105"/>
      <c r="BD455" s="108"/>
      <c r="BE455" s="83">
        <f>IF($A455="","",IF(TRIM($D455&amp;"")="",IF(TRIM($AX455&amp;$AY455&amp;$AZ455&amp;$BA455&amp;$BB455&amp;$BC455&amp;$BD455&amp;"")="","","SUBARRENDADO"),IFERROR(IF(VLOOKUP($D455,VEHICULOS!$A$3:$H$202,7,FALSE)="","",VLOOKUP($D455,VEHICULOS!$A$3:$H$202,7,FALSE)),"")))</f>
      </c>
      <c r="BF455" s="82">
        <f>IF($A455="","",IF(TRIM($BC455&amp;"")&lt;&gt;"",$BC455,IF(TRIM($D455&amp;"")="","",IFERROR(IF(VLOOKUP($D455,VEHICULOS!$A$3:$H$202,8,FALSE)="","",VLOOKUP($D455,VEHICULOS!$A$3:$H$202,8,FALSE)),""))))</f>
      </c>
      <c r="BG455" s="106"/>
      <c r="BH455" s="107"/>
      <c r="BI455" s="86">
        <f t="shared" si="105"/>
      </c>
      <c r="BJ455" s="83">
        <f t="shared" si="106"/>
      </c>
      <c r="BK455" s="85">
        <f t="shared" si="107"/>
      </c>
      <c r="BL455" s="85">
        <f t="shared" si="108"/>
      </c>
      <c r="BM455" s="108"/>
      <c r="BN455" s="85">
        <f t="shared" si="109"/>
      </c>
      <c r="BO455" s="108"/>
      <c r="BP455" s="85">
        <f t="shared" si="110"/>
      </c>
      <c r="BQ455" s="85">
        <f t="shared" si="111"/>
      </c>
      <c r="BR455" s="108"/>
      <c r="BS455" s="104"/>
      <c r="BT455" s="87">
        <f t="shared" si="112"/>
      </c>
      <c r="BU455" s="85">
        <f t="shared" si="113"/>
      </c>
      <c r="BV455" s="85">
        <f t="shared" si="114"/>
      </c>
      <c r="BW455" s="87">
        <f t="shared" si="115"/>
      </c>
      <c r="BX455" s="104"/>
      <c r="BY455" s="106"/>
      <c r="BZ455" s="104"/>
      <c r="CA455" s="105"/>
      <c r="CB455" s="77">
        <f>IF($A455="",0,IF($B455='FICHA CLIENTE'!$C$4,1,0))</f>
      </c>
      <c r="CC455" s="77">
        <f t="shared" si="116"/>
      </c>
      <c r="CD455" s="77">
        <f>IF($A455="",0,IF($D455='FICHA VEHICULO'!$C$4,1,0))</f>
      </c>
      <c r="CE455" s="77">
        <f t="shared" si="117"/>
      </c>
      <c r="CF455" s="77">
        <f t="shared" si="118"/>
      </c>
      <c r="CG455" s="77">
        <f t="shared" si="119"/>
      </c>
    </row>
    <row r="456" spans="1:85" ht="19.5" customHeight="1" x14ac:dyDescent="0.2">
      <c r="A456" s="104"/>
      <c r="B456" s="104"/>
      <c r="C456" s="105"/>
      <c r="D456" s="104"/>
      <c r="E456" s="105"/>
      <c r="F456" s="106"/>
      <c r="G456" s="104"/>
      <c r="H456" s="106"/>
      <c r="I456" s="107"/>
      <c r="J456" s="108"/>
      <c r="K456" s="108"/>
      <c r="L456" s="108"/>
      <c r="M456" s="105"/>
      <c r="N456" s="105"/>
      <c r="O456" s="105"/>
      <c r="P456" s="108"/>
      <c r="Q456" s="105"/>
      <c r="R456" s="105"/>
      <c r="S456" s="105"/>
      <c r="T456" s="105"/>
      <c r="U456" s="108"/>
      <c r="V456" s="105"/>
      <c r="W456" s="105"/>
      <c r="X456" s="105"/>
      <c r="Y456" s="105"/>
      <c r="Z456" s="105"/>
      <c r="AA456" s="108"/>
      <c r="AB456" s="108"/>
      <c r="AC456" s="105"/>
      <c r="AD456" s="279"/>
      <c r="AE456" s="105"/>
      <c r="AF456" s="279"/>
      <c r="AG456" s="105"/>
      <c r="AH456" s="108"/>
      <c r="AI456" s="108"/>
      <c r="AJ456" s="108"/>
      <c r="AK456" s="108"/>
      <c r="AL456" s="105"/>
      <c r="AM456" s="108"/>
      <c r="AN456" s="105"/>
      <c r="AO456" s="108"/>
      <c r="AP456" s="108"/>
      <c r="AQ456" s="105"/>
      <c r="AR456" s="108"/>
      <c r="AS456" s="108"/>
      <c r="AT456" s="105"/>
      <c r="AU456" s="105"/>
      <c r="AV456" s="105"/>
      <c r="AW456" s="105"/>
      <c r="AX456" s="105"/>
      <c r="AY456" s="105"/>
      <c r="AZ456" s="105"/>
      <c r="BA456" s="105"/>
      <c r="BB456" s="105"/>
      <c r="BC456" s="105"/>
      <c r="BD456" s="108"/>
      <c r="BE456" s="83">
        <f>IF($A456="","",IF(TRIM($D456&amp;"")="",IF(TRIM($AX456&amp;$AY456&amp;$AZ456&amp;$BA456&amp;$BB456&amp;$BC456&amp;$BD456&amp;"")="","","SUBARRENDADO"),IFERROR(IF(VLOOKUP($D456,VEHICULOS!$A$3:$H$202,7,FALSE)="","",VLOOKUP($D456,VEHICULOS!$A$3:$H$202,7,FALSE)),"")))</f>
      </c>
      <c r="BF456" s="82">
        <f>IF($A456="","",IF(TRIM($BC456&amp;"")&lt;&gt;"",$BC456,IF(TRIM($D456&amp;"")="","",IFERROR(IF(VLOOKUP($D456,VEHICULOS!$A$3:$H$202,8,FALSE)="","",VLOOKUP($D456,VEHICULOS!$A$3:$H$202,8,FALSE)),""))))</f>
      </c>
      <c r="BG456" s="106"/>
      <c r="BH456" s="107"/>
      <c r="BI456" s="86">
        <f t="shared" si="105"/>
      </c>
      <c r="BJ456" s="83">
        <f t="shared" si="106"/>
      </c>
      <c r="BK456" s="85">
        <f t="shared" si="107"/>
      </c>
      <c r="BL456" s="85">
        <f t="shared" si="108"/>
      </c>
      <c r="BM456" s="108"/>
      <c r="BN456" s="85">
        <f t="shared" si="109"/>
      </c>
      <c r="BO456" s="108"/>
      <c r="BP456" s="85">
        <f t="shared" si="110"/>
      </c>
      <c r="BQ456" s="85">
        <f t="shared" si="111"/>
      </c>
      <c r="BR456" s="108"/>
      <c r="BS456" s="104"/>
      <c r="BT456" s="87">
        <f t="shared" si="112"/>
      </c>
      <c r="BU456" s="85">
        <f t="shared" si="113"/>
      </c>
      <c r="BV456" s="85">
        <f t="shared" si="114"/>
      </c>
      <c r="BW456" s="87">
        <f t="shared" si="115"/>
      </c>
      <c r="BX456" s="104"/>
      <c r="BY456" s="106"/>
      <c r="BZ456" s="104"/>
      <c r="CA456" s="105"/>
      <c r="CB456" s="77">
        <f>IF($A456="",0,IF($B456='FICHA CLIENTE'!$C$4,1,0))</f>
      </c>
      <c r="CC456" s="77">
        <f t="shared" si="116"/>
      </c>
      <c r="CD456" s="77">
        <f>IF($A456="",0,IF($D456='FICHA VEHICULO'!$C$4,1,0))</f>
      </c>
      <c r="CE456" s="77">
        <f t="shared" si="117"/>
      </c>
      <c r="CF456" s="77">
        <f t="shared" si="118"/>
      </c>
      <c r="CG456" s="77">
        <f t="shared" si="119"/>
      </c>
    </row>
    <row r="457" spans="1:85" ht="19.5" customHeight="1" x14ac:dyDescent="0.2">
      <c r="A457" s="104"/>
      <c r="B457" s="104"/>
      <c r="C457" s="105"/>
      <c r="D457" s="104"/>
      <c r="E457" s="105"/>
      <c r="F457" s="106"/>
      <c r="G457" s="104"/>
      <c r="H457" s="106"/>
      <c r="I457" s="107"/>
      <c r="J457" s="108"/>
      <c r="K457" s="108"/>
      <c r="L457" s="108"/>
      <c r="M457" s="105"/>
      <c r="N457" s="105"/>
      <c r="O457" s="105"/>
      <c r="P457" s="108"/>
      <c r="Q457" s="105"/>
      <c r="R457" s="105"/>
      <c r="S457" s="105"/>
      <c r="T457" s="105"/>
      <c r="U457" s="108"/>
      <c r="V457" s="105"/>
      <c r="W457" s="105"/>
      <c r="X457" s="105"/>
      <c r="Y457" s="105"/>
      <c r="Z457" s="105"/>
      <c r="AA457" s="108"/>
      <c r="AB457" s="108"/>
      <c r="AC457" s="105"/>
      <c r="AD457" s="279"/>
      <c r="AE457" s="105"/>
      <c r="AF457" s="279"/>
      <c r="AG457" s="105"/>
      <c r="AH457" s="108"/>
      <c r="AI457" s="108"/>
      <c r="AJ457" s="108"/>
      <c r="AK457" s="108"/>
      <c r="AL457" s="105"/>
      <c r="AM457" s="108"/>
      <c r="AN457" s="105"/>
      <c r="AO457" s="108"/>
      <c r="AP457" s="108"/>
      <c r="AQ457" s="105"/>
      <c r="AR457" s="108"/>
      <c r="AS457" s="108"/>
      <c r="AT457" s="105"/>
      <c r="AU457" s="105"/>
      <c r="AV457" s="105"/>
      <c r="AW457" s="105"/>
      <c r="AX457" s="105"/>
      <c r="AY457" s="105"/>
      <c r="AZ457" s="105"/>
      <c r="BA457" s="105"/>
      <c r="BB457" s="105"/>
      <c r="BC457" s="105"/>
      <c r="BD457" s="108"/>
      <c r="BE457" s="83">
        <f>IF($A457="","",IF(TRIM($D457&amp;"")="",IF(TRIM($AX457&amp;$AY457&amp;$AZ457&amp;$BA457&amp;$BB457&amp;$BC457&amp;$BD457&amp;"")="","","SUBARRENDADO"),IFERROR(IF(VLOOKUP($D457,VEHICULOS!$A$3:$H$202,7,FALSE)="","",VLOOKUP($D457,VEHICULOS!$A$3:$H$202,7,FALSE)),"")))</f>
      </c>
      <c r="BF457" s="82">
        <f>IF($A457="","",IF(TRIM($BC457&amp;"")&lt;&gt;"",$BC457,IF(TRIM($D457&amp;"")="","",IFERROR(IF(VLOOKUP($D457,VEHICULOS!$A$3:$H$202,8,FALSE)="","",VLOOKUP($D457,VEHICULOS!$A$3:$H$202,8,FALSE)),""))))</f>
      </c>
      <c r="BG457" s="106"/>
      <c r="BH457" s="107"/>
      <c r="BI457" s="86">
        <f t="shared" si="105"/>
      </c>
      <c r="BJ457" s="83">
        <f t="shared" si="106"/>
      </c>
      <c r="BK457" s="85">
        <f t="shared" si="107"/>
      </c>
      <c r="BL457" s="85">
        <f t="shared" si="108"/>
      </c>
      <c r="BM457" s="108"/>
      <c r="BN457" s="85">
        <f t="shared" si="109"/>
      </c>
      <c r="BO457" s="108"/>
      <c r="BP457" s="85">
        <f t="shared" si="110"/>
      </c>
      <c r="BQ457" s="85">
        <f t="shared" si="111"/>
      </c>
      <c r="BR457" s="108"/>
      <c r="BS457" s="104"/>
      <c r="BT457" s="87">
        <f t="shared" si="112"/>
      </c>
      <c r="BU457" s="85">
        <f t="shared" si="113"/>
      </c>
      <c r="BV457" s="85">
        <f t="shared" si="114"/>
      </c>
      <c r="BW457" s="87">
        <f t="shared" si="115"/>
      </c>
      <c r="BX457" s="104"/>
      <c r="BY457" s="106"/>
      <c r="BZ457" s="104"/>
      <c r="CA457" s="105"/>
      <c r="CB457" s="77">
        <f>IF($A457="",0,IF($B457='FICHA CLIENTE'!$C$4,1,0))</f>
      </c>
      <c r="CC457" s="77">
        <f t="shared" si="116"/>
      </c>
      <c r="CD457" s="77">
        <f>IF($A457="",0,IF($D457='FICHA VEHICULO'!$C$4,1,0))</f>
      </c>
      <c r="CE457" s="77">
        <f t="shared" si="117"/>
      </c>
      <c r="CF457" s="77">
        <f t="shared" si="118"/>
      </c>
      <c r="CG457" s="77">
        <f t="shared" si="119"/>
      </c>
    </row>
    <row r="458" spans="1:85" ht="19.5" customHeight="1" x14ac:dyDescent="0.2">
      <c r="A458" s="104"/>
      <c r="B458" s="104"/>
      <c r="C458" s="105"/>
      <c r="D458" s="104"/>
      <c r="E458" s="105"/>
      <c r="F458" s="106"/>
      <c r="G458" s="104"/>
      <c r="H458" s="106"/>
      <c r="I458" s="107"/>
      <c r="J458" s="108"/>
      <c r="K458" s="108"/>
      <c r="L458" s="108"/>
      <c r="M458" s="105"/>
      <c r="N458" s="105"/>
      <c r="O458" s="105"/>
      <c r="P458" s="108"/>
      <c r="Q458" s="105"/>
      <c r="R458" s="105"/>
      <c r="S458" s="105"/>
      <c r="T458" s="105"/>
      <c r="U458" s="108"/>
      <c r="V458" s="105"/>
      <c r="W458" s="105"/>
      <c r="X458" s="105"/>
      <c r="Y458" s="105"/>
      <c r="Z458" s="105"/>
      <c r="AA458" s="108"/>
      <c r="AB458" s="108"/>
      <c r="AC458" s="105"/>
      <c r="AD458" s="279"/>
      <c r="AE458" s="105"/>
      <c r="AF458" s="279"/>
      <c r="AG458" s="105"/>
      <c r="AH458" s="108"/>
      <c r="AI458" s="108"/>
      <c r="AJ458" s="108"/>
      <c r="AK458" s="108"/>
      <c r="AL458" s="105"/>
      <c r="AM458" s="108"/>
      <c r="AN458" s="105"/>
      <c r="AO458" s="108"/>
      <c r="AP458" s="108"/>
      <c r="AQ458" s="105"/>
      <c r="AR458" s="108"/>
      <c r="AS458" s="108"/>
      <c r="AT458" s="105"/>
      <c r="AU458" s="105"/>
      <c r="AV458" s="105"/>
      <c r="AW458" s="105"/>
      <c r="AX458" s="105"/>
      <c r="AY458" s="105"/>
      <c r="AZ458" s="105"/>
      <c r="BA458" s="105"/>
      <c r="BB458" s="105"/>
      <c r="BC458" s="105"/>
      <c r="BD458" s="108"/>
      <c r="BE458" s="83">
        <f>IF($A458="","",IF(TRIM($D458&amp;"")="",IF(TRIM($AX458&amp;$AY458&amp;$AZ458&amp;$BA458&amp;$BB458&amp;$BC458&amp;$BD458&amp;"")="","","SUBARRENDADO"),IFERROR(IF(VLOOKUP($D458,VEHICULOS!$A$3:$H$202,7,FALSE)="","",VLOOKUP($D458,VEHICULOS!$A$3:$H$202,7,FALSE)),"")))</f>
      </c>
      <c r="BF458" s="82">
        <f>IF($A458="","",IF(TRIM($BC458&amp;"")&lt;&gt;"",$BC458,IF(TRIM($D458&amp;"")="","",IFERROR(IF(VLOOKUP($D458,VEHICULOS!$A$3:$H$202,8,FALSE)="","",VLOOKUP($D458,VEHICULOS!$A$3:$H$202,8,FALSE)),""))))</f>
      </c>
      <c r="BG458" s="106"/>
      <c r="BH458" s="107"/>
      <c r="BI458" s="86">
        <f t="shared" si="105"/>
      </c>
      <c r="BJ458" s="83">
        <f t="shared" si="106"/>
      </c>
      <c r="BK458" s="85">
        <f t="shared" si="107"/>
      </c>
      <c r="BL458" s="85">
        <f t="shared" si="108"/>
      </c>
      <c r="BM458" s="108"/>
      <c r="BN458" s="85">
        <f t="shared" si="109"/>
      </c>
      <c r="BO458" s="108"/>
      <c r="BP458" s="85">
        <f t="shared" si="110"/>
      </c>
      <c r="BQ458" s="85">
        <f t="shared" si="111"/>
      </c>
      <c r="BR458" s="108"/>
      <c r="BS458" s="104"/>
      <c r="BT458" s="87">
        <f t="shared" si="112"/>
      </c>
      <c r="BU458" s="85">
        <f t="shared" si="113"/>
      </c>
      <c r="BV458" s="85">
        <f t="shared" si="114"/>
      </c>
      <c r="BW458" s="87">
        <f t="shared" si="115"/>
      </c>
      <c r="BX458" s="104"/>
      <c r="BY458" s="106"/>
      <c r="BZ458" s="104"/>
      <c r="CA458" s="105"/>
      <c r="CB458" s="77">
        <f>IF($A458="",0,IF($B458='FICHA CLIENTE'!$C$4,1,0))</f>
      </c>
      <c r="CC458" s="77">
        <f t="shared" si="116"/>
      </c>
      <c r="CD458" s="77">
        <f>IF($A458="",0,IF($D458='FICHA VEHICULO'!$C$4,1,0))</f>
      </c>
      <c r="CE458" s="77">
        <f t="shared" si="117"/>
      </c>
      <c r="CF458" s="77">
        <f t="shared" si="118"/>
      </c>
      <c r="CG458" s="77">
        <f t="shared" si="119"/>
      </c>
    </row>
    <row r="459" spans="1:85" ht="19.5" customHeight="1" x14ac:dyDescent="0.2">
      <c r="A459" s="104"/>
      <c r="B459" s="104"/>
      <c r="C459" s="105"/>
      <c r="D459" s="104"/>
      <c r="E459" s="105"/>
      <c r="F459" s="106"/>
      <c r="G459" s="104"/>
      <c r="H459" s="106"/>
      <c r="I459" s="107"/>
      <c r="J459" s="108"/>
      <c r="K459" s="108"/>
      <c r="L459" s="108"/>
      <c r="M459" s="105"/>
      <c r="N459" s="105"/>
      <c r="O459" s="105"/>
      <c r="P459" s="108"/>
      <c r="Q459" s="105"/>
      <c r="R459" s="105"/>
      <c r="S459" s="105"/>
      <c r="T459" s="105"/>
      <c r="U459" s="108"/>
      <c r="V459" s="105"/>
      <c r="W459" s="105"/>
      <c r="X459" s="105"/>
      <c r="Y459" s="105"/>
      <c r="Z459" s="105"/>
      <c r="AA459" s="108"/>
      <c r="AB459" s="108"/>
      <c r="AC459" s="105"/>
      <c r="AD459" s="279"/>
      <c r="AE459" s="105"/>
      <c r="AF459" s="279"/>
      <c r="AG459" s="105"/>
      <c r="AH459" s="108"/>
      <c r="AI459" s="108"/>
      <c r="AJ459" s="108"/>
      <c r="AK459" s="108"/>
      <c r="AL459" s="105"/>
      <c r="AM459" s="108"/>
      <c r="AN459" s="105"/>
      <c r="AO459" s="108"/>
      <c r="AP459" s="108"/>
      <c r="AQ459" s="105"/>
      <c r="AR459" s="108"/>
      <c r="AS459" s="108"/>
      <c r="AT459" s="105"/>
      <c r="AU459" s="105"/>
      <c r="AV459" s="105"/>
      <c r="AW459" s="105"/>
      <c r="AX459" s="105"/>
      <c r="AY459" s="105"/>
      <c r="AZ459" s="105"/>
      <c r="BA459" s="105"/>
      <c r="BB459" s="105"/>
      <c r="BC459" s="105"/>
      <c r="BD459" s="108"/>
      <c r="BE459" s="83">
        <f>IF($A459="","",IF(TRIM($D459&amp;"")="",IF(TRIM($AX459&amp;$AY459&amp;$AZ459&amp;$BA459&amp;$BB459&amp;$BC459&amp;$BD459&amp;"")="","","SUBARRENDADO"),IFERROR(IF(VLOOKUP($D459,VEHICULOS!$A$3:$H$202,7,FALSE)="","",VLOOKUP($D459,VEHICULOS!$A$3:$H$202,7,FALSE)),"")))</f>
      </c>
      <c r="BF459" s="82">
        <f>IF($A459="","",IF(TRIM($BC459&amp;"")&lt;&gt;"",$BC459,IF(TRIM($D459&amp;"")="","",IFERROR(IF(VLOOKUP($D459,VEHICULOS!$A$3:$H$202,8,FALSE)="","",VLOOKUP($D459,VEHICULOS!$A$3:$H$202,8,FALSE)),""))))</f>
      </c>
      <c r="BG459" s="106"/>
      <c r="BH459" s="107"/>
      <c r="BI459" s="86">
        <f t="shared" si="105"/>
      </c>
      <c r="BJ459" s="83">
        <f t="shared" si="106"/>
      </c>
      <c r="BK459" s="85">
        <f t="shared" si="107"/>
      </c>
      <c r="BL459" s="85">
        <f t="shared" si="108"/>
      </c>
      <c r="BM459" s="108"/>
      <c r="BN459" s="85">
        <f t="shared" si="109"/>
      </c>
      <c r="BO459" s="108"/>
      <c r="BP459" s="85">
        <f t="shared" si="110"/>
      </c>
      <c r="BQ459" s="85">
        <f t="shared" si="111"/>
      </c>
      <c r="BR459" s="108"/>
      <c r="BS459" s="104"/>
      <c r="BT459" s="87">
        <f t="shared" si="112"/>
      </c>
      <c r="BU459" s="85">
        <f t="shared" si="113"/>
      </c>
      <c r="BV459" s="85">
        <f t="shared" si="114"/>
      </c>
      <c r="BW459" s="87">
        <f t="shared" si="115"/>
      </c>
      <c r="BX459" s="104"/>
      <c r="BY459" s="106"/>
      <c r="BZ459" s="104"/>
      <c r="CA459" s="105"/>
      <c r="CB459" s="77">
        <f>IF($A459="",0,IF($B459='FICHA CLIENTE'!$C$4,1,0))</f>
      </c>
      <c r="CC459" s="77">
        <f t="shared" si="116"/>
      </c>
      <c r="CD459" s="77">
        <f>IF($A459="",0,IF($D459='FICHA VEHICULO'!$C$4,1,0))</f>
      </c>
      <c r="CE459" s="77">
        <f t="shared" si="117"/>
      </c>
      <c r="CF459" s="77">
        <f t="shared" si="118"/>
      </c>
      <c r="CG459" s="77">
        <f t="shared" si="119"/>
      </c>
    </row>
    <row r="460" spans="1:85" ht="19.5" customHeight="1" x14ac:dyDescent="0.2">
      <c r="A460" s="104"/>
      <c r="B460" s="104"/>
      <c r="C460" s="105"/>
      <c r="D460" s="104"/>
      <c r="E460" s="105"/>
      <c r="F460" s="106"/>
      <c r="G460" s="104"/>
      <c r="H460" s="106"/>
      <c r="I460" s="107"/>
      <c r="J460" s="108"/>
      <c r="K460" s="108"/>
      <c r="L460" s="108"/>
      <c r="M460" s="105"/>
      <c r="N460" s="105"/>
      <c r="O460" s="105"/>
      <c r="P460" s="108"/>
      <c r="Q460" s="105"/>
      <c r="R460" s="105"/>
      <c r="S460" s="105"/>
      <c r="T460" s="105"/>
      <c r="U460" s="108"/>
      <c r="V460" s="105"/>
      <c r="W460" s="105"/>
      <c r="X460" s="105"/>
      <c r="Y460" s="105"/>
      <c r="Z460" s="105"/>
      <c r="AA460" s="108"/>
      <c r="AB460" s="108"/>
      <c r="AC460" s="105"/>
      <c r="AD460" s="279"/>
      <c r="AE460" s="105"/>
      <c r="AF460" s="279"/>
      <c r="AG460" s="105"/>
      <c r="AH460" s="108"/>
      <c r="AI460" s="108"/>
      <c r="AJ460" s="108"/>
      <c r="AK460" s="108"/>
      <c r="AL460" s="105"/>
      <c r="AM460" s="108"/>
      <c r="AN460" s="105"/>
      <c r="AO460" s="108"/>
      <c r="AP460" s="108"/>
      <c r="AQ460" s="105"/>
      <c r="AR460" s="108"/>
      <c r="AS460" s="108"/>
      <c r="AT460" s="105"/>
      <c r="AU460" s="105"/>
      <c r="AV460" s="105"/>
      <c r="AW460" s="105"/>
      <c r="AX460" s="105"/>
      <c r="AY460" s="105"/>
      <c r="AZ460" s="105"/>
      <c r="BA460" s="105"/>
      <c r="BB460" s="105"/>
      <c r="BC460" s="105"/>
      <c r="BD460" s="108"/>
      <c r="BE460" s="83">
        <f>IF($A460="","",IF(TRIM($D460&amp;"")="",IF(TRIM($AX460&amp;$AY460&amp;$AZ460&amp;$BA460&amp;$BB460&amp;$BC460&amp;$BD460&amp;"")="","","SUBARRENDADO"),IFERROR(IF(VLOOKUP($D460,VEHICULOS!$A$3:$H$202,7,FALSE)="","",VLOOKUP($D460,VEHICULOS!$A$3:$H$202,7,FALSE)),"")))</f>
      </c>
      <c r="BF460" s="82">
        <f>IF($A460="","",IF(TRIM($BC460&amp;"")&lt;&gt;"",$BC460,IF(TRIM($D460&amp;"")="","",IFERROR(IF(VLOOKUP($D460,VEHICULOS!$A$3:$H$202,8,FALSE)="","",VLOOKUP($D460,VEHICULOS!$A$3:$H$202,8,FALSE)),""))))</f>
      </c>
      <c r="BG460" s="106"/>
      <c r="BH460" s="107"/>
      <c r="BI460" s="86">
        <f t="shared" si="105"/>
      </c>
      <c r="BJ460" s="83">
        <f t="shared" si="106"/>
      </c>
      <c r="BK460" s="85">
        <f t="shared" si="107"/>
      </c>
      <c r="BL460" s="85">
        <f t="shared" si="108"/>
      </c>
      <c r="BM460" s="108"/>
      <c r="BN460" s="85">
        <f t="shared" si="109"/>
      </c>
      <c r="BO460" s="108"/>
      <c r="BP460" s="85">
        <f t="shared" si="110"/>
      </c>
      <c r="BQ460" s="85">
        <f t="shared" si="111"/>
      </c>
      <c r="BR460" s="108"/>
      <c r="BS460" s="104"/>
      <c r="BT460" s="87">
        <f t="shared" si="112"/>
      </c>
      <c r="BU460" s="85">
        <f t="shared" si="113"/>
      </c>
      <c r="BV460" s="85">
        <f t="shared" si="114"/>
      </c>
      <c r="BW460" s="87">
        <f t="shared" si="115"/>
      </c>
      <c r="BX460" s="104"/>
      <c r="BY460" s="106"/>
      <c r="BZ460" s="104"/>
      <c r="CA460" s="105"/>
      <c r="CB460" s="77">
        <f>IF($A460="",0,IF($B460='FICHA CLIENTE'!$C$4,1,0))</f>
      </c>
      <c r="CC460" s="77">
        <f t="shared" si="116"/>
      </c>
      <c r="CD460" s="77">
        <f>IF($A460="",0,IF($D460='FICHA VEHICULO'!$C$4,1,0))</f>
      </c>
      <c r="CE460" s="77">
        <f t="shared" si="117"/>
      </c>
      <c r="CF460" s="77">
        <f t="shared" si="118"/>
      </c>
      <c r="CG460" s="77">
        <f t="shared" si="119"/>
      </c>
    </row>
    <row r="461" spans="1:85" ht="19.5" customHeight="1" x14ac:dyDescent="0.2">
      <c r="A461" s="104"/>
      <c r="B461" s="104"/>
      <c r="C461" s="105"/>
      <c r="D461" s="104"/>
      <c r="E461" s="105"/>
      <c r="F461" s="106"/>
      <c r="G461" s="104"/>
      <c r="H461" s="106"/>
      <c r="I461" s="107"/>
      <c r="J461" s="108"/>
      <c r="K461" s="108"/>
      <c r="L461" s="108"/>
      <c r="M461" s="105"/>
      <c r="N461" s="105"/>
      <c r="O461" s="105"/>
      <c r="P461" s="108"/>
      <c r="Q461" s="105"/>
      <c r="R461" s="105"/>
      <c r="S461" s="105"/>
      <c r="T461" s="105"/>
      <c r="U461" s="108"/>
      <c r="V461" s="105"/>
      <c r="W461" s="105"/>
      <c r="X461" s="105"/>
      <c r="Y461" s="105"/>
      <c r="Z461" s="105"/>
      <c r="AA461" s="108"/>
      <c r="AB461" s="108"/>
      <c r="AC461" s="105"/>
      <c r="AD461" s="279"/>
      <c r="AE461" s="105"/>
      <c r="AF461" s="279"/>
      <c r="AG461" s="105"/>
      <c r="AH461" s="108"/>
      <c r="AI461" s="108"/>
      <c r="AJ461" s="108"/>
      <c r="AK461" s="108"/>
      <c r="AL461" s="105"/>
      <c r="AM461" s="108"/>
      <c r="AN461" s="105"/>
      <c r="AO461" s="108"/>
      <c r="AP461" s="108"/>
      <c r="AQ461" s="105"/>
      <c r="AR461" s="108"/>
      <c r="AS461" s="108"/>
      <c r="AT461" s="105"/>
      <c r="AU461" s="105"/>
      <c r="AV461" s="105"/>
      <c r="AW461" s="105"/>
      <c r="AX461" s="105"/>
      <c r="AY461" s="105"/>
      <c r="AZ461" s="105"/>
      <c r="BA461" s="105"/>
      <c r="BB461" s="105"/>
      <c r="BC461" s="105"/>
      <c r="BD461" s="108"/>
      <c r="BE461" s="83">
        <f>IF($A461="","",IF(TRIM($D461&amp;"")="",IF(TRIM($AX461&amp;$AY461&amp;$AZ461&amp;$BA461&amp;$BB461&amp;$BC461&amp;$BD461&amp;"")="","","SUBARRENDADO"),IFERROR(IF(VLOOKUP($D461,VEHICULOS!$A$3:$H$202,7,FALSE)="","",VLOOKUP($D461,VEHICULOS!$A$3:$H$202,7,FALSE)),"")))</f>
      </c>
      <c r="BF461" s="82">
        <f>IF($A461="","",IF(TRIM($BC461&amp;"")&lt;&gt;"",$BC461,IF(TRIM($D461&amp;"")="","",IFERROR(IF(VLOOKUP($D461,VEHICULOS!$A$3:$H$202,8,FALSE)="","",VLOOKUP($D461,VEHICULOS!$A$3:$H$202,8,FALSE)),""))))</f>
      </c>
      <c r="BG461" s="106"/>
      <c r="BH461" s="107"/>
      <c r="BI461" s="86">
        <f t="shared" si="105"/>
      </c>
      <c r="BJ461" s="83">
        <f t="shared" si="106"/>
      </c>
      <c r="BK461" s="85">
        <f t="shared" si="107"/>
      </c>
      <c r="BL461" s="85">
        <f t="shared" si="108"/>
      </c>
      <c r="BM461" s="108"/>
      <c r="BN461" s="85">
        <f t="shared" si="109"/>
      </c>
      <c r="BO461" s="108"/>
      <c r="BP461" s="85">
        <f t="shared" si="110"/>
      </c>
      <c r="BQ461" s="85">
        <f t="shared" si="111"/>
      </c>
      <c r="BR461" s="108"/>
      <c r="BS461" s="104"/>
      <c r="BT461" s="87">
        <f t="shared" si="112"/>
      </c>
      <c r="BU461" s="85">
        <f t="shared" si="113"/>
      </c>
      <c r="BV461" s="85">
        <f t="shared" si="114"/>
      </c>
      <c r="BW461" s="87">
        <f t="shared" si="115"/>
      </c>
      <c r="BX461" s="104"/>
      <c r="BY461" s="106"/>
      <c r="BZ461" s="104"/>
      <c r="CA461" s="105"/>
      <c r="CB461" s="77">
        <f>IF($A461="",0,IF($B461='FICHA CLIENTE'!$C$4,1,0))</f>
      </c>
      <c r="CC461" s="77">
        <f t="shared" si="116"/>
      </c>
      <c r="CD461" s="77">
        <f>IF($A461="",0,IF($D461='FICHA VEHICULO'!$C$4,1,0))</f>
      </c>
      <c r="CE461" s="77">
        <f t="shared" si="117"/>
      </c>
      <c r="CF461" s="77">
        <f t="shared" si="118"/>
      </c>
      <c r="CG461" s="77">
        <f t="shared" si="119"/>
      </c>
    </row>
    <row r="462" spans="1:85" ht="19.5" customHeight="1" x14ac:dyDescent="0.2">
      <c r="A462" s="104"/>
      <c r="B462" s="104"/>
      <c r="C462" s="105"/>
      <c r="D462" s="104"/>
      <c r="E462" s="105"/>
      <c r="F462" s="106"/>
      <c r="G462" s="104"/>
      <c r="H462" s="106"/>
      <c r="I462" s="107"/>
      <c r="J462" s="108"/>
      <c r="K462" s="108"/>
      <c r="L462" s="108"/>
      <c r="M462" s="105"/>
      <c r="N462" s="105"/>
      <c r="O462" s="105"/>
      <c r="P462" s="108"/>
      <c r="Q462" s="105"/>
      <c r="R462" s="105"/>
      <c r="S462" s="105"/>
      <c r="T462" s="105"/>
      <c r="U462" s="108"/>
      <c r="V462" s="105"/>
      <c r="W462" s="105"/>
      <c r="X462" s="105"/>
      <c r="Y462" s="105"/>
      <c r="Z462" s="105"/>
      <c r="AA462" s="108"/>
      <c r="AB462" s="108"/>
      <c r="AC462" s="105"/>
      <c r="AD462" s="279"/>
      <c r="AE462" s="105"/>
      <c r="AF462" s="279"/>
      <c r="AG462" s="105"/>
      <c r="AH462" s="108"/>
      <c r="AI462" s="108"/>
      <c r="AJ462" s="108"/>
      <c r="AK462" s="108"/>
      <c r="AL462" s="105"/>
      <c r="AM462" s="108"/>
      <c r="AN462" s="105"/>
      <c r="AO462" s="108"/>
      <c r="AP462" s="108"/>
      <c r="AQ462" s="105"/>
      <c r="AR462" s="108"/>
      <c r="AS462" s="108"/>
      <c r="AT462" s="105"/>
      <c r="AU462" s="105"/>
      <c r="AV462" s="105"/>
      <c r="AW462" s="105"/>
      <c r="AX462" s="105"/>
      <c r="AY462" s="105"/>
      <c r="AZ462" s="105"/>
      <c r="BA462" s="105"/>
      <c r="BB462" s="105"/>
      <c r="BC462" s="105"/>
      <c r="BD462" s="108"/>
      <c r="BE462" s="83">
        <f>IF($A462="","",IF(TRIM($D462&amp;"")="",IF(TRIM($AX462&amp;$AY462&amp;$AZ462&amp;$BA462&amp;$BB462&amp;$BC462&amp;$BD462&amp;"")="","","SUBARRENDADO"),IFERROR(IF(VLOOKUP($D462,VEHICULOS!$A$3:$H$202,7,FALSE)="","",VLOOKUP($D462,VEHICULOS!$A$3:$H$202,7,FALSE)),"")))</f>
      </c>
      <c r="BF462" s="82">
        <f>IF($A462="","",IF(TRIM($BC462&amp;"")&lt;&gt;"",$BC462,IF(TRIM($D462&amp;"")="","",IFERROR(IF(VLOOKUP($D462,VEHICULOS!$A$3:$H$202,8,FALSE)="","",VLOOKUP($D462,VEHICULOS!$A$3:$H$202,8,FALSE)),""))))</f>
      </c>
      <c r="BG462" s="106"/>
      <c r="BH462" s="107"/>
      <c r="BI462" s="86">
        <f t="shared" si="105"/>
      </c>
      <c r="BJ462" s="83">
        <f t="shared" si="106"/>
      </c>
      <c r="BK462" s="85">
        <f t="shared" si="107"/>
      </c>
      <c r="BL462" s="85">
        <f t="shared" si="108"/>
      </c>
      <c r="BM462" s="108"/>
      <c r="BN462" s="85">
        <f t="shared" si="109"/>
      </c>
      <c r="BO462" s="108"/>
      <c r="BP462" s="85">
        <f t="shared" si="110"/>
      </c>
      <c r="BQ462" s="85">
        <f t="shared" si="111"/>
      </c>
      <c r="BR462" s="108"/>
      <c r="BS462" s="104"/>
      <c r="BT462" s="87">
        <f t="shared" si="112"/>
      </c>
      <c r="BU462" s="85">
        <f t="shared" si="113"/>
      </c>
      <c r="BV462" s="85">
        <f t="shared" si="114"/>
      </c>
      <c r="BW462" s="87">
        <f t="shared" si="115"/>
      </c>
      <c r="BX462" s="104"/>
      <c r="BY462" s="106"/>
      <c r="BZ462" s="104"/>
      <c r="CA462" s="105"/>
      <c r="CB462" s="77">
        <f>IF($A462="",0,IF($B462='FICHA CLIENTE'!$C$4,1,0))</f>
      </c>
      <c r="CC462" s="77">
        <f t="shared" si="116"/>
      </c>
      <c r="CD462" s="77">
        <f>IF($A462="",0,IF($D462='FICHA VEHICULO'!$C$4,1,0))</f>
      </c>
      <c r="CE462" s="77">
        <f t="shared" si="117"/>
      </c>
      <c r="CF462" s="77">
        <f t="shared" si="118"/>
      </c>
      <c r="CG462" s="77">
        <f t="shared" si="119"/>
      </c>
    </row>
    <row r="463" spans="1:85" ht="19.5" customHeight="1" x14ac:dyDescent="0.2">
      <c r="A463" s="104"/>
      <c r="B463" s="104"/>
      <c r="C463" s="105"/>
      <c r="D463" s="104"/>
      <c r="E463" s="105"/>
      <c r="F463" s="106"/>
      <c r="G463" s="104"/>
      <c r="H463" s="106"/>
      <c r="I463" s="107"/>
      <c r="J463" s="108"/>
      <c r="K463" s="108"/>
      <c r="L463" s="108"/>
      <c r="M463" s="105"/>
      <c r="N463" s="105"/>
      <c r="O463" s="105"/>
      <c r="P463" s="108"/>
      <c r="Q463" s="105"/>
      <c r="R463" s="105"/>
      <c r="S463" s="105"/>
      <c r="T463" s="105"/>
      <c r="U463" s="108"/>
      <c r="V463" s="105"/>
      <c r="W463" s="105"/>
      <c r="X463" s="105"/>
      <c r="Y463" s="105"/>
      <c r="Z463" s="105"/>
      <c r="AA463" s="108"/>
      <c r="AB463" s="108"/>
      <c r="AC463" s="105"/>
      <c r="AD463" s="279"/>
      <c r="AE463" s="105"/>
      <c r="AF463" s="279"/>
      <c r="AG463" s="105"/>
      <c r="AH463" s="108"/>
      <c r="AI463" s="108"/>
      <c r="AJ463" s="108"/>
      <c r="AK463" s="108"/>
      <c r="AL463" s="105"/>
      <c r="AM463" s="108"/>
      <c r="AN463" s="105"/>
      <c r="AO463" s="108"/>
      <c r="AP463" s="108"/>
      <c r="AQ463" s="105"/>
      <c r="AR463" s="108"/>
      <c r="AS463" s="108"/>
      <c r="AT463" s="105"/>
      <c r="AU463" s="105"/>
      <c r="AV463" s="105"/>
      <c r="AW463" s="105"/>
      <c r="AX463" s="105"/>
      <c r="AY463" s="105"/>
      <c r="AZ463" s="105"/>
      <c r="BA463" s="105"/>
      <c r="BB463" s="105"/>
      <c r="BC463" s="105"/>
      <c r="BD463" s="108"/>
      <c r="BE463" s="83">
        <f>IF($A463="","",IF(TRIM($D463&amp;"")="",IF(TRIM($AX463&amp;$AY463&amp;$AZ463&amp;$BA463&amp;$BB463&amp;$BC463&amp;$BD463&amp;"")="","","SUBARRENDADO"),IFERROR(IF(VLOOKUP($D463,VEHICULOS!$A$3:$H$202,7,FALSE)="","",VLOOKUP($D463,VEHICULOS!$A$3:$H$202,7,FALSE)),"")))</f>
      </c>
      <c r="BF463" s="82">
        <f>IF($A463="","",IF(TRIM($BC463&amp;"")&lt;&gt;"",$BC463,IF(TRIM($D463&amp;"")="","",IFERROR(IF(VLOOKUP($D463,VEHICULOS!$A$3:$H$202,8,FALSE)="","",VLOOKUP($D463,VEHICULOS!$A$3:$H$202,8,FALSE)),""))))</f>
      </c>
      <c r="BG463" s="106"/>
      <c r="BH463" s="107"/>
      <c r="BI463" s="86">
        <f t="shared" si="105"/>
      </c>
      <c r="BJ463" s="83">
        <f t="shared" si="106"/>
      </c>
      <c r="BK463" s="85">
        <f t="shared" si="107"/>
      </c>
      <c r="BL463" s="85">
        <f t="shared" si="108"/>
      </c>
      <c r="BM463" s="108"/>
      <c r="BN463" s="85">
        <f t="shared" si="109"/>
      </c>
      <c r="BO463" s="108"/>
      <c r="BP463" s="85">
        <f t="shared" si="110"/>
      </c>
      <c r="BQ463" s="85">
        <f t="shared" si="111"/>
      </c>
      <c r="BR463" s="108"/>
      <c r="BS463" s="104"/>
      <c r="BT463" s="87">
        <f t="shared" si="112"/>
      </c>
      <c r="BU463" s="85">
        <f t="shared" si="113"/>
      </c>
      <c r="BV463" s="85">
        <f t="shared" si="114"/>
      </c>
      <c r="BW463" s="87">
        <f t="shared" si="115"/>
      </c>
      <c r="BX463" s="104"/>
      <c r="BY463" s="106"/>
      <c r="BZ463" s="104"/>
      <c r="CA463" s="105"/>
      <c r="CB463" s="77">
        <f>IF($A463="",0,IF($B463='FICHA CLIENTE'!$C$4,1,0))</f>
      </c>
      <c r="CC463" s="77">
        <f t="shared" si="116"/>
      </c>
      <c r="CD463" s="77">
        <f>IF($A463="",0,IF($D463='FICHA VEHICULO'!$C$4,1,0))</f>
      </c>
      <c r="CE463" s="77">
        <f t="shared" si="117"/>
      </c>
      <c r="CF463" s="77">
        <f t="shared" si="118"/>
      </c>
      <c r="CG463" s="77">
        <f t="shared" si="119"/>
      </c>
    </row>
    <row r="464" spans="1:85" ht="19.5" customHeight="1" x14ac:dyDescent="0.2">
      <c r="A464" s="104"/>
      <c r="B464" s="104"/>
      <c r="C464" s="105"/>
      <c r="D464" s="104"/>
      <c r="E464" s="105"/>
      <c r="F464" s="106"/>
      <c r="G464" s="104"/>
      <c r="H464" s="106"/>
      <c r="I464" s="107"/>
      <c r="J464" s="108"/>
      <c r="K464" s="108"/>
      <c r="L464" s="108"/>
      <c r="M464" s="105"/>
      <c r="N464" s="105"/>
      <c r="O464" s="105"/>
      <c r="P464" s="108"/>
      <c r="Q464" s="105"/>
      <c r="R464" s="105"/>
      <c r="S464" s="105"/>
      <c r="T464" s="105"/>
      <c r="U464" s="108"/>
      <c r="V464" s="105"/>
      <c r="W464" s="105"/>
      <c r="X464" s="105"/>
      <c r="Y464" s="105"/>
      <c r="Z464" s="105"/>
      <c r="AA464" s="108"/>
      <c r="AB464" s="108"/>
      <c r="AC464" s="105"/>
      <c r="AD464" s="279"/>
      <c r="AE464" s="105"/>
      <c r="AF464" s="279"/>
      <c r="AG464" s="105"/>
      <c r="AH464" s="108"/>
      <c r="AI464" s="108"/>
      <c r="AJ464" s="108"/>
      <c r="AK464" s="108"/>
      <c r="AL464" s="105"/>
      <c r="AM464" s="108"/>
      <c r="AN464" s="105"/>
      <c r="AO464" s="108"/>
      <c r="AP464" s="108"/>
      <c r="AQ464" s="105"/>
      <c r="AR464" s="108"/>
      <c r="AS464" s="108"/>
      <c r="AT464" s="105"/>
      <c r="AU464" s="105"/>
      <c r="AV464" s="105"/>
      <c r="AW464" s="105"/>
      <c r="AX464" s="105"/>
      <c r="AY464" s="105"/>
      <c r="AZ464" s="105"/>
      <c r="BA464" s="105"/>
      <c r="BB464" s="105"/>
      <c r="BC464" s="105"/>
      <c r="BD464" s="108"/>
      <c r="BE464" s="83">
        <f>IF($A464="","",IF(TRIM($D464&amp;"")="",IF(TRIM($AX464&amp;$AY464&amp;$AZ464&amp;$BA464&amp;$BB464&amp;$BC464&amp;$BD464&amp;"")="","","SUBARRENDADO"),IFERROR(IF(VLOOKUP($D464,VEHICULOS!$A$3:$H$202,7,FALSE)="","",VLOOKUP($D464,VEHICULOS!$A$3:$H$202,7,FALSE)),"")))</f>
      </c>
      <c r="BF464" s="82">
        <f>IF($A464="","",IF(TRIM($BC464&amp;"")&lt;&gt;"",$BC464,IF(TRIM($D464&amp;"")="","",IFERROR(IF(VLOOKUP($D464,VEHICULOS!$A$3:$H$202,8,FALSE)="","",VLOOKUP($D464,VEHICULOS!$A$3:$H$202,8,FALSE)),""))))</f>
      </c>
      <c r="BG464" s="106"/>
      <c r="BH464" s="107"/>
      <c r="BI464" s="86">
        <f t="shared" si="105"/>
      </c>
      <c r="BJ464" s="83">
        <f t="shared" si="106"/>
      </c>
      <c r="BK464" s="85">
        <f t="shared" si="107"/>
      </c>
      <c r="BL464" s="85">
        <f t="shared" si="108"/>
      </c>
      <c r="BM464" s="108"/>
      <c r="BN464" s="85">
        <f t="shared" si="109"/>
      </c>
      <c r="BO464" s="108"/>
      <c r="BP464" s="85">
        <f t="shared" si="110"/>
      </c>
      <c r="BQ464" s="85">
        <f t="shared" si="111"/>
      </c>
      <c r="BR464" s="108"/>
      <c r="BS464" s="104"/>
      <c r="BT464" s="87">
        <f t="shared" si="112"/>
      </c>
      <c r="BU464" s="85">
        <f t="shared" si="113"/>
      </c>
      <c r="BV464" s="85">
        <f t="shared" si="114"/>
      </c>
      <c r="BW464" s="87">
        <f t="shared" si="115"/>
      </c>
      <c r="BX464" s="104"/>
      <c r="BY464" s="106"/>
      <c r="BZ464" s="104"/>
      <c r="CA464" s="105"/>
      <c r="CB464" s="77">
        <f>IF($A464="",0,IF($B464='FICHA CLIENTE'!$C$4,1,0))</f>
      </c>
      <c r="CC464" s="77">
        <f t="shared" si="116"/>
      </c>
      <c r="CD464" s="77">
        <f>IF($A464="",0,IF($D464='FICHA VEHICULO'!$C$4,1,0))</f>
      </c>
      <c r="CE464" s="77">
        <f t="shared" si="117"/>
      </c>
      <c r="CF464" s="77">
        <f t="shared" si="118"/>
      </c>
      <c r="CG464" s="77">
        <f t="shared" si="119"/>
      </c>
    </row>
    <row r="465" spans="1:85" ht="19.5" customHeight="1" x14ac:dyDescent="0.2">
      <c r="A465" s="104"/>
      <c r="B465" s="104"/>
      <c r="C465" s="105"/>
      <c r="D465" s="104"/>
      <c r="E465" s="105"/>
      <c r="F465" s="106"/>
      <c r="G465" s="104"/>
      <c r="H465" s="106"/>
      <c r="I465" s="107"/>
      <c r="J465" s="108"/>
      <c r="K465" s="108"/>
      <c r="L465" s="108"/>
      <c r="M465" s="105"/>
      <c r="N465" s="105"/>
      <c r="O465" s="105"/>
      <c r="P465" s="108"/>
      <c r="Q465" s="105"/>
      <c r="R465" s="105"/>
      <c r="S465" s="105"/>
      <c r="T465" s="105"/>
      <c r="U465" s="108"/>
      <c r="V465" s="105"/>
      <c r="W465" s="105"/>
      <c r="X465" s="105"/>
      <c r="Y465" s="105"/>
      <c r="Z465" s="105"/>
      <c r="AA465" s="108"/>
      <c r="AB465" s="108"/>
      <c r="AC465" s="105"/>
      <c r="AD465" s="279"/>
      <c r="AE465" s="105"/>
      <c r="AF465" s="279"/>
      <c r="AG465" s="105"/>
      <c r="AH465" s="108"/>
      <c r="AI465" s="108"/>
      <c r="AJ465" s="108"/>
      <c r="AK465" s="108"/>
      <c r="AL465" s="105"/>
      <c r="AM465" s="108"/>
      <c r="AN465" s="105"/>
      <c r="AO465" s="108"/>
      <c r="AP465" s="108"/>
      <c r="AQ465" s="105"/>
      <c r="AR465" s="108"/>
      <c r="AS465" s="108"/>
      <c r="AT465" s="105"/>
      <c r="AU465" s="105"/>
      <c r="AV465" s="105"/>
      <c r="AW465" s="105"/>
      <c r="AX465" s="105"/>
      <c r="AY465" s="105"/>
      <c r="AZ465" s="105"/>
      <c r="BA465" s="105"/>
      <c r="BB465" s="105"/>
      <c r="BC465" s="105"/>
      <c r="BD465" s="108"/>
      <c r="BE465" s="83">
        <f>IF($A465="","",IF(TRIM($D465&amp;"")="",IF(TRIM($AX465&amp;$AY465&amp;$AZ465&amp;$BA465&amp;$BB465&amp;$BC465&amp;$BD465&amp;"")="","","SUBARRENDADO"),IFERROR(IF(VLOOKUP($D465,VEHICULOS!$A$3:$H$202,7,FALSE)="","",VLOOKUP($D465,VEHICULOS!$A$3:$H$202,7,FALSE)),"")))</f>
      </c>
      <c r="BF465" s="82">
        <f>IF($A465="","",IF(TRIM($BC465&amp;"")&lt;&gt;"",$BC465,IF(TRIM($D465&amp;"")="","",IFERROR(IF(VLOOKUP($D465,VEHICULOS!$A$3:$H$202,8,FALSE)="","",VLOOKUP($D465,VEHICULOS!$A$3:$H$202,8,FALSE)),""))))</f>
      </c>
      <c r="BG465" s="106"/>
      <c r="BH465" s="107"/>
      <c r="BI465" s="86">
        <f t="shared" si="105"/>
      </c>
      <c r="BJ465" s="83">
        <f t="shared" si="106"/>
      </c>
      <c r="BK465" s="85">
        <f t="shared" si="107"/>
      </c>
      <c r="BL465" s="85">
        <f t="shared" si="108"/>
      </c>
      <c r="BM465" s="108"/>
      <c r="BN465" s="85">
        <f t="shared" si="109"/>
      </c>
      <c r="BO465" s="108"/>
      <c r="BP465" s="85">
        <f t="shared" si="110"/>
      </c>
      <c r="BQ465" s="85">
        <f t="shared" si="111"/>
      </c>
      <c r="BR465" s="108"/>
      <c r="BS465" s="104"/>
      <c r="BT465" s="87">
        <f t="shared" si="112"/>
      </c>
      <c r="BU465" s="85">
        <f t="shared" si="113"/>
      </c>
      <c r="BV465" s="85">
        <f t="shared" si="114"/>
      </c>
      <c r="BW465" s="87">
        <f t="shared" si="115"/>
      </c>
      <c r="BX465" s="104"/>
      <c r="BY465" s="106"/>
      <c r="BZ465" s="104"/>
      <c r="CA465" s="105"/>
      <c r="CB465" s="77">
        <f>IF($A465="",0,IF($B465='FICHA CLIENTE'!$C$4,1,0))</f>
      </c>
      <c r="CC465" s="77">
        <f t="shared" si="116"/>
      </c>
      <c r="CD465" s="77">
        <f>IF($A465="",0,IF($D465='FICHA VEHICULO'!$C$4,1,0))</f>
      </c>
      <c r="CE465" s="77">
        <f t="shared" si="117"/>
      </c>
      <c r="CF465" s="77">
        <f t="shared" si="118"/>
      </c>
      <c r="CG465" s="77">
        <f t="shared" si="119"/>
      </c>
    </row>
    <row r="466" spans="1:85" ht="19.5" customHeight="1" x14ac:dyDescent="0.2">
      <c r="A466" s="104"/>
      <c r="B466" s="104"/>
      <c r="C466" s="105"/>
      <c r="D466" s="104"/>
      <c r="E466" s="105"/>
      <c r="F466" s="106"/>
      <c r="G466" s="104"/>
      <c r="H466" s="106"/>
      <c r="I466" s="107"/>
      <c r="J466" s="108"/>
      <c r="K466" s="108"/>
      <c r="L466" s="108"/>
      <c r="M466" s="105"/>
      <c r="N466" s="105"/>
      <c r="O466" s="105"/>
      <c r="P466" s="108"/>
      <c r="Q466" s="105"/>
      <c r="R466" s="105"/>
      <c r="S466" s="105"/>
      <c r="T466" s="105"/>
      <c r="U466" s="108"/>
      <c r="V466" s="105"/>
      <c r="W466" s="105"/>
      <c r="X466" s="105"/>
      <c r="Y466" s="105"/>
      <c r="Z466" s="105"/>
      <c r="AA466" s="108"/>
      <c r="AB466" s="108"/>
      <c r="AC466" s="105"/>
      <c r="AD466" s="279"/>
      <c r="AE466" s="105"/>
      <c r="AF466" s="279"/>
      <c r="AG466" s="105"/>
      <c r="AH466" s="108"/>
      <c r="AI466" s="108"/>
      <c r="AJ466" s="108"/>
      <c r="AK466" s="108"/>
      <c r="AL466" s="105"/>
      <c r="AM466" s="108"/>
      <c r="AN466" s="105"/>
      <c r="AO466" s="108"/>
      <c r="AP466" s="108"/>
      <c r="AQ466" s="105"/>
      <c r="AR466" s="108"/>
      <c r="AS466" s="108"/>
      <c r="AT466" s="105"/>
      <c r="AU466" s="105"/>
      <c r="AV466" s="105"/>
      <c r="AW466" s="105"/>
      <c r="AX466" s="105"/>
      <c r="AY466" s="105"/>
      <c r="AZ466" s="105"/>
      <c r="BA466" s="105"/>
      <c r="BB466" s="105"/>
      <c r="BC466" s="105"/>
      <c r="BD466" s="108"/>
      <c r="BE466" s="83">
        <f>IF($A466="","",IF(TRIM($D466&amp;"")="",IF(TRIM($AX466&amp;$AY466&amp;$AZ466&amp;$BA466&amp;$BB466&amp;$BC466&amp;$BD466&amp;"")="","","SUBARRENDADO"),IFERROR(IF(VLOOKUP($D466,VEHICULOS!$A$3:$H$202,7,FALSE)="","",VLOOKUP($D466,VEHICULOS!$A$3:$H$202,7,FALSE)),"")))</f>
      </c>
      <c r="BF466" s="82">
        <f>IF($A466="","",IF(TRIM($BC466&amp;"")&lt;&gt;"",$BC466,IF(TRIM($D466&amp;"")="","",IFERROR(IF(VLOOKUP($D466,VEHICULOS!$A$3:$H$202,8,FALSE)="","",VLOOKUP($D466,VEHICULOS!$A$3:$H$202,8,FALSE)),""))))</f>
      </c>
      <c r="BG466" s="106"/>
      <c r="BH466" s="107"/>
      <c r="BI466" s="86">
        <f t="shared" si="105"/>
      </c>
      <c r="BJ466" s="83">
        <f t="shared" si="106"/>
      </c>
      <c r="BK466" s="85">
        <f t="shared" si="107"/>
      </c>
      <c r="BL466" s="85">
        <f t="shared" si="108"/>
      </c>
      <c r="BM466" s="108"/>
      <c r="BN466" s="85">
        <f t="shared" si="109"/>
      </c>
      <c r="BO466" s="108"/>
      <c r="BP466" s="85">
        <f t="shared" si="110"/>
      </c>
      <c r="BQ466" s="85">
        <f t="shared" si="111"/>
      </c>
      <c r="BR466" s="108"/>
      <c r="BS466" s="104"/>
      <c r="BT466" s="87">
        <f t="shared" si="112"/>
      </c>
      <c r="BU466" s="85">
        <f t="shared" si="113"/>
      </c>
      <c r="BV466" s="85">
        <f t="shared" si="114"/>
      </c>
      <c r="BW466" s="87">
        <f t="shared" si="115"/>
      </c>
      <c r="BX466" s="104"/>
      <c r="BY466" s="106"/>
      <c r="BZ466" s="104"/>
      <c r="CA466" s="105"/>
      <c r="CB466" s="77">
        <f>IF($A466="",0,IF($B466='FICHA CLIENTE'!$C$4,1,0))</f>
      </c>
      <c r="CC466" s="77">
        <f t="shared" si="116"/>
      </c>
      <c r="CD466" s="77">
        <f>IF($A466="",0,IF($D466='FICHA VEHICULO'!$C$4,1,0))</f>
      </c>
      <c r="CE466" s="77">
        <f t="shared" si="117"/>
      </c>
      <c r="CF466" s="77">
        <f t="shared" si="118"/>
      </c>
      <c r="CG466" s="77">
        <f t="shared" si="119"/>
      </c>
    </row>
    <row r="467" spans="1:85" ht="19.5" customHeight="1" x14ac:dyDescent="0.2">
      <c r="A467" s="104"/>
      <c r="B467" s="104"/>
      <c r="C467" s="105"/>
      <c r="D467" s="104"/>
      <c r="E467" s="105"/>
      <c r="F467" s="106"/>
      <c r="G467" s="104"/>
      <c r="H467" s="106"/>
      <c r="I467" s="107"/>
      <c r="J467" s="108"/>
      <c r="K467" s="108"/>
      <c r="L467" s="108"/>
      <c r="M467" s="105"/>
      <c r="N467" s="105"/>
      <c r="O467" s="105"/>
      <c r="P467" s="108"/>
      <c r="Q467" s="105"/>
      <c r="R467" s="105"/>
      <c r="S467" s="105"/>
      <c r="T467" s="105"/>
      <c r="U467" s="108"/>
      <c r="V467" s="105"/>
      <c r="W467" s="105"/>
      <c r="X467" s="105"/>
      <c r="Y467" s="105"/>
      <c r="Z467" s="105"/>
      <c r="AA467" s="108"/>
      <c r="AB467" s="108"/>
      <c r="AC467" s="105"/>
      <c r="AD467" s="279"/>
      <c r="AE467" s="105"/>
      <c r="AF467" s="279"/>
      <c r="AG467" s="105"/>
      <c r="AH467" s="108"/>
      <c r="AI467" s="108"/>
      <c r="AJ467" s="108"/>
      <c r="AK467" s="108"/>
      <c r="AL467" s="105"/>
      <c r="AM467" s="108"/>
      <c r="AN467" s="105"/>
      <c r="AO467" s="108"/>
      <c r="AP467" s="108"/>
      <c r="AQ467" s="105"/>
      <c r="AR467" s="108"/>
      <c r="AS467" s="108"/>
      <c r="AT467" s="105"/>
      <c r="AU467" s="105"/>
      <c r="AV467" s="105"/>
      <c r="AW467" s="105"/>
      <c r="AX467" s="105"/>
      <c r="AY467" s="105"/>
      <c r="AZ467" s="105"/>
      <c r="BA467" s="105"/>
      <c r="BB467" s="105"/>
      <c r="BC467" s="105"/>
      <c r="BD467" s="108"/>
      <c r="BE467" s="83">
        <f>IF($A467="","",IF(TRIM($D467&amp;"")="",IF(TRIM($AX467&amp;$AY467&amp;$AZ467&amp;$BA467&amp;$BB467&amp;$BC467&amp;$BD467&amp;"")="","","SUBARRENDADO"),IFERROR(IF(VLOOKUP($D467,VEHICULOS!$A$3:$H$202,7,FALSE)="","",VLOOKUP($D467,VEHICULOS!$A$3:$H$202,7,FALSE)),"")))</f>
      </c>
      <c r="BF467" s="82">
        <f>IF($A467="","",IF(TRIM($BC467&amp;"")&lt;&gt;"",$BC467,IF(TRIM($D467&amp;"")="","",IFERROR(IF(VLOOKUP($D467,VEHICULOS!$A$3:$H$202,8,FALSE)="","",VLOOKUP($D467,VEHICULOS!$A$3:$H$202,8,FALSE)),""))))</f>
      </c>
      <c r="BG467" s="106"/>
      <c r="BH467" s="107"/>
      <c r="BI467" s="86">
        <f t="shared" si="105"/>
      </c>
      <c r="BJ467" s="83">
        <f t="shared" si="106"/>
      </c>
      <c r="BK467" s="85">
        <f t="shared" si="107"/>
      </c>
      <c r="BL467" s="85">
        <f t="shared" si="108"/>
      </c>
      <c r="BM467" s="108"/>
      <c r="BN467" s="85">
        <f t="shared" si="109"/>
      </c>
      <c r="BO467" s="108"/>
      <c r="BP467" s="85">
        <f t="shared" si="110"/>
      </c>
      <c r="BQ467" s="85">
        <f t="shared" si="111"/>
      </c>
      <c r="BR467" s="108"/>
      <c r="BS467" s="104"/>
      <c r="BT467" s="87">
        <f t="shared" si="112"/>
      </c>
      <c r="BU467" s="85">
        <f t="shared" si="113"/>
      </c>
      <c r="BV467" s="85">
        <f t="shared" si="114"/>
      </c>
      <c r="BW467" s="87">
        <f t="shared" si="115"/>
      </c>
      <c r="BX467" s="104"/>
      <c r="BY467" s="106"/>
      <c r="BZ467" s="104"/>
      <c r="CA467" s="105"/>
      <c r="CB467" s="77">
        <f>IF($A467="",0,IF($B467='FICHA CLIENTE'!$C$4,1,0))</f>
      </c>
      <c r="CC467" s="77">
        <f t="shared" si="116"/>
      </c>
      <c r="CD467" s="77">
        <f>IF($A467="",0,IF($D467='FICHA VEHICULO'!$C$4,1,0))</f>
      </c>
      <c r="CE467" s="77">
        <f t="shared" si="117"/>
      </c>
      <c r="CF467" s="77">
        <f t="shared" si="118"/>
      </c>
      <c r="CG467" s="77">
        <f t="shared" si="119"/>
      </c>
    </row>
    <row r="468" spans="1:85" ht="19.5" customHeight="1" x14ac:dyDescent="0.2">
      <c r="A468" s="104"/>
      <c r="B468" s="104"/>
      <c r="C468" s="105"/>
      <c r="D468" s="104"/>
      <c r="E468" s="105"/>
      <c r="F468" s="106"/>
      <c r="G468" s="104"/>
      <c r="H468" s="106"/>
      <c r="I468" s="107"/>
      <c r="J468" s="108"/>
      <c r="K468" s="108"/>
      <c r="L468" s="108"/>
      <c r="M468" s="105"/>
      <c r="N468" s="105"/>
      <c r="O468" s="105"/>
      <c r="P468" s="108"/>
      <c r="Q468" s="105"/>
      <c r="R468" s="105"/>
      <c r="S468" s="105"/>
      <c r="T468" s="105"/>
      <c r="U468" s="108"/>
      <c r="V468" s="105"/>
      <c r="W468" s="105"/>
      <c r="X468" s="105"/>
      <c r="Y468" s="105"/>
      <c r="Z468" s="105"/>
      <c r="AA468" s="108"/>
      <c r="AB468" s="108"/>
      <c r="AC468" s="105"/>
      <c r="AD468" s="279"/>
      <c r="AE468" s="105"/>
      <c r="AF468" s="279"/>
      <c r="AG468" s="105"/>
      <c r="AH468" s="108"/>
      <c r="AI468" s="108"/>
      <c r="AJ468" s="108"/>
      <c r="AK468" s="108"/>
      <c r="AL468" s="105"/>
      <c r="AM468" s="108"/>
      <c r="AN468" s="105"/>
      <c r="AO468" s="108"/>
      <c r="AP468" s="108"/>
      <c r="AQ468" s="105"/>
      <c r="AR468" s="108"/>
      <c r="AS468" s="108"/>
      <c r="AT468" s="105"/>
      <c r="AU468" s="105"/>
      <c r="AV468" s="105"/>
      <c r="AW468" s="105"/>
      <c r="AX468" s="105"/>
      <c r="AY468" s="105"/>
      <c r="AZ468" s="105"/>
      <c r="BA468" s="105"/>
      <c r="BB468" s="105"/>
      <c r="BC468" s="105"/>
      <c r="BD468" s="108"/>
      <c r="BE468" s="83">
        <f>IF($A468="","",IF(TRIM($D468&amp;"")="",IF(TRIM($AX468&amp;$AY468&amp;$AZ468&amp;$BA468&amp;$BB468&amp;$BC468&amp;$BD468&amp;"")="","","SUBARRENDADO"),IFERROR(IF(VLOOKUP($D468,VEHICULOS!$A$3:$H$202,7,FALSE)="","",VLOOKUP($D468,VEHICULOS!$A$3:$H$202,7,FALSE)),"")))</f>
      </c>
      <c r="BF468" s="82">
        <f>IF($A468="","",IF(TRIM($BC468&amp;"")&lt;&gt;"",$BC468,IF(TRIM($D468&amp;"")="","",IFERROR(IF(VLOOKUP($D468,VEHICULOS!$A$3:$H$202,8,FALSE)="","",VLOOKUP($D468,VEHICULOS!$A$3:$H$202,8,FALSE)),""))))</f>
      </c>
      <c r="BG468" s="106"/>
      <c r="BH468" s="107"/>
      <c r="BI468" s="86">
        <f t="shared" si="105"/>
      </c>
      <c r="BJ468" s="83">
        <f t="shared" si="106"/>
      </c>
      <c r="BK468" s="85">
        <f t="shared" si="107"/>
      </c>
      <c r="BL468" s="85">
        <f t="shared" si="108"/>
      </c>
      <c r="BM468" s="108"/>
      <c r="BN468" s="85">
        <f t="shared" si="109"/>
      </c>
      <c r="BO468" s="108"/>
      <c r="BP468" s="85">
        <f t="shared" si="110"/>
      </c>
      <c r="BQ468" s="85">
        <f t="shared" si="111"/>
      </c>
      <c r="BR468" s="108"/>
      <c r="BS468" s="104"/>
      <c r="BT468" s="87">
        <f t="shared" si="112"/>
      </c>
      <c r="BU468" s="85">
        <f t="shared" si="113"/>
      </c>
      <c r="BV468" s="85">
        <f t="shared" si="114"/>
      </c>
      <c r="BW468" s="87">
        <f t="shared" si="115"/>
      </c>
      <c r="BX468" s="104"/>
      <c r="BY468" s="106"/>
      <c r="BZ468" s="104"/>
      <c r="CA468" s="105"/>
      <c r="CB468" s="77">
        <f>IF($A468="",0,IF($B468='FICHA CLIENTE'!$C$4,1,0))</f>
      </c>
      <c r="CC468" s="77">
        <f t="shared" si="116"/>
      </c>
      <c r="CD468" s="77">
        <f>IF($A468="",0,IF($D468='FICHA VEHICULO'!$C$4,1,0))</f>
      </c>
      <c r="CE468" s="77">
        <f t="shared" si="117"/>
      </c>
      <c r="CF468" s="77">
        <f t="shared" si="118"/>
      </c>
      <c r="CG468" s="77">
        <f t="shared" si="119"/>
      </c>
    </row>
    <row r="469" spans="1:85" ht="19.5" customHeight="1" x14ac:dyDescent="0.2">
      <c r="A469" s="104"/>
      <c r="B469" s="104"/>
      <c r="C469" s="105"/>
      <c r="D469" s="104"/>
      <c r="E469" s="105"/>
      <c r="F469" s="106"/>
      <c r="G469" s="104"/>
      <c r="H469" s="106"/>
      <c r="I469" s="107"/>
      <c r="J469" s="108"/>
      <c r="K469" s="108"/>
      <c r="L469" s="108"/>
      <c r="M469" s="105"/>
      <c r="N469" s="105"/>
      <c r="O469" s="105"/>
      <c r="P469" s="108"/>
      <c r="Q469" s="105"/>
      <c r="R469" s="105"/>
      <c r="S469" s="105"/>
      <c r="T469" s="105"/>
      <c r="U469" s="108"/>
      <c r="V469" s="105"/>
      <c r="W469" s="105"/>
      <c r="X469" s="105"/>
      <c r="Y469" s="105"/>
      <c r="Z469" s="105"/>
      <c r="AA469" s="108"/>
      <c r="AB469" s="108"/>
      <c r="AC469" s="105"/>
      <c r="AD469" s="279"/>
      <c r="AE469" s="105"/>
      <c r="AF469" s="279"/>
      <c r="AG469" s="105"/>
      <c r="AH469" s="108"/>
      <c r="AI469" s="108"/>
      <c r="AJ469" s="108"/>
      <c r="AK469" s="108"/>
      <c r="AL469" s="105"/>
      <c r="AM469" s="108"/>
      <c r="AN469" s="105"/>
      <c r="AO469" s="108"/>
      <c r="AP469" s="108"/>
      <c r="AQ469" s="105"/>
      <c r="AR469" s="108"/>
      <c r="AS469" s="108"/>
      <c r="AT469" s="105"/>
      <c r="AU469" s="105"/>
      <c r="AV469" s="105"/>
      <c r="AW469" s="105"/>
      <c r="AX469" s="105"/>
      <c r="AY469" s="105"/>
      <c r="AZ469" s="105"/>
      <c r="BA469" s="105"/>
      <c r="BB469" s="105"/>
      <c r="BC469" s="105"/>
      <c r="BD469" s="108"/>
      <c r="BE469" s="83">
        <f>IF($A469="","",IF(TRIM($D469&amp;"")="",IF(TRIM($AX469&amp;$AY469&amp;$AZ469&amp;$BA469&amp;$BB469&amp;$BC469&amp;$BD469&amp;"")="","","SUBARRENDADO"),IFERROR(IF(VLOOKUP($D469,VEHICULOS!$A$3:$H$202,7,FALSE)="","",VLOOKUP($D469,VEHICULOS!$A$3:$H$202,7,FALSE)),"")))</f>
      </c>
      <c r="BF469" s="82">
        <f>IF($A469="","",IF(TRIM($BC469&amp;"")&lt;&gt;"",$BC469,IF(TRIM($D469&amp;"")="","",IFERROR(IF(VLOOKUP($D469,VEHICULOS!$A$3:$H$202,8,FALSE)="","",VLOOKUP($D469,VEHICULOS!$A$3:$H$202,8,FALSE)),""))))</f>
      </c>
      <c r="BG469" s="106"/>
      <c r="BH469" s="107"/>
      <c r="BI469" s="86">
        <f t="shared" si="105"/>
      </c>
      <c r="BJ469" s="83">
        <f t="shared" si="106"/>
      </c>
      <c r="BK469" s="85">
        <f t="shared" si="107"/>
      </c>
      <c r="BL469" s="85">
        <f t="shared" si="108"/>
      </c>
      <c r="BM469" s="108"/>
      <c r="BN469" s="85">
        <f t="shared" si="109"/>
      </c>
      <c r="BO469" s="108"/>
      <c r="BP469" s="85">
        <f t="shared" si="110"/>
      </c>
      <c r="BQ469" s="85">
        <f t="shared" si="111"/>
      </c>
      <c r="BR469" s="108"/>
      <c r="BS469" s="104"/>
      <c r="BT469" s="87">
        <f t="shared" si="112"/>
      </c>
      <c r="BU469" s="85">
        <f t="shared" si="113"/>
      </c>
      <c r="BV469" s="85">
        <f t="shared" si="114"/>
      </c>
      <c r="BW469" s="87">
        <f t="shared" si="115"/>
      </c>
      <c r="BX469" s="104"/>
      <c r="BY469" s="106"/>
      <c r="BZ469" s="104"/>
      <c r="CA469" s="105"/>
      <c r="CB469" s="77">
        <f>IF($A469="",0,IF($B469='FICHA CLIENTE'!$C$4,1,0))</f>
      </c>
      <c r="CC469" s="77">
        <f t="shared" si="116"/>
      </c>
      <c r="CD469" s="77">
        <f>IF($A469="",0,IF($D469='FICHA VEHICULO'!$C$4,1,0))</f>
      </c>
      <c r="CE469" s="77">
        <f t="shared" si="117"/>
      </c>
      <c r="CF469" s="77">
        <f t="shared" si="118"/>
      </c>
      <c r="CG469" s="77">
        <f t="shared" si="119"/>
      </c>
    </row>
    <row r="470" spans="1:85" ht="19.5" customHeight="1" x14ac:dyDescent="0.2">
      <c r="A470" s="104"/>
      <c r="B470" s="104"/>
      <c r="C470" s="105"/>
      <c r="D470" s="104"/>
      <c r="E470" s="105"/>
      <c r="F470" s="106"/>
      <c r="G470" s="104"/>
      <c r="H470" s="106"/>
      <c r="I470" s="107"/>
      <c r="J470" s="108"/>
      <c r="K470" s="108"/>
      <c r="L470" s="108"/>
      <c r="M470" s="105"/>
      <c r="N470" s="105"/>
      <c r="O470" s="105"/>
      <c r="P470" s="108"/>
      <c r="Q470" s="105"/>
      <c r="R470" s="105"/>
      <c r="S470" s="105"/>
      <c r="T470" s="105"/>
      <c r="U470" s="108"/>
      <c r="V470" s="105"/>
      <c r="W470" s="105"/>
      <c r="X470" s="105"/>
      <c r="Y470" s="105"/>
      <c r="Z470" s="105"/>
      <c r="AA470" s="108"/>
      <c r="AB470" s="108"/>
      <c r="AC470" s="105"/>
      <c r="AD470" s="279"/>
      <c r="AE470" s="105"/>
      <c r="AF470" s="279"/>
      <c r="AG470" s="105"/>
      <c r="AH470" s="108"/>
      <c r="AI470" s="108"/>
      <c r="AJ470" s="108"/>
      <c r="AK470" s="108"/>
      <c r="AL470" s="105"/>
      <c r="AM470" s="108"/>
      <c r="AN470" s="105"/>
      <c r="AO470" s="108"/>
      <c r="AP470" s="108"/>
      <c r="AQ470" s="105"/>
      <c r="AR470" s="108"/>
      <c r="AS470" s="108"/>
      <c r="AT470" s="105"/>
      <c r="AU470" s="105"/>
      <c r="AV470" s="105"/>
      <c r="AW470" s="105"/>
      <c r="AX470" s="105"/>
      <c r="AY470" s="105"/>
      <c r="AZ470" s="105"/>
      <c r="BA470" s="105"/>
      <c r="BB470" s="105"/>
      <c r="BC470" s="105"/>
      <c r="BD470" s="108"/>
      <c r="BE470" s="83">
        <f>IF($A470="","",IF(TRIM($D470&amp;"")="",IF(TRIM($AX470&amp;$AY470&amp;$AZ470&amp;$BA470&amp;$BB470&amp;$BC470&amp;$BD470&amp;"")="","","SUBARRENDADO"),IFERROR(IF(VLOOKUP($D470,VEHICULOS!$A$3:$H$202,7,FALSE)="","",VLOOKUP($D470,VEHICULOS!$A$3:$H$202,7,FALSE)),"")))</f>
      </c>
      <c r="BF470" s="82">
        <f>IF($A470="","",IF(TRIM($BC470&amp;"")&lt;&gt;"",$BC470,IF(TRIM($D470&amp;"")="","",IFERROR(IF(VLOOKUP($D470,VEHICULOS!$A$3:$H$202,8,FALSE)="","",VLOOKUP($D470,VEHICULOS!$A$3:$H$202,8,FALSE)),""))))</f>
      </c>
      <c r="BG470" s="106"/>
      <c r="BH470" s="107"/>
      <c r="BI470" s="86">
        <f t="shared" si="105"/>
      </c>
      <c r="BJ470" s="83">
        <f t="shared" si="106"/>
      </c>
      <c r="BK470" s="85">
        <f t="shared" si="107"/>
      </c>
      <c r="BL470" s="85">
        <f t="shared" si="108"/>
      </c>
      <c r="BM470" s="108"/>
      <c r="BN470" s="85">
        <f t="shared" si="109"/>
      </c>
      <c r="BO470" s="108"/>
      <c r="BP470" s="85">
        <f t="shared" si="110"/>
      </c>
      <c r="BQ470" s="85">
        <f t="shared" si="111"/>
      </c>
      <c r="BR470" s="108"/>
      <c r="BS470" s="104"/>
      <c r="BT470" s="87">
        <f t="shared" si="112"/>
      </c>
      <c r="BU470" s="85">
        <f t="shared" si="113"/>
      </c>
      <c r="BV470" s="85">
        <f t="shared" si="114"/>
      </c>
      <c r="BW470" s="87">
        <f t="shared" si="115"/>
      </c>
      <c r="BX470" s="104"/>
      <c r="BY470" s="106"/>
      <c r="BZ470" s="104"/>
      <c r="CA470" s="105"/>
      <c r="CB470" s="77">
        <f>IF($A470="",0,IF($B470='FICHA CLIENTE'!$C$4,1,0))</f>
      </c>
      <c r="CC470" s="77">
        <f t="shared" si="116"/>
      </c>
      <c r="CD470" s="77">
        <f>IF($A470="",0,IF($D470='FICHA VEHICULO'!$C$4,1,0))</f>
      </c>
      <c r="CE470" s="77">
        <f t="shared" si="117"/>
      </c>
      <c r="CF470" s="77">
        <f t="shared" si="118"/>
      </c>
      <c r="CG470" s="77">
        <f t="shared" si="119"/>
      </c>
    </row>
    <row r="471" spans="1:85" ht="19.5" customHeight="1" x14ac:dyDescent="0.2">
      <c r="A471" s="104"/>
      <c r="B471" s="104"/>
      <c r="C471" s="105"/>
      <c r="D471" s="104"/>
      <c r="E471" s="105"/>
      <c r="F471" s="106"/>
      <c r="G471" s="104"/>
      <c r="H471" s="106"/>
      <c r="I471" s="107"/>
      <c r="J471" s="108"/>
      <c r="K471" s="108"/>
      <c r="L471" s="108"/>
      <c r="M471" s="105"/>
      <c r="N471" s="105"/>
      <c r="O471" s="105"/>
      <c r="P471" s="108"/>
      <c r="Q471" s="105"/>
      <c r="R471" s="105"/>
      <c r="S471" s="105"/>
      <c r="T471" s="105"/>
      <c r="U471" s="108"/>
      <c r="V471" s="105"/>
      <c r="W471" s="105"/>
      <c r="X471" s="105"/>
      <c r="Y471" s="105"/>
      <c r="Z471" s="105"/>
      <c r="AA471" s="108"/>
      <c r="AB471" s="108"/>
      <c r="AC471" s="105"/>
      <c r="AD471" s="279"/>
      <c r="AE471" s="105"/>
      <c r="AF471" s="279"/>
      <c r="AG471" s="105"/>
      <c r="AH471" s="108"/>
      <c r="AI471" s="108"/>
      <c r="AJ471" s="108"/>
      <c r="AK471" s="108"/>
      <c r="AL471" s="105"/>
      <c r="AM471" s="108"/>
      <c r="AN471" s="105"/>
      <c r="AO471" s="108"/>
      <c r="AP471" s="108"/>
      <c r="AQ471" s="105"/>
      <c r="AR471" s="108"/>
      <c r="AS471" s="108"/>
      <c r="AT471" s="105"/>
      <c r="AU471" s="105"/>
      <c r="AV471" s="105"/>
      <c r="AW471" s="105"/>
      <c r="AX471" s="105"/>
      <c r="AY471" s="105"/>
      <c r="AZ471" s="105"/>
      <c r="BA471" s="105"/>
      <c r="BB471" s="105"/>
      <c r="BC471" s="105"/>
      <c r="BD471" s="108"/>
      <c r="BE471" s="83">
        <f>IF($A471="","",IF(TRIM($D471&amp;"")="",IF(TRIM($AX471&amp;$AY471&amp;$AZ471&amp;$BA471&amp;$BB471&amp;$BC471&amp;$BD471&amp;"")="","","SUBARRENDADO"),IFERROR(IF(VLOOKUP($D471,VEHICULOS!$A$3:$H$202,7,FALSE)="","",VLOOKUP($D471,VEHICULOS!$A$3:$H$202,7,FALSE)),"")))</f>
      </c>
      <c r="BF471" s="82">
        <f>IF($A471="","",IF(TRIM($BC471&amp;"")&lt;&gt;"",$BC471,IF(TRIM($D471&amp;"")="","",IFERROR(IF(VLOOKUP($D471,VEHICULOS!$A$3:$H$202,8,FALSE)="","",VLOOKUP($D471,VEHICULOS!$A$3:$H$202,8,FALSE)),""))))</f>
      </c>
      <c r="BG471" s="106"/>
      <c r="BH471" s="107"/>
      <c r="BI471" s="86">
        <f t="shared" si="105"/>
      </c>
      <c r="BJ471" s="83">
        <f t="shared" si="106"/>
      </c>
      <c r="BK471" s="85">
        <f t="shared" si="107"/>
      </c>
      <c r="BL471" s="85">
        <f t="shared" si="108"/>
      </c>
      <c r="BM471" s="108"/>
      <c r="BN471" s="85">
        <f t="shared" si="109"/>
      </c>
      <c r="BO471" s="108"/>
      <c r="BP471" s="85">
        <f t="shared" si="110"/>
      </c>
      <c r="BQ471" s="85">
        <f t="shared" si="111"/>
      </c>
      <c r="BR471" s="108"/>
      <c r="BS471" s="104"/>
      <c r="BT471" s="87">
        <f t="shared" si="112"/>
      </c>
      <c r="BU471" s="85">
        <f t="shared" si="113"/>
      </c>
      <c r="BV471" s="85">
        <f t="shared" si="114"/>
      </c>
      <c r="BW471" s="87">
        <f t="shared" si="115"/>
      </c>
      <c r="BX471" s="104"/>
      <c r="BY471" s="106"/>
      <c r="BZ471" s="104"/>
      <c r="CA471" s="105"/>
      <c r="CB471" s="77">
        <f>IF($A471="",0,IF($B471='FICHA CLIENTE'!$C$4,1,0))</f>
      </c>
      <c r="CC471" s="77">
        <f t="shared" si="116"/>
      </c>
      <c r="CD471" s="77">
        <f>IF($A471="",0,IF($D471='FICHA VEHICULO'!$C$4,1,0))</f>
      </c>
      <c r="CE471" s="77">
        <f t="shared" si="117"/>
      </c>
      <c r="CF471" s="77">
        <f t="shared" si="118"/>
      </c>
      <c r="CG471" s="77">
        <f t="shared" si="119"/>
      </c>
    </row>
    <row r="472" spans="1:85" ht="19.5" customHeight="1" x14ac:dyDescent="0.2">
      <c r="A472" s="104"/>
      <c r="B472" s="104"/>
      <c r="C472" s="105"/>
      <c r="D472" s="104"/>
      <c r="E472" s="105"/>
      <c r="F472" s="106"/>
      <c r="G472" s="104"/>
      <c r="H472" s="106"/>
      <c r="I472" s="107"/>
      <c r="J472" s="108"/>
      <c r="K472" s="108"/>
      <c r="L472" s="108"/>
      <c r="M472" s="105"/>
      <c r="N472" s="105"/>
      <c r="O472" s="105"/>
      <c r="P472" s="108"/>
      <c r="Q472" s="105"/>
      <c r="R472" s="105"/>
      <c r="S472" s="105"/>
      <c r="T472" s="105"/>
      <c r="U472" s="108"/>
      <c r="V472" s="105"/>
      <c r="W472" s="105"/>
      <c r="X472" s="105"/>
      <c r="Y472" s="105"/>
      <c r="Z472" s="105"/>
      <c r="AA472" s="108"/>
      <c r="AB472" s="108"/>
      <c r="AC472" s="105"/>
      <c r="AD472" s="279"/>
      <c r="AE472" s="105"/>
      <c r="AF472" s="279"/>
      <c r="AG472" s="105"/>
      <c r="AH472" s="108"/>
      <c r="AI472" s="108"/>
      <c r="AJ472" s="108"/>
      <c r="AK472" s="108"/>
      <c r="AL472" s="105"/>
      <c r="AM472" s="108"/>
      <c r="AN472" s="105"/>
      <c r="AO472" s="108"/>
      <c r="AP472" s="108"/>
      <c r="AQ472" s="105"/>
      <c r="AR472" s="108"/>
      <c r="AS472" s="108"/>
      <c r="AT472" s="105"/>
      <c r="AU472" s="105"/>
      <c r="AV472" s="105"/>
      <c r="AW472" s="105"/>
      <c r="AX472" s="105"/>
      <c r="AY472" s="105"/>
      <c r="AZ472" s="105"/>
      <c r="BA472" s="105"/>
      <c r="BB472" s="105"/>
      <c r="BC472" s="105"/>
      <c r="BD472" s="108"/>
      <c r="BE472" s="83">
        <f>IF($A472="","",IF(TRIM($D472&amp;"")="",IF(TRIM($AX472&amp;$AY472&amp;$AZ472&amp;$BA472&amp;$BB472&amp;$BC472&amp;$BD472&amp;"")="","","SUBARRENDADO"),IFERROR(IF(VLOOKUP($D472,VEHICULOS!$A$3:$H$202,7,FALSE)="","",VLOOKUP($D472,VEHICULOS!$A$3:$H$202,7,FALSE)),"")))</f>
      </c>
      <c r="BF472" s="82">
        <f>IF($A472="","",IF(TRIM($BC472&amp;"")&lt;&gt;"",$BC472,IF(TRIM($D472&amp;"")="","",IFERROR(IF(VLOOKUP($D472,VEHICULOS!$A$3:$H$202,8,FALSE)="","",VLOOKUP($D472,VEHICULOS!$A$3:$H$202,8,FALSE)),""))))</f>
      </c>
      <c r="BG472" s="106"/>
      <c r="BH472" s="107"/>
      <c r="BI472" s="86">
        <f t="shared" si="105"/>
      </c>
      <c r="BJ472" s="83">
        <f t="shared" si="106"/>
      </c>
      <c r="BK472" s="85">
        <f t="shared" si="107"/>
      </c>
      <c r="BL472" s="85">
        <f t="shared" si="108"/>
      </c>
      <c r="BM472" s="108"/>
      <c r="BN472" s="85">
        <f t="shared" si="109"/>
      </c>
      <c r="BO472" s="108"/>
      <c r="BP472" s="85">
        <f t="shared" si="110"/>
      </c>
      <c r="BQ472" s="85">
        <f t="shared" si="111"/>
      </c>
      <c r="BR472" s="108"/>
      <c r="BS472" s="104"/>
      <c r="BT472" s="87">
        <f t="shared" si="112"/>
      </c>
      <c r="BU472" s="85">
        <f t="shared" si="113"/>
      </c>
      <c r="BV472" s="85">
        <f t="shared" si="114"/>
      </c>
      <c r="BW472" s="87">
        <f t="shared" si="115"/>
      </c>
      <c r="BX472" s="104"/>
      <c r="BY472" s="106"/>
      <c r="BZ472" s="104"/>
      <c r="CA472" s="105"/>
      <c r="CB472" s="77">
        <f>IF($A472="",0,IF($B472='FICHA CLIENTE'!$C$4,1,0))</f>
      </c>
      <c r="CC472" s="77">
        <f t="shared" si="116"/>
      </c>
      <c r="CD472" s="77">
        <f>IF($A472="",0,IF($D472='FICHA VEHICULO'!$C$4,1,0))</f>
      </c>
      <c r="CE472" s="77">
        <f t="shared" si="117"/>
      </c>
      <c r="CF472" s="77">
        <f t="shared" si="118"/>
      </c>
      <c r="CG472" s="77">
        <f t="shared" si="119"/>
      </c>
    </row>
    <row r="473" spans="1:85" ht="19.5" customHeight="1" x14ac:dyDescent="0.2">
      <c r="A473" s="104"/>
      <c r="B473" s="104"/>
      <c r="C473" s="105"/>
      <c r="D473" s="104"/>
      <c r="E473" s="105"/>
      <c r="F473" s="106"/>
      <c r="G473" s="104"/>
      <c r="H473" s="106"/>
      <c r="I473" s="107"/>
      <c r="J473" s="108"/>
      <c r="K473" s="108"/>
      <c r="L473" s="108"/>
      <c r="M473" s="105"/>
      <c r="N473" s="105"/>
      <c r="O473" s="105"/>
      <c r="P473" s="108"/>
      <c r="Q473" s="105"/>
      <c r="R473" s="105"/>
      <c r="S473" s="105"/>
      <c r="T473" s="105"/>
      <c r="U473" s="108"/>
      <c r="V473" s="105"/>
      <c r="W473" s="105"/>
      <c r="X473" s="105"/>
      <c r="Y473" s="105"/>
      <c r="Z473" s="105"/>
      <c r="AA473" s="108"/>
      <c r="AB473" s="108"/>
      <c r="AC473" s="105"/>
      <c r="AD473" s="279"/>
      <c r="AE473" s="105"/>
      <c r="AF473" s="279"/>
      <c r="AG473" s="105"/>
      <c r="AH473" s="108"/>
      <c r="AI473" s="108"/>
      <c r="AJ473" s="108"/>
      <c r="AK473" s="108"/>
      <c r="AL473" s="105"/>
      <c r="AM473" s="108"/>
      <c r="AN473" s="105"/>
      <c r="AO473" s="108"/>
      <c r="AP473" s="108"/>
      <c r="AQ473" s="105"/>
      <c r="AR473" s="108"/>
      <c r="AS473" s="108"/>
      <c r="AT473" s="105"/>
      <c r="AU473" s="105"/>
      <c r="AV473" s="105"/>
      <c r="AW473" s="105"/>
      <c r="AX473" s="105"/>
      <c r="AY473" s="105"/>
      <c r="AZ473" s="105"/>
      <c r="BA473" s="105"/>
      <c r="BB473" s="105"/>
      <c r="BC473" s="105"/>
      <c r="BD473" s="108"/>
      <c r="BE473" s="83">
        <f>IF($A473="","",IF(TRIM($D473&amp;"")="",IF(TRIM($AX473&amp;$AY473&amp;$AZ473&amp;$BA473&amp;$BB473&amp;$BC473&amp;$BD473&amp;"")="","","SUBARRENDADO"),IFERROR(IF(VLOOKUP($D473,VEHICULOS!$A$3:$H$202,7,FALSE)="","",VLOOKUP($D473,VEHICULOS!$A$3:$H$202,7,FALSE)),"")))</f>
      </c>
      <c r="BF473" s="82">
        <f>IF($A473="","",IF(TRIM($BC473&amp;"")&lt;&gt;"",$BC473,IF(TRIM($D473&amp;"")="","",IFERROR(IF(VLOOKUP($D473,VEHICULOS!$A$3:$H$202,8,FALSE)="","",VLOOKUP($D473,VEHICULOS!$A$3:$H$202,8,FALSE)),""))))</f>
      </c>
      <c r="BG473" s="106"/>
      <c r="BH473" s="107"/>
      <c r="BI473" s="86">
        <f t="shared" si="105"/>
      </c>
      <c r="BJ473" s="83">
        <f t="shared" si="106"/>
      </c>
      <c r="BK473" s="85">
        <f t="shared" si="107"/>
      </c>
      <c r="BL473" s="85">
        <f t="shared" si="108"/>
      </c>
      <c r="BM473" s="108"/>
      <c r="BN473" s="85">
        <f t="shared" si="109"/>
      </c>
      <c r="BO473" s="108"/>
      <c r="BP473" s="85">
        <f t="shared" si="110"/>
      </c>
      <c r="BQ473" s="85">
        <f t="shared" si="111"/>
      </c>
      <c r="BR473" s="108"/>
      <c r="BS473" s="104"/>
      <c r="BT473" s="87">
        <f t="shared" si="112"/>
      </c>
      <c r="BU473" s="85">
        <f t="shared" si="113"/>
      </c>
      <c r="BV473" s="85">
        <f t="shared" si="114"/>
      </c>
      <c r="BW473" s="87">
        <f t="shared" si="115"/>
      </c>
      <c r="BX473" s="104"/>
      <c r="BY473" s="106"/>
      <c r="BZ473" s="104"/>
      <c r="CA473" s="105"/>
      <c r="CB473" s="77">
        <f>IF($A473="",0,IF($B473='FICHA CLIENTE'!$C$4,1,0))</f>
      </c>
      <c r="CC473" s="77">
        <f t="shared" si="116"/>
      </c>
      <c r="CD473" s="77">
        <f>IF($A473="",0,IF($D473='FICHA VEHICULO'!$C$4,1,0))</f>
      </c>
      <c r="CE473" s="77">
        <f t="shared" si="117"/>
      </c>
      <c r="CF473" s="77">
        <f t="shared" si="118"/>
      </c>
      <c r="CG473" s="77">
        <f t="shared" si="119"/>
      </c>
    </row>
    <row r="474" spans="1:85" ht="19.5" customHeight="1" x14ac:dyDescent="0.2">
      <c r="A474" s="104"/>
      <c r="B474" s="104"/>
      <c r="C474" s="105"/>
      <c r="D474" s="104"/>
      <c r="E474" s="105"/>
      <c r="F474" s="106"/>
      <c r="G474" s="104"/>
      <c r="H474" s="106"/>
      <c r="I474" s="107"/>
      <c r="J474" s="108"/>
      <c r="K474" s="108"/>
      <c r="L474" s="108"/>
      <c r="M474" s="105"/>
      <c r="N474" s="105"/>
      <c r="O474" s="105"/>
      <c r="P474" s="108"/>
      <c r="Q474" s="105"/>
      <c r="R474" s="105"/>
      <c r="S474" s="105"/>
      <c r="T474" s="105"/>
      <c r="U474" s="108"/>
      <c r="V474" s="105"/>
      <c r="W474" s="105"/>
      <c r="X474" s="105"/>
      <c r="Y474" s="105"/>
      <c r="Z474" s="105"/>
      <c r="AA474" s="108"/>
      <c r="AB474" s="108"/>
      <c r="AC474" s="105"/>
      <c r="AD474" s="279"/>
      <c r="AE474" s="105"/>
      <c r="AF474" s="279"/>
      <c r="AG474" s="105"/>
      <c r="AH474" s="108"/>
      <c r="AI474" s="108"/>
      <c r="AJ474" s="108"/>
      <c r="AK474" s="108"/>
      <c r="AL474" s="105"/>
      <c r="AM474" s="108"/>
      <c r="AN474" s="105"/>
      <c r="AO474" s="108"/>
      <c r="AP474" s="108"/>
      <c r="AQ474" s="105"/>
      <c r="AR474" s="108"/>
      <c r="AS474" s="108"/>
      <c r="AT474" s="105"/>
      <c r="AU474" s="105"/>
      <c r="AV474" s="105"/>
      <c r="AW474" s="105"/>
      <c r="AX474" s="105"/>
      <c r="AY474" s="105"/>
      <c r="AZ474" s="105"/>
      <c r="BA474" s="105"/>
      <c r="BB474" s="105"/>
      <c r="BC474" s="105"/>
      <c r="BD474" s="108"/>
      <c r="BE474" s="83">
        <f>IF($A474="","",IF(TRIM($D474&amp;"")="",IF(TRIM($AX474&amp;$AY474&amp;$AZ474&amp;$BA474&amp;$BB474&amp;$BC474&amp;$BD474&amp;"")="","","SUBARRENDADO"),IFERROR(IF(VLOOKUP($D474,VEHICULOS!$A$3:$H$202,7,FALSE)="","",VLOOKUP($D474,VEHICULOS!$A$3:$H$202,7,FALSE)),"")))</f>
      </c>
      <c r="BF474" s="82">
        <f>IF($A474="","",IF(TRIM($BC474&amp;"")&lt;&gt;"",$BC474,IF(TRIM($D474&amp;"")="","",IFERROR(IF(VLOOKUP($D474,VEHICULOS!$A$3:$H$202,8,FALSE)="","",VLOOKUP($D474,VEHICULOS!$A$3:$H$202,8,FALSE)),""))))</f>
      </c>
      <c r="BG474" s="106"/>
      <c r="BH474" s="107"/>
      <c r="BI474" s="86">
        <f t="shared" si="105"/>
      </c>
      <c r="BJ474" s="83">
        <f t="shared" si="106"/>
      </c>
      <c r="BK474" s="85">
        <f t="shared" si="107"/>
      </c>
      <c r="BL474" s="85">
        <f t="shared" si="108"/>
      </c>
      <c r="BM474" s="108"/>
      <c r="BN474" s="85">
        <f t="shared" si="109"/>
      </c>
      <c r="BO474" s="108"/>
      <c r="BP474" s="85">
        <f t="shared" si="110"/>
      </c>
      <c r="BQ474" s="85">
        <f t="shared" si="111"/>
      </c>
      <c r="BR474" s="108"/>
      <c r="BS474" s="104"/>
      <c r="BT474" s="87">
        <f t="shared" si="112"/>
      </c>
      <c r="BU474" s="85">
        <f t="shared" si="113"/>
      </c>
      <c r="BV474" s="85">
        <f t="shared" si="114"/>
      </c>
      <c r="BW474" s="87">
        <f t="shared" si="115"/>
      </c>
      <c r="BX474" s="104"/>
      <c r="BY474" s="106"/>
      <c r="BZ474" s="104"/>
      <c r="CA474" s="105"/>
      <c r="CB474" s="77">
        <f>IF($A474="",0,IF($B474='FICHA CLIENTE'!$C$4,1,0))</f>
      </c>
      <c r="CC474" s="77">
        <f t="shared" si="116"/>
      </c>
      <c r="CD474" s="77">
        <f>IF($A474="",0,IF($D474='FICHA VEHICULO'!$C$4,1,0))</f>
      </c>
      <c r="CE474" s="77">
        <f t="shared" si="117"/>
      </c>
      <c r="CF474" s="77">
        <f t="shared" si="118"/>
      </c>
      <c r="CG474" s="77">
        <f t="shared" si="119"/>
      </c>
    </row>
    <row r="475" spans="1:85" ht="19.5" customHeight="1" x14ac:dyDescent="0.2">
      <c r="A475" s="104"/>
      <c r="B475" s="104"/>
      <c r="C475" s="105"/>
      <c r="D475" s="104"/>
      <c r="E475" s="105"/>
      <c r="F475" s="106"/>
      <c r="G475" s="104"/>
      <c r="H475" s="106"/>
      <c r="I475" s="107"/>
      <c r="J475" s="108"/>
      <c r="K475" s="108"/>
      <c r="L475" s="108"/>
      <c r="M475" s="105"/>
      <c r="N475" s="105"/>
      <c r="O475" s="105"/>
      <c r="P475" s="108"/>
      <c r="Q475" s="105"/>
      <c r="R475" s="105"/>
      <c r="S475" s="105"/>
      <c r="T475" s="105"/>
      <c r="U475" s="108"/>
      <c r="V475" s="105"/>
      <c r="W475" s="105"/>
      <c r="X475" s="105"/>
      <c r="Y475" s="105"/>
      <c r="Z475" s="105"/>
      <c r="AA475" s="108"/>
      <c r="AB475" s="108"/>
      <c r="AC475" s="105"/>
      <c r="AD475" s="279"/>
      <c r="AE475" s="105"/>
      <c r="AF475" s="279"/>
      <c r="AG475" s="105"/>
      <c r="AH475" s="108"/>
      <c r="AI475" s="108"/>
      <c r="AJ475" s="108"/>
      <c r="AK475" s="108"/>
      <c r="AL475" s="105"/>
      <c r="AM475" s="108"/>
      <c r="AN475" s="105"/>
      <c r="AO475" s="108"/>
      <c r="AP475" s="108"/>
      <c r="AQ475" s="105"/>
      <c r="AR475" s="108"/>
      <c r="AS475" s="108"/>
      <c r="AT475" s="105"/>
      <c r="AU475" s="105"/>
      <c r="AV475" s="105"/>
      <c r="AW475" s="105"/>
      <c r="AX475" s="105"/>
      <c r="AY475" s="105"/>
      <c r="AZ475" s="105"/>
      <c r="BA475" s="105"/>
      <c r="BB475" s="105"/>
      <c r="BC475" s="105"/>
      <c r="BD475" s="108"/>
      <c r="BE475" s="83">
        <f>IF($A475="","",IF(TRIM($D475&amp;"")="",IF(TRIM($AX475&amp;$AY475&amp;$AZ475&amp;$BA475&amp;$BB475&amp;$BC475&amp;$BD475&amp;"")="","","SUBARRENDADO"),IFERROR(IF(VLOOKUP($D475,VEHICULOS!$A$3:$H$202,7,FALSE)="","",VLOOKUP($D475,VEHICULOS!$A$3:$H$202,7,FALSE)),"")))</f>
      </c>
      <c r="BF475" s="82">
        <f>IF($A475="","",IF(TRIM($BC475&amp;"")&lt;&gt;"",$BC475,IF(TRIM($D475&amp;"")="","",IFERROR(IF(VLOOKUP($D475,VEHICULOS!$A$3:$H$202,8,FALSE)="","",VLOOKUP($D475,VEHICULOS!$A$3:$H$202,8,FALSE)),""))))</f>
      </c>
      <c r="BG475" s="106"/>
      <c r="BH475" s="107"/>
      <c r="BI475" s="86">
        <f t="shared" si="105"/>
      </c>
      <c r="BJ475" s="83">
        <f t="shared" si="106"/>
      </c>
      <c r="BK475" s="85">
        <f t="shared" si="107"/>
      </c>
      <c r="BL475" s="85">
        <f t="shared" si="108"/>
      </c>
      <c r="BM475" s="108"/>
      <c r="BN475" s="85">
        <f t="shared" si="109"/>
      </c>
      <c r="BO475" s="108"/>
      <c r="BP475" s="85">
        <f t="shared" si="110"/>
      </c>
      <c r="BQ475" s="85">
        <f t="shared" si="111"/>
      </c>
      <c r="BR475" s="108"/>
      <c r="BS475" s="104"/>
      <c r="BT475" s="87">
        <f t="shared" si="112"/>
      </c>
      <c r="BU475" s="85">
        <f t="shared" si="113"/>
      </c>
      <c r="BV475" s="85">
        <f t="shared" si="114"/>
      </c>
      <c r="BW475" s="87">
        <f t="shared" si="115"/>
      </c>
      <c r="BX475" s="104"/>
      <c r="BY475" s="106"/>
      <c r="BZ475" s="104"/>
      <c r="CA475" s="105"/>
      <c r="CB475" s="77">
        <f>IF($A475="",0,IF($B475='FICHA CLIENTE'!$C$4,1,0))</f>
      </c>
      <c r="CC475" s="77">
        <f t="shared" si="116"/>
      </c>
      <c r="CD475" s="77">
        <f>IF($A475="",0,IF($D475='FICHA VEHICULO'!$C$4,1,0))</f>
      </c>
      <c r="CE475" s="77">
        <f t="shared" si="117"/>
      </c>
      <c r="CF475" s="77">
        <f t="shared" si="118"/>
      </c>
      <c r="CG475" s="77">
        <f t="shared" si="119"/>
      </c>
    </row>
    <row r="476" spans="1:85" ht="19.5" customHeight="1" x14ac:dyDescent="0.2">
      <c r="A476" s="104"/>
      <c r="B476" s="104"/>
      <c r="C476" s="105"/>
      <c r="D476" s="104"/>
      <c r="E476" s="105"/>
      <c r="F476" s="106"/>
      <c r="G476" s="104"/>
      <c r="H476" s="106"/>
      <c r="I476" s="107"/>
      <c r="J476" s="108"/>
      <c r="K476" s="108"/>
      <c r="L476" s="108"/>
      <c r="M476" s="105"/>
      <c r="N476" s="105"/>
      <c r="O476" s="105"/>
      <c r="P476" s="108"/>
      <c r="Q476" s="105"/>
      <c r="R476" s="105"/>
      <c r="S476" s="105"/>
      <c r="T476" s="105"/>
      <c r="U476" s="108"/>
      <c r="V476" s="105"/>
      <c r="W476" s="105"/>
      <c r="X476" s="105"/>
      <c r="Y476" s="105"/>
      <c r="Z476" s="105"/>
      <c r="AA476" s="108"/>
      <c r="AB476" s="108"/>
      <c r="AC476" s="105"/>
      <c r="AD476" s="279"/>
      <c r="AE476" s="105"/>
      <c r="AF476" s="279"/>
      <c r="AG476" s="105"/>
      <c r="AH476" s="108"/>
      <c r="AI476" s="108"/>
      <c r="AJ476" s="108"/>
      <c r="AK476" s="108"/>
      <c r="AL476" s="105"/>
      <c r="AM476" s="108"/>
      <c r="AN476" s="105"/>
      <c r="AO476" s="108"/>
      <c r="AP476" s="108"/>
      <c r="AQ476" s="105"/>
      <c r="AR476" s="108"/>
      <c r="AS476" s="108"/>
      <c r="AT476" s="105"/>
      <c r="AU476" s="105"/>
      <c r="AV476" s="105"/>
      <c r="AW476" s="105"/>
      <c r="AX476" s="105"/>
      <c r="AY476" s="105"/>
      <c r="AZ476" s="105"/>
      <c r="BA476" s="105"/>
      <c r="BB476" s="105"/>
      <c r="BC476" s="105"/>
      <c r="BD476" s="108"/>
      <c r="BE476" s="83">
        <f>IF($A476="","",IF(TRIM($D476&amp;"")="",IF(TRIM($AX476&amp;$AY476&amp;$AZ476&amp;$BA476&amp;$BB476&amp;$BC476&amp;$BD476&amp;"")="","","SUBARRENDADO"),IFERROR(IF(VLOOKUP($D476,VEHICULOS!$A$3:$H$202,7,FALSE)="","",VLOOKUP($D476,VEHICULOS!$A$3:$H$202,7,FALSE)),"")))</f>
      </c>
      <c r="BF476" s="82">
        <f>IF($A476="","",IF(TRIM($BC476&amp;"")&lt;&gt;"",$BC476,IF(TRIM($D476&amp;"")="","",IFERROR(IF(VLOOKUP($D476,VEHICULOS!$A$3:$H$202,8,FALSE)="","",VLOOKUP($D476,VEHICULOS!$A$3:$H$202,8,FALSE)),""))))</f>
      </c>
      <c r="BG476" s="106"/>
      <c r="BH476" s="107"/>
      <c r="BI476" s="86">
        <f t="shared" si="105"/>
      </c>
      <c r="BJ476" s="83">
        <f t="shared" si="106"/>
      </c>
      <c r="BK476" s="85">
        <f t="shared" si="107"/>
      </c>
      <c r="BL476" s="85">
        <f t="shared" si="108"/>
      </c>
      <c r="BM476" s="108"/>
      <c r="BN476" s="85">
        <f t="shared" si="109"/>
      </c>
      <c r="BO476" s="108"/>
      <c r="BP476" s="85">
        <f t="shared" si="110"/>
      </c>
      <c r="BQ476" s="85">
        <f t="shared" si="111"/>
      </c>
      <c r="BR476" s="108"/>
      <c r="BS476" s="104"/>
      <c r="BT476" s="87">
        <f t="shared" si="112"/>
      </c>
      <c r="BU476" s="85">
        <f t="shared" si="113"/>
      </c>
      <c r="BV476" s="85">
        <f t="shared" si="114"/>
      </c>
      <c r="BW476" s="87">
        <f t="shared" si="115"/>
      </c>
      <c r="BX476" s="104"/>
      <c r="BY476" s="106"/>
      <c r="BZ476" s="104"/>
      <c r="CA476" s="105"/>
      <c r="CB476" s="77">
        <f>IF($A476="",0,IF($B476='FICHA CLIENTE'!$C$4,1,0))</f>
      </c>
      <c r="CC476" s="77">
        <f t="shared" si="116"/>
      </c>
      <c r="CD476" s="77">
        <f>IF($A476="",0,IF($D476='FICHA VEHICULO'!$C$4,1,0))</f>
      </c>
      <c r="CE476" s="77">
        <f t="shared" si="117"/>
      </c>
      <c r="CF476" s="77">
        <f t="shared" si="118"/>
      </c>
      <c r="CG476" s="77">
        <f t="shared" si="119"/>
      </c>
    </row>
    <row r="477" spans="1:85" ht="19.5" customHeight="1" x14ac:dyDescent="0.2">
      <c r="A477" s="104"/>
      <c r="B477" s="104"/>
      <c r="C477" s="105"/>
      <c r="D477" s="104"/>
      <c r="E477" s="105"/>
      <c r="F477" s="106"/>
      <c r="G477" s="104"/>
      <c r="H477" s="106"/>
      <c r="I477" s="107"/>
      <c r="J477" s="108"/>
      <c r="K477" s="108"/>
      <c r="L477" s="108"/>
      <c r="M477" s="105"/>
      <c r="N477" s="105"/>
      <c r="O477" s="105"/>
      <c r="P477" s="108"/>
      <c r="Q477" s="105"/>
      <c r="R477" s="105"/>
      <c r="S477" s="105"/>
      <c r="T477" s="105"/>
      <c r="U477" s="108"/>
      <c r="V477" s="105"/>
      <c r="W477" s="105"/>
      <c r="X477" s="105"/>
      <c r="Y477" s="105"/>
      <c r="Z477" s="105"/>
      <c r="AA477" s="108"/>
      <c r="AB477" s="108"/>
      <c r="AC477" s="105"/>
      <c r="AD477" s="279"/>
      <c r="AE477" s="105"/>
      <c r="AF477" s="279"/>
      <c r="AG477" s="105"/>
      <c r="AH477" s="108"/>
      <c r="AI477" s="108"/>
      <c r="AJ477" s="108"/>
      <c r="AK477" s="108"/>
      <c r="AL477" s="105"/>
      <c r="AM477" s="108"/>
      <c r="AN477" s="105"/>
      <c r="AO477" s="108"/>
      <c r="AP477" s="108"/>
      <c r="AQ477" s="105"/>
      <c r="AR477" s="108"/>
      <c r="AS477" s="108"/>
      <c r="AT477" s="105"/>
      <c r="AU477" s="105"/>
      <c r="AV477" s="105"/>
      <c r="AW477" s="105"/>
      <c r="AX477" s="105"/>
      <c r="AY477" s="105"/>
      <c r="AZ477" s="105"/>
      <c r="BA477" s="105"/>
      <c r="BB477" s="105"/>
      <c r="BC477" s="105"/>
      <c r="BD477" s="108"/>
      <c r="BE477" s="83">
        <f>IF($A477="","",IF(TRIM($D477&amp;"")="",IF(TRIM($AX477&amp;$AY477&amp;$AZ477&amp;$BA477&amp;$BB477&amp;$BC477&amp;$BD477&amp;"")="","","SUBARRENDADO"),IFERROR(IF(VLOOKUP($D477,VEHICULOS!$A$3:$H$202,7,FALSE)="","",VLOOKUP($D477,VEHICULOS!$A$3:$H$202,7,FALSE)),"")))</f>
      </c>
      <c r="BF477" s="82">
        <f>IF($A477="","",IF(TRIM($BC477&amp;"")&lt;&gt;"",$BC477,IF(TRIM($D477&amp;"")="","",IFERROR(IF(VLOOKUP($D477,VEHICULOS!$A$3:$H$202,8,FALSE)="","",VLOOKUP($D477,VEHICULOS!$A$3:$H$202,8,FALSE)),""))))</f>
      </c>
      <c r="BG477" s="106"/>
      <c r="BH477" s="107"/>
      <c r="BI477" s="86">
        <f t="shared" si="105"/>
      </c>
      <c r="BJ477" s="83">
        <f t="shared" si="106"/>
      </c>
      <c r="BK477" s="85">
        <f t="shared" si="107"/>
      </c>
      <c r="BL477" s="85">
        <f t="shared" si="108"/>
      </c>
      <c r="BM477" s="108"/>
      <c r="BN477" s="85">
        <f t="shared" si="109"/>
      </c>
      <c r="BO477" s="108"/>
      <c r="BP477" s="85">
        <f t="shared" si="110"/>
      </c>
      <c r="BQ477" s="85">
        <f t="shared" si="111"/>
      </c>
      <c r="BR477" s="108"/>
      <c r="BS477" s="104"/>
      <c r="BT477" s="87">
        <f t="shared" si="112"/>
      </c>
      <c r="BU477" s="85">
        <f t="shared" si="113"/>
      </c>
      <c r="BV477" s="85">
        <f t="shared" si="114"/>
      </c>
      <c r="BW477" s="87">
        <f t="shared" si="115"/>
      </c>
      <c r="BX477" s="104"/>
      <c r="BY477" s="106"/>
      <c r="BZ477" s="104"/>
      <c r="CA477" s="105"/>
      <c r="CB477" s="77">
        <f>IF($A477="",0,IF($B477='FICHA CLIENTE'!$C$4,1,0))</f>
      </c>
      <c r="CC477" s="77">
        <f t="shared" si="116"/>
      </c>
      <c r="CD477" s="77">
        <f>IF($A477="",0,IF($D477='FICHA VEHICULO'!$C$4,1,0))</f>
      </c>
      <c r="CE477" s="77">
        <f t="shared" si="117"/>
      </c>
      <c r="CF477" s="77">
        <f t="shared" si="118"/>
      </c>
      <c r="CG477" s="77">
        <f t="shared" si="119"/>
      </c>
    </row>
    <row r="478" spans="1:85" ht="19.5" customHeight="1" x14ac:dyDescent="0.2">
      <c r="A478" s="104"/>
      <c r="B478" s="104"/>
      <c r="C478" s="105"/>
      <c r="D478" s="104"/>
      <c r="E478" s="105"/>
      <c r="F478" s="106"/>
      <c r="G478" s="104"/>
      <c r="H478" s="106"/>
      <c r="I478" s="107"/>
      <c r="J478" s="108"/>
      <c r="K478" s="108"/>
      <c r="L478" s="108"/>
      <c r="M478" s="105"/>
      <c r="N478" s="105"/>
      <c r="O478" s="105"/>
      <c r="P478" s="108"/>
      <c r="Q478" s="105"/>
      <c r="R478" s="105"/>
      <c r="S478" s="105"/>
      <c r="T478" s="105"/>
      <c r="U478" s="108"/>
      <c r="V478" s="105"/>
      <c r="W478" s="105"/>
      <c r="X478" s="105"/>
      <c r="Y478" s="105"/>
      <c r="Z478" s="105"/>
      <c r="AA478" s="108"/>
      <c r="AB478" s="108"/>
      <c r="AC478" s="105"/>
      <c r="AD478" s="279"/>
      <c r="AE478" s="105"/>
      <c r="AF478" s="279"/>
      <c r="AG478" s="105"/>
      <c r="AH478" s="108"/>
      <c r="AI478" s="108"/>
      <c r="AJ478" s="108"/>
      <c r="AK478" s="108"/>
      <c r="AL478" s="105"/>
      <c r="AM478" s="108"/>
      <c r="AN478" s="105"/>
      <c r="AO478" s="108"/>
      <c r="AP478" s="108"/>
      <c r="AQ478" s="105"/>
      <c r="AR478" s="108"/>
      <c r="AS478" s="108"/>
      <c r="AT478" s="105"/>
      <c r="AU478" s="105"/>
      <c r="AV478" s="105"/>
      <c r="AW478" s="105"/>
      <c r="AX478" s="105"/>
      <c r="AY478" s="105"/>
      <c r="AZ478" s="105"/>
      <c r="BA478" s="105"/>
      <c r="BB478" s="105"/>
      <c r="BC478" s="105"/>
      <c r="BD478" s="108"/>
      <c r="BE478" s="83">
        <f>IF($A478="","",IF(TRIM($D478&amp;"")="",IF(TRIM($AX478&amp;$AY478&amp;$AZ478&amp;$BA478&amp;$BB478&amp;$BC478&amp;$BD478&amp;"")="","","SUBARRENDADO"),IFERROR(IF(VLOOKUP($D478,VEHICULOS!$A$3:$H$202,7,FALSE)="","",VLOOKUP($D478,VEHICULOS!$A$3:$H$202,7,FALSE)),"")))</f>
      </c>
      <c r="BF478" s="82">
        <f>IF($A478="","",IF(TRIM($BC478&amp;"")&lt;&gt;"",$BC478,IF(TRIM($D478&amp;"")="","",IFERROR(IF(VLOOKUP($D478,VEHICULOS!$A$3:$H$202,8,FALSE)="","",VLOOKUP($D478,VEHICULOS!$A$3:$H$202,8,FALSE)),""))))</f>
      </c>
      <c r="BG478" s="106"/>
      <c r="BH478" s="107"/>
      <c r="BI478" s="86">
        <f t="shared" si="105"/>
      </c>
      <c r="BJ478" s="83">
        <f t="shared" si="106"/>
      </c>
      <c r="BK478" s="85">
        <f t="shared" si="107"/>
      </c>
      <c r="BL478" s="85">
        <f t="shared" si="108"/>
      </c>
      <c r="BM478" s="108"/>
      <c r="BN478" s="85">
        <f t="shared" si="109"/>
      </c>
      <c r="BO478" s="108"/>
      <c r="BP478" s="85">
        <f t="shared" si="110"/>
      </c>
      <c r="BQ478" s="85">
        <f t="shared" si="111"/>
      </c>
      <c r="BR478" s="108"/>
      <c r="BS478" s="104"/>
      <c r="BT478" s="87">
        <f t="shared" si="112"/>
      </c>
      <c r="BU478" s="85">
        <f t="shared" si="113"/>
      </c>
      <c r="BV478" s="85">
        <f t="shared" si="114"/>
      </c>
      <c r="BW478" s="87">
        <f t="shared" si="115"/>
      </c>
      <c r="BX478" s="104"/>
      <c r="BY478" s="106"/>
      <c r="BZ478" s="104"/>
      <c r="CA478" s="105"/>
      <c r="CB478" s="77">
        <f>IF($A478="",0,IF($B478='FICHA CLIENTE'!$C$4,1,0))</f>
      </c>
      <c r="CC478" s="77">
        <f t="shared" si="116"/>
      </c>
      <c r="CD478" s="77">
        <f>IF($A478="",0,IF($D478='FICHA VEHICULO'!$C$4,1,0))</f>
      </c>
      <c r="CE478" s="77">
        <f t="shared" si="117"/>
      </c>
      <c r="CF478" s="77">
        <f t="shared" si="118"/>
      </c>
      <c r="CG478" s="77">
        <f t="shared" si="119"/>
      </c>
    </row>
    <row r="479" spans="1:85" ht="19.5" customHeight="1" x14ac:dyDescent="0.2">
      <c r="A479" s="104"/>
      <c r="B479" s="104"/>
      <c r="C479" s="105"/>
      <c r="D479" s="104"/>
      <c r="E479" s="105"/>
      <c r="F479" s="106"/>
      <c r="G479" s="104"/>
      <c r="H479" s="106"/>
      <c r="I479" s="107"/>
      <c r="J479" s="108"/>
      <c r="K479" s="108"/>
      <c r="L479" s="108"/>
      <c r="M479" s="105"/>
      <c r="N479" s="105"/>
      <c r="O479" s="105"/>
      <c r="P479" s="108"/>
      <c r="Q479" s="105"/>
      <c r="R479" s="105"/>
      <c r="S479" s="105"/>
      <c r="T479" s="105"/>
      <c r="U479" s="108"/>
      <c r="V479" s="105"/>
      <c r="W479" s="105"/>
      <c r="X479" s="105"/>
      <c r="Y479" s="105"/>
      <c r="Z479" s="105"/>
      <c r="AA479" s="108"/>
      <c r="AB479" s="108"/>
      <c r="AC479" s="105"/>
      <c r="AD479" s="279"/>
      <c r="AE479" s="105"/>
      <c r="AF479" s="279"/>
      <c r="AG479" s="105"/>
      <c r="AH479" s="108"/>
      <c r="AI479" s="108"/>
      <c r="AJ479" s="108"/>
      <c r="AK479" s="108"/>
      <c r="AL479" s="105"/>
      <c r="AM479" s="108"/>
      <c r="AN479" s="105"/>
      <c r="AO479" s="108"/>
      <c r="AP479" s="108"/>
      <c r="AQ479" s="105"/>
      <c r="AR479" s="108"/>
      <c r="AS479" s="108"/>
      <c r="AT479" s="105"/>
      <c r="AU479" s="105"/>
      <c r="AV479" s="105"/>
      <c r="AW479" s="105"/>
      <c r="AX479" s="105"/>
      <c r="AY479" s="105"/>
      <c r="AZ479" s="105"/>
      <c r="BA479" s="105"/>
      <c r="BB479" s="105"/>
      <c r="BC479" s="105"/>
      <c r="BD479" s="108"/>
      <c r="BE479" s="83">
        <f>IF($A479="","",IF(TRIM($D479&amp;"")="",IF(TRIM($AX479&amp;$AY479&amp;$AZ479&amp;$BA479&amp;$BB479&amp;$BC479&amp;$BD479&amp;"")="","","SUBARRENDADO"),IFERROR(IF(VLOOKUP($D479,VEHICULOS!$A$3:$H$202,7,FALSE)="","",VLOOKUP($D479,VEHICULOS!$A$3:$H$202,7,FALSE)),"")))</f>
      </c>
      <c r="BF479" s="82">
        <f>IF($A479="","",IF(TRIM($BC479&amp;"")&lt;&gt;"",$BC479,IF(TRIM($D479&amp;"")="","",IFERROR(IF(VLOOKUP($D479,VEHICULOS!$A$3:$H$202,8,FALSE)="","",VLOOKUP($D479,VEHICULOS!$A$3:$H$202,8,FALSE)),""))))</f>
      </c>
      <c r="BG479" s="106"/>
      <c r="BH479" s="107"/>
      <c r="BI479" s="86">
        <f t="shared" si="105"/>
      </c>
      <c r="BJ479" s="83">
        <f t="shared" si="106"/>
      </c>
      <c r="BK479" s="85">
        <f t="shared" si="107"/>
      </c>
      <c r="BL479" s="85">
        <f t="shared" si="108"/>
      </c>
      <c r="BM479" s="108"/>
      <c r="BN479" s="85">
        <f t="shared" si="109"/>
      </c>
      <c r="BO479" s="108"/>
      <c r="BP479" s="85">
        <f t="shared" si="110"/>
      </c>
      <c r="BQ479" s="85">
        <f t="shared" si="111"/>
      </c>
      <c r="BR479" s="108"/>
      <c r="BS479" s="104"/>
      <c r="BT479" s="87">
        <f t="shared" si="112"/>
      </c>
      <c r="BU479" s="85">
        <f t="shared" si="113"/>
      </c>
      <c r="BV479" s="85">
        <f t="shared" si="114"/>
      </c>
      <c r="BW479" s="87">
        <f t="shared" si="115"/>
      </c>
      <c r="BX479" s="104"/>
      <c r="BY479" s="106"/>
      <c r="BZ479" s="104"/>
      <c r="CA479" s="105"/>
      <c r="CB479" s="77">
        <f>IF($A479="",0,IF($B479='FICHA CLIENTE'!$C$4,1,0))</f>
      </c>
      <c r="CC479" s="77">
        <f t="shared" si="116"/>
      </c>
      <c r="CD479" s="77">
        <f>IF($A479="",0,IF($D479='FICHA VEHICULO'!$C$4,1,0))</f>
      </c>
      <c r="CE479" s="77">
        <f t="shared" si="117"/>
      </c>
      <c r="CF479" s="77">
        <f t="shared" si="118"/>
      </c>
      <c r="CG479" s="77">
        <f t="shared" si="119"/>
      </c>
    </row>
    <row r="480" spans="1:85" ht="19.5" customHeight="1" x14ac:dyDescent="0.2">
      <c r="A480" s="104"/>
      <c r="B480" s="104"/>
      <c r="C480" s="105"/>
      <c r="D480" s="104"/>
      <c r="E480" s="105"/>
      <c r="F480" s="106"/>
      <c r="G480" s="104"/>
      <c r="H480" s="106"/>
      <c r="I480" s="107"/>
      <c r="J480" s="108"/>
      <c r="K480" s="108"/>
      <c r="L480" s="108"/>
      <c r="M480" s="105"/>
      <c r="N480" s="105"/>
      <c r="O480" s="105"/>
      <c r="P480" s="108"/>
      <c r="Q480" s="105"/>
      <c r="R480" s="105"/>
      <c r="S480" s="105"/>
      <c r="T480" s="105"/>
      <c r="U480" s="108"/>
      <c r="V480" s="105"/>
      <c r="W480" s="105"/>
      <c r="X480" s="105"/>
      <c r="Y480" s="105"/>
      <c r="Z480" s="105"/>
      <c r="AA480" s="108"/>
      <c r="AB480" s="108"/>
      <c r="AC480" s="105"/>
      <c r="AD480" s="279"/>
      <c r="AE480" s="105"/>
      <c r="AF480" s="279"/>
      <c r="AG480" s="105"/>
      <c r="AH480" s="108"/>
      <c r="AI480" s="108"/>
      <c r="AJ480" s="108"/>
      <c r="AK480" s="108"/>
      <c r="AL480" s="105"/>
      <c r="AM480" s="108"/>
      <c r="AN480" s="105"/>
      <c r="AO480" s="108"/>
      <c r="AP480" s="108"/>
      <c r="AQ480" s="105"/>
      <c r="AR480" s="108"/>
      <c r="AS480" s="108"/>
      <c r="AT480" s="105"/>
      <c r="AU480" s="105"/>
      <c r="AV480" s="105"/>
      <c r="AW480" s="105"/>
      <c r="AX480" s="105"/>
      <c r="AY480" s="105"/>
      <c r="AZ480" s="105"/>
      <c r="BA480" s="105"/>
      <c r="BB480" s="105"/>
      <c r="BC480" s="105"/>
      <c r="BD480" s="108"/>
      <c r="BE480" s="83">
        <f>IF($A480="","",IF(TRIM($D480&amp;"")="",IF(TRIM($AX480&amp;$AY480&amp;$AZ480&amp;$BA480&amp;$BB480&amp;$BC480&amp;$BD480&amp;"")="","","SUBARRENDADO"),IFERROR(IF(VLOOKUP($D480,VEHICULOS!$A$3:$H$202,7,FALSE)="","",VLOOKUP($D480,VEHICULOS!$A$3:$H$202,7,FALSE)),"")))</f>
      </c>
      <c r="BF480" s="82">
        <f>IF($A480="","",IF(TRIM($BC480&amp;"")&lt;&gt;"",$BC480,IF(TRIM($D480&amp;"")="","",IFERROR(IF(VLOOKUP($D480,VEHICULOS!$A$3:$H$202,8,FALSE)="","",VLOOKUP($D480,VEHICULOS!$A$3:$H$202,8,FALSE)),""))))</f>
      </c>
      <c r="BG480" s="106"/>
      <c r="BH480" s="107"/>
      <c r="BI480" s="86">
        <f t="shared" si="105"/>
      </c>
      <c r="BJ480" s="83">
        <f t="shared" si="106"/>
      </c>
      <c r="BK480" s="85">
        <f t="shared" si="107"/>
      </c>
      <c r="BL480" s="85">
        <f t="shared" si="108"/>
      </c>
      <c r="BM480" s="108"/>
      <c r="BN480" s="85">
        <f t="shared" si="109"/>
      </c>
      <c r="BO480" s="108"/>
      <c r="BP480" s="85">
        <f t="shared" si="110"/>
      </c>
      <c r="BQ480" s="85">
        <f t="shared" si="111"/>
      </c>
      <c r="BR480" s="108"/>
      <c r="BS480" s="104"/>
      <c r="BT480" s="87">
        <f t="shared" si="112"/>
      </c>
      <c r="BU480" s="85">
        <f t="shared" si="113"/>
      </c>
      <c r="BV480" s="85">
        <f t="shared" si="114"/>
      </c>
      <c r="BW480" s="87">
        <f t="shared" si="115"/>
      </c>
      <c r="BX480" s="104"/>
      <c r="BY480" s="106"/>
      <c r="BZ480" s="104"/>
      <c r="CA480" s="105"/>
      <c r="CB480" s="77">
        <f>IF($A480="",0,IF($B480='FICHA CLIENTE'!$C$4,1,0))</f>
      </c>
      <c r="CC480" s="77">
        <f t="shared" si="116"/>
      </c>
      <c r="CD480" s="77">
        <f>IF($A480="",0,IF($D480='FICHA VEHICULO'!$C$4,1,0))</f>
      </c>
      <c r="CE480" s="77">
        <f t="shared" si="117"/>
      </c>
      <c r="CF480" s="77">
        <f t="shared" si="118"/>
      </c>
      <c r="CG480" s="77">
        <f t="shared" si="119"/>
      </c>
    </row>
    <row r="481" spans="1:85" ht="19.5" customHeight="1" x14ac:dyDescent="0.2">
      <c r="A481" s="104"/>
      <c r="B481" s="104"/>
      <c r="C481" s="105"/>
      <c r="D481" s="104"/>
      <c r="E481" s="105"/>
      <c r="F481" s="106"/>
      <c r="G481" s="104"/>
      <c r="H481" s="106"/>
      <c r="I481" s="107"/>
      <c r="J481" s="108"/>
      <c r="K481" s="108"/>
      <c r="L481" s="108"/>
      <c r="M481" s="105"/>
      <c r="N481" s="105"/>
      <c r="O481" s="105"/>
      <c r="P481" s="108"/>
      <c r="Q481" s="105"/>
      <c r="R481" s="105"/>
      <c r="S481" s="105"/>
      <c r="T481" s="105"/>
      <c r="U481" s="108"/>
      <c r="V481" s="105"/>
      <c r="W481" s="105"/>
      <c r="X481" s="105"/>
      <c r="Y481" s="105"/>
      <c r="Z481" s="105"/>
      <c r="AA481" s="108"/>
      <c r="AB481" s="108"/>
      <c r="AC481" s="105"/>
      <c r="AD481" s="279"/>
      <c r="AE481" s="105"/>
      <c r="AF481" s="279"/>
      <c r="AG481" s="105"/>
      <c r="AH481" s="108"/>
      <c r="AI481" s="108"/>
      <c r="AJ481" s="108"/>
      <c r="AK481" s="108"/>
      <c r="AL481" s="105"/>
      <c r="AM481" s="108"/>
      <c r="AN481" s="105"/>
      <c r="AO481" s="108"/>
      <c r="AP481" s="108"/>
      <c r="AQ481" s="105"/>
      <c r="AR481" s="108"/>
      <c r="AS481" s="108"/>
      <c r="AT481" s="105"/>
      <c r="AU481" s="105"/>
      <c r="AV481" s="105"/>
      <c r="AW481" s="105"/>
      <c r="AX481" s="105"/>
      <c r="AY481" s="105"/>
      <c r="AZ481" s="105"/>
      <c r="BA481" s="105"/>
      <c r="BB481" s="105"/>
      <c r="BC481" s="105"/>
      <c r="BD481" s="108"/>
      <c r="BE481" s="83">
        <f>IF($A481="","",IF(TRIM($D481&amp;"")="",IF(TRIM($AX481&amp;$AY481&amp;$AZ481&amp;$BA481&amp;$BB481&amp;$BC481&amp;$BD481&amp;"")="","","SUBARRENDADO"),IFERROR(IF(VLOOKUP($D481,VEHICULOS!$A$3:$H$202,7,FALSE)="","",VLOOKUP($D481,VEHICULOS!$A$3:$H$202,7,FALSE)),"")))</f>
      </c>
      <c r="BF481" s="82">
        <f>IF($A481="","",IF(TRIM($BC481&amp;"")&lt;&gt;"",$BC481,IF(TRIM($D481&amp;"")="","",IFERROR(IF(VLOOKUP($D481,VEHICULOS!$A$3:$H$202,8,FALSE)="","",VLOOKUP($D481,VEHICULOS!$A$3:$H$202,8,FALSE)),""))))</f>
      </c>
      <c r="BG481" s="106"/>
      <c r="BH481" s="107"/>
      <c r="BI481" s="86">
        <f t="shared" si="105"/>
      </c>
      <c r="BJ481" s="83">
        <f t="shared" si="106"/>
      </c>
      <c r="BK481" s="85">
        <f t="shared" si="107"/>
      </c>
      <c r="BL481" s="85">
        <f t="shared" si="108"/>
      </c>
      <c r="BM481" s="108"/>
      <c r="BN481" s="85">
        <f t="shared" si="109"/>
      </c>
      <c r="BO481" s="108"/>
      <c r="BP481" s="85">
        <f t="shared" si="110"/>
      </c>
      <c r="BQ481" s="85">
        <f t="shared" si="111"/>
      </c>
      <c r="BR481" s="108"/>
      <c r="BS481" s="104"/>
      <c r="BT481" s="87">
        <f t="shared" si="112"/>
      </c>
      <c r="BU481" s="85">
        <f t="shared" si="113"/>
      </c>
      <c r="BV481" s="85">
        <f t="shared" si="114"/>
      </c>
      <c r="BW481" s="87">
        <f t="shared" si="115"/>
      </c>
      <c r="BX481" s="104"/>
      <c r="BY481" s="106"/>
      <c r="BZ481" s="104"/>
      <c r="CA481" s="105"/>
      <c r="CB481" s="77">
        <f>IF($A481="",0,IF($B481='FICHA CLIENTE'!$C$4,1,0))</f>
      </c>
      <c r="CC481" s="77">
        <f t="shared" si="116"/>
      </c>
      <c r="CD481" s="77">
        <f>IF($A481="",0,IF($D481='FICHA VEHICULO'!$C$4,1,0))</f>
      </c>
      <c r="CE481" s="77">
        <f t="shared" si="117"/>
      </c>
      <c r="CF481" s="77">
        <f t="shared" si="118"/>
      </c>
      <c r="CG481" s="77">
        <f t="shared" si="119"/>
      </c>
    </row>
    <row r="482" spans="1:85" ht="19.5" customHeight="1" x14ac:dyDescent="0.2">
      <c r="A482" s="104"/>
      <c r="B482" s="104"/>
      <c r="C482" s="105"/>
      <c r="D482" s="104"/>
      <c r="E482" s="105"/>
      <c r="F482" s="106"/>
      <c r="G482" s="104"/>
      <c r="H482" s="106"/>
      <c r="I482" s="107"/>
      <c r="J482" s="108"/>
      <c r="K482" s="108"/>
      <c r="L482" s="108"/>
      <c r="M482" s="105"/>
      <c r="N482" s="105"/>
      <c r="O482" s="105"/>
      <c r="P482" s="108"/>
      <c r="Q482" s="105"/>
      <c r="R482" s="105"/>
      <c r="S482" s="105"/>
      <c r="T482" s="105"/>
      <c r="U482" s="108"/>
      <c r="V482" s="105"/>
      <c r="W482" s="105"/>
      <c r="X482" s="105"/>
      <c r="Y482" s="105"/>
      <c r="Z482" s="105"/>
      <c r="AA482" s="108"/>
      <c r="AB482" s="108"/>
      <c r="AC482" s="105"/>
      <c r="AD482" s="279"/>
      <c r="AE482" s="105"/>
      <c r="AF482" s="279"/>
      <c r="AG482" s="105"/>
      <c r="AH482" s="108"/>
      <c r="AI482" s="108"/>
      <c r="AJ482" s="108"/>
      <c r="AK482" s="108"/>
      <c r="AL482" s="105"/>
      <c r="AM482" s="108"/>
      <c r="AN482" s="105"/>
      <c r="AO482" s="108"/>
      <c r="AP482" s="108"/>
      <c r="AQ482" s="105"/>
      <c r="AR482" s="108"/>
      <c r="AS482" s="108"/>
      <c r="AT482" s="105"/>
      <c r="AU482" s="105"/>
      <c r="AV482" s="105"/>
      <c r="AW482" s="105"/>
      <c r="AX482" s="105"/>
      <c r="AY482" s="105"/>
      <c r="AZ482" s="105"/>
      <c r="BA482" s="105"/>
      <c r="BB482" s="105"/>
      <c r="BC482" s="105"/>
      <c r="BD482" s="108"/>
      <c r="BE482" s="83">
        <f>IF($A482="","",IF(TRIM($D482&amp;"")="",IF(TRIM($AX482&amp;$AY482&amp;$AZ482&amp;$BA482&amp;$BB482&amp;$BC482&amp;$BD482&amp;"")="","","SUBARRENDADO"),IFERROR(IF(VLOOKUP($D482,VEHICULOS!$A$3:$H$202,7,FALSE)="","",VLOOKUP($D482,VEHICULOS!$A$3:$H$202,7,FALSE)),"")))</f>
      </c>
      <c r="BF482" s="82">
        <f>IF($A482="","",IF(TRIM($BC482&amp;"")&lt;&gt;"",$BC482,IF(TRIM($D482&amp;"")="","",IFERROR(IF(VLOOKUP($D482,VEHICULOS!$A$3:$H$202,8,FALSE)="","",VLOOKUP($D482,VEHICULOS!$A$3:$H$202,8,FALSE)),""))))</f>
      </c>
      <c r="BG482" s="106"/>
      <c r="BH482" s="107"/>
      <c r="BI482" s="86">
        <f t="shared" si="105"/>
      </c>
      <c r="BJ482" s="83">
        <f t="shared" si="106"/>
      </c>
      <c r="BK482" s="85">
        <f t="shared" si="107"/>
      </c>
      <c r="BL482" s="85">
        <f t="shared" si="108"/>
      </c>
      <c r="BM482" s="108"/>
      <c r="BN482" s="85">
        <f t="shared" si="109"/>
      </c>
      <c r="BO482" s="108"/>
      <c r="BP482" s="85">
        <f t="shared" si="110"/>
      </c>
      <c r="BQ482" s="85">
        <f t="shared" si="111"/>
      </c>
      <c r="BR482" s="108"/>
      <c r="BS482" s="104"/>
      <c r="BT482" s="87">
        <f t="shared" si="112"/>
      </c>
      <c r="BU482" s="85">
        <f t="shared" si="113"/>
      </c>
      <c r="BV482" s="85">
        <f t="shared" si="114"/>
      </c>
      <c r="BW482" s="87">
        <f t="shared" si="115"/>
      </c>
      <c r="BX482" s="104"/>
      <c r="BY482" s="106"/>
      <c r="BZ482" s="104"/>
      <c r="CA482" s="105"/>
      <c r="CB482" s="77">
        <f>IF($A482="",0,IF($B482='FICHA CLIENTE'!$C$4,1,0))</f>
      </c>
      <c r="CC482" s="77">
        <f t="shared" si="116"/>
      </c>
      <c r="CD482" s="77">
        <f>IF($A482="",0,IF($D482='FICHA VEHICULO'!$C$4,1,0))</f>
      </c>
      <c r="CE482" s="77">
        <f t="shared" si="117"/>
      </c>
      <c r="CF482" s="77">
        <f t="shared" si="118"/>
      </c>
      <c r="CG482" s="77">
        <f t="shared" si="119"/>
      </c>
    </row>
    <row r="483" spans="1:85" ht="19.5" customHeight="1" x14ac:dyDescent="0.2">
      <c r="A483" s="104"/>
      <c r="B483" s="104"/>
      <c r="C483" s="105"/>
      <c r="D483" s="104"/>
      <c r="E483" s="105"/>
      <c r="F483" s="106"/>
      <c r="G483" s="104"/>
      <c r="H483" s="106"/>
      <c r="I483" s="107"/>
      <c r="J483" s="108"/>
      <c r="K483" s="108"/>
      <c r="L483" s="108"/>
      <c r="M483" s="105"/>
      <c r="N483" s="105"/>
      <c r="O483" s="105"/>
      <c r="P483" s="108"/>
      <c r="Q483" s="105"/>
      <c r="R483" s="105"/>
      <c r="S483" s="105"/>
      <c r="T483" s="105"/>
      <c r="U483" s="108"/>
      <c r="V483" s="105"/>
      <c r="W483" s="105"/>
      <c r="X483" s="105"/>
      <c r="Y483" s="105"/>
      <c r="Z483" s="105"/>
      <c r="AA483" s="108"/>
      <c r="AB483" s="108"/>
      <c r="AC483" s="105"/>
      <c r="AD483" s="279"/>
      <c r="AE483" s="105"/>
      <c r="AF483" s="279"/>
      <c r="AG483" s="105"/>
      <c r="AH483" s="108"/>
      <c r="AI483" s="108"/>
      <c r="AJ483" s="108"/>
      <c r="AK483" s="108"/>
      <c r="AL483" s="105"/>
      <c r="AM483" s="108"/>
      <c r="AN483" s="105"/>
      <c r="AO483" s="108"/>
      <c r="AP483" s="108"/>
      <c r="AQ483" s="105"/>
      <c r="AR483" s="108"/>
      <c r="AS483" s="108"/>
      <c r="AT483" s="105"/>
      <c r="AU483" s="105"/>
      <c r="AV483" s="105"/>
      <c r="AW483" s="105"/>
      <c r="AX483" s="105"/>
      <c r="AY483" s="105"/>
      <c r="AZ483" s="105"/>
      <c r="BA483" s="105"/>
      <c r="BB483" s="105"/>
      <c r="BC483" s="105"/>
      <c r="BD483" s="108"/>
      <c r="BE483" s="83">
        <f>IF($A483="","",IF(TRIM($D483&amp;"")="",IF(TRIM($AX483&amp;$AY483&amp;$AZ483&amp;$BA483&amp;$BB483&amp;$BC483&amp;$BD483&amp;"")="","","SUBARRENDADO"),IFERROR(IF(VLOOKUP($D483,VEHICULOS!$A$3:$H$202,7,FALSE)="","",VLOOKUP($D483,VEHICULOS!$A$3:$H$202,7,FALSE)),"")))</f>
      </c>
      <c r="BF483" s="82">
        <f>IF($A483="","",IF(TRIM($BC483&amp;"")&lt;&gt;"",$BC483,IF(TRIM($D483&amp;"")="","",IFERROR(IF(VLOOKUP($D483,VEHICULOS!$A$3:$H$202,8,FALSE)="","",VLOOKUP($D483,VEHICULOS!$A$3:$H$202,8,FALSE)),""))))</f>
      </c>
      <c r="BG483" s="106"/>
      <c r="BH483" s="107"/>
      <c r="BI483" s="86">
        <f t="shared" si="105"/>
      </c>
      <c r="BJ483" s="83">
        <f t="shared" si="106"/>
      </c>
      <c r="BK483" s="85">
        <f t="shared" si="107"/>
      </c>
      <c r="BL483" s="85">
        <f t="shared" si="108"/>
      </c>
      <c r="BM483" s="108"/>
      <c r="BN483" s="85">
        <f t="shared" si="109"/>
      </c>
      <c r="BO483" s="108"/>
      <c r="BP483" s="85">
        <f t="shared" si="110"/>
      </c>
      <c r="BQ483" s="85">
        <f t="shared" si="111"/>
      </c>
      <c r="BR483" s="108"/>
      <c r="BS483" s="104"/>
      <c r="BT483" s="87">
        <f t="shared" si="112"/>
      </c>
      <c r="BU483" s="85">
        <f t="shared" si="113"/>
      </c>
      <c r="BV483" s="85">
        <f t="shared" si="114"/>
      </c>
      <c r="BW483" s="87">
        <f t="shared" si="115"/>
      </c>
      <c r="BX483" s="104"/>
      <c r="BY483" s="106"/>
      <c r="BZ483" s="104"/>
      <c r="CA483" s="105"/>
      <c r="CB483" s="77">
        <f>IF($A483="",0,IF($B483='FICHA CLIENTE'!$C$4,1,0))</f>
      </c>
      <c r="CC483" s="77">
        <f t="shared" si="116"/>
      </c>
      <c r="CD483" s="77">
        <f>IF($A483="",0,IF($D483='FICHA VEHICULO'!$C$4,1,0))</f>
      </c>
      <c r="CE483" s="77">
        <f t="shared" si="117"/>
      </c>
      <c r="CF483" s="77">
        <f t="shared" si="118"/>
      </c>
      <c r="CG483" s="77">
        <f t="shared" si="119"/>
      </c>
    </row>
    <row r="484" spans="1:85" ht="19.5" customHeight="1" x14ac:dyDescent="0.2">
      <c r="A484" s="104"/>
      <c r="B484" s="104"/>
      <c r="C484" s="105"/>
      <c r="D484" s="104"/>
      <c r="E484" s="105"/>
      <c r="F484" s="106"/>
      <c r="G484" s="104"/>
      <c r="H484" s="106"/>
      <c r="I484" s="107"/>
      <c r="J484" s="108"/>
      <c r="K484" s="108"/>
      <c r="L484" s="108"/>
      <c r="M484" s="105"/>
      <c r="N484" s="105"/>
      <c r="O484" s="105"/>
      <c r="P484" s="108"/>
      <c r="Q484" s="105"/>
      <c r="R484" s="105"/>
      <c r="S484" s="105"/>
      <c r="T484" s="105"/>
      <c r="U484" s="108"/>
      <c r="V484" s="105"/>
      <c r="W484" s="105"/>
      <c r="X484" s="105"/>
      <c r="Y484" s="105"/>
      <c r="Z484" s="105"/>
      <c r="AA484" s="108"/>
      <c r="AB484" s="108"/>
      <c r="AC484" s="105"/>
      <c r="AD484" s="279"/>
      <c r="AE484" s="105"/>
      <c r="AF484" s="279"/>
      <c r="AG484" s="105"/>
      <c r="AH484" s="108"/>
      <c r="AI484" s="108"/>
      <c r="AJ484" s="108"/>
      <c r="AK484" s="108"/>
      <c r="AL484" s="105"/>
      <c r="AM484" s="108"/>
      <c r="AN484" s="105"/>
      <c r="AO484" s="108"/>
      <c r="AP484" s="108"/>
      <c r="AQ484" s="105"/>
      <c r="AR484" s="108"/>
      <c r="AS484" s="108"/>
      <c r="AT484" s="105"/>
      <c r="AU484" s="105"/>
      <c r="AV484" s="105"/>
      <c r="AW484" s="105"/>
      <c r="AX484" s="105"/>
      <c r="AY484" s="105"/>
      <c r="AZ484" s="105"/>
      <c r="BA484" s="105"/>
      <c r="BB484" s="105"/>
      <c r="BC484" s="105"/>
      <c r="BD484" s="108"/>
      <c r="BE484" s="83">
        <f>IF($A484="","",IF(TRIM($D484&amp;"")="",IF(TRIM($AX484&amp;$AY484&amp;$AZ484&amp;$BA484&amp;$BB484&amp;$BC484&amp;$BD484&amp;"")="","","SUBARRENDADO"),IFERROR(IF(VLOOKUP($D484,VEHICULOS!$A$3:$H$202,7,FALSE)="","",VLOOKUP($D484,VEHICULOS!$A$3:$H$202,7,FALSE)),"")))</f>
      </c>
      <c r="BF484" s="82">
        <f>IF($A484="","",IF(TRIM($BC484&amp;"")&lt;&gt;"",$BC484,IF(TRIM($D484&amp;"")="","",IFERROR(IF(VLOOKUP($D484,VEHICULOS!$A$3:$H$202,8,FALSE)="","",VLOOKUP($D484,VEHICULOS!$A$3:$H$202,8,FALSE)),""))))</f>
      </c>
      <c r="BG484" s="106"/>
      <c r="BH484" s="107"/>
      <c r="BI484" s="86">
        <f t="shared" si="105"/>
      </c>
      <c r="BJ484" s="83">
        <f t="shared" si="106"/>
      </c>
      <c r="BK484" s="85">
        <f t="shared" si="107"/>
      </c>
      <c r="BL484" s="85">
        <f t="shared" si="108"/>
      </c>
      <c r="BM484" s="108"/>
      <c r="BN484" s="85">
        <f t="shared" si="109"/>
      </c>
      <c r="BO484" s="108"/>
      <c r="BP484" s="85">
        <f t="shared" si="110"/>
      </c>
      <c r="BQ484" s="85">
        <f t="shared" si="111"/>
      </c>
      <c r="BR484" s="108"/>
      <c r="BS484" s="104"/>
      <c r="BT484" s="87">
        <f t="shared" si="112"/>
      </c>
      <c r="BU484" s="85">
        <f t="shared" si="113"/>
      </c>
      <c r="BV484" s="85">
        <f t="shared" si="114"/>
      </c>
      <c r="BW484" s="87">
        <f t="shared" si="115"/>
      </c>
      <c r="BX484" s="104"/>
      <c r="BY484" s="106"/>
      <c r="BZ484" s="104"/>
      <c r="CA484" s="105"/>
      <c r="CB484" s="77">
        <f>IF($A484="",0,IF($B484='FICHA CLIENTE'!$C$4,1,0))</f>
      </c>
      <c r="CC484" s="77">
        <f t="shared" si="116"/>
      </c>
      <c r="CD484" s="77">
        <f>IF($A484="",0,IF($D484='FICHA VEHICULO'!$C$4,1,0))</f>
      </c>
      <c r="CE484" s="77">
        <f t="shared" si="117"/>
      </c>
      <c r="CF484" s="77">
        <f t="shared" si="118"/>
      </c>
      <c r="CG484" s="77">
        <f t="shared" si="119"/>
      </c>
    </row>
    <row r="485" spans="1:85" ht="19.5" customHeight="1" x14ac:dyDescent="0.2">
      <c r="A485" s="104"/>
      <c r="B485" s="104"/>
      <c r="C485" s="105"/>
      <c r="D485" s="104"/>
      <c r="E485" s="105"/>
      <c r="F485" s="106"/>
      <c r="G485" s="104"/>
      <c r="H485" s="106"/>
      <c r="I485" s="107"/>
      <c r="J485" s="108"/>
      <c r="K485" s="108"/>
      <c r="L485" s="108"/>
      <c r="M485" s="105"/>
      <c r="N485" s="105"/>
      <c r="O485" s="105"/>
      <c r="P485" s="108"/>
      <c r="Q485" s="105"/>
      <c r="R485" s="105"/>
      <c r="S485" s="105"/>
      <c r="T485" s="105"/>
      <c r="U485" s="108"/>
      <c r="V485" s="105"/>
      <c r="W485" s="105"/>
      <c r="X485" s="105"/>
      <c r="Y485" s="105"/>
      <c r="Z485" s="105"/>
      <c r="AA485" s="108"/>
      <c r="AB485" s="108"/>
      <c r="AC485" s="105"/>
      <c r="AD485" s="279"/>
      <c r="AE485" s="105"/>
      <c r="AF485" s="279"/>
      <c r="AG485" s="105"/>
      <c r="AH485" s="108"/>
      <c r="AI485" s="108"/>
      <c r="AJ485" s="108"/>
      <c r="AK485" s="108"/>
      <c r="AL485" s="105"/>
      <c r="AM485" s="108"/>
      <c r="AN485" s="105"/>
      <c r="AO485" s="108"/>
      <c r="AP485" s="108"/>
      <c r="AQ485" s="105"/>
      <c r="AR485" s="108"/>
      <c r="AS485" s="108"/>
      <c r="AT485" s="105"/>
      <c r="AU485" s="105"/>
      <c r="AV485" s="105"/>
      <c r="AW485" s="105"/>
      <c r="AX485" s="105"/>
      <c r="AY485" s="105"/>
      <c r="AZ485" s="105"/>
      <c r="BA485" s="105"/>
      <c r="BB485" s="105"/>
      <c r="BC485" s="105"/>
      <c r="BD485" s="108"/>
      <c r="BE485" s="83">
        <f>IF($A485="","",IF(TRIM($D485&amp;"")="",IF(TRIM($AX485&amp;$AY485&amp;$AZ485&amp;$BA485&amp;$BB485&amp;$BC485&amp;$BD485&amp;"")="","","SUBARRENDADO"),IFERROR(IF(VLOOKUP($D485,VEHICULOS!$A$3:$H$202,7,FALSE)="","",VLOOKUP($D485,VEHICULOS!$A$3:$H$202,7,FALSE)),"")))</f>
      </c>
      <c r="BF485" s="82">
        <f>IF($A485="","",IF(TRIM($BC485&amp;"")&lt;&gt;"",$BC485,IF(TRIM($D485&amp;"")="","",IFERROR(IF(VLOOKUP($D485,VEHICULOS!$A$3:$H$202,8,FALSE)="","",VLOOKUP($D485,VEHICULOS!$A$3:$H$202,8,FALSE)),""))))</f>
      </c>
      <c r="BG485" s="106"/>
      <c r="BH485" s="107"/>
      <c r="BI485" s="86">
        <f t="shared" si="105"/>
      </c>
      <c r="BJ485" s="83">
        <f t="shared" si="106"/>
      </c>
      <c r="BK485" s="85">
        <f t="shared" si="107"/>
      </c>
      <c r="BL485" s="85">
        <f t="shared" si="108"/>
      </c>
      <c r="BM485" s="108"/>
      <c r="BN485" s="85">
        <f t="shared" si="109"/>
      </c>
      <c r="BO485" s="108"/>
      <c r="BP485" s="85">
        <f t="shared" si="110"/>
      </c>
      <c r="BQ485" s="85">
        <f t="shared" si="111"/>
      </c>
      <c r="BR485" s="108"/>
      <c r="BS485" s="104"/>
      <c r="BT485" s="87">
        <f t="shared" si="112"/>
      </c>
      <c r="BU485" s="85">
        <f t="shared" si="113"/>
      </c>
      <c r="BV485" s="85">
        <f t="shared" si="114"/>
      </c>
      <c r="BW485" s="87">
        <f t="shared" si="115"/>
      </c>
      <c r="BX485" s="104"/>
      <c r="BY485" s="106"/>
      <c r="BZ485" s="104"/>
      <c r="CA485" s="105"/>
      <c r="CB485" s="77">
        <f>IF($A485="",0,IF($B485='FICHA CLIENTE'!$C$4,1,0))</f>
      </c>
      <c r="CC485" s="77">
        <f t="shared" si="116"/>
      </c>
      <c r="CD485" s="77">
        <f>IF($A485="",0,IF($D485='FICHA VEHICULO'!$C$4,1,0))</f>
      </c>
      <c r="CE485" s="77">
        <f t="shared" si="117"/>
      </c>
      <c r="CF485" s="77">
        <f t="shared" si="118"/>
      </c>
      <c r="CG485" s="77">
        <f t="shared" si="119"/>
      </c>
    </row>
    <row r="486" spans="1:85" ht="19.5" customHeight="1" x14ac:dyDescent="0.2">
      <c r="A486" s="104"/>
      <c r="B486" s="104"/>
      <c r="C486" s="105"/>
      <c r="D486" s="104"/>
      <c r="E486" s="105"/>
      <c r="F486" s="106"/>
      <c r="G486" s="104"/>
      <c r="H486" s="106"/>
      <c r="I486" s="107"/>
      <c r="J486" s="108"/>
      <c r="K486" s="108"/>
      <c r="L486" s="108"/>
      <c r="M486" s="105"/>
      <c r="N486" s="105"/>
      <c r="O486" s="105"/>
      <c r="P486" s="108"/>
      <c r="Q486" s="105"/>
      <c r="R486" s="105"/>
      <c r="S486" s="105"/>
      <c r="T486" s="105"/>
      <c r="U486" s="108"/>
      <c r="V486" s="105"/>
      <c r="W486" s="105"/>
      <c r="X486" s="105"/>
      <c r="Y486" s="105"/>
      <c r="Z486" s="105"/>
      <c r="AA486" s="108"/>
      <c r="AB486" s="108"/>
      <c r="AC486" s="105"/>
      <c r="AD486" s="279"/>
      <c r="AE486" s="105"/>
      <c r="AF486" s="279"/>
      <c r="AG486" s="105"/>
      <c r="AH486" s="108"/>
      <c r="AI486" s="108"/>
      <c r="AJ486" s="108"/>
      <c r="AK486" s="108"/>
      <c r="AL486" s="105"/>
      <c r="AM486" s="108"/>
      <c r="AN486" s="105"/>
      <c r="AO486" s="108"/>
      <c r="AP486" s="108"/>
      <c r="AQ486" s="105"/>
      <c r="AR486" s="108"/>
      <c r="AS486" s="108"/>
      <c r="AT486" s="105"/>
      <c r="AU486" s="105"/>
      <c r="AV486" s="105"/>
      <c r="AW486" s="105"/>
      <c r="AX486" s="105"/>
      <c r="AY486" s="105"/>
      <c r="AZ486" s="105"/>
      <c r="BA486" s="105"/>
      <c r="BB486" s="105"/>
      <c r="BC486" s="105"/>
      <c r="BD486" s="108"/>
      <c r="BE486" s="83">
        <f>IF($A486="","",IF(TRIM($D486&amp;"")="",IF(TRIM($AX486&amp;$AY486&amp;$AZ486&amp;$BA486&amp;$BB486&amp;$BC486&amp;$BD486&amp;"")="","","SUBARRENDADO"),IFERROR(IF(VLOOKUP($D486,VEHICULOS!$A$3:$H$202,7,FALSE)="","",VLOOKUP($D486,VEHICULOS!$A$3:$H$202,7,FALSE)),"")))</f>
      </c>
      <c r="BF486" s="82">
        <f>IF($A486="","",IF(TRIM($BC486&amp;"")&lt;&gt;"",$BC486,IF(TRIM($D486&amp;"")="","",IFERROR(IF(VLOOKUP($D486,VEHICULOS!$A$3:$H$202,8,FALSE)="","",VLOOKUP($D486,VEHICULOS!$A$3:$H$202,8,FALSE)),""))))</f>
      </c>
      <c r="BG486" s="106"/>
      <c r="BH486" s="107"/>
      <c r="BI486" s="86">
        <f t="shared" si="105"/>
      </c>
      <c r="BJ486" s="83">
        <f t="shared" si="106"/>
      </c>
      <c r="BK486" s="85">
        <f t="shared" si="107"/>
      </c>
      <c r="BL486" s="85">
        <f t="shared" si="108"/>
      </c>
      <c r="BM486" s="108"/>
      <c r="BN486" s="85">
        <f t="shared" si="109"/>
      </c>
      <c r="BO486" s="108"/>
      <c r="BP486" s="85">
        <f t="shared" si="110"/>
      </c>
      <c r="BQ486" s="85">
        <f t="shared" si="111"/>
      </c>
      <c r="BR486" s="108"/>
      <c r="BS486" s="104"/>
      <c r="BT486" s="87">
        <f t="shared" si="112"/>
      </c>
      <c r="BU486" s="85">
        <f t="shared" si="113"/>
      </c>
      <c r="BV486" s="85">
        <f t="shared" si="114"/>
      </c>
      <c r="BW486" s="87">
        <f t="shared" si="115"/>
      </c>
      <c r="BX486" s="104"/>
      <c r="BY486" s="106"/>
      <c r="BZ486" s="104"/>
      <c r="CA486" s="105"/>
      <c r="CB486" s="77">
        <f>IF($A486="",0,IF($B486='FICHA CLIENTE'!$C$4,1,0))</f>
      </c>
      <c r="CC486" s="77">
        <f t="shared" si="116"/>
      </c>
      <c r="CD486" s="77">
        <f>IF($A486="",0,IF($D486='FICHA VEHICULO'!$C$4,1,0))</f>
      </c>
      <c r="CE486" s="77">
        <f t="shared" si="117"/>
      </c>
      <c r="CF486" s="77">
        <f t="shared" si="118"/>
      </c>
      <c r="CG486" s="77">
        <f t="shared" si="119"/>
      </c>
    </row>
    <row r="487" spans="1:85" ht="19.5" customHeight="1" x14ac:dyDescent="0.2">
      <c r="A487" s="104"/>
      <c r="B487" s="104"/>
      <c r="C487" s="105"/>
      <c r="D487" s="104"/>
      <c r="E487" s="105"/>
      <c r="F487" s="106"/>
      <c r="G487" s="104"/>
      <c r="H487" s="106"/>
      <c r="I487" s="107"/>
      <c r="J487" s="108"/>
      <c r="K487" s="108"/>
      <c r="L487" s="108"/>
      <c r="M487" s="105"/>
      <c r="N487" s="105"/>
      <c r="O487" s="105"/>
      <c r="P487" s="108"/>
      <c r="Q487" s="105"/>
      <c r="R487" s="105"/>
      <c r="S487" s="105"/>
      <c r="T487" s="105"/>
      <c r="U487" s="108"/>
      <c r="V487" s="105"/>
      <c r="W487" s="105"/>
      <c r="X487" s="105"/>
      <c r="Y487" s="105"/>
      <c r="Z487" s="105"/>
      <c r="AA487" s="108"/>
      <c r="AB487" s="108"/>
      <c r="AC487" s="105"/>
      <c r="AD487" s="279"/>
      <c r="AE487" s="105"/>
      <c r="AF487" s="279"/>
      <c r="AG487" s="105"/>
      <c r="AH487" s="108"/>
      <c r="AI487" s="108"/>
      <c r="AJ487" s="108"/>
      <c r="AK487" s="108"/>
      <c r="AL487" s="105"/>
      <c r="AM487" s="108"/>
      <c r="AN487" s="105"/>
      <c r="AO487" s="108"/>
      <c r="AP487" s="108"/>
      <c r="AQ487" s="105"/>
      <c r="AR487" s="108"/>
      <c r="AS487" s="108"/>
      <c r="AT487" s="105"/>
      <c r="AU487" s="105"/>
      <c r="AV487" s="105"/>
      <c r="AW487" s="105"/>
      <c r="AX487" s="105"/>
      <c r="AY487" s="105"/>
      <c r="AZ487" s="105"/>
      <c r="BA487" s="105"/>
      <c r="BB487" s="105"/>
      <c r="BC487" s="105"/>
      <c r="BD487" s="108"/>
      <c r="BE487" s="83">
        <f>IF($A487="","",IF(TRIM($D487&amp;"")="",IF(TRIM($AX487&amp;$AY487&amp;$AZ487&amp;$BA487&amp;$BB487&amp;$BC487&amp;$BD487&amp;"")="","","SUBARRENDADO"),IFERROR(IF(VLOOKUP($D487,VEHICULOS!$A$3:$H$202,7,FALSE)="","",VLOOKUP($D487,VEHICULOS!$A$3:$H$202,7,FALSE)),"")))</f>
      </c>
      <c r="BF487" s="82">
        <f>IF($A487="","",IF(TRIM($BC487&amp;"")&lt;&gt;"",$BC487,IF(TRIM($D487&amp;"")="","",IFERROR(IF(VLOOKUP($D487,VEHICULOS!$A$3:$H$202,8,FALSE)="","",VLOOKUP($D487,VEHICULOS!$A$3:$H$202,8,FALSE)),""))))</f>
      </c>
      <c r="BG487" s="106"/>
      <c r="BH487" s="107"/>
      <c r="BI487" s="86">
        <f t="shared" si="105"/>
      </c>
      <c r="BJ487" s="83">
        <f t="shared" si="106"/>
      </c>
      <c r="BK487" s="85">
        <f t="shared" si="107"/>
      </c>
      <c r="BL487" s="85">
        <f t="shared" si="108"/>
      </c>
      <c r="BM487" s="108"/>
      <c r="BN487" s="85">
        <f t="shared" si="109"/>
      </c>
      <c r="BO487" s="108"/>
      <c r="BP487" s="85">
        <f t="shared" si="110"/>
      </c>
      <c r="BQ487" s="85">
        <f t="shared" si="111"/>
      </c>
      <c r="BR487" s="108"/>
      <c r="BS487" s="104"/>
      <c r="BT487" s="87">
        <f t="shared" si="112"/>
      </c>
      <c r="BU487" s="85">
        <f t="shared" si="113"/>
      </c>
      <c r="BV487" s="85">
        <f t="shared" si="114"/>
      </c>
      <c r="BW487" s="87">
        <f t="shared" si="115"/>
      </c>
      <c r="BX487" s="104"/>
      <c r="BY487" s="106"/>
      <c r="BZ487" s="104"/>
      <c r="CA487" s="105"/>
      <c r="CB487" s="77">
        <f>IF($A487="",0,IF($B487='FICHA CLIENTE'!$C$4,1,0))</f>
      </c>
      <c r="CC487" s="77">
        <f t="shared" si="116"/>
      </c>
      <c r="CD487" s="77">
        <f>IF($A487="",0,IF($D487='FICHA VEHICULO'!$C$4,1,0))</f>
      </c>
      <c r="CE487" s="77">
        <f t="shared" si="117"/>
      </c>
      <c r="CF487" s="77">
        <f t="shared" si="118"/>
      </c>
      <c r="CG487" s="77">
        <f t="shared" si="119"/>
      </c>
    </row>
    <row r="488" spans="1:85" ht="19.5" customHeight="1" x14ac:dyDescent="0.2">
      <c r="A488" s="104"/>
      <c r="B488" s="104"/>
      <c r="C488" s="105"/>
      <c r="D488" s="104"/>
      <c r="E488" s="105"/>
      <c r="F488" s="106"/>
      <c r="G488" s="104"/>
      <c r="H488" s="106"/>
      <c r="I488" s="107"/>
      <c r="J488" s="108"/>
      <c r="K488" s="108"/>
      <c r="L488" s="108"/>
      <c r="M488" s="105"/>
      <c r="N488" s="105"/>
      <c r="O488" s="105"/>
      <c r="P488" s="108"/>
      <c r="Q488" s="105"/>
      <c r="R488" s="105"/>
      <c r="S488" s="105"/>
      <c r="T488" s="105"/>
      <c r="U488" s="108"/>
      <c r="V488" s="105"/>
      <c r="W488" s="105"/>
      <c r="X488" s="105"/>
      <c r="Y488" s="105"/>
      <c r="Z488" s="105"/>
      <c r="AA488" s="108"/>
      <c r="AB488" s="108"/>
      <c r="AC488" s="105"/>
      <c r="AD488" s="279"/>
      <c r="AE488" s="105"/>
      <c r="AF488" s="279"/>
      <c r="AG488" s="105"/>
      <c r="AH488" s="108"/>
      <c r="AI488" s="108"/>
      <c r="AJ488" s="108"/>
      <c r="AK488" s="108"/>
      <c r="AL488" s="105"/>
      <c r="AM488" s="108"/>
      <c r="AN488" s="105"/>
      <c r="AO488" s="108"/>
      <c r="AP488" s="108"/>
      <c r="AQ488" s="105"/>
      <c r="AR488" s="108"/>
      <c r="AS488" s="108"/>
      <c r="AT488" s="105"/>
      <c r="AU488" s="105"/>
      <c r="AV488" s="105"/>
      <c r="AW488" s="105"/>
      <c r="AX488" s="105"/>
      <c r="AY488" s="105"/>
      <c r="AZ488" s="105"/>
      <c r="BA488" s="105"/>
      <c r="BB488" s="105"/>
      <c r="BC488" s="105"/>
      <c r="BD488" s="108"/>
      <c r="BE488" s="83">
        <f>IF($A488="","",IF(TRIM($D488&amp;"")="",IF(TRIM($AX488&amp;$AY488&amp;$AZ488&amp;$BA488&amp;$BB488&amp;$BC488&amp;$BD488&amp;"")="","","SUBARRENDADO"),IFERROR(IF(VLOOKUP($D488,VEHICULOS!$A$3:$H$202,7,FALSE)="","",VLOOKUP($D488,VEHICULOS!$A$3:$H$202,7,FALSE)),"")))</f>
      </c>
      <c r="BF488" s="82">
        <f>IF($A488="","",IF(TRIM($BC488&amp;"")&lt;&gt;"",$BC488,IF(TRIM($D488&amp;"")="","",IFERROR(IF(VLOOKUP($D488,VEHICULOS!$A$3:$H$202,8,FALSE)="","",VLOOKUP($D488,VEHICULOS!$A$3:$H$202,8,FALSE)),""))))</f>
      </c>
      <c r="BG488" s="106"/>
      <c r="BH488" s="107"/>
      <c r="BI488" s="86">
        <f t="shared" si="105"/>
      </c>
      <c r="BJ488" s="83">
        <f t="shared" si="106"/>
      </c>
      <c r="BK488" s="85">
        <f t="shared" si="107"/>
      </c>
      <c r="BL488" s="85">
        <f t="shared" si="108"/>
      </c>
      <c r="BM488" s="108"/>
      <c r="BN488" s="85">
        <f t="shared" si="109"/>
      </c>
      <c r="BO488" s="108"/>
      <c r="BP488" s="85">
        <f t="shared" si="110"/>
      </c>
      <c r="BQ488" s="85">
        <f t="shared" si="111"/>
      </c>
      <c r="BR488" s="108"/>
      <c r="BS488" s="104"/>
      <c r="BT488" s="87">
        <f t="shared" si="112"/>
      </c>
      <c r="BU488" s="85">
        <f t="shared" si="113"/>
      </c>
      <c r="BV488" s="85">
        <f t="shared" si="114"/>
      </c>
      <c r="BW488" s="87">
        <f t="shared" si="115"/>
      </c>
      <c r="BX488" s="104"/>
      <c r="BY488" s="106"/>
      <c r="BZ488" s="104"/>
      <c r="CA488" s="105"/>
      <c r="CB488" s="77">
        <f>IF($A488="",0,IF($B488='FICHA CLIENTE'!$C$4,1,0))</f>
      </c>
      <c r="CC488" s="77">
        <f t="shared" si="116"/>
      </c>
      <c r="CD488" s="77">
        <f>IF($A488="",0,IF($D488='FICHA VEHICULO'!$C$4,1,0))</f>
      </c>
      <c r="CE488" s="77">
        <f t="shared" si="117"/>
      </c>
      <c r="CF488" s="77">
        <f t="shared" si="118"/>
      </c>
      <c r="CG488" s="77">
        <f t="shared" si="119"/>
      </c>
    </row>
    <row r="489" spans="1:85" ht="19.5" customHeight="1" x14ac:dyDescent="0.2">
      <c r="A489" s="104"/>
      <c r="B489" s="104"/>
      <c r="C489" s="105"/>
      <c r="D489" s="104"/>
      <c r="E489" s="105"/>
      <c r="F489" s="106"/>
      <c r="G489" s="104"/>
      <c r="H489" s="106"/>
      <c r="I489" s="107"/>
      <c r="J489" s="108"/>
      <c r="K489" s="108"/>
      <c r="L489" s="108"/>
      <c r="M489" s="105"/>
      <c r="N489" s="105"/>
      <c r="O489" s="105"/>
      <c r="P489" s="108"/>
      <c r="Q489" s="105"/>
      <c r="R489" s="105"/>
      <c r="S489" s="105"/>
      <c r="T489" s="105"/>
      <c r="U489" s="108"/>
      <c r="V489" s="105"/>
      <c r="W489" s="105"/>
      <c r="X489" s="105"/>
      <c r="Y489" s="105"/>
      <c r="Z489" s="105"/>
      <c r="AA489" s="108"/>
      <c r="AB489" s="108"/>
      <c r="AC489" s="105"/>
      <c r="AD489" s="279"/>
      <c r="AE489" s="105"/>
      <c r="AF489" s="279"/>
      <c r="AG489" s="105"/>
      <c r="AH489" s="108"/>
      <c r="AI489" s="108"/>
      <c r="AJ489" s="108"/>
      <c r="AK489" s="108"/>
      <c r="AL489" s="105"/>
      <c r="AM489" s="108"/>
      <c r="AN489" s="105"/>
      <c r="AO489" s="108"/>
      <c r="AP489" s="108"/>
      <c r="AQ489" s="105"/>
      <c r="AR489" s="108"/>
      <c r="AS489" s="108"/>
      <c r="AT489" s="105"/>
      <c r="AU489" s="105"/>
      <c r="AV489" s="105"/>
      <c r="AW489" s="105"/>
      <c r="AX489" s="105"/>
      <c r="AY489" s="105"/>
      <c r="AZ489" s="105"/>
      <c r="BA489" s="105"/>
      <c r="BB489" s="105"/>
      <c r="BC489" s="105"/>
      <c r="BD489" s="108"/>
      <c r="BE489" s="83">
        <f>IF($A489="","",IF(TRIM($D489&amp;"")="",IF(TRIM($AX489&amp;$AY489&amp;$AZ489&amp;$BA489&amp;$BB489&amp;$BC489&amp;$BD489&amp;"")="","","SUBARRENDADO"),IFERROR(IF(VLOOKUP($D489,VEHICULOS!$A$3:$H$202,7,FALSE)="","",VLOOKUP($D489,VEHICULOS!$A$3:$H$202,7,FALSE)),"")))</f>
      </c>
      <c r="BF489" s="82">
        <f>IF($A489="","",IF(TRIM($BC489&amp;"")&lt;&gt;"",$BC489,IF(TRIM($D489&amp;"")="","",IFERROR(IF(VLOOKUP($D489,VEHICULOS!$A$3:$H$202,8,FALSE)="","",VLOOKUP($D489,VEHICULOS!$A$3:$H$202,8,FALSE)),""))))</f>
      </c>
      <c r="BG489" s="106"/>
      <c r="BH489" s="107"/>
      <c r="BI489" s="86">
        <f t="shared" si="105"/>
      </c>
      <c r="BJ489" s="83">
        <f t="shared" si="106"/>
      </c>
      <c r="BK489" s="85">
        <f t="shared" si="107"/>
      </c>
      <c r="BL489" s="85">
        <f t="shared" si="108"/>
      </c>
      <c r="BM489" s="108"/>
      <c r="BN489" s="85">
        <f t="shared" si="109"/>
      </c>
      <c r="BO489" s="108"/>
      <c r="BP489" s="85">
        <f t="shared" si="110"/>
      </c>
      <c r="BQ489" s="85">
        <f t="shared" si="111"/>
      </c>
      <c r="BR489" s="108"/>
      <c r="BS489" s="104"/>
      <c r="BT489" s="87">
        <f t="shared" si="112"/>
      </c>
      <c r="BU489" s="85">
        <f t="shared" si="113"/>
      </c>
      <c r="BV489" s="85">
        <f t="shared" si="114"/>
      </c>
      <c r="BW489" s="87">
        <f t="shared" si="115"/>
      </c>
      <c r="BX489" s="104"/>
      <c r="BY489" s="106"/>
      <c r="BZ489" s="104"/>
      <c r="CA489" s="105"/>
      <c r="CB489" s="77">
        <f>IF($A489="",0,IF($B489='FICHA CLIENTE'!$C$4,1,0))</f>
      </c>
      <c r="CC489" s="77">
        <f t="shared" si="116"/>
      </c>
      <c r="CD489" s="77">
        <f>IF($A489="",0,IF($D489='FICHA VEHICULO'!$C$4,1,0))</f>
      </c>
      <c r="CE489" s="77">
        <f t="shared" si="117"/>
      </c>
      <c r="CF489" s="77">
        <f t="shared" si="118"/>
      </c>
      <c r="CG489" s="77">
        <f t="shared" si="119"/>
      </c>
    </row>
    <row r="490" spans="1:85" ht="19.5" customHeight="1" x14ac:dyDescent="0.2">
      <c r="A490" s="104"/>
      <c r="B490" s="104"/>
      <c r="C490" s="105"/>
      <c r="D490" s="104"/>
      <c r="E490" s="105"/>
      <c r="F490" s="106"/>
      <c r="G490" s="104"/>
      <c r="H490" s="106"/>
      <c r="I490" s="107"/>
      <c r="J490" s="108"/>
      <c r="K490" s="108"/>
      <c r="L490" s="108"/>
      <c r="M490" s="105"/>
      <c r="N490" s="105"/>
      <c r="O490" s="105"/>
      <c r="P490" s="108"/>
      <c r="Q490" s="105"/>
      <c r="R490" s="105"/>
      <c r="S490" s="105"/>
      <c r="T490" s="105"/>
      <c r="U490" s="108"/>
      <c r="V490" s="105"/>
      <c r="W490" s="105"/>
      <c r="X490" s="105"/>
      <c r="Y490" s="105"/>
      <c r="Z490" s="105"/>
      <c r="AA490" s="108"/>
      <c r="AB490" s="108"/>
      <c r="AC490" s="105"/>
      <c r="AD490" s="279"/>
      <c r="AE490" s="105"/>
      <c r="AF490" s="279"/>
      <c r="AG490" s="105"/>
      <c r="AH490" s="108"/>
      <c r="AI490" s="108"/>
      <c r="AJ490" s="108"/>
      <c r="AK490" s="108"/>
      <c r="AL490" s="105"/>
      <c r="AM490" s="108"/>
      <c r="AN490" s="105"/>
      <c r="AO490" s="108"/>
      <c r="AP490" s="108"/>
      <c r="AQ490" s="105"/>
      <c r="AR490" s="108"/>
      <c r="AS490" s="108"/>
      <c r="AT490" s="105"/>
      <c r="AU490" s="105"/>
      <c r="AV490" s="105"/>
      <c r="AW490" s="105"/>
      <c r="AX490" s="105"/>
      <c r="AY490" s="105"/>
      <c r="AZ490" s="105"/>
      <c r="BA490" s="105"/>
      <c r="BB490" s="105"/>
      <c r="BC490" s="105"/>
      <c r="BD490" s="108"/>
      <c r="BE490" s="83">
        <f>IF($A490="","",IF(TRIM($D490&amp;"")="",IF(TRIM($AX490&amp;$AY490&amp;$AZ490&amp;$BA490&amp;$BB490&amp;$BC490&amp;$BD490&amp;"")="","","SUBARRENDADO"),IFERROR(IF(VLOOKUP($D490,VEHICULOS!$A$3:$H$202,7,FALSE)="","",VLOOKUP($D490,VEHICULOS!$A$3:$H$202,7,FALSE)),"")))</f>
      </c>
      <c r="BF490" s="82">
        <f>IF($A490="","",IF(TRIM($BC490&amp;"")&lt;&gt;"",$BC490,IF(TRIM($D490&amp;"")="","",IFERROR(IF(VLOOKUP($D490,VEHICULOS!$A$3:$H$202,8,FALSE)="","",VLOOKUP($D490,VEHICULOS!$A$3:$H$202,8,FALSE)),""))))</f>
      </c>
      <c r="BG490" s="106"/>
      <c r="BH490" s="107"/>
      <c r="BI490" s="86">
        <f t="shared" si="105"/>
      </c>
      <c r="BJ490" s="83">
        <f t="shared" si="106"/>
      </c>
      <c r="BK490" s="85">
        <f t="shared" si="107"/>
      </c>
      <c r="BL490" s="85">
        <f t="shared" si="108"/>
      </c>
      <c r="BM490" s="108"/>
      <c r="BN490" s="85">
        <f t="shared" si="109"/>
      </c>
      <c r="BO490" s="108"/>
      <c r="BP490" s="85">
        <f t="shared" si="110"/>
      </c>
      <c r="BQ490" s="85">
        <f t="shared" si="111"/>
      </c>
      <c r="BR490" s="108"/>
      <c r="BS490" s="104"/>
      <c r="BT490" s="87">
        <f t="shared" si="112"/>
      </c>
      <c r="BU490" s="85">
        <f t="shared" si="113"/>
      </c>
      <c r="BV490" s="85">
        <f t="shared" si="114"/>
      </c>
      <c r="BW490" s="87">
        <f t="shared" si="115"/>
      </c>
      <c r="BX490" s="104"/>
      <c r="BY490" s="106"/>
      <c r="BZ490" s="104"/>
      <c r="CA490" s="105"/>
      <c r="CB490" s="77">
        <f>IF($A490="",0,IF($B490='FICHA CLIENTE'!$C$4,1,0))</f>
      </c>
      <c r="CC490" s="77">
        <f t="shared" si="116"/>
      </c>
      <c r="CD490" s="77">
        <f>IF($A490="",0,IF($D490='FICHA VEHICULO'!$C$4,1,0))</f>
      </c>
      <c r="CE490" s="77">
        <f t="shared" si="117"/>
      </c>
      <c r="CF490" s="77">
        <f t="shared" si="118"/>
      </c>
      <c r="CG490" s="77">
        <f t="shared" si="119"/>
      </c>
    </row>
    <row r="491" spans="1:85" ht="19.5" customHeight="1" x14ac:dyDescent="0.2">
      <c r="A491" s="104"/>
      <c r="B491" s="104"/>
      <c r="C491" s="105"/>
      <c r="D491" s="104"/>
      <c r="E491" s="105"/>
      <c r="F491" s="106"/>
      <c r="G491" s="104"/>
      <c r="H491" s="106"/>
      <c r="I491" s="107"/>
      <c r="J491" s="108"/>
      <c r="K491" s="108"/>
      <c r="L491" s="108"/>
      <c r="M491" s="105"/>
      <c r="N491" s="105"/>
      <c r="O491" s="105"/>
      <c r="P491" s="108"/>
      <c r="Q491" s="105"/>
      <c r="R491" s="105"/>
      <c r="S491" s="105"/>
      <c r="T491" s="105"/>
      <c r="U491" s="108"/>
      <c r="V491" s="105"/>
      <c r="W491" s="105"/>
      <c r="X491" s="105"/>
      <c r="Y491" s="105"/>
      <c r="Z491" s="105"/>
      <c r="AA491" s="108"/>
      <c r="AB491" s="108"/>
      <c r="AC491" s="105"/>
      <c r="AD491" s="279"/>
      <c r="AE491" s="105"/>
      <c r="AF491" s="279"/>
      <c r="AG491" s="105"/>
      <c r="AH491" s="108"/>
      <c r="AI491" s="108"/>
      <c r="AJ491" s="108"/>
      <c r="AK491" s="108"/>
      <c r="AL491" s="105"/>
      <c r="AM491" s="108"/>
      <c r="AN491" s="105"/>
      <c r="AO491" s="108"/>
      <c r="AP491" s="108"/>
      <c r="AQ491" s="105"/>
      <c r="AR491" s="108"/>
      <c r="AS491" s="108"/>
      <c r="AT491" s="105"/>
      <c r="AU491" s="105"/>
      <c r="AV491" s="105"/>
      <c r="AW491" s="105"/>
      <c r="AX491" s="105"/>
      <c r="AY491" s="105"/>
      <c r="AZ491" s="105"/>
      <c r="BA491" s="105"/>
      <c r="BB491" s="105"/>
      <c r="BC491" s="105"/>
      <c r="BD491" s="108"/>
      <c r="BE491" s="83">
        <f>IF($A491="","",IF(TRIM($D491&amp;"")="",IF(TRIM($AX491&amp;$AY491&amp;$AZ491&amp;$BA491&amp;$BB491&amp;$BC491&amp;$BD491&amp;"")="","","SUBARRENDADO"),IFERROR(IF(VLOOKUP($D491,VEHICULOS!$A$3:$H$202,7,FALSE)="","",VLOOKUP($D491,VEHICULOS!$A$3:$H$202,7,FALSE)),"")))</f>
      </c>
      <c r="BF491" s="82">
        <f>IF($A491="","",IF(TRIM($BC491&amp;"")&lt;&gt;"",$BC491,IF(TRIM($D491&amp;"")="","",IFERROR(IF(VLOOKUP($D491,VEHICULOS!$A$3:$H$202,8,FALSE)="","",VLOOKUP($D491,VEHICULOS!$A$3:$H$202,8,FALSE)),""))))</f>
      </c>
      <c r="BG491" s="106"/>
      <c r="BH491" s="107"/>
      <c r="BI491" s="86">
        <f t="shared" si="105"/>
      </c>
      <c r="BJ491" s="83">
        <f t="shared" si="106"/>
      </c>
      <c r="BK491" s="85">
        <f t="shared" si="107"/>
      </c>
      <c r="BL491" s="85">
        <f t="shared" si="108"/>
      </c>
      <c r="BM491" s="108"/>
      <c r="BN491" s="85">
        <f t="shared" si="109"/>
      </c>
      <c r="BO491" s="108"/>
      <c r="BP491" s="85">
        <f t="shared" si="110"/>
      </c>
      <c r="BQ491" s="85">
        <f t="shared" si="111"/>
      </c>
      <c r="BR491" s="108"/>
      <c r="BS491" s="104"/>
      <c r="BT491" s="87">
        <f t="shared" si="112"/>
      </c>
      <c r="BU491" s="85">
        <f t="shared" si="113"/>
      </c>
      <c r="BV491" s="85">
        <f t="shared" si="114"/>
      </c>
      <c r="BW491" s="87">
        <f t="shared" si="115"/>
      </c>
      <c r="BX491" s="104"/>
      <c r="BY491" s="106"/>
      <c r="BZ491" s="104"/>
      <c r="CA491" s="105"/>
      <c r="CB491" s="77">
        <f>IF($A491="",0,IF($B491='FICHA CLIENTE'!$C$4,1,0))</f>
      </c>
      <c r="CC491" s="77">
        <f t="shared" si="116"/>
      </c>
      <c r="CD491" s="77">
        <f>IF($A491="",0,IF($D491='FICHA VEHICULO'!$C$4,1,0))</f>
      </c>
      <c r="CE491" s="77">
        <f t="shared" si="117"/>
      </c>
      <c r="CF491" s="77">
        <f t="shared" si="118"/>
      </c>
      <c r="CG491" s="77">
        <f t="shared" si="119"/>
      </c>
    </row>
    <row r="492" spans="1:85" ht="19.5" customHeight="1" x14ac:dyDescent="0.2">
      <c r="A492" s="104"/>
      <c r="B492" s="104"/>
      <c r="C492" s="105"/>
      <c r="D492" s="104"/>
      <c r="E492" s="105"/>
      <c r="F492" s="106"/>
      <c r="G492" s="104"/>
      <c r="H492" s="106"/>
      <c r="I492" s="107"/>
      <c r="J492" s="108"/>
      <c r="K492" s="108"/>
      <c r="L492" s="108"/>
      <c r="M492" s="105"/>
      <c r="N492" s="105"/>
      <c r="O492" s="105"/>
      <c r="P492" s="108"/>
      <c r="Q492" s="105"/>
      <c r="R492" s="105"/>
      <c r="S492" s="105"/>
      <c r="T492" s="105"/>
      <c r="U492" s="108"/>
      <c r="V492" s="105"/>
      <c r="W492" s="105"/>
      <c r="X492" s="105"/>
      <c r="Y492" s="105"/>
      <c r="Z492" s="105"/>
      <c r="AA492" s="108"/>
      <c r="AB492" s="108"/>
      <c r="AC492" s="105"/>
      <c r="AD492" s="279"/>
      <c r="AE492" s="105"/>
      <c r="AF492" s="279"/>
      <c r="AG492" s="105"/>
      <c r="AH492" s="108"/>
      <c r="AI492" s="108"/>
      <c r="AJ492" s="108"/>
      <c r="AK492" s="108"/>
      <c r="AL492" s="105"/>
      <c r="AM492" s="108"/>
      <c r="AN492" s="105"/>
      <c r="AO492" s="108"/>
      <c r="AP492" s="108"/>
      <c r="AQ492" s="105"/>
      <c r="AR492" s="108"/>
      <c r="AS492" s="108"/>
      <c r="AT492" s="105"/>
      <c r="AU492" s="105"/>
      <c r="AV492" s="105"/>
      <c r="AW492" s="105"/>
      <c r="AX492" s="105"/>
      <c r="AY492" s="105"/>
      <c r="AZ492" s="105"/>
      <c r="BA492" s="105"/>
      <c r="BB492" s="105"/>
      <c r="BC492" s="105"/>
      <c r="BD492" s="108"/>
      <c r="BE492" s="83">
        <f>IF($A492="","",IF(TRIM($D492&amp;"")="",IF(TRIM($AX492&amp;$AY492&amp;$AZ492&amp;$BA492&amp;$BB492&amp;$BC492&amp;$BD492&amp;"")="","","SUBARRENDADO"),IFERROR(IF(VLOOKUP($D492,VEHICULOS!$A$3:$H$202,7,FALSE)="","",VLOOKUP($D492,VEHICULOS!$A$3:$H$202,7,FALSE)),"")))</f>
      </c>
      <c r="BF492" s="82">
        <f>IF($A492="","",IF(TRIM($BC492&amp;"")&lt;&gt;"",$BC492,IF(TRIM($D492&amp;"")="","",IFERROR(IF(VLOOKUP($D492,VEHICULOS!$A$3:$H$202,8,FALSE)="","",VLOOKUP($D492,VEHICULOS!$A$3:$H$202,8,FALSE)),""))))</f>
      </c>
      <c r="BG492" s="106"/>
      <c r="BH492" s="107"/>
      <c r="BI492" s="86">
        <f t="shared" si="105"/>
      </c>
      <c r="BJ492" s="83">
        <f t="shared" si="106"/>
      </c>
      <c r="BK492" s="85">
        <f t="shared" si="107"/>
      </c>
      <c r="BL492" s="85">
        <f t="shared" si="108"/>
      </c>
      <c r="BM492" s="108"/>
      <c r="BN492" s="85">
        <f t="shared" si="109"/>
      </c>
      <c r="BO492" s="108"/>
      <c r="BP492" s="85">
        <f t="shared" si="110"/>
      </c>
      <c r="BQ492" s="85">
        <f t="shared" si="111"/>
      </c>
      <c r="BR492" s="108"/>
      <c r="BS492" s="104"/>
      <c r="BT492" s="87">
        <f t="shared" si="112"/>
      </c>
      <c r="BU492" s="85">
        <f t="shared" si="113"/>
      </c>
      <c r="BV492" s="85">
        <f t="shared" si="114"/>
      </c>
      <c r="BW492" s="87">
        <f t="shared" si="115"/>
      </c>
      <c r="BX492" s="104"/>
      <c r="BY492" s="106"/>
      <c r="BZ492" s="104"/>
      <c r="CA492" s="105"/>
      <c r="CB492" s="77">
        <f>IF($A492="",0,IF($B492='FICHA CLIENTE'!$C$4,1,0))</f>
      </c>
      <c r="CC492" s="77">
        <f t="shared" si="116"/>
      </c>
      <c r="CD492" s="77">
        <f>IF($A492="",0,IF($D492='FICHA VEHICULO'!$C$4,1,0))</f>
      </c>
      <c r="CE492" s="77">
        <f t="shared" si="117"/>
      </c>
      <c r="CF492" s="77">
        <f t="shared" si="118"/>
      </c>
      <c r="CG492" s="77">
        <f t="shared" si="119"/>
      </c>
    </row>
    <row r="493" spans="1:85" ht="19.5" customHeight="1" x14ac:dyDescent="0.2">
      <c r="A493" s="104"/>
      <c r="B493" s="104"/>
      <c r="C493" s="105"/>
      <c r="D493" s="104"/>
      <c r="E493" s="105"/>
      <c r="F493" s="106"/>
      <c r="G493" s="104"/>
      <c r="H493" s="106"/>
      <c r="I493" s="107"/>
      <c r="J493" s="108"/>
      <c r="K493" s="108"/>
      <c r="L493" s="108"/>
      <c r="M493" s="105"/>
      <c r="N493" s="105"/>
      <c r="O493" s="105"/>
      <c r="P493" s="108"/>
      <c r="Q493" s="105"/>
      <c r="R493" s="105"/>
      <c r="S493" s="105"/>
      <c r="T493" s="105"/>
      <c r="U493" s="108"/>
      <c r="V493" s="105"/>
      <c r="W493" s="105"/>
      <c r="X493" s="105"/>
      <c r="Y493" s="105"/>
      <c r="Z493" s="105"/>
      <c r="AA493" s="108"/>
      <c r="AB493" s="108"/>
      <c r="AC493" s="105"/>
      <c r="AD493" s="279"/>
      <c r="AE493" s="105"/>
      <c r="AF493" s="279"/>
      <c r="AG493" s="105"/>
      <c r="AH493" s="108"/>
      <c r="AI493" s="108"/>
      <c r="AJ493" s="108"/>
      <c r="AK493" s="108"/>
      <c r="AL493" s="105"/>
      <c r="AM493" s="108"/>
      <c r="AN493" s="105"/>
      <c r="AO493" s="108"/>
      <c r="AP493" s="108"/>
      <c r="AQ493" s="105"/>
      <c r="AR493" s="108"/>
      <c r="AS493" s="108"/>
      <c r="AT493" s="105"/>
      <c r="AU493" s="105"/>
      <c r="AV493" s="105"/>
      <c r="AW493" s="105"/>
      <c r="AX493" s="105"/>
      <c r="AY493" s="105"/>
      <c r="AZ493" s="105"/>
      <c r="BA493" s="105"/>
      <c r="BB493" s="105"/>
      <c r="BC493" s="105"/>
      <c r="BD493" s="108"/>
      <c r="BE493" s="83">
        <f>IF($A493="","",IF(TRIM($D493&amp;"")="",IF(TRIM($AX493&amp;$AY493&amp;$AZ493&amp;$BA493&amp;$BB493&amp;$BC493&amp;$BD493&amp;"")="","","SUBARRENDADO"),IFERROR(IF(VLOOKUP($D493,VEHICULOS!$A$3:$H$202,7,FALSE)="","",VLOOKUP($D493,VEHICULOS!$A$3:$H$202,7,FALSE)),"")))</f>
      </c>
      <c r="BF493" s="82">
        <f>IF($A493="","",IF(TRIM($BC493&amp;"")&lt;&gt;"",$BC493,IF(TRIM($D493&amp;"")="","",IFERROR(IF(VLOOKUP($D493,VEHICULOS!$A$3:$H$202,8,FALSE)="","",VLOOKUP($D493,VEHICULOS!$A$3:$H$202,8,FALSE)),""))))</f>
      </c>
      <c r="BG493" s="106"/>
      <c r="BH493" s="107"/>
      <c r="BI493" s="86">
        <f t="shared" si="105"/>
      </c>
      <c r="BJ493" s="83">
        <f t="shared" si="106"/>
      </c>
      <c r="BK493" s="85">
        <f t="shared" si="107"/>
      </c>
      <c r="BL493" s="85">
        <f t="shared" si="108"/>
      </c>
      <c r="BM493" s="108"/>
      <c r="BN493" s="85">
        <f t="shared" si="109"/>
      </c>
      <c r="BO493" s="108"/>
      <c r="BP493" s="85">
        <f t="shared" si="110"/>
      </c>
      <c r="BQ493" s="85">
        <f t="shared" si="111"/>
      </c>
      <c r="BR493" s="108"/>
      <c r="BS493" s="104"/>
      <c r="BT493" s="87">
        <f t="shared" si="112"/>
      </c>
      <c r="BU493" s="85">
        <f t="shared" si="113"/>
      </c>
      <c r="BV493" s="85">
        <f t="shared" si="114"/>
      </c>
      <c r="BW493" s="87">
        <f t="shared" si="115"/>
      </c>
      <c r="BX493" s="104"/>
      <c r="BY493" s="106"/>
      <c r="BZ493" s="104"/>
      <c r="CA493" s="105"/>
      <c r="CB493" s="77">
        <f>IF($A493="",0,IF($B493='FICHA CLIENTE'!$C$4,1,0))</f>
      </c>
      <c r="CC493" s="77">
        <f t="shared" si="116"/>
      </c>
      <c r="CD493" s="77">
        <f>IF($A493="",0,IF($D493='FICHA VEHICULO'!$C$4,1,0))</f>
      </c>
      <c r="CE493" s="77">
        <f t="shared" si="117"/>
      </c>
      <c r="CF493" s="77">
        <f t="shared" si="118"/>
      </c>
      <c r="CG493" s="77">
        <f t="shared" si="119"/>
      </c>
    </row>
    <row r="494" spans="1:85" ht="19.5" customHeight="1" x14ac:dyDescent="0.2">
      <c r="A494" s="104"/>
      <c r="B494" s="104"/>
      <c r="C494" s="105"/>
      <c r="D494" s="104"/>
      <c r="E494" s="105"/>
      <c r="F494" s="106"/>
      <c r="G494" s="104"/>
      <c r="H494" s="106"/>
      <c r="I494" s="107"/>
      <c r="J494" s="108"/>
      <c r="K494" s="108"/>
      <c r="L494" s="108"/>
      <c r="M494" s="105"/>
      <c r="N494" s="105"/>
      <c r="O494" s="105"/>
      <c r="P494" s="108"/>
      <c r="Q494" s="105"/>
      <c r="R494" s="105"/>
      <c r="S494" s="105"/>
      <c r="T494" s="105"/>
      <c r="U494" s="108"/>
      <c r="V494" s="105"/>
      <c r="W494" s="105"/>
      <c r="X494" s="105"/>
      <c r="Y494" s="105"/>
      <c r="Z494" s="105"/>
      <c r="AA494" s="108"/>
      <c r="AB494" s="108"/>
      <c r="AC494" s="105"/>
      <c r="AD494" s="279"/>
      <c r="AE494" s="105"/>
      <c r="AF494" s="279"/>
      <c r="AG494" s="105"/>
      <c r="AH494" s="108"/>
      <c r="AI494" s="108"/>
      <c r="AJ494" s="108"/>
      <c r="AK494" s="108"/>
      <c r="AL494" s="105"/>
      <c r="AM494" s="108"/>
      <c r="AN494" s="105"/>
      <c r="AO494" s="108"/>
      <c r="AP494" s="108"/>
      <c r="AQ494" s="105"/>
      <c r="AR494" s="108"/>
      <c r="AS494" s="108"/>
      <c r="AT494" s="105"/>
      <c r="AU494" s="105"/>
      <c r="AV494" s="105"/>
      <c r="AW494" s="105"/>
      <c r="AX494" s="105"/>
      <c r="AY494" s="105"/>
      <c r="AZ494" s="105"/>
      <c r="BA494" s="105"/>
      <c r="BB494" s="105"/>
      <c r="BC494" s="105"/>
      <c r="BD494" s="108"/>
      <c r="BE494" s="83">
        <f>IF($A494="","",IF(TRIM($D494&amp;"")="",IF(TRIM($AX494&amp;$AY494&amp;$AZ494&amp;$BA494&amp;$BB494&amp;$BC494&amp;$BD494&amp;"")="","","SUBARRENDADO"),IFERROR(IF(VLOOKUP($D494,VEHICULOS!$A$3:$H$202,7,FALSE)="","",VLOOKUP($D494,VEHICULOS!$A$3:$H$202,7,FALSE)),"")))</f>
      </c>
      <c r="BF494" s="82">
        <f>IF($A494="","",IF(TRIM($BC494&amp;"")&lt;&gt;"",$BC494,IF(TRIM($D494&amp;"")="","",IFERROR(IF(VLOOKUP($D494,VEHICULOS!$A$3:$H$202,8,FALSE)="","",VLOOKUP($D494,VEHICULOS!$A$3:$H$202,8,FALSE)),""))))</f>
      </c>
      <c r="BG494" s="106"/>
      <c r="BH494" s="107"/>
      <c r="BI494" s="86">
        <f t="shared" si="105"/>
      </c>
      <c r="BJ494" s="83">
        <f t="shared" si="106"/>
      </c>
      <c r="BK494" s="85">
        <f t="shared" si="107"/>
      </c>
      <c r="BL494" s="85">
        <f t="shared" si="108"/>
      </c>
      <c r="BM494" s="108"/>
      <c r="BN494" s="85">
        <f t="shared" si="109"/>
      </c>
      <c r="BO494" s="108"/>
      <c r="BP494" s="85">
        <f t="shared" si="110"/>
      </c>
      <c r="BQ494" s="85">
        <f t="shared" si="111"/>
      </c>
      <c r="BR494" s="108"/>
      <c r="BS494" s="104"/>
      <c r="BT494" s="87">
        <f t="shared" si="112"/>
      </c>
      <c r="BU494" s="85">
        <f t="shared" si="113"/>
      </c>
      <c r="BV494" s="85">
        <f t="shared" si="114"/>
      </c>
      <c r="BW494" s="87">
        <f t="shared" si="115"/>
      </c>
      <c r="BX494" s="104"/>
      <c r="BY494" s="106"/>
      <c r="BZ494" s="104"/>
      <c r="CA494" s="105"/>
      <c r="CB494" s="77">
        <f>IF($A494="",0,IF($B494='FICHA CLIENTE'!$C$4,1,0))</f>
      </c>
      <c r="CC494" s="77">
        <f t="shared" si="116"/>
      </c>
      <c r="CD494" s="77">
        <f>IF($A494="",0,IF($D494='FICHA VEHICULO'!$C$4,1,0))</f>
      </c>
      <c r="CE494" s="77">
        <f t="shared" si="117"/>
      </c>
      <c r="CF494" s="77">
        <f t="shared" si="118"/>
      </c>
      <c r="CG494" s="77">
        <f t="shared" si="119"/>
      </c>
    </row>
    <row r="495" spans="1:85" ht="19.5" customHeight="1" x14ac:dyDescent="0.2">
      <c r="A495" s="104"/>
      <c r="B495" s="104"/>
      <c r="C495" s="105"/>
      <c r="D495" s="104"/>
      <c r="E495" s="105"/>
      <c r="F495" s="106"/>
      <c r="G495" s="104"/>
      <c r="H495" s="106"/>
      <c r="I495" s="107"/>
      <c r="J495" s="108"/>
      <c r="K495" s="108"/>
      <c r="L495" s="108"/>
      <c r="M495" s="105"/>
      <c r="N495" s="105"/>
      <c r="O495" s="105"/>
      <c r="P495" s="108"/>
      <c r="Q495" s="105"/>
      <c r="R495" s="105"/>
      <c r="S495" s="105"/>
      <c r="T495" s="105"/>
      <c r="U495" s="108"/>
      <c r="V495" s="105"/>
      <c r="W495" s="105"/>
      <c r="X495" s="105"/>
      <c r="Y495" s="105"/>
      <c r="Z495" s="105"/>
      <c r="AA495" s="108"/>
      <c r="AB495" s="108"/>
      <c r="AC495" s="105"/>
      <c r="AD495" s="279"/>
      <c r="AE495" s="105"/>
      <c r="AF495" s="279"/>
      <c r="AG495" s="105"/>
      <c r="AH495" s="108"/>
      <c r="AI495" s="108"/>
      <c r="AJ495" s="108"/>
      <c r="AK495" s="108"/>
      <c r="AL495" s="105"/>
      <c r="AM495" s="108"/>
      <c r="AN495" s="105"/>
      <c r="AO495" s="108"/>
      <c r="AP495" s="108"/>
      <c r="AQ495" s="105"/>
      <c r="AR495" s="108"/>
      <c r="AS495" s="108"/>
      <c r="AT495" s="105"/>
      <c r="AU495" s="105"/>
      <c r="AV495" s="105"/>
      <c r="AW495" s="105"/>
      <c r="AX495" s="105"/>
      <c r="AY495" s="105"/>
      <c r="AZ495" s="105"/>
      <c r="BA495" s="105"/>
      <c r="BB495" s="105"/>
      <c r="BC495" s="105"/>
      <c r="BD495" s="108"/>
      <c r="BE495" s="83">
        <f>IF($A495="","",IF(TRIM($D495&amp;"")="",IF(TRIM($AX495&amp;$AY495&amp;$AZ495&amp;$BA495&amp;$BB495&amp;$BC495&amp;$BD495&amp;"")="","","SUBARRENDADO"),IFERROR(IF(VLOOKUP($D495,VEHICULOS!$A$3:$H$202,7,FALSE)="","",VLOOKUP($D495,VEHICULOS!$A$3:$H$202,7,FALSE)),"")))</f>
      </c>
      <c r="BF495" s="82">
        <f>IF($A495="","",IF(TRIM($BC495&amp;"")&lt;&gt;"",$BC495,IF(TRIM($D495&amp;"")="","",IFERROR(IF(VLOOKUP($D495,VEHICULOS!$A$3:$H$202,8,FALSE)="","",VLOOKUP($D495,VEHICULOS!$A$3:$H$202,8,FALSE)),""))))</f>
      </c>
      <c r="BG495" s="106"/>
      <c r="BH495" s="107"/>
      <c r="BI495" s="86">
        <f t="shared" si="105"/>
      </c>
      <c r="BJ495" s="83">
        <f t="shared" si="106"/>
      </c>
      <c r="BK495" s="85">
        <f t="shared" si="107"/>
      </c>
      <c r="BL495" s="85">
        <f t="shared" si="108"/>
      </c>
      <c r="BM495" s="108"/>
      <c r="BN495" s="85">
        <f t="shared" si="109"/>
      </c>
      <c r="BO495" s="108"/>
      <c r="BP495" s="85">
        <f t="shared" si="110"/>
      </c>
      <c r="BQ495" s="85">
        <f t="shared" si="111"/>
      </c>
      <c r="BR495" s="108"/>
      <c r="BS495" s="104"/>
      <c r="BT495" s="87">
        <f t="shared" si="112"/>
      </c>
      <c r="BU495" s="85">
        <f t="shared" si="113"/>
      </c>
      <c r="BV495" s="85">
        <f t="shared" si="114"/>
      </c>
      <c r="BW495" s="87">
        <f t="shared" si="115"/>
      </c>
      <c r="BX495" s="104"/>
      <c r="BY495" s="106"/>
      <c r="BZ495" s="104"/>
      <c r="CA495" s="105"/>
      <c r="CB495" s="77">
        <f>IF($A495="",0,IF($B495='FICHA CLIENTE'!$C$4,1,0))</f>
      </c>
      <c r="CC495" s="77">
        <f t="shared" si="116"/>
      </c>
      <c r="CD495" s="77">
        <f>IF($A495="",0,IF($D495='FICHA VEHICULO'!$C$4,1,0))</f>
      </c>
      <c r="CE495" s="77">
        <f t="shared" si="117"/>
      </c>
      <c r="CF495" s="77">
        <f t="shared" si="118"/>
      </c>
      <c r="CG495" s="77">
        <f t="shared" si="119"/>
      </c>
    </row>
    <row r="496" spans="1:85" ht="19.5" customHeight="1" x14ac:dyDescent="0.2">
      <c r="A496" s="104"/>
      <c r="B496" s="104"/>
      <c r="C496" s="105"/>
      <c r="D496" s="104"/>
      <c r="E496" s="105"/>
      <c r="F496" s="106"/>
      <c r="G496" s="104"/>
      <c r="H496" s="106"/>
      <c r="I496" s="107"/>
      <c r="J496" s="108"/>
      <c r="K496" s="108"/>
      <c r="L496" s="108"/>
      <c r="M496" s="105"/>
      <c r="N496" s="105"/>
      <c r="O496" s="105"/>
      <c r="P496" s="108"/>
      <c r="Q496" s="105"/>
      <c r="R496" s="105"/>
      <c r="S496" s="105"/>
      <c r="T496" s="105"/>
      <c r="U496" s="108"/>
      <c r="V496" s="105"/>
      <c r="W496" s="105"/>
      <c r="X496" s="105"/>
      <c r="Y496" s="105"/>
      <c r="Z496" s="105"/>
      <c r="AA496" s="108"/>
      <c r="AB496" s="108"/>
      <c r="AC496" s="105"/>
      <c r="AD496" s="279"/>
      <c r="AE496" s="105"/>
      <c r="AF496" s="279"/>
      <c r="AG496" s="105"/>
      <c r="AH496" s="108"/>
      <c r="AI496" s="108"/>
      <c r="AJ496" s="108"/>
      <c r="AK496" s="108"/>
      <c r="AL496" s="105"/>
      <c r="AM496" s="108"/>
      <c r="AN496" s="105"/>
      <c r="AO496" s="108"/>
      <c r="AP496" s="108"/>
      <c r="AQ496" s="105"/>
      <c r="AR496" s="108"/>
      <c r="AS496" s="108"/>
      <c r="AT496" s="105"/>
      <c r="AU496" s="105"/>
      <c r="AV496" s="105"/>
      <c r="AW496" s="105"/>
      <c r="AX496" s="105"/>
      <c r="AY496" s="105"/>
      <c r="AZ496" s="105"/>
      <c r="BA496" s="105"/>
      <c r="BB496" s="105"/>
      <c r="BC496" s="105"/>
      <c r="BD496" s="108"/>
      <c r="BE496" s="83">
        <f>IF($A496="","",IF(TRIM($D496&amp;"")="",IF(TRIM($AX496&amp;$AY496&amp;$AZ496&amp;$BA496&amp;$BB496&amp;$BC496&amp;$BD496&amp;"")="","","SUBARRENDADO"),IFERROR(IF(VLOOKUP($D496,VEHICULOS!$A$3:$H$202,7,FALSE)="","",VLOOKUP($D496,VEHICULOS!$A$3:$H$202,7,FALSE)),"")))</f>
      </c>
      <c r="BF496" s="82">
        <f>IF($A496="","",IF(TRIM($BC496&amp;"")&lt;&gt;"",$BC496,IF(TRIM($D496&amp;"")="","",IFERROR(IF(VLOOKUP($D496,VEHICULOS!$A$3:$H$202,8,FALSE)="","",VLOOKUP($D496,VEHICULOS!$A$3:$H$202,8,FALSE)),""))))</f>
      </c>
      <c r="BG496" s="106"/>
      <c r="BH496" s="107"/>
      <c r="BI496" s="86">
        <f t="shared" si="105"/>
      </c>
      <c r="BJ496" s="83">
        <f t="shared" si="106"/>
      </c>
      <c r="BK496" s="85">
        <f t="shared" si="107"/>
      </c>
      <c r="BL496" s="85">
        <f t="shared" si="108"/>
      </c>
      <c r="BM496" s="108"/>
      <c r="BN496" s="85">
        <f t="shared" si="109"/>
      </c>
      <c r="BO496" s="108"/>
      <c r="BP496" s="85">
        <f t="shared" si="110"/>
      </c>
      <c r="BQ496" s="85">
        <f t="shared" si="111"/>
      </c>
      <c r="BR496" s="108"/>
      <c r="BS496" s="104"/>
      <c r="BT496" s="87">
        <f t="shared" si="112"/>
      </c>
      <c r="BU496" s="85">
        <f t="shared" si="113"/>
      </c>
      <c r="BV496" s="85">
        <f t="shared" si="114"/>
      </c>
      <c r="BW496" s="87">
        <f t="shared" si="115"/>
      </c>
      <c r="BX496" s="104"/>
      <c r="BY496" s="106"/>
      <c r="BZ496" s="104"/>
      <c r="CA496" s="105"/>
      <c r="CB496" s="77">
        <f>IF($A496="",0,IF($B496='FICHA CLIENTE'!$C$4,1,0))</f>
      </c>
      <c r="CC496" s="77">
        <f t="shared" si="116"/>
      </c>
      <c r="CD496" s="77">
        <f>IF($A496="",0,IF($D496='FICHA VEHICULO'!$C$4,1,0))</f>
      </c>
      <c r="CE496" s="77">
        <f t="shared" si="117"/>
      </c>
      <c r="CF496" s="77">
        <f t="shared" si="118"/>
      </c>
      <c r="CG496" s="77">
        <f t="shared" si="119"/>
      </c>
    </row>
    <row r="497" spans="1:85" ht="19.5" customHeight="1" x14ac:dyDescent="0.2">
      <c r="A497" s="104"/>
      <c r="B497" s="104"/>
      <c r="C497" s="105"/>
      <c r="D497" s="104"/>
      <c r="E497" s="105"/>
      <c r="F497" s="106"/>
      <c r="G497" s="104"/>
      <c r="H497" s="106"/>
      <c r="I497" s="107"/>
      <c r="J497" s="108"/>
      <c r="K497" s="108"/>
      <c r="L497" s="108"/>
      <c r="M497" s="105"/>
      <c r="N497" s="105"/>
      <c r="O497" s="105"/>
      <c r="P497" s="108"/>
      <c r="Q497" s="105"/>
      <c r="R497" s="105"/>
      <c r="S497" s="105"/>
      <c r="T497" s="105"/>
      <c r="U497" s="108"/>
      <c r="V497" s="105"/>
      <c r="W497" s="105"/>
      <c r="X497" s="105"/>
      <c r="Y497" s="105"/>
      <c r="Z497" s="105"/>
      <c r="AA497" s="108"/>
      <c r="AB497" s="108"/>
      <c r="AC497" s="105"/>
      <c r="AD497" s="279"/>
      <c r="AE497" s="105"/>
      <c r="AF497" s="279"/>
      <c r="AG497" s="105"/>
      <c r="AH497" s="108"/>
      <c r="AI497" s="108"/>
      <c r="AJ497" s="108"/>
      <c r="AK497" s="108"/>
      <c r="AL497" s="105"/>
      <c r="AM497" s="108"/>
      <c r="AN497" s="105"/>
      <c r="AO497" s="108"/>
      <c r="AP497" s="108"/>
      <c r="AQ497" s="105"/>
      <c r="AR497" s="108"/>
      <c r="AS497" s="108"/>
      <c r="AT497" s="105"/>
      <c r="AU497" s="105"/>
      <c r="AV497" s="105"/>
      <c r="AW497" s="105"/>
      <c r="AX497" s="105"/>
      <c r="AY497" s="105"/>
      <c r="AZ497" s="105"/>
      <c r="BA497" s="105"/>
      <c r="BB497" s="105"/>
      <c r="BC497" s="105"/>
      <c r="BD497" s="108"/>
      <c r="BE497" s="83">
        <f>IF($A497="","",IF(TRIM($D497&amp;"")="",IF(TRIM($AX497&amp;$AY497&amp;$AZ497&amp;$BA497&amp;$BB497&amp;$BC497&amp;$BD497&amp;"")="","","SUBARRENDADO"),IFERROR(IF(VLOOKUP($D497,VEHICULOS!$A$3:$H$202,7,FALSE)="","",VLOOKUP($D497,VEHICULOS!$A$3:$H$202,7,FALSE)),"")))</f>
      </c>
      <c r="BF497" s="82">
        <f>IF($A497="","",IF(TRIM($BC497&amp;"")&lt;&gt;"",$BC497,IF(TRIM($D497&amp;"")="","",IFERROR(IF(VLOOKUP($D497,VEHICULOS!$A$3:$H$202,8,FALSE)="","",VLOOKUP($D497,VEHICULOS!$A$3:$H$202,8,FALSE)),""))))</f>
      </c>
      <c r="BG497" s="106"/>
      <c r="BH497" s="107"/>
      <c r="BI497" s="86">
        <f t="shared" si="105"/>
      </c>
      <c r="BJ497" s="83">
        <f t="shared" si="106"/>
      </c>
      <c r="BK497" s="85">
        <f t="shared" si="107"/>
      </c>
      <c r="BL497" s="85">
        <f t="shared" si="108"/>
      </c>
      <c r="BM497" s="108"/>
      <c r="BN497" s="85">
        <f t="shared" si="109"/>
      </c>
      <c r="BO497" s="108"/>
      <c r="BP497" s="85">
        <f t="shared" si="110"/>
      </c>
      <c r="BQ497" s="85">
        <f t="shared" si="111"/>
      </c>
      <c r="BR497" s="108"/>
      <c r="BS497" s="104"/>
      <c r="BT497" s="87">
        <f t="shared" si="112"/>
      </c>
      <c r="BU497" s="85">
        <f t="shared" si="113"/>
      </c>
      <c r="BV497" s="85">
        <f t="shared" si="114"/>
      </c>
      <c r="BW497" s="87">
        <f t="shared" si="115"/>
      </c>
      <c r="BX497" s="104"/>
      <c r="BY497" s="106"/>
      <c r="BZ497" s="104"/>
      <c r="CA497" s="105"/>
      <c r="CB497" s="77">
        <f>IF($A497="",0,IF($B497='FICHA CLIENTE'!$C$4,1,0))</f>
      </c>
      <c r="CC497" s="77">
        <f t="shared" si="116"/>
      </c>
      <c r="CD497" s="77">
        <f>IF($A497="",0,IF($D497='FICHA VEHICULO'!$C$4,1,0))</f>
      </c>
      <c r="CE497" s="77">
        <f t="shared" si="117"/>
      </c>
      <c r="CF497" s="77">
        <f t="shared" si="118"/>
      </c>
      <c r="CG497" s="77">
        <f t="shared" si="119"/>
      </c>
    </row>
    <row r="498" spans="1:85" ht="19.5" customHeight="1" x14ac:dyDescent="0.2">
      <c r="A498" s="104"/>
      <c r="B498" s="104"/>
      <c r="C498" s="105"/>
      <c r="D498" s="104"/>
      <c r="E498" s="105"/>
      <c r="F498" s="106"/>
      <c r="G498" s="104"/>
      <c r="H498" s="106"/>
      <c r="I498" s="107"/>
      <c r="J498" s="108"/>
      <c r="K498" s="108"/>
      <c r="L498" s="108"/>
      <c r="M498" s="105"/>
      <c r="N498" s="105"/>
      <c r="O498" s="105"/>
      <c r="P498" s="108"/>
      <c r="Q498" s="105"/>
      <c r="R498" s="105"/>
      <c r="S498" s="105"/>
      <c r="T498" s="105"/>
      <c r="U498" s="108"/>
      <c r="V498" s="105"/>
      <c r="W498" s="105"/>
      <c r="X498" s="105"/>
      <c r="Y498" s="105"/>
      <c r="Z498" s="105"/>
      <c r="AA498" s="108"/>
      <c r="AB498" s="108"/>
      <c r="AC498" s="105"/>
      <c r="AD498" s="279"/>
      <c r="AE498" s="105"/>
      <c r="AF498" s="279"/>
      <c r="AG498" s="105"/>
      <c r="AH498" s="108"/>
      <c r="AI498" s="108"/>
      <c r="AJ498" s="108"/>
      <c r="AK498" s="108"/>
      <c r="AL498" s="105"/>
      <c r="AM498" s="108"/>
      <c r="AN498" s="105"/>
      <c r="AO498" s="108"/>
      <c r="AP498" s="108"/>
      <c r="AQ498" s="105"/>
      <c r="AR498" s="108"/>
      <c r="AS498" s="108"/>
      <c r="AT498" s="105"/>
      <c r="AU498" s="105"/>
      <c r="AV498" s="105"/>
      <c r="AW498" s="105"/>
      <c r="AX498" s="105"/>
      <c r="AY498" s="105"/>
      <c r="AZ498" s="105"/>
      <c r="BA498" s="105"/>
      <c r="BB498" s="105"/>
      <c r="BC498" s="105"/>
      <c r="BD498" s="108"/>
      <c r="BE498" s="83">
        <f>IF($A498="","",IF(TRIM($D498&amp;"")="",IF(TRIM($AX498&amp;$AY498&amp;$AZ498&amp;$BA498&amp;$BB498&amp;$BC498&amp;$BD498&amp;"")="","","SUBARRENDADO"),IFERROR(IF(VLOOKUP($D498,VEHICULOS!$A$3:$H$202,7,FALSE)="","",VLOOKUP($D498,VEHICULOS!$A$3:$H$202,7,FALSE)),"")))</f>
      </c>
      <c r="BF498" s="82">
        <f>IF($A498="","",IF(TRIM($BC498&amp;"")&lt;&gt;"",$BC498,IF(TRIM($D498&amp;"")="","",IFERROR(IF(VLOOKUP($D498,VEHICULOS!$A$3:$H$202,8,FALSE)="","",VLOOKUP($D498,VEHICULOS!$A$3:$H$202,8,FALSE)),""))))</f>
      </c>
      <c r="BG498" s="106"/>
      <c r="BH498" s="107"/>
      <c r="BI498" s="86">
        <f t="shared" si="105"/>
      </c>
      <c r="BJ498" s="83">
        <f t="shared" si="106"/>
      </c>
      <c r="BK498" s="85">
        <f t="shared" si="107"/>
      </c>
      <c r="BL498" s="85">
        <f t="shared" si="108"/>
      </c>
      <c r="BM498" s="108"/>
      <c r="BN498" s="85">
        <f t="shared" si="109"/>
      </c>
      <c r="BO498" s="108"/>
      <c r="BP498" s="85">
        <f t="shared" si="110"/>
      </c>
      <c r="BQ498" s="85">
        <f t="shared" si="111"/>
      </c>
      <c r="BR498" s="108"/>
      <c r="BS498" s="104"/>
      <c r="BT498" s="87">
        <f t="shared" si="112"/>
      </c>
      <c r="BU498" s="85">
        <f t="shared" si="113"/>
      </c>
      <c r="BV498" s="85">
        <f t="shared" si="114"/>
      </c>
      <c r="BW498" s="87">
        <f t="shared" si="115"/>
      </c>
      <c r="BX498" s="104"/>
      <c r="BY498" s="106"/>
      <c r="BZ498" s="104"/>
      <c r="CA498" s="105"/>
      <c r="CB498" s="77">
        <f>IF($A498="",0,IF($B498='FICHA CLIENTE'!$C$4,1,0))</f>
      </c>
      <c r="CC498" s="77">
        <f t="shared" si="116"/>
      </c>
      <c r="CD498" s="77">
        <f>IF($A498="",0,IF($D498='FICHA VEHICULO'!$C$4,1,0))</f>
      </c>
      <c r="CE498" s="77">
        <f t="shared" si="117"/>
      </c>
      <c r="CF498" s="77">
        <f t="shared" si="118"/>
      </c>
      <c r="CG498" s="77">
        <f t="shared" si="119"/>
      </c>
    </row>
    <row r="499" spans="1:85" ht="19.5" customHeight="1" x14ac:dyDescent="0.2">
      <c r="A499" s="104"/>
      <c r="B499" s="104"/>
      <c r="C499" s="105"/>
      <c r="D499" s="104"/>
      <c r="E499" s="105"/>
      <c r="F499" s="106"/>
      <c r="G499" s="104"/>
      <c r="H499" s="106"/>
      <c r="I499" s="107"/>
      <c r="J499" s="108"/>
      <c r="K499" s="108"/>
      <c r="L499" s="108"/>
      <c r="M499" s="105"/>
      <c r="N499" s="105"/>
      <c r="O499" s="105"/>
      <c r="P499" s="108"/>
      <c r="Q499" s="105"/>
      <c r="R499" s="105"/>
      <c r="S499" s="105"/>
      <c r="T499" s="105"/>
      <c r="U499" s="108"/>
      <c r="V499" s="105"/>
      <c r="W499" s="105"/>
      <c r="X499" s="105"/>
      <c r="Y499" s="105"/>
      <c r="Z499" s="105"/>
      <c r="AA499" s="108"/>
      <c r="AB499" s="108"/>
      <c r="AC499" s="105"/>
      <c r="AD499" s="279"/>
      <c r="AE499" s="105"/>
      <c r="AF499" s="279"/>
      <c r="AG499" s="105"/>
      <c r="AH499" s="108"/>
      <c r="AI499" s="108"/>
      <c r="AJ499" s="108"/>
      <c r="AK499" s="108"/>
      <c r="AL499" s="105"/>
      <c r="AM499" s="108"/>
      <c r="AN499" s="105"/>
      <c r="AO499" s="108"/>
      <c r="AP499" s="108"/>
      <c r="AQ499" s="105"/>
      <c r="AR499" s="108"/>
      <c r="AS499" s="108"/>
      <c r="AT499" s="105"/>
      <c r="AU499" s="105"/>
      <c r="AV499" s="105"/>
      <c r="AW499" s="105"/>
      <c r="AX499" s="105"/>
      <c r="AY499" s="105"/>
      <c r="AZ499" s="105"/>
      <c r="BA499" s="105"/>
      <c r="BB499" s="105"/>
      <c r="BC499" s="105"/>
      <c r="BD499" s="108"/>
      <c r="BE499" s="83">
        <f>IF($A499="","",IF(TRIM($D499&amp;"")="",IF(TRIM($AX499&amp;$AY499&amp;$AZ499&amp;$BA499&amp;$BB499&amp;$BC499&amp;$BD499&amp;"")="","","SUBARRENDADO"),IFERROR(IF(VLOOKUP($D499,VEHICULOS!$A$3:$H$202,7,FALSE)="","",VLOOKUP($D499,VEHICULOS!$A$3:$H$202,7,FALSE)),"")))</f>
      </c>
      <c r="BF499" s="82">
        <f>IF($A499="","",IF(TRIM($BC499&amp;"")&lt;&gt;"",$BC499,IF(TRIM($D499&amp;"")="","",IFERROR(IF(VLOOKUP($D499,VEHICULOS!$A$3:$H$202,8,FALSE)="","",VLOOKUP($D499,VEHICULOS!$A$3:$H$202,8,FALSE)),""))))</f>
      </c>
      <c r="BG499" s="106"/>
      <c r="BH499" s="107"/>
      <c r="BI499" s="86">
        <f t="shared" si="105"/>
      </c>
      <c r="BJ499" s="83">
        <f t="shared" si="106"/>
      </c>
      <c r="BK499" s="85">
        <f t="shared" si="107"/>
      </c>
      <c r="BL499" s="85">
        <f t="shared" si="108"/>
      </c>
      <c r="BM499" s="108"/>
      <c r="BN499" s="85">
        <f t="shared" si="109"/>
      </c>
      <c r="BO499" s="108"/>
      <c r="BP499" s="85">
        <f t="shared" si="110"/>
      </c>
      <c r="BQ499" s="85">
        <f t="shared" si="111"/>
      </c>
      <c r="BR499" s="108"/>
      <c r="BS499" s="104"/>
      <c r="BT499" s="87">
        <f t="shared" si="112"/>
      </c>
      <c r="BU499" s="85">
        <f t="shared" si="113"/>
      </c>
      <c r="BV499" s="85">
        <f t="shared" si="114"/>
      </c>
      <c r="BW499" s="87">
        <f t="shared" si="115"/>
      </c>
      <c r="BX499" s="104"/>
      <c r="BY499" s="106"/>
      <c r="BZ499" s="104"/>
      <c r="CA499" s="105"/>
      <c r="CB499" s="77">
        <f>IF($A499="",0,IF($B499='FICHA CLIENTE'!$C$4,1,0))</f>
      </c>
      <c r="CC499" s="77">
        <f t="shared" si="116"/>
      </c>
      <c r="CD499" s="77">
        <f>IF($A499="",0,IF($D499='FICHA VEHICULO'!$C$4,1,0))</f>
      </c>
      <c r="CE499" s="77">
        <f t="shared" si="117"/>
      </c>
      <c r="CF499" s="77">
        <f t="shared" si="118"/>
      </c>
      <c r="CG499" s="77">
        <f t="shared" si="119"/>
      </c>
    </row>
    <row r="500" spans="1:85" ht="19.5" customHeight="1" x14ac:dyDescent="0.2">
      <c r="A500" s="104"/>
      <c r="B500" s="104"/>
      <c r="C500" s="105"/>
      <c r="D500" s="104"/>
      <c r="E500" s="105"/>
      <c r="F500" s="106"/>
      <c r="G500" s="104"/>
      <c r="H500" s="106"/>
      <c r="I500" s="107"/>
      <c r="J500" s="108"/>
      <c r="K500" s="108"/>
      <c r="L500" s="108"/>
      <c r="M500" s="105"/>
      <c r="N500" s="105"/>
      <c r="O500" s="105"/>
      <c r="P500" s="108"/>
      <c r="Q500" s="105"/>
      <c r="R500" s="105"/>
      <c r="S500" s="105"/>
      <c r="T500" s="105"/>
      <c r="U500" s="108"/>
      <c r="V500" s="105"/>
      <c r="W500" s="105"/>
      <c r="X500" s="105"/>
      <c r="Y500" s="105"/>
      <c r="Z500" s="105"/>
      <c r="AA500" s="108"/>
      <c r="AB500" s="108"/>
      <c r="AC500" s="105"/>
      <c r="AD500" s="279"/>
      <c r="AE500" s="105"/>
      <c r="AF500" s="279"/>
      <c r="AG500" s="105"/>
      <c r="AH500" s="108"/>
      <c r="AI500" s="108"/>
      <c r="AJ500" s="108"/>
      <c r="AK500" s="108"/>
      <c r="AL500" s="105"/>
      <c r="AM500" s="108"/>
      <c r="AN500" s="105"/>
      <c r="AO500" s="108"/>
      <c r="AP500" s="108"/>
      <c r="AQ500" s="105"/>
      <c r="AR500" s="108"/>
      <c r="AS500" s="108"/>
      <c r="AT500" s="105"/>
      <c r="AU500" s="105"/>
      <c r="AV500" s="105"/>
      <c r="AW500" s="105"/>
      <c r="AX500" s="105"/>
      <c r="AY500" s="105"/>
      <c r="AZ500" s="105"/>
      <c r="BA500" s="105"/>
      <c r="BB500" s="105"/>
      <c r="BC500" s="105"/>
      <c r="BD500" s="108"/>
      <c r="BE500" s="83">
        <f>IF($A500="","",IF(TRIM($D500&amp;"")="",IF(TRIM($AX500&amp;$AY500&amp;$AZ500&amp;$BA500&amp;$BB500&amp;$BC500&amp;$BD500&amp;"")="","","SUBARRENDADO"),IFERROR(IF(VLOOKUP($D500,VEHICULOS!$A$3:$H$202,7,FALSE)="","",VLOOKUP($D500,VEHICULOS!$A$3:$H$202,7,FALSE)),"")))</f>
      </c>
      <c r="BF500" s="82">
        <f>IF($A500="","",IF(TRIM($BC500&amp;"")&lt;&gt;"",$BC500,IF(TRIM($D500&amp;"")="","",IFERROR(IF(VLOOKUP($D500,VEHICULOS!$A$3:$H$202,8,FALSE)="","",VLOOKUP($D500,VEHICULOS!$A$3:$H$202,8,FALSE)),""))))</f>
      </c>
      <c r="BG500" s="106"/>
      <c r="BH500" s="107"/>
      <c r="BI500" s="86">
        <f t="shared" si="105"/>
      </c>
      <c r="BJ500" s="83">
        <f t="shared" si="106"/>
      </c>
      <c r="BK500" s="85">
        <f t="shared" si="107"/>
      </c>
      <c r="BL500" s="85">
        <f t="shared" si="108"/>
      </c>
      <c r="BM500" s="108"/>
      <c r="BN500" s="85">
        <f t="shared" si="109"/>
      </c>
      <c r="BO500" s="108"/>
      <c r="BP500" s="85">
        <f t="shared" si="110"/>
      </c>
      <c r="BQ500" s="85">
        <f t="shared" si="111"/>
      </c>
      <c r="BR500" s="108"/>
      <c r="BS500" s="104"/>
      <c r="BT500" s="87">
        <f t="shared" si="112"/>
      </c>
      <c r="BU500" s="85">
        <f t="shared" si="113"/>
      </c>
      <c r="BV500" s="85">
        <f t="shared" si="114"/>
      </c>
      <c r="BW500" s="87">
        <f t="shared" si="115"/>
      </c>
      <c r="BX500" s="104"/>
      <c r="BY500" s="106"/>
      <c r="BZ500" s="104"/>
      <c r="CA500" s="105"/>
      <c r="CB500" s="77">
        <f>IF($A500="",0,IF($B500='FICHA CLIENTE'!$C$4,1,0))</f>
      </c>
      <c r="CC500" s="77">
        <f t="shared" si="116"/>
      </c>
      <c r="CD500" s="77">
        <f>IF($A500="",0,IF($D500='FICHA VEHICULO'!$C$4,1,0))</f>
      </c>
      <c r="CE500" s="77">
        <f t="shared" si="117"/>
      </c>
      <c r="CF500" s="77">
        <f t="shared" si="118"/>
      </c>
      <c r="CG500" s="77">
        <f t="shared" si="119"/>
      </c>
    </row>
    <row r="501" spans="1:85" ht="19.5" customHeight="1" x14ac:dyDescent="0.2">
      <c r="A501" s="104"/>
      <c r="B501" s="104"/>
      <c r="C501" s="105"/>
      <c r="D501" s="104"/>
      <c r="E501" s="105"/>
      <c r="F501" s="106"/>
      <c r="G501" s="104"/>
      <c r="H501" s="106"/>
      <c r="I501" s="107"/>
      <c r="J501" s="108"/>
      <c r="K501" s="108"/>
      <c r="L501" s="108"/>
      <c r="M501" s="105"/>
      <c r="N501" s="105"/>
      <c r="O501" s="105"/>
      <c r="P501" s="108"/>
      <c r="Q501" s="105"/>
      <c r="R501" s="105"/>
      <c r="S501" s="105"/>
      <c r="T501" s="105"/>
      <c r="U501" s="108"/>
      <c r="V501" s="105"/>
      <c r="W501" s="105"/>
      <c r="X501" s="105"/>
      <c r="Y501" s="105"/>
      <c r="Z501" s="105"/>
      <c r="AA501" s="108"/>
      <c r="AB501" s="108"/>
      <c r="AC501" s="105"/>
      <c r="AD501" s="279"/>
      <c r="AE501" s="105"/>
      <c r="AF501" s="279"/>
      <c r="AG501" s="105"/>
      <c r="AH501" s="108"/>
      <c r="AI501" s="108"/>
      <c r="AJ501" s="108"/>
      <c r="AK501" s="108"/>
      <c r="AL501" s="105"/>
      <c r="AM501" s="108"/>
      <c r="AN501" s="105"/>
      <c r="AO501" s="108"/>
      <c r="AP501" s="108"/>
      <c r="AQ501" s="105"/>
      <c r="AR501" s="108"/>
      <c r="AS501" s="108"/>
      <c r="AT501" s="105"/>
      <c r="AU501" s="105"/>
      <c r="AV501" s="105"/>
      <c r="AW501" s="105"/>
      <c r="AX501" s="105"/>
      <c r="AY501" s="105"/>
      <c r="AZ501" s="105"/>
      <c r="BA501" s="105"/>
      <c r="BB501" s="105"/>
      <c r="BC501" s="105"/>
      <c r="BD501" s="108"/>
      <c r="BE501" s="83">
        <f>IF($A501="","",IF(TRIM($D501&amp;"")="",IF(TRIM($AX501&amp;$AY501&amp;$AZ501&amp;$BA501&amp;$BB501&amp;$BC501&amp;$BD501&amp;"")="","","SUBARRENDADO"),IFERROR(IF(VLOOKUP($D501,VEHICULOS!$A$3:$H$202,7,FALSE)="","",VLOOKUP($D501,VEHICULOS!$A$3:$H$202,7,FALSE)),"")))</f>
      </c>
      <c r="BF501" s="82">
        <f>IF($A501="","",IF(TRIM($BC501&amp;"")&lt;&gt;"",$BC501,IF(TRIM($D501&amp;"")="","",IFERROR(IF(VLOOKUP($D501,VEHICULOS!$A$3:$H$202,8,FALSE)="","",VLOOKUP($D501,VEHICULOS!$A$3:$H$202,8,FALSE)),""))))</f>
      </c>
      <c r="BG501" s="106"/>
      <c r="BH501" s="107"/>
      <c r="BI501" s="86">
        <f t="shared" si="105"/>
      </c>
      <c r="BJ501" s="83">
        <f t="shared" si="106"/>
      </c>
      <c r="BK501" s="85">
        <f t="shared" si="107"/>
      </c>
      <c r="BL501" s="85">
        <f t="shared" si="108"/>
      </c>
      <c r="BM501" s="108"/>
      <c r="BN501" s="85">
        <f t="shared" si="109"/>
      </c>
      <c r="BO501" s="108"/>
      <c r="BP501" s="85">
        <f t="shared" si="110"/>
      </c>
      <c r="BQ501" s="85">
        <f t="shared" si="111"/>
      </c>
      <c r="BR501" s="108"/>
      <c r="BS501" s="104"/>
      <c r="BT501" s="87">
        <f t="shared" si="112"/>
      </c>
      <c r="BU501" s="85">
        <f t="shared" si="113"/>
      </c>
      <c r="BV501" s="85">
        <f t="shared" si="114"/>
      </c>
      <c r="BW501" s="87">
        <f t="shared" si="115"/>
      </c>
      <c r="BX501" s="104"/>
      <c r="BY501" s="106"/>
      <c r="BZ501" s="104"/>
      <c r="CA501" s="105"/>
      <c r="CB501" s="77">
        <f>IF($A501="",0,IF($B501='FICHA CLIENTE'!$C$4,1,0))</f>
      </c>
      <c r="CC501" s="77">
        <f t="shared" si="116"/>
      </c>
      <c r="CD501" s="77">
        <f>IF($A501="",0,IF($D501='FICHA VEHICULO'!$C$4,1,0))</f>
      </c>
      <c r="CE501" s="77">
        <f t="shared" si="117"/>
      </c>
      <c r="CF501" s="77">
        <f t="shared" si="118"/>
      </c>
      <c r="CG501" s="77">
        <f t="shared" si="119"/>
      </c>
    </row>
    <row r="502" spans="1:85" ht="19.5" customHeight="1" x14ac:dyDescent="0.2">
      <c r="A502" s="104"/>
      <c r="B502" s="104"/>
      <c r="C502" s="105"/>
      <c r="D502" s="104"/>
      <c r="E502" s="105"/>
      <c r="F502" s="106"/>
      <c r="G502" s="104"/>
      <c r="H502" s="106"/>
      <c r="I502" s="107"/>
      <c r="J502" s="108"/>
      <c r="K502" s="108"/>
      <c r="L502" s="108"/>
      <c r="M502" s="105"/>
      <c r="N502" s="105"/>
      <c r="O502" s="105"/>
      <c r="P502" s="108"/>
      <c r="Q502" s="105"/>
      <c r="R502" s="105"/>
      <c r="S502" s="105"/>
      <c r="T502" s="105"/>
      <c r="U502" s="108"/>
      <c r="V502" s="105"/>
      <c r="W502" s="105"/>
      <c r="X502" s="105"/>
      <c r="Y502" s="105"/>
      <c r="Z502" s="105"/>
      <c r="AA502" s="108"/>
      <c r="AB502" s="108"/>
      <c r="AC502" s="105"/>
      <c r="AD502" s="279"/>
      <c r="AE502" s="105"/>
      <c r="AF502" s="279"/>
      <c r="AG502" s="105"/>
      <c r="AH502" s="108"/>
      <c r="AI502" s="108"/>
      <c r="AJ502" s="108"/>
      <c r="AK502" s="108"/>
      <c r="AL502" s="105"/>
      <c r="AM502" s="108"/>
      <c r="AN502" s="105"/>
      <c r="AO502" s="108"/>
      <c r="AP502" s="108"/>
      <c r="AQ502" s="105"/>
      <c r="AR502" s="108"/>
      <c r="AS502" s="108"/>
      <c r="AT502" s="105"/>
      <c r="AU502" s="105"/>
      <c r="AV502" s="105"/>
      <c r="AW502" s="105"/>
      <c r="AX502" s="105"/>
      <c r="AY502" s="105"/>
      <c r="AZ502" s="105"/>
      <c r="BA502" s="105"/>
      <c r="BB502" s="105"/>
      <c r="BC502" s="105"/>
      <c r="BD502" s="108"/>
      <c r="BE502" s="83">
        <f>IF($A502="","",IF(TRIM($D502&amp;"")="",IF(TRIM($AX502&amp;$AY502&amp;$AZ502&amp;$BA502&amp;$BB502&amp;$BC502&amp;$BD502&amp;"")="","","SUBARRENDADO"),IFERROR(IF(VLOOKUP($D502,VEHICULOS!$A$3:$H$202,7,FALSE)="","",VLOOKUP($D502,VEHICULOS!$A$3:$H$202,7,FALSE)),"")))</f>
      </c>
      <c r="BF502" s="82">
        <f>IF($A502="","",IF(TRIM($BC502&amp;"")&lt;&gt;"",$BC502,IF(TRIM($D502&amp;"")="","",IFERROR(IF(VLOOKUP($D502,VEHICULOS!$A$3:$H$202,8,FALSE)="","",VLOOKUP($D502,VEHICULOS!$A$3:$H$202,8,FALSE)),""))))</f>
      </c>
      <c r="BG502" s="106"/>
      <c r="BH502" s="107"/>
      <c r="BI502" s="86">
        <f t="shared" si="105"/>
      </c>
      <c r="BJ502" s="83">
        <f t="shared" si="106"/>
      </c>
      <c r="BK502" s="85">
        <f t="shared" si="107"/>
      </c>
      <c r="BL502" s="85">
        <f t="shared" si="108"/>
      </c>
      <c r="BM502" s="108"/>
      <c r="BN502" s="85">
        <f t="shared" si="109"/>
      </c>
      <c r="BO502" s="108"/>
      <c r="BP502" s="85">
        <f t="shared" si="110"/>
      </c>
      <c r="BQ502" s="85">
        <f t="shared" si="111"/>
      </c>
      <c r="BR502" s="108"/>
      <c r="BS502" s="104"/>
      <c r="BT502" s="87">
        <f t="shared" si="112"/>
      </c>
      <c r="BU502" s="85">
        <f t="shared" si="113"/>
      </c>
      <c r="BV502" s="85">
        <f t="shared" si="114"/>
      </c>
      <c r="BW502" s="87">
        <f t="shared" si="115"/>
      </c>
      <c r="BX502" s="104"/>
      <c r="BY502" s="106"/>
      <c r="BZ502" s="104"/>
      <c r="CA502" s="105"/>
      <c r="CB502" s="77">
        <f>IF($A502="",0,IF($B502='FICHA CLIENTE'!$C$4,1,0))</f>
      </c>
      <c r="CC502" s="77">
        <f t="shared" si="116"/>
      </c>
      <c r="CD502" s="77">
        <f>IF($A502="",0,IF($D502='FICHA VEHICULO'!$C$4,1,0))</f>
      </c>
      <c r="CE502" s="77">
        <f t="shared" si="117"/>
      </c>
      <c r="CF502" s="77">
        <f t="shared" si="118"/>
      </c>
      <c r="CG502" s="77">
        <f t="shared" si="119"/>
      </c>
    </row>
    <row r="503" spans="1:85" ht="19.5" customHeight="1" x14ac:dyDescent="0.2">
      <c r="A503" s="104"/>
      <c r="B503" s="104"/>
      <c r="C503" s="105"/>
      <c r="D503" s="104"/>
      <c r="E503" s="105"/>
      <c r="F503" s="106"/>
      <c r="G503" s="104"/>
      <c r="H503" s="106"/>
      <c r="I503" s="107"/>
      <c r="J503" s="108"/>
      <c r="K503" s="108"/>
      <c r="L503" s="108"/>
      <c r="M503" s="105"/>
      <c r="N503" s="105"/>
      <c r="O503" s="105"/>
      <c r="P503" s="108"/>
      <c r="Q503" s="105"/>
      <c r="R503" s="105"/>
      <c r="S503" s="105"/>
      <c r="T503" s="105"/>
      <c r="U503" s="108"/>
      <c r="V503" s="105"/>
      <c r="W503" s="105"/>
      <c r="X503" s="105"/>
      <c r="Y503" s="105"/>
      <c r="Z503" s="105"/>
      <c r="AA503" s="108"/>
      <c r="AB503" s="108"/>
      <c r="AC503" s="105"/>
      <c r="AD503" s="279"/>
      <c r="AE503" s="105"/>
      <c r="AF503" s="279"/>
      <c r="AG503" s="105"/>
      <c r="AH503" s="108"/>
      <c r="AI503" s="108"/>
      <c r="AJ503" s="108"/>
      <c r="AK503" s="108"/>
      <c r="AL503" s="105"/>
      <c r="AM503" s="108"/>
      <c r="AN503" s="105"/>
      <c r="AO503" s="108"/>
      <c r="AP503" s="108"/>
      <c r="AQ503" s="105"/>
      <c r="AR503" s="108"/>
      <c r="AS503" s="108"/>
      <c r="AT503" s="105"/>
      <c r="AU503" s="105"/>
      <c r="AV503" s="105"/>
      <c r="AW503" s="105"/>
      <c r="AX503" s="105"/>
      <c r="AY503" s="105"/>
      <c r="AZ503" s="105"/>
      <c r="BA503" s="105"/>
      <c r="BB503" s="105"/>
      <c r="BC503" s="105"/>
      <c r="BD503" s="108"/>
      <c r="BE503" s="83">
        <f>IF($A503="","",IF(TRIM($D503&amp;"")="",IF(TRIM($AX503&amp;$AY503&amp;$AZ503&amp;$BA503&amp;$BB503&amp;$BC503&amp;$BD503&amp;"")="","","SUBARRENDADO"),IFERROR(IF(VLOOKUP($D503,VEHICULOS!$A$3:$H$202,7,FALSE)="","",VLOOKUP($D503,VEHICULOS!$A$3:$H$202,7,FALSE)),"")))</f>
      </c>
      <c r="BF503" s="82">
        <f>IF($A503="","",IF(TRIM($BC503&amp;"")&lt;&gt;"",$BC503,IF(TRIM($D503&amp;"")="","",IFERROR(IF(VLOOKUP($D503,VEHICULOS!$A$3:$H$202,8,FALSE)="","",VLOOKUP($D503,VEHICULOS!$A$3:$H$202,8,FALSE)),""))))</f>
      </c>
      <c r="BG503" s="106"/>
      <c r="BH503" s="107"/>
      <c r="BI503" s="86">
        <f t="shared" si="105"/>
      </c>
      <c r="BJ503" s="83">
        <f t="shared" si="106"/>
      </c>
      <c r="BK503" s="85">
        <f t="shared" si="107"/>
      </c>
      <c r="BL503" s="85">
        <f t="shared" si="108"/>
      </c>
      <c r="BM503" s="108"/>
      <c r="BN503" s="85">
        <f t="shared" si="109"/>
      </c>
      <c r="BO503" s="108"/>
      <c r="BP503" s="85">
        <f t="shared" si="110"/>
      </c>
      <c r="BQ503" s="85">
        <f t="shared" si="111"/>
      </c>
      <c r="BR503" s="108"/>
      <c r="BS503" s="104"/>
      <c r="BT503" s="87">
        <f t="shared" si="112"/>
      </c>
      <c r="BU503" s="85">
        <f t="shared" si="113"/>
      </c>
      <c r="BV503" s="85">
        <f t="shared" si="114"/>
      </c>
      <c r="BW503" s="87">
        <f t="shared" si="115"/>
      </c>
      <c r="BX503" s="104"/>
      <c r="BY503" s="106"/>
      <c r="BZ503" s="104"/>
      <c r="CA503" s="105"/>
      <c r="CB503" s="77">
        <f>IF($A503="",0,IF($B503='FICHA CLIENTE'!$C$4,1,0))</f>
      </c>
      <c r="CC503" s="77">
        <f t="shared" si="116"/>
      </c>
      <c r="CD503" s="77">
        <f>IF($A503="",0,IF($D503='FICHA VEHICULO'!$C$4,1,0))</f>
      </c>
      <c r="CE503" s="77">
        <f t="shared" si="117"/>
      </c>
      <c r="CF503" s="77">
        <f t="shared" si="118"/>
      </c>
      <c r="CG503" s="77">
        <f t="shared" si="119"/>
      </c>
    </row>
    <row r="504" spans="1:85" ht="19.5" customHeight="1" x14ac:dyDescent="0.2">
      <c r="A504" s="104"/>
      <c r="B504" s="104"/>
      <c r="C504" s="105"/>
      <c r="D504" s="104"/>
      <c r="E504" s="105"/>
      <c r="F504" s="106"/>
      <c r="G504" s="104"/>
      <c r="H504" s="106"/>
      <c r="I504" s="107"/>
      <c r="J504" s="108"/>
      <c r="K504" s="108"/>
      <c r="L504" s="108"/>
      <c r="M504" s="105"/>
      <c r="N504" s="105"/>
      <c r="O504" s="105"/>
      <c r="P504" s="108"/>
      <c r="Q504" s="105"/>
      <c r="R504" s="105"/>
      <c r="S504" s="105"/>
      <c r="T504" s="105"/>
      <c r="U504" s="108"/>
      <c r="V504" s="105"/>
      <c r="W504" s="105"/>
      <c r="X504" s="105"/>
      <c r="Y504" s="105"/>
      <c r="Z504" s="105"/>
      <c r="AA504" s="108"/>
      <c r="AB504" s="108"/>
      <c r="AC504" s="105"/>
      <c r="AD504" s="279"/>
      <c r="AE504" s="105"/>
      <c r="AF504" s="279"/>
      <c r="AG504" s="105"/>
      <c r="AH504" s="108"/>
      <c r="AI504" s="108"/>
      <c r="AJ504" s="108"/>
      <c r="AK504" s="108"/>
      <c r="AL504" s="105"/>
      <c r="AM504" s="108"/>
      <c r="AN504" s="105"/>
      <c r="AO504" s="108"/>
      <c r="AP504" s="108"/>
      <c r="AQ504" s="105"/>
      <c r="AR504" s="108"/>
      <c r="AS504" s="108"/>
      <c r="AT504" s="105"/>
      <c r="AU504" s="105"/>
      <c r="AV504" s="105"/>
      <c r="AW504" s="105"/>
      <c r="AX504" s="105"/>
      <c r="AY504" s="105"/>
      <c r="AZ504" s="105"/>
      <c r="BA504" s="105"/>
      <c r="BB504" s="105"/>
      <c r="BC504" s="105"/>
      <c r="BD504" s="108"/>
      <c r="BE504" s="83">
        <f>IF($A504="","",IF(TRIM($D504&amp;"")="",IF(TRIM($AX504&amp;$AY504&amp;$AZ504&amp;$BA504&amp;$BB504&amp;$BC504&amp;$BD504&amp;"")="","","SUBARRENDADO"),IFERROR(IF(VLOOKUP($D504,VEHICULOS!$A$3:$H$202,7,FALSE)="","",VLOOKUP($D504,VEHICULOS!$A$3:$H$202,7,FALSE)),"")))</f>
      </c>
      <c r="BF504" s="82">
        <f>IF($A504="","",IF(TRIM($BC504&amp;"")&lt;&gt;"",$BC504,IF(TRIM($D504&amp;"")="","",IFERROR(IF(VLOOKUP($D504,VEHICULOS!$A$3:$H$202,8,FALSE)="","",VLOOKUP($D504,VEHICULOS!$A$3:$H$202,8,FALSE)),""))))</f>
      </c>
      <c r="BG504" s="106"/>
      <c r="BH504" s="107"/>
      <c r="BI504" s="86">
        <f t="shared" si="105"/>
      </c>
      <c r="BJ504" s="83">
        <f t="shared" si="106"/>
      </c>
      <c r="BK504" s="85">
        <f t="shared" si="107"/>
      </c>
      <c r="BL504" s="85">
        <f t="shared" si="108"/>
      </c>
      <c r="BM504" s="108"/>
      <c r="BN504" s="85">
        <f t="shared" si="109"/>
      </c>
      <c r="BO504" s="108"/>
      <c r="BP504" s="85">
        <f t="shared" si="110"/>
      </c>
      <c r="BQ504" s="85">
        <f t="shared" si="111"/>
      </c>
      <c r="BR504" s="108"/>
      <c r="BS504" s="104"/>
      <c r="BT504" s="87">
        <f t="shared" si="112"/>
      </c>
      <c r="BU504" s="85">
        <f t="shared" si="113"/>
      </c>
      <c r="BV504" s="85">
        <f t="shared" si="114"/>
      </c>
      <c r="BW504" s="87">
        <f t="shared" si="115"/>
      </c>
      <c r="BX504" s="104"/>
      <c r="BY504" s="106"/>
      <c r="BZ504" s="104"/>
      <c r="CA504" s="105"/>
      <c r="CB504" s="77">
        <f>IF($A504="",0,IF($B504='FICHA CLIENTE'!$C$4,1,0))</f>
      </c>
      <c r="CC504" s="77">
        <f t="shared" si="116"/>
      </c>
      <c r="CD504" s="77">
        <f>IF($A504="",0,IF($D504='FICHA VEHICULO'!$C$4,1,0))</f>
      </c>
      <c r="CE504" s="77">
        <f t="shared" si="117"/>
      </c>
      <c r="CF504" s="77">
        <f t="shared" si="118"/>
      </c>
      <c r="CG504" s="77">
        <f t="shared" si="119"/>
      </c>
    </row>
    <row r="505" spans="1:85" ht="19.5" customHeight="1" x14ac:dyDescent="0.2">
      <c r="A505" s="104"/>
      <c r="B505" s="104"/>
      <c r="C505" s="105"/>
      <c r="D505" s="104"/>
      <c r="E505" s="105"/>
      <c r="F505" s="106"/>
      <c r="G505" s="104"/>
      <c r="H505" s="106"/>
      <c r="I505" s="107"/>
      <c r="J505" s="108"/>
      <c r="K505" s="108"/>
      <c r="L505" s="108"/>
      <c r="M505" s="105"/>
      <c r="N505" s="105"/>
      <c r="O505" s="105"/>
      <c r="P505" s="108"/>
      <c r="Q505" s="105"/>
      <c r="R505" s="105"/>
      <c r="S505" s="105"/>
      <c r="T505" s="105"/>
      <c r="U505" s="108"/>
      <c r="V505" s="105"/>
      <c r="W505" s="105"/>
      <c r="X505" s="105"/>
      <c r="Y505" s="105"/>
      <c r="Z505" s="105"/>
      <c r="AA505" s="108"/>
      <c r="AB505" s="108"/>
      <c r="AC505" s="105"/>
      <c r="AD505" s="279"/>
      <c r="AE505" s="105"/>
      <c r="AF505" s="279"/>
      <c r="AG505" s="105"/>
      <c r="AH505" s="108"/>
      <c r="AI505" s="108"/>
      <c r="AJ505" s="108"/>
      <c r="AK505" s="108"/>
      <c r="AL505" s="105"/>
      <c r="AM505" s="108"/>
      <c r="AN505" s="105"/>
      <c r="AO505" s="108"/>
      <c r="AP505" s="108"/>
      <c r="AQ505" s="105"/>
      <c r="AR505" s="108"/>
      <c r="AS505" s="108"/>
      <c r="AT505" s="105"/>
      <c r="AU505" s="105"/>
      <c r="AV505" s="105"/>
      <c r="AW505" s="105"/>
      <c r="AX505" s="105"/>
      <c r="AY505" s="105"/>
      <c r="AZ505" s="105"/>
      <c r="BA505" s="105"/>
      <c r="BB505" s="105"/>
      <c r="BC505" s="105"/>
      <c r="BD505" s="108"/>
      <c r="BE505" s="83">
        <f>IF($A505="","",IF(TRIM($D505&amp;"")="",IF(TRIM($AX505&amp;$AY505&amp;$AZ505&amp;$BA505&amp;$BB505&amp;$BC505&amp;$BD505&amp;"")="","","SUBARRENDADO"),IFERROR(IF(VLOOKUP($D505,VEHICULOS!$A$3:$H$202,7,FALSE)="","",VLOOKUP($D505,VEHICULOS!$A$3:$H$202,7,FALSE)),"")))</f>
      </c>
      <c r="BF505" s="82">
        <f>IF($A505="","",IF(TRIM($BC505&amp;"")&lt;&gt;"",$BC505,IF(TRIM($D505&amp;"")="","",IFERROR(IF(VLOOKUP($D505,VEHICULOS!$A$3:$H$202,8,FALSE)="","",VLOOKUP($D505,VEHICULOS!$A$3:$H$202,8,FALSE)),""))))</f>
      </c>
      <c r="BG505" s="106"/>
      <c r="BH505" s="107"/>
      <c r="BI505" s="86">
        <f t="shared" si="105"/>
      </c>
      <c r="BJ505" s="83">
        <f t="shared" si="106"/>
      </c>
      <c r="BK505" s="85">
        <f t="shared" si="107"/>
      </c>
      <c r="BL505" s="85">
        <f t="shared" si="108"/>
      </c>
      <c r="BM505" s="108"/>
      <c r="BN505" s="85">
        <f t="shared" si="109"/>
      </c>
      <c r="BO505" s="108"/>
      <c r="BP505" s="85">
        <f t="shared" si="110"/>
      </c>
      <c r="BQ505" s="85">
        <f t="shared" si="111"/>
      </c>
      <c r="BR505" s="108"/>
      <c r="BS505" s="104"/>
      <c r="BT505" s="87">
        <f t="shared" si="112"/>
      </c>
      <c r="BU505" s="85">
        <f t="shared" si="113"/>
      </c>
      <c r="BV505" s="85">
        <f t="shared" si="114"/>
      </c>
      <c r="BW505" s="87">
        <f t="shared" si="115"/>
      </c>
      <c r="BX505" s="104"/>
      <c r="BY505" s="106"/>
      <c r="BZ505" s="104"/>
      <c r="CA505" s="105"/>
      <c r="CB505" s="77">
        <f>IF($A505="",0,IF($B505='FICHA CLIENTE'!$C$4,1,0))</f>
      </c>
      <c r="CC505" s="77">
        <f t="shared" si="116"/>
      </c>
      <c r="CD505" s="77">
        <f>IF($A505="",0,IF($D505='FICHA VEHICULO'!$C$4,1,0))</f>
      </c>
      <c r="CE505" s="77">
        <f t="shared" si="117"/>
      </c>
      <c r="CF505" s="77">
        <f t="shared" si="118"/>
      </c>
      <c r="CG505" s="77">
        <f t="shared" si="119"/>
      </c>
    </row>
    <row r="506" spans="1:85" ht="19.5" customHeight="1" x14ac:dyDescent="0.2">
      <c r="A506" s="104"/>
      <c r="B506" s="104"/>
      <c r="C506" s="105"/>
      <c r="D506" s="104"/>
      <c r="E506" s="105"/>
      <c r="F506" s="106"/>
      <c r="G506" s="104"/>
      <c r="H506" s="106"/>
      <c r="I506" s="107"/>
      <c r="J506" s="108"/>
      <c r="K506" s="108"/>
      <c r="L506" s="108"/>
      <c r="M506" s="105"/>
      <c r="N506" s="105"/>
      <c r="O506" s="105"/>
      <c r="P506" s="108"/>
      <c r="Q506" s="105"/>
      <c r="R506" s="105"/>
      <c r="S506" s="105"/>
      <c r="T506" s="105"/>
      <c r="U506" s="108"/>
      <c r="V506" s="105"/>
      <c r="W506" s="105"/>
      <c r="X506" s="105"/>
      <c r="Y506" s="105"/>
      <c r="Z506" s="105"/>
      <c r="AA506" s="108"/>
      <c r="AB506" s="108"/>
      <c r="AC506" s="105"/>
      <c r="AD506" s="279"/>
      <c r="AE506" s="105"/>
      <c r="AF506" s="279"/>
      <c r="AG506" s="105"/>
      <c r="AH506" s="108"/>
      <c r="AI506" s="108"/>
      <c r="AJ506" s="108"/>
      <c r="AK506" s="108"/>
      <c r="AL506" s="105"/>
      <c r="AM506" s="108"/>
      <c r="AN506" s="105"/>
      <c r="AO506" s="108"/>
      <c r="AP506" s="108"/>
      <c r="AQ506" s="105"/>
      <c r="AR506" s="108"/>
      <c r="AS506" s="108"/>
      <c r="AT506" s="105"/>
      <c r="AU506" s="105"/>
      <c r="AV506" s="105"/>
      <c r="AW506" s="105"/>
      <c r="AX506" s="105"/>
      <c r="AY506" s="105"/>
      <c r="AZ506" s="105"/>
      <c r="BA506" s="105"/>
      <c r="BB506" s="105"/>
      <c r="BC506" s="105"/>
      <c r="BD506" s="108"/>
      <c r="BE506" s="83">
        <f>IF($A506="","",IF(TRIM($D506&amp;"")="",IF(TRIM($AX506&amp;$AY506&amp;$AZ506&amp;$BA506&amp;$BB506&amp;$BC506&amp;$BD506&amp;"")="","","SUBARRENDADO"),IFERROR(IF(VLOOKUP($D506,VEHICULOS!$A$3:$H$202,7,FALSE)="","",VLOOKUP($D506,VEHICULOS!$A$3:$H$202,7,FALSE)),"")))</f>
      </c>
      <c r="BF506" s="82">
        <f>IF($A506="","",IF(TRIM($BC506&amp;"")&lt;&gt;"",$BC506,IF(TRIM($D506&amp;"")="","",IFERROR(IF(VLOOKUP($D506,VEHICULOS!$A$3:$H$202,8,FALSE)="","",VLOOKUP($D506,VEHICULOS!$A$3:$H$202,8,FALSE)),""))))</f>
      </c>
      <c r="BG506" s="106"/>
      <c r="BH506" s="107"/>
      <c r="BI506" s="86">
        <f t="shared" si="105"/>
      </c>
      <c r="BJ506" s="83">
        <f t="shared" si="106"/>
      </c>
      <c r="BK506" s="85">
        <f t="shared" si="107"/>
      </c>
      <c r="BL506" s="85">
        <f t="shared" si="108"/>
      </c>
      <c r="BM506" s="108"/>
      <c r="BN506" s="85">
        <f t="shared" si="109"/>
      </c>
      <c r="BO506" s="108"/>
      <c r="BP506" s="85">
        <f t="shared" si="110"/>
      </c>
      <c r="BQ506" s="85">
        <f t="shared" si="111"/>
      </c>
      <c r="BR506" s="108"/>
      <c r="BS506" s="104"/>
      <c r="BT506" s="87">
        <f t="shared" si="112"/>
      </c>
      <c r="BU506" s="85">
        <f t="shared" si="113"/>
      </c>
      <c r="BV506" s="85">
        <f t="shared" si="114"/>
      </c>
      <c r="BW506" s="87">
        <f t="shared" si="115"/>
      </c>
      <c r="BX506" s="104"/>
      <c r="BY506" s="106"/>
      <c r="BZ506" s="104"/>
      <c r="CA506" s="105"/>
      <c r="CB506" s="77">
        <f>IF($A506="",0,IF($B506='FICHA CLIENTE'!$C$4,1,0))</f>
      </c>
      <c r="CC506" s="77">
        <f t="shared" si="116"/>
      </c>
      <c r="CD506" s="77">
        <f>IF($A506="",0,IF($D506='FICHA VEHICULO'!$C$4,1,0))</f>
      </c>
      <c r="CE506" s="77">
        <f t="shared" si="117"/>
      </c>
      <c r="CF506" s="77">
        <f t="shared" si="118"/>
      </c>
      <c r="CG506" s="77">
        <f t="shared" si="119"/>
      </c>
    </row>
    <row r="507" spans="1:85" ht="19.5" customHeight="1" x14ac:dyDescent="0.2">
      <c r="A507" s="104"/>
      <c r="B507" s="104"/>
      <c r="C507" s="105"/>
      <c r="D507" s="104"/>
      <c r="E507" s="105"/>
      <c r="F507" s="106"/>
      <c r="G507" s="104"/>
      <c r="H507" s="106"/>
      <c r="I507" s="107"/>
      <c r="J507" s="108"/>
      <c r="K507" s="108"/>
      <c r="L507" s="108"/>
      <c r="M507" s="105"/>
      <c r="N507" s="105"/>
      <c r="O507" s="105"/>
      <c r="P507" s="108"/>
      <c r="Q507" s="105"/>
      <c r="R507" s="105"/>
      <c r="S507" s="105"/>
      <c r="T507" s="105"/>
      <c r="U507" s="108"/>
      <c r="V507" s="105"/>
      <c r="W507" s="105"/>
      <c r="X507" s="105"/>
      <c r="Y507" s="105"/>
      <c r="Z507" s="105"/>
      <c r="AA507" s="108"/>
      <c r="AB507" s="108"/>
      <c r="AC507" s="105"/>
      <c r="AD507" s="279"/>
      <c r="AE507" s="105"/>
      <c r="AF507" s="279"/>
      <c r="AG507" s="105"/>
      <c r="AH507" s="108"/>
      <c r="AI507" s="108"/>
      <c r="AJ507" s="108"/>
      <c r="AK507" s="108"/>
      <c r="AL507" s="105"/>
      <c r="AM507" s="108"/>
      <c r="AN507" s="105"/>
      <c r="AO507" s="108"/>
      <c r="AP507" s="108"/>
      <c r="AQ507" s="105"/>
      <c r="AR507" s="108"/>
      <c r="AS507" s="108"/>
      <c r="AT507" s="105"/>
      <c r="AU507" s="105"/>
      <c r="AV507" s="105"/>
      <c r="AW507" s="105"/>
      <c r="AX507" s="105"/>
      <c r="AY507" s="105"/>
      <c r="AZ507" s="105"/>
      <c r="BA507" s="105"/>
      <c r="BB507" s="105"/>
      <c r="BC507" s="105"/>
      <c r="BD507" s="108"/>
      <c r="BE507" s="83">
        <f>IF($A507="","",IF(TRIM($D507&amp;"")="",IF(TRIM($AX507&amp;$AY507&amp;$AZ507&amp;$BA507&amp;$BB507&amp;$BC507&amp;$BD507&amp;"")="","","SUBARRENDADO"),IFERROR(IF(VLOOKUP($D507,VEHICULOS!$A$3:$H$202,7,FALSE)="","",VLOOKUP($D507,VEHICULOS!$A$3:$H$202,7,FALSE)),"")))</f>
      </c>
      <c r="BF507" s="82">
        <f>IF($A507="","",IF(TRIM($BC507&amp;"")&lt;&gt;"",$BC507,IF(TRIM($D507&amp;"")="","",IFERROR(IF(VLOOKUP($D507,VEHICULOS!$A$3:$H$202,8,FALSE)="","",VLOOKUP($D507,VEHICULOS!$A$3:$H$202,8,FALSE)),""))))</f>
      </c>
      <c r="BG507" s="106"/>
      <c r="BH507" s="107"/>
      <c r="BI507" s="86">
        <f t="shared" si="105"/>
      </c>
      <c r="BJ507" s="83">
        <f t="shared" si="106"/>
      </c>
      <c r="BK507" s="85">
        <f t="shared" si="107"/>
      </c>
      <c r="BL507" s="85">
        <f t="shared" si="108"/>
      </c>
      <c r="BM507" s="108"/>
      <c r="BN507" s="85">
        <f t="shared" si="109"/>
      </c>
      <c r="BO507" s="108"/>
      <c r="BP507" s="85">
        <f t="shared" si="110"/>
      </c>
      <c r="BQ507" s="85">
        <f t="shared" si="111"/>
      </c>
      <c r="BR507" s="108"/>
      <c r="BS507" s="104"/>
      <c r="BT507" s="87">
        <f t="shared" si="112"/>
      </c>
      <c r="BU507" s="85">
        <f t="shared" si="113"/>
      </c>
      <c r="BV507" s="85">
        <f t="shared" si="114"/>
      </c>
      <c r="BW507" s="87">
        <f t="shared" si="115"/>
      </c>
      <c r="BX507" s="104"/>
      <c r="BY507" s="106"/>
      <c r="BZ507" s="104"/>
      <c r="CA507" s="105"/>
      <c r="CB507" s="77">
        <f>IF($A507="",0,IF($B507='FICHA CLIENTE'!$C$4,1,0))</f>
      </c>
      <c r="CC507" s="77">
        <f t="shared" si="116"/>
      </c>
      <c r="CD507" s="77">
        <f>IF($A507="",0,IF($D507='FICHA VEHICULO'!$C$4,1,0))</f>
      </c>
      <c r="CE507" s="77">
        <f t="shared" si="117"/>
      </c>
      <c r="CF507" s="77">
        <f t="shared" si="118"/>
      </c>
      <c r="CG507" s="77">
        <f t="shared" si="119"/>
      </c>
    </row>
    <row r="508" spans="1:85" ht="19.5" customHeight="1" x14ac:dyDescent="0.2">
      <c r="A508" s="104"/>
      <c r="B508" s="104"/>
      <c r="C508" s="105"/>
      <c r="D508" s="104"/>
      <c r="E508" s="105"/>
      <c r="F508" s="106"/>
      <c r="G508" s="104"/>
      <c r="H508" s="106"/>
      <c r="I508" s="107"/>
      <c r="J508" s="108"/>
      <c r="K508" s="108"/>
      <c r="L508" s="108"/>
      <c r="M508" s="105"/>
      <c r="N508" s="105"/>
      <c r="O508" s="105"/>
      <c r="P508" s="108"/>
      <c r="Q508" s="105"/>
      <c r="R508" s="105"/>
      <c r="S508" s="105"/>
      <c r="T508" s="105"/>
      <c r="U508" s="108"/>
      <c r="V508" s="105"/>
      <c r="W508" s="105"/>
      <c r="X508" s="105"/>
      <c r="Y508" s="105"/>
      <c r="Z508" s="105"/>
      <c r="AA508" s="108"/>
      <c r="AB508" s="108"/>
      <c r="AC508" s="105"/>
      <c r="AD508" s="279"/>
      <c r="AE508" s="105"/>
      <c r="AF508" s="279"/>
      <c r="AG508" s="105"/>
      <c r="AH508" s="108"/>
      <c r="AI508" s="108"/>
      <c r="AJ508" s="108"/>
      <c r="AK508" s="108"/>
      <c r="AL508" s="105"/>
      <c r="AM508" s="108"/>
      <c r="AN508" s="105"/>
      <c r="AO508" s="108"/>
      <c r="AP508" s="108"/>
      <c r="AQ508" s="105"/>
      <c r="AR508" s="108"/>
      <c r="AS508" s="108"/>
      <c r="AT508" s="105"/>
      <c r="AU508" s="105"/>
      <c r="AV508" s="105"/>
      <c r="AW508" s="105"/>
      <c r="AX508" s="105"/>
      <c r="AY508" s="105"/>
      <c r="AZ508" s="105"/>
      <c r="BA508" s="105"/>
      <c r="BB508" s="105"/>
      <c r="BC508" s="105"/>
      <c r="BD508" s="108"/>
      <c r="BE508" s="83">
        <f>IF($A508="","",IF(TRIM($D508&amp;"")="",IF(TRIM($AX508&amp;$AY508&amp;$AZ508&amp;$BA508&amp;$BB508&amp;$BC508&amp;$BD508&amp;"")="","","SUBARRENDADO"),IFERROR(IF(VLOOKUP($D508,VEHICULOS!$A$3:$H$202,7,FALSE)="","",VLOOKUP($D508,VEHICULOS!$A$3:$H$202,7,FALSE)),"")))</f>
      </c>
      <c r="BF508" s="82">
        <f>IF($A508="","",IF(TRIM($BC508&amp;"")&lt;&gt;"",$BC508,IF(TRIM($D508&amp;"")="","",IFERROR(IF(VLOOKUP($D508,VEHICULOS!$A$3:$H$202,8,FALSE)="","",VLOOKUP($D508,VEHICULOS!$A$3:$H$202,8,FALSE)),""))))</f>
      </c>
      <c r="BG508" s="106"/>
      <c r="BH508" s="107"/>
      <c r="BI508" s="86">
        <f t="shared" si="105"/>
      </c>
      <c r="BJ508" s="83">
        <f t="shared" si="106"/>
      </c>
      <c r="BK508" s="85">
        <f t="shared" si="107"/>
      </c>
      <c r="BL508" s="85">
        <f t="shared" si="108"/>
      </c>
      <c r="BM508" s="108"/>
      <c r="BN508" s="85">
        <f t="shared" si="109"/>
      </c>
      <c r="BO508" s="108"/>
      <c r="BP508" s="85">
        <f t="shared" si="110"/>
      </c>
      <c r="BQ508" s="85">
        <f t="shared" si="111"/>
      </c>
      <c r="BR508" s="108"/>
      <c r="BS508" s="104"/>
      <c r="BT508" s="87">
        <f t="shared" si="112"/>
      </c>
      <c r="BU508" s="85">
        <f t="shared" si="113"/>
      </c>
      <c r="BV508" s="85">
        <f t="shared" si="114"/>
      </c>
      <c r="BW508" s="87">
        <f t="shared" si="115"/>
      </c>
      <c r="BX508" s="104"/>
      <c r="BY508" s="106"/>
      <c r="BZ508" s="104"/>
      <c r="CA508" s="105"/>
      <c r="CB508" s="77">
        <f>IF($A508="",0,IF($B508='FICHA CLIENTE'!$C$4,1,0))</f>
      </c>
      <c r="CC508" s="77">
        <f t="shared" si="116"/>
      </c>
      <c r="CD508" s="77">
        <f>IF($A508="",0,IF($D508='FICHA VEHICULO'!$C$4,1,0))</f>
      </c>
      <c r="CE508" s="77">
        <f t="shared" si="117"/>
      </c>
      <c r="CF508" s="77">
        <f t="shared" si="118"/>
      </c>
      <c r="CG508" s="77">
        <f t="shared" si="119"/>
      </c>
    </row>
    <row r="509" spans="1:85" ht="19.5" customHeight="1" x14ac:dyDescent="0.2">
      <c r="A509" s="104"/>
      <c r="B509" s="104"/>
      <c r="C509" s="105"/>
      <c r="D509" s="104"/>
      <c r="E509" s="105"/>
      <c r="F509" s="106"/>
      <c r="G509" s="104"/>
      <c r="H509" s="106"/>
      <c r="I509" s="107"/>
      <c r="J509" s="108"/>
      <c r="K509" s="108"/>
      <c r="L509" s="108"/>
      <c r="M509" s="105"/>
      <c r="N509" s="105"/>
      <c r="O509" s="105"/>
      <c r="P509" s="108"/>
      <c r="Q509" s="105"/>
      <c r="R509" s="105"/>
      <c r="S509" s="105"/>
      <c r="T509" s="105"/>
      <c r="U509" s="108"/>
      <c r="V509" s="105"/>
      <c r="W509" s="105"/>
      <c r="X509" s="105"/>
      <c r="Y509" s="105"/>
      <c r="Z509" s="105"/>
      <c r="AA509" s="108"/>
      <c r="AB509" s="108"/>
      <c r="AC509" s="105"/>
      <c r="AD509" s="279"/>
      <c r="AE509" s="105"/>
      <c r="AF509" s="279"/>
      <c r="AG509" s="105"/>
      <c r="AH509" s="108"/>
      <c r="AI509" s="108"/>
      <c r="AJ509" s="108"/>
      <c r="AK509" s="108"/>
      <c r="AL509" s="105"/>
      <c r="AM509" s="108"/>
      <c r="AN509" s="105"/>
      <c r="AO509" s="108"/>
      <c r="AP509" s="108"/>
      <c r="AQ509" s="105"/>
      <c r="AR509" s="108"/>
      <c r="AS509" s="108"/>
      <c r="AT509" s="105"/>
      <c r="AU509" s="105"/>
      <c r="AV509" s="105"/>
      <c r="AW509" s="105"/>
      <c r="AX509" s="105"/>
      <c r="AY509" s="105"/>
      <c r="AZ509" s="105"/>
      <c r="BA509" s="105"/>
      <c r="BB509" s="105"/>
      <c r="BC509" s="105"/>
      <c r="BD509" s="108"/>
      <c r="BE509" s="83">
        <f>IF($A509="","",IF(TRIM($D509&amp;"")="",IF(TRIM($AX509&amp;$AY509&amp;$AZ509&amp;$BA509&amp;$BB509&amp;$BC509&amp;$BD509&amp;"")="","","SUBARRENDADO"),IFERROR(IF(VLOOKUP($D509,VEHICULOS!$A$3:$H$202,7,FALSE)="","",VLOOKUP($D509,VEHICULOS!$A$3:$H$202,7,FALSE)),"")))</f>
      </c>
      <c r="BF509" s="82">
        <f>IF($A509="","",IF(TRIM($BC509&amp;"")&lt;&gt;"",$BC509,IF(TRIM($D509&amp;"")="","",IFERROR(IF(VLOOKUP($D509,VEHICULOS!$A$3:$H$202,8,FALSE)="","",VLOOKUP($D509,VEHICULOS!$A$3:$H$202,8,FALSE)),""))))</f>
      </c>
      <c r="BG509" s="106"/>
      <c r="BH509" s="107"/>
      <c r="BI509" s="86">
        <f t="shared" si="105"/>
      </c>
      <c r="BJ509" s="83">
        <f t="shared" si="106"/>
      </c>
      <c r="BK509" s="85">
        <f t="shared" si="107"/>
      </c>
      <c r="BL509" s="85">
        <f t="shared" si="108"/>
      </c>
      <c r="BM509" s="108"/>
      <c r="BN509" s="85">
        <f t="shared" si="109"/>
      </c>
      <c r="BO509" s="108"/>
      <c r="BP509" s="85">
        <f t="shared" si="110"/>
      </c>
      <c r="BQ509" s="85">
        <f t="shared" si="111"/>
      </c>
      <c r="BR509" s="108"/>
      <c r="BS509" s="104"/>
      <c r="BT509" s="87">
        <f t="shared" si="112"/>
      </c>
      <c r="BU509" s="85">
        <f t="shared" si="113"/>
      </c>
      <c r="BV509" s="85">
        <f t="shared" si="114"/>
      </c>
      <c r="BW509" s="87">
        <f t="shared" si="115"/>
      </c>
      <c r="BX509" s="104"/>
      <c r="BY509" s="106"/>
      <c r="BZ509" s="104"/>
      <c r="CA509" s="105"/>
      <c r="CB509" s="77">
        <f>IF($A509="",0,IF($B509='FICHA CLIENTE'!$C$4,1,0))</f>
      </c>
      <c r="CC509" s="77">
        <f t="shared" si="116"/>
      </c>
      <c r="CD509" s="77">
        <f>IF($A509="",0,IF($D509='FICHA VEHICULO'!$C$4,1,0))</f>
      </c>
      <c r="CE509" s="77">
        <f t="shared" si="117"/>
      </c>
      <c r="CF509" s="77">
        <f t="shared" si="118"/>
      </c>
      <c r="CG509" s="77">
        <f t="shared" si="119"/>
      </c>
    </row>
    <row r="510" spans="1:85" ht="19.5" customHeight="1" x14ac:dyDescent="0.2">
      <c r="A510" s="104"/>
      <c r="B510" s="104"/>
      <c r="C510" s="105"/>
      <c r="D510" s="104"/>
      <c r="E510" s="105"/>
      <c r="F510" s="106"/>
      <c r="G510" s="104"/>
      <c r="H510" s="106"/>
      <c r="I510" s="107"/>
      <c r="J510" s="108"/>
      <c r="K510" s="108"/>
      <c r="L510" s="108"/>
      <c r="M510" s="105"/>
      <c r="N510" s="105"/>
      <c r="O510" s="105"/>
      <c r="P510" s="108"/>
      <c r="Q510" s="105"/>
      <c r="R510" s="105"/>
      <c r="S510" s="105"/>
      <c r="T510" s="105"/>
      <c r="U510" s="108"/>
      <c r="V510" s="105"/>
      <c r="W510" s="105"/>
      <c r="X510" s="105"/>
      <c r="Y510" s="105"/>
      <c r="Z510" s="105"/>
      <c r="AA510" s="108"/>
      <c r="AB510" s="108"/>
      <c r="AC510" s="105"/>
      <c r="AD510" s="279"/>
      <c r="AE510" s="105"/>
      <c r="AF510" s="279"/>
      <c r="AG510" s="105"/>
      <c r="AH510" s="108"/>
      <c r="AI510" s="108"/>
      <c r="AJ510" s="108"/>
      <c r="AK510" s="108"/>
      <c r="AL510" s="105"/>
      <c r="AM510" s="108"/>
      <c r="AN510" s="105"/>
      <c r="AO510" s="108"/>
      <c r="AP510" s="108"/>
      <c r="AQ510" s="105"/>
      <c r="AR510" s="108"/>
      <c r="AS510" s="108"/>
      <c r="AT510" s="105"/>
      <c r="AU510" s="105"/>
      <c r="AV510" s="105"/>
      <c r="AW510" s="105"/>
      <c r="AX510" s="105"/>
      <c r="AY510" s="105"/>
      <c r="AZ510" s="105"/>
      <c r="BA510" s="105"/>
      <c r="BB510" s="105"/>
      <c r="BC510" s="105"/>
      <c r="BD510" s="108"/>
      <c r="BE510" s="83">
        <f>IF($A510="","",IF(TRIM($D510&amp;"")="",IF(TRIM($AX510&amp;$AY510&amp;$AZ510&amp;$BA510&amp;$BB510&amp;$BC510&amp;$BD510&amp;"")="","","SUBARRENDADO"),IFERROR(IF(VLOOKUP($D510,VEHICULOS!$A$3:$H$202,7,FALSE)="","",VLOOKUP($D510,VEHICULOS!$A$3:$H$202,7,FALSE)),"")))</f>
      </c>
      <c r="BF510" s="82">
        <f>IF($A510="","",IF(TRIM($BC510&amp;"")&lt;&gt;"",$BC510,IF(TRIM($D510&amp;"")="","",IFERROR(IF(VLOOKUP($D510,VEHICULOS!$A$3:$H$202,8,FALSE)="","",VLOOKUP($D510,VEHICULOS!$A$3:$H$202,8,FALSE)),""))))</f>
      </c>
      <c r="BG510" s="106"/>
      <c r="BH510" s="107"/>
      <c r="BI510" s="86">
        <f t="shared" si="105"/>
      </c>
      <c r="BJ510" s="83">
        <f t="shared" si="106"/>
      </c>
      <c r="BK510" s="85">
        <f t="shared" si="107"/>
      </c>
      <c r="BL510" s="85">
        <f t="shared" si="108"/>
      </c>
      <c r="BM510" s="108"/>
      <c r="BN510" s="85">
        <f t="shared" si="109"/>
      </c>
      <c r="BO510" s="108"/>
      <c r="BP510" s="85">
        <f t="shared" si="110"/>
      </c>
      <c r="BQ510" s="85">
        <f t="shared" si="111"/>
      </c>
      <c r="BR510" s="108"/>
      <c r="BS510" s="104"/>
      <c r="BT510" s="87">
        <f t="shared" si="112"/>
      </c>
      <c r="BU510" s="85">
        <f t="shared" si="113"/>
      </c>
      <c r="BV510" s="85">
        <f t="shared" si="114"/>
      </c>
      <c r="BW510" s="87">
        <f t="shared" si="115"/>
      </c>
      <c r="BX510" s="104"/>
      <c r="BY510" s="106"/>
      <c r="BZ510" s="104"/>
      <c r="CA510" s="105"/>
      <c r="CB510" s="77">
        <f>IF($A510="",0,IF($B510='FICHA CLIENTE'!$C$4,1,0))</f>
      </c>
      <c r="CC510" s="77">
        <f t="shared" si="116"/>
      </c>
      <c r="CD510" s="77">
        <f>IF($A510="",0,IF($D510='FICHA VEHICULO'!$C$4,1,0))</f>
      </c>
      <c r="CE510" s="77">
        <f t="shared" si="117"/>
      </c>
      <c r="CF510" s="77">
        <f t="shared" si="118"/>
      </c>
      <c r="CG510" s="77">
        <f t="shared" si="119"/>
      </c>
    </row>
    <row r="511" spans="1:85" ht="19.5" customHeight="1" x14ac:dyDescent="0.2">
      <c r="A511" s="104"/>
      <c r="B511" s="104"/>
      <c r="C511" s="105"/>
      <c r="D511" s="104"/>
      <c r="E511" s="105"/>
      <c r="F511" s="106"/>
      <c r="G511" s="104"/>
      <c r="H511" s="106"/>
      <c r="I511" s="107"/>
      <c r="J511" s="108"/>
      <c r="K511" s="108"/>
      <c r="L511" s="108"/>
      <c r="M511" s="105"/>
      <c r="N511" s="105"/>
      <c r="O511" s="105"/>
      <c r="P511" s="108"/>
      <c r="Q511" s="105"/>
      <c r="R511" s="105"/>
      <c r="S511" s="105"/>
      <c r="T511" s="105"/>
      <c r="U511" s="108"/>
      <c r="V511" s="105"/>
      <c r="W511" s="105"/>
      <c r="X511" s="105"/>
      <c r="Y511" s="105"/>
      <c r="Z511" s="105"/>
      <c r="AA511" s="108"/>
      <c r="AB511" s="108"/>
      <c r="AC511" s="105"/>
      <c r="AD511" s="279"/>
      <c r="AE511" s="105"/>
      <c r="AF511" s="279"/>
      <c r="AG511" s="105"/>
      <c r="AH511" s="108"/>
      <c r="AI511" s="108"/>
      <c r="AJ511" s="108"/>
      <c r="AK511" s="108"/>
      <c r="AL511" s="105"/>
      <c r="AM511" s="108"/>
      <c r="AN511" s="105"/>
      <c r="AO511" s="108"/>
      <c r="AP511" s="108"/>
      <c r="AQ511" s="105"/>
      <c r="AR511" s="108"/>
      <c r="AS511" s="108"/>
      <c r="AT511" s="105"/>
      <c r="AU511" s="105"/>
      <c r="AV511" s="105"/>
      <c r="AW511" s="105"/>
      <c r="AX511" s="105"/>
      <c r="AY511" s="105"/>
      <c r="AZ511" s="105"/>
      <c r="BA511" s="105"/>
      <c r="BB511" s="105"/>
      <c r="BC511" s="105"/>
      <c r="BD511" s="108"/>
      <c r="BE511" s="83">
        <f>IF($A511="","",IF(TRIM($D511&amp;"")="",IF(TRIM($AX511&amp;$AY511&amp;$AZ511&amp;$BA511&amp;$BB511&amp;$BC511&amp;$BD511&amp;"")="","","SUBARRENDADO"),IFERROR(IF(VLOOKUP($D511,VEHICULOS!$A$3:$H$202,7,FALSE)="","",VLOOKUP($D511,VEHICULOS!$A$3:$H$202,7,FALSE)),"")))</f>
      </c>
      <c r="BF511" s="82">
        <f>IF($A511="","",IF(TRIM($BC511&amp;"")&lt;&gt;"",$BC511,IF(TRIM($D511&amp;"")="","",IFERROR(IF(VLOOKUP($D511,VEHICULOS!$A$3:$H$202,8,FALSE)="","",VLOOKUP($D511,VEHICULOS!$A$3:$H$202,8,FALSE)),""))))</f>
      </c>
      <c r="BG511" s="106"/>
      <c r="BH511" s="107"/>
      <c r="BI511" s="86">
        <f t="shared" si="105"/>
      </c>
      <c r="BJ511" s="83">
        <f t="shared" si="106"/>
      </c>
      <c r="BK511" s="85">
        <f t="shared" si="107"/>
      </c>
      <c r="BL511" s="85">
        <f t="shared" si="108"/>
      </c>
      <c r="BM511" s="108"/>
      <c r="BN511" s="85">
        <f t="shared" si="109"/>
      </c>
      <c r="BO511" s="108"/>
      <c r="BP511" s="85">
        <f t="shared" si="110"/>
      </c>
      <c r="BQ511" s="85">
        <f t="shared" si="111"/>
      </c>
      <c r="BR511" s="108"/>
      <c r="BS511" s="104"/>
      <c r="BT511" s="87">
        <f t="shared" si="112"/>
      </c>
      <c r="BU511" s="85">
        <f t="shared" si="113"/>
      </c>
      <c r="BV511" s="85">
        <f t="shared" si="114"/>
      </c>
      <c r="BW511" s="87">
        <f t="shared" si="115"/>
      </c>
      <c r="BX511" s="104"/>
      <c r="BY511" s="106"/>
      <c r="BZ511" s="104"/>
      <c r="CA511" s="105"/>
      <c r="CB511" s="77">
        <f>IF($A511="",0,IF($B511='FICHA CLIENTE'!$C$4,1,0))</f>
      </c>
      <c r="CC511" s="77">
        <f t="shared" si="116"/>
      </c>
      <c r="CD511" s="77">
        <f>IF($A511="",0,IF($D511='FICHA VEHICULO'!$C$4,1,0))</f>
      </c>
      <c r="CE511" s="77">
        <f t="shared" si="117"/>
      </c>
      <c r="CF511" s="77">
        <f t="shared" si="118"/>
      </c>
      <c r="CG511" s="77">
        <f t="shared" si="119"/>
      </c>
    </row>
    <row r="512" spans="1:85" ht="19.5" customHeight="1" x14ac:dyDescent="0.2">
      <c r="A512" s="104"/>
      <c r="B512" s="104"/>
      <c r="C512" s="105"/>
      <c r="D512" s="104"/>
      <c r="E512" s="105"/>
      <c r="F512" s="106"/>
      <c r="G512" s="104"/>
      <c r="H512" s="106"/>
      <c r="I512" s="107"/>
      <c r="J512" s="108"/>
      <c r="K512" s="108"/>
      <c r="L512" s="108"/>
      <c r="M512" s="105"/>
      <c r="N512" s="105"/>
      <c r="O512" s="105"/>
      <c r="P512" s="108"/>
      <c r="Q512" s="105"/>
      <c r="R512" s="105"/>
      <c r="S512" s="105"/>
      <c r="T512" s="105"/>
      <c r="U512" s="108"/>
      <c r="V512" s="105"/>
      <c r="W512" s="105"/>
      <c r="X512" s="105"/>
      <c r="Y512" s="105"/>
      <c r="Z512" s="105"/>
      <c r="AA512" s="108"/>
      <c r="AB512" s="108"/>
      <c r="AC512" s="105"/>
      <c r="AD512" s="279"/>
      <c r="AE512" s="105"/>
      <c r="AF512" s="279"/>
      <c r="AG512" s="105"/>
      <c r="AH512" s="108"/>
      <c r="AI512" s="108"/>
      <c r="AJ512" s="108"/>
      <c r="AK512" s="108"/>
      <c r="AL512" s="105"/>
      <c r="AM512" s="108"/>
      <c r="AN512" s="105"/>
      <c r="AO512" s="108"/>
      <c r="AP512" s="108"/>
      <c r="AQ512" s="105"/>
      <c r="AR512" s="108"/>
      <c r="AS512" s="108"/>
      <c r="AT512" s="105"/>
      <c r="AU512" s="105"/>
      <c r="AV512" s="105"/>
      <c r="AW512" s="105"/>
      <c r="AX512" s="105"/>
      <c r="AY512" s="105"/>
      <c r="AZ512" s="105"/>
      <c r="BA512" s="105"/>
      <c r="BB512" s="105"/>
      <c r="BC512" s="105"/>
      <c r="BD512" s="108"/>
      <c r="BE512" s="83">
        <f>IF($A512="","",IF(TRIM($D512&amp;"")="",IF(TRIM($AX512&amp;$AY512&amp;$AZ512&amp;$BA512&amp;$BB512&amp;$BC512&amp;$BD512&amp;"")="","","SUBARRENDADO"),IFERROR(IF(VLOOKUP($D512,VEHICULOS!$A$3:$H$202,7,FALSE)="","",VLOOKUP($D512,VEHICULOS!$A$3:$H$202,7,FALSE)),"")))</f>
      </c>
      <c r="BF512" s="82">
        <f>IF($A512="","",IF(TRIM($BC512&amp;"")&lt;&gt;"",$BC512,IF(TRIM($D512&amp;"")="","",IFERROR(IF(VLOOKUP($D512,VEHICULOS!$A$3:$H$202,8,FALSE)="","",VLOOKUP($D512,VEHICULOS!$A$3:$H$202,8,FALSE)),""))))</f>
      </c>
      <c r="BG512" s="106"/>
      <c r="BH512" s="107"/>
      <c r="BI512" s="86">
        <f t="shared" si="105"/>
      </c>
      <c r="BJ512" s="83">
        <f t="shared" si="106"/>
      </c>
      <c r="BK512" s="85">
        <f t="shared" si="107"/>
      </c>
      <c r="BL512" s="85">
        <f t="shared" si="108"/>
      </c>
      <c r="BM512" s="108"/>
      <c r="BN512" s="85">
        <f t="shared" si="109"/>
      </c>
      <c r="BO512" s="108"/>
      <c r="BP512" s="85">
        <f t="shared" si="110"/>
      </c>
      <c r="BQ512" s="85">
        <f t="shared" si="111"/>
      </c>
      <c r="BR512" s="108"/>
      <c r="BS512" s="104"/>
      <c r="BT512" s="87">
        <f t="shared" si="112"/>
      </c>
      <c r="BU512" s="85">
        <f t="shared" si="113"/>
      </c>
      <c r="BV512" s="85">
        <f t="shared" si="114"/>
      </c>
      <c r="BW512" s="87">
        <f t="shared" si="115"/>
      </c>
      <c r="BX512" s="104"/>
      <c r="BY512" s="106"/>
      <c r="BZ512" s="104"/>
      <c r="CA512" s="105"/>
      <c r="CB512" s="77">
        <f>IF($A512="",0,IF($B512='FICHA CLIENTE'!$C$4,1,0))</f>
      </c>
      <c r="CC512" s="77">
        <f t="shared" si="116"/>
      </c>
      <c r="CD512" s="77">
        <f>IF($A512="",0,IF($D512='FICHA VEHICULO'!$C$4,1,0))</f>
      </c>
      <c r="CE512" s="77">
        <f t="shared" si="117"/>
      </c>
      <c r="CF512" s="77">
        <f t="shared" si="118"/>
      </c>
      <c r="CG512" s="77">
        <f t="shared" si="119"/>
      </c>
    </row>
    <row r="513" spans="1:85" ht="19.5" customHeight="1" x14ac:dyDescent="0.2">
      <c r="A513" s="104"/>
      <c r="B513" s="104"/>
      <c r="C513" s="105"/>
      <c r="D513" s="104"/>
      <c r="E513" s="105"/>
      <c r="F513" s="106"/>
      <c r="G513" s="104"/>
      <c r="H513" s="106"/>
      <c r="I513" s="107"/>
      <c r="J513" s="108"/>
      <c r="K513" s="108"/>
      <c r="L513" s="108"/>
      <c r="M513" s="105"/>
      <c r="N513" s="105"/>
      <c r="O513" s="105"/>
      <c r="P513" s="108"/>
      <c r="Q513" s="105"/>
      <c r="R513" s="105"/>
      <c r="S513" s="105"/>
      <c r="T513" s="105"/>
      <c r="U513" s="108"/>
      <c r="V513" s="105"/>
      <c r="W513" s="105"/>
      <c r="X513" s="105"/>
      <c r="Y513" s="105"/>
      <c r="Z513" s="105"/>
      <c r="AA513" s="108"/>
      <c r="AB513" s="108"/>
      <c r="AC513" s="105"/>
      <c r="AD513" s="279"/>
      <c r="AE513" s="105"/>
      <c r="AF513" s="279"/>
      <c r="AG513" s="105"/>
      <c r="AH513" s="108"/>
      <c r="AI513" s="108"/>
      <c r="AJ513" s="108"/>
      <c r="AK513" s="108"/>
      <c r="AL513" s="105"/>
      <c r="AM513" s="108"/>
      <c r="AN513" s="105"/>
      <c r="AO513" s="108"/>
      <c r="AP513" s="108"/>
      <c r="AQ513" s="105"/>
      <c r="AR513" s="108"/>
      <c r="AS513" s="108"/>
      <c r="AT513" s="105"/>
      <c r="AU513" s="105"/>
      <c r="AV513" s="105"/>
      <c r="AW513" s="105"/>
      <c r="AX513" s="105"/>
      <c r="AY513" s="105"/>
      <c r="AZ513" s="105"/>
      <c r="BA513" s="105"/>
      <c r="BB513" s="105"/>
      <c r="BC513" s="105"/>
      <c r="BD513" s="108"/>
      <c r="BE513" s="83">
        <f>IF($A513="","",IF(TRIM($D513&amp;"")="",IF(TRIM($AX513&amp;$AY513&amp;$AZ513&amp;$BA513&amp;$BB513&amp;$BC513&amp;$BD513&amp;"")="","","SUBARRENDADO"),IFERROR(IF(VLOOKUP($D513,VEHICULOS!$A$3:$H$202,7,FALSE)="","",VLOOKUP($D513,VEHICULOS!$A$3:$H$202,7,FALSE)),"")))</f>
      </c>
      <c r="BF513" s="82">
        <f>IF($A513="","",IF(TRIM($BC513&amp;"")&lt;&gt;"",$BC513,IF(TRIM($D513&amp;"")="","",IFERROR(IF(VLOOKUP($D513,VEHICULOS!$A$3:$H$202,8,FALSE)="","",VLOOKUP($D513,VEHICULOS!$A$3:$H$202,8,FALSE)),""))))</f>
      </c>
      <c r="BG513" s="106"/>
      <c r="BH513" s="107"/>
      <c r="BI513" s="86">
        <f t="shared" si="105"/>
      </c>
      <c r="BJ513" s="83">
        <f t="shared" si="106"/>
      </c>
      <c r="BK513" s="85">
        <f t="shared" si="107"/>
      </c>
      <c r="BL513" s="85">
        <f t="shared" si="108"/>
      </c>
      <c r="BM513" s="108"/>
      <c r="BN513" s="85">
        <f t="shared" si="109"/>
      </c>
      <c r="BO513" s="108"/>
      <c r="BP513" s="85">
        <f t="shared" si="110"/>
      </c>
      <c r="BQ513" s="85">
        <f t="shared" si="111"/>
      </c>
      <c r="BR513" s="108"/>
      <c r="BS513" s="104"/>
      <c r="BT513" s="87">
        <f t="shared" si="112"/>
      </c>
      <c r="BU513" s="85">
        <f t="shared" si="113"/>
      </c>
      <c r="BV513" s="85">
        <f t="shared" si="114"/>
      </c>
      <c r="BW513" s="87">
        <f t="shared" si="115"/>
      </c>
      <c r="BX513" s="104"/>
      <c r="BY513" s="106"/>
      <c r="BZ513" s="104"/>
      <c r="CA513" s="105"/>
      <c r="CB513" s="77">
        <f>IF($A513="",0,IF($B513='FICHA CLIENTE'!$C$4,1,0))</f>
      </c>
      <c r="CC513" s="77">
        <f t="shared" si="116"/>
      </c>
      <c r="CD513" s="77">
        <f>IF($A513="",0,IF($D513='FICHA VEHICULO'!$C$4,1,0))</f>
      </c>
      <c r="CE513" s="77">
        <f t="shared" si="117"/>
      </c>
      <c r="CF513" s="77">
        <f t="shared" si="118"/>
      </c>
      <c r="CG513" s="77">
        <f t="shared" si="119"/>
      </c>
    </row>
    <row r="514" spans="1:85" ht="19.5" customHeight="1" x14ac:dyDescent="0.2">
      <c r="A514" s="104"/>
      <c r="B514" s="104"/>
      <c r="C514" s="105"/>
      <c r="D514" s="104"/>
      <c r="E514" s="105"/>
      <c r="F514" s="106"/>
      <c r="G514" s="104"/>
      <c r="H514" s="106"/>
      <c r="I514" s="107"/>
      <c r="J514" s="108"/>
      <c r="K514" s="108"/>
      <c r="L514" s="108"/>
      <c r="M514" s="105"/>
      <c r="N514" s="105"/>
      <c r="O514" s="105"/>
      <c r="P514" s="108"/>
      <c r="Q514" s="105"/>
      <c r="R514" s="105"/>
      <c r="S514" s="105"/>
      <c r="T514" s="105"/>
      <c r="U514" s="108"/>
      <c r="V514" s="105"/>
      <c r="W514" s="105"/>
      <c r="X514" s="105"/>
      <c r="Y514" s="105"/>
      <c r="Z514" s="105"/>
      <c r="AA514" s="108"/>
      <c r="AB514" s="108"/>
      <c r="AC514" s="105"/>
      <c r="AD514" s="279"/>
      <c r="AE514" s="105"/>
      <c r="AF514" s="279"/>
      <c r="AG514" s="105"/>
      <c r="AH514" s="108"/>
      <c r="AI514" s="108"/>
      <c r="AJ514" s="108"/>
      <c r="AK514" s="108"/>
      <c r="AL514" s="105"/>
      <c r="AM514" s="108"/>
      <c r="AN514" s="105"/>
      <c r="AO514" s="108"/>
      <c r="AP514" s="108"/>
      <c r="AQ514" s="105"/>
      <c r="AR514" s="108"/>
      <c r="AS514" s="108"/>
      <c r="AT514" s="105"/>
      <c r="AU514" s="105"/>
      <c r="AV514" s="105"/>
      <c r="AW514" s="105"/>
      <c r="AX514" s="105"/>
      <c r="AY514" s="105"/>
      <c r="AZ514" s="105"/>
      <c r="BA514" s="105"/>
      <c r="BB514" s="105"/>
      <c r="BC514" s="105"/>
      <c r="BD514" s="108"/>
      <c r="BE514" s="83">
        <f>IF($A514="","",IF(TRIM($D514&amp;"")="",IF(TRIM($AX514&amp;$AY514&amp;$AZ514&amp;$BA514&amp;$BB514&amp;$BC514&amp;$BD514&amp;"")="","","SUBARRENDADO"),IFERROR(IF(VLOOKUP($D514,VEHICULOS!$A$3:$H$202,7,FALSE)="","",VLOOKUP($D514,VEHICULOS!$A$3:$H$202,7,FALSE)),"")))</f>
      </c>
      <c r="BF514" s="82">
        <f>IF($A514="","",IF(TRIM($BC514&amp;"")&lt;&gt;"",$BC514,IF(TRIM($D514&amp;"")="","",IFERROR(IF(VLOOKUP($D514,VEHICULOS!$A$3:$H$202,8,FALSE)="","",VLOOKUP($D514,VEHICULOS!$A$3:$H$202,8,FALSE)),""))))</f>
      </c>
      <c r="BG514" s="106"/>
      <c r="BH514" s="107"/>
      <c r="BI514" s="86">
        <f t="shared" si="105"/>
      </c>
      <c r="BJ514" s="83">
        <f t="shared" si="106"/>
      </c>
      <c r="BK514" s="85">
        <f t="shared" si="107"/>
      </c>
      <c r="BL514" s="85">
        <f t="shared" si="108"/>
      </c>
      <c r="BM514" s="108"/>
      <c r="BN514" s="85">
        <f t="shared" si="109"/>
      </c>
      <c r="BO514" s="108"/>
      <c r="BP514" s="85">
        <f t="shared" si="110"/>
      </c>
      <c r="BQ514" s="85">
        <f t="shared" si="111"/>
      </c>
      <c r="BR514" s="108"/>
      <c r="BS514" s="104"/>
      <c r="BT514" s="87">
        <f t="shared" si="112"/>
      </c>
      <c r="BU514" s="85">
        <f t="shared" si="113"/>
      </c>
      <c r="BV514" s="85">
        <f t="shared" si="114"/>
      </c>
      <c r="BW514" s="87">
        <f t="shared" si="115"/>
      </c>
      <c r="BX514" s="104"/>
      <c r="BY514" s="106"/>
      <c r="BZ514" s="104"/>
      <c r="CA514" s="105"/>
      <c r="CB514" s="77">
        <f>IF($A514="",0,IF($B514='FICHA CLIENTE'!$C$4,1,0))</f>
      </c>
      <c r="CC514" s="77">
        <f t="shared" si="116"/>
      </c>
      <c r="CD514" s="77">
        <f>IF($A514="",0,IF($D514='FICHA VEHICULO'!$C$4,1,0))</f>
      </c>
      <c r="CE514" s="77">
        <f t="shared" si="117"/>
      </c>
      <c r="CF514" s="77">
        <f t="shared" si="118"/>
      </c>
      <c r="CG514" s="77">
        <f t="shared" si="119"/>
      </c>
    </row>
    <row r="515" spans="1:85" ht="19.5" customHeight="1" x14ac:dyDescent="0.2">
      <c r="A515" s="104"/>
      <c r="B515" s="104"/>
      <c r="C515" s="105"/>
      <c r="D515" s="104"/>
      <c r="E515" s="105"/>
      <c r="F515" s="106"/>
      <c r="G515" s="104"/>
      <c r="H515" s="106"/>
      <c r="I515" s="107"/>
      <c r="J515" s="108"/>
      <c r="K515" s="108"/>
      <c r="L515" s="108"/>
      <c r="M515" s="105"/>
      <c r="N515" s="105"/>
      <c r="O515" s="105"/>
      <c r="P515" s="108"/>
      <c r="Q515" s="105"/>
      <c r="R515" s="105"/>
      <c r="S515" s="105"/>
      <c r="T515" s="105"/>
      <c r="U515" s="108"/>
      <c r="V515" s="105"/>
      <c r="W515" s="105"/>
      <c r="X515" s="105"/>
      <c r="Y515" s="105"/>
      <c r="Z515" s="105"/>
      <c r="AA515" s="108"/>
      <c r="AB515" s="108"/>
      <c r="AC515" s="105"/>
      <c r="AD515" s="279"/>
      <c r="AE515" s="105"/>
      <c r="AF515" s="279"/>
      <c r="AG515" s="105"/>
      <c r="AH515" s="108"/>
      <c r="AI515" s="108"/>
      <c r="AJ515" s="108"/>
      <c r="AK515" s="108"/>
      <c r="AL515" s="105"/>
      <c r="AM515" s="108"/>
      <c r="AN515" s="105"/>
      <c r="AO515" s="108"/>
      <c r="AP515" s="108"/>
      <c r="AQ515" s="105"/>
      <c r="AR515" s="108"/>
      <c r="AS515" s="108"/>
      <c r="AT515" s="105"/>
      <c r="AU515" s="105"/>
      <c r="AV515" s="105"/>
      <c r="AW515" s="105"/>
      <c r="AX515" s="105"/>
      <c r="AY515" s="105"/>
      <c r="AZ515" s="105"/>
      <c r="BA515" s="105"/>
      <c r="BB515" s="105"/>
      <c r="BC515" s="105"/>
      <c r="BD515" s="108"/>
      <c r="BE515" s="83">
        <f>IF($A515="","",IF(TRIM($D515&amp;"")="",IF(TRIM($AX515&amp;$AY515&amp;$AZ515&amp;$BA515&amp;$BB515&amp;$BC515&amp;$BD515&amp;"")="","","SUBARRENDADO"),IFERROR(IF(VLOOKUP($D515,VEHICULOS!$A$3:$H$202,7,FALSE)="","",VLOOKUP($D515,VEHICULOS!$A$3:$H$202,7,FALSE)),"")))</f>
      </c>
      <c r="BF515" s="82">
        <f>IF($A515="","",IF(TRIM($BC515&amp;"")&lt;&gt;"",$BC515,IF(TRIM($D515&amp;"")="","",IFERROR(IF(VLOOKUP($D515,VEHICULOS!$A$3:$H$202,8,FALSE)="","",VLOOKUP($D515,VEHICULOS!$A$3:$H$202,8,FALSE)),""))))</f>
      </c>
      <c r="BG515" s="106"/>
      <c r="BH515" s="107"/>
      <c r="BI515" s="86">
        <f t="shared" si="105"/>
      </c>
      <c r="BJ515" s="83">
        <f t="shared" si="106"/>
      </c>
      <c r="BK515" s="85">
        <f t="shared" si="107"/>
      </c>
      <c r="BL515" s="85">
        <f t="shared" si="108"/>
      </c>
      <c r="BM515" s="108"/>
      <c r="BN515" s="85">
        <f t="shared" si="109"/>
      </c>
      <c r="BO515" s="108"/>
      <c r="BP515" s="85">
        <f t="shared" si="110"/>
      </c>
      <c r="BQ515" s="85">
        <f t="shared" si="111"/>
      </c>
      <c r="BR515" s="108"/>
      <c r="BS515" s="104"/>
      <c r="BT515" s="87">
        <f t="shared" si="112"/>
      </c>
      <c r="BU515" s="85">
        <f t="shared" si="113"/>
      </c>
      <c r="BV515" s="85">
        <f t="shared" si="114"/>
      </c>
      <c r="BW515" s="87">
        <f t="shared" si="115"/>
      </c>
      <c r="BX515" s="104"/>
      <c r="BY515" s="106"/>
      <c r="BZ515" s="104"/>
      <c r="CA515" s="105"/>
      <c r="CB515" s="77">
        <f>IF($A515="",0,IF($B515='FICHA CLIENTE'!$C$4,1,0))</f>
      </c>
      <c r="CC515" s="77">
        <f t="shared" si="116"/>
      </c>
      <c r="CD515" s="77">
        <f>IF($A515="",0,IF($D515='FICHA VEHICULO'!$C$4,1,0))</f>
      </c>
      <c r="CE515" s="77">
        <f t="shared" si="117"/>
      </c>
      <c r="CF515" s="77">
        <f t="shared" si="118"/>
      </c>
      <c r="CG515" s="77">
        <f t="shared" si="119"/>
      </c>
    </row>
    <row r="516" spans="1:85" ht="19.5" customHeight="1" x14ac:dyDescent="0.2">
      <c r="A516" s="104"/>
      <c r="B516" s="104"/>
      <c r="C516" s="105"/>
      <c r="D516" s="104"/>
      <c r="E516" s="105"/>
      <c r="F516" s="106"/>
      <c r="G516" s="104"/>
      <c r="H516" s="106"/>
      <c r="I516" s="107"/>
      <c r="J516" s="108"/>
      <c r="K516" s="108"/>
      <c r="L516" s="108"/>
      <c r="M516" s="105"/>
      <c r="N516" s="105"/>
      <c r="O516" s="105"/>
      <c r="P516" s="108"/>
      <c r="Q516" s="105"/>
      <c r="R516" s="105"/>
      <c r="S516" s="105"/>
      <c r="T516" s="105"/>
      <c r="U516" s="108"/>
      <c r="V516" s="105"/>
      <c r="W516" s="105"/>
      <c r="X516" s="105"/>
      <c r="Y516" s="105"/>
      <c r="Z516" s="105"/>
      <c r="AA516" s="108"/>
      <c r="AB516" s="108"/>
      <c r="AC516" s="105"/>
      <c r="AD516" s="279"/>
      <c r="AE516" s="105"/>
      <c r="AF516" s="279"/>
      <c r="AG516" s="105"/>
      <c r="AH516" s="108"/>
      <c r="AI516" s="108"/>
      <c r="AJ516" s="108"/>
      <c r="AK516" s="108"/>
      <c r="AL516" s="105"/>
      <c r="AM516" s="108"/>
      <c r="AN516" s="105"/>
      <c r="AO516" s="108"/>
      <c r="AP516" s="108"/>
      <c r="AQ516" s="105"/>
      <c r="AR516" s="108"/>
      <c r="AS516" s="108"/>
      <c r="AT516" s="105"/>
      <c r="AU516" s="105"/>
      <c r="AV516" s="105"/>
      <c r="AW516" s="105"/>
      <c r="AX516" s="105"/>
      <c r="AY516" s="105"/>
      <c r="AZ516" s="105"/>
      <c r="BA516" s="105"/>
      <c r="BB516" s="105"/>
      <c r="BC516" s="105"/>
      <c r="BD516" s="108"/>
      <c r="BE516" s="83">
        <f>IF($A516="","",IF(TRIM($D516&amp;"")="",IF(TRIM($AX516&amp;$AY516&amp;$AZ516&amp;$BA516&amp;$BB516&amp;$BC516&amp;$BD516&amp;"")="","","SUBARRENDADO"),IFERROR(IF(VLOOKUP($D516,VEHICULOS!$A$3:$H$202,7,FALSE)="","",VLOOKUP($D516,VEHICULOS!$A$3:$H$202,7,FALSE)),"")))</f>
      </c>
      <c r="BF516" s="82">
        <f>IF($A516="","",IF(TRIM($BC516&amp;"")&lt;&gt;"",$BC516,IF(TRIM($D516&amp;"")="","",IFERROR(IF(VLOOKUP($D516,VEHICULOS!$A$3:$H$202,8,FALSE)="","",VLOOKUP($D516,VEHICULOS!$A$3:$H$202,8,FALSE)),""))))</f>
      </c>
      <c r="BG516" s="106"/>
      <c r="BH516" s="107"/>
      <c r="BI516" s="86">
        <f t="shared" si="105"/>
      </c>
      <c r="BJ516" s="83">
        <f t="shared" si="106"/>
      </c>
      <c r="BK516" s="85">
        <f t="shared" si="107"/>
      </c>
      <c r="BL516" s="85">
        <f t="shared" si="108"/>
      </c>
      <c r="BM516" s="108"/>
      <c r="BN516" s="85">
        <f t="shared" si="109"/>
      </c>
      <c r="BO516" s="108"/>
      <c r="BP516" s="85">
        <f t="shared" si="110"/>
      </c>
      <c r="BQ516" s="85">
        <f t="shared" si="111"/>
      </c>
      <c r="BR516" s="108"/>
      <c r="BS516" s="104"/>
      <c r="BT516" s="87">
        <f t="shared" si="112"/>
      </c>
      <c r="BU516" s="85">
        <f t="shared" si="113"/>
      </c>
      <c r="BV516" s="85">
        <f t="shared" si="114"/>
      </c>
      <c r="BW516" s="87">
        <f t="shared" si="115"/>
      </c>
      <c r="BX516" s="104"/>
      <c r="BY516" s="106"/>
      <c r="BZ516" s="104"/>
      <c r="CA516" s="105"/>
      <c r="CB516" s="77">
        <f>IF($A516="",0,IF($B516='FICHA CLIENTE'!$C$4,1,0))</f>
      </c>
      <c r="CC516" s="77">
        <f t="shared" si="116"/>
      </c>
      <c r="CD516" s="77">
        <f>IF($A516="",0,IF($D516='FICHA VEHICULO'!$C$4,1,0))</f>
      </c>
      <c r="CE516" s="77">
        <f t="shared" si="117"/>
      </c>
      <c r="CF516" s="77">
        <f t="shared" si="118"/>
      </c>
      <c r="CG516" s="77">
        <f t="shared" si="119"/>
      </c>
    </row>
    <row r="517" spans="1:85" ht="19.5" customHeight="1" x14ac:dyDescent="0.2">
      <c r="A517" s="104"/>
      <c r="B517" s="104"/>
      <c r="C517" s="105"/>
      <c r="D517" s="104"/>
      <c r="E517" s="105"/>
      <c r="F517" s="106"/>
      <c r="G517" s="104"/>
      <c r="H517" s="106"/>
      <c r="I517" s="107"/>
      <c r="J517" s="108"/>
      <c r="K517" s="108"/>
      <c r="L517" s="108"/>
      <c r="M517" s="105"/>
      <c r="N517" s="105"/>
      <c r="O517" s="105"/>
      <c r="P517" s="108"/>
      <c r="Q517" s="105"/>
      <c r="R517" s="105"/>
      <c r="S517" s="105"/>
      <c r="T517" s="105"/>
      <c r="U517" s="108"/>
      <c r="V517" s="105"/>
      <c r="W517" s="105"/>
      <c r="X517" s="105"/>
      <c r="Y517" s="105"/>
      <c r="Z517" s="105"/>
      <c r="AA517" s="108"/>
      <c r="AB517" s="108"/>
      <c r="AC517" s="105"/>
      <c r="AD517" s="279"/>
      <c r="AE517" s="105"/>
      <c r="AF517" s="279"/>
      <c r="AG517" s="105"/>
      <c r="AH517" s="108"/>
      <c r="AI517" s="108"/>
      <c r="AJ517" s="108"/>
      <c r="AK517" s="108"/>
      <c r="AL517" s="105"/>
      <c r="AM517" s="108"/>
      <c r="AN517" s="105"/>
      <c r="AO517" s="108"/>
      <c r="AP517" s="108"/>
      <c r="AQ517" s="105"/>
      <c r="AR517" s="108"/>
      <c r="AS517" s="108"/>
      <c r="AT517" s="105"/>
      <c r="AU517" s="105"/>
      <c r="AV517" s="105"/>
      <c r="AW517" s="105"/>
      <c r="AX517" s="105"/>
      <c r="AY517" s="105"/>
      <c r="AZ517" s="105"/>
      <c r="BA517" s="105"/>
      <c r="BB517" s="105"/>
      <c r="BC517" s="105"/>
      <c r="BD517" s="108"/>
      <c r="BE517" s="83">
        <f>IF($A517="","",IF(TRIM($D517&amp;"")="",IF(TRIM($AX517&amp;$AY517&amp;$AZ517&amp;$BA517&amp;$BB517&amp;$BC517&amp;$BD517&amp;"")="","","SUBARRENDADO"),IFERROR(IF(VLOOKUP($D517,VEHICULOS!$A$3:$H$202,7,FALSE)="","",VLOOKUP($D517,VEHICULOS!$A$3:$H$202,7,FALSE)),"")))</f>
      </c>
      <c r="BF517" s="82">
        <f>IF($A517="","",IF(TRIM($BC517&amp;"")&lt;&gt;"",$BC517,IF(TRIM($D517&amp;"")="","",IFERROR(IF(VLOOKUP($D517,VEHICULOS!$A$3:$H$202,8,FALSE)="","",VLOOKUP($D517,VEHICULOS!$A$3:$H$202,8,FALSE)),""))))</f>
      </c>
      <c r="BG517" s="106"/>
      <c r="BH517" s="107"/>
      <c r="BI517" s="86">
        <f t="shared" si="105"/>
      </c>
      <c r="BJ517" s="83">
        <f t="shared" si="106"/>
      </c>
      <c r="BK517" s="85">
        <f t="shared" si="107"/>
      </c>
      <c r="BL517" s="85">
        <f t="shared" si="108"/>
      </c>
      <c r="BM517" s="108"/>
      <c r="BN517" s="85">
        <f t="shared" si="109"/>
      </c>
      <c r="BO517" s="108"/>
      <c r="BP517" s="85">
        <f t="shared" si="110"/>
      </c>
      <c r="BQ517" s="85">
        <f t="shared" si="111"/>
      </c>
      <c r="BR517" s="108"/>
      <c r="BS517" s="104"/>
      <c r="BT517" s="87">
        <f t="shared" si="112"/>
      </c>
      <c r="BU517" s="85">
        <f t="shared" si="113"/>
      </c>
      <c r="BV517" s="85">
        <f t="shared" si="114"/>
      </c>
      <c r="BW517" s="87">
        <f t="shared" si="115"/>
      </c>
      <c r="BX517" s="104"/>
      <c r="BY517" s="106"/>
      <c r="BZ517" s="104"/>
      <c r="CA517" s="105"/>
      <c r="CB517" s="77">
        <f>IF($A517="",0,IF($B517='FICHA CLIENTE'!$C$4,1,0))</f>
      </c>
      <c r="CC517" s="77">
        <f t="shared" si="116"/>
      </c>
      <c r="CD517" s="77">
        <f>IF($A517="",0,IF($D517='FICHA VEHICULO'!$C$4,1,0))</f>
      </c>
      <c r="CE517" s="77">
        <f t="shared" si="117"/>
      </c>
      <c r="CF517" s="77">
        <f t="shared" si="118"/>
      </c>
      <c r="CG517" s="77">
        <f t="shared" si="119"/>
      </c>
    </row>
    <row r="518" spans="1:85" ht="19.5" customHeight="1" x14ac:dyDescent="0.2">
      <c r="A518" s="104"/>
      <c r="B518" s="104"/>
      <c r="C518" s="105"/>
      <c r="D518" s="104"/>
      <c r="E518" s="105"/>
      <c r="F518" s="106"/>
      <c r="G518" s="104"/>
      <c r="H518" s="106"/>
      <c r="I518" s="107"/>
      <c r="J518" s="108"/>
      <c r="K518" s="108"/>
      <c r="L518" s="108"/>
      <c r="M518" s="105"/>
      <c r="N518" s="105"/>
      <c r="O518" s="105"/>
      <c r="P518" s="108"/>
      <c r="Q518" s="105"/>
      <c r="R518" s="105"/>
      <c r="S518" s="105"/>
      <c r="T518" s="105"/>
      <c r="U518" s="108"/>
      <c r="V518" s="105"/>
      <c r="W518" s="105"/>
      <c r="X518" s="105"/>
      <c r="Y518" s="105"/>
      <c r="Z518" s="105"/>
      <c r="AA518" s="108"/>
      <c r="AB518" s="108"/>
      <c r="AC518" s="105"/>
      <c r="AD518" s="279"/>
      <c r="AE518" s="105"/>
      <c r="AF518" s="279"/>
      <c r="AG518" s="105"/>
      <c r="AH518" s="108"/>
      <c r="AI518" s="108"/>
      <c r="AJ518" s="108"/>
      <c r="AK518" s="108"/>
      <c r="AL518" s="105"/>
      <c r="AM518" s="108"/>
      <c r="AN518" s="105"/>
      <c r="AO518" s="108"/>
      <c r="AP518" s="108"/>
      <c r="AQ518" s="105"/>
      <c r="AR518" s="108"/>
      <c r="AS518" s="108"/>
      <c r="AT518" s="105"/>
      <c r="AU518" s="105"/>
      <c r="AV518" s="105"/>
      <c r="AW518" s="105"/>
      <c r="AX518" s="105"/>
      <c r="AY518" s="105"/>
      <c r="AZ518" s="105"/>
      <c r="BA518" s="105"/>
      <c r="BB518" s="105"/>
      <c r="BC518" s="105"/>
      <c r="BD518" s="108"/>
      <c r="BE518" s="83">
        <f>IF($A518="","",IF(TRIM($D518&amp;"")="",IF(TRIM($AX518&amp;$AY518&amp;$AZ518&amp;$BA518&amp;$BB518&amp;$BC518&amp;$BD518&amp;"")="","","SUBARRENDADO"),IFERROR(IF(VLOOKUP($D518,VEHICULOS!$A$3:$H$202,7,FALSE)="","",VLOOKUP($D518,VEHICULOS!$A$3:$H$202,7,FALSE)),"")))</f>
      </c>
      <c r="BF518" s="82">
        <f>IF($A518="","",IF(TRIM($BC518&amp;"")&lt;&gt;"",$BC518,IF(TRIM($D518&amp;"")="","",IFERROR(IF(VLOOKUP($D518,VEHICULOS!$A$3:$H$202,8,FALSE)="","",VLOOKUP($D518,VEHICULOS!$A$3:$H$202,8,FALSE)),""))))</f>
      </c>
      <c r="BG518" s="106"/>
      <c r="BH518" s="107"/>
      <c r="BI518" s="86">
        <f t="shared" ref="BI518:BI581" si="120">IF(OR($BH518="",$I518=""),"",$BH518-$I518)</f>
      </c>
      <c r="BJ518" s="83">
        <f t="shared" ref="BJ518:BJ581" si="121">IF(OR($BG518="",$H518=""),"",MAX(0,$BG518-$H518))</f>
      </c>
      <c r="BK518" s="85">
        <f t="shared" ref="BK518:BK581" si="122">IF($A518="","",N($BJ518)*N($J518))</f>
      </c>
      <c r="BL518" s="85">
        <f t="shared" ref="BL518:BL581" si="123">IF($A518="","",(N($AM518)+N($AS518))*(N($G518)+N($BJ518))+N($AP518))</f>
      </c>
      <c r="BM518" s="108"/>
      <c r="BN518" s="85">
        <f t="shared" ref="BN518:BN581" si="124">IF($A518="","",N($AO518))</f>
      </c>
      <c r="BO518" s="108"/>
      <c r="BP518" s="85">
        <f t="shared" ref="BP518:BP581" si="125">IF($A518="","",N($AR518))</f>
      </c>
      <c r="BQ518" s="85">
        <f t="shared" ref="BQ518:BQ581" si="126">IF($A518="","",N($K518)+N($BK518)+N($BL518)+N($BM518)+N($BN518)+N($BO518)+N($BP518))</f>
      </c>
      <c r="BR518" s="108"/>
      <c r="BS518" s="104"/>
      <c r="BT518" s="87">
        <f t="shared" ref="BT518:BT581" si="127">IF($A518="","",ROUND((N($BQ518)-N($BR518))*(1+N($BS518)/100),2))</f>
      </c>
      <c r="BU518" s="85">
        <f t="shared" ref="BU518:BU581" si="128">IF($A518="","",N($BD518))</f>
      </c>
      <c r="BV518" s="85">
        <f t="shared" ref="BV518:BV581" si="129">IF($A518="","",N($BU518)*(N($G518)+N($BJ518)))</f>
      </c>
      <c r="BW518" s="87">
        <f t="shared" ref="BW518:BW581" si="130">IF($A518="","",N($BT518)-N($BV518))</f>
      </c>
      <c r="BX518" s="104"/>
      <c r="BY518" s="106"/>
      <c r="BZ518" s="104"/>
      <c r="CA518" s="105"/>
      <c r="CB518" s="77">
        <f>IF($A518="",0,IF($B518='FICHA CLIENTE'!$C$4,1,0))</f>
      </c>
      <c r="CC518" s="77">
        <f t="shared" ref="CC518:CC581" si="131">$CC517+$CB518</f>
      </c>
      <c r="CD518" s="77">
        <f>IF($A518="",0,IF($D518='FICHA VEHICULO'!$C$4,1,0))</f>
      </c>
      <c r="CE518" s="77">
        <f t="shared" ref="CE518:CE581" si="132">$CE517+$CD518</f>
      </c>
      <c r="CF518" s="77">
        <f t="shared" ref="CF518:CF581" si="133">IF($A518="",0,IF($BG518="",1,0))</f>
      </c>
      <c r="CG518" s="77">
        <f t="shared" ref="CG518:CG581" si="134">$CG517+$CF518</f>
      </c>
    </row>
    <row r="519" spans="1:85" ht="19.5" customHeight="1" x14ac:dyDescent="0.2">
      <c r="A519" s="104"/>
      <c r="B519" s="104"/>
      <c r="C519" s="105"/>
      <c r="D519" s="104"/>
      <c r="E519" s="105"/>
      <c r="F519" s="106"/>
      <c r="G519" s="104"/>
      <c r="H519" s="106"/>
      <c r="I519" s="107"/>
      <c r="J519" s="108"/>
      <c r="K519" s="108"/>
      <c r="L519" s="108"/>
      <c r="M519" s="105"/>
      <c r="N519" s="105"/>
      <c r="O519" s="105"/>
      <c r="P519" s="108"/>
      <c r="Q519" s="105"/>
      <c r="R519" s="105"/>
      <c r="S519" s="105"/>
      <c r="T519" s="105"/>
      <c r="U519" s="108"/>
      <c r="V519" s="105"/>
      <c r="W519" s="105"/>
      <c r="X519" s="105"/>
      <c r="Y519" s="105"/>
      <c r="Z519" s="105"/>
      <c r="AA519" s="108"/>
      <c r="AB519" s="108"/>
      <c r="AC519" s="105"/>
      <c r="AD519" s="279"/>
      <c r="AE519" s="105"/>
      <c r="AF519" s="279"/>
      <c r="AG519" s="105"/>
      <c r="AH519" s="108"/>
      <c r="AI519" s="108"/>
      <c r="AJ519" s="108"/>
      <c r="AK519" s="108"/>
      <c r="AL519" s="105"/>
      <c r="AM519" s="108"/>
      <c r="AN519" s="105"/>
      <c r="AO519" s="108"/>
      <c r="AP519" s="108"/>
      <c r="AQ519" s="105"/>
      <c r="AR519" s="108"/>
      <c r="AS519" s="108"/>
      <c r="AT519" s="105"/>
      <c r="AU519" s="105"/>
      <c r="AV519" s="105"/>
      <c r="AW519" s="105"/>
      <c r="AX519" s="105"/>
      <c r="AY519" s="105"/>
      <c r="AZ519" s="105"/>
      <c r="BA519" s="105"/>
      <c r="BB519" s="105"/>
      <c r="BC519" s="105"/>
      <c r="BD519" s="108"/>
      <c r="BE519" s="83">
        <f>IF($A519="","",IF(TRIM($D519&amp;"")="",IF(TRIM($AX519&amp;$AY519&amp;$AZ519&amp;$BA519&amp;$BB519&amp;$BC519&amp;$BD519&amp;"")="","","SUBARRENDADO"),IFERROR(IF(VLOOKUP($D519,VEHICULOS!$A$3:$H$202,7,FALSE)="","",VLOOKUP($D519,VEHICULOS!$A$3:$H$202,7,FALSE)),"")))</f>
      </c>
      <c r="BF519" s="82">
        <f>IF($A519="","",IF(TRIM($BC519&amp;"")&lt;&gt;"",$BC519,IF(TRIM($D519&amp;"")="","",IFERROR(IF(VLOOKUP($D519,VEHICULOS!$A$3:$H$202,8,FALSE)="","",VLOOKUP($D519,VEHICULOS!$A$3:$H$202,8,FALSE)),""))))</f>
      </c>
      <c r="BG519" s="106"/>
      <c r="BH519" s="107"/>
      <c r="BI519" s="86">
        <f t="shared" si="120"/>
      </c>
      <c r="BJ519" s="83">
        <f t="shared" si="121"/>
      </c>
      <c r="BK519" s="85">
        <f t="shared" si="122"/>
      </c>
      <c r="BL519" s="85">
        <f t="shared" si="123"/>
      </c>
      <c r="BM519" s="108"/>
      <c r="BN519" s="85">
        <f t="shared" si="124"/>
      </c>
      <c r="BO519" s="108"/>
      <c r="BP519" s="85">
        <f t="shared" si="125"/>
      </c>
      <c r="BQ519" s="85">
        <f t="shared" si="126"/>
      </c>
      <c r="BR519" s="108"/>
      <c r="BS519" s="104"/>
      <c r="BT519" s="87">
        <f t="shared" si="127"/>
      </c>
      <c r="BU519" s="85">
        <f t="shared" si="128"/>
      </c>
      <c r="BV519" s="85">
        <f t="shared" si="129"/>
      </c>
      <c r="BW519" s="87">
        <f t="shared" si="130"/>
      </c>
      <c r="BX519" s="104"/>
      <c r="BY519" s="106"/>
      <c r="BZ519" s="104"/>
      <c r="CA519" s="105"/>
      <c r="CB519" s="77">
        <f>IF($A519="",0,IF($B519='FICHA CLIENTE'!$C$4,1,0))</f>
      </c>
      <c r="CC519" s="77">
        <f t="shared" si="131"/>
      </c>
      <c r="CD519" s="77">
        <f>IF($A519="",0,IF($D519='FICHA VEHICULO'!$C$4,1,0))</f>
      </c>
      <c r="CE519" s="77">
        <f t="shared" si="132"/>
      </c>
      <c r="CF519" s="77">
        <f t="shared" si="133"/>
      </c>
      <c r="CG519" s="77">
        <f t="shared" si="134"/>
      </c>
    </row>
    <row r="520" spans="1:85" ht="19.5" customHeight="1" x14ac:dyDescent="0.2">
      <c r="A520" s="104"/>
      <c r="B520" s="104"/>
      <c r="C520" s="105"/>
      <c r="D520" s="104"/>
      <c r="E520" s="105"/>
      <c r="F520" s="106"/>
      <c r="G520" s="104"/>
      <c r="H520" s="106"/>
      <c r="I520" s="107"/>
      <c r="J520" s="108"/>
      <c r="K520" s="108"/>
      <c r="L520" s="108"/>
      <c r="M520" s="105"/>
      <c r="N520" s="105"/>
      <c r="O520" s="105"/>
      <c r="P520" s="108"/>
      <c r="Q520" s="105"/>
      <c r="R520" s="105"/>
      <c r="S520" s="105"/>
      <c r="T520" s="105"/>
      <c r="U520" s="108"/>
      <c r="V520" s="105"/>
      <c r="W520" s="105"/>
      <c r="X520" s="105"/>
      <c r="Y520" s="105"/>
      <c r="Z520" s="105"/>
      <c r="AA520" s="108"/>
      <c r="AB520" s="108"/>
      <c r="AC520" s="105"/>
      <c r="AD520" s="279"/>
      <c r="AE520" s="105"/>
      <c r="AF520" s="279"/>
      <c r="AG520" s="105"/>
      <c r="AH520" s="108"/>
      <c r="AI520" s="108"/>
      <c r="AJ520" s="108"/>
      <c r="AK520" s="108"/>
      <c r="AL520" s="105"/>
      <c r="AM520" s="108"/>
      <c r="AN520" s="105"/>
      <c r="AO520" s="108"/>
      <c r="AP520" s="108"/>
      <c r="AQ520" s="105"/>
      <c r="AR520" s="108"/>
      <c r="AS520" s="108"/>
      <c r="AT520" s="105"/>
      <c r="AU520" s="105"/>
      <c r="AV520" s="105"/>
      <c r="AW520" s="105"/>
      <c r="AX520" s="105"/>
      <c r="AY520" s="105"/>
      <c r="AZ520" s="105"/>
      <c r="BA520" s="105"/>
      <c r="BB520" s="105"/>
      <c r="BC520" s="105"/>
      <c r="BD520" s="108"/>
      <c r="BE520" s="83">
        <f>IF($A520="","",IF(TRIM($D520&amp;"")="",IF(TRIM($AX520&amp;$AY520&amp;$AZ520&amp;$BA520&amp;$BB520&amp;$BC520&amp;$BD520&amp;"")="","","SUBARRENDADO"),IFERROR(IF(VLOOKUP($D520,VEHICULOS!$A$3:$H$202,7,FALSE)="","",VLOOKUP($D520,VEHICULOS!$A$3:$H$202,7,FALSE)),"")))</f>
      </c>
      <c r="BF520" s="82">
        <f>IF($A520="","",IF(TRIM($BC520&amp;"")&lt;&gt;"",$BC520,IF(TRIM($D520&amp;"")="","",IFERROR(IF(VLOOKUP($D520,VEHICULOS!$A$3:$H$202,8,FALSE)="","",VLOOKUP($D520,VEHICULOS!$A$3:$H$202,8,FALSE)),""))))</f>
      </c>
      <c r="BG520" s="106"/>
      <c r="BH520" s="107"/>
      <c r="BI520" s="86">
        <f t="shared" si="120"/>
      </c>
      <c r="BJ520" s="83">
        <f t="shared" si="121"/>
      </c>
      <c r="BK520" s="85">
        <f t="shared" si="122"/>
      </c>
      <c r="BL520" s="85">
        <f t="shared" si="123"/>
      </c>
      <c r="BM520" s="108"/>
      <c r="BN520" s="85">
        <f t="shared" si="124"/>
      </c>
      <c r="BO520" s="108"/>
      <c r="BP520" s="85">
        <f t="shared" si="125"/>
      </c>
      <c r="BQ520" s="85">
        <f t="shared" si="126"/>
      </c>
      <c r="BR520" s="108"/>
      <c r="BS520" s="104"/>
      <c r="BT520" s="87">
        <f t="shared" si="127"/>
      </c>
      <c r="BU520" s="85">
        <f t="shared" si="128"/>
      </c>
      <c r="BV520" s="85">
        <f t="shared" si="129"/>
      </c>
      <c r="BW520" s="87">
        <f t="shared" si="130"/>
      </c>
      <c r="BX520" s="104"/>
      <c r="BY520" s="106"/>
      <c r="BZ520" s="104"/>
      <c r="CA520" s="105"/>
      <c r="CB520" s="77">
        <f>IF($A520="",0,IF($B520='FICHA CLIENTE'!$C$4,1,0))</f>
      </c>
      <c r="CC520" s="77">
        <f t="shared" si="131"/>
      </c>
      <c r="CD520" s="77">
        <f>IF($A520="",0,IF($D520='FICHA VEHICULO'!$C$4,1,0))</f>
      </c>
      <c r="CE520" s="77">
        <f t="shared" si="132"/>
      </c>
      <c r="CF520" s="77">
        <f t="shared" si="133"/>
      </c>
      <c r="CG520" s="77">
        <f t="shared" si="134"/>
      </c>
    </row>
    <row r="521" spans="1:85" ht="19.5" customHeight="1" x14ac:dyDescent="0.2">
      <c r="A521" s="104"/>
      <c r="B521" s="104"/>
      <c r="C521" s="105"/>
      <c r="D521" s="104"/>
      <c r="E521" s="105"/>
      <c r="F521" s="106"/>
      <c r="G521" s="104"/>
      <c r="H521" s="106"/>
      <c r="I521" s="107"/>
      <c r="J521" s="108"/>
      <c r="K521" s="108"/>
      <c r="L521" s="108"/>
      <c r="M521" s="105"/>
      <c r="N521" s="105"/>
      <c r="O521" s="105"/>
      <c r="P521" s="108"/>
      <c r="Q521" s="105"/>
      <c r="R521" s="105"/>
      <c r="S521" s="105"/>
      <c r="T521" s="105"/>
      <c r="U521" s="108"/>
      <c r="V521" s="105"/>
      <c r="W521" s="105"/>
      <c r="X521" s="105"/>
      <c r="Y521" s="105"/>
      <c r="Z521" s="105"/>
      <c r="AA521" s="108"/>
      <c r="AB521" s="108"/>
      <c r="AC521" s="105"/>
      <c r="AD521" s="279"/>
      <c r="AE521" s="105"/>
      <c r="AF521" s="279"/>
      <c r="AG521" s="105"/>
      <c r="AH521" s="108"/>
      <c r="AI521" s="108"/>
      <c r="AJ521" s="108"/>
      <c r="AK521" s="108"/>
      <c r="AL521" s="105"/>
      <c r="AM521" s="108"/>
      <c r="AN521" s="105"/>
      <c r="AO521" s="108"/>
      <c r="AP521" s="108"/>
      <c r="AQ521" s="105"/>
      <c r="AR521" s="108"/>
      <c r="AS521" s="108"/>
      <c r="AT521" s="105"/>
      <c r="AU521" s="105"/>
      <c r="AV521" s="105"/>
      <c r="AW521" s="105"/>
      <c r="AX521" s="105"/>
      <c r="AY521" s="105"/>
      <c r="AZ521" s="105"/>
      <c r="BA521" s="105"/>
      <c r="BB521" s="105"/>
      <c r="BC521" s="105"/>
      <c r="BD521" s="108"/>
      <c r="BE521" s="83">
        <f>IF($A521="","",IF(TRIM($D521&amp;"")="",IF(TRIM($AX521&amp;$AY521&amp;$AZ521&amp;$BA521&amp;$BB521&amp;$BC521&amp;$BD521&amp;"")="","","SUBARRENDADO"),IFERROR(IF(VLOOKUP($D521,VEHICULOS!$A$3:$H$202,7,FALSE)="","",VLOOKUP($D521,VEHICULOS!$A$3:$H$202,7,FALSE)),"")))</f>
      </c>
      <c r="BF521" s="82">
        <f>IF($A521="","",IF(TRIM($BC521&amp;"")&lt;&gt;"",$BC521,IF(TRIM($D521&amp;"")="","",IFERROR(IF(VLOOKUP($D521,VEHICULOS!$A$3:$H$202,8,FALSE)="","",VLOOKUP($D521,VEHICULOS!$A$3:$H$202,8,FALSE)),""))))</f>
      </c>
      <c r="BG521" s="106"/>
      <c r="BH521" s="107"/>
      <c r="BI521" s="86">
        <f t="shared" si="120"/>
      </c>
      <c r="BJ521" s="83">
        <f t="shared" si="121"/>
      </c>
      <c r="BK521" s="85">
        <f t="shared" si="122"/>
      </c>
      <c r="BL521" s="85">
        <f t="shared" si="123"/>
      </c>
      <c r="BM521" s="108"/>
      <c r="BN521" s="85">
        <f t="shared" si="124"/>
      </c>
      <c r="BO521" s="108"/>
      <c r="BP521" s="85">
        <f t="shared" si="125"/>
      </c>
      <c r="BQ521" s="85">
        <f t="shared" si="126"/>
      </c>
      <c r="BR521" s="108"/>
      <c r="BS521" s="104"/>
      <c r="BT521" s="87">
        <f t="shared" si="127"/>
      </c>
      <c r="BU521" s="85">
        <f t="shared" si="128"/>
      </c>
      <c r="BV521" s="85">
        <f t="shared" si="129"/>
      </c>
      <c r="BW521" s="87">
        <f t="shared" si="130"/>
      </c>
      <c r="BX521" s="104"/>
      <c r="BY521" s="106"/>
      <c r="BZ521" s="104"/>
      <c r="CA521" s="105"/>
      <c r="CB521" s="77">
        <f>IF($A521="",0,IF($B521='FICHA CLIENTE'!$C$4,1,0))</f>
      </c>
      <c r="CC521" s="77">
        <f t="shared" si="131"/>
      </c>
      <c r="CD521" s="77">
        <f>IF($A521="",0,IF($D521='FICHA VEHICULO'!$C$4,1,0))</f>
      </c>
      <c r="CE521" s="77">
        <f t="shared" si="132"/>
      </c>
      <c r="CF521" s="77">
        <f t="shared" si="133"/>
      </c>
      <c r="CG521" s="77">
        <f t="shared" si="134"/>
      </c>
    </row>
    <row r="522" spans="1:85" ht="19.5" customHeight="1" x14ac:dyDescent="0.2">
      <c r="A522" s="104"/>
      <c r="B522" s="104"/>
      <c r="C522" s="105"/>
      <c r="D522" s="104"/>
      <c r="E522" s="105"/>
      <c r="F522" s="106"/>
      <c r="G522" s="104"/>
      <c r="H522" s="106"/>
      <c r="I522" s="107"/>
      <c r="J522" s="108"/>
      <c r="K522" s="108"/>
      <c r="L522" s="108"/>
      <c r="M522" s="105"/>
      <c r="N522" s="105"/>
      <c r="O522" s="105"/>
      <c r="P522" s="108"/>
      <c r="Q522" s="105"/>
      <c r="R522" s="105"/>
      <c r="S522" s="105"/>
      <c r="T522" s="105"/>
      <c r="U522" s="108"/>
      <c r="V522" s="105"/>
      <c r="W522" s="105"/>
      <c r="X522" s="105"/>
      <c r="Y522" s="105"/>
      <c r="Z522" s="105"/>
      <c r="AA522" s="108"/>
      <c r="AB522" s="108"/>
      <c r="AC522" s="105"/>
      <c r="AD522" s="279"/>
      <c r="AE522" s="105"/>
      <c r="AF522" s="279"/>
      <c r="AG522" s="105"/>
      <c r="AH522" s="108"/>
      <c r="AI522" s="108"/>
      <c r="AJ522" s="108"/>
      <c r="AK522" s="108"/>
      <c r="AL522" s="105"/>
      <c r="AM522" s="108"/>
      <c r="AN522" s="105"/>
      <c r="AO522" s="108"/>
      <c r="AP522" s="108"/>
      <c r="AQ522" s="105"/>
      <c r="AR522" s="108"/>
      <c r="AS522" s="108"/>
      <c r="AT522" s="105"/>
      <c r="AU522" s="105"/>
      <c r="AV522" s="105"/>
      <c r="AW522" s="105"/>
      <c r="AX522" s="105"/>
      <c r="AY522" s="105"/>
      <c r="AZ522" s="105"/>
      <c r="BA522" s="105"/>
      <c r="BB522" s="105"/>
      <c r="BC522" s="105"/>
      <c r="BD522" s="108"/>
      <c r="BE522" s="83">
        <f>IF($A522="","",IF(TRIM($D522&amp;"")="",IF(TRIM($AX522&amp;$AY522&amp;$AZ522&amp;$BA522&amp;$BB522&amp;$BC522&amp;$BD522&amp;"")="","","SUBARRENDADO"),IFERROR(IF(VLOOKUP($D522,VEHICULOS!$A$3:$H$202,7,FALSE)="","",VLOOKUP($D522,VEHICULOS!$A$3:$H$202,7,FALSE)),"")))</f>
      </c>
      <c r="BF522" s="82">
        <f>IF($A522="","",IF(TRIM($BC522&amp;"")&lt;&gt;"",$BC522,IF(TRIM($D522&amp;"")="","",IFERROR(IF(VLOOKUP($D522,VEHICULOS!$A$3:$H$202,8,FALSE)="","",VLOOKUP($D522,VEHICULOS!$A$3:$H$202,8,FALSE)),""))))</f>
      </c>
      <c r="BG522" s="106"/>
      <c r="BH522" s="107"/>
      <c r="BI522" s="86">
        <f t="shared" si="120"/>
      </c>
      <c r="BJ522" s="83">
        <f t="shared" si="121"/>
      </c>
      <c r="BK522" s="85">
        <f t="shared" si="122"/>
      </c>
      <c r="BL522" s="85">
        <f t="shared" si="123"/>
      </c>
      <c r="BM522" s="108"/>
      <c r="BN522" s="85">
        <f t="shared" si="124"/>
      </c>
      <c r="BO522" s="108"/>
      <c r="BP522" s="85">
        <f t="shared" si="125"/>
      </c>
      <c r="BQ522" s="85">
        <f t="shared" si="126"/>
      </c>
      <c r="BR522" s="108"/>
      <c r="BS522" s="104"/>
      <c r="BT522" s="87">
        <f t="shared" si="127"/>
      </c>
      <c r="BU522" s="85">
        <f t="shared" si="128"/>
      </c>
      <c r="BV522" s="85">
        <f t="shared" si="129"/>
      </c>
      <c r="BW522" s="87">
        <f t="shared" si="130"/>
      </c>
      <c r="BX522" s="104"/>
      <c r="BY522" s="106"/>
      <c r="BZ522" s="104"/>
      <c r="CA522" s="105"/>
      <c r="CB522" s="77">
        <f>IF($A522="",0,IF($B522='FICHA CLIENTE'!$C$4,1,0))</f>
      </c>
      <c r="CC522" s="77">
        <f t="shared" si="131"/>
      </c>
      <c r="CD522" s="77">
        <f>IF($A522="",0,IF($D522='FICHA VEHICULO'!$C$4,1,0))</f>
      </c>
      <c r="CE522" s="77">
        <f t="shared" si="132"/>
      </c>
      <c r="CF522" s="77">
        <f t="shared" si="133"/>
      </c>
      <c r="CG522" s="77">
        <f t="shared" si="134"/>
      </c>
    </row>
    <row r="523" spans="1:85" ht="19.5" customHeight="1" x14ac:dyDescent="0.2">
      <c r="A523" s="104"/>
      <c r="B523" s="104"/>
      <c r="C523" s="105"/>
      <c r="D523" s="104"/>
      <c r="E523" s="105"/>
      <c r="F523" s="106"/>
      <c r="G523" s="104"/>
      <c r="H523" s="106"/>
      <c r="I523" s="107"/>
      <c r="J523" s="108"/>
      <c r="K523" s="108"/>
      <c r="L523" s="108"/>
      <c r="M523" s="105"/>
      <c r="N523" s="105"/>
      <c r="O523" s="105"/>
      <c r="P523" s="108"/>
      <c r="Q523" s="105"/>
      <c r="R523" s="105"/>
      <c r="S523" s="105"/>
      <c r="T523" s="105"/>
      <c r="U523" s="108"/>
      <c r="V523" s="105"/>
      <c r="W523" s="105"/>
      <c r="X523" s="105"/>
      <c r="Y523" s="105"/>
      <c r="Z523" s="105"/>
      <c r="AA523" s="108"/>
      <c r="AB523" s="108"/>
      <c r="AC523" s="105"/>
      <c r="AD523" s="279"/>
      <c r="AE523" s="105"/>
      <c r="AF523" s="279"/>
      <c r="AG523" s="105"/>
      <c r="AH523" s="108"/>
      <c r="AI523" s="108"/>
      <c r="AJ523" s="108"/>
      <c r="AK523" s="108"/>
      <c r="AL523" s="105"/>
      <c r="AM523" s="108"/>
      <c r="AN523" s="105"/>
      <c r="AO523" s="108"/>
      <c r="AP523" s="108"/>
      <c r="AQ523" s="105"/>
      <c r="AR523" s="108"/>
      <c r="AS523" s="108"/>
      <c r="AT523" s="105"/>
      <c r="AU523" s="105"/>
      <c r="AV523" s="105"/>
      <c r="AW523" s="105"/>
      <c r="AX523" s="105"/>
      <c r="AY523" s="105"/>
      <c r="AZ523" s="105"/>
      <c r="BA523" s="105"/>
      <c r="BB523" s="105"/>
      <c r="BC523" s="105"/>
      <c r="BD523" s="108"/>
      <c r="BE523" s="83">
        <f>IF($A523="","",IF(TRIM($D523&amp;"")="",IF(TRIM($AX523&amp;$AY523&amp;$AZ523&amp;$BA523&amp;$BB523&amp;$BC523&amp;$BD523&amp;"")="","","SUBARRENDADO"),IFERROR(IF(VLOOKUP($D523,VEHICULOS!$A$3:$H$202,7,FALSE)="","",VLOOKUP($D523,VEHICULOS!$A$3:$H$202,7,FALSE)),"")))</f>
      </c>
      <c r="BF523" s="82">
        <f>IF($A523="","",IF(TRIM($BC523&amp;"")&lt;&gt;"",$BC523,IF(TRIM($D523&amp;"")="","",IFERROR(IF(VLOOKUP($D523,VEHICULOS!$A$3:$H$202,8,FALSE)="","",VLOOKUP($D523,VEHICULOS!$A$3:$H$202,8,FALSE)),""))))</f>
      </c>
      <c r="BG523" s="106"/>
      <c r="BH523" s="107"/>
      <c r="BI523" s="86">
        <f t="shared" si="120"/>
      </c>
      <c r="BJ523" s="83">
        <f t="shared" si="121"/>
      </c>
      <c r="BK523" s="85">
        <f t="shared" si="122"/>
      </c>
      <c r="BL523" s="85">
        <f t="shared" si="123"/>
      </c>
      <c r="BM523" s="108"/>
      <c r="BN523" s="85">
        <f t="shared" si="124"/>
      </c>
      <c r="BO523" s="108"/>
      <c r="BP523" s="85">
        <f t="shared" si="125"/>
      </c>
      <c r="BQ523" s="85">
        <f t="shared" si="126"/>
      </c>
      <c r="BR523" s="108"/>
      <c r="BS523" s="104"/>
      <c r="BT523" s="87">
        <f t="shared" si="127"/>
      </c>
      <c r="BU523" s="85">
        <f t="shared" si="128"/>
      </c>
      <c r="BV523" s="85">
        <f t="shared" si="129"/>
      </c>
      <c r="BW523" s="87">
        <f t="shared" si="130"/>
      </c>
      <c r="BX523" s="104"/>
      <c r="BY523" s="106"/>
      <c r="BZ523" s="104"/>
      <c r="CA523" s="105"/>
      <c r="CB523" s="77">
        <f>IF($A523="",0,IF($B523='FICHA CLIENTE'!$C$4,1,0))</f>
      </c>
      <c r="CC523" s="77">
        <f t="shared" si="131"/>
      </c>
      <c r="CD523" s="77">
        <f>IF($A523="",0,IF($D523='FICHA VEHICULO'!$C$4,1,0))</f>
      </c>
      <c r="CE523" s="77">
        <f t="shared" si="132"/>
      </c>
      <c r="CF523" s="77">
        <f t="shared" si="133"/>
      </c>
      <c r="CG523" s="77">
        <f t="shared" si="134"/>
      </c>
    </row>
    <row r="524" spans="1:85" ht="19.5" customHeight="1" x14ac:dyDescent="0.2">
      <c r="A524" s="104"/>
      <c r="B524" s="104"/>
      <c r="C524" s="105"/>
      <c r="D524" s="104"/>
      <c r="E524" s="105"/>
      <c r="F524" s="106"/>
      <c r="G524" s="104"/>
      <c r="H524" s="106"/>
      <c r="I524" s="107"/>
      <c r="J524" s="108"/>
      <c r="K524" s="108"/>
      <c r="L524" s="108"/>
      <c r="M524" s="105"/>
      <c r="N524" s="105"/>
      <c r="O524" s="105"/>
      <c r="P524" s="108"/>
      <c r="Q524" s="105"/>
      <c r="R524" s="105"/>
      <c r="S524" s="105"/>
      <c r="T524" s="105"/>
      <c r="U524" s="108"/>
      <c r="V524" s="105"/>
      <c r="W524" s="105"/>
      <c r="X524" s="105"/>
      <c r="Y524" s="105"/>
      <c r="Z524" s="105"/>
      <c r="AA524" s="108"/>
      <c r="AB524" s="108"/>
      <c r="AC524" s="105"/>
      <c r="AD524" s="279"/>
      <c r="AE524" s="105"/>
      <c r="AF524" s="279"/>
      <c r="AG524" s="105"/>
      <c r="AH524" s="108"/>
      <c r="AI524" s="108"/>
      <c r="AJ524" s="108"/>
      <c r="AK524" s="108"/>
      <c r="AL524" s="105"/>
      <c r="AM524" s="108"/>
      <c r="AN524" s="105"/>
      <c r="AO524" s="108"/>
      <c r="AP524" s="108"/>
      <c r="AQ524" s="105"/>
      <c r="AR524" s="108"/>
      <c r="AS524" s="108"/>
      <c r="AT524" s="105"/>
      <c r="AU524" s="105"/>
      <c r="AV524" s="105"/>
      <c r="AW524" s="105"/>
      <c r="AX524" s="105"/>
      <c r="AY524" s="105"/>
      <c r="AZ524" s="105"/>
      <c r="BA524" s="105"/>
      <c r="BB524" s="105"/>
      <c r="BC524" s="105"/>
      <c r="BD524" s="108"/>
      <c r="BE524" s="83">
        <f>IF($A524="","",IF(TRIM($D524&amp;"")="",IF(TRIM($AX524&amp;$AY524&amp;$AZ524&amp;$BA524&amp;$BB524&amp;$BC524&amp;$BD524&amp;"")="","","SUBARRENDADO"),IFERROR(IF(VLOOKUP($D524,VEHICULOS!$A$3:$H$202,7,FALSE)="","",VLOOKUP($D524,VEHICULOS!$A$3:$H$202,7,FALSE)),"")))</f>
      </c>
      <c r="BF524" s="82">
        <f>IF($A524="","",IF(TRIM($BC524&amp;"")&lt;&gt;"",$BC524,IF(TRIM($D524&amp;"")="","",IFERROR(IF(VLOOKUP($D524,VEHICULOS!$A$3:$H$202,8,FALSE)="","",VLOOKUP($D524,VEHICULOS!$A$3:$H$202,8,FALSE)),""))))</f>
      </c>
      <c r="BG524" s="106"/>
      <c r="BH524" s="107"/>
      <c r="BI524" s="86">
        <f t="shared" si="120"/>
      </c>
      <c r="BJ524" s="83">
        <f t="shared" si="121"/>
      </c>
      <c r="BK524" s="85">
        <f t="shared" si="122"/>
      </c>
      <c r="BL524" s="85">
        <f t="shared" si="123"/>
      </c>
      <c r="BM524" s="108"/>
      <c r="BN524" s="85">
        <f t="shared" si="124"/>
      </c>
      <c r="BO524" s="108"/>
      <c r="BP524" s="85">
        <f t="shared" si="125"/>
      </c>
      <c r="BQ524" s="85">
        <f t="shared" si="126"/>
      </c>
      <c r="BR524" s="108"/>
      <c r="BS524" s="104"/>
      <c r="BT524" s="87">
        <f t="shared" si="127"/>
      </c>
      <c r="BU524" s="85">
        <f t="shared" si="128"/>
      </c>
      <c r="BV524" s="85">
        <f t="shared" si="129"/>
      </c>
      <c r="BW524" s="87">
        <f t="shared" si="130"/>
      </c>
      <c r="BX524" s="104"/>
      <c r="BY524" s="106"/>
      <c r="BZ524" s="104"/>
      <c r="CA524" s="105"/>
      <c r="CB524" s="77">
        <f>IF($A524="",0,IF($B524='FICHA CLIENTE'!$C$4,1,0))</f>
      </c>
      <c r="CC524" s="77">
        <f t="shared" si="131"/>
      </c>
      <c r="CD524" s="77">
        <f>IF($A524="",0,IF($D524='FICHA VEHICULO'!$C$4,1,0))</f>
      </c>
      <c r="CE524" s="77">
        <f t="shared" si="132"/>
      </c>
      <c r="CF524" s="77">
        <f t="shared" si="133"/>
      </c>
      <c r="CG524" s="77">
        <f t="shared" si="134"/>
      </c>
    </row>
    <row r="525" spans="1:85" ht="19.5" customHeight="1" x14ac:dyDescent="0.2">
      <c r="A525" s="104"/>
      <c r="B525" s="104"/>
      <c r="C525" s="105"/>
      <c r="D525" s="104"/>
      <c r="E525" s="105"/>
      <c r="F525" s="106"/>
      <c r="G525" s="104"/>
      <c r="H525" s="106"/>
      <c r="I525" s="107"/>
      <c r="J525" s="108"/>
      <c r="K525" s="108"/>
      <c r="L525" s="108"/>
      <c r="M525" s="105"/>
      <c r="N525" s="105"/>
      <c r="O525" s="105"/>
      <c r="P525" s="108"/>
      <c r="Q525" s="105"/>
      <c r="R525" s="105"/>
      <c r="S525" s="105"/>
      <c r="T525" s="105"/>
      <c r="U525" s="108"/>
      <c r="V525" s="105"/>
      <c r="W525" s="105"/>
      <c r="X525" s="105"/>
      <c r="Y525" s="105"/>
      <c r="Z525" s="105"/>
      <c r="AA525" s="108"/>
      <c r="AB525" s="108"/>
      <c r="AC525" s="105"/>
      <c r="AD525" s="279"/>
      <c r="AE525" s="105"/>
      <c r="AF525" s="279"/>
      <c r="AG525" s="105"/>
      <c r="AH525" s="108"/>
      <c r="AI525" s="108"/>
      <c r="AJ525" s="108"/>
      <c r="AK525" s="108"/>
      <c r="AL525" s="105"/>
      <c r="AM525" s="108"/>
      <c r="AN525" s="105"/>
      <c r="AO525" s="108"/>
      <c r="AP525" s="108"/>
      <c r="AQ525" s="105"/>
      <c r="AR525" s="108"/>
      <c r="AS525" s="108"/>
      <c r="AT525" s="105"/>
      <c r="AU525" s="105"/>
      <c r="AV525" s="105"/>
      <c r="AW525" s="105"/>
      <c r="AX525" s="105"/>
      <c r="AY525" s="105"/>
      <c r="AZ525" s="105"/>
      <c r="BA525" s="105"/>
      <c r="BB525" s="105"/>
      <c r="BC525" s="105"/>
      <c r="BD525" s="108"/>
      <c r="BE525" s="83">
        <f>IF($A525="","",IF(TRIM($D525&amp;"")="",IF(TRIM($AX525&amp;$AY525&amp;$AZ525&amp;$BA525&amp;$BB525&amp;$BC525&amp;$BD525&amp;"")="","","SUBARRENDADO"),IFERROR(IF(VLOOKUP($D525,VEHICULOS!$A$3:$H$202,7,FALSE)="","",VLOOKUP($D525,VEHICULOS!$A$3:$H$202,7,FALSE)),"")))</f>
      </c>
      <c r="BF525" s="82">
        <f>IF($A525="","",IF(TRIM($BC525&amp;"")&lt;&gt;"",$BC525,IF(TRIM($D525&amp;"")="","",IFERROR(IF(VLOOKUP($D525,VEHICULOS!$A$3:$H$202,8,FALSE)="","",VLOOKUP($D525,VEHICULOS!$A$3:$H$202,8,FALSE)),""))))</f>
      </c>
      <c r="BG525" s="106"/>
      <c r="BH525" s="107"/>
      <c r="BI525" s="86">
        <f t="shared" si="120"/>
      </c>
      <c r="BJ525" s="83">
        <f t="shared" si="121"/>
      </c>
      <c r="BK525" s="85">
        <f t="shared" si="122"/>
      </c>
      <c r="BL525" s="85">
        <f t="shared" si="123"/>
      </c>
      <c r="BM525" s="108"/>
      <c r="BN525" s="85">
        <f t="shared" si="124"/>
      </c>
      <c r="BO525" s="108"/>
      <c r="BP525" s="85">
        <f t="shared" si="125"/>
      </c>
      <c r="BQ525" s="85">
        <f t="shared" si="126"/>
      </c>
      <c r="BR525" s="108"/>
      <c r="BS525" s="104"/>
      <c r="BT525" s="87">
        <f t="shared" si="127"/>
      </c>
      <c r="BU525" s="85">
        <f t="shared" si="128"/>
      </c>
      <c r="BV525" s="85">
        <f t="shared" si="129"/>
      </c>
      <c r="BW525" s="87">
        <f t="shared" si="130"/>
      </c>
      <c r="BX525" s="104"/>
      <c r="BY525" s="106"/>
      <c r="BZ525" s="104"/>
      <c r="CA525" s="105"/>
      <c r="CB525" s="77">
        <f>IF($A525="",0,IF($B525='FICHA CLIENTE'!$C$4,1,0))</f>
      </c>
      <c r="CC525" s="77">
        <f t="shared" si="131"/>
      </c>
      <c r="CD525" s="77">
        <f>IF($A525="",0,IF($D525='FICHA VEHICULO'!$C$4,1,0))</f>
      </c>
      <c r="CE525" s="77">
        <f t="shared" si="132"/>
      </c>
      <c r="CF525" s="77">
        <f t="shared" si="133"/>
      </c>
      <c r="CG525" s="77">
        <f t="shared" si="134"/>
      </c>
    </row>
    <row r="526" spans="1:85" ht="19.5" customHeight="1" x14ac:dyDescent="0.2">
      <c r="A526" s="104"/>
      <c r="B526" s="104"/>
      <c r="C526" s="105"/>
      <c r="D526" s="104"/>
      <c r="E526" s="105"/>
      <c r="F526" s="106"/>
      <c r="G526" s="104"/>
      <c r="H526" s="106"/>
      <c r="I526" s="107"/>
      <c r="J526" s="108"/>
      <c r="K526" s="108"/>
      <c r="L526" s="108"/>
      <c r="M526" s="105"/>
      <c r="N526" s="105"/>
      <c r="O526" s="105"/>
      <c r="P526" s="108"/>
      <c r="Q526" s="105"/>
      <c r="R526" s="105"/>
      <c r="S526" s="105"/>
      <c r="T526" s="105"/>
      <c r="U526" s="108"/>
      <c r="V526" s="105"/>
      <c r="W526" s="105"/>
      <c r="X526" s="105"/>
      <c r="Y526" s="105"/>
      <c r="Z526" s="105"/>
      <c r="AA526" s="108"/>
      <c r="AB526" s="108"/>
      <c r="AC526" s="105"/>
      <c r="AD526" s="279"/>
      <c r="AE526" s="105"/>
      <c r="AF526" s="279"/>
      <c r="AG526" s="105"/>
      <c r="AH526" s="108"/>
      <c r="AI526" s="108"/>
      <c r="AJ526" s="108"/>
      <c r="AK526" s="108"/>
      <c r="AL526" s="105"/>
      <c r="AM526" s="108"/>
      <c r="AN526" s="105"/>
      <c r="AO526" s="108"/>
      <c r="AP526" s="108"/>
      <c r="AQ526" s="105"/>
      <c r="AR526" s="108"/>
      <c r="AS526" s="108"/>
      <c r="AT526" s="105"/>
      <c r="AU526" s="105"/>
      <c r="AV526" s="105"/>
      <c r="AW526" s="105"/>
      <c r="AX526" s="105"/>
      <c r="AY526" s="105"/>
      <c r="AZ526" s="105"/>
      <c r="BA526" s="105"/>
      <c r="BB526" s="105"/>
      <c r="BC526" s="105"/>
      <c r="BD526" s="108"/>
      <c r="BE526" s="83">
        <f>IF($A526="","",IF(TRIM($D526&amp;"")="",IF(TRIM($AX526&amp;$AY526&amp;$AZ526&amp;$BA526&amp;$BB526&amp;$BC526&amp;$BD526&amp;"")="","","SUBARRENDADO"),IFERROR(IF(VLOOKUP($D526,VEHICULOS!$A$3:$H$202,7,FALSE)="","",VLOOKUP($D526,VEHICULOS!$A$3:$H$202,7,FALSE)),"")))</f>
      </c>
      <c r="BF526" s="82">
        <f>IF($A526="","",IF(TRIM($BC526&amp;"")&lt;&gt;"",$BC526,IF(TRIM($D526&amp;"")="","",IFERROR(IF(VLOOKUP($D526,VEHICULOS!$A$3:$H$202,8,FALSE)="","",VLOOKUP($D526,VEHICULOS!$A$3:$H$202,8,FALSE)),""))))</f>
      </c>
      <c r="BG526" s="106"/>
      <c r="BH526" s="107"/>
      <c r="BI526" s="86">
        <f t="shared" si="120"/>
      </c>
      <c r="BJ526" s="83">
        <f t="shared" si="121"/>
      </c>
      <c r="BK526" s="85">
        <f t="shared" si="122"/>
      </c>
      <c r="BL526" s="85">
        <f t="shared" si="123"/>
      </c>
      <c r="BM526" s="108"/>
      <c r="BN526" s="85">
        <f t="shared" si="124"/>
      </c>
      <c r="BO526" s="108"/>
      <c r="BP526" s="85">
        <f t="shared" si="125"/>
      </c>
      <c r="BQ526" s="85">
        <f t="shared" si="126"/>
      </c>
      <c r="BR526" s="108"/>
      <c r="BS526" s="104"/>
      <c r="BT526" s="87">
        <f t="shared" si="127"/>
      </c>
      <c r="BU526" s="85">
        <f t="shared" si="128"/>
      </c>
      <c r="BV526" s="85">
        <f t="shared" si="129"/>
      </c>
      <c r="BW526" s="87">
        <f t="shared" si="130"/>
      </c>
      <c r="BX526" s="104"/>
      <c r="BY526" s="106"/>
      <c r="BZ526" s="104"/>
      <c r="CA526" s="105"/>
      <c r="CB526" s="77">
        <f>IF($A526="",0,IF($B526='FICHA CLIENTE'!$C$4,1,0))</f>
      </c>
      <c r="CC526" s="77">
        <f t="shared" si="131"/>
      </c>
      <c r="CD526" s="77">
        <f>IF($A526="",0,IF($D526='FICHA VEHICULO'!$C$4,1,0))</f>
      </c>
      <c r="CE526" s="77">
        <f t="shared" si="132"/>
      </c>
      <c r="CF526" s="77">
        <f t="shared" si="133"/>
      </c>
      <c r="CG526" s="77">
        <f t="shared" si="134"/>
      </c>
    </row>
    <row r="527" spans="1:85" ht="19.5" customHeight="1" x14ac:dyDescent="0.2">
      <c r="A527" s="104"/>
      <c r="B527" s="104"/>
      <c r="C527" s="105"/>
      <c r="D527" s="104"/>
      <c r="E527" s="105"/>
      <c r="F527" s="106"/>
      <c r="G527" s="104"/>
      <c r="H527" s="106"/>
      <c r="I527" s="107"/>
      <c r="J527" s="108"/>
      <c r="K527" s="108"/>
      <c r="L527" s="108"/>
      <c r="M527" s="105"/>
      <c r="N527" s="105"/>
      <c r="O527" s="105"/>
      <c r="P527" s="108"/>
      <c r="Q527" s="105"/>
      <c r="R527" s="105"/>
      <c r="S527" s="105"/>
      <c r="T527" s="105"/>
      <c r="U527" s="108"/>
      <c r="V527" s="105"/>
      <c r="W527" s="105"/>
      <c r="X527" s="105"/>
      <c r="Y527" s="105"/>
      <c r="Z527" s="105"/>
      <c r="AA527" s="108"/>
      <c r="AB527" s="108"/>
      <c r="AC527" s="105"/>
      <c r="AD527" s="279"/>
      <c r="AE527" s="105"/>
      <c r="AF527" s="279"/>
      <c r="AG527" s="105"/>
      <c r="AH527" s="108"/>
      <c r="AI527" s="108"/>
      <c r="AJ527" s="108"/>
      <c r="AK527" s="108"/>
      <c r="AL527" s="105"/>
      <c r="AM527" s="108"/>
      <c r="AN527" s="105"/>
      <c r="AO527" s="108"/>
      <c r="AP527" s="108"/>
      <c r="AQ527" s="105"/>
      <c r="AR527" s="108"/>
      <c r="AS527" s="108"/>
      <c r="AT527" s="105"/>
      <c r="AU527" s="105"/>
      <c r="AV527" s="105"/>
      <c r="AW527" s="105"/>
      <c r="AX527" s="105"/>
      <c r="AY527" s="105"/>
      <c r="AZ527" s="105"/>
      <c r="BA527" s="105"/>
      <c r="BB527" s="105"/>
      <c r="BC527" s="105"/>
      <c r="BD527" s="108"/>
      <c r="BE527" s="83">
        <f>IF($A527="","",IF(TRIM($D527&amp;"")="",IF(TRIM($AX527&amp;$AY527&amp;$AZ527&amp;$BA527&amp;$BB527&amp;$BC527&amp;$BD527&amp;"")="","","SUBARRENDADO"),IFERROR(IF(VLOOKUP($D527,VEHICULOS!$A$3:$H$202,7,FALSE)="","",VLOOKUP($D527,VEHICULOS!$A$3:$H$202,7,FALSE)),"")))</f>
      </c>
      <c r="BF527" s="82">
        <f>IF($A527="","",IF(TRIM($BC527&amp;"")&lt;&gt;"",$BC527,IF(TRIM($D527&amp;"")="","",IFERROR(IF(VLOOKUP($D527,VEHICULOS!$A$3:$H$202,8,FALSE)="","",VLOOKUP($D527,VEHICULOS!$A$3:$H$202,8,FALSE)),""))))</f>
      </c>
      <c r="BG527" s="106"/>
      <c r="BH527" s="107"/>
      <c r="BI527" s="86">
        <f t="shared" si="120"/>
      </c>
      <c r="BJ527" s="83">
        <f t="shared" si="121"/>
      </c>
      <c r="BK527" s="85">
        <f t="shared" si="122"/>
      </c>
      <c r="BL527" s="85">
        <f t="shared" si="123"/>
      </c>
      <c r="BM527" s="108"/>
      <c r="BN527" s="85">
        <f t="shared" si="124"/>
      </c>
      <c r="BO527" s="108"/>
      <c r="BP527" s="85">
        <f t="shared" si="125"/>
      </c>
      <c r="BQ527" s="85">
        <f t="shared" si="126"/>
      </c>
      <c r="BR527" s="108"/>
      <c r="BS527" s="104"/>
      <c r="BT527" s="87">
        <f t="shared" si="127"/>
      </c>
      <c r="BU527" s="85">
        <f t="shared" si="128"/>
      </c>
      <c r="BV527" s="85">
        <f t="shared" si="129"/>
      </c>
      <c r="BW527" s="87">
        <f t="shared" si="130"/>
      </c>
      <c r="BX527" s="104"/>
      <c r="BY527" s="106"/>
      <c r="BZ527" s="104"/>
      <c r="CA527" s="105"/>
      <c r="CB527" s="77">
        <f>IF($A527="",0,IF($B527='FICHA CLIENTE'!$C$4,1,0))</f>
      </c>
      <c r="CC527" s="77">
        <f t="shared" si="131"/>
      </c>
      <c r="CD527" s="77">
        <f>IF($A527="",0,IF($D527='FICHA VEHICULO'!$C$4,1,0))</f>
      </c>
      <c r="CE527" s="77">
        <f t="shared" si="132"/>
      </c>
      <c r="CF527" s="77">
        <f t="shared" si="133"/>
      </c>
      <c r="CG527" s="77">
        <f t="shared" si="134"/>
      </c>
    </row>
    <row r="528" spans="1:85" ht="19.5" customHeight="1" x14ac:dyDescent="0.2">
      <c r="A528" s="104"/>
      <c r="B528" s="104"/>
      <c r="C528" s="105"/>
      <c r="D528" s="104"/>
      <c r="E528" s="105"/>
      <c r="F528" s="106"/>
      <c r="G528" s="104"/>
      <c r="H528" s="106"/>
      <c r="I528" s="107"/>
      <c r="J528" s="108"/>
      <c r="K528" s="108"/>
      <c r="L528" s="108"/>
      <c r="M528" s="105"/>
      <c r="N528" s="105"/>
      <c r="O528" s="105"/>
      <c r="P528" s="108"/>
      <c r="Q528" s="105"/>
      <c r="R528" s="105"/>
      <c r="S528" s="105"/>
      <c r="T528" s="105"/>
      <c r="U528" s="108"/>
      <c r="V528" s="105"/>
      <c r="W528" s="105"/>
      <c r="X528" s="105"/>
      <c r="Y528" s="105"/>
      <c r="Z528" s="105"/>
      <c r="AA528" s="108"/>
      <c r="AB528" s="108"/>
      <c r="AC528" s="105"/>
      <c r="AD528" s="279"/>
      <c r="AE528" s="105"/>
      <c r="AF528" s="279"/>
      <c r="AG528" s="105"/>
      <c r="AH528" s="108"/>
      <c r="AI528" s="108"/>
      <c r="AJ528" s="108"/>
      <c r="AK528" s="108"/>
      <c r="AL528" s="105"/>
      <c r="AM528" s="108"/>
      <c r="AN528" s="105"/>
      <c r="AO528" s="108"/>
      <c r="AP528" s="108"/>
      <c r="AQ528" s="105"/>
      <c r="AR528" s="108"/>
      <c r="AS528" s="108"/>
      <c r="AT528" s="105"/>
      <c r="AU528" s="105"/>
      <c r="AV528" s="105"/>
      <c r="AW528" s="105"/>
      <c r="AX528" s="105"/>
      <c r="AY528" s="105"/>
      <c r="AZ528" s="105"/>
      <c r="BA528" s="105"/>
      <c r="BB528" s="105"/>
      <c r="BC528" s="105"/>
      <c r="BD528" s="108"/>
      <c r="BE528" s="83">
        <f>IF($A528="","",IF(TRIM($D528&amp;"")="",IF(TRIM($AX528&amp;$AY528&amp;$AZ528&amp;$BA528&amp;$BB528&amp;$BC528&amp;$BD528&amp;"")="","","SUBARRENDADO"),IFERROR(IF(VLOOKUP($D528,VEHICULOS!$A$3:$H$202,7,FALSE)="","",VLOOKUP($D528,VEHICULOS!$A$3:$H$202,7,FALSE)),"")))</f>
      </c>
      <c r="BF528" s="82">
        <f>IF($A528="","",IF(TRIM($BC528&amp;"")&lt;&gt;"",$BC528,IF(TRIM($D528&amp;"")="","",IFERROR(IF(VLOOKUP($D528,VEHICULOS!$A$3:$H$202,8,FALSE)="","",VLOOKUP($D528,VEHICULOS!$A$3:$H$202,8,FALSE)),""))))</f>
      </c>
      <c r="BG528" s="106"/>
      <c r="BH528" s="107"/>
      <c r="BI528" s="86">
        <f t="shared" si="120"/>
      </c>
      <c r="BJ528" s="83">
        <f t="shared" si="121"/>
      </c>
      <c r="BK528" s="85">
        <f t="shared" si="122"/>
      </c>
      <c r="BL528" s="85">
        <f t="shared" si="123"/>
      </c>
      <c r="BM528" s="108"/>
      <c r="BN528" s="85">
        <f t="shared" si="124"/>
      </c>
      <c r="BO528" s="108"/>
      <c r="BP528" s="85">
        <f t="shared" si="125"/>
      </c>
      <c r="BQ528" s="85">
        <f t="shared" si="126"/>
      </c>
      <c r="BR528" s="108"/>
      <c r="BS528" s="104"/>
      <c r="BT528" s="87">
        <f t="shared" si="127"/>
      </c>
      <c r="BU528" s="85">
        <f t="shared" si="128"/>
      </c>
      <c r="BV528" s="85">
        <f t="shared" si="129"/>
      </c>
      <c r="BW528" s="87">
        <f t="shared" si="130"/>
      </c>
      <c r="BX528" s="104"/>
      <c r="BY528" s="106"/>
      <c r="BZ528" s="104"/>
      <c r="CA528" s="105"/>
      <c r="CB528" s="77">
        <f>IF($A528="",0,IF($B528='FICHA CLIENTE'!$C$4,1,0))</f>
      </c>
      <c r="CC528" s="77">
        <f t="shared" si="131"/>
      </c>
      <c r="CD528" s="77">
        <f>IF($A528="",0,IF($D528='FICHA VEHICULO'!$C$4,1,0))</f>
      </c>
      <c r="CE528" s="77">
        <f t="shared" si="132"/>
      </c>
      <c r="CF528" s="77">
        <f t="shared" si="133"/>
      </c>
      <c r="CG528" s="77">
        <f t="shared" si="134"/>
      </c>
    </row>
    <row r="529" spans="1:85" ht="19.5" customHeight="1" x14ac:dyDescent="0.2">
      <c r="A529" s="104"/>
      <c r="B529" s="104"/>
      <c r="C529" s="105"/>
      <c r="D529" s="104"/>
      <c r="E529" s="105"/>
      <c r="F529" s="106"/>
      <c r="G529" s="104"/>
      <c r="H529" s="106"/>
      <c r="I529" s="107"/>
      <c r="J529" s="108"/>
      <c r="K529" s="108"/>
      <c r="L529" s="108"/>
      <c r="M529" s="105"/>
      <c r="N529" s="105"/>
      <c r="O529" s="105"/>
      <c r="P529" s="108"/>
      <c r="Q529" s="105"/>
      <c r="R529" s="105"/>
      <c r="S529" s="105"/>
      <c r="T529" s="105"/>
      <c r="U529" s="108"/>
      <c r="V529" s="105"/>
      <c r="W529" s="105"/>
      <c r="X529" s="105"/>
      <c r="Y529" s="105"/>
      <c r="Z529" s="105"/>
      <c r="AA529" s="108"/>
      <c r="AB529" s="108"/>
      <c r="AC529" s="105"/>
      <c r="AD529" s="279"/>
      <c r="AE529" s="105"/>
      <c r="AF529" s="279"/>
      <c r="AG529" s="105"/>
      <c r="AH529" s="108"/>
      <c r="AI529" s="108"/>
      <c r="AJ529" s="108"/>
      <c r="AK529" s="108"/>
      <c r="AL529" s="105"/>
      <c r="AM529" s="108"/>
      <c r="AN529" s="105"/>
      <c r="AO529" s="108"/>
      <c r="AP529" s="108"/>
      <c r="AQ529" s="105"/>
      <c r="AR529" s="108"/>
      <c r="AS529" s="108"/>
      <c r="AT529" s="105"/>
      <c r="AU529" s="105"/>
      <c r="AV529" s="105"/>
      <c r="AW529" s="105"/>
      <c r="AX529" s="105"/>
      <c r="AY529" s="105"/>
      <c r="AZ529" s="105"/>
      <c r="BA529" s="105"/>
      <c r="BB529" s="105"/>
      <c r="BC529" s="105"/>
      <c r="BD529" s="108"/>
      <c r="BE529" s="83">
        <f>IF($A529="","",IF(TRIM($D529&amp;"")="",IF(TRIM($AX529&amp;$AY529&amp;$AZ529&amp;$BA529&amp;$BB529&amp;$BC529&amp;$BD529&amp;"")="","","SUBARRENDADO"),IFERROR(IF(VLOOKUP($D529,VEHICULOS!$A$3:$H$202,7,FALSE)="","",VLOOKUP($D529,VEHICULOS!$A$3:$H$202,7,FALSE)),"")))</f>
      </c>
      <c r="BF529" s="82">
        <f>IF($A529="","",IF(TRIM($BC529&amp;"")&lt;&gt;"",$BC529,IF(TRIM($D529&amp;"")="","",IFERROR(IF(VLOOKUP($D529,VEHICULOS!$A$3:$H$202,8,FALSE)="","",VLOOKUP($D529,VEHICULOS!$A$3:$H$202,8,FALSE)),""))))</f>
      </c>
      <c r="BG529" s="106"/>
      <c r="BH529" s="107"/>
      <c r="BI529" s="86">
        <f t="shared" si="120"/>
      </c>
      <c r="BJ529" s="83">
        <f t="shared" si="121"/>
      </c>
      <c r="BK529" s="85">
        <f t="shared" si="122"/>
      </c>
      <c r="BL529" s="85">
        <f t="shared" si="123"/>
      </c>
      <c r="BM529" s="108"/>
      <c r="BN529" s="85">
        <f t="shared" si="124"/>
      </c>
      <c r="BO529" s="108"/>
      <c r="BP529" s="85">
        <f t="shared" si="125"/>
      </c>
      <c r="BQ529" s="85">
        <f t="shared" si="126"/>
      </c>
      <c r="BR529" s="108"/>
      <c r="BS529" s="104"/>
      <c r="BT529" s="87">
        <f t="shared" si="127"/>
      </c>
      <c r="BU529" s="85">
        <f t="shared" si="128"/>
      </c>
      <c r="BV529" s="85">
        <f t="shared" si="129"/>
      </c>
      <c r="BW529" s="87">
        <f t="shared" si="130"/>
      </c>
      <c r="BX529" s="104"/>
      <c r="BY529" s="106"/>
      <c r="BZ529" s="104"/>
      <c r="CA529" s="105"/>
      <c r="CB529" s="77">
        <f>IF($A529="",0,IF($B529='FICHA CLIENTE'!$C$4,1,0))</f>
      </c>
      <c r="CC529" s="77">
        <f t="shared" si="131"/>
      </c>
      <c r="CD529" s="77">
        <f>IF($A529="",0,IF($D529='FICHA VEHICULO'!$C$4,1,0))</f>
      </c>
      <c r="CE529" s="77">
        <f t="shared" si="132"/>
      </c>
      <c r="CF529" s="77">
        <f t="shared" si="133"/>
      </c>
      <c r="CG529" s="77">
        <f t="shared" si="134"/>
      </c>
    </row>
    <row r="530" spans="1:85" ht="19.5" customHeight="1" x14ac:dyDescent="0.2">
      <c r="A530" s="104"/>
      <c r="B530" s="104"/>
      <c r="C530" s="105"/>
      <c r="D530" s="104"/>
      <c r="E530" s="105"/>
      <c r="F530" s="106"/>
      <c r="G530" s="104"/>
      <c r="H530" s="106"/>
      <c r="I530" s="107"/>
      <c r="J530" s="108"/>
      <c r="K530" s="108"/>
      <c r="L530" s="108"/>
      <c r="M530" s="105"/>
      <c r="N530" s="105"/>
      <c r="O530" s="105"/>
      <c r="P530" s="108"/>
      <c r="Q530" s="105"/>
      <c r="R530" s="105"/>
      <c r="S530" s="105"/>
      <c r="T530" s="105"/>
      <c r="U530" s="108"/>
      <c r="V530" s="105"/>
      <c r="W530" s="105"/>
      <c r="X530" s="105"/>
      <c r="Y530" s="105"/>
      <c r="Z530" s="105"/>
      <c r="AA530" s="108"/>
      <c r="AB530" s="108"/>
      <c r="AC530" s="105"/>
      <c r="AD530" s="279"/>
      <c r="AE530" s="105"/>
      <c r="AF530" s="279"/>
      <c r="AG530" s="105"/>
      <c r="AH530" s="108"/>
      <c r="AI530" s="108"/>
      <c r="AJ530" s="108"/>
      <c r="AK530" s="108"/>
      <c r="AL530" s="105"/>
      <c r="AM530" s="108"/>
      <c r="AN530" s="105"/>
      <c r="AO530" s="108"/>
      <c r="AP530" s="108"/>
      <c r="AQ530" s="105"/>
      <c r="AR530" s="108"/>
      <c r="AS530" s="108"/>
      <c r="AT530" s="105"/>
      <c r="AU530" s="105"/>
      <c r="AV530" s="105"/>
      <c r="AW530" s="105"/>
      <c r="AX530" s="105"/>
      <c r="AY530" s="105"/>
      <c r="AZ530" s="105"/>
      <c r="BA530" s="105"/>
      <c r="BB530" s="105"/>
      <c r="BC530" s="105"/>
      <c r="BD530" s="108"/>
      <c r="BE530" s="83">
        <f>IF($A530="","",IF(TRIM($D530&amp;"")="",IF(TRIM($AX530&amp;$AY530&amp;$AZ530&amp;$BA530&amp;$BB530&amp;$BC530&amp;$BD530&amp;"")="","","SUBARRENDADO"),IFERROR(IF(VLOOKUP($D530,VEHICULOS!$A$3:$H$202,7,FALSE)="","",VLOOKUP($D530,VEHICULOS!$A$3:$H$202,7,FALSE)),"")))</f>
      </c>
      <c r="BF530" s="82">
        <f>IF($A530="","",IF(TRIM($BC530&amp;"")&lt;&gt;"",$BC530,IF(TRIM($D530&amp;"")="","",IFERROR(IF(VLOOKUP($D530,VEHICULOS!$A$3:$H$202,8,FALSE)="","",VLOOKUP($D530,VEHICULOS!$A$3:$H$202,8,FALSE)),""))))</f>
      </c>
      <c r="BG530" s="106"/>
      <c r="BH530" s="107"/>
      <c r="BI530" s="86">
        <f t="shared" si="120"/>
      </c>
      <c r="BJ530" s="83">
        <f t="shared" si="121"/>
      </c>
      <c r="BK530" s="85">
        <f t="shared" si="122"/>
      </c>
      <c r="BL530" s="85">
        <f t="shared" si="123"/>
      </c>
      <c r="BM530" s="108"/>
      <c r="BN530" s="85">
        <f t="shared" si="124"/>
      </c>
      <c r="BO530" s="108"/>
      <c r="BP530" s="85">
        <f t="shared" si="125"/>
      </c>
      <c r="BQ530" s="85">
        <f t="shared" si="126"/>
      </c>
      <c r="BR530" s="108"/>
      <c r="BS530" s="104"/>
      <c r="BT530" s="87">
        <f t="shared" si="127"/>
      </c>
      <c r="BU530" s="85">
        <f t="shared" si="128"/>
      </c>
      <c r="BV530" s="85">
        <f t="shared" si="129"/>
      </c>
      <c r="BW530" s="87">
        <f t="shared" si="130"/>
      </c>
      <c r="BX530" s="104"/>
      <c r="BY530" s="106"/>
      <c r="BZ530" s="104"/>
      <c r="CA530" s="105"/>
      <c r="CB530" s="77">
        <f>IF($A530="",0,IF($B530='FICHA CLIENTE'!$C$4,1,0))</f>
      </c>
      <c r="CC530" s="77">
        <f t="shared" si="131"/>
      </c>
      <c r="CD530" s="77">
        <f>IF($A530="",0,IF($D530='FICHA VEHICULO'!$C$4,1,0))</f>
      </c>
      <c r="CE530" s="77">
        <f t="shared" si="132"/>
      </c>
      <c r="CF530" s="77">
        <f t="shared" si="133"/>
      </c>
      <c r="CG530" s="77">
        <f t="shared" si="134"/>
      </c>
    </row>
    <row r="531" spans="1:85" ht="19.5" customHeight="1" x14ac:dyDescent="0.2">
      <c r="A531" s="104"/>
      <c r="B531" s="104"/>
      <c r="C531" s="105"/>
      <c r="D531" s="104"/>
      <c r="E531" s="105"/>
      <c r="F531" s="106"/>
      <c r="G531" s="104"/>
      <c r="H531" s="106"/>
      <c r="I531" s="107"/>
      <c r="J531" s="108"/>
      <c r="K531" s="108"/>
      <c r="L531" s="108"/>
      <c r="M531" s="105"/>
      <c r="N531" s="105"/>
      <c r="O531" s="105"/>
      <c r="P531" s="108"/>
      <c r="Q531" s="105"/>
      <c r="R531" s="105"/>
      <c r="S531" s="105"/>
      <c r="T531" s="105"/>
      <c r="U531" s="108"/>
      <c r="V531" s="105"/>
      <c r="W531" s="105"/>
      <c r="X531" s="105"/>
      <c r="Y531" s="105"/>
      <c r="Z531" s="105"/>
      <c r="AA531" s="108"/>
      <c r="AB531" s="108"/>
      <c r="AC531" s="105"/>
      <c r="AD531" s="279"/>
      <c r="AE531" s="105"/>
      <c r="AF531" s="279"/>
      <c r="AG531" s="105"/>
      <c r="AH531" s="108"/>
      <c r="AI531" s="108"/>
      <c r="AJ531" s="108"/>
      <c r="AK531" s="108"/>
      <c r="AL531" s="105"/>
      <c r="AM531" s="108"/>
      <c r="AN531" s="105"/>
      <c r="AO531" s="108"/>
      <c r="AP531" s="108"/>
      <c r="AQ531" s="105"/>
      <c r="AR531" s="108"/>
      <c r="AS531" s="108"/>
      <c r="AT531" s="105"/>
      <c r="AU531" s="105"/>
      <c r="AV531" s="105"/>
      <c r="AW531" s="105"/>
      <c r="AX531" s="105"/>
      <c r="AY531" s="105"/>
      <c r="AZ531" s="105"/>
      <c r="BA531" s="105"/>
      <c r="BB531" s="105"/>
      <c r="BC531" s="105"/>
      <c r="BD531" s="108"/>
      <c r="BE531" s="83">
        <f>IF($A531="","",IF(TRIM($D531&amp;"")="",IF(TRIM($AX531&amp;$AY531&amp;$AZ531&amp;$BA531&amp;$BB531&amp;$BC531&amp;$BD531&amp;"")="","","SUBARRENDADO"),IFERROR(IF(VLOOKUP($D531,VEHICULOS!$A$3:$H$202,7,FALSE)="","",VLOOKUP($D531,VEHICULOS!$A$3:$H$202,7,FALSE)),"")))</f>
      </c>
      <c r="BF531" s="82">
        <f>IF($A531="","",IF(TRIM($BC531&amp;"")&lt;&gt;"",$BC531,IF(TRIM($D531&amp;"")="","",IFERROR(IF(VLOOKUP($D531,VEHICULOS!$A$3:$H$202,8,FALSE)="","",VLOOKUP($D531,VEHICULOS!$A$3:$H$202,8,FALSE)),""))))</f>
      </c>
      <c r="BG531" s="106"/>
      <c r="BH531" s="107"/>
      <c r="BI531" s="86">
        <f t="shared" si="120"/>
      </c>
      <c r="BJ531" s="83">
        <f t="shared" si="121"/>
      </c>
      <c r="BK531" s="85">
        <f t="shared" si="122"/>
      </c>
      <c r="BL531" s="85">
        <f t="shared" si="123"/>
      </c>
      <c r="BM531" s="108"/>
      <c r="BN531" s="85">
        <f t="shared" si="124"/>
      </c>
      <c r="BO531" s="108"/>
      <c r="BP531" s="85">
        <f t="shared" si="125"/>
      </c>
      <c r="BQ531" s="85">
        <f t="shared" si="126"/>
      </c>
      <c r="BR531" s="108"/>
      <c r="BS531" s="104"/>
      <c r="BT531" s="87">
        <f t="shared" si="127"/>
      </c>
      <c r="BU531" s="85">
        <f t="shared" si="128"/>
      </c>
      <c r="BV531" s="85">
        <f t="shared" si="129"/>
      </c>
      <c r="BW531" s="87">
        <f t="shared" si="130"/>
      </c>
      <c r="BX531" s="104"/>
      <c r="BY531" s="106"/>
      <c r="BZ531" s="104"/>
      <c r="CA531" s="105"/>
      <c r="CB531" s="77">
        <f>IF($A531="",0,IF($B531='FICHA CLIENTE'!$C$4,1,0))</f>
      </c>
      <c r="CC531" s="77">
        <f t="shared" si="131"/>
      </c>
      <c r="CD531" s="77">
        <f>IF($A531="",0,IF($D531='FICHA VEHICULO'!$C$4,1,0))</f>
      </c>
      <c r="CE531" s="77">
        <f t="shared" si="132"/>
      </c>
      <c r="CF531" s="77">
        <f t="shared" si="133"/>
      </c>
      <c r="CG531" s="77">
        <f t="shared" si="134"/>
      </c>
    </row>
    <row r="532" spans="1:85" ht="19.5" customHeight="1" x14ac:dyDescent="0.2">
      <c r="A532" s="104"/>
      <c r="B532" s="104"/>
      <c r="C532" s="105"/>
      <c r="D532" s="104"/>
      <c r="E532" s="105"/>
      <c r="F532" s="106"/>
      <c r="G532" s="104"/>
      <c r="H532" s="106"/>
      <c r="I532" s="107"/>
      <c r="J532" s="108"/>
      <c r="K532" s="108"/>
      <c r="L532" s="108"/>
      <c r="M532" s="105"/>
      <c r="N532" s="105"/>
      <c r="O532" s="105"/>
      <c r="P532" s="108"/>
      <c r="Q532" s="105"/>
      <c r="R532" s="105"/>
      <c r="S532" s="105"/>
      <c r="T532" s="105"/>
      <c r="U532" s="108"/>
      <c r="V532" s="105"/>
      <c r="W532" s="105"/>
      <c r="X532" s="105"/>
      <c r="Y532" s="105"/>
      <c r="Z532" s="105"/>
      <c r="AA532" s="108"/>
      <c r="AB532" s="108"/>
      <c r="AC532" s="105"/>
      <c r="AD532" s="279"/>
      <c r="AE532" s="105"/>
      <c r="AF532" s="279"/>
      <c r="AG532" s="105"/>
      <c r="AH532" s="108"/>
      <c r="AI532" s="108"/>
      <c r="AJ532" s="108"/>
      <c r="AK532" s="108"/>
      <c r="AL532" s="105"/>
      <c r="AM532" s="108"/>
      <c r="AN532" s="105"/>
      <c r="AO532" s="108"/>
      <c r="AP532" s="108"/>
      <c r="AQ532" s="105"/>
      <c r="AR532" s="108"/>
      <c r="AS532" s="108"/>
      <c r="AT532" s="105"/>
      <c r="AU532" s="105"/>
      <c r="AV532" s="105"/>
      <c r="AW532" s="105"/>
      <c r="AX532" s="105"/>
      <c r="AY532" s="105"/>
      <c r="AZ532" s="105"/>
      <c r="BA532" s="105"/>
      <c r="BB532" s="105"/>
      <c r="BC532" s="105"/>
      <c r="BD532" s="108"/>
      <c r="BE532" s="83">
        <f>IF($A532="","",IF(TRIM($D532&amp;"")="",IF(TRIM($AX532&amp;$AY532&amp;$AZ532&amp;$BA532&amp;$BB532&amp;$BC532&amp;$BD532&amp;"")="","","SUBARRENDADO"),IFERROR(IF(VLOOKUP($D532,VEHICULOS!$A$3:$H$202,7,FALSE)="","",VLOOKUP($D532,VEHICULOS!$A$3:$H$202,7,FALSE)),"")))</f>
      </c>
      <c r="BF532" s="82">
        <f>IF($A532="","",IF(TRIM($BC532&amp;"")&lt;&gt;"",$BC532,IF(TRIM($D532&amp;"")="","",IFERROR(IF(VLOOKUP($D532,VEHICULOS!$A$3:$H$202,8,FALSE)="","",VLOOKUP($D532,VEHICULOS!$A$3:$H$202,8,FALSE)),""))))</f>
      </c>
      <c r="BG532" s="106"/>
      <c r="BH532" s="107"/>
      <c r="BI532" s="86">
        <f t="shared" si="120"/>
      </c>
      <c r="BJ532" s="83">
        <f t="shared" si="121"/>
      </c>
      <c r="BK532" s="85">
        <f t="shared" si="122"/>
      </c>
      <c r="BL532" s="85">
        <f t="shared" si="123"/>
      </c>
      <c r="BM532" s="108"/>
      <c r="BN532" s="85">
        <f t="shared" si="124"/>
      </c>
      <c r="BO532" s="108"/>
      <c r="BP532" s="85">
        <f t="shared" si="125"/>
      </c>
      <c r="BQ532" s="85">
        <f t="shared" si="126"/>
      </c>
      <c r="BR532" s="108"/>
      <c r="BS532" s="104"/>
      <c r="BT532" s="87">
        <f t="shared" si="127"/>
      </c>
      <c r="BU532" s="85">
        <f t="shared" si="128"/>
      </c>
      <c r="BV532" s="85">
        <f t="shared" si="129"/>
      </c>
      <c r="BW532" s="87">
        <f t="shared" si="130"/>
      </c>
      <c r="BX532" s="104"/>
      <c r="BY532" s="106"/>
      <c r="BZ532" s="104"/>
      <c r="CA532" s="105"/>
      <c r="CB532" s="77">
        <f>IF($A532="",0,IF($B532='FICHA CLIENTE'!$C$4,1,0))</f>
      </c>
      <c r="CC532" s="77">
        <f t="shared" si="131"/>
      </c>
      <c r="CD532" s="77">
        <f>IF($A532="",0,IF($D532='FICHA VEHICULO'!$C$4,1,0))</f>
      </c>
      <c r="CE532" s="77">
        <f t="shared" si="132"/>
      </c>
      <c r="CF532" s="77">
        <f t="shared" si="133"/>
      </c>
      <c r="CG532" s="77">
        <f t="shared" si="134"/>
      </c>
    </row>
    <row r="533" spans="1:85" ht="19.5" customHeight="1" x14ac:dyDescent="0.2">
      <c r="A533" s="104"/>
      <c r="B533" s="104"/>
      <c r="C533" s="105"/>
      <c r="D533" s="104"/>
      <c r="E533" s="105"/>
      <c r="F533" s="106"/>
      <c r="G533" s="104"/>
      <c r="H533" s="106"/>
      <c r="I533" s="107"/>
      <c r="J533" s="108"/>
      <c r="K533" s="108"/>
      <c r="L533" s="108"/>
      <c r="M533" s="105"/>
      <c r="N533" s="105"/>
      <c r="O533" s="105"/>
      <c r="P533" s="108"/>
      <c r="Q533" s="105"/>
      <c r="R533" s="105"/>
      <c r="S533" s="105"/>
      <c r="T533" s="105"/>
      <c r="U533" s="108"/>
      <c r="V533" s="105"/>
      <c r="W533" s="105"/>
      <c r="X533" s="105"/>
      <c r="Y533" s="105"/>
      <c r="Z533" s="105"/>
      <c r="AA533" s="108"/>
      <c r="AB533" s="108"/>
      <c r="AC533" s="105"/>
      <c r="AD533" s="279"/>
      <c r="AE533" s="105"/>
      <c r="AF533" s="279"/>
      <c r="AG533" s="105"/>
      <c r="AH533" s="108"/>
      <c r="AI533" s="108"/>
      <c r="AJ533" s="108"/>
      <c r="AK533" s="108"/>
      <c r="AL533" s="105"/>
      <c r="AM533" s="108"/>
      <c r="AN533" s="105"/>
      <c r="AO533" s="108"/>
      <c r="AP533" s="108"/>
      <c r="AQ533" s="105"/>
      <c r="AR533" s="108"/>
      <c r="AS533" s="108"/>
      <c r="AT533" s="105"/>
      <c r="AU533" s="105"/>
      <c r="AV533" s="105"/>
      <c r="AW533" s="105"/>
      <c r="AX533" s="105"/>
      <c r="AY533" s="105"/>
      <c r="AZ533" s="105"/>
      <c r="BA533" s="105"/>
      <c r="BB533" s="105"/>
      <c r="BC533" s="105"/>
      <c r="BD533" s="108"/>
      <c r="BE533" s="83">
        <f>IF($A533="","",IF(TRIM($D533&amp;"")="",IF(TRIM($AX533&amp;$AY533&amp;$AZ533&amp;$BA533&amp;$BB533&amp;$BC533&amp;$BD533&amp;"")="","","SUBARRENDADO"),IFERROR(IF(VLOOKUP($D533,VEHICULOS!$A$3:$H$202,7,FALSE)="","",VLOOKUP($D533,VEHICULOS!$A$3:$H$202,7,FALSE)),"")))</f>
      </c>
      <c r="BF533" s="82">
        <f>IF($A533="","",IF(TRIM($BC533&amp;"")&lt;&gt;"",$BC533,IF(TRIM($D533&amp;"")="","",IFERROR(IF(VLOOKUP($D533,VEHICULOS!$A$3:$H$202,8,FALSE)="","",VLOOKUP($D533,VEHICULOS!$A$3:$H$202,8,FALSE)),""))))</f>
      </c>
      <c r="BG533" s="106"/>
      <c r="BH533" s="107"/>
      <c r="BI533" s="86">
        <f t="shared" si="120"/>
      </c>
      <c r="BJ533" s="83">
        <f t="shared" si="121"/>
      </c>
      <c r="BK533" s="85">
        <f t="shared" si="122"/>
      </c>
      <c r="BL533" s="85">
        <f t="shared" si="123"/>
      </c>
      <c r="BM533" s="108"/>
      <c r="BN533" s="85">
        <f t="shared" si="124"/>
      </c>
      <c r="BO533" s="108"/>
      <c r="BP533" s="85">
        <f t="shared" si="125"/>
      </c>
      <c r="BQ533" s="85">
        <f t="shared" si="126"/>
      </c>
      <c r="BR533" s="108"/>
      <c r="BS533" s="104"/>
      <c r="BT533" s="87">
        <f t="shared" si="127"/>
      </c>
      <c r="BU533" s="85">
        <f t="shared" si="128"/>
      </c>
      <c r="BV533" s="85">
        <f t="shared" si="129"/>
      </c>
      <c r="BW533" s="87">
        <f t="shared" si="130"/>
      </c>
      <c r="BX533" s="104"/>
      <c r="BY533" s="106"/>
      <c r="BZ533" s="104"/>
      <c r="CA533" s="105"/>
      <c r="CB533" s="77">
        <f>IF($A533="",0,IF($B533='FICHA CLIENTE'!$C$4,1,0))</f>
      </c>
      <c r="CC533" s="77">
        <f t="shared" si="131"/>
      </c>
      <c r="CD533" s="77">
        <f>IF($A533="",0,IF($D533='FICHA VEHICULO'!$C$4,1,0))</f>
      </c>
      <c r="CE533" s="77">
        <f t="shared" si="132"/>
      </c>
      <c r="CF533" s="77">
        <f t="shared" si="133"/>
      </c>
      <c r="CG533" s="77">
        <f t="shared" si="134"/>
      </c>
    </row>
    <row r="534" spans="1:85" ht="19.5" customHeight="1" x14ac:dyDescent="0.2">
      <c r="A534" s="104"/>
      <c r="B534" s="104"/>
      <c r="C534" s="105"/>
      <c r="D534" s="104"/>
      <c r="E534" s="105"/>
      <c r="F534" s="106"/>
      <c r="G534" s="104"/>
      <c r="H534" s="106"/>
      <c r="I534" s="107"/>
      <c r="J534" s="108"/>
      <c r="K534" s="108"/>
      <c r="L534" s="108"/>
      <c r="M534" s="105"/>
      <c r="N534" s="105"/>
      <c r="O534" s="105"/>
      <c r="P534" s="108"/>
      <c r="Q534" s="105"/>
      <c r="R534" s="105"/>
      <c r="S534" s="105"/>
      <c r="T534" s="105"/>
      <c r="U534" s="108"/>
      <c r="V534" s="105"/>
      <c r="W534" s="105"/>
      <c r="X534" s="105"/>
      <c r="Y534" s="105"/>
      <c r="Z534" s="105"/>
      <c r="AA534" s="108"/>
      <c r="AB534" s="108"/>
      <c r="AC534" s="105"/>
      <c r="AD534" s="279"/>
      <c r="AE534" s="105"/>
      <c r="AF534" s="279"/>
      <c r="AG534" s="105"/>
      <c r="AH534" s="108"/>
      <c r="AI534" s="108"/>
      <c r="AJ534" s="108"/>
      <c r="AK534" s="108"/>
      <c r="AL534" s="105"/>
      <c r="AM534" s="108"/>
      <c r="AN534" s="105"/>
      <c r="AO534" s="108"/>
      <c r="AP534" s="108"/>
      <c r="AQ534" s="105"/>
      <c r="AR534" s="108"/>
      <c r="AS534" s="108"/>
      <c r="AT534" s="105"/>
      <c r="AU534" s="105"/>
      <c r="AV534" s="105"/>
      <c r="AW534" s="105"/>
      <c r="AX534" s="105"/>
      <c r="AY534" s="105"/>
      <c r="AZ534" s="105"/>
      <c r="BA534" s="105"/>
      <c r="BB534" s="105"/>
      <c r="BC534" s="105"/>
      <c r="BD534" s="108"/>
      <c r="BE534" s="83">
        <f>IF($A534="","",IF(TRIM($D534&amp;"")="",IF(TRIM($AX534&amp;$AY534&amp;$AZ534&amp;$BA534&amp;$BB534&amp;$BC534&amp;$BD534&amp;"")="","","SUBARRENDADO"),IFERROR(IF(VLOOKUP($D534,VEHICULOS!$A$3:$H$202,7,FALSE)="","",VLOOKUP($D534,VEHICULOS!$A$3:$H$202,7,FALSE)),"")))</f>
      </c>
      <c r="BF534" s="82">
        <f>IF($A534="","",IF(TRIM($BC534&amp;"")&lt;&gt;"",$BC534,IF(TRIM($D534&amp;"")="","",IFERROR(IF(VLOOKUP($D534,VEHICULOS!$A$3:$H$202,8,FALSE)="","",VLOOKUP($D534,VEHICULOS!$A$3:$H$202,8,FALSE)),""))))</f>
      </c>
      <c r="BG534" s="106"/>
      <c r="BH534" s="107"/>
      <c r="BI534" s="86">
        <f t="shared" si="120"/>
      </c>
      <c r="BJ534" s="83">
        <f t="shared" si="121"/>
      </c>
      <c r="BK534" s="85">
        <f t="shared" si="122"/>
      </c>
      <c r="BL534" s="85">
        <f t="shared" si="123"/>
      </c>
      <c r="BM534" s="108"/>
      <c r="BN534" s="85">
        <f t="shared" si="124"/>
      </c>
      <c r="BO534" s="108"/>
      <c r="BP534" s="85">
        <f t="shared" si="125"/>
      </c>
      <c r="BQ534" s="85">
        <f t="shared" si="126"/>
      </c>
      <c r="BR534" s="108"/>
      <c r="BS534" s="104"/>
      <c r="BT534" s="87">
        <f t="shared" si="127"/>
      </c>
      <c r="BU534" s="85">
        <f t="shared" si="128"/>
      </c>
      <c r="BV534" s="85">
        <f t="shared" si="129"/>
      </c>
      <c r="BW534" s="87">
        <f t="shared" si="130"/>
      </c>
      <c r="BX534" s="104"/>
      <c r="BY534" s="106"/>
      <c r="BZ534" s="104"/>
      <c r="CA534" s="105"/>
      <c r="CB534" s="77">
        <f>IF($A534="",0,IF($B534='FICHA CLIENTE'!$C$4,1,0))</f>
      </c>
      <c r="CC534" s="77">
        <f t="shared" si="131"/>
      </c>
      <c r="CD534" s="77">
        <f>IF($A534="",0,IF($D534='FICHA VEHICULO'!$C$4,1,0))</f>
      </c>
      <c r="CE534" s="77">
        <f t="shared" si="132"/>
      </c>
      <c r="CF534" s="77">
        <f t="shared" si="133"/>
      </c>
      <c r="CG534" s="77">
        <f t="shared" si="134"/>
      </c>
    </row>
    <row r="535" spans="1:85" ht="19.5" customHeight="1" x14ac:dyDescent="0.2">
      <c r="A535" s="104"/>
      <c r="B535" s="104"/>
      <c r="C535" s="105"/>
      <c r="D535" s="104"/>
      <c r="E535" s="105"/>
      <c r="F535" s="106"/>
      <c r="G535" s="104"/>
      <c r="H535" s="106"/>
      <c r="I535" s="107"/>
      <c r="J535" s="108"/>
      <c r="K535" s="108"/>
      <c r="L535" s="108"/>
      <c r="M535" s="105"/>
      <c r="N535" s="105"/>
      <c r="O535" s="105"/>
      <c r="P535" s="108"/>
      <c r="Q535" s="105"/>
      <c r="R535" s="105"/>
      <c r="S535" s="105"/>
      <c r="T535" s="105"/>
      <c r="U535" s="108"/>
      <c r="V535" s="105"/>
      <c r="W535" s="105"/>
      <c r="X535" s="105"/>
      <c r="Y535" s="105"/>
      <c r="Z535" s="105"/>
      <c r="AA535" s="108"/>
      <c r="AB535" s="108"/>
      <c r="AC535" s="105"/>
      <c r="AD535" s="279"/>
      <c r="AE535" s="105"/>
      <c r="AF535" s="279"/>
      <c r="AG535" s="105"/>
      <c r="AH535" s="108"/>
      <c r="AI535" s="108"/>
      <c r="AJ535" s="108"/>
      <c r="AK535" s="108"/>
      <c r="AL535" s="105"/>
      <c r="AM535" s="108"/>
      <c r="AN535" s="105"/>
      <c r="AO535" s="108"/>
      <c r="AP535" s="108"/>
      <c r="AQ535" s="105"/>
      <c r="AR535" s="108"/>
      <c r="AS535" s="108"/>
      <c r="AT535" s="105"/>
      <c r="AU535" s="105"/>
      <c r="AV535" s="105"/>
      <c r="AW535" s="105"/>
      <c r="AX535" s="105"/>
      <c r="AY535" s="105"/>
      <c r="AZ535" s="105"/>
      <c r="BA535" s="105"/>
      <c r="BB535" s="105"/>
      <c r="BC535" s="105"/>
      <c r="BD535" s="108"/>
      <c r="BE535" s="83">
        <f>IF($A535="","",IF(TRIM($D535&amp;"")="",IF(TRIM($AX535&amp;$AY535&amp;$AZ535&amp;$BA535&amp;$BB535&amp;$BC535&amp;$BD535&amp;"")="","","SUBARRENDADO"),IFERROR(IF(VLOOKUP($D535,VEHICULOS!$A$3:$H$202,7,FALSE)="","",VLOOKUP($D535,VEHICULOS!$A$3:$H$202,7,FALSE)),"")))</f>
      </c>
      <c r="BF535" s="82">
        <f>IF($A535="","",IF(TRIM($BC535&amp;"")&lt;&gt;"",$BC535,IF(TRIM($D535&amp;"")="","",IFERROR(IF(VLOOKUP($D535,VEHICULOS!$A$3:$H$202,8,FALSE)="","",VLOOKUP($D535,VEHICULOS!$A$3:$H$202,8,FALSE)),""))))</f>
      </c>
      <c r="BG535" s="106"/>
      <c r="BH535" s="107"/>
      <c r="BI535" s="86">
        <f t="shared" si="120"/>
      </c>
      <c r="BJ535" s="83">
        <f t="shared" si="121"/>
      </c>
      <c r="BK535" s="85">
        <f t="shared" si="122"/>
      </c>
      <c r="BL535" s="85">
        <f t="shared" si="123"/>
      </c>
      <c r="BM535" s="108"/>
      <c r="BN535" s="85">
        <f t="shared" si="124"/>
      </c>
      <c r="BO535" s="108"/>
      <c r="BP535" s="85">
        <f t="shared" si="125"/>
      </c>
      <c r="BQ535" s="85">
        <f t="shared" si="126"/>
      </c>
      <c r="BR535" s="108"/>
      <c r="BS535" s="104"/>
      <c r="BT535" s="87">
        <f t="shared" si="127"/>
      </c>
      <c r="BU535" s="85">
        <f t="shared" si="128"/>
      </c>
      <c r="BV535" s="85">
        <f t="shared" si="129"/>
      </c>
      <c r="BW535" s="87">
        <f t="shared" si="130"/>
      </c>
      <c r="BX535" s="104"/>
      <c r="BY535" s="106"/>
      <c r="BZ535" s="104"/>
      <c r="CA535" s="105"/>
      <c r="CB535" s="77">
        <f>IF($A535="",0,IF($B535='FICHA CLIENTE'!$C$4,1,0))</f>
      </c>
      <c r="CC535" s="77">
        <f t="shared" si="131"/>
      </c>
      <c r="CD535" s="77">
        <f>IF($A535="",0,IF($D535='FICHA VEHICULO'!$C$4,1,0))</f>
      </c>
      <c r="CE535" s="77">
        <f t="shared" si="132"/>
      </c>
      <c r="CF535" s="77">
        <f t="shared" si="133"/>
      </c>
      <c r="CG535" s="77">
        <f t="shared" si="134"/>
      </c>
    </row>
    <row r="536" spans="1:85" ht="19.5" customHeight="1" x14ac:dyDescent="0.2">
      <c r="A536" s="104"/>
      <c r="B536" s="104"/>
      <c r="C536" s="105"/>
      <c r="D536" s="104"/>
      <c r="E536" s="105"/>
      <c r="F536" s="106"/>
      <c r="G536" s="104"/>
      <c r="H536" s="106"/>
      <c r="I536" s="107"/>
      <c r="J536" s="108"/>
      <c r="K536" s="108"/>
      <c r="L536" s="108"/>
      <c r="M536" s="105"/>
      <c r="N536" s="105"/>
      <c r="O536" s="105"/>
      <c r="P536" s="108"/>
      <c r="Q536" s="105"/>
      <c r="R536" s="105"/>
      <c r="S536" s="105"/>
      <c r="T536" s="105"/>
      <c r="U536" s="108"/>
      <c r="V536" s="105"/>
      <c r="W536" s="105"/>
      <c r="X536" s="105"/>
      <c r="Y536" s="105"/>
      <c r="Z536" s="105"/>
      <c r="AA536" s="108"/>
      <c r="AB536" s="108"/>
      <c r="AC536" s="105"/>
      <c r="AD536" s="279"/>
      <c r="AE536" s="105"/>
      <c r="AF536" s="279"/>
      <c r="AG536" s="105"/>
      <c r="AH536" s="108"/>
      <c r="AI536" s="108"/>
      <c r="AJ536" s="108"/>
      <c r="AK536" s="108"/>
      <c r="AL536" s="105"/>
      <c r="AM536" s="108"/>
      <c r="AN536" s="105"/>
      <c r="AO536" s="108"/>
      <c r="AP536" s="108"/>
      <c r="AQ536" s="105"/>
      <c r="AR536" s="108"/>
      <c r="AS536" s="108"/>
      <c r="AT536" s="105"/>
      <c r="AU536" s="105"/>
      <c r="AV536" s="105"/>
      <c r="AW536" s="105"/>
      <c r="AX536" s="105"/>
      <c r="AY536" s="105"/>
      <c r="AZ536" s="105"/>
      <c r="BA536" s="105"/>
      <c r="BB536" s="105"/>
      <c r="BC536" s="105"/>
      <c r="BD536" s="108"/>
      <c r="BE536" s="83">
        <f>IF($A536="","",IF(TRIM($D536&amp;"")="",IF(TRIM($AX536&amp;$AY536&amp;$AZ536&amp;$BA536&amp;$BB536&amp;$BC536&amp;$BD536&amp;"")="","","SUBARRENDADO"),IFERROR(IF(VLOOKUP($D536,VEHICULOS!$A$3:$H$202,7,FALSE)="","",VLOOKUP($D536,VEHICULOS!$A$3:$H$202,7,FALSE)),"")))</f>
      </c>
      <c r="BF536" s="82">
        <f>IF($A536="","",IF(TRIM($BC536&amp;"")&lt;&gt;"",$BC536,IF(TRIM($D536&amp;"")="","",IFERROR(IF(VLOOKUP($D536,VEHICULOS!$A$3:$H$202,8,FALSE)="","",VLOOKUP($D536,VEHICULOS!$A$3:$H$202,8,FALSE)),""))))</f>
      </c>
      <c r="BG536" s="106"/>
      <c r="BH536" s="107"/>
      <c r="BI536" s="86">
        <f t="shared" si="120"/>
      </c>
      <c r="BJ536" s="83">
        <f t="shared" si="121"/>
      </c>
      <c r="BK536" s="85">
        <f t="shared" si="122"/>
      </c>
      <c r="BL536" s="85">
        <f t="shared" si="123"/>
      </c>
      <c r="BM536" s="108"/>
      <c r="BN536" s="85">
        <f t="shared" si="124"/>
      </c>
      <c r="BO536" s="108"/>
      <c r="BP536" s="85">
        <f t="shared" si="125"/>
      </c>
      <c r="BQ536" s="85">
        <f t="shared" si="126"/>
      </c>
      <c r="BR536" s="108"/>
      <c r="BS536" s="104"/>
      <c r="BT536" s="87">
        <f t="shared" si="127"/>
      </c>
      <c r="BU536" s="85">
        <f t="shared" si="128"/>
      </c>
      <c r="BV536" s="85">
        <f t="shared" si="129"/>
      </c>
      <c r="BW536" s="87">
        <f t="shared" si="130"/>
      </c>
      <c r="BX536" s="104"/>
      <c r="BY536" s="106"/>
      <c r="BZ536" s="104"/>
      <c r="CA536" s="105"/>
      <c r="CB536" s="77">
        <f>IF($A536="",0,IF($B536='FICHA CLIENTE'!$C$4,1,0))</f>
      </c>
      <c r="CC536" s="77">
        <f t="shared" si="131"/>
      </c>
      <c r="CD536" s="77">
        <f>IF($A536="",0,IF($D536='FICHA VEHICULO'!$C$4,1,0))</f>
      </c>
      <c r="CE536" s="77">
        <f t="shared" si="132"/>
      </c>
      <c r="CF536" s="77">
        <f t="shared" si="133"/>
      </c>
      <c r="CG536" s="77">
        <f t="shared" si="134"/>
      </c>
    </row>
    <row r="537" spans="1:85" ht="19.5" customHeight="1" x14ac:dyDescent="0.2">
      <c r="A537" s="104"/>
      <c r="B537" s="104"/>
      <c r="C537" s="105"/>
      <c r="D537" s="104"/>
      <c r="E537" s="105"/>
      <c r="F537" s="106"/>
      <c r="G537" s="104"/>
      <c r="H537" s="106"/>
      <c r="I537" s="107"/>
      <c r="J537" s="108"/>
      <c r="K537" s="108"/>
      <c r="L537" s="108"/>
      <c r="M537" s="105"/>
      <c r="N537" s="105"/>
      <c r="O537" s="105"/>
      <c r="P537" s="108"/>
      <c r="Q537" s="105"/>
      <c r="R537" s="105"/>
      <c r="S537" s="105"/>
      <c r="T537" s="105"/>
      <c r="U537" s="108"/>
      <c r="V537" s="105"/>
      <c r="W537" s="105"/>
      <c r="X537" s="105"/>
      <c r="Y537" s="105"/>
      <c r="Z537" s="105"/>
      <c r="AA537" s="108"/>
      <c r="AB537" s="108"/>
      <c r="AC537" s="105"/>
      <c r="AD537" s="279"/>
      <c r="AE537" s="105"/>
      <c r="AF537" s="279"/>
      <c r="AG537" s="105"/>
      <c r="AH537" s="108"/>
      <c r="AI537" s="108"/>
      <c r="AJ537" s="108"/>
      <c r="AK537" s="108"/>
      <c r="AL537" s="105"/>
      <c r="AM537" s="108"/>
      <c r="AN537" s="105"/>
      <c r="AO537" s="108"/>
      <c r="AP537" s="108"/>
      <c r="AQ537" s="105"/>
      <c r="AR537" s="108"/>
      <c r="AS537" s="108"/>
      <c r="AT537" s="105"/>
      <c r="AU537" s="105"/>
      <c r="AV537" s="105"/>
      <c r="AW537" s="105"/>
      <c r="AX537" s="105"/>
      <c r="AY537" s="105"/>
      <c r="AZ537" s="105"/>
      <c r="BA537" s="105"/>
      <c r="BB537" s="105"/>
      <c r="BC537" s="105"/>
      <c r="BD537" s="108"/>
      <c r="BE537" s="83">
        <f>IF($A537="","",IF(TRIM($D537&amp;"")="",IF(TRIM($AX537&amp;$AY537&amp;$AZ537&amp;$BA537&amp;$BB537&amp;$BC537&amp;$BD537&amp;"")="","","SUBARRENDADO"),IFERROR(IF(VLOOKUP($D537,VEHICULOS!$A$3:$H$202,7,FALSE)="","",VLOOKUP($D537,VEHICULOS!$A$3:$H$202,7,FALSE)),"")))</f>
      </c>
      <c r="BF537" s="82">
        <f>IF($A537="","",IF(TRIM($BC537&amp;"")&lt;&gt;"",$BC537,IF(TRIM($D537&amp;"")="","",IFERROR(IF(VLOOKUP($D537,VEHICULOS!$A$3:$H$202,8,FALSE)="","",VLOOKUP($D537,VEHICULOS!$A$3:$H$202,8,FALSE)),""))))</f>
      </c>
      <c r="BG537" s="106"/>
      <c r="BH537" s="107"/>
      <c r="BI537" s="86">
        <f t="shared" si="120"/>
      </c>
      <c r="BJ537" s="83">
        <f t="shared" si="121"/>
      </c>
      <c r="BK537" s="85">
        <f t="shared" si="122"/>
      </c>
      <c r="BL537" s="85">
        <f t="shared" si="123"/>
      </c>
      <c r="BM537" s="108"/>
      <c r="BN537" s="85">
        <f t="shared" si="124"/>
      </c>
      <c r="BO537" s="108"/>
      <c r="BP537" s="85">
        <f t="shared" si="125"/>
      </c>
      <c r="BQ537" s="85">
        <f t="shared" si="126"/>
      </c>
      <c r="BR537" s="108"/>
      <c r="BS537" s="104"/>
      <c r="BT537" s="87">
        <f t="shared" si="127"/>
      </c>
      <c r="BU537" s="85">
        <f t="shared" si="128"/>
      </c>
      <c r="BV537" s="85">
        <f t="shared" si="129"/>
      </c>
      <c r="BW537" s="87">
        <f t="shared" si="130"/>
      </c>
      <c r="BX537" s="104"/>
      <c r="BY537" s="106"/>
      <c r="BZ537" s="104"/>
      <c r="CA537" s="105"/>
      <c r="CB537" s="77">
        <f>IF($A537="",0,IF($B537='FICHA CLIENTE'!$C$4,1,0))</f>
      </c>
      <c r="CC537" s="77">
        <f t="shared" si="131"/>
      </c>
      <c r="CD537" s="77">
        <f>IF($A537="",0,IF($D537='FICHA VEHICULO'!$C$4,1,0))</f>
      </c>
      <c r="CE537" s="77">
        <f t="shared" si="132"/>
      </c>
      <c r="CF537" s="77">
        <f t="shared" si="133"/>
      </c>
      <c r="CG537" s="77">
        <f t="shared" si="134"/>
      </c>
    </row>
    <row r="538" spans="1:85" ht="19.5" customHeight="1" x14ac:dyDescent="0.2">
      <c r="A538" s="104"/>
      <c r="B538" s="104"/>
      <c r="C538" s="105"/>
      <c r="D538" s="104"/>
      <c r="E538" s="105"/>
      <c r="F538" s="106"/>
      <c r="G538" s="104"/>
      <c r="H538" s="106"/>
      <c r="I538" s="107"/>
      <c r="J538" s="108"/>
      <c r="K538" s="108"/>
      <c r="L538" s="108"/>
      <c r="M538" s="105"/>
      <c r="N538" s="105"/>
      <c r="O538" s="105"/>
      <c r="P538" s="108"/>
      <c r="Q538" s="105"/>
      <c r="R538" s="105"/>
      <c r="S538" s="105"/>
      <c r="T538" s="105"/>
      <c r="U538" s="108"/>
      <c r="V538" s="105"/>
      <c r="W538" s="105"/>
      <c r="X538" s="105"/>
      <c r="Y538" s="105"/>
      <c r="Z538" s="105"/>
      <c r="AA538" s="108"/>
      <c r="AB538" s="108"/>
      <c r="AC538" s="105"/>
      <c r="AD538" s="279"/>
      <c r="AE538" s="105"/>
      <c r="AF538" s="279"/>
      <c r="AG538" s="105"/>
      <c r="AH538" s="108"/>
      <c r="AI538" s="108"/>
      <c r="AJ538" s="108"/>
      <c r="AK538" s="108"/>
      <c r="AL538" s="105"/>
      <c r="AM538" s="108"/>
      <c r="AN538" s="105"/>
      <c r="AO538" s="108"/>
      <c r="AP538" s="108"/>
      <c r="AQ538" s="105"/>
      <c r="AR538" s="108"/>
      <c r="AS538" s="108"/>
      <c r="AT538" s="105"/>
      <c r="AU538" s="105"/>
      <c r="AV538" s="105"/>
      <c r="AW538" s="105"/>
      <c r="AX538" s="105"/>
      <c r="AY538" s="105"/>
      <c r="AZ538" s="105"/>
      <c r="BA538" s="105"/>
      <c r="BB538" s="105"/>
      <c r="BC538" s="105"/>
      <c r="BD538" s="108"/>
      <c r="BE538" s="83">
        <f>IF($A538="","",IF(TRIM($D538&amp;"")="",IF(TRIM($AX538&amp;$AY538&amp;$AZ538&amp;$BA538&amp;$BB538&amp;$BC538&amp;$BD538&amp;"")="","","SUBARRENDADO"),IFERROR(IF(VLOOKUP($D538,VEHICULOS!$A$3:$H$202,7,FALSE)="","",VLOOKUP($D538,VEHICULOS!$A$3:$H$202,7,FALSE)),"")))</f>
      </c>
      <c r="BF538" s="82">
        <f>IF($A538="","",IF(TRIM($BC538&amp;"")&lt;&gt;"",$BC538,IF(TRIM($D538&amp;"")="","",IFERROR(IF(VLOOKUP($D538,VEHICULOS!$A$3:$H$202,8,FALSE)="","",VLOOKUP($D538,VEHICULOS!$A$3:$H$202,8,FALSE)),""))))</f>
      </c>
      <c r="BG538" s="106"/>
      <c r="BH538" s="107"/>
      <c r="BI538" s="86">
        <f t="shared" si="120"/>
      </c>
      <c r="BJ538" s="83">
        <f t="shared" si="121"/>
      </c>
      <c r="BK538" s="85">
        <f t="shared" si="122"/>
      </c>
      <c r="BL538" s="85">
        <f t="shared" si="123"/>
      </c>
      <c r="BM538" s="108"/>
      <c r="BN538" s="85">
        <f t="shared" si="124"/>
      </c>
      <c r="BO538" s="108"/>
      <c r="BP538" s="85">
        <f t="shared" si="125"/>
      </c>
      <c r="BQ538" s="85">
        <f t="shared" si="126"/>
      </c>
      <c r="BR538" s="108"/>
      <c r="BS538" s="104"/>
      <c r="BT538" s="87">
        <f t="shared" si="127"/>
      </c>
      <c r="BU538" s="85">
        <f t="shared" si="128"/>
      </c>
      <c r="BV538" s="85">
        <f t="shared" si="129"/>
      </c>
      <c r="BW538" s="87">
        <f t="shared" si="130"/>
      </c>
      <c r="BX538" s="104"/>
      <c r="BY538" s="106"/>
      <c r="BZ538" s="104"/>
      <c r="CA538" s="105"/>
      <c r="CB538" s="77">
        <f>IF($A538="",0,IF($B538='FICHA CLIENTE'!$C$4,1,0))</f>
      </c>
      <c r="CC538" s="77">
        <f t="shared" si="131"/>
      </c>
      <c r="CD538" s="77">
        <f>IF($A538="",0,IF($D538='FICHA VEHICULO'!$C$4,1,0))</f>
      </c>
      <c r="CE538" s="77">
        <f t="shared" si="132"/>
      </c>
      <c r="CF538" s="77">
        <f t="shared" si="133"/>
      </c>
      <c r="CG538" s="77">
        <f t="shared" si="134"/>
      </c>
    </row>
    <row r="539" spans="1:85" ht="19.5" customHeight="1" x14ac:dyDescent="0.2">
      <c r="A539" s="104"/>
      <c r="B539" s="104"/>
      <c r="C539" s="105"/>
      <c r="D539" s="104"/>
      <c r="E539" s="105"/>
      <c r="F539" s="106"/>
      <c r="G539" s="104"/>
      <c r="H539" s="106"/>
      <c r="I539" s="107"/>
      <c r="J539" s="108"/>
      <c r="K539" s="108"/>
      <c r="L539" s="108"/>
      <c r="M539" s="105"/>
      <c r="N539" s="105"/>
      <c r="O539" s="105"/>
      <c r="P539" s="108"/>
      <c r="Q539" s="105"/>
      <c r="R539" s="105"/>
      <c r="S539" s="105"/>
      <c r="T539" s="105"/>
      <c r="U539" s="108"/>
      <c r="V539" s="105"/>
      <c r="W539" s="105"/>
      <c r="X539" s="105"/>
      <c r="Y539" s="105"/>
      <c r="Z539" s="105"/>
      <c r="AA539" s="108"/>
      <c r="AB539" s="108"/>
      <c r="AC539" s="105"/>
      <c r="AD539" s="279"/>
      <c r="AE539" s="105"/>
      <c r="AF539" s="279"/>
      <c r="AG539" s="105"/>
      <c r="AH539" s="108"/>
      <c r="AI539" s="108"/>
      <c r="AJ539" s="108"/>
      <c r="AK539" s="108"/>
      <c r="AL539" s="105"/>
      <c r="AM539" s="108"/>
      <c r="AN539" s="105"/>
      <c r="AO539" s="108"/>
      <c r="AP539" s="108"/>
      <c r="AQ539" s="105"/>
      <c r="AR539" s="108"/>
      <c r="AS539" s="108"/>
      <c r="AT539" s="105"/>
      <c r="AU539" s="105"/>
      <c r="AV539" s="105"/>
      <c r="AW539" s="105"/>
      <c r="AX539" s="105"/>
      <c r="AY539" s="105"/>
      <c r="AZ539" s="105"/>
      <c r="BA539" s="105"/>
      <c r="BB539" s="105"/>
      <c r="BC539" s="105"/>
      <c r="BD539" s="108"/>
      <c r="BE539" s="83">
        <f>IF($A539="","",IF(TRIM($D539&amp;"")="",IF(TRIM($AX539&amp;$AY539&amp;$AZ539&amp;$BA539&amp;$BB539&amp;$BC539&amp;$BD539&amp;"")="","","SUBARRENDADO"),IFERROR(IF(VLOOKUP($D539,VEHICULOS!$A$3:$H$202,7,FALSE)="","",VLOOKUP($D539,VEHICULOS!$A$3:$H$202,7,FALSE)),"")))</f>
      </c>
      <c r="BF539" s="82">
        <f>IF($A539="","",IF(TRIM($BC539&amp;"")&lt;&gt;"",$BC539,IF(TRIM($D539&amp;"")="","",IFERROR(IF(VLOOKUP($D539,VEHICULOS!$A$3:$H$202,8,FALSE)="","",VLOOKUP($D539,VEHICULOS!$A$3:$H$202,8,FALSE)),""))))</f>
      </c>
      <c r="BG539" s="106"/>
      <c r="BH539" s="107"/>
      <c r="BI539" s="86">
        <f t="shared" si="120"/>
      </c>
      <c r="BJ539" s="83">
        <f t="shared" si="121"/>
      </c>
      <c r="BK539" s="85">
        <f t="shared" si="122"/>
      </c>
      <c r="BL539" s="85">
        <f t="shared" si="123"/>
      </c>
      <c r="BM539" s="108"/>
      <c r="BN539" s="85">
        <f t="shared" si="124"/>
      </c>
      <c r="BO539" s="108"/>
      <c r="BP539" s="85">
        <f t="shared" si="125"/>
      </c>
      <c r="BQ539" s="85">
        <f t="shared" si="126"/>
      </c>
      <c r="BR539" s="108"/>
      <c r="BS539" s="104"/>
      <c r="BT539" s="87">
        <f t="shared" si="127"/>
      </c>
      <c r="BU539" s="85">
        <f t="shared" si="128"/>
      </c>
      <c r="BV539" s="85">
        <f t="shared" si="129"/>
      </c>
      <c r="BW539" s="87">
        <f t="shared" si="130"/>
      </c>
      <c r="BX539" s="104"/>
      <c r="BY539" s="106"/>
      <c r="BZ539" s="104"/>
      <c r="CA539" s="105"/>
      <c r="CB539" s="77">
        <f>IF($A539="",0,IF($B539='FICHA CLIENTE'!$C$4,1,0))</f>
      </c>
      <c r="CC539" s="77">
        <f t="shared" si="131"/>
      </c>
      <c r="CD539" s="77">
        <f>IF($A539="",0,IF($D539='FICHA VEHICULO'!$C$4,1,0))</f>
      </c>
      <c r="CE539" s="77">
        <f t="shared" si="132"/>
      </c>
      <c r="CF539" s="77">
        <f t="shared" si="133"/>
      </c>
      <c r="CG539" s="77">
        <f t="shared" si="134"/>
      </c>
    </row>
    <row r="540" spans="1:85" ht="19.5" customHeight="1" x14ac:dyDescent="0.2">
      <c r="A540" s="104"/>
      <c r="B540" s="104"/>
      <c r="C540" s="105"/>
      <c r="D540" s="104"/>
      <c r="E540" s="105"/>
      <c r="F540" s="106"/>
      <c r="G540" s="104"/>
      <c r="H540" s="106"/>
      <c r="I540" s="107"/>
      <c r="J540" s="108"/>
      <c r="K540" s="108"/>
      <c r="L540" s="108"/>
      <c r="M540" s="105"/>
      <c r="N540" s="105"/>
      <c r="O540" s="105"/>
      <c r="P540" s="108"/>
      <c r="Q540" s="105"/>
      <c r="R540" s="105"/>
      <c r="S540" s="105"/>
      <c r="T540" s="105"/>
      <c r="U540" s="108"/>
      <c r="V540" s="105"/>
      <c r="W540" s="105"/>
      <c r="X540" s="105"/>
      <c r="Y540" s="105"/>
      <c r="Z540" s="105"/>
      <c r="AA540" s="108"/>
      <c r="AB540" s="108"/>
      <c r="AC540" s="105"/>
      <c r="AD540" s="279"/>
      <c r="AE540" s="105"/>
      <c r="AF540" s="279"/>
      <c r="AG540" s="105"/>
      <c r="AH540" s="108"/>
      <c r="AI540" s="108"/>
      <c r="AJ540" s="108"/>
      <c r="AK540" s="108"/>
      <c r="AL540" s="105"/>
      <c r="AM540" s="108"/>
      <c r="AN540" s="105"/>
      <c r="AO540" s="108"/>
      <c r="AP540" s="108"/>
      <c r="AQ540" s="105"/>
      <c r="AR540" s="108"/>
      <c r="AS540" s="108"/>
      <c r="AT540" s="105"/>
      <c r="AU540" s="105"/>
      <c r="AV540" s="105"/>
      <c r="AW540" s="105"/>
      <c r="AX540" s="105"/>
      <c r="AY540" s="105"/>
      <c r="AZ540" s="105"/>
      <c r="BA540" s="105"/>
      <c r="BB540" s="105"/>
      <c r="BC540" s="105"/>
      <c r="BD540" s="108"/>
      <c r="BE540" s="83">
        <f>IF($A540="","",IF(TRIM($D540&amp;"")="",IF(TRIM($AX540&amp;$AY540&amp;$AZ540&amp;$BA540&amp;$BB540&amp;$BC540&amp;$BD540&amp;"")="","","SUBARRENDADO"),IFERROR(IF(VLOOKUP($D540,VEHICULOS!$A$3:$H$202,7,FALSE)="","",VLOOKUP($D540,VEHICULOS!$A$3:$H$202,7,FALSE)),"")))</f>
      </c>
      <c r="BF540" s="82">
        <f>IF($A540="","",IF(TRIM($BC540&amp;"")&lt;&gt;"",$BC540,IF(TRIM($D540&amp;"")="","",IFERROR(IF(VLOOKUP($D540,VEHICULOS!$A$3:$H$202,8,FALSE)="","",VLOOKUP($D540,VEHICULOS!$A$3:$H$202,8,FALSE)),""))))</f>
      </c>
      <c r="BG540" s="106"/>
      <c r="BH540" s="107"/>
      <c r="BI540" s="86">
        <f t="shared" si="120"/>
      </c>
      <c r="BJ540" s="83">
        <f t="shared" si="121"/>
      </c>
      <c r="BK540" s="85">
        <f t="shared" si="122"/>
      </c>
      <c r="BL540" s="85">
        <f t="shared" si="123"/>
      </c>
      <c r="BM540" s="108"/>
      <c r="BN540" s="85">
        <f t="shared" si="124"/>
      </c>
      <c r="BO540" s="108"/>
      <c r="BP540" s="85">
        <f t="shared" si="125"/>
      </c>
      <c r="BQ540" s="85">
        <f t="shared" si="126"/>
      </c>
      <c r="BR540" s="108"/>
      <c r="BS540" s="104"/>
      <c r="BT540" s="87">
        <f t="shared" si="127"/>
      </c>
      <c r="BU540" s="85">
        <f t="shared" si="128"/>
      </c>
      <c r="BV540" s="85">
        <f t="shared" si="129"/>
      </c>
      <c r="BW540" s="87">
        <f t="shared" si="130"/>
      </c>
      <c r="BX540" s="104"/>
      <c r="BY540" s="106"/>
      <c r="BZ540" s="104"/>
      <c r="CA540" s="105"/>
      <c r="CB540" s="77">
        <f>IF($A540="",0,IF($B540='FICHA CLIENTE'!$C$4,1,0))</f>
      </c>
      <c r="CC540" s="77">
        <f t="shared" si="131"/>
      </c>
      <c r="CD540" s="77">
        <f>IF($A540="",0,IF($D540='FICHA VEHICULO'!$C$4,1,0))</f>
      </c>
      <c r="CE540" s="77">
        <f t="shared" si="132"/>
      </c>
      <c r="CF540" s="77">
        <f t="shared" si="133"/>
      </c>
      <c r="CG540" s="77">
        <f t="shared" si="134"/>
      </c>
    </row>
    <row r="541" spans="1:85" ht="19.5" customHeight="1" x14ac:dyDescent="0.2">
      <c r="A541" s="104"/>
      <c r="B541" s="104"/>
      <c r="C541" s="105"/>
      <c r="D541" s="104"/>
      <c r="E541" s="105"/>
      <c r="F541" s="106"/>
      <c r="G541" s="104"/>
      <c r="H541" s="106"/>
      <c r="I541" s="107"/>
      <c r="J541" s="108"/>
      <c r="K541" s="108"/>
      <c r="L541" s="108"/>
      <c r="M541" s="105"/>
      <c r="N541" s="105"/>
      <c r="O541" s="105"/>
      <c r="P541" s="108"/>
      <c r="Q541" s="105"/>
      <c r="R541" s="105"/>
      <c r="S541" s="105"/>
      <c r="T541" s="105"/>
      <c r="U541" s="108"/>
      <c r="V541" s="105"/>
      <c r="W541" s="105"/>
      <c r="X541" s="105"/>
      <c r="Y541" s="105"/>
      <c r="Z541" s="105"/>
      <c r="AA541" s="108"/>
      <c r="AB541" s="108"/>
      <c r="AC541" s="105"/>
      <c r="AD541" s="279"/>
      <c r="AE541" s="105"/>
      <c r="AF541" s="279"/>
      <c r="AG541" s="105"/>
      <c r="AH541" s="108"/>
      <c r="AI541" s="108"/>
      <c r="AJ541" s="108"/>
      <c r="AK541" s="108"/>
      <c r="AL541" s="105"/>
      <c r="AM541" s="108"/>
      <c r="AN541" s="105"/>
      <c r="AO541" s="108"/>
      <c r="AP541" s="108"/>
      <c r="AQ541" s="105"/>
      <c r="AR541" s="108"/>
      <c r="AS541" s="108"/>
      <c r="AT541" s="105"/>
      <c r="AU541" s="105"/>
      <c r="AV541" s="105"/>
      <c r="AW541" s="105"/>
      <c r="AX541" s="105"/>
      <c r="AY541" s="105"/>
      <c r="AZ541" s="105"/>
      <c r="BA541" s="105"/>
      <c r="BB541" s="105"/>
      <c r="BC541" s="105"/>
      <c r="BD541" s="108"/>
      <c r="BE541" s="83">
        <f>IF($A541="","",IF(TRIM($D541&amp;"")="",IF(TRIM($AX541&amp;$AY541&amp;$AZ541&amp;$BA541&amp;$BB541&amp;$BC541&amp;$BD541&amp;"")="","","SUBARRENDADO"),IFERROR(IF(VLOOKUP($D541,VEHICULOS!$A$3:$H$202,7,FALSE)="","",VLOOKUP($D541,VEHICULOS!$A$3:$H$202,7,FALSE)),"")))</f>
      </c>
      <c r="BF541" s="82">
        <f>IF($A541="","",IF(TRIM($BC541&amp;"")&lt;&gt;"",$BC541,IF(TRIM($D541&amp;"")="","",IFERROR(IF(VLOOKUP($D541,VEHICULOS!$A$3:$H$202,8,FALSE)="","",VLOOKUP($D541,VEHICULOS!$A$3:$H$202,8,FALSE)),""))))</f>
      </c>
      <c r="BG541" s="106"/>
      <c r="BH541" s="107"/>
      <c r="BI541" s="86">
        <f t="shared" si="120"/>
      </c>
      <c r="BJ541" s="83">
        <f t="shared" si="121"/>
      </c>
      <c r="BK541" s="85">
        <f t="shared" si="122"/>
      </c>
      <c r="BL541" s="85">
        <f t="shared" si="123"/>
      </c>
      <c r="BM541" s="108"/>
      <c r="BN541" s="85">
        <f t="shared" si="124"/>
      </c>
      <c r="BO541" s="108"/>
      <c r="BP541" s="85">
        <f t="shared" si="125"/>
      </c>
      <c r="BQ541" s="85">
        <f t="shared" si="126"/>
      </c>
      <c r="BR541" s="108"/>
      <c r="BS541" s="104"/>
      <c r="BT541" s="87">
        <f t="shared" si="127"/>
      </c>
      <c r="BU541" s="85">
        <f t="shared" si="128"/>
      </c>
      <c r="BV541" s="85">
        <f t="shared" si="129"/>
      </c>
      <c r="BW541" s="87">
        <f t="shared" si="130"/>
      </c>
      <c r="BX541" s="104"/>
      <c r="BY541" s="106"/>
      <c r="BZ541" s="104"/>
      <c r="CA541" s="105"/>
      <c r="CB541" s="77">
        <f>IF($A541="",0,IF($B541='FICHA CLIENTE'!$C$4,1,0))</f>
      </c>
      <c r="CC541" s="77">
        <f t="shared" si="131"/>
      </c>
      <c r="CD541" s="77">
        <f>IF($A541="",0,IF($D541='FICHA VEHICULO'!$C$4,1,0))</f>
      </c>
      <c r="CE541" s="77">
        <f t="shared" si="132"/>
      </c>
      <c r="CF541" s="77">
        <f t="shared" si="133"/>
      </c>
      <c r="CG541" s="77">
        <f t="shared" si="134"/>
      </c>
    </row>
    <row r="542" spans="1:85" ht="19.5" customHeight="1" x14ac:dyDescent="0.2">
      <c r="A542" s="104"/>
      <c r="B542" s="104"/>
      <c r="C542" s="105"/>
      <c r="D542" s="104"/>
      <c r="E542" s="105"/>
      <c r="F542" s="106"/>
      <c r="G542" s="104"/>
      <c r="H542" s="106"/>
      <c r="I542" s="107"/>
      <c r="J542" s="108"/>
      <c r="K542" s="108"/>
      <c r="L542" s="108"/>
      <c r="M542" s="105"/>
      <c r="N542" s="105"/>
      <c r="O542" s="105"/>
      <c r="P542" s="108"/>
      <c r="Q542" s="105"/>
      <c r="R542" s="105"/>
      <c r="S542" s="105"/>
      <c r="T542" s="105"/>
      <c r="U542" s="108"/>
      <c r="V542" s="105"/>
      <c r="W542" s="105"/>
      <c r="X542" s="105"/>
      <c r="Y542" s="105"/>
      <c r="Z542" s="105"/>
      <c r="AA542" s="108"/>
      <c r="AB542" s="108"/>
      <c r="AC542" s="105"/>
      <c r="AD542" s="279"/>
      <c r="AE542" s="105"/>
      <c r="AF542" s="279"/>
      <c r="AG542" s="105"/>
      <c r="AH542" s="108"/>
      <c r="AI542" s="108"/>
      <c r="AJ542" s="108"/>
      <c r="AK542" s="108"/>
      <c r="AL542" s="105"/>
      <c r="AM542" s="108"/>
      <c r="AN542" s="105"/>
      <c r="AO542" s="108"/>
      <c r="AP542" s="108"/>
      <c r="AQ542" s="105"/>
      <c r="AR542" s="108"/>
      <c r="AS542" s="108"/>
      <c r="AT542" s="105"/>
      <c r="AU542" s="105"/>
      <c r="AV542" s="105"/>
      <c r="AW542" s="105"/>
      <c r="AX542" s="105"/>
      <c r="AY542" s="105"/>
      <c r="AZ542" s="105"/>
      <c r="BA542" s="105"/>
      <c r="BB542" s="105"/>
      <c r="BC542" s="105"/>
      <c r="BD542" s="108"/>
      <c r="BE542" s="83">
        <f>IF($A542="","",IF(TRIM($D542&amp;"")="",IF(TRIM($AX542&amp;$AY542&amp;$AZ542&amp;$BA542&amp;$BB542&amp;$BC542&amp;$BD542&amp;"")="","","SUBARRENDADO"),IFERROR(IF(VLOOKUP($D542,VEHICULOS!$A$3:$H$202,7,FALSE)="","",VLOOKUP($D542,VEHICULOS!$A$3:$H$202,7,FALSE)),"")))</f>
      </c>
      <c r="BF542" s="82">
        <f>IF($A542="","",IF(TRIM($BC542&amp;"")&lt;&gt;"",$BC542,IF(TRIM($D542&amp;"")="","",IFERROR(IF(VLOOKUP($D542,VEHICULOS!$A$3:$H$202,8,FALSE)="","",VLOOKUP($D542,VEHICULOS!$A$3:$H$202,8,FALSE)),""))))</f>
      </c>
      <c r="BG542" s="106"/>
      <c r="BH542" s="107"/>
      <c r="BI542" s="86">
        <f t="shared" si="120"/>
      </c>
      <c r="BJ542" s="83">
        <f t="shared" si="121"/>
      </c>
      <c r="BK542" s="85">
        <f t="shared" si="122"/>
      </c>
      <c r="BL542" s="85">
        <f t="shared" si="123"/>
      </c>
      <c r="BM542" s="108"/>
      <c r="BN542" s="85">
        <f t="shared" si="124"/>
      </c>
      <c r="BO542" s="108"/>
      <c r="BP542" s="85">
        <f t="shared" si="125"/>
      </c>
      <c r="BQ542" s="85">
        <f t="shared" si="126"/>
      </c>
      <c r="BR542" s="108"/>
      <c r="BS542" s="104"/>
      <c r="BT542" s="87">
        <f t="shared" si="127"/>
      </c>
      <c r="BU542" s="85">
        <f t="shared" si="128"/>
      </c>
      <c r="BV542" s="85">
        <f t="shared" si="129"/>
      </c>
      <c r="BW542" s="87">
        <f t="shared" si="130"/>
      </c>
      <c r="BX542" s="104"/>
      <c r="BY542" s="106"/>
      <c r="BZ542" s="104"/>
      <c r="CA542" s="105"/>
      <c r="CB542" s="77">
        <f>IF($A542="",0,IF($B542='FICHA CLIENTE'!$C$4,1,0))</f>
      </c>
      <c r="CC542" s="77">
        <f t="shared" si="131"/>
      </c>
      <c r="CD542" s="77">
        <f>IF($A542="",0,IF($D542='FICHA VEHICULO'!$C$4,1,0))</f>
      </c>
      <c r="CE542" s="77">
        <f t="shared" si="132"/>
      </c>
      <c r="CF542" s="77">
        <f t="shared" si="133"/>
      </c>
      <c r="CG542" s="77">
        <f t="shared" si="134"/>
      </c>
    </row>
    <row r="543" spans="1:85" ht="19.5" customHeight="1" x14ac:dyDescent="0.2">
      <c r="A543" s="104"/>
      <c r="B543" s="104"/>
      <c r="C543" s="105"/>
      <c r="D543" s="104"/>
      <c r="E543" s="105"/>
      <c r="F543" s="106"/>
      <c r="G543" s="104"/>
      <c r="H543" s="106"/>
      <c r="I543" s="107"/>
      <c r="J543" s="108"/>
      <c r="K543" s="108"/>
      <c r="L543" s="108"/>
      <c r="M543" s="105"/>
      <c r="N543" s="105"/>
      <c r="O543" s="105"/>
      <c r="P543" s="108"/>
      <c r="Q543" s="105"/>
      <c r="R543" s="105"/>
      <c r="S543" s="105"/>
      <c r="T543" s="105"/>
      <c r="U543" s="108"/>
      <c r="V543" s="105"/>
      <c r="W543" s="105"/>
      <c r="X543" s="105"/>
      <c r="Y543" s="105"/>
      <c r="Z543" s="105"/>
      <c r="AA543" s="108"/>
      <c r="AB543" s="108"/>
      <c r="AC543" s="105"/>
      <c r="AD543" s="279"/>
      <c r="AE543" s="105"/>
      <c r="AF543" s="279"/>
      <c r="AG543" s="105"/>
      <c r="AH543" s="108"/>
      <c r="AI543" s="108"/>
      <c r="AJ543" s="108"/>
      <c r="AK543" s="108"/>
      <c r="AL543" s="105"/>
      <c r="AM543" s="108"/>
      <c r="AN543" s="105"/>
      <c r="AO543" s="108"/>
      <c r="AP543" s="108"/>
      <c r="AQ543" s="105"/>
      <c r="AR543" s="108"/>
      <c r="AS543" s="108"/>
      <c r="AT543" s="105"/>
      <c r="AU543" s="105"/>
      <c r="AV543" s="105"/>
      <c r="AW543" s="105"/>
      <c r="AX543" s="105"/>
      <c r="AY543" s="105"/>
      <c r="AZ543" s="105"/>
      <c r="BA543" s="105"/>
      <c r="BB543" s="105"/>
      <c r="BC543" s="105"/>
      <c r="BD543" s="108"/>
      <c r="BE543" s="83">
        <f>IF($A543="","",IF(TRIM($D543&amp;"")="",IF(TRIM($AX543&amp;$AY543&amp;$AZ543&amp;$BA543&amp;$BB543&amp;$BC543&amp;$BD543&amp;"")="","","SUBARRENDADO"),IFERROR(IF(VLOOKUP($D543,VEHICULOS!$A$3:$H$202,7,FALSE)="","",VLOOKUP($D543,VEHICULOS!$A$3:$H$202,7,FALSE)),"")))</f>
      </c>
      <c r="BF543" s="82">
        <f>IF($A543="","",IF(TRIM($BC543&amp;"")&lt;&gt;"",$BC543,IF(TRIM($D543&amp;"")="","",IFERROR(IF(VLOOKUP($D543,VEHICULOS!$A$3:$H$202,8,FALSE)="","",VLOOKUP($D543,VEHICULOS!$A$3:$H$202,8,FALSE)),""))))</f>
      </c>
      <c r="BG543" s="106"/>
      <c r="BH543" s="107"/>
      <c r="BI543" s="86">
        <f t="shared" si="120"/>
      </c>
      <c r="BJ543" s="83">
        <f t="shared" si="121"/>
      </c>
      <c r="BK543" s="85">
        <f t="shared" si="122"/>
      </c>
      <c r="BL543" s="85">
        <f t="shared" si="123"/>
      </c>
      <c r="BM543" s="108"/>
      <c r="BN543" s="85">
        <f t="shared" si="124"/>
      </c>
      <c r="BO543" s="108"/>
      <c r="BP543" s="85">
        <f t="shared" si="125"/>
      </c>
      <c r="BQ543" s="85">
        <f t="shared" si="126"/>
      </c>
      <c r="BR543" s="108"/>
      <c r="BS543" s="104"/>
      <c r="BT543" s="87">
        <f t="shared" si="127"/>
      </c>
      <c r="BU543" s="85">
        <f t="shared" si="128"/>
      </c>
      <c r="BV543" s="85">
        <f t="shared" si="129"/>
      </c>
      <c r="BW543" s="87">
        <f t="shared" si="130"/>
      </c>
      <c r="BX543" s="104"/>
      <c r="BY543" s="106"/>
      <c r="BZ543" s="104"/>
      <c r="CA543" s="105"/>
      <c r="CB543" s="77">
        <f>IF($A543="",0,IF($B543='FICHA CLIENTE'!$C$4,1,0))</f>
      </c>
      <c r="CC543" s="77">
        <f t="shared" si="131"/>
      </c>
      <c r="CD543" s="77">
        <f>IF($A543="",0,IF($D543='FICHA VEHICULO'!$C$4,1,0))</f>
      </c>
      <c r="CE543" s="77">
        <f t="shared" si="132"/>
      </c>
      <c r="CF543" s="77">
        <f t="shared" si="133"/>
      </c>
      <c r="CG543" s="77">
        <f t="shared" si="134"/>
      </c>
    </row>
    <row r="544" spans="1:85" ht="19.5" customHeight="1" x14ac:dyDescent="0.2">
      <c r="A544" s="104"/>
      <c r="B544" s="104"/>
      <c r="C544" s="105"/>
      <c r="D544" s="104"/>
      <c r="E544" s="105"/>
      <c r="F544" s="106"/>
      <c r="G544" s="104"/>
      <c r="H544" s="106"/>
      <c r="I544" s="107"/>
      <c r="J544" s="108"/>
      <c r="K544" s="108"/>
      <c r="L544" s="108"/>
      <c r="M544" s="105"/>
      <c r="N544" s="105"/>
      <c r="O544" s="105"/>
      <c r="P544" s="108"/>
      <c r="Q544" s="105"/>
      <c r="R544" s="105"/>
      <c r="S544" s="105"/>
      <c r="T544" s="105"/>
      <c r="U544" s="108"/>
      <c r="V544" s="105"/>
      <c r="W544" s="105"/>
      <c r="X544" s="105"/>
      <c r="Y544" s="105"/>
      <c r="Z544" s="105"/>
      <c r="AA544" s="108"/>
      <c r="AB544" s="108"/>
      <c r="AC544" s="105"/>
      <c r="AD544" s="279"/>
      <c r="AE544" s="105"/>
      <c r="AF544" s="279"/>
      <c r="AG544" s="105"/>
      <c r="AH544" s="108"/>
      <c r="AI544" s="108"/>
      <c r="AJ544" s="108"/>
      <c r="AK544" s="108"/>
      <c r="AL544" s="105"/>
      <c r="AM544" s="108"/>
      <c r="AN544" s="105"/>
      <c r="AO544" s="108"/>
      <c r="AP544" s="108"/>
      <c r="AQ544" s="105"/>
      <c r="AR544" s="108"/>
      <c r="AS544" s="108"/>
      <c r="AT544" s="105"/>
      <c r="AU544" s="105"/>
      <c r="AV544" s="105"/>
      <c r="AW544" s="105"/>
      <c r="AX544" s="105"/>
      <c r="AY544" s="105"/>
      <c r="AZ544" s="105"/>
      <c r="BA544" s="105"/>
      <c r="BB544" s="105"/>
      <c r="BC544" s="105"/>
      <c r="BD544" s="108"/>
      <c r="BE544" s="83">
        <f>IF($A544="","",IF(TRIM($D544&amp;"")="",IF(TRIM($AX544&amp;$AY544&amp;$AZ544&amp;$BA544&amp;$BB544&amp;$BC544&amp;$BD544&amp;"")="","","SUBARRENDADO"),IFERROR(IF(VLOOKUP($D544,VEHICULOS!$A$3:$H$202,7,FALSE)="","",VLOOKUP($D544,VEHICULOS!$A$3:$H$202,7,FALSE)),"")))</f>
      </c>
      <c r="BF544" s="82">
        <f>IF($A544="","",IF(TRIM($BC544&amp;"")&lt;&gt;"",$BC544,IF(TRIM($D544&amp;"")="","",IFERROR(IF(VLOOKUP($D544,VEHICULOS!$A$3:$H$202,8,FALSE)="","",VLOOKUP($D544,VEHICULOS!$A$3:$H$202,8,FALSE)),""))))</f>
      </c>
      <c r="BG544" s="106"/>
      <c r="BH544" s="107"/>
      <c r="BI544" s="86">
        <f t="shared" si="120"/>
      </c>
      <c r="BJ544" s="83">
        <f t="shared" si="121"/>
      </c>
      <c r="BK544" s="85">
        <f t="shared" si="122"/>
      </c>
      <c r="BL544" s="85">
        <f t="shared" si="123"/>
      </c>
      <c r="BM544" s="108"/>
      <c r="BN544" s="85">
        <f t="shared" si="124"/>
      </c>
      <c r="BO544" s="108"/>
      <c r="BP544" s="85">
        <f t="shared" si="125"/>
      </c>
      <c r="BQ544" s="85">
        <f t="shared" si="126"/>
      </c>
      <c r="BR544" s="108"/>
      <c r="BS544" s="104"/>
      <c r="BT544" s="87">
        <f t="shared" si="127"/>
      </c>
      <c r="BU544" s="85">
        <f t="shared" si="128"/>
      </c>
      <c r="BV544" s="85">
        <f t="shared" si="129"/>
      </c>
      <c r="BW544" s="87">
        <f t="shared" si="130"/>
      </c>
      <c r="BX544" s="104"/>
      <c r="BY544" s="106"/>
      <c r="BZ544" s="104"/>
      <c r="CA544" s="105"/>
      <c r="CB544" s="77">
        <f>IF($A544="",0,IF($B544='FICHA CLIENTE'!$C$4,1,0))</f>
      </c>
      <c r="CC544" s="77">
        <f t="shared" si="131"/>
      </c>
      <c r="CD544" s="77">
        <f>IF($A544="",0,IF($D544='FICHA VEHICULO'!$C$4,1,0))</f>
      </c>
      <c r="CE544" s="77">
        <f t="shared" si="132"/>
      </c>
      <c r="CF544" s="77">
        <f t="shared" si="133"/>
      </c>
      <c r="CG544" s="77">
        <f t="shared" si="134"/>
      </c>
    </row>
    <row r="545" spans="1:85" ht="19.5" customHeight="1" x14ac:dyDescent="0.2">
      <c r="A545" s="104"/>
      <c r="B545" s="104"/>
      <c r="C545" s="105"/>
      <c r="D545" s="104"/>
      <c r="E545" s="105"/>
      <c r="F545" s="106"/>
      <c r="G545" s="104"/>
      <c r="H545" s="106"/>
      <c r="I545" s="107"/>
      <c r="J545" s="108"/>
      <c r="K545" s="108"/>
      <c r="L545" s="108"/>
      <c r="M545" s="105"/>
      <c r="N545" s="105"/>
      <c r="O545" s="105"/>
      <c r="P545" s="108"/>
      <c r="Q545" s="105"/>
      <c r="R545" s="105"/>
      <c r="S545" s="105"/>
      <c r="T545" s="105"/>
      <c r="U545" s="108"/>
      <c r="V545" s="105"/>
      <c r="W545" s="105"/>
      <c r="X545" s="105"/>
      <c r="Y545" s="105"/>
      <c r="Z545" s="105"/>
      <c r="AA545" s="108"/>
      <c r="AB545" s="108"/>
      <c r="AC545" s="105"/>
      <c r="AD545" s="279"/>
      <c r="AE545" s="105"/>
      <c r="AF545" s="279"/>
      <c r="AG545" s="105"/>
      <c r="AH545" s="108"/>
      <c r="AI545" s="108"/>
      <c r="AJ545" s="108"/>
      <c r="AK545" s="108"/>
      <c r="AL545" s="105"/>
      <c r="AM545" s="108"/>
      <c r="AN545" s="105"/>
      <c r="AO545" s="108"/>
      <c r="AP545" s="108"/>
      <c r="AQ545" s="105"/>
      <c r="AR545" s="108"/>
      <c r="AS545" s="108"/>
      <c r="AT545" s="105"/>
      <c r="AU545" s="105"/>
      <c r="AV545" s="105"/>
      <c r="AW545" s="105"/>
      <c r="AX545" s="105"/>
      <c r="AY545" s="105"/>
      <c r="AZ545" s="105"/>
      <c r="BA545" s="105"/>
      <c r="BB545" s="105"/>
      <c r="BC545" s="105"/>
      <c r="BD545" s="108"/>
      <c r="BE545" s="83">
        <f>IF($A545="","",IF(TRIM($D545&amp;"")="",IF(TRIM($AX545&amp;$AY545&amp;$AZ545&amp;$BA545&amp;$BB545&amp;$BC545&amp;$BD545&amp;"")="","","SUBARRENDADO"),IFERROR(IF(VLOOKUP($D545,VEHICULOS!$A$3:$H$202,7,FALSE)="","",VLOOKUP($D545,VEHICULOS!$A$3:$H$202,7,FALSE)),"")))</f>
      </c>
      <c r="BF545" s="82">
        <f>IF($A545="","",IF(TRIM($BC545&amp;"")&lt;&gt;"",$BC545,IF(TRIM($D545&amp;"")="","",IFERROR(IF(VLOOKUP($D545,VEHICULOS!$A$3:$H$202,8,FALSE)="","",VLOOKUP($D545,VEHICULOS!$A$3:$H$202,8,FALSE)),""))))</f>
      </c>
      <c r="BG545" s="106"/>
      <c r="BH545" s="107"/>
      <c r="BI545" s="86">
        <f t="shared" si="120"/>
      </c>
      <c r="BJ545" s="83">
        <f t="shared" si="121"/>
      </c>
      <c r="BK545" s="85">
        <f t="shared" si="122"/>
      </c>
      <c r="BL545" s="85">
        <f t="shared" si="123"/>
      </c>
      <c r="BM545" s="108"/>
      <c r="BN545" s="85">
        <f t="shared" si="124"/>
      </c>
      <c r="BO545" s="108"/>
      <c r="BP545" s="85">
        <f t="shared" si="125"/>
      </c>
      <c r="BQ545" s="85">
        <f t="shared" si="126"/>
      </c>
      <c r="BR545" s="108"/>
      <c r="BS545" s="104"/>
      <c r="BT545" s="87">
        <f t="shared" si="127"/>
      </c>
      <c r="BU545" s="85">
        <f t="shared" si="128"/>
      </c>
      <c r="BV545" s="85">
        <f t="shared" si="129"/>
      </c>
      <c r="BW545" s="87">
        <f t="shared" si="130"/>
      </c>
      <c r="BX545" s="104"/>
      <c r="BY545" s="106"/>
      <c r="BZ545" s="104"/>
      <c r="CA545" s="105"/>
      <c r="CB545" s="77">
        <f>IF($A545="",0,IF($B545='FICHA CLIENTE'!$C$4,1,0))</f>
      </c>
      <c r="CC545" s="77">
        <f t="shared" si="131"/>
      </c>
      <c r="CD545" s="77">
        <f>IF($A545="",0,IF($D545='FICHA VEHICULO'!$C$4,1,0))</f>
      </c>
      <c r="CE545" s="77">
        <f t="shared" si="132"/>
      </c>
      <c r="CF545" s="77">
        <f t="shared" si="133"/>
      </c>
      <c r="CG545" s="77">
        <f t="shared" si="134"/>
      </c>
    </row>
    <row r="546" spans="1:85" ht="19.5" customHeight="1" x14ac:dyDescent="0.2">
      <c r="A546" s="104"/>
      <c r="B546" s="104"/>
      <c r="C546" s="105"/>
      <c r="D546" s="104"/>
      <c r="E546" s="105"/>
      <c r="F546" s="106"/>
      <c r="G546" s="104"/>
      <c r="H546" s="106"/>
      <c r="I546" s="107"/>
      <c r="J546" s="108"/>
      <c r="K546" s="108"/>
      <c r="L546" s="108"/>
      <c r="M546" s="105"/>
      <c r="N546" s="105"/>
      <c r="O546" s="105"/>
      <c r="P546" s="108"/>
      <c r="Q546" s="105"/>
      <c r="R546" s="105"/>
      <c r="S546" s="105"/>
      <c r="T546" s="105"/>
      <c r="U546" s="108"/>
      <c r="V546" s="105"/>
      <c r="W546" s="105"/>
      <c r="X546" s="105"/>
      <c r="Y546" s="105"/>
      <c r="Z546" s="105"/>
      <c r="AA546" s="108"/>
      <c r="AB546" s="108"/>
      <c r="AC546" s="105"/>
      <c r="AD546" s="279"/>
      <c r="AE546" s="105"/>
      <c r="AF546" s="279"/>
      <c r="AG546" s="105"/>
      <c r="AH546" s="108"/>
      <c r="AI546" s="108"/>
      <c r="AJ546" s="108"/>
      <c r="AK546" s="108"/>
      <c r="AL546" s="105"/>
      <c r="AM546" s="108"/>
      <c r="AN546" s="105"/>
      <c r="AO546" s="108"/>
      <c r="AP546" s="108"/>
      <c r="AQ546" s="105"/>
      <c r="AR546" s="108"/>
      <c r="AS546" s="108"/>
      <c r="AT546" s="105"/>
      <c r="AU546" s="105"/>
      <c r="AV546" s="105"/>
      <c r="AW546" s="105"/>
      <c r="AX546" s="105"/>
      <c r="AY546" s="105"/>
      <c r="AZ546" s="105"/>
      <c r="BA546" s="105"/>
      <c r="BB546" s="105"/>
      <c r="BC546" s="105"/>
      <c r="BD546" s="108"/>
      <c r="BE546" s="83">
        <f>IF($A546="","",IF(TRIM($D546&amp;"")="",IF(TRIM($AX546&amp;$AY546&amp;$AZ546&amp;$BA546&amp;$BB546&amp;$BC546&amp;$BD546&amp;"")="","","SUBARRENDADO"),IFERROR(IF(VLOOKUP($D546,VEHICULOS!$A$3:$H$202,7,FALSE)="","",VLOOKUP($D546,VEHICULOS!$A$3:$H$202,7,FALSE)),"")))</f>
      </c>
      <c r="BF546" s="82">
        <f>IF($A546="","",IF(TRIM($BC546&amp;"")&lt;&gt;"",$BC546,IF(TRIM($D546&amp;"")="","",IFERROR(IF(VLOOKUP($D546,VEHICULOS!$A$3:$H$202,8,FALSE)="","",VLOOKUP($D546,VEHICULOS!$A$3:$H$202,8,FALSE)),""))))</f>
      </c>
      <c r="BG546" s="106"/>
      <c r="BH546" s="107"/>
      <c r="BI546" s="86">
        <f t="shared" si="120"/>
      </c>
      <c r="BJ546" s="83">
        <f t="shared" si="121"/>
      </c>
      <c r="BK546" s="85">
        <f t="shared" si="122"/>
      </c>
      <c r="BL546" s="85">
        <f t="shared" si="123"/>
      </c>
      <c r="BM546" s="108"/>
      <c r="BN546" s="85">
        <f t="shared" si="124"/>
      </c>
      <c r="BO546" s="108"/>
      <c r="BP546" s="85">
        <f t="shared" si="125"/>
      </c>
      <c r="BQ546" s="85">
        <f t="shared" si="126"/>
      </c>
      <c r="BR546" s="108"/>
      <c r="BS546" s="104"/>
      <c r="BT546" s="87">
        <f t="shared" si="127"/>
      </c>
      <c r="BU546" s="85">
        <f t="shared" si="128"/>
      </c>
      <c r="BV546" s="85">
        <f t="shared" si="129"/>
      </c>
      <c r="BW546" s="87">
        <f t="shared" si="130"/>
      </c>
      <c r="BX546" s="104"/>
      <c r="BY546" s="106"/>
      <c r="BZ546" s="104"/>
      <c r="CA546" s="105"/>
      <c r="CB546" s="77">
        <f>IF($A546="",0,IF($B546='FICHA CLIENTE'!$C$4,1,0))</f>
      </c>
      <c r="CC546" s="77">
        <f t="shared" si="131"/>
      </c>
      <c r="CD546" s="77">
        <f>IF($A546="",0,IF($D546='FICHA VEHICULO'!$C$4,1,0))</f>
      </c>
      <c r="CE546" s="77">
        <f t="shared" si="132"/>
      </c>
      <c r="CF546" s="77">
        <f t="shared" si="133"/>
      </c>
      <c r="CG546" s="77">
        <f t="shared" si="134"/>
      </c>
    </row>
    <row r="547" spans="1:85" ht="19.5" customHeight="1" x14ac:dyDescent="0.2">
      <c r="A547" s="104"/>
      <c r="B547" s="104"/>
      <c r="C547" s="105"/>
      <c r="D547" s="104"/>
      <c r="E547" s="105"/>
      <c r="F547" s="106"/>
      <c r="G547" s="104"/>
      <c r="H547" s="106"/>
      <c r="I547" s="107"/>
      <c r="J547" s="108"/>
      <c r="K547" s="108"/>
      <c r="L547" s="108"/>
      <c r="M547" s="105"/>
      <c r="N547" s="105"/>
      <c r="O547" s="105"/>
      <c r="P547" s="108"/>
      <c r="Q547" s="105"/>
      <c r="R547" s="105"/>
      <c r="S547" s="105"/>
      <c r="T547" s="105"/>
      <c r="U547" s="108"/>
      <c r="V547" s="105"/>
      <c r="W547" s="105"/>
      <c r="X547" s="105"/>
      <c r="Y547" s="105"/>
      <c r="Z547" s="105"/>
      <c r="AA547" s="108"/>
      <c r="AB547" s="108"/>
      <c r="AC547" s="105"/>
      <c r="AD547" s="279"/>
      <c r="AE547" s="105"/>
      <c r="AF547" s="279"/>
      <c r="AG547" s="105"/>
      <c r="AH547" s="108"/>
      <c r="AI547" s="108"/>
      <c r="AJ547" s="108"/>
      <c r="AK547" s="108"/>
      <c r="AL547" s="105"/>
      <c r="AM547" s="108"/>
      <c r="AN547" s="105"/>
      <c r="AO547" s="108"/>
      <c r="AP547" s="108"/>
      <c r="AQ547" s="105"/>
      <c r="AR547" s="108"/>
      <c r="AS547" s="108"/>
      <c r="AT547" s="105"/>
      <c r="AU547" s="105"/>
      <c r="AV547" s="105"/>
      <c r="AW547" s="105"/>
      <c r="AX547" s="105"/>
      <c r="AY547" s="105"/>
      <c r="AZ547" s="105"/>
      <c r="BA547" s="105"/>
      <c r="BB547" s="105"/>
      <c r="BC547" s="105"/>
      <c r="BD547" s="108"/>
      <c r="BE547" s="83">
        <f>IF($A547="","",IF(TRIM($D547&amp;"")="",IF(TRIM($AX547&amp;$AY547&amp;$AZ547&amp;$BA547&amp;$BB547&amp;$BC547&amp;$BD547&amp;"")="","","SUBARRENDADO"),IFERROR(IF(VLOOKUP($D547,VEHICULOS!$A$3:$H$202,7,FALSE)="","",VLOOKUP($D547,VEHICULOS!$A$3:$H$202,7,FALSE)),"")))</f>
      </c>
      <c r="BF547" s="82">
        <f>IF($A547="","",IF(TRIM($BC547&amp;"")&lt;&gt;"",$BC547,IF(TRIM($D547&amp;"")="","",IFERROR(IF(VLOOKUP($D547,VEHICULOS!$A$3:$H$202,8,FALSE)="","",VLOOKUP($D547,VEHICULOS!$A$3:$H$202,8,FALSE)),""))))</f>
      </c>
      <c r="BG547" s="106"/>
      <c r="BH547" s="107"/>
      <c r="BI547" s="86">
        <f t="shared" si="120"/>
      </c>
      <c r="BJ547" s="83">
        <f t="shared" si="121"/>
      </c>
      <c r="BK547" s="85">
        <f t="shared" si="122"/>
      </c>
      <c r="BL547" s="85">
        <f t="shared" si="123"/>
      </c>
      <c r="BM547" s="108"/>
      <c r="BN547" s="85">
        <f t="shared" si="124"/>
      </c>
      <c r="BO547" s="108"/>
      <c r="BP547" s="85">
        <f t="shared" si="125"/>
      </c>
      <c r="BQ547" s="85">
        <f t="shared" si="126"/>
      </c>
      <c r="BR547" s="108"/>
      <c r="BS547" s="104"/>
      <c r="BT547" s="87">
        <f t="shared" si="127"/>
      </c>
      <c r="BU547" s="85">
        <f t="shared" si="128"/>
      </c>
      <c r="BV547" s="85">
        <f t="shared" si="129"/>
      </c>
      <c r="BW547" s="87">
        <f t="shared" si="130"/>
      </c>
      <c r="BX547" s="104"/>
      <c r="BY547" s="106"/>
      <c r="BZ547" s="104"/>
      <c r="CA547" s="105"/>
      <c r="CB547" s="77">
        <f>IF($A547="",0,IF($B547='FICHA CLIENTE'!$C$4,1,0))</f>
      </c>
      <c r="CC547" s="77">
        <f t="shared" si="131"/>
      </c>
      <c r="CD547" s="77">
        <f>IF($A547="",0,IF($D547='FICHA VEHICULO'!$C$4,1,0))</f>
      </c>
      <c r="CE547" s="77">
        <f t="shared" si="132"/>
      </c>
      <c r="CF547" s="77">
        <f t="shared" si="133"/>
      </c>
      <c r="CG547" s="77">
        <f t="shared" si="134"/>
      </c>
    </row>
    <row r="548" spans="1:85" ht="19.5" customHeight="1" x14ac:dyDescent="0.2">
      <c r="A548" s="104"/>
      <c r="B548" s="104"/>
      <c r="C548" s="105"/>
      <c r="D548" s="104"/>
      <c r="E548" s="105"/>
      <c r="F548" s="106"/>
      <c r="G548" s="104"/>
      <c r="H548" s="106"/>
      <c r="I548" s="107"/>
      <c r="J548" s="108"/>
      <c r="K548" s="108"/>
      <c r="L548" s="108"/>
      <c r="M548" s="105"/>
      <c r="N548" s="105"/>
      <c r="O548" s="105"/>
      <c r="P548" s="108"/>
      <c r="Q548" s="105"/>
      <c r="R548" s="105"/>
      <c r="S548" s="105"/>
      <c r="T548" s="105"/>
      <c r="U548" s="108"/>
      <c r="V548" s="105"/>
      <c r="W548" s="105"/>
      <c r="X548" s="105"/>
      <c r="Y548" s="105"/>
      <c r="Z548" s="105"/>
      <c r="AA548" s="108"/>
      <c r="AB548" s="108"/>
      <c r="AC548" s="105"/>
      <c r="AD548" s="279"/>
      <c r="AE548" s="105"/>
      <c r="AF548" s="279"/>
      <c r="AG548" s="105"/>
      <c r="AH548" s="108"/>
      <c r="AI548" s="108"/>
      <c r="AJ548" s="108"/>
      <c r="AK548" s="108"/>
      <c r="AL548" s="105"/>
      <c r="AM548" s="108"/>
      <c r="AN548" s="105"/>
      <c r="AO548" s="108"/>
      <c r="AP548" s="108"/>
      <c r="AQ548" s="105"/>
      <c r="AR548" s="108"/>
      <c r="AS548" s="108"/>
      <c r="AT548" s="105"/>
      <c r="AU548" s="105"/>
      <c r="AV548" s="105"/>
      <c r="AW548" s="105"/>
      <c r="AX548" s="105"/>
      <c r="AY548" s="105"/>
      <c r="AZ548" s="105"/>
      <c r="BA548" s="105"/>
      <c r="BB548" s="105"/>
      <c r="BC548" s="105"/>
      <c r="BD548" s="108"/>
      <c r="BE548" s="83">
        <f>IF($A548="","",IF(TRIM($D548&amp;"")="",IF(TRIM($AX548&amp;$AY548&amp;$AZ548&amp;$BA548&amp;$BB548&amp;$BC548&amp;$BD548&amp;"")="","","SUBARRENDADO"),IFERROR(IF(VLOOKUP($D548,VEHICULOS!$A$3:$H$202,7,FALSE)="","",VLOOKUP($D548,VEHICULOS!$A$3:$H$202,7,FALSE)),"")))</f>
      </c>
      <c r="BF548" s="82">
        <f>IF($A548="","",IF(TRIM($BC548&amp;"")&lt;&gt;"",$BC548,IF(TRIM($D548&amp;"")="","",IFERROR(IF(VLOOKUP($D548,VEHICULOS!$A$3:$H$202,8,FALSE)="","",VLOOKUP($D548,VEHICULOS!$A$3:$H$202,8,FALSE)),""))))</f>
      </c>
      <c r="BG548" s="106"/>
      <c r="BH548" s="107"/>
      <c r="BI548" s="86">
        <f t="shared" si="120"/>
      </c>
      <c r="BJ548" s="83">
        <f t="shared" si="121"/>
      </c>
      <c r="BK548" s="85">
        <f t="shared" si="122"/>
      </c>
      <c r="BL548" s="85">
        <f t="shared" si="123"/>
      </c>
      <c r="BM548" s="108"/>
      <c r="BN548" s="85">
        <f t="shared" si="124"/>
      </c>
      <c r="BO548" s="108"/>
      <c r="BP548" s="85">
        <f t="shared" si="125"/>
      </c>
      <c r="BQ548" s="85">
        <f t="shared" si="126"/>
      </c>
      <c r="BR548" s="108"/>
      <c r="BS548" s="104"/>
      <c r="BT548" s="87">
        <f t="shared" si="127"/>
      </c>
      <c r="BU548" s="85">
        <f t="shared" si="128"/>
      </c>
      <c r="BV548" s="85">
        <f t="shared" si="129"/>
      </c>
      <c r="BW548" s="87">
        <f t="shared" si="130"/>
      </c>
      <c r="BX548" s="104"/>
      <c r="BY548" s="106"/>
      <c r="BZ548" s="104"/>
      <c r="CA548" s="105"/>
      <c r="CB548" s="77">
        <f>IF($A548="",0,IF($B548='FICHA CLIENTE'!$C$4,1,0))</f>
      </c>
      <c r="CC548" s="77">
        <f t="shared" si="131"/>
      </c>
      <c r="CD548" s="77">
        <f>IF($A548="",0,IF($D548='FICHA VEHICULO'!$C$4,1,0))</f>
      </c>
      <c r="CE548" s="77">
        <f t="shared" si="132"/>
      </c>
      <c r="CF548" s="77">
        <f t="shared" si="133"/>
      </c>
      <c r="CG548" s="77">
        <f t="shared" si="134"/>
      </c>
    </row>
    <row r="549" spans="1:85" ht="19.5" customHeight="1" x14ac:dyDescent="0.2">
      <c r="A549" s="104"/>
      <c r="B549" s="104"/>
      <c r="C549" s="105"/>
      <c r="D549" s="104"/>
      <c r="E549" s="105"/>
      <c r="F549" s="106"/>
      <c r="G549" s="104"/>
      <c r="H549" s="106"/>
      <c r="I549" s="107"/>
      <c r="J549" s="108"/>
      <c r="K549" s="108"/>
      <c r="L549" s="108"/>
      <c r="M549" s="105"/>
      <c r="N549" s="105"/>
      <c r="O549" s="105"/>
      <c r="P549" s="108"/>
      <c r="Q549" s="105"/>
      <c r="R549" s="105"/>
      <c r="S549" s="105"/>
      <c r="T549" s="105"/>
      <c r="U549" s="108"/>
      <c r="V549" s="105"/>
      <c r="W549" s="105"/>
      <c r="X549" s="105"/>
      <c r="Y549" s="105"/>
      <c r="Z549" s="105"/>
      <c r="AA549" s="108"/>
      <c r="AB549" s="108"/>
      <c r="AC549" s="105"/>
      <c r="AD549" s="279"/>
      <c r="AE549" s="105"/>
      <c r="AF549" s="279"/>
      <c r="AG549" s="105"/>
      <c r="AH549" s="108"/>
      <c r="AI549" s="108"/>
      <c r="AJ549" s="108"/>
      <c r="AK549" s="108"/>
      <c r="AL549" s="105"/>
      <c r="AM549" s="108"/>
      <c r="AN549" s="105"/>
      <c r="AO549" s="108"/>
      <c r="AP549" s="108"/>
      <c r="AQ549" s="105"/>
      <c r="AR549" s="108"/>
      <c r="AS549" s="108"/>
      <c r="AT549" s="105"/>
      <c r="AU549" s="105"/>
      <c r="AV549" s="105"/>
      <c r="AW549" s="105"/>
      <c r="AX549" s="105"/>
      <c r="AY549" s="105"/>
      <c r="AZ549" s="105"/>
      <c r="BA549" s="105"/>
      <c r="BB549" s="105"/>
      <c r="BC549" s="105"/>
      <c r="BD549" s="108"/>
      <c r="BE549" s="83">
        <f>IF($A549="","",IF(TRIM($D549&amp;"")="",IF(TRIM($AX549&amp;$AY549&amp;$AZ549&amp;$BA549&amp;$BB549&amp;$BC549&amp;$BD549&amp;"")="","","SUBARRENDADO"),IFERROR(IF(VLOOKUP($D549,VEHICULOS!$A$3:$H$202,7,FALSE)="","",VLOOKUP($D549,VEHICULOS!$A$3:$H$202,7,FALSE)),"")))</f>
      </c>
      <c r="BF549" s="82">
        <f>IF($A549="","",IF(TRIM($BC549&amp;"")&lt;&gt;"",$BC549,IF(TRIM($D549&amp;"")="","",IFERROR(IF(VLOOKUP($D549,VEHICULOS!$A$3:$H$202,8,FALSE)="","",VLOOKUP($D549,VEHICULOS!$A$3:$H$202,8,FALSE)),""))))</f>
      </c>
      <c r="BG549" s="106"/>
      <c r="BH549" s="107"/>
      <c r="BI549" s="86">
        <f t="shared" si="120"/>
      </c>
      <c r="BJ549" s="83">
        <f t="shared" si="121"/>
      </c>
      <c r="BK549" s="85">
        <f t="shared" si="122"/>
      </c>
      <c r="BL549" s="85">
        <f t="shared" si="123"/>
      </c>
      <c r="BM549" s="108"/>
      <c r="BN549" s="85">
        <f t="shared" si="124"/>
      </c>
      <c r="BO549" s="108"/>
      <c r="BP549" s="85">
        <f t="shared" si="125"/>
      </c>
      <c r="BQ549" s="85">
        <f t="shared" si="126"/>
      </c>
      <c r="BR549" s="108"/>
      <c r="BS549" s="104"/>
      <c r="BT549" s="87">
        <f t="shared" si="127"/>
      </c>
      <c r="BU549" s="85">
        <f t="shared" si="128"/>
      </c>
      <c r="BV549" s="85">
        <f t="shared" si="129"/>
      </c>
      <c r="BW549" s="87">
        <f t="shared" si="130"/>
      </c>
      <c r="BX549" s="104"/>
      <c r="BY549" s="106"/>
      <c r="BZ549" s="104"/>
      <c r="CA549" s="105"/>
      <c r="CB549" s="77">
        <f>IF($A549="",0,IF($B549='FICHA CLIENTE'!$C$4,1,0))</f>
      </c>
      <c r="CC549" s="77">
        <f t="shared" si="131"/>
      </c>
      <c r="CD549" s="77">
        <f>IF($A549="",0,IF($D549='FICHA VEHICULO'!$C$4,1,0))</f>
      </c>
      <c r="CE549" s="77">
        <f t="shared" si="132"/>
      </c>
      <c r="CF549" s="77">
        <f t="shared" si="133"/>
      </c>
      <c r="CG549" s="77">
        <f t="shared" si="134"/>
      </c>
    </row>
    <row r="550" spans="1:85" ht="19.5" customHeight="1" x14ac:dyDescent="0.2">
      <c r="A550" s="104"/>
      <c r="B550" s="104"/>
      <c r="C550" s="105"/>
      <c r="D550" s="104"/>
      <c r="E550" s="105"/>
      <c r="F550" s="106"/>
      <c r="G550" s="104"/>
      <c r="H550" s="106"/>
      <c r="I550" s="107"/>
      <c r="J550" s="108"/>
      <c r="K550" s="108"/>
      <c r="L550" s="108"/>
      <c r="M550" s="105"/>
      <c r="N550" s="105"/>
      <c r="O550" s="105"/>
      <c r="P550" s="108"/>
      <c r="Q550" s="105"/>
      <c r="R550" s="105"/>
      <c r="S550" s="105"/>
      <c r="T550" s="105"/>
      <c r="U550" s="108"/>
      <c r="V550" s="105"/>
      <c r="W550" s="105"/>
      <c r="X550" s="105"/>
      <c r="Y550" s="105"/>
      <c r="Z550" s="105"/>
      <c r="AA550" s="108"/>
      <c r="AB550" s="108"/>
      <c r="AC550" s="105"/>
      <c r="AD550" s="279"/>
      <c r="AE550" s="105"/>
      <c r="AF550" s="279"/>
      <c r="AG550" s="105"/>
      <c r="AH550" s="108"/>
      <c r="AI550" s="108"/>
      <c r="AJ550" s="108"/>
      <c r="AK550" s="108"/>
      <c r="AL550" s="105"/>
      <c r="AM550" s="108"/>
      <c r="AN550" s="105"/>
      <c r="AO550" s="108"/>
      <c r="AP550" s="108"/>
      <c r="AQ550" s="105"/>
      <c r="AR550" s="108"/>
      <c r="AS550" s="108"/>
      <c r="AT550" s="105"/>
      <c r="AU550" s="105"/>
      <c r="AV550" s="105"/>
      <c r="AW550" s="105"/>
      <c r="AX550" s="105"/>
      <c r="AY550" s="105"/>
      <c r="AZ550" s="105"/>
      <c r="BA550" s="105"/>
      <c r="BB550" s="105"/>
      <c r="BC550" s="105"/>
      <c r="BD550" s="108"/>
      <c r="BE550" s="83">
        <f>IF($A550="","",IF(TRIM($D550&amp;"")="",IF(TRIM($AX550&amp;$AY550&amp;$AZ550&amp;$BA550&amp;$BB550&amp;$BC550&amp;$BD550&amp;"")="","","SUBARRENDADO"),IFERROR(IF(VLOOKUP($D550,VEHICULOS!$A$3:$H$202,7,FALSE)="","",VLOOKUP($D550,VEHICULOS!$A$3:$H$202,7,FALSE)),"")))</f>
      </c>
      <c r="BF550" s="82">
        <f>IF($A550="","",IF(TRIM($BC550&amp;"")&lt;&gt;"",$BC550,IF(TRIM($D550&amp;"")="","",IFERROR(IF(VLOOKUP($D550,VEHICULOS!$A$3:$H$202,8,FALSE)="","",VLOOKUP($D550,VEHICULOS!$A$3:$H$202,8,FALSE)),""))))</f>
      </c>
      <c r="BG550" s="106"/>
      <c r="BH550" s="107"/>
      <c r="BI550" s="86">
        <f t="shared" si="120"/>
      </c>
      <c r="BJ550" s="83">
        <f t="shared" si="121"/>
      </c>
      <c r="BK550" s="85">
        <f t="shared" si="122"/>
      </c>
      <c r="BL550" s="85">
        <f t="shared" si="123"/>
      </c>
      <c r="BM550" s="108"/>
      <c r="BN550" s="85">
        <f t="shared" si="124"/>
      </c>
      <c r="BO550" s="108"/>
      <c r="BP550" s="85">
        <f t="shared" si="125"/>
      </c>
      <c r="BQ550" s="85">
        <f t="shared" si="126"/>
      </c>
      <c r="BR550" s="108"/>
      <c r="BS550" s="104"/>
      <c r="BT550" s="87">
        <f t="shared" si="127"/>
      </c>
      <c r="BU550" s="85">
        <f t="shared" si="128"/>
      </c>
      <c r="BV550" s="85">
        <f t="shared" si="129"/>
      </c>
      <c r="BW550" s="87">
        <f t="shared" si="130"/>
      </c>
      <c r="BX550" s="104"/>
      <c r="BY550" s="106"/>
      <c r="BZ550" s="104"/>
      <c r="CA550" s="105"/>
      <c r="CB550" s="77">
        <f>IF($A550="",0,IF($B550='FICHA CLIENTE'!$C$4,1,0))</f>
      </c>
      <c r="CC550" s="77">
        <f t="shared" si="131"/>
      </c>
      <c r="CD550" s="77">
        <f>IF($A550="",0,IF($D550='FICHA VEHICULO'!$C$4,1,0))</f>
      </c>
      <c r="CE550" s="77">
        <f t="shared" si="132"/>
      </c>
      <c r="CF550" s="77">
        <f t="shared" si="133"/>
      </c>
      <c r="CG550" s="77">
        <f t="shared" si="134"/>
      </c>
    </row>
    <row r="551" spans="1:85" ht="19.5" customHeight="1" x14ac:dyDescent="0.2">
      <c r="A551" s="104"/>
      <c r="B551" s="104"/>
      <c r="C551" s="105"/>
      <c r="D551" s="104"/>
      <c r="E551" s="105"/>
      <c r="F551" s="106"/>
      <c r="G551" s="104"/>
      <c r="H551" s="106"/>
      <c r="I551" s="107"/>
      <c r="J551" s="108"/>
      <c r="K551" s="108"/>
      <c r="L551" s="108"/>
      <c r="M551" s="105"/>
      <c r="N551" s="105"/>
      <c r="O551" s="105"/>
      <c r="P551" s="108"/>
      <c r="Q551" s="105"/>
      <c r="R551" s="105"/>
      <c r="S551" s="105"/>
      <c r="T551" s="105"/>
      <c r="U551" s="108"/>
      <c r="V551" s="105"/>
      <c r="W551" s="105"/>
      <c r="X551" s="105"/>
      <c r="Y551" s="105"/>
      <c r="Z551" s="105"/>
      <c r="AA551" s="108"/>
      <c r="AB551" s="108"/>
      <c r="AC551" s="105"/>
      <c r="AD551" s="279"/>
      <c r="AE551" s="105"/>
      <c r="AF551" s="279"/>
      <c r="AG551" s="105"/>
      <c r="AH551" s="108"/>
      <c r="AI551" s="108"/>
      <c r="AJ551" s="108"/>
      <c r="AK551" s="108"/>
      <c r="AL551" s="105"/>
      <c r="AM551" s="108"/>
      <c r="AN551" s="105"/>
      <c r="AO551" s="108"/>
      <c r="AP551" s="108"/>
      <c r="AQ551" s="105"/>
      <c r="AR551" s="108"/>
      <c r="AS551" s="108"/>
      <c r="AT551" s="105"/>
      <c r="AU551" s="105"/>
      <c r="AV551" s="105"/>
      <c r="AW551" s="105"/>
      <c r="AX551" s="105"/>
      <c r="AY551" s="105"/>
      <c r="AZ551" s="105"/>
      <c r="BA551" s="105"/>
      <c r="BB551" s="105"/>
      <c r="BC551" s="105"/>
      <c r="BD551" s="108"/>
      <c r="BE551" s="83">
        <f>IF($A551="","",IF(TRIM($D551&amp;"")="",IF(TRIM($AX551&amp;$AY551&amp;$AZ551&amp;$BA551&amp;$BB551&amp;$BC551&amp;$BD551&amp;"")="","","SUBARRENDADO"),IFERROR(IF(VLOOKUP($D551,VEHICULOS!$A$3:$H$202,7,FALSE)="","",VLOOKUP($D551,VEHICULOS!$A$3:$H$202,7,FALSE)),"")))</f>
      </c>
      <c r="BF551" s="82">
        <f>IF($A551="","",IF(TRIM($BC551&amp;"")&lt;&gt;"",$BC551,IF(TRIM($D551&amp;"")="","",IFERROR(IF(VLOOKUP($D551,VEHICULOS!$A$3:$H$202,8,FALSE)="","",VLOOKUP($D551,VEHICULOS!$A$3:$H$202,8,FALSE)),""))))</f>
      </c>
      <c r="BG551" s="106"/>
      <c r="BH551" s="107"/>
      <c r="BI551" s="86">
        <f t="shared" si="120"/>
      </c>
      <c r="BJ551" s="83">
        <f t="shared" si="121"/>
      </c>
      <c r="BK551" s="85">
        <f t="shared" si="122"/>
      </c>
      <c r="BL551" s="85">
        <f t="shared" si="123"/>
      </c>
      <c r="BM551" s="108"/>
      <c r="BN551" s="85">
        <f t="shared" si="124"/>
      </c>
      <c r="BO551" s="108"/>
      <c r="BP551" s="85">
        <f t="shared" si="125"/>
      </c>
      <c r="BQ551" s="85">
        <f t="shared" si="126"/>
      </c>
      <c r="BR551" s="108"/>
      <c r="BS551" s="104"/>
      <c r="BT551" s="87">
        <f t="shared" si="127"/>
      </c>
      <c r="BU551" s="85">
        <f t="shared" si="128"/>
      </c>
      <c r="BV551" s="85">
        <f t="shared" si="129"/>
      </c>
      <c r="BW551" s="87">
        <f t="shared" si="130"/>
      </c>
      <c r="BX551" s="104"/>
      <c r="BY551" s="106"/>
      <c r="BZ551" s="104"/>
      <c r="CA551" s="105"/>
      <c r="CB551" s="77">
        <f>IF($A551="",0,IF($B551='FICHA CLIENTE'!$C$4,1,0))</f>
      </c>
      <c r="CC551" s="77">
        <f t="shared" si="131"/>
      </c>
      <c r="CD551" s="77">
        <f>IF($A551="",0,IF($D551='FICHA VEHICULO'!$C$4,1,0))</f>
      </c>
      <c r="CE551" s="77">
        <f t="shared" si="132"/>
      </c>
      <c r="CF551" s="77">
        <f t="shared" si="133"/>
      </c>
      <c r="CG551" s="77">
        <f t="shared" si="134"/>
      </c>
    </row>
    <row r="552" spans="1:85" ht="19.5" customHeight="1" x14ac:dyDescent="0.2">
      <c r="A552" s="104"/>
      <c r="B552" s="104"/>
      <c r="C552" s="105"/>
      <c r="D552" s="104"/>
      <c r="E552" s="105"/>
      <c r="F552" s="106"/>
      <c r="G552" s="104"/>
      <c r="H552" s="106"/>
      <c r="I552" s="107"/>
      <c r="J552" s="108"/>
      <c r="K552" s="108"/>
      <c r="L552" s="108"/>
      <c r="M552" s="105"/>
      <c r="N552" s="105"/>
      <c r="O552" s="105"/>
      <c r="P552" s="108"/>
      <c r="Q552" s="105"/>
      <c r="R552" s="105"/>
      <c r="S552" s="105"/>
      <c r="T552" s="105"/>
      <c r="U552" s="108"/>
      <c r="V552" s="105"/>
      <c r="W552" s="105"/>
      <c r="X552" s="105"/>
      <c r="Y552" s="105"/>
      <c r="Z552" s="105"/>
      <c r="AA552" s="108"/>
      <c r="AB552" s="108"/>
      <c r="AC552" s="105"/>
      <c r="AD552" s="279"/>
      <c r="AE552" s="105"/>
      <c r="AF552" s="279"/>
      <c r="AG552" s="105"/>
      <c r="AH552" s="108"/>
      <c r="AI552" s="108"/>
      <c r="AJ552" s="108"/>
      <c r="AK552" s="108"/>
      <c r="AL552" s="105"/>
      <c r="AM552" s="108"/>
      <c r="AN552" s="105"/>
      <c r="AO552" s="108"/>
      <c r="AP552" s="108"/>
      <c r="AQ552" s="105"/>
      <c r="AR552" s="108"/>
      <c r="AS552" s="108"/>
      <c r="AT552" s="105"/>
      <c r="AU552" s="105"/>
      <c r="AV552" s="105"/>
      <c r="AW552" s="105"/>
      <c r="AX552" s="105"/>
      <c r="AY552" s="105"/>
      <c r="AZ552" s="105"/>
      <c r="BA552" s="105"/>
      <c r="BB552" s="105"/>
      <c r="BC552" s="105"/>
      <c r="BD552" s="108"/>
      <c r="BE552" s="83">
        <f>IF($A552="","",IF(TRIM($D552&amp;"")="",IF(TRIM($AX552&amp;$AY552&amp;$AZ552&amp;$BA552&amp;$BB552&amp;$BC552&amp;$BD552&amp;"")="","","SUBARRENDADO"),IFERROR(IF(VLOOKUP($D552,VEHICULOS!$A$3:$H$202,7,FALSE)="","",VLOOKUP($D552,VEHICULOS!$A$3:$H$202,7,FALSE)),"")))</f>
      </c>
      <c r="BF552" s="82">
        <f>IF($A552="","",IF(TRIM($BC552&amp;"")&lt;&gt;"",$BC552,IF(TRIM($D552&amp;"")="","",IFERROR(IF(VLOOKUP($D552,VEHICULOS!$A$3:$H$202,8,FALSE)="","",VLOOKUP($D552,VEHICULOS!$A$3:$H$202,8,FALSE)),""))))</f>
      </c>
      <c r="BG552" s="106"/>
      <c r="BH552" s="107"/>
      <c r="BI552" s="86">
        <f t="shared" si="120"/>
      </c>
      <c r="BJ552" s="83">
        <f t="shared" si="121"/>
      </c>
      <c r="BK552" s="85">
        <f t="shared" si="122"/>
      </c>
      <c r="BL552" s="85">
        <f t="shared" si="123"/>
      </c>
      <c r="BM552" s="108"/>
      <c r="BN552" s="85">
        <f t="shared" si="124"/>
      </c>
      <c r="BO552" s="108"/>
      <c r="BP552" s="85">
        <f t="shared" si="125"/>
      </c>
      <c r="BQ552" s="85">
        <f t="shared" si="126"/>
      </c>
      <c r="BR552" s="108"/>
      <c r="BS552" s="104"/>
      <c r="BT552" s="87">
        <f t="shared" si="127"/>
      </c>
      <c r="BU552" s="85">
        <f t="shared" si="128"/>
      </c>
      <c r="BV552" s="85">
        <f t="shared" si="129"/>
      </c>
      <c r="BW552" s="87">
        <f t="shared" si="130"/>
      </c>
      <c r="BX552" s="104"/>
      <c r="BY552" s="106"/>
      <c r="BZ552" s="104"/>
      <c r="CA552" s="105"/>
      <c r="CB552" s="77">
        <f>IF($A552="",0,IF($B552='FICHA CLIENTE'!$C$4,1,0))</f>
      </c>
      <c r="CC552" s="77">
        <f t="shared" si="131"/>
      </c>
      <c r="CD552" s="77">
        <f>IF($A552="",0,IF($D552='FICHA VEHICULO'!$C$4,1,0))</f>
      </c>
      <c r="CE552" s="77">
        <f t="shared" si="132"/>
      </c>
      <c r="CF552" s="77">
        <f t="shared" si="133"/>
      </c>
      <c r="CG552" s="77">
        <f t="shared" si="134"/>
      </c>
    </row>
    <row r="553" spans="1:85" ht="19.5" customHeight="1" x14ac:dyDescent="0.2">
      <c r="A553" s="104"/>
      <c r="B553" s="104"/>
      <c r="C553" s="105"/>
      <c r="D553" s="104"/>
      <c r="E553" s="105"/>
      <c r="F553" s="106"/>
      <c r="G553" s="104"/>
      <c r="H553" s="106"/>
      <c r="I553" s="107"/>
      <c r="J553" s="108"/>
      <c r="K553" s="108"/>
      <c r="L553" s="108"/>
      <c r="M553" s="105"/>
      <c r="N553" s="105"/>
      <c r="O553" s="105"/>
      <c r="P553" s="108"/>
      <c r="Q553" s="105"/>
      <c r="R553" s="105"/>
      <c r="S553" s="105"/>
      <c r="T553" s="105"/>
      <c r="U553" s="108"/>
      <c r="V553" s="105"/>
      <c r="W553" s="105"/>
      <c r="X553" s="105"/>
      <c r="Y553" s="105"/>
      <c r="Z553" s="105"/>
      <c r="AA553" s="108"/>
      <c r="AB553" s="108"/>
      <c r="AC553" s="105"/>
      <c r="AD553" s="279"/>
      <c r="AE553" s="105"/>
      <c r="AF553" s="279"/>
      <c r="AG553" s="105"/>
      <c r="AH553" s="108"/>
      <c r="AI553" s="108"/>
      <c r="AJ553" s="108"/>
      <c r="AK553" s="108"/>
      <c r="AL553" s="105"/>
      <c r="AM553" s="108"/>
      <c r="AN553" s="105"/>
      <c r="AO553" s="108"/>
      <c r="AP553" s="108"/>
      <c r="AQ553" s="105"/>
      <c r="AR553" s="108"/>
      <c r="AS553" s="108"/>
      <c r="AT553" s="105"/>
      <c r="AU553" s="105"/>
      <c r="AV553" s="105"/>
      <c r="AW553" s="105"/>
      <c r="AX553" s="105"/>
      <c r="AY553" s="105"/>
      <c r="AZ553" s="105"/>
      <c r="BA553" s="105"/>
      <c r="BB553" s="105"/>
      <c r="BC553" s="105"/>
      <c r="BD553" s="108"/>
      <c r="BE553" s="83">
        <f>IF($A553="","",IF(TRIM($D553&amp;"")="",IF(TRIM($AX553&amp;$AY553&amp;$AZ553&amp;$BA553&amp;$BB553&amp;$BC553&amp;$BD553&amp;"")="","","SUBARRENDADO"),IFERROR(IF(VLOOKUP($D553,VEHICULOS!$A$3:$H$202,7,FALSE)="","",VLOOKUP($D553,VEHICULOS!$A$3:$H$202,7,FALSE)),"")))</f>
      </c>
      <c r="BF553" s="82">
        <f>IF($A553="","",IF(TRIM($BC553&amp;"")&lt;&gt;"",$BC553,IF(TRIM($D553&amp;"")="","",IFERROR(IF(VLOOKUP($D553,VEHICULOS!$A$3:$H$202,8,FALSE)="","",VLOOKUP($D553,VEHICULOS!$A$3:$H$202,8,FALSE)),""))))</f>
      </c>
      <c r="BG553" s="106"/>
      <c r="BH553" s="107"/>
      <c r="BI553" s="86">
        <f t="shared" si="120"/>
      </c>
      <c r="BJ553" s="83">
        <f t="shared" si="121"/>
      </c>
      <c r="BK553" s="85">
        <f t="shared" si="122"/>
      </c>
      <c r="BL553" s="85">
        <f t="shared" si="123"/>
      </c>
      <c r="BM553" s="108"/>
      <c r="BN553" s="85">
        <f t="shared" si="124"/>
      </c>
      <c r="BO553" s="108"/>
      <c r="BP553" s="85">
        <f t="shared" si="125"/>
      </c>
      <c r="BQ553" s="85">
        <f t="shared" si="126"/>
      </c>
      <c r="BR553" s="108"/>
      <c r="BS553" s="104"/>
      <c r="BT553" s="87">
        <f t="shared" si="127"/>
      </c>
      <c r="BU553" s="85">
        <f t="shared" si="128"/>
      </c>
      <c r="BV553" s="85">
        <f t="shared" si="129"/>
      </c>
      <c r="BW553" s="87">
        <f t="shared" si="130"/>
      </c>
      <c r="BX553" s="104"/>
      <c r="BY553" s="106"/>
      <c r="BZ553" s="104"/>
      <c r="CA553" s="105"/>
      <c r="CB553" s="77">
        <f>IF($A553="",0,IF($B553='FICHA CLIENTE'!$C$4,1,0))</f>
      </c>
      <c r="CC553" s="77">
        <f t="shared" si="131"/>
      </c>
      <c r="CD553" s="77">
        <f>IF($A553="",0,IF($D553='FICHA VEHICULO'!$C$4,1,0))</f>
      </c>
      <c r="CE553" s="77">
        <f t="shared" si="132"/>
      </c>
      <c r="CF553" s="77">
        <f t="shared" si="133"/>
      </c>
      <c r="CG553" s="77">
        <f t="shared" si="134"/>
      </c>
    </row>
    <row r="554" spans="1:85" ht="19.5" customHeight="1" x14ac:dyDescent="0.2">
      <c r="A554" s="104"/>
      <c r="B554" s="104"/>
      <c r="C554" s="105"/>
      <c r="D554" s="104"/>
      <c r="E554" s="105"/>
      <c r="F554" s="106"/>
      <c r="G554" s="104"/>
      <c r="H554" s="106"/>
      <c r="I554" s="107"/>
      <c r="J554" s="108"/>
      <c r="K554" s="108"/>
      <c r="L554" s="108"/>
      <c r="M554" s="105"/>
      <c r="N554" s="105"/>
      <c r="O554" s="105"/>
      <c r="P554" s="108"/>
      <c r="Q554" s="105"/>
      <c r="R554" s="105"/>
      <c r="S554" s="105"/>
      <c r="T554" s="105"/>
      <c r="U554" s="108"/>
      <c r="V554" s="105"/>
      <c r="W554" s="105"/>
      <c r="X554" s="105"/>
      <c r="Y554" s="105"/>
      <c r="Z554" s="105"/>
      <c r="AA554" s="108"/>
      <c r="AB554" s="108"/>
      <c r="AC554" s="105"/>
      <c r="AD554" s="279"/>
      <c r="AE554" s="105"/>
      <c r="AF554" s="279"/>
      <c r="AG554" s="105"/>
      <c r="AH554" s="108"/>
      <c r="AI554" s="108"/>
      <c r="AJ554" s="108"/>
      <c r="AK554" s="108"/>
      <c r="AL554" s="105"/>
      <c r="AM554" s="108"/>
      <c r="AN554" s="105"/>
      <c r="AO554" s="108"/>
      <c r="AP554" s="108"/>
      <c r="AQ554" s="105"/>
      <c r="AR554" s="108"/>
      <c r="AS554" s="108"/>
      <c r="AT554" s="105"/>
      <c r="AU554" s="105"/>
      <c r="AV554" s="105"/>
      <c r="AW554" s="105"/>
      <c r="AX554" s="105"/>
      <c r="AY554" s="105"/>
      <c r="AZ554" s="105"/>
      <c r="BA554" s="105"/>
      <c r="BB554" s="105"/>
      <c r="BC554" s="105"/>
      <c r="BD554" s="108"/>
      <c r="BE554" s="83">
        <f>IF($A554="","",IF(TRIM($D554&amp;"")="",IF(TRIM($AX554&amp;$AY554&amp;$AZ554&amp;$BA554&amp;$BB554&amp;$BC554&amp;$BD554&amp;"")="","","SUBARRENDADO"),IFERROR(IF(VLOOKUP($D554,VEHICULOS!$A$3:$H$202,7,FALSE)="","",VLOOKUP($D554,VEHICULOS!$A$3:$H$202,7,FALSE)),"")))</f>
      </c>
      <c r="BF554" s="82">
        <f>IF($A554="","",IF(TRIM($BC554&amp;"")&lt;&gt;"",$BC554,IF(TRIM($D554&amp;"")="","",IFERROR(IF(VLOOKUP($D554,VEHICULOS!$A$3:$H$202,8,FALSE)="","",VLOOKUP($D554,VEHICULOS!$A$3:$H$202,8,FALSE)),""))))</f>
      </c>
      <c r="BG554" s="106"/>
      <c r="BH554" s="107"/>
      <c r="BI554" s="86">
        <f t="shared" si="120"/>
      </c>
      <c r="BJ554" s="83">
        <f t="shared" si="121"/>
      </c>
      <c r="BK554" s="85">
        <f t="shared" si="122"/>
      </c>
      <c r="BL554" s="85">
        <f t="shared" si="123"/>
      </c>
      <c r="BM554" s="108"/>
      <c r="BN554" s="85">
        <f t="shared" si="124"/>
      </c>
      <c r="BO554" s="108"/>
      <c r="BP554" s="85">
        <f t="shared" si="125"/>
      </c>
      <c r="BQ554" s="85">
        <f t="shared" si="126"/>
      </c>
      <c r="BR554" s="108"/>
      <c r="BS554" s="104"/>
      <c r="BT554" s="87">
        <f t="shared" si="127"/>
      </c>
      <c r="BU554" s="85">
        <f t="shared" si="128"/>
      </c>
      <c r="BV554" s="85">
        <f t="shared" si="129"/>
      </c>
      <c r="BW554" s="87">
        <f t="shared" si="130"/>
      </c>
      <c r="BX554" s="104"/>
      <c r="BY554" s="106"/>
      <c r="BZ554" s="104"/>
      <c r="CA554" s="105"/>
      <c r="CB554" s="77">
        <f>IF($A554="",0,IF($B554='FICHA CLIENTE'!$C$4,1,0))</f>
      </c>
      <c r="CC554" s="77">
        <f t="shared" si="131"/>
      </c>
      <c r="CD554" s="77">
        <f>IF($A554="",0,IF($D554='FICHA VEHICULO'!$C$4,1,0))</f>
      </c>
      <c r="CE554" s="77">
        <f t="shared" si="132"/>
      </c>
      <c r="CF554" s="77">
        <f t="shared" si="133"/>
      </c>
      <c r="CG554" s="77">
        <f t="shared" si="134"/>
      </c>
    </row>
    <row r="555" spans="1:85" ht="19.5" customHeight="1" x14ac:dyDescent="0.2">
      <c r="A555" s="104"/>
      <c r="B555" s="104"/>
      <c r="C555" s="105"/>
      <c r="D555" s="104"/>
      <c r="E555" s="105"/>
      <c r="F555" s="106"/>
      <c r="G555" s="104"/>
      <c r="H555" s="106"/>
      <c r="I555" s="107"/>
      <c r="J555" s="108"/>
      <c r="K555" s="108"/>
      <c r="L555" s="108"/>
      <c r="M555" s="105"/>
      <c r="N555" s="105"/>
      <c r="O555" s="105"/>
      <c r="P555" s="108"/>
      <c r="Q555" s="105"/>
      <c r="R555" s="105"/>
      <c r="S555" s="105"/>
      <c r="T555" s="105"/>
      <c r="U555" s="108"/>
      <c r="V555" s="105"/>
      <c r="W555" s="105"/>
      <c r="X555" s="105"/>
      <c r="Y555" s="105"/>
      <c r="Z555" s="105"/>
      <c r="AA555" s="108"/>
      <c r="AB555" s="108"/>
      <c r="AC555" s="105"/>
      <c r="AD555" s="279"/>
      <c r="AE555" s="105"/>
      <c r="AF555" s="279"/>
      <c r="AG555" s="105"/>
      <c r="AH555" s="108"/>
      <c r="AI555" s="108"/>
      <c r="AJ555" s="108"/>
      <c r="AK555" s="108"/>
      <c r="AL555" s="105"/>
      <c r="AM555" s="108"/>
      <c r="AN555" s="105"/>
      <c r="AO555" s="108"/>
      <c r="AP555" s="108"/>
      <c r="AQ555" s="105"/>
      <c r="AR555" s="108"/>
      <c r="AS555" s="108"/>
      <c r="AT555" s="105"/>
      <c r="AU555" s="105"/>
      <c r="AV555" s="105"/>
      <c r="AW555" s="105"/>
      <c r="AX555" s="105"/>
      <c r="AY555" s="105"/>
      <c r="AZ555" s="105"/>
      <c r="BA555" s="105"/>
      <c r="BB555" s="105"/>
      <c r="BC555" s="105"/>
      <c r="BD555" s="108"/>
      <c r="BE555" s="83">
        <f>IF($A555="","",IF(TRIM($D555&amp;"")="",IF(TRIM($AX555&amp;$AY555&amp;$AZ555&amp;$BA555&amp;$BB555&amp;$BC555&amp;$BD555&amp;"")="","","SUBARRENDADO"),IFERROR(IF(VLOOKUP($D555,VEHICULOS!$A$3:$H$202,7,FALSE)="","",VLOOKUP($D555,VEHICULOS!$A$3:$H$202,7,FALSE)),"")))</f>
      </c>
      <c r="BF555" s="82">
        <f>IF($A555="","",IF(TRIM($BC555&amp;"")&lt;&gt;"",$BC555,IF(TRIM($D555&amp;"")="","",IFERROR(IF(VLOOKUP($D555,VEHICULOS!$A$3:$H$202,8,FALSE)="","",VLOOKUP($D555,VEHICULOS!$A$3:$H$202,8,FALSE)),""))))</f>
      </c>
      <c r="BG555" s="106"/>
      <c r="BH555" s="107"/>
      <c r="BI555" s="86">
        <f t="shared" si="120"/>
      </c>
      <c r="BJ555" s="83">
        <f t="shared" si="121"/>
      </c>
      <c r="BK555" s="85">
        <f t="shared" si="122"/>
      </c>
      <c r="BL555" s="85">
        <f t="shared" si="123"/>
      </c>
      <c r="BM555" s="108"/>
      <c r="BN555" s="85">
        <f t="shared" si="124"/>
      </c>
      <c r="BO555" s="108"/>
      <c r="BP555" s="85">
        <f t="shared" si="125"/>
      </c>
      <c r="BQ555" s="85">
        <f t="shared" si="126"/>
      </c>
      <c r="BR555" s="108"/>
      <c r="BS555" s="104"/>
      <c r="BT555" s="87">
        <f t="shared" si="127"/>
      </c>
      <c r="BU555" s="85">
        <f t="shared" si="128"/>
      </c>
      <c r="BV555" s="85">
        <f t="shared" si="129"/>
      </c>
      <c r="BW555" s="87">
        <f t="shared" si="130"/>
      </c>
      <c r="BX555" s="104"/>
      <c r="BY555" s="106"/>
      <c r="BZ555" s="104"/>
      <c r="CA555" s="105"/>
      <c r="CB555" s="77">
        <f>IF($A555="",0,IF($B555='FICHA CLIENTE'!$C$4,1,0))</f>
      </c>
      <c r="CC555" s="77">
        <f t="shared" si="131"/>
      </c>
      <c r="CD555" s="77">
        <f>IF($A555="",0,IF($D555='FICHA VEHICULO'!$C$4,1,0))</f>
      </c>
      <c r="CE555" s="77">
        <f t="shared" si="132"/>
      </c>
      <c r="CF555" s="77">
        <f t="shared" si="133"/>
      </c>
      <c r="CG555" s="77">
        <f t="shared" si="134"/>
      </c>
    </row>
    <row r="556" spans="1:85" ht="19.5" customHeight="1" x14ac:dyDescent="0.2">
      <c r="A556" s="104"/>
      <c r="B556" s="104"/>
      <c r="C556" s="105"/>
      <c r="D556" s="104"/>
      <c r="E556" s="105"/>
      <c r="F556" s="106"/>
      <c r="G556" s="104"/>
      <c r="H556" s="106"/>
      <c r="I556" s="107"/>
      <c r="J556" s="108"/>
      <c r="K556" s="108"/>
      <c r="L556" s="108"/>
      <c r="M556" s="105"/>
      <c r="N556" s="105"/>
      <c r="O556" s="105"/>
      <c r="P556" s="108"/>
      <c r="Q556" s="105"/>
      <c r="R556" s="105"/>
      <c r="S556" s="105"/>
      <c r="T556" s="105"/>
      <c r="U556" s="108"/>
      <c r="V556" s="105"/>
      <c r="W556" s="105"/>
      <c r="X556" s="105"/>
      <c r="Y556" s="105"/>
      <c r="Z556" s="105"/>
      <c r="AA556" s="108"/>
      <c r="AB556" s="108"/>
      <c r="AC556" s="105"/>
      <c r="AD556" s="279"/>
      <c r="AE556" s="105"/>
      <c r="AF556" s="279"/>
      <c r="AG556" s="105"/>
      <c r="AH556" s="108"/>
      <c r="AI556" s="108"/>
      <c r="AJ556" s="108"/>
      <c r="AK556" s="108"/>
      <c r="AL556" s="105"/>
      <c r="AM556" s="108"/>
      <c r="AN556" s="105"/>
      <c r="AO556" s="108"/>
      <c r="AP556" s="108"/>
      <c r="AQ556" s="105"/>
      <c r="AR556" s="108"/>
      <c r="AS556" s="108"/>
      <c r="AT556" s="105"/>
      <c r="AU556" s="105"/>
      <c r="AV556" s="105"/>
      <c r="AW556" s="105"/>
      <c r="AX556" s="105"/>
      <c r="AY556" s="105"/>
      <c r="AZ556" s="105"/>
      <c r="BA556" s="105"/>
      <c r="BB556" s="105"/>
      <c r="BC556" s="105"/>
      <c r="BD556" s="108"/>
      <c r="BE556" s="83">
        <f>IF($A556="","",IF(TRIM($D556&amp;"")="",IF(TRIM($AX556&amp;$AY556&amp;$AZ556&amp;$BA556&amp;$BB556&amp;$BC556&amp;$BD556&amp;"")="","","SUBARRENDADO"),IFERROR(IF(VLOOKUP($D556,VEHICULOS!$A$3:$H$202,7,FALSE)="","",VLOOKUP($D556,VEHICULOS!$A$3:$H$202,7,FALSE)),"")))</f>
      </c>
      <c r="BF556" s="82">
        <f>IF($A556="","",IF(TRIM($BC556&amp;"")&lt;&gt;"",$BC556,IF(TRIM($D556&amp;"")="","",IFERROR(IF(VLOOKUP($D556,VEHICULOS!$A$3:$H$202,8,FALSE)="","",VLOOKUP($D556,VEHICULOS!$A$3:$H$202,8,FALSE)),""))))</f>
      </c>
      <c r="BG556" s="106"/>
      <c r="BH556" s="107"/>
      <c r="BI556" s="86">
        <f t="shared" si="120"/>
      </c>
      <c r="BJ556" s="83">
        <f t="shared" si="121"/>
      </c>
      <c r="BK556" s="85">
        <f t="shared" si="122"/>
      </c>
      <c r="BL556" s="85">
        <f t="shared" si="123"/>
      </c>
      <c r="BM556" s="108"/>
      <c r="BN556" s="85">
        <f t="shared" si="124"/>
      </c>
      <c r="BO556" s="108"/>
      <c r="BP556" s="85">
        <f t="shared" si="125"/>
      </c>
      <c r="BQ556" s="85">
        <f t="shared" si="126"/>
      </c>
      <c r="BR556" s="108"/>
      <c r="BS556" s="104"/>
      <c r="BT556" s="87">
        <f t="shared" si="127"/>
      </c>
      <c r="BU556" s="85">
        <f t="shared" si="128"/>
      </c>
      <c r="BV556" s="85">
        <f t="shared" si="129"/>
      </c>
      <c r="BW556" s="87">
        <f t="shared" si="130"/>
      </c>
      <c r="BX556" s="104"/>
      <c r="BY556" s="106"/>
      <c r="BZ556" s="104"/>
      <c r="CA556" s="105"/>
      <c r="CB556" s="77">
        <f>IF($A556="",0,IF($B556='FICHA CLIENTE'!$C$4,1,0))</f>
      </c>
      <c r="CC556" s="77">
        <f t="shared" si="131"/>
      </c>
      <c r="CD556" s="77">
        <f>IF($A556="",0,IF($D556='FICHA VEHICULO'!$C$4,1,0))</f>
      </c>
      <c r="CE556" s="77">
        <f t="shared" si="132"/>
      </c>
      <c r="CF556" s="77">
        <f t="shared" si="133"/>
      </c>
      <c r="CG556" s="77">
        <f t="shared" si="134"/>
      </c>
    </row>
    <row r="557" spans="1:85" ht="19.5" customHeight="1" x14ac:dyDescent="0.2">
      <c r="A557" s="104"/>
      <c r="B557" s="104"/>
      <c r="C557" s="105"/>
      <c r="D557" s="104"/>
      <c r="E557" s="105"/>
      <c r="F557" s="106"/>
      <c r="G557" s="104"/>
      <c r="H557" s="106"/>
      <c r="I557" s="107"/>
      <c r="J557" s="108"/>
      <c r="K557" s="108"/>
      <c r="L557" s="108"/>
      <c r="M557" s="105"/>
      <c r="N557" s="105"/>
      <c r="O557" s="105"/>
      <c r="P557" s="108"/>
      <c r="Q557" s="105"/>
      <c r="R557" s="105"/>
      <c r="S557" s="105"/>
      <c r="T557" s="105"/>
      <c r="U557" s="108"/>
      <c r="V557" s="105"/>
      <c r="W557" s="105"/>
      <c r="X557" s="105"/>
      <c r="Y557" s="105"/>
      <c r="Z557" s="105"/>
      <c r="AA557" s="108"/>
      <c r="AB557" s="108"/>
      <c r="AC557" s="105"/>
      <c r="AD557" s="279"/>
      <c r="AE557" s="105"/>
      <c r="AF557" s="279"/>
      <c r="AG557" s="105"/>
      <c r="AH557" s="108"/>
      <c r="AI557" s="108"/>
      <c r="AJ557" s="108"/>
      <c r="AK557" s="108"/>
      <c r="AL557" s="105"/>
      <c r="AM557" s="108"/>
      <c r="AN557" s="105"/>
      <c r="AO557" s="108"/>
      <c r="AP557" s="108"/>
      <c r="AQ557" s="105"/>
      <c r="AR557" s="108"/>
      <c r="AS557" s="108"/>
      <c r="AT557" s="105"/>
      <c r="AU557" s="105"/>
      <c r="AV557" s="105"/>
      <c r="AW557" s="105"/>
      <c r="AX557" s="105"/>
      <c r="AY557" s="105"/>
      <c r="AZ557" s="105"/>
      <c r="BA557" s="105"/>
      <c r="BB557" s="105"/>
      <c r="BC557" s="105"/>
      <c r="BD557" s="108"/>
      <c r="BE557" s="83">
        <f>IF($A557="","",IF(TRIM($D557&amp;"")="",IF(TRIM($AX557&amp;$AY557&amp;$AZ557&amp;$BA557&amp;$BB557&amp;$BC557&amp;$BD557&amp;"")="","","SUBARRENDADO"),IFERROR(IF(VLOOKUP($D557,VEHICULOS!$A$3:$H$202,7,FALSE)="","",VLOOKUP($D557,VEHICULOS!$A$3:$H$202,7,FALSE)),"")))</f>
      </c>
      <c r="BF557" s="82">
        <f>IF($A557="","",IF(TRIM($BC557&amp;"")&lt;&gt;"",$BC557,IF(TRIM($D557&amp;"")="","",IFERROR(IF(VLOOKUP($D557,VEHICULOS!$A$3:$H$202,8,FALSE)="","",VLOOKUP($D557,VEHICULOS!$A$3:$H$202,8,FALSE)),""))))</f>
      </c>
      <c r="BG557" s="106"/>
      <c r="BH557" s="107"/>
      <c r="BI557" s="86">
        <f t="shared" si="120"/>
      </c>
      <c r="BJ557" s="83">
        <f t="shared" si="121"/>
      </c>
      <c r="BK557" s="85">
        <f t="shared" si="122"/>
      </c>
      <c r="BL557" s="85">
        <f t="shared" si="123"/>
      </c>
      <c r="BM557" s="108"/>
      <c r="BN557" s="85">
        <f t="shared" si="124"/>
      </c>
      <c r="BO557" s="108"/>
      <c r="BP557" s="85">
        <f t="shared" si="125"/>
      </c>
      <c r="BQ557" s="85">
        <f t="shared" si="126"/>
      </c>
      <c r="BR557" s="108"/>
      <c r="BS557" s="104"/>
      <c r="BT557" s="87">
        <f t="shared" si="127"/>
      </c>
      <c r="BU557" s="85">
        <f t="shared" si="128"/>
      </c>
      <c r="BV557" s="85">
        <f t="shared" si="129"/>
      </c>
      <c r="BW557" s="87">
        <f t="shared" si="130"/>
      </c>
      <c r="BX557" s="104"/>
      <c r="BY557" s="106"/>
      <c r="BZ557" s="104"/>
      <c r="CA557" s="105"/>
      <c r="CB557" s="77">
        <f>IF($A557="",0,IF($B557='FICHA CLIENTE'!$C$4,1,0))</f>
      </c>
      <c r="CC557" s="77">
        <f t="shared" si="131"/>
      </c>
      <c r="CD557" s="77">
        <f>IF($A557="",0,IF($D557='FICHA VEHICULO'!$C$4,1,0))</f>
      </c>
      <c r="CE557" s="77">
        <f t="shared" si="132"/>
      </c>
      <c r="CF557" s="77">
        <f t="shared" si="133"/>
      </c>
      <c r="CG557" s="77">
        <f t="shared" si="134"/>
      </c>
    </row>
    <row r="558" spans="1:85" ht="19.5" customHeight="1" x14ac:dyDescent="0.2">
      <c r="A558" s="104"/>
      <c r="B558" s="104"/>
      <c r="C558" s="105"/>
      <c r="D558" s="104"/>
      <c r="E558" s="105"/>
      <c r="F558" s="106"/>
      <c r="G558" s="104"/>
      <c r="H558" s="106"/>
      <c r="I558" s="107"/>
      <c r="J558" s="108"/>
      <c r="K558" s="108"/>
      <c r="L558" s="108"/>
      <c r="M558" s="105"/>
      <c r="N558" s="105"/>
      <c r="O558" s="105"/>
      <c r="P558" s="108"/>
      <c r="Q558" s="105"/>
      <c r="R558" s="105"/>
      <c r="S558" s="105"/>
      <c r="T558" s="105"/>
      <c r="U558" s="108"/>
      <c r="V558" s="105"/>
      <c r="W558" s="105"/>
      <c r="X558" s="105"/>
      <c r="Y558" s="105"/>
      <c r="Z558" s="105"/>
      <c r="AA558" s="108"/>
      <c r="AB558" s="108"/>
      <c r="AC558" s="105"/>
      <c r="AD558" s="279"/>
      <c r="AE558" s="105"/>
      <c r="AF558" s="279"/>
      <c r="AG558" s="105"/>
      <c r="AH558" s="108"/>
      <c r="AI558" s="108"/>
      <c r="AJ558" s="108"/>
      <c r="AK558" s="108"/>
      <c r="AL558" s="105"/>
      <c r="AM558" s="108"/>
      <c r="AN558" s="105"/>
      <c r="AO558" s="108"/>
      <c r="AP558" s="108"/>
      <c r="AQ558" s="105"/>
      <c r="AR558" s="108"/>
      <c r="AS558" s="108"/>
      <c r="AT558" s="105"/>
      <c r="AU558" s="105"/>
      <c r="AV558" s="105"/>
      <c r="AW558" s="105"/>
      <c r="AX558" s="105"/>
      <c r="AY558" s="105"/>
      <c r="AZ558" s="105"/>
      <c r="BA558" s="105"/>
      <c r="BB558" s="105"/>
      <c r="BC558" s="105"/>
      <c r="BD558" s="108"/>
      <c r="BE558" s="83">
        <f>IF($A558="","",IF(TRIM($D558&amp;"")="",IF(TRIM($AX558&amp;$AY558&amp;$AZ558&amp;$BA558&amp;$BB558&amp;$BC558&amp;$BD558&amp;"")="","","SUBARRENDADO"),IFERROR(IF(VLOOKUP($D558,VEHICULOS!$A$3:$H$202,7,FALSE)="","",VLOOKUP($D558,VEHICULOS!$A$3:$H$202,7,FALSE)),"")))</f>
      </c>
      <c r="BF558" s="82">
        <f>IF($A558="","",IF(TRIM($BC558&amp;"")&lt;&gt;"",$BC558,IF(TRIM($D558&amp;"")="","",IFERROR(IF(VLOOKUP($D558,VEHICULOS!$A$3:$H$202,8,FALSE)="","",VLOOKUP($D558,VEHICULOS!$A$3:$H$202,8,FALSE)),""))))</f>
      </c>
      <c r="BG558" s="106"/>
      <c r="BH558" s="107"/>
      <c r="BI558" s="86">
        <f t="shared" si="120"/>
      </c>
      <c r="BJ558" s="83">
        <f t="shared" si="121"/>
      </c>
      <c r="BK558" s="85">
        <f t="shared" si="122"/>
      </c>
      <c r="BL558" s="85">
        <f t="shared" si="123"/>
      </c>
      <c r="BM558" s="108"/>
      <c r="BN558" s="85">
        <f t="shared" si="124"/>
      </c>
      <c r="BO558" s="108"/>
      <c r="BP558" s="85">
        <f t="shared" si="125"/>
      </c>
      <c r="BQ558" s="85">
        <f t="shared" si="126"/>
      </c>
      <c r="BR558" s="108"/>
      <c r="BS558" s="104"/>
      <c r="BT558" s="87">
        <f t="shared" si="127"/>
      </c>
      <c r="BU558" s="85">
        <f t="shared" si="128"/>
      </c>
      <c r="BV558" s="85">
        <f t="shared" si="129"/>
      </c>
      <c r="BW558" s="87">
        <f t="shared" si="130"/>
      </c>
      <c r="BX558" s="104"/>
      <c r="BY558" s="106"/>
      <c r="BZ558" s="104"/>
      <c r="CA558" s="105"/>
      <c r="CB558" s="77">
        <f>IF($A558="",0,IF($B558='FICHA CLIENTE'!$C$4,1,0))</f>
      </c>
      <c r="CC558" s="77">
        <f t="shared" si="131"/>
      </c>
      <c r="CD558" s="77">
        <f>IF($A558="",0,IF($D558='FICHA VEHICULO'!$C$4,1,0))</f>
      </c>
      <c r="CE558" s="77">
        <f t="shared" si="132"/>
      </c>
      <c r="CF558" s="77">
        <f t="shared" si="133"/>
      </c>
      <c r="CG558" s="77">
        <f t="shared" si="134"/>
      </c>
    </row>
    <row r="559" spans="1:85" ht="19.5" customHeight="1" x14ac:dyDescent="0.2">
      <c r="A559" s="104"/>
      <c r="B559" s="104"/>
      <c r="C559" s="105"/>
      <c r="D559" s="104"/>
      <c r="E559" s="105"/>
      <c r="F559" s="106"/>
      <c r="G559" s="104"/>
      <c r="H559" s="106"/>
      <c r="I559" s="107"/>
      <c r="J559" s="108"/>
      <c r="K559" s="108"/>
      <c r="L559" s="108"/>
      <c r="M559" s="105"/>
      <c r="N559" s="105"/>
      <c r="O559" s="105"/>
      <c r="P559" s="108"/>
      <c r="Q559" s="105"/>
      <c r="R559" s="105"/>
      <c r="S559" s="105"/>
      <c r="T559" s="105"/>
      <c r="U559" s="108"/>
      <c r="V559" s="105"/>
      <c r="W559" s="105"/>
      <c r="X559" s="105"/>
      <c r="Y559" s="105"/>
      <c r="Z559" s="105"/>
      <c r="AA559" s="108"/>
      <c r="AB559" s="108"/>
      <c r="AC559" s="105"/>
      <c r="AD559" s="279"/>
      <c r="AE559" s="105"/>
      <c r="AF559" s="279"/>
      <c r="AG559" s="105"/>
      <c r="AH559" s="108"/>
      <c r="AI559" s="108"/>
      <c r="AJ559" s="108"/>
      <c r="AK559" s="108"/>
      <c r="AL559" s="105"/>
      <c r="AM559" s="108"/>
      <c r="AN559" s="105"/>
      <c r="AO559" s="108"/>
      <c r="AP559" s="108"/>
      <c r="AQ559" s="105"/>
      <c r="AR559" s="108"/>
      <c r="AS559" s="108"/>
      <c r="AT559" s="105"/>
      <c r="AU559" s="105"/>
      <c r="AV559" s="105"/>
      <c r="AW559" s="105"/>
      <c r="AX559" s="105"/>
      <c r="AY559" s="105"/>
      <c r="AZ559" s="105"/>
      <c r="BA559" s="105"/>
      <c r="BB559" s="105"/>
      <c r="BC559" s="105"/>
      <c r="BD559" s="108"/>
      <c r="BE559" s="83">
        <f>IF($A559="","",IF(TRIM($D559&amp;"")="",IF(TRIM($AX559&amp;$AY559&amp;$AZ559&amp;$BA559&amp;$BB559&amp;$BC559&amp;$BD559&amp;"")="","","SUBARRENDADO"),IFERROR(IF(VLOOKUP($D559,VEHICULOS!$A$3:$H$202,7,FALSE)="","",VLOOKUP($D559,VEHICULOS!$A$3:$H$202,7,FALSE)),"")))</f>
      </c>
      <c r="BF559" s="82">
        <f>IF($A559="","",IF(TRIM($BC559&amp;"")&lt;&gt;"",$BC559,IF(TRIM($D559&amp;"")="","",IFERROR(IF(VLOOKUP($D559,VEHICULOS!$A$3:$H$202,8,FALSE)="","",VLOOKUP($D559,VEHICULOS!$A$3:$H$202,8,FALSE)),""))))</f>
      </c>
      <c r="BG559" s="106"/>
      <c r="BH559" s="107"/>
      <c r="BI559" s="86">
        <f t="shared" si="120"/>
      </c>
      <c r="BJ559" s="83">
        <f t="shared" si="121"/>
      </c>
      <c r="BK559" s="85">
        <f t="shared" si="122"/>
      </c>
      <c r="BL559" s="85">
        <f t="shared" si="123"/>
      </c>
      <c r="BM559" s="108"/>
      <c r="BN559" s="85">
        <f t="shared" si="124"/>
      </c>
      <c r="BO559" s="108"/>
      <c r="BP559" s="85">
        <f t="shared" si="125"/>
      </c>
      <c r="BQ559" s="85">
        <f t="shared" si="126"/>
      </c>
      <c r="BR559" s="108"/>
      <c r="BS559" s="104"/>
      <c r="BT559" s="87">
        <f t="shared" si="127"/>
      </c>
      <c r="BU559" s="85">
        <f t="shared" si="128"/>
      </c>
      <c r="BV559" s="85">
        <f t="shared" si="129"/>
      </c>
      <c r="BW559" s="87">
        <f t="shared" si="130"/>
      </c>
      <c r="BX559" s="104"/>
      <c r="BY559" s="106"/>
      <c r="BZ559" s="104"/>
      <c r="CA559" s="105"/>
      <c r="CB559" s="77">
        <f>IF($A559="",0,IF($B559='FICHA CLIENTE'!$C$4,1,0))</f>
      </c>
      <c r="CC559" s="77">
        <f t="shared" si="131"/>
      </c>
      <c r="CD559" s="77">
        <f>IF($A559="",0,IF($D559='FICHA VEHICULO'!$C$4,1,0))</f>
      </c>
      <c r="CE559" s="77">
        <f t="shared" si="132"/>
      </c>
      <c r="CF559" s="77">
        <f t="shared" si="133"/>
      </c>
      <c r="CG559" s="77">
        <f t="shared" si="134"/>
      </c>
    </row>
    <row r="560" spans="1:85" ht="19.5" customHeight="1" x14ac:dyDescent="0.2">
      <c r="A560" s="104"/>
      <c r="B560" s="104"/>
      <c r="C560" s="105"/>
      <c r="D560" s="104"/>
      <c r="E560" s="105"/>
      <c r="F560" s="106"/>
      <c r="G560" s="104"/>
      <c r="H560" s="106"/>
      <c r="I560" s="107"/>
      <c r="J560" s="108"/>
      <c r="K560" s="108"/>
      <c r="L560" s="108"/>
      <c r="M560" s="105"/>
      <c r="N560" s="105"/>
      <c r="O560" s="105"/>
      <c r="P560" s="108"/>
      <c r="Q560" s="105"/>
      <c r="R560" s="105"/>
      <c r="S560" s="105"/>
      <c r="T560" s="105"/>
      <c r="U560" s="108"/>
      <c r="V560" s="105"/>
      <c r="W560" s="105"/>
      <c r="X560" s="105"/>
      <c r="Y560" s="105"/>
      <c r="Z560" s="105"/>
      <c r="AA560" s="108"/>
      <c r="AB560" s="108"/>
      <c r="AC560" s="105"/>
      <c r="AD560" s="279"/>
      <c r="AE560" s="105"/>
      <c r="AF560" s="279"/>
      <c r="AG560" s="105"/>
      <c r="AH560" s="108"/>
      <c r="AI560" s="108"/>
      <c r="AJ560" s="108"/>
      <c r="AK560" s="108"/>
      <c r="AL560" s="105"/>
      <c r="AM560" s="108"/>
      <c r="AN560" s="105"/>
      <c r="AO560" s="108"/>
      <c r="AP560" s="108"/>
      <c r="AQ560" s="105"/>
      <c r="AR560" s="108"/>
      <c r="AS560" s="108"/>
      <c r="AT560" s="105"/>
      <c r="AU560" s="105"/>
      <c r="AV560" s="105"/>
      <c r="AW560" s="105"/>
      <c r="AX560" s="105"/>
      <c r="AY560" s="105"/>
      <c r="AZ560" s="105"/>
      <c r="BA560" s="105"/>
      <c r="BB560" s="105"/>
      <c r="BC560" s="105"/>
      <c r="BD560" s="108"/>
      <c r="BE560" s="83">
        <f>IF($A560="","",IF(TRIM($D560&amp;"")="",IF(TRIM($AX560&amp;$AY560&amp;$AZ560&amp;$BA560&amp;$BB560&amp;$BC560&amp;$BD560&amp;"")="","","SUBARRENDADO"),IFERROR(IF(VLOOKUP($D560,VEHICULOS!$A$3:$H$202,7,FALSE)="","",VLOOKUP($D560,VEHICULOS!$A$3:$H$202,7,FALSE)),"")))</f>
      </c>
      <c r="BF560" s="82">
        <f>IF($A560="","",IF(TRIM($BC560&amp;"")&lt;&gt;"",$BC560,IF(TRIM($D560&amp;"")="","",IFERROR(IF(VLOOKUP($D560,VEHICULOS!$A$3:$H$202,8,FALSE)="","",VLOOKUP($D560,VEHICULOS!$A$3:$H$202,8,FALSE)),""))))</f>
      </c>
      <c r="BG560" s="106"/>
      <c r="BH560" s="107"/>
      <c r="BI560" s="86">
        <f t="shared" si="120"/>
      </c>
      <c r="BJ560" s="83">
        <f t="shared" si="121"/>
      </c>
      <c r="BK560" s="85">
        <f t="shared" si="122"/>
      </c>
      <c r="BL560" s="85">
        <f t="shared" si="123"/>
      </c>
      <c r="BM560" s="108"/>
      <c r="BN560" s="85">
        <f t="shared" si="124"/>
      </c>
      <c r="BO560" s="108"/>
      <c r="BP560" s="85">
        <f t="shared" si="125"/>
      </c>
      <c r="BQ560" s="85">
        <f t="shared" si="126"/>
      </c>
      <c r="BR560" s="108"/>
      <c r="BS560" s="104"/>
      <c r="BT560" s="87">
        <f t="shared" si="127"/>
      </c>
      <c r="BU560" s="85">
        <f t="shared" si="128"/>
      </c>
      <c r="BV560" s="85">
        <f t="shared" si="129"/>
      </c>
      <c r="BW560" s="87">
        <f t="shared" si="130"/>
      </c>
      <c r="BX560" s="104"/>
      <c r="BY560" s="106"/>
      <c r="BZ560" s="104"/>
      <c r="CA560" s="105"/>
      <c r="CB560" s="77">
        <f>IF($A560="",0,IF($B560='FICHA CLIENTE'!$C$4,1,0))</f>
      </c>
      <c r="CC560" s="77">
        <f t="shared" si="131"/>
      </c>
      <c r="CD560" s="77">
        <f>IF($A560="",0,IF($D560='FICHA VEHICULO'!$C$4,1,0))</f>
      </c>
      <c r="CE560" s="77">
        <f t="shared" si="132"/>
      </c>
      <c r="CF560" s="77">
        <f t="shared" si="133"/>
      </c>
      <c r="CG560" s="77">
        <f t="shared" si="134"/>
      </c>
    </row>
    <row r="561" spans="1:85" ht="19.5" customHeight="1" x14ac:dyDescent="0.2">
      <c r="A561" s="104"/>
      <c r="B561" s="104"/>
      <c r="C561" s="105"/>
      <c r="D561" s="104"/>
      <c r="E561" s="105"/>
      <c r="F561" s="106"/>
      <c r="G561" s="104"/>
      <c r="H561" s="106"/>
      <c r="I561" s="107"/>
      <c r="J561" s="108"/>
      <c r="K561" s="108"/>
      <c r="L561" s="108"/>
      <c r="M561" s="105"/>
      <c r="N561" s="105"/>
      <c r="O561" s="105"/>
      <c r="P561" s="108"/>
      <c r="Q561" s="105"/>
      <c r="R561" s="105"/>
      <c r="S561" s="105"/>
      <c r="T561" s="105"/>
      <c r="U561" s="108"/>
      <c r="V561" s="105"/>
      <c r="W561" s="105"/>
      <c r="X561" s="105"/>
      <c r="Y561" s="105"/>
      <c r="Z561" s="105"/>
      <c r="AA561" s="108"/>
      <c r="AB561" s="108"/>
      <c r="AC561" s="105"/>
      <c r="AD561" s="279"/>
      <c r="AE561" s="105"/>
      <c r="AF561" s="279"/>
      <c r="AG561" s="105"/>
      <c r="AH561" s="108"/>
      <c r="AI561" s="108"/>
      <c r="AJ561" s="108"/>
      <c r="AK561" s="108"/>
      <c r="AL561" s="105"/>
      <c r="AM561" s="108"/>
      <c r="AN561" s="105"/>
      <c r="AO561" s="108"/>
      <c r="AP561" s="108"/>
      <c r="AQ561" s="105"/>
      <c r="AR561" s="108"/>
      <c r="AS561" s="108"/>
      <c r="AT561" s="105"/>
      <c r="AU561" s="105"/>
      <c r="AV561" s="105"/>
      <c r="AW561" s="105"/>
      <c r="AX561" s="105"/>
      <c r="AY561" s="105"/>
      <c r="AZ561" s="105"/>
      <c r="BA561" s="105"/>
      <c r="BB561" s="105"/>
      <c r="BC561" s="105"/>
      <c r="BD561" s="108"/>
      <c r="BE561" s="83">
        <f>IF($A561="","",IF(TRIM($D561&amp;"")="",IF(TRIM($AX561&amp;$AY561&amp;$AZ561&amp;$BA561&amp;$BB561&amp;$BC561&amp;$BD561&amp;"")="","","SUBARRENDADO"),IFERROR(IF(VLOOKUP($D561,VEHICULOS!$A$3:$H$202,7,FALSE)="","",VLOOKUP($D561,VEHICULOS!$A$3:$H$202,7,FALSE)),"")))</f>
      </c>
      <c r="BF561" s="82">
        <f>IF($A561="","",IF(TRIM($BC561&amp;"")&lt;&gt;"",$BC561,IF(TRIM($D561&amp;"")="","",IFERROR(IF(VLOOKUP($D561,VEHICULOS!$A$3:$H$202,8,FALSE)="","",VLOOKUP($D561,VEHICULOS!$A$3:$H$202,8,FALSE)),""))))</f>
      </c>
      <c r="BG561" s="106"/>
      <c r="BH561" s="107"/>
      <c r="BI561" s="86">
        <f t="shared" si="120"/>
      </c>
      <c r="BJ561" s="83">
        <f t="shared" si="121"/>
      </c>
      <c r="BK561" s="85">
        <f t="shared" si="122"/>
      </c>
      <c r="BL561" s="85">
        <f t="shared" si="123"/>
      </c>
      <c r="BM561" s="108"/>
      <c r="BN561" s="85">
        <f t="shared" si="124"/>
      </c>
      <c r="BO561" s="108"/>
      <c r="BP561" s="85">
        <f t="shared" si="125"/>
      </c>
      <c r="BQ561" s="85">
        <f t="shared" si="126"/>
      </c>
      <c r="BR561" s="108"/>
      <c r="BS561" s="104"/>
      <c r="BT561" s="87">
        <f t="shared" si="127"/>
      </c>
      <c r="BU561" s="85">
        <f t="shared" si="128"/>
      </c>
      <c r="BV561" s="85">
        <f t="shared" si="129"/>
      </c>
      <c r="BW561" s="87">
        <f t="shared" si="130"/>
      </c>
      <c r="BX561" s="104"/>
      <c r="BY561" s="106"/>
      <c r="BZ561" s="104"/>
      <c r="CA561" s="105"/>
      <c r="CB561" s="77">
        <f>IF($A561="",0,IF($B561='FICHA CLIENTE'!$C$4,1,0))</f>
      </c>
      <c r="CC561" s="77">
        <f t="shared" si="131"/>
      </c>
      <c r="CD561" s="77">
        <f>IF($A561="",0,IF($D561='FICHA VEHICULO'!$C$4,1,0))</f>
      </c>
      <c r="CE561" s="77">
        <f t="shared" si="132"/>
      </c>
      <c r="CF561" s="77">
        <f t="shared" si="133"/>
      </c>
      <c r="CG561" s="77">
        <f t="shared" si="134"/>
      </c>
    </row>
    <row r="562" spans="1:85" ht="19.5" customHeight="1" x14ac:dyDescent="0.2">
      <c r="A562" s="104"/>
      <c r="B562" s="104"/>
      <c r="C562" s="105"/>
      <c r="D562" s="104"/>
      <c r="E562" s="105"/>
      <c r="F562" s="106"/>
      <c r="G562" s="104"/>
      <c r="H562" s="106"/>
      <c r="I562" s="107"/>
      <c r="J562" s="108"/>
      <c r="K562" s="108"/>
      <c r="L562" s="108"/>
      <c r="M562" s="105"/>
      <c r="N562" s="105"/>
      <c r="O562" s="105"/>
      <c r="P562" s="108"/>
      <c r="Q562" s="105"/>
      <c r="R562" s="105"/>
      <c r="S562" s="105"/>
      <c r="T562" s="105"/>
      <c r="U562" s="108"/>
      <c r="V562" s="105"/>
      <c r="W562" s="105"/>
      <c r="X562" s="105"/>
      <c r="Y562" s="105"/>
      <c r="Z562" s="105"/>
      <c r="AA562" s="108"/>
      <c r="AB562" s="108"/>
      <c r="AC562" s="105"/>
      <c r="AD562" s="279"/>
      <c r="AE562" s="105"/>
      <c r="AF562" s="279"/>
      <c r="AG562" s="105"/>
      <c r="AH562" s="108"/>
      <c r="AI562" s="108"/>
      <c r="AJ562" s="108"/>
      <c r="AK562" s="108"/>
      <c r="AL562" s="105"/>
      <c r="AM562" s="108"/>
      <c r="AN562" s="105"/>
      <c r="AO562" s="108"/>
      <c r="AP562" s="108"/>
      <c r="AQ562" s="105"/>
      <c r="AR562" s="108"/>
      <c r="AS562" s="108"/>
      <c r="AT562" s="105"/>
      <c r="AU562" s="105"/>
      <c r="AV562" s="105"/>
      <c r="AW562" s="105"/>
      <c r="AX562" s="105"/>
      <c r="AY562" s="105"/>
      <c r="AZ562" s="105"/>
      <c r="BA562" s="105"/>
      <c r="BB562" s="105"/>
      <c r="BC562" s="105"/>
      <c r="BD562" s="108"/>
      <c r="BE562" s="83">
        <f>IF($A562="","",IF(TRIM($D562&amp;"")="",IF(TRIM($AX562&amp;$AY562&amp;$AZ562&amp;$BA562&amp;$BB562&amp;$BC562&amp;$BD562&amp;"")="","","SUBARRENDADO"),IFERROR(IF(VLOOKUP($D562,VEHICULOS!$A$3:$H$202,7,FALSE)="","",VLOOKUP($D562,VEHICULOS!$A$3:$H$202,7,FALSE)),"")))</f>
      </c>
      <c r="BF562" s="82">
        <f>IF($A562="","",IF(TRIM($BC562&amp;"")&lt;&gt;"",$BC562,IF(TRIM($D562&amp;"")="","",IFERROR(IF(VLOOKUP($D562,VEHICULOS!$A$3:$H$202,8,FALSE)="","",VLOOKUP($D562,VEHICULOS!$A$3:$H$202,8,FALSE)),""))))</f>
      </c>
      <c r="BG562" s="106"/>
      <c r="BH562" s="107"/>
      <c r="BI562" s="86">
        <f t="shared" si="120"/>
      </c>
      <c r="BJ562" s="83">
        <f t="shared" si="121"/>
      </c>
      <c r="BK562" s="85">
        <f t="shared" si="122"/>
      </c>
      <c r="BL562" s="85">
        <f t="shared" si="123"/>
      </c>
      <c r="BM562" s="108"/>
      <c r="BN562" s="85">
        <f t="shared" si="124"/>
      </c>
      <c r="BO562" s="108"/>
      <c r="BP562" s="85">
        <f t="shared" si="125"/>
      </c>
      <c r="BQ562" s="85">
        <f t="shared" si="126"/>
      </c>
      <c r="BR562" s="108"/>
      <c r="BS562" s="104"/>
      <c r="BT562" s="87">
        <f t="shared" si="127"/>
      </c>
      <c r="BU562" s="85">
        <f t="shared" si="128"/>
      </c>
      <c r="BV562" s="85">
        <f t="shared" si="129"/>
      </c>
      <c r="BW562" s="87">
        <f t="shared" si="130"/>
      </c>
      <c r="BX562" s="104"/>
      <c r="BY562" s="106"/>
      <c r="BZ562" s="104"/>
      <c r="CA562" s="105"/>
      <c r="CB562" s="77">
        <f>IF($A562="",0,IF($B562='FICHA CLIENTE'!$C$4,1,0))</f>
      </c>
      <c r="CC562" s="77">
        <f t="shared" si="131"/>
      </c>
      <c r="CD562" s="77">
        <f>IF($A562="",0,IF($D562='FICHA VEHICULO'!$C$4,1,0))</f>
      </c>
      <c r="CE562" s="77">
        <f t="shared" si="132"/>
      </c>
      <c r="CF562" s="77">
        <f t="shared" si="133"/>
      </c>
      <c r="CG562" s="77">
        <f t="shared" si="134"/>
      </c>
    </row>
    <row r="563" spans="1:85" ht="19.5" customHeight="1" x14ac:dyDescent="0.2">
      <c r="A563" s="104"/>
      <c r="B563" s="104"/>
      <c r="C563" s="105"/>
      <c r="D563" s="104"/>
      <c r="E563" s="105"/>
      <c r="F563" s="106"/>
      <c r="G563" s="104"/>
      <c r="H563" s="106"/>
      <c r="I563" s="107"/>
      <c r="J563" s="108"/>
      <c r="K563" s="108"/>
      <c r="L563" s="108"/>
      <c r="M563" s="105"/>
      <c r="N563" s="105"/>
      <c r="O563" s="105"/>
      <c r="P563" s="108"/>
      <c r="Q563" s="105"/>
      <c r="R563" s="105"/>
      <c r="S563" s="105"/>
      <c r="T563" s="105"/>
      <c r="U563" s="108"/>
      <c r="V563" s="105"/>
      <c r="W563" s="105"/>
      <c r="X563" s="105"/>
      <c r="Y563" s="105"/>
      <c r="Z563" s="105"/>
      <c r="AA563" s="108"/>
      <c r="AB563" s="108"/>
      <c r="AC563" s="105"/>
      <c r="AD563" s="279"/>
      <c r="AE563" s="105"/>
      <c r="AF563" s="279"/>
      <c r="AG563" s="105"/>
      <c r="AH563" s="108"/>
      <c r="AI563" s="108"/>
      <c r="AJ563" s="108"/>
      <c r="AK563" s="108"/>
      <c r="AL563" s="105"/>
      <c r="AM563" s="108"/>
      <c r="AN563" s="105"/>
      <c r="AO563" s="108"/>
      <c r="AP563" s="108"/>
      <c r="AQ563" s="105"/>
      <c r="AR563" s="108"/>
      <c r="AS563" s="108"/>
      <c r="AT563" s="105"/>
      <c r="AU563" s="105"/>
      <c r="AV563" s="105"/>
      <c r="AW563" s="105"/>
      <c r="AX563" s="105"/>
      <c r="AY563" s="105"/>
      <c r="AZ563" s="105"/>
      <c r="BA563" s="105"/>
      <c r="BB563" s="105"/>
      <c r="BC563" s="105"/>
      <c r="BD563" s="108"/>
      <c r="BE563" s="83">
        <f>IF($A563="","",IF(TRIM($D563&amp;"")="",IF(TRIM($AX563&amp;$AY563&amp;$AZ563&amp;$BA563&amp;$BB563&amp;$BC563&amp;$BD563&amp;"")="","","SUBARRENDADO"),IFERROR(IF(VLOOKUP($D563,VEHICULOS!$A$3:$H$202,7,FALSE)="","",VLOOKUP($D563,VEHICULOS!$A$3:$H$202,7,FALSE)),"")))</f>
      </c>
      <c r="BF563" s="82">
        <f>IF($A563="","",IF(TRIM($BC563&amp;"")&lt;&gt;"",$BC563,IF(TRIM($D563&amp;"")="","",IFERROR(IF(VLOOKUP($D563,VEHICULOS!$A$3:$H$202,8,FALSE)="","",VLOOKUP($D563,VEHICULOS!$A$3:$H$202,8,FALSE)),""))))</f>
      </c>
      <c r="BG563" s="106"/>
      <c r="BH563" s="107"/>
      <c r="BI563" s="86">
        <f t="shared" si="120"/>
      </c>
      <c r="BJ563" s="83">
        <f t="shared" si="121"/>
      </c>
      <c r="BK563" s="85">
        <f t="shared" si="122"/>
      </c>
      <c r="BL563" s="85">
        <f t="shared" si="123"/>
      </c>
      <c r="BM563" s="108"/>
      <c r="BN563" s="85">
        <f t="shared" si="124"/>
      </c>
      <c r="BO563" s="108"/>
      <c r="BP563" s="85">
        <f t="shared" si="125"/>
      </c>
      <c r="BQ563" s="85">
        <f t="shared" si="126"/>
      </c>
      <c r="BR563" s="108"/>
      <c r="BS563" s="104"/>
      <c r="BT563" s="87">
        <f t="shared" si="127"/>
      </c>
      <c r="BU563" s="85">
        <f t="shared" si="128"/>
      </c>
      <c r="BV563" s="85">
        <f t="shared" si="129"/>
      </c>
      <c r="BW563" s="87">
        <f t="shared" si="130"/>
      </c>
      <c r="BX563" s="104"/>
      <c r="BY563" s="106"/>
      <c r="BZ563" s="104"/>
      <c r="CA563" s="105"/>
      <c r="CB563" s="77">
        <f>IF($A563="",0,IF($B563='FICHA CLIENTE'!$C$4,1,0))</f>
      </c>
      <c r="CC563" s="77">
        <f t="shared" si="131"/>
      </c>
      <c r="CD563" s="77">
        <f>IF($A563="",0,IF($D563='FICHA VEHICULO'!$C$4,1,0))</f>
      </c>
      <c r="CE563" s="77">
        <f t="shared" si="132"/>
      </c>
      <c r="CF563" s="77">
        <f t="shared" si="133"/>
      </c>
      <c r="CG563" s="77">
        <f t="shared" si="134"/>
      </c>
    </row>
    <row r="564" spans="1:85" ht="19.5" customHeight="1" x14ac:dyDescent="0.2">
      <c r="A564" s="104"/>
      <c r="B564" s="104"/>
      <c r="C564" s="105"/>
      <c r="D564" s="104"/>
      <c r="E564" s="105"/>
      <c r="F564" s="106"/>
      <c r="G564" s="104"/>
      <c r="H564" s="106"/>
      <c r="I564" s="107"/>
      <c r="J564" s="108"/>
      <c r="K564" s="108"/>
      <c r="L564" s="108"/>
      <c r="M564" s="105"/>
      <c r="N564" s="105"/>
      <c r="O564" s="105"/>
      <c r="P564" s="108"/>
      <c r="Q564" s="105"/>
      <c r="R564" s="105"/>
      <c r="S564" s="105"/>
      <c r="T564" s="105"/>
      <c r="U564" s="108"/>
      <c r="V564" s="105"/>
      <c r="W564" s="105"/>
      <c r="X564" s="105"/>
      <c r="Y564" s="105"/>
      <c r="Z564" s="105"/>
      <c r="AA564" s="108"/>
      <c r="AB564" s="108"/>
      <c r="AC564" s="105"/>
      <c r="AD564" s="279"/>
      <c r="AE564" s="105"/>
      <c r="AF564" s="279"/>
      <c r="AG564" s="105"/>
      <c r="AH564" s="108"/>
      <c r="AI564" s="108"/>
      <c r="AJ564" s="108"/>
      <c r="AK564" s="108"/>
      <c r="AL564" s="105"/>
      <c r="AM564" s="108"/>
      <c r="AN564" s="105"/>
      <c r="AO564" s="108"/>
      <c r="AP564" s="108"/>
      <c r="AQ564" s="105"/>
      <c r="AR564" s="108"/>
      <c r="AS564" s="108"/>
      <c r="AT564" s="105"/>
      <c r="AU564" s="105"/>
      <c r="AV564" s="105"/>
      <c r="AW564" s="105"/>
      <c r="AX564" s="105"/>
      <c r="AY564" s="105"/>
      <c r="AZ564" s="105"/>
      <c r="BA564" s="105"/>
      <c r="BB564" s="105"/>
      <c r="BC564" s="105"/>
      <c r="BD564" s="108"/>
      <c r="BE564" s="83">
        <f>IF($A564="","",IF(TRIM($D564&amp;"")="",IF(TRIM($AX564&amp;$AY564&amp;$AZ564&amp;$BA564&amp;$BB564&amp;$BC564&amp;$BD564&amp;"")="","","SUBARRENDADO"),IFERROR(IF(VLOOKUP($D564,VEHICULOS!$A$3:$H$202,7,FALSE)="","",VLOOKUP($D564,VEHICULOS!$A$3:$H$202,7,FALSE)),"")))</f>
      </c>
      <c r="BF564" s="82">
        <f>IF($A564="","",IF(TRIM($BC564&amp;"")&lt;&gt;"",$BC564,IF(TRIM($D564&amp;"")="","",IFERROR(IF(VLOOKUP($D564,VEHICULOS!$A$3:$H$202,8,FALSE)="","",VLOOKUP($D564,VEHICULOS!$A$3:$H$202,8,FALSE)),""))))</f>
      </c>
      <c r="BG564" s="106"/>
      <c r="BH564" s="107"/>
      <c r="BI564" s="86">
        <f t="shared" si="120"/>
      </c>
      <c r="BJ564" s="83">
        <f t="shared" si="121"/>
      </c>
      <c r="BK564" s="85">
        <f t="shared" si="122"/>
      </c>
      <c r="BL564" s="85">
        <f t="shared" si="123"/>
      </c>
      <c r="BM564" s="108"/>
      <c r="BN564" s="85">
        <f t="shared" si="124"/>
      </c>
      <c r="BO564" s="108"/>
      <c r="BP564" s="85">
        <f t="shared" si="125"/>
      </c>
      <c r="BQ564" s="85">
        <f t="shared" si="126"/>
      </c>
      <c r="BR564" s="108"/>
      <c r="BS564" s="104"/>
      <c r="BT564" s="87">
        <f t="shared" si="127"/>
      </c>
      <c r="BU564" s="85">
        <f t="shared" si="128"/>
      </c>
      <c r="BV564" s="85">
        <f t="shared" si="129"/>
      </c>
      <c r="BW564" s="87">
        <f t="shared" si="130"/>
      </c>
      <c r="BX564" s="104"/>
      <c r="BY564" s="106"/>
      <c r="BZ564" s="104"/>
      <c r="CA564" s="105"/>
      <c r="CB564" s="77">
        <f>IF($A564="",0,IF($B564='FICHA CLIENTE'!$C$4,1,0))</f>
      </c>
      <c r="CC564" s="77">
        <f t="shared" si="131"/>
      </c>
      <c r="CD564" s="77">
        <f>IF($A564="",0,IF($D564='FICHA VEHICULO'!$C$4,1,0))</f>
      </c>
      <c r="CE564" s="77">
        <f t="shared" si="132"/>
      </c>
      <c r="CF564" s="77">
        <f t="shared" si="133"/>
      </c>
      <c r="CG564" s="77">
        <f t="shared" si="134"/>
      </c>
    </row>
    <row r="565" spans="1:85" ht="19.5" customHeight="1" x14ac:dyDescent="0.2">
      <c r="A565" s="104"/>
      <c r="B565" s="104"/>
      <c r="C565" s="105"/>
      <c r="D565" s="104"/>
      <c r="E565" s="105"/>
      <c r="F565" s="106"/>
      <c r="G565" s="104"/>
      <c r="H565" s="106"/>
      <c r="I565" s="107"/>
      <c r="J565" s="108"/>
      <c r="K565" s="108"/>
      <c r="L565" s="108"/>
      <c r="M565" s="105"/>
      <c r="N565" s="105"/>
      <c r="O565" s="105"/>
      <c r="P565" s="108"/>
      <c r="Q565" s="105"/>
      <c r="R565" s="105"/>
      <c r="S565" s="105"/>
      <c r="T565" s="105"/>
      <c r="U565" s="108"/>
      <c r="V565" s="105"/>
      <c r="W565" s="105"/>
      <c r="X565" s="105"/>
      <c r="Y565" s="105"/>
      <c r="Z565" s="105"/>
      <c r="AA565" s="108"/>
      <c r="AB565" s="108"/>
      <c r="AC565" s="105"/>
      <c r="AD565" s="279"/>
      <c r="AE565" s="105"/>
      <c r="AF565" s="279"/>
      <c r="AG565" s="105"/>
      <c r="AH565" s="108"/>
      <c r="AI565" s="108"/>
      <c r="AJ565" s="108"/>
      <c r="AK565" s="108"/>
      <c r="AL565" s="105"/>
      <c r="AM565" s="108"/>
      <c r="AN565" s="105"/>
      <c r="AO565" s="108"/>
      <c r="AP565" s="108"/>
      <c r="AQ565" s="105"/>
      <c r="AR565" s="108"/>
      <c r="AS565" s="108"/>
      <c r="AT565" s="105"/>
      <c r="AU565" s="105"/>
      <c r="AV565" s="105"/>
      <c r="AW565" s="105"/>
      <c r="AX565" s="105"/>
      <c r="AY565" s="105"/>
      <c r="AZ565" s="105"/>
      <c r="BA565" s="105"/>
      <c r="BB565" s="105"/>
      <c r="BC565" s="105"/>
      <c r="BD565" s="108"/>
      <c r="BE565" s="83">
        <f>IF($A565="","",IF(TRIM($D565&amp;"")="",IF(TRIM($AX565&amp;$AY565&amp;$AZ565&amp;$BA565&amp;$BB565&amp;$BC565&amp;$BD565&amp;"")="","","SUBARRENDADO"),IFERROR(IF(VLOOKUP($D565,VEHICULOS!$A$3:$H$202,7,FALSE)="","",VLOOKUP($D565,VEHICULOS!$A$3:$H$202,7,FALSE)),"")))</f>
      </c>
      <c r="BF565" s="82">
        <f>IF($A565="","",IF(TRIM($BC565&amp;"")&lt;&gt;"",$BC565,IF(TRIM($D565&amp;"")="","",IFERROR(IF(VLOOKUP($D565,VEHICULOS!$A$3:$H$202,8,FALSE)="","",VLOOKUP($D565,VEHICULOS!$A$3:$H$202,8,FALSE)),""))))</f>
      </c>
      <c r="BG565" s="106"/>
      <c r="BH565" s="107"/>
      <c r="BI565" s="86">
        <f t="shared" si="120"/>
      </c>
      <c r="BJ565" s="83">
        <f t="shared" si="121"/>
      </c>
      <c r="BK565" s="85">
        <f t="shared" si="122"/>
      </c>
      <c r="BL565" s="85">
        <f t="shared" si="123"/>
      </c>
      <c r="BM565" s="108"/>
      <c r="BN565" s="85">
        <f t="shared" si="124"/>
      </c>
      <c r="BO565" s="108"/>
      <c r="BP565" s="85">
        <f t="shared" si="125"/>
      </c>
      <c r="BQ565" s="85">
        <f t="shared" si="126"/>
      </c>
      <c r="BR565" s="108"/>
      <c r="BS565" s="104"/>
      <c r="BT565" s="87">
        <f t="shared" si="127"/>
      </c>
      <c r="BU565" s="85">
        <f t="shared" si="128"/>
      </c>
      <c r="BV565" s="85">
        <f t="shared" si="129"/>
      </c>
      <c r="BW565" s="87">
        <f t="shared" si="130"/>
      </c>
      <c r="BX565" s="104"/>
      <c r="BY565" s="106"/>
      <c r="BZ565" s="104"/>
      <c r="CA565" s="105"/>
      <c r="CB565" s="77">
        <f>IF($A565="",0,IF($B565='FICHA CLIENTE'!$C$4,1,0))</f>
      </c>
      <c r="CC565" s="77">
        <f t="shared" si="131"/>
      </c>
      <c r="CD565" s="77">
        <f>IF($A565="",0,IF($D565='FICHA VEHICULO'!$C$4,1,0))</f>
      </c>
      <c r="CE565" s="77">
        <f t="shared" si="132"/>
      </c>
      <c r="CF565" s="77">
        <f t="shared" si="133"/>
      </c>
      <c r="CG565" s="77">
        <f t="shared" si="134"/>
      </c>
    </row>
    <row r="566" spans="1:85" ht="19.5" customHeight="1" x14ac:dyDescent="0.2">
      <c r="A566" s="104"/>
      <c r="B566" s="104"/>
      <c r="C566" s="105"/>
      <c r="D566" s="104"/>
      <c r="E566" s="105"/>
      <c r="F566" s="106"/>
      <c r="G566" s="104"/>
      <c r="H566" s="106"/>
      <c r="I566" s="107"/>
      <c r="J566" s="108"/>
      <c r="K566" s="108"/>
      <c r="L566" s="108"/>
      <c r="M566" s="105"/>
      <c r="N566" s="105"/>
      <c r="O566" s="105"/>
      <c r="P566" s="108"/>
      <c r="Q566" s="105"/>
      <c r="R566" s="105"/>
      <c r="S566" s="105"/>
      <c r="T566" s="105"/>
      <c r="U566" s="108"/>
      <c r="V566" s="105"/>
      <c r="W566" s="105"/>
      <c r="X566" s="105"/>
      <c r="Y566" s="105"/>
      <c r="Z566" s="105"/>
      <c r="AA566" s="108"/>
      <c r="AB566" s="108"/>
      <c r="AC566" s="105"/>
      <c r="AD566" s="279"/>
      <c r="AE566" s="105"/>
      <c r="AF566" s="279"/>
      <c r="AG566" s="105"/>
      <c r="AH566" s="108"/>
      <c r="AI566" s="108"/>
      <c r="AJ566" s="108"/>
      <c r="AK566" s="108"/>
      <c r="AL566" s="105"/>
      <c r="AM566" s="108"/>
      <c r="AN566" s="105"/>
      <c r="AO566" s="108"/>
      <c r="AP566" s="108"/>
      <c r="AQ566" s="105"/>
      <c r="AR566" s="108"/>
      <c r="AS566" s="108"/>
      <c r="AT566" s="105"/>
      <c r="AU566" s="105"/>
      <c r="AV566" s="105"/>
      <c r="AW566" s="105"/>
      <c r="AX566" s="105"/>
      <c r="AY566" s="105"/>
      <c r="AZ566" s="105"/>
      <c r="BA566" s="105"/>
      <c r="BB566" s="105"/>
      <c r="BC566" s="105"/>
      <c r="BD566" s="108"/>
      <c r="BE566" s="83">
        <f>IF($A566="","",IF(TRIM($D566&amp;"")="",IF(TRIM($AX566&amp;$AY566&amp;$AZ566&amp;$BA566&amp;$BB566&amp;$BC566&amp;$BD566&amp;"")="","","SUBARRENDADO"),IFERROR(IF(VLOOKUP($D566,VEHICULOS!$A$3:$H$202,7,FALSE)="","",VLOOKUP($D566,VEHICULOS!$A$3:$H$202,7,FALSE)),"")))</f>
      </c>
      <c r="BF566" s="82">
        <f>IF($A566="","",IF(TRIM($BC566&amp;"")&lt;&gt;"",$BC566,IF(TRIM($D566&amp;"")="","",IFERROR(IF(VLOOKUP($D566,VEHICULOS!$A$3:$H$202,8,FALSE)="","",VLOOKUP($D566,VEHICULOS!$A$3:$H$202,8,FALSE)),""))))</f>
      </c>
      <c r="BG566" s="106"/>
      <c r="BH566" s="107"/>
      <c r="BI566" s="86">
        <f t="shared" si="120"/>
      </c>
      <c r="BJ566" s="83">
        <f t="shared" si="121"/>
      </c>
      <c r="BK566" s="85">
        <f t="shared" si="122"/>
      </c>
      <c r="BL566" s="85">
        <f t="shared" si="123"/>
      </c>
      <c r="BM566" s="108"/>
      <c r="BN566" s="85">
        <f t="shared" si="124"/>
      </c>
      <c r="BO566" s="108"/>
      <c r="BP566" s="85">
        <f t="shared" si="125"/>
      </c>
      <c r="BQ566" s="85">
        <f t="shared" si="126"/>
      </c>
      <c r="BR566" s="108"/>
      <c r="BS566" s="104"/>
      <c r="BT566" s="87">
        <f t="shared" si="127"/>
      </c>
      <c r="BU566" s="85">
        <f t="shared" si="128"/>
      </c>
      <c r="BV566" s="85">
        <f t="shared" si="129"/>
      </c>
      <c r="BW566" s="87">
        <f t="shared" si="130"/>
      </c>
      <c r="BX566" s="104"/>
      <c r="BY566" s="106"/>
      <c r="BZ566" s="104"/>
      <c r="CA566" s="105"/>
      <c r="CB566" s="77">
        <f>IF($A566="",0,IF($B566='FICHA CLIENTE'!$C$4,1,0))</f>
      </c>
      <c r="CC566" s="77">
        <f t="shared" si="131"/>
      </c>
      <c r="CD566" s="77">
        <f>IF($A566="",0,IF($D566='FICHA VEHICULO'!$C$4,1,0))</f>
      </c>
      <c r="CE566" s="77">
        <f t="shared" si="132"/>
      </c>
      <c r="CF566" s="77">
        <f t="shared" si="133"/>
      </c>
      <c r="CG566" s="77">
        <f t="shared" si="134"/>
      </c>
    </row>
    <row r="567" spans="1:85" ht="19.5" customHeight="1" x14ac:dyDescent="0.2">
      <c r="A567" s="104"/>
      <c r="B567" s="104"/>
      <c r="C567" s="105"/>
      <c r="D567" s="104"/>
      <c r="E567" s="105"/>
      <c r="F567" s="106"/>
      <c r="G567" s="104"/>
      <c r="H567" s="106"/>
      <c r="I567" s="107"/>
      <c r="J567" s="108"/>
      <c r="K567" s="108"/>
      <c r="L567" s="108"/>
      <c r="M567" s="105"/>
      <c r="N567" s="105"/>
      <c r="O567" s="105"/>
      <c r="P567" s="108"/>
      <c r="Q567" s="105"/>
      <c r="R567" s="105"/>
      <c r="S567" s="105"/>
      <c r="T567" s="105"/>
      <c r="U567" s="108"/>
      <c r="V567" s="105"/>
      <c r="W567" s="105"/>
      <c r="X567" s="105"/>
      <c r="Y567" s="105"/>
      <c r="Z567" s="105"/>
      <c r="AA567" s="108"/>
      <c r="AB567" s="108"/>
      <c r="AC567" s="105"/>
      <c r="AD567" s="279"/>
      <c r="AE567" s="105"/>
      <c r="AF567" s="279"/>
      <c r="AG567" s="105"/>
      <c r="AH567" s="108"/>
      <c r="AI567" s="108"/>
      <c r="AJ567" s="108"/>
      <c r="AK567" s="108"/>
      <c r="AL567" s="105"/>
      <c r="AM567" s="108"/>
      <c r="AN567" s="105"/>
      <c r="AO567" s="108"/>
      <c r="AP567" s="108"/>
      <c r="AQ567" s="105"/>
      <c r="AR567" s="108"/>
      <c r="AS567" s="108"/>
      <c r="AT567" s="105"/>
      <c r="AU567" s="105"/>
      <c r="AV567" s="105"/>
      <c r="AW567" s="105"/>
      <c r="AX567" s="105"/>
      <c r="AY567" s="105"/>
      <c r="AZ567" s="105"/>
      <c r="BA567" s="105"/>
      <c r="BB567" s="105"/>
      <c r="BC567" s="105"/>
      <c r="BD567" s="108"/>
      <c r="BE567" s="83">
        <f>IF($A567="","",IF(TRIM($D567&amp;"")="",IF(TRIM($AX567&amp;$AY567&amp;$AZ567&amp;$BA567&amp;$BB567&amp;$BC567&amp;$BD567&amp;"")="","","SUBARRENDADO"),IFERROR(IF(VLOOKUP($D567,VEHICULOS!$A$3:$H$202,7,FALSE)="","",VLOOKUP($D567,VEHICULOS!$A$3:$H$202,7,FALSE)),"")))</f>
      </c>
      <c r="BF567" s="82">
        <f>IF($A567="","",IF(TRIM($BC567&amp;"")&lt;&gt;"",$BC567,IF(TRIM($D567&amp;"")="","",IFERROR(IF(VLOOKUP($D567,VEHICULOS!$A$3:$H$202,8,FALSE)="","",VLOOKUP($D567,VEHICULOS!$A$3:$H$202,8,FALSE)),""))))</f>
      </c>
      <c r="BG567" s="106"/>
      <c r="BH567" s="107"/>
      <c r="BI567" s="86">
        <f t="shared" si="120"/>
      </c>
      <c r="BJ567" s="83">
        <f t="shared" si="121"/>
      </c>
      <c r="BK567" s="85">
        <f t="shared" si="122"/>
      </c>
      <c r="BL567" s="85">
        <f t="shared" si="123"/>
      </c>
      <c r="BM567" s="108"/>
      <c r="BN567" s="85">
        <f t="shared" si="124"/>
      </c>
      <c r="BO567" s="108"/>
      <c r="BP567" s="85">
        <f t="shared" si="125"/>
      </c>
      <c r="BQ567" s="85">
        <f t="shared" si="126"/>
      </c>
      <c r="BR567" s="108"/>
      <c r="BS567" s="104"/>
      <c r="BT567" s="87">
        <f t="shared" si="127"/>
      </c>
      <c r="BU567" s="85">
        <f t="shared" si="128"/>
      </c>
      <c r="BV567" s="85">
        <f t="shared" si="129"/>
      </c>
      <c r="BW567" s="87">
        <f t="shared" si="130"/>
      </c>
      <c r="BX567" s="104"/>
      <c r="BY567" s="106"/>
      <c r="BZ567" s="104"/>
      <c r="CA567" s="105"/>
      <c r="CB567" s="77">
        <f>IF($A567="",0,IF($B567='FICHA CLIENTE'!$C$4,1,0))</f>
      </c>
      <c r="CC567" s="77">
        <f t="shared" si="131"/>
      </c>
      <c r="CD567" s="77">
        <f>IF($A567="",0,IF($D567='FICHA VEHICULO'!$C$4,1,0))</f>
      </c>
      <c r="CE567" s="77">
        <f t="shared" si="132"/>
      </c>
      <c r="CF567" s="77">
        <f t="shared" si="133"/>
      </c>
      <c r="CG567" s="77">
        <f t="shared" si="134"/>
      </c>
    </row>
    <row r="568" spans="1:85" ht="19.5" customHeight="1" x14ac:dyDescent="0.2">
      <c r="A568" s="104"/>
      <c r="B568" s="104"/>
      <c r="C568" s="105"/>
      <c r="D568" s="104"/>
      <c r="E568" s="105"/>
      <c r="F568" s="106"/>
      <c r="G568" s="104"/>
      <c r="H568" s="106"/>
      <c r="I568" s="107"/>
      <c r="J568" s="108"/>
      <c r="K568" s="108"/>
      <c r="L568" s="108"/>
      <c r="M568" s="105"/>
      <c r="N568" s="105"/>
      <c r="O568" s="105"/>
      <c r="P568" s="108"/>
      <c r="Q568" s="105"/>
      <c r="R568" s="105"/>
      <c r="S568" s="105"/>
      <c r="T568" s="105"/>
      <c r="U568" s="108"/>
      <c r="V568" s="105"/>
      <c r="W568" s="105"/>
      <c r="X568" s="105"/>
      <c r="Y568" s="105"/>
      <c r="Z568" s="105"/>
      <c r="AA568" s="108"/>
      <c r="AB568" s="108"/>
      <c r="AC568" s="105"/>
      <c r="AD568" s="279"/>
      <c r="AE568" s="105"/>
      <c r="AF568" s="279"/>
      <c r="AG568" s="105"/>
      <c r="AH568" s="108"/>
      <c r="AI568" s="108"/>
      <c r="AJ568" s="108"/>
      <c r="AK568" s="108"/>
      <c r="AL568" s="105"/>
      <c r="AM568" s="108"/>
      <c r="AN568" s="105"/>
      <c r="AO568" s="108"/>
      <c r="AP568" s="108"/>
      <c r="AQ568" s="105"/>
      <c r="AR568" s="108"/>
      <c r="AS568" s="108"/>
      <c r="AT568" s="105"/>
      <c r="AU568" s="105"/>
      <c r="AV568" s="105"/>
      <c r="AW568" s="105"/>
      <c r="AX568" s="105"/>
      <c r="AY568" s="105"/>
      <c r="AZ568" s="105"/>
      <c r="BA568" s="105"/>
      <c r="BB568" s="105"/>
      <c r="BC568" s="105"/>
      <c r="BD568" s="108"/>
      <c r="BE568" s="83">
        <f>IF($A568="","",IF(TRIM($D568&amp;"")="",IF(TRIM($AX568&amp;$AY568&amp;$AZ568&amp;$BA568&amp;$BB568&amp;$BC568&amp;$BD568&amp;"")="","","SUBARRENDADO"),IFERROR(IF(VLOOKUP($D568,VEHICULOS!$A$3:$H$202,7,FALSE)="","",VLOOKUP($D568,VEHICULOS!$A$3:$H$202,7,FALSE)),"")))</f>
      </c>
      <c r="BF568" s="82">
        <f>IF($A568="","",IF(TRIM($BC568&amp;"")&lt;&gt;"",$BC568,IF(TRIM($D568&amp;"")="","",IFERROR(IF(VLOOKUP($D568,VEHICULOS!$A$3:$H$202,8,FALSE)="","",VLOOKUP($D568,VEHICULOS!$A$3:$H$202,8,FALSE)),""))))</f>
      </c>
      <c r="BG568" s="106"/>
      <c r="BH568" s="107"/>
      <c r="BI568" s="86">
        <f t="shared" si="120"/>
      </c>
      <c r="BJ568" s="83">
        <f t="shared" si="121"/>
      </c>
      <c r="BK568" s="85">
        <f t="shared" si="122"/>
      </c>
      <c r="BL568" s="85">
        <f t="shared" si="123"/>
      </c>
      <c r="BM568" s="108"/>
      <c r="BN568" s="85">
        <f t="shared" si="124"/>
      </c>
      <c r="BO568" s="108"/>
      <c r="BP568" s="85">
        <f t="shared" si="125"/>
      </c>
      <c r="BQ568" s="85">
        <f t="shared" si="126"/>
      </c>
      <c r="BR568" s="108"/>
      <c r="BS568" s="104"/>
      <c r="BT568" s="87">
        <f t="shared" si="127"/>
      </c>
      <c r="BU568" s="85">
        <f t="shared" si="128"/>
      </c>
      <c r="BV568" s="85">
        <f t="shared" si="129"/>
      </c>
      <c r="BW568" s="87">
        <f t="shared" si="130"/>
      </c>
      <c r="BX568" s="104"/>
      <c r="BY568" s="106"/>
      <c r="BZ568" s="104"/>
      <c r="CA568" s="105"/>
      <c r="CB568" s="77">
        <f>IF($A568="",0,IF($B568='FICHA CLIENTE'!$C$4,1,0))</f>
      </c>
      <c r="CC568" s="77">
        <f t="shared" si="131"/>
      </c>
      <c r="CD568" s="77">
        <f>IF($A568="",0,IF($D568='FICHA VEHICULO'!$C$4,1,0))</f>
      </c>
      <c r="CE568" s="77">
        <f t="shared" si="132"/>
      </c>
      <c r="CF568" s="77">
        <f t="shared" si="133"/>
      </c>
      <c r="CG568" s="77">
        <f t="shared" si="134"/>
      </c>
    </row>
    <row r="569" spans="1:85" ht="19.5" customHeight="1" x14ac:dyDescent="0.2">
      <c r="A569" s="104"/>
      <c r="B569" s="104"/>
      <c r="C569" s="105"/>
      <c r="D569" s="104"/>
      <c r="E569" s="105"/>
      <c r="F569" s="106"/>
      <c r="G569" s="104"/>
      <c r="H569" s="106"/>
      <c r="I569" s="107"/>
      <c r="J569" s="108"/>
      <c r="K569" s="108"/>
      <c r="L569" s="108"/>
      <c r="M569" s="105"/>
      <c r="N569" s="105"/>
      <c r="O569" s="105"/>
      <c r="P569" s="108"/>
      <c r="Q569" s="105"/>
      <c r="R569" s="105"/>
      <c r="S569" s="105"/>
      <c r="T569" s="105"/>
      <c r="U569" s="108"/>
      <c r="V569" s="105"/>
      <c r="W569" s="105"/>
      <c r="X569" s="105"/>
      <c r="Y569" s="105"/>
      <c r="Z569" s="105"/>
      <c r="AA569" s="108"/>
      <c r="AB569" s="108"/>
      <c r="AC569" s="105"/>
      <c r="AD569" s="279"/>
      <c r="AE569" s="105"/>
      <c r="AF569" s="279"/>
      <c r="AG569" s="105"/>
      <c r="AH569" s="108"/>
      <c r="AI569" s="108"/>
      <c r="AJ569" s="108"/>
      <c r="AK569" s="108"/>
      <c r="AL569" s="105"/>
      <c r="AM569" s="108"/>
      <c r="AN569" s="105"/>
      <c r="AO569" s="108"/>
      <c r="AP569" s="108"/>
      <c r="AQ569" s="105"/>
      <c r="AR569" s="108"/>
      <c r="AS569" s="108"/>
      <c r="AT569" s="105"/>
      <c r="AU569" s="105"/>
      <c r="AV569" s="105"/>
      <c r="AW569" s="105"/>
      <c r="AX569" s="105"/>
      <c r="AY569" s="105"/>
      <c r="AZ569" s="105"/>
      <c r="BA569" s="105"/>
      <c r="BB569" s="105"/>
      <c r="BC569" s="105"/>
      <c r="BD569" s="108"/>
      <c r="BE569" s="83">
        <f>IF($A569="","",IF(TRIM($D569&amp;"")="",IF(TRIM($AX569&amp;$AY569&amp;$AZ569&amp;$BA569&amp;$BB569&amp;$BC569&amp;$BD569&amp;"")="","","SUBARRENDADO"),IFERROR(IF(VLOOKUP($D569,VEHICULOS!$A$3:$H$202,7,FALSE)="","",VLOOKUP($D569,VEHICULOS!$A$3:$H$202,7,FALSE)),"")))</f>
      </c>
      <c r="BF569" s="82">
        <f>IF($A569="","",IF(TRIM($BC569&amp;"")&lt;&gt;"",$BC569,IF(TRIM($D569&amp;"")="","",IFERROR(IF(VLOOKUP($D569,VEHICULOS!$A$3:$H$202,8,FALSE)="","",VLOOKUP($D569,VEHICULOS!$A$3:$H$202,8,FALSE)),""))))</f>
      </c>
      <c r="BG569" s="106"/>
      <c r="BH569" s="107"/>
      <c r="BI569" s="86">
        <f t="shared" si="120"/>
      </c>
      <c r="BJ569" s="83">
        <f t="shared" si="121"/>
      </c>
      <c r="BK569" s="85">
        <f t="shared" si="122"/>
      </c>
      <c r="BL569" s="85">
        <f t="shared" si="123"/>
      </c>
      <c r="BM569" s="108"/>
      <c r="BN569" s="85">
        <f t="shared" si="124"/>
      </c>
      <c r="BO569" s="108"/>
      <c r="BP569" s="85">
        <f t="shared" si="125"/>
      </c>
      <c r="BQ569" s="85">
        <f t="shared" si="126"/>
      </c>
      <c r="BR569" s="108"/>
      <c r="BS569" s="104"/>
      <c r="BT569" s="87">
        <f t="shared" si="127"/>
      </c>
      <c r="BU569" s="85">
        <f t="shared" si="128"/>
      </c>
      <c r="BV569" s="85">
        <f t="shared" si="129"/>
      </c>
      <c r="BW569" s="87">
        <f t="shared" si="130"/>
      </c>
      <c r="BX569" s="104"/>
      <c r="BY569" s="106"/>
      <c r="BZ569" s="104"/>
      <c r="CA569" s="105"/>
      <c r="CB569" s="77">
        <f>IF($A569="",0,IF($B569='FICHA CLIENTE'!$C$4,1,0))</f>
      </c>
      <c r="CC569" s="77">
        <f t="shared" si="131"/>
      </c>
      <c r="CD569" s="77">
        <f>IF($A569="",0,IF($D569='FICHA VEHICULO'!$C$4,1,0))</f>
      </c>
      <c r="CE569" s="77">
        <f t="shared" si="132"/>
      </c>
      <c r="CF569" s="77">
        <f t="shared" si="133"/>
      </c>
      <c r="CG569" s="77">
        <f t="shared" si="134"/>
      </c>
    </row>
    <row r="570" spans="1:85" ht="19.5" customHeight="1" x14ac:dyDescent="0.2">
      <c r="A570" s="104"/>
      <c r="B570" s="104"/>
      <c r="C570" s="105"/>
      <c r="D570" s="104"/>
      <c r="E570" s="105"/>
      <c r="F570" s="106"/>
      <c r="G570" s="104"/>
      <c r="H570" s="106"/>
      <c r="I570" s="107"/>
      <c r="J570" s="108"/>
      <c r="K570" s="108"/>
      <c r="L570" s="108"/>
      <c r="M570" s="105"/>
      <c r="N570" s="105"/>
      <c r="O570" s="105"/>
      <c r="P570" s="108"/>
      <c r="Q570" s="105"/>
      <c r="R570" s="105"/>
      <c r="S570" s="105"/>
      <c r="T570" s="105"/>
      <c r="U570" s="108"/>
      <c r="V570" s="105"/>
      <c r="W570" s="105"/>
      <c r="X570" s="105"/>
      <c r="Y570" s="105"/>
      <c r="Z570" s="105"/>
      <c r="AA570" s="108"/>
      <c r="AB570" s="108"/>
      <c r="AC570" s="105"/>
      <c r="AD570" s="279"/>
      <c r="AE570" s="105"/>
      <c r="AF570" s="279"/>
      <c r="AG570" s="105"/>
      <c r="AH570" s="108"/>
      <c r="AI570" s="108"/>
      <c r="AJ570" s="108"/>
      <c r="AK570" s="108"/>
      <c r="AL570" s="105"/>
      <c r="AM570" s="108"/>
      <c r="AN570" s="105"/>
      <c r="AO570" s="108"/>
      <c r="AP570" s="108"/>
      <c r="AQ570" s="105"/>
      <c r="AR570" s="108"/>
      <c r="AS570" s="108"/>
      <c r="AT570" s="105"/>
      <c r="AU570" s="105"/>
      <c r="AV570" s="105"/>
      <c r="AW570" s="105"/>
      <c r="AX570" s="105"/>
      <c r="AY570" s="105"/>
      <c r="AZ570" s="105"/>
      <c r="BA570" s="105"/>
      <c r="BB570" s="105"/>
      <c r="BC570" s="105"/>
      <c r="BD570" s="108"/>
      <c r="BE570" s="83">
        <f>IF($A570="","",IF(TRIM($D570&amp;"")="",IF(TRIM($AX570&amp;$AY570&amp;$AZ570&amp;$BA570&amp;$BB570&amp;$BC570&amp;$BD570&amp;"")="","","SUBARRENDADO"),IFERROR(IF(VLOOKUP($D570,VEHICULOS!$A$3:$H$202,7,FALSE)="","",VLOOKUP($D570,VEHICULOS!$A$3:$H$202,7,FALSE)),"")))</f>
      </c>
      <c r="BF570" s="82">
        <f>IF($A570="","",IF(TRIM($BC570&amp;"")&lt;&gt;"",$BC570,IF(TRIM($D570&amp;"")="","",IFERROR(IF(VLOOKUP($D570,VEHICULOS!$A$3:$H$202,8,FALSE)="","",VLOOKUP($D570,VEHICULOS!$A$3:$H$202,8,FALSE)),""))))</f>
      </c>
      <c r="BG570" s="106"/>
      <c r="BH570" s="107"/>
      <c r="BI570" s="86">
        <f t="shared" si="120"/>
      </c>
      <c r="BJ570" s="83">
        <f t="shared" si="121"/>
      </c>
      <c r="BK570" s="85">
        <f t="shared" si="122"/>
      </c>
      <c r="BL570" s="85">
        <f t="shared" si="123"/>
      </c>
      <c r="BM570" s="108"/>
      <c r="BN570" s="85">
        <f t="shared" si="124"/>
      </c>
      <c r="BO570" s="108"/>
      <c r="BP570" s="85">
        <f t="shared" si="125"/>
      </c>
      <c r="BQ570" s="85">
        <f t="shared" si="126"/>
      </c>
      <c r="BR570" s="108"/>
      <c r="BS570" s="104"/>
      <c r="BT570" s="87">
        <f t="shared" si="127"/>
      </c>
      <c r="BU570" s="85">
        <f t="shared" si="128"/>
      </c>
      <c r="BV570" s="85">
        <f t="shared" si="129"/>
      </c>
      <c r="BW570" s="87">
        <f t="shared" si="130"/>
      </c>
      <c r="BX570" s="104"/>
      <c r="BY570" s="106"/>
      <c r="BZ570" s="104"/>
      <c r="CA570" s="105"/>
      <c r="CB570" s="77">
        <f>IF($A570="",0,IF($B570='FICHA CLIENTE'!$C$4,1,0))</f>
      </c>
      <c r="CC570" s="77">
        <f t="shared" si="131"/>
      </c>
      <c r="CD570" s="77">
        <f>IF($A570="",0,IF($D570='FICHA VEHICULO'!$C$4,1,0))</f>
      </c>
      <c r="CE570" s="77">
        <f t="shared" si="132"/>
      </c>
      <c r="CF570" s="77">
        <f t="shared" si="133"/>
      </c>
      <c r="CG570" s="77">
        <f t="shared" si="134"/>
      </c>
    </row>
    <row r="571" spans="1:85" ht="19.5" customHeight="1" x14ac:dyDescent="0.2">
      <c r="A571" s="104"/>
      <c r="B571" s="104"/>
      <c r="C571" s="105"/>
      <c r="D571" s="104"/>
      <c r="E571" s="105"/>
      <c r="F571" s="106"/>
      <c r="G571" s="104"/>
      <c r="H571" s="106"/>
      <c r="I571" s="107"/>
      <c r="J571" s="108"/>
      <c r="K571" s="108"/>
      <c r="L571" s="108"/>
      <c r="M571" s="105"/>
      <c r="N571" s="105"/>
      <c r="O571" s="105"/>
      <c r="P571" s="108"/>
      <c r="Q571" s="105"/>
      <c r="R571" s="105"/>
      <c r="S571" s="105"/>
      <c r="T571" s="105"/>
      <c r="U571" s="108"/>
      <c r="V571" s="105"/>
      <c r="W571" s="105"/>
      <c r="X571" s="105"/>
      <c r="Y571" s="105"/>
      <c r="Z571" s="105"/>
      <c r="AA571" s="108"/>
      <c r="AB571" s="108"/>
      <c r="AC571" s="105"/>
      <c r="AD571" s="279"/>
      <c r="AE571" s="105"/>
      <c r="AF571" s="279"/>
      <c r="AG571" s="105"/>
      <c r="AH571" s="108"/>
      <c r="AI571" s="108"/>
      <c r="AJ571" s="108"/>
      <c r="AK571" s="108"/>
      <c r="AL571" s="105"/>
      <c r="AM571" s="108"/>
      <c r="AN571" s="105"/>
      <c r="AO571" s="108"/>
      <c r="AP571" s="108"/>
      <c r="AQ571" s="105"/>
      <c r="AR571" s="108"/>
      <c r="AS571" s="108"/>
      <c r="AT571" s="105"/>
      <c r="AU571" s="105"/>
      <c r="AV571" s="105"/>
      <c r="AW571" s="105"/>
      <c r="AX571" s="105"/>
      <c r="AY571" s="105"/>
      <c r="AZ571" s="105"/>
      <c r="BA571" s="105"/>
      <c r="BB571" s="105"/>
      <c r="BC571" s="105"/>
      <c r="BD571" s="108"/>
      <c r="BE571" s="83">
        <f>IF($A571="","",IF(TRIM($D571&amp;"")="",IF(TRIM($AX571&amp;$AY571&amp;$AZ571&amp;$BA571&amp;$BB571&amp;$BC571&amp;$BD571&amp;"")="","","SUBARRENDADO"),IFERROR(IF(VLOOKUP($D571,VEHICULOS!$A$3:$H$202,7,FALSE)="","",VLOOKUP($D571,VEHICULOS!$A$3:$H$202,7,FALSE)),"")))</f>
      </c>
      <c r="BF571" s="82">
        <f>IF($A571="","",IF(TRIM($BC571&amp;"")&lt;&gt;"",$BC571,IF(TRIM($D571&amp;"")="","",IFERROR(IF(VLOOKUP($D571,VEHICULOS!$A$3:$H$202,8,FALSE)="","",VLOOKUP($D571,VEHICULOS!$A$3:$H$202,8,FALSE)),""))))</f>
      </c>
      <c r="BG571" s="106"/>
      <c r="BH571" s="107"/>
      <c r="BI571" s="86">
        <f t="shared" si="120"/>
      </c>
      <c r="BJ571" s="83">
        <f t="shared" si="121"/>
      </c>
      <c r="BK571" s="85">
        <f t="shared" si="122"/>
      </c>
      <c r="BL571" s="85">
        <f t="shared" si="123"/>
      </c>
      <c r="BM571" s="108"/>
      <c r="BN571" s="85">
        <f t="shared" si="124"/>
      </c>
      <c r="BO571" s="108"/>
      <c r="BP571" s="85">
        <f t="shared" si="125"/>
      </c>
      <c r="BQ571" s="85">
        <f t="shared" si="126"/>
      </c>
      <c r="BR571" s="108"/>
      <c r="BS571" s="104"/>
      <c r="BT571" s="87">
        <f t="shared" si="127"/>
      </c>
      <c r="BU571" s="85">
        <f t="shared" si="128"/>
      </c>
      <c r="BV571" s="85">
        <f t="shared" si="129"/>
      </c>
      <c r="BW571" s="87">
        <f t="shared" si="130"/>
      </c>
      <c r="BX571" s="104"/>
      <c r="BY571" s="106"/>
      <c r="BZ571" s="104"/>
      <c r="CA571" s="105"/>
      <c r="CB571" s="77">
        <f>IF($A571="",0,IF($B571='FICHA CLIENTE'!$C$4,1,0))</f>
      </c>
      <c r="CC571" s="77">
        <f t="shared" si="131"/>
      </c>
      <c r="CD571" s="77">
        <f>IF($A571="",0,IF($D571='FICHA VEHICULO'!$C$4,1,0))</f>
      </c>
      <c r="CE571" s="77">
        <f t="shared" si="132"/>
      </c>
      <c r="CF571" s="77">
        <f t="shared" si="133"/>
      </c>
      <c r="CG571" s="77">
        <f t="shared" si="134"/>
      </c>
    </row>
    <row r="572" spans="1:85" ht="19.5" customHeight="1" x14ac:dyDescent="0.2">
      <c r="A572" s="104"/>
      <c r="B572" s="104"/>
      <c r="C572" s="105"/>
      <c r="D572" s="104"/>
      <c r="E572" s="105"/>
      <c r="F572" s="106"/>
      <c r="G572" s="104"/>
      <c r="H572" s="106"/>
      <c r="I572" s="107"/>
      <c r="J572" s="108"/>
      <c r="K572" s="108"/>
      <c r="L572" s="108"/>
      <c r="M572" s="105"/>
      <c r="N572" s="105"/>
      <c r="O572" s="105"/>
      <c r="P572" s="108"/>
      <c r="Q572" s="105"/>
      <c r="R572" s="105"/>
      <c r="S572" s="105"/>
      <c r="T572" s="105"/>
      <c r="U572" s="108"/>
      <c r="V572" s="105"/>
      <c r="W572" s="105"/>
      <c r="X572" s="105"/>
      <c r="Y572" s="105"/>
      <c r="Z572" s="105"/>
      <c r="AA572" s="108"/>
      <c r="AB572" s="108"/>
      <c r="AC572" s="105"/>
      <c r="AD572" s="279"/>
      <c r="AE572" s="105"/>
      <c r="AF572" s="279"/>
      <c r="AG572" s="105"/>
      <c r="AH572" s="108"/>
      <c r="AI572" s="108"/>
      <c r="AJ572" s="108"/>
      <c r="AK572" s="108"/>
      <c r="AL572" s="105"/>
      <c r="AM572" s="108"/>
      <c r="AN572" s="105"/>
      <c r="AO572" s="108"/>
      <c r="AP572" s="108"/>
      <c r="AQ572" s="105"/>
      <c r="AR572" s="108"/>
      <c r="AS572" s="108"/>
      <c r="AT572" s="105"/>
      <c r="AU572" s="105"/>
      <c r="AV572" s="105"/>
      <c r="AW572" s="105"/>
      <c r="AX572" s="105"/>
      <c r="AY572" s="105"/>
      <c r="AZ572" s="105"/>
      <c r="BA572" s="105"/>
      <c r="BB572" s="105"/>
      <c r="BC572" s="105"/>
      <c r="BD572" s="108"/>
      <c r="BE572" s="83">
        <f>IF($A572="","",IF(TRIM($D572&amp;"")="",IF(TRIM($AX572&amp;$AY572&amp;$AZ572&amp;$BA572&amp;$BB572&amp;$BC572&amp;$BD572&amp;"")="","","SUBARRENDADO"),IFERROR(IF(VLOOKUP($D572,VEHICULOS!$A$3:$H$202,7,FALSE)="","",VLOOKUP($D572,VEHICULOS!$A$3:$H$202,7,FALSE)),"")))</f>
      </c>
      <c r="BF572" s="82">
        <f>IF($A572="","",IF(TRIM($BC572&amp;"")&lt;&gt;"",$BC572,IF(TRIM($D572&amp;"")="","",IFERROR(IF(VLOOKUP($D572,VEHICULOS!$A$3:$H$202,8,FALSE)="","",VLOOKUP($D572,VEHICULOS!$A$3:$H$202,8,FALSE)),""))))</f>
      </c>
      <c r="BG572" s="106"/>
      <c r="BH572" s="107"/>
      <c r="BI572" s="86">
        <f t="shared" si="120"/>
      </c>
      <c r="BJ572" s="83">
        <f t="shared" si="121"/>
      </c>
      <c r="BK572" s="85">
        <f t="shared" si="122"/>
      </c>
      <c r="BL572" s="85">
        <f t="shared" si="123"/>
      </c>
      <c r="BM572" s="108"/>
      <c r="BN572" s="85">
        <f t="shared" si="124"/>
      </c>
      <c r="BO572" s="108"/>
      <c r="BP572" s="85">
        <f t="shared" si="125"/>
      </c>
      <c r="BQ572" s="85">
        <f t="shared" si="126"/>
      </c>
      <c r="BR572" s="108"/>
      <c r="BS572" s="104"/>
      <c r="BT572" s="87">
        <f t="shared" si="127"/>
      </c>
      <c r="BU572" s="85">
        <f t="shared" si="128"/>
      </c>
      <c r="BV572" s="85">
        <f t="shared" si="129"/>
      </c>
      <c r="BW572" s="87">
        <f t="shared" si="130"/>
      </c>
      <c r="BX572" s="104"/>
      <c r="BY572" s="106"/>
      <c r="BZ572" s="104"/>
      <c r="CA572" s="105"/>
      <c r="CB572" s="77">
        <f>IF($A572="",0,IF($B572='FICHA CLIENTE'!$C$4,1,0))</f>
      </c>
      <c r="CC572" s="77">
        <f t="shared" si="131"/>
      </c>
      <c r="CD572" s="77">
        <f>IF($A572="",0,IF($D572='FICHA VEHICULO'!$C$4,1,0))</f>
      </c>
      <c r="CE572" s="77">
        <f t="shared" si="132"/>
      </c>
      <c r="CF572" s="77">
        <f t="shared" si="133"/>
      </c>
      <c r="CG572" s="77">
        <f t="shared" si="134"/>
      </c>
    </row>
    <row r="573" spans="1:85" ht="19.5" customHeight="1" x14ac:dyDescent="0.2">
      <c r="A573" s="104"/>
      <c r="B573" s="104"/>
      <c r="C573" s="105"/>
      <c r="D573" s="104"/>
      <c r="E573" s="105"/>
      <c r="F573" s="106"/>
      <c r="G573" s="104"/>
      <c r="H573" s="106"/>
      <c r="I573" s="107"/>
      <c r="J573" s="108"/>
      <c r="K573" s="108"/>
      <c r="L573" s="108"/>
      <c r="M573" s="105"/>
      <c r="N573" s="105"/>
      <c r="O573" s="105"/>
      <c r="P573" s="108"/>
      <c r="Q573" s="105"/>
      <c r="R573" s="105"/>
      <c r="S573" s="105"/>
      <c r="T573" s="105"/>
      <c r="U573" s="108"/>
      <c r="V573" s="105"/>
      <c r="W573" s="105"/>
      <c r="X573" s="105"/>
      <c r="Y573" s="105"/>
      <c r="Z573" s="105"/>
      <c r="AA573" s="108"/>
      <c r="AB573" s="108"/>
      <c r="AC573" s="105"/>
      <c r="AD573" s="279"/>
      <c r="AE573" s="105"/>
      <c r="AF573" s="279"/>
      <c r="AG573" s="105"/>
      <c r="AH573" s="108"/>
      <c r="AI573" s="108"/>
      <c r="AJ573" s="108"/>
      <c r="AK573" s="108"/>
      <c r="AL573" s="105"/>
      <c r="AM573" s="108"/>
      <c r="AN573" s="105"/>
      <c r="AO573" s="108"/>
      <c r="AP573" s="108"/>
      <c r="AQ573" s="105"/>
      <c r="AR573" s="108"/>
      <c r="AS573" s="108"/>
      <c r="AT573" s="105"/>
      <c r="AU573" s="105"/>
      <c r="AV573" s="105"/>
      <c r="AW573" s="105"/>
      <c r="AX573" s="105"/>
      <c r="AY573" s="105"/>
      <c r="AZ573" s="105"/>
      <c r="BA573" s="105"/>
      <c r="BB573" s="105"/>
      <c r="BC573" s="105"/>
      <c r="BD573" s="108"/>
      <c r="BE573" s="83">
        <f>IF($A573="","",IF(TRIM($D573&amp;"")="",IF(TRIM($AX573&amp;$AY573&amp;$AZ573&amp;$BA573&amp;$BB573&amp;$BC573&amp;$BD573&amp;"")="","","SUBARRENDADO"),IFERROR(IF(VLOOKUP($D573,VEHICULOS!$A$3:$H$202,7,FALSE)="","",VLOOKUP($D573,VEHICULOS!$A$3:$H$202,7,FALSE)),"")))</f>
      </c>
      <c r="BF573" s="82">
        <f>IF($A573="","",IF(TRIM($BC573&amp;"")&lt;&gt;"",$BC573,IF(TRIM($D573&amp;"")="","",IFERROR(IF(VLOOKUP($D573,VEHICULOS!$A$3:$H$202,8,FALSE)="","",VLOOKUP($D573,VEHICULOS!$A$3:$H$202,8,FALSE)),""))))</f>
      </c>
      <c r="BG573" s="106"/>
      <c r="BH573" s="107"/>
      <c r="BI573" s="86">
        <f t="shared" si="120"/>
      </c>
      <c r="BJ573" s="83">
        <f t="shared" si="121"/>
      </c>
      <c r="BK573" s="85">
        <f t="shared" si="122"/>
      </c>
      <c r="BL573" s="85">
        <f t="shared" si="123"/>
      </c>
      <c r="BM573" s="108"/>
      <c r="BN573" s="85">
        <f t="shared" si="124"/>
      </c>
      <c r="BO573" s="108"/>
      <c r="BP573" s="85">
        <f t="shared" si="125"/>
      </c>
      <c r="BQ573" s="85">
        <f t="shared" si="126"/>
      </c>
      <c r="BR573" s="108"/>
      <c r="BS573" s="104"/>
      <c r="BT573" s="87">
        <f t="shared" si="127"/>
      </c>
      <c r="BU573" s="85">
        <f t="shared" si="128"/>
      </c>
      <c r="BV573" s="85">
        <f t="shared" si="129"/>
      </c>
      <c r="BW573" s="87">
        <f t="shared" si="130"/>
      </c>
      <c r="BX573" s="104"/>
      <c r="BY573" s="106"/>
      <c r="BZ573" s="104"/>
      <c r="CA573" s="105"/>
      <c r="CB573" s="77">
        <f>IF($A573="",0,IF($B573='FICHA CLIENTE'!$C$4,1,0))</f>
      </c>
      <c r="CC573" s="77">
        <f t="shared" si="131"/>
      </c>
      <c r="CD573" s="77">
        <f>IF($A573="",0,IF($D573='FICHA VEHICULO'!$C$4,1,0))</f>
      </c>
      <c r="CE573" s="77">
        <f t="shared" si="132"/>
      </c>
      <c r="CF573" s="77">
        <f t="shared" si="133"/>
      </c>
      <c r="CG573" s="77">
        <f t="shared" si="134"/>
      </c>
    </row>
    <row r="574" spans="1:85" ht="19.5" customHeight="1" x14ac:dyDescent="0.2">
      <c r="A574" s="104"/>
      <c r="B574" s="104"/>
      <c r="C574" s="105"/>
      <c r="D574" s="104"/>
      <c r="E574" s="105"/>
      <c r="F574" s="106"/>
      <c r="G574" s="104"/>
      <c r="H574" s="106"/>
      <c r="I574" s="107"/>
      <c r="J574" s="108"/>
      <c r="K574" s="108"/>
      <c r="L574" s="108"/>
      <c r="M574" s="105"/>
      <c r="N574" s="105"/>
      <c r="O574" s="105"/>
      <c r="P574" s="108"/>
      <c r="Q574" s="105"/>
      <c r="R574" s="105"/>
      <c r="S574" s="105"/>
      <c r="T574" s="105"/>
      <c r="U574" s="108"/>
      <c r="V574" s="105"/>
      <c r="W574" s="105"/>
      <c r="X574" s="105"/>
      <c r="Y574" s="105"/>
      <c r="Z574" s="105"/>
      <c r="AA574" s="108"/>
      <c r="AB574" s="108"/>
      <c r="AC574" s="105"/>
      <c r="AD574" s="279"/>
      <c r="AE574" s="105"/>
      <c r="AF574" s="279"/>
      <c r="AG574" s="105"/>
      <c r="AH574" s="108"/>
      <c r="AI574" s="108"/>
      <c r="AJ574" s="108"/>
      <c r="AK574" s="108"/>
      <c r="AL574" s="105"/>
      <c r="AM574" s="108"/>
      <c r="AN574" s="105"/>
      <c r="AO574" s="108"/>
      <c r="AP574" s="108"/>
      <c r="AQ574" s="105"/>
      <c r="AR574" s="108"/>
      <c r="AS574" s="108"/>
      <c r="AT574" s="105"/>
      <c r="AU574" s="105"/>
      <c r="AV574" s="105"/>
      <c r="AW574" s="105"/>
      <c r="AX574" s="105"/>
      <c r="AY574" s="105"/>
      <c r="AZ574" s="105"/>
      <c r="BA574" s="105"/>
      <c r="BB574" s="105"/>
      <c r="BC574" s="105"/>
      <c r="BD574" s="108"/>
      <c r="BE574" s="83">
        <f>IF($A574="","",IF(TRIM($D574&amp;"")="",IF(TRIM($AX574&amp;$AY574&amp;$AZ574&amp;$BA574&amp;$BB574&amp;$BC574&amp;$BD574&amp;"")="","","SUBARRENDADO"),IFERROR(IF(VLOOKUP($D574,VEHICULOS!$A$3:$H$202,7,FALSE)="","",VLOOKUP($D574,VEHICULOS!$A$3:$H$202,7,FALSE)),"")))</f>
      </c>
      <c r="BF574" s="82">
        <f>IF($A574="","",IF(TRIM($BC574&amp;"")&lt;&gt;"",$BC574,IF(TRIM($D574&amp;"")="","",IFERROR(IF(VLOOKUP($D574,VEHICULOS!$A$3:$H$202,8,FALSE)="","",VLOOKUP($D574,VEHICULOS!$A$3:$H$202,8,FALSE)),""))))</f>
      </c>
      <c r="BG574" s="106"/>
      <c r="BH574" s="107"/>
      <c r="BI574" s="86">
        <f t="shared" si="120"/>
      </c>
      <c r="BJ574" s="83">
        <f t="shared" si="121"/>
      </c>
      <c r="BK574" s="85">
        <f t="shared" si="122"/>
      </c>
      <c r="BL574" s="85">
        <f t="shared" si="123"/>
      </c>
      <c r="BM574" s="108"/>
      <c r="BN574" s="85">
        <f t="shared" si="124"/>
      </c>
      <c r="BO574" s="108"/>
      <c r="BP574" s="85">
        <f t="shared" si="125"/>
      </c>
      <c r="BQ574" s="85">
        <f t="shared" si="126"/>
      </c>
      <c r="BR574" s="108"/>
      <c r="BS574" s="104"/>
      <c r="BT574" s="87">
        <f t="shared" si="127"/>
      </c>
      <c r="BU574" s="85">
        <f t="shared" si="128"/>
      </c>
      <c r="BV574" s="85">
        <f t="shared" si="129"/>
      </c>
      <c r="BW574" s="87">
        <f t="shared" si="130"/>
      </c>
      <c r="BX574" s="104"/>
      <c r="BY574" s="106"/>
      <c r="BZ574" s="104"/>
      <c r="CA574" s="105"/>
      <c r="CB574" s="77">
        <f>IF($A574="",0,IF($B574='FICHA CLIENTE'!$C$4,1,0))</f>
      </c>
      <c r="CC574" s="77">
        <f t="shared" si="131"/>
      </c>
      <c r="CD574" s="77">
        <f>IF($A574="",0,IF($D574='FICHA VEHICULO'!$C$4,1,0))</f>
      </c>
      <c r="CE574" s="77">
        <f t="shared" si="132"/>
      </c>
      <c r="CF574" s="77">
        <f t="shared" si="133"/>
      </c>
      <c r="CG574" s="77">
        <f t="shared" si="134"/>
      </c>
    </row>
    <row r="575" spans="1:85" ht="19.5" customHeight="1" x14ac:dyDescent="0.2">
      <c r="A575" s="104"/>
      <c r="B575" s="104"/>
      <c r="C575" s="105"/>
      <c r="D575" s="104"/>
      <c r="E575" s="105"/>
      <c r="F575" s="106"/>
      <c r="G575" s="104"/>
      <c r="H575" s="106"/>
      <c r="I575" s="107"/>
      <c r="J575" s="108"/>
      <c r="K575" s="108"/>
      <c r="L575" s="108"/>
      <c r="M575" s="105"/>
      <c r="N575" s="105"/>
      <c r="O575" s="105"/>
      <c r="P575" s="108"/>
      <c r="Q575" s="105"/>
      <c r="R575" s="105"/>
      <c r="S575" s="105"/>
      <c r="T575" s="105"/>
      <c r="U575" s="108"/>
      <c r="V575" s="105"/>
      <c r="W575" s="105"/>
      <c r="X575" s="105"/>
      <c r="Y575" s="105"/>
      <c r="Z575" s="105"/>
      <c r="AA575" s="108"/>
      <c r="AB575" s="108"/>
      <c r="AC575" s="105"/>
      <c r="AD575" s="279"/>
      <c r="AE575" s="105"/>
      <c r="AF575" s="279"/>
      <c r="AG575" s="105"/>
      <c r="AH575" s="108"/>
      <c r="AI575" s="108"/>
      <c r="AJ575" s="108"/>
      <c r="AK575" s="108"/>
      <c r="AL575" s="105"/>
      <c r="AM575" s="108"/>
      <c r="AN575" s="105"/>
      <c r="AO575" s="108"/>
      <c r="AP575" s="108"/>
      <c r="AQ575" s="105"/>
      <c r="AR575" s="108"/>
      <c r="AS575" s="108"/>
      <c r="AT575" s="105"/>
      <c r="AU575" s="105"/>
      <c r="AV575" s="105"/>
      <c r="AW575" s="105"/>
      <c r="AX575" s="105"/>
      <c r="AY575" s="105"/>
      <c r="AZ575" s="105"/>
      <c r="BA575" s="105"/>
      <c r="BB575" s="105"/>
      <c r="BC575" s="105"/>
      <c r="BD575" s="108"/>
      <c r="BE575" s="83">
        <f>IF($A575="","",IF(TRIM($D575&amp;"")="",IF(TRIM($AX575&amp;$AY575&amp;$AZ575&amp;$BA575&amp;$BB575&amp;$BC575&amp;$BD575&amp;"")="","","SUBARRENDADO"),IFERROR(IF(VLOOKUP($D575,VEHICULOS!$A$3:$H$202,7,FALSE)="","",VLOOKUP($D575,VEHICULOS!$A$3:$H$202,7,FALSE)),"")))</f>
      </c>
      <c r="BF575" s="82">
        <f>IF($A575="","",IF(TRIM($BC575&amp;"")&lt;&gt;"",$BC575,IF(TRIM($D575&amp;"")="","",IFERROR(IF(VLOOKUP($D575,VEHICULOS!$A$3:$H$202,8,FALSE)="","",VLOOKUP($D575,VEHICULOS!$A$3:$H$202,8,FALSE)),""))))</f>
      </c>
      <c r="BG575" s="106"/>
      <c r="BH575" s="107"/>
      <c r="BI575" s="86">
        <f t="shared" si="120"/>
      </c>
      <c r="BJ575" s="83">
        <f t="shared" si="121"/>
      </c>
      <c r="BK575" s="85">
        <f t="shared" si="122"/>
      </c>
      <c r="BL575" s="85">
        <f t="shared" si="123"/>
      </c>
      <c r="BM575" s="108"/>
      <c r="BN575" s="85">
        <f t="shared" si="124"/>
      </c>
      <c r="BO575" s="108"/>
      <c r="BP575" s="85">
        <f t="shared" si="125"/>
      </c>
      <c r="BQ575" s="85">
        <f t="shared" si="126"/>
      </c>
      <c r="BR575" s="108"/>
      <c r="BS575" s="104"/>
      <c r="BT575" s="87">
        <f t="shared" si="127"/>
      </c>
      <c r="BU575" s="85">
        <f t="shared" si="128"/>
      </c>
      <c r="BV575" s="85">
        <f t="shared" si="129"/>
      </c>
      <c r="BW575" s="87">
        <f t="shared" si="130"/>
      </c>
      <c r="BX575" s="104"/>
      <c r="BY575" s="106"/>
      <c r="BZ575" s="104"/>
      <c r="CA575" s="105"/>
      <c r="CB575" s="77">
        <f>IF($A575="",0,IF($B575='FICHA CLIENTE'!$C$4,1,0))</f>
      </c>
      <c r="CC575" s="77">
        <f t="shared" si="131"/>
      </c>
      <c r="CD575" s="77">
        <f>IF($A575="",0,IF($D575='FICHA VEHICULO'!$C$4,1,0))</f>
      </c>
      <c r="CE575" s="77">
        <f t="shared" si="132"/>
      </c>
      <c r="CF575" s="77">
        <f t="shared" si="133"/>
      </c>
      <c r="CG575" s="77">
        <f t="shared" si="134"/>
      </c>
    </row>
    <row r="576" spans="1:85" ht="19.5" customHeight="1" x14ac:dyDescent="0.2">
      <c r="A576" s="104"/>
      <c r="B576" s="104"/>
      <c r="C576" s="105"/>
      <c r="D576" s="104"/>
      <c r="E576" s="105"/>
      <c r="F576" s="106"/>
      <c r="G576" s="104"/>
      <c r="H576" s="106"/>
      <c r="I576" s="107"/>
      <c r="J576" s="108"/>
      <c r="K576" s="108"/>
      <c r="L576" s="108"/>
      <c r="M576" s="105"/>
      <c r="N576" s="105"/>
      <c r="O576" s="105"/>
      <c r="P576" s="108"/>
      <c r="Q576" s="105"/>
      <c r="R576" s="105"/>
      <c r="S576" s="105"/>
      <c r="T576" s="105"/>
      <c r="U576" s="108"/>
      <c r="V576" s="105"/>
      <c r="W576" s="105"/>
      <c r="X576" s="105"/>
      <c r="Y576" s="105"/>
      <c r="Z576" s="105"/>
      <c r="AA576" s="108"/>
      <c r="AB576" s="108"/>
      <c r="AC576" s="105"/>
      <c r="AD576" s="279"/>
      <c r="AE576" s="105"/>
      <c r="AF576" s="279"/>
      <c r="AG576" s="105"/>
      <c r="AH576" s="108"/>
      <c r="AI576" s="108"/>
      <c r="AJ576" s="108"/>
      <c r="AK576" s="108"/>
      <c r="AL576" s="105"/>
      <c r="AM576" s="108"/>
      <c r="AN576" s="105"/>
      <c r="AO576" s="108"/>
      <c r="AP576" s="108"/>
      <c r="AQ576" s="105"/>
      <c r="AR576" s="108"/>
      <c r="AS576" s="108"/>
      <c r="AT576" s="105"/>
      <c r="AU576" s="105"/>
      <c r="AV576" s="105"/>
      <c r="AW576" s="105"/>
      <c r="AX576" s="105"/>
      <c r="AY576" s="105"/>
      <c r="AZ576" s="105"/>
      <c r="BA576" s="105"/>
      <c r="BB576" s="105"/>
      <c r="BC576" s="105"/>
      <c r="BD576" s="108"/>
      <c r="BE576" s="83">
        <f>IF($A576="","",IF(TRIM($D576&amp;"")="",IF(TRIM($AX576&amp;$AY576&amp;$AZ576&amp;$BA576&amp;$BB576&amp;$BC576&amp;$BD576&amp;"")="","","SUBARRENDADO"),IFERROR(IF(VLOOKUP($D576,VEHICULOS!$A$3:$H$202,7,FALSE)="","",VLOOKUP($D576,VEHICULOS!$A$3:$H$202,7,FALSE)),"")))</f>
      </c>
      <c r="BF576" s="82">
        <f>IF($A576="","",IF(TRIM($BC576&amp;"")&lt;&gt;"",$BC576,IF(TRIM($D576&amp;"")="","",IFERROR(IF(VLOOKUP($D576,VEHICULOS!$A$3:$H$202,8,FALSE)="","",VLOOKUP($D576,VEHICULOS!$A$3:$H$202,8,FALSE)),""))))</f>
      </c>
      <c r="BG576" s="106"/>
      <c r="BH576" s="107"/>
      <c r="BI576" s="86">
        <f t="shared" si="120"/>
      </c>
      <c r="BJ576" s="83">
        <f t="shared" si="121"/>
      </c>
      <c r="BK576" s="85">
        <f t="shared" si="122"/>
      </c>
      <c r="BL576" s="85">
        <f t="shared" si="123"/>
      </c>
      <c r="BM576" s="108"/>
      <c r="BN576" s="85">
        <f t="shared" si="124"/>
      </c>
      <c r="BO576" s="108"/>
      <c r="BP576" s="85">
        <f t="shared" si="125"/>
      </c>
      <c r="BQ576" s="85">
        <f t="shared" si="126"/>
      </c>
      <c r="BR576" s="108"/>
      <c r="BS576" s="104"/>
      <c r="BT576" s="87">
        <f t="shared" si="127"/>
      </c>
      <c r="BU576" s="85">
        <f t="shared" si="128"/>
      </c>
      <c r="BV576" s="85">
        <f t="shared" si="129"/>
      </c>
      <c r="BW576" s="87">
        <f t="shared" si="130"/>
      </c>
      <c r="BX576" s="104"/>
      <c r="BY576" s="106"/>
      <c r="BZ576" s="104"/>
      <c r="CA576" s="105"/>
      <c r="CB576" s="77">
        <f>IF($A576="",0,IF($B576='FICHA CLIENTE'!$C$4,1,0))</f>
      </c>
      <c r="CC576" s="77">
        <f t="shared" si="131"/>
      </c>
      <c r="CD576" s="77">
        <f>IF($A576="",0,IF($D576='FICHA VEHICULO'!$C$4,1,0))</f>
      </c>
      <c r="CE576" s="77">
        <f t="shared" si="132"/>
      </c>
      <c r="CF576" s="77">
        <f t="shared" si="133"/>
      </c>
      <c r="CG576" s="77">
        <f t="shared" si="134"/>
      </c>
    </row>
    <row r="577" spans="1:85" ht="19.5" customHeight="1" x14ac:dyDescent="0.2">
      <c r="A577" s="104"/>
      <c r="B577" s="104"/>
      <c r="C577" s="105"/>
      <c r="D577" s="104"/>
      <c r="E577" s="105"/>
      <c r="F577" s="106"/>
      <c r="G577" s="104"/>
      <c r="H577" s="106"/>
      <c r="I577" s="107"/>
      <c r="J577" s="108"/>
      <c r="K577" s="108"/>
      <c r="L577" s="108"/>
      <c r="M577" s="105"/>
      <c r="N577" s="105"/>
      <c r="O577" s="105"/>
      <c r="P577" s="108"/>
      <c r="Q577" s="105"/>
      <c r="R577" s="105"/>
      <c r="S577" s="105"/>
      <c r="T577" s="105"/>
      <c r="U577" s="108"/>
      <c r="V577" s="105"/>
      <c r="W577" s="105"/>
      <c r="X577" s="105"/>
      <c r="Y577" s="105"/>
      <c r="Z577" s="105"/>
      <c r="AA577" s="108"/>
      <c r="AB577" s="108"/>
      <c r="AC577" s="105"/>
      <c r="AD577" s="279"/>
      <c r="AE577" s="105"/>
      <c r="AF577" s="279"/>
      <c r="AG577" s="105"/>
      <c r="AH577" s="108"/>
      <c r="AI577" s="108"/>
      <c r="AJ577" s="108"/>
      <c r="AK577" s="108"/>
      <c r="AL577" s="105"/>
      <c r="AM577" s="108"/>
      <c r="AN577" s="105"/>
      <c r="AO577" s="108"/>
      <c r="AP577" s="108"/>
      <c r="AQ577" s="105"/>
      <c r="AR577" s="108"/>
      <c r="AS577" s="108"/>
      <c r="AT577" s="105"/>
      <c r="AU577" s="105"/>
      <c r="AV577" s="105"/>
      <c r="AW577" s="105"/>
      <c r="AX577" s="105"/>
      <c r="AY577" s="105"/>
      <c r="AZ577" s="105"/>
      <c r="BA577" s="105"/>
      <c r="BB577" s="105"/>
      <c r="BC577" s="105"/>
      <c r="BD577" s="108"/>
      <c r="BE577" s="83">
        <f>IF($A577="","",IF(TRIM($D577&amp;"")="",IF(TRIM($AX577&amp;$AY577&amp;$AZ577&amp;$BA577&amp;$BB577&amp;$BC577&amp;$BD577&amp;"")="","","SUBARRENDADO"),IFERROR(IF(VLOOKUP($D577,VEHICULOS!$A$3:$H$202,7,FALSE)="","",VLOOKUP($D577,VEHICULOS!$A$3:$H$202,7,FALSE)),"")))</f>
      </c>
      <c r="BF577" s="82">
        <f>IF($A577="","",IF(TRIM($BC577&amp;"")&lt;&gt;"",$BC577,IF(TRIM($D577&amp;"")="","",IFERROR(IF(VLOOKUP($D577,VEHICULOS!$A$3:$H$202,8,FALSE)="","",VLOOKUP($D577,VEHICULOS!$A$3:$H$202,8,FALSE)),""))))</f>
      </c>
      <c r="BG577" s="106"/>
      <c r="BH577" s="107"/>
      <c r="BI577" s="86">
        <f t="shared" si="120"/>
      </c>
      <c r="BJ577" s="83">
        <f t="shared" si="121"/>
      </c>
      <c r="BK577" s="85">
        <f t="shared" si="122"/>
      </c>
      <c r="BL577" s="85">
        <f t="shared" si="123"/>
      </c>
      <c r="BM577" s="108"/>
      <c r="BN577" s="85">
        <f t="shared" si="124"/>
      </c>
      <c r="BO577" s="108"/>
      <c r="BP577" s="85">
        <f t="shared" si="125"/>
      </c>
      <c r="BQ577" s="85">
        <f t="shared" si="126"/>
      </c>
      <c r="BR577" s="108"/>
      <c r="BS577" s="104"/>
      <c r="BT577" s="87">
        <f t="shared" si="127"/>
      </c>
      <c r="BU577" s="85">
        <f t="shared" si="128"/>
      </c>
      <c r="BV577" s="85">
        <f t="shared" si="129"/>
      </c>
      <c r="BW577" s="87">
        <f t="shared" si="130"/>
      </c>
      <c r="BX577" s="104"/>
      <c r="BY577" s="106"/>
      <c r="BZ577" s="104"/>
      <c r="CA577" s="105"/>
      <c r="CB577" s="77">
        <f>IF($A577="",0,IF($B577='FICHA CLIENTE'!$C$4,1,0))</f>
      </c>
      <c r="CC577" s="77">
        <f t="shared" si="131"/>
      </c>
      <c r="CD577" s="77">
        <f>IF($A577="",0,IF($D577='FICHA VEHICULO'!$C$4,1,0))</f>
      </c>
      <c r="CE577" s="77">
        <f t="shared" si="132"/>
      </c>
      <c r="CF577" s="77">
        <f t="shared" si="133"/>
      </c>
      <c r="CG577" s="77">
        <f t="shared" si="134"/>
      </c>
    </row>
    <row r="578" spans="1:85" ht="19.5" customHeight="1" x14ac:dyDescent="0.2">
      <c r="A578" s="104"/>
      <c r="B578" s="104"/>
      <c r="C578" s="105"/>
      <c r="D578" s="104"/>
      <c r="E578" s="105"/>
      <c r="F578" s="106"/>
      <c r="G578" s="104"/>
      <c r="H578" s="106"/>
      <c r="I578" s="107"/>
      <c r="J578" s="108"/>
      <c r="K578" s="108"/>
      <c r="L578" s="108"/>
      <c r="M578" s="105"/>
      <c r="N578" s="105"/>
      <c r="O578" s="105"/>
      <c r="P578" s="108"/>
      <c r="Q578" s="105"/>
      <c r="R578" s="105"/>
      <c r="S578" s="105"/>
      <c r="T578" s="105"/>
      <c r="U578" s="108"/>
      <c r="V578" s="105"/>
      <c r="W578" s="105"/>
      <c r="X578" s="105"/>
      <c r="Y578" s="105"/>
      <c r="Z578" s="105"/>
      <c r="AA578" s="108"/>
      <c r="AB578" s="108"/>
      <c r="AC578" s="105"/>
      <c r="AD578" s="279"/>
      <c r="AE578" s="105"/>
      <c r="AF578" s="279"/>
      <c r="AG578" s="105"/>
      <c r="AH578" s="108"/>
      <c r="AI578" s="108"/>
      <c r="AJ578" s="108"/>
      <c r="AK578" s="108"/>
      <c r="AL578" s="105"/>
      <c r="AM578" s="108"/>
      <c r="AN578" s="105"/>
      <c r="AO578" s="108"/>
      <c r="AP578" s="108"/>
      <c r="AQ578" s="105"/>
      <c r="AR578" s="108"/>
      <c r="AS578" s="108"/>
      <c r="AT578" s="105"/>
      <c r="AU578" s="105"/>
      <c r="AV578" s="105"/>
      <c r="AW578" s="105"/>
      <c r="AX578" s="105"/>
      <c r="AY578" s="105"/>
      <c r="AZ578" s="105"/>
      <c r="BA578" s="105"/>
      <c r="BB578" s="105"/>
      <c r="BC578" s="105"/>
      <c r="BD578" s="108"/>
      <c r="BE578" s="83">
        <f>IF($A578="","",IF(TRIM($D578&amp;"")="",IF(TRIM($AX578&amp;$AY578&amp;$AZ578&amp;$BA578&amp;$BB578&amp;$BC578&amp;$BD578&amp;"")="","","SUBARRENDADO"),IFERROR(IF(VLOOKUP($D578,VEHICULOS!$A$3:$H$202,7,FALSE)="","",VLOOKUP($D578,VEHICULOS!$A$3:$H$202,7,FALSE)),"")))</f>
      </c>
      <c r="BF578" s="82">
        <f>IF($A578="","",IF(TRIM($BC578&amp;"")&lt;&gt;"",$BC578,IF(TRIM($D578&amp;"")="","",IFERROR(IF(VLOOKUP($D578,VEHICULOS!$A$3:$H$202,8,FALSE)="","",VLOOKUP($D578,VEHICULOS!$A$3:$H$202,8,FALSE)),""))))</f>
      </c>
      <c r="BG578" s="106"/>
      <c r="BH578" s="107"/>
      <c r="BI578" s="86">
        <f t="shared" si="120"/>
      </c>
      <c r="BJ578" s="83">
        <f t="shared" si="121"/>
      </c>
      <c r="BK578" s="85">
        <f t="shared" si="122"/>
      </c>
      <c r="BL578" s="85">
        <f t="shared" si="123"/>
      </c>
      <c r="BM578" s="108"/>
      <c r="BN578" s="85">
        <f t="shared" si="124"/>
      </c>
      <c r="BO578" s="108"/>
      <c r="BP578" s="85">
        <f t="shared" si="125"/>
      </c>
      <c r="BQ578" s="85">
        <f t="shared" si="126"/>
      </c>
      <c r="BR578" s="108"/>
      <c r="BS578" s="104"/>
      <c r="BT578" s="87">
        <f t="shared" si="127"/>
      </c>
      <c r="BU578" s="85">
        <f t="shared" si="128"/>
      </c>
      <c r="BV578" s="85">
        <f t="shared" si="129"/>
      </c>
      <c r="BW578" s="87">
        <f t="shared" si="130"/>
      </c>
      <c r="BX578" s="104"/>
      <c r="BY578" s="106"/>
      <c r="BZ578" s="104"/>
      <c r="CA578" s="105"/>
      <c r="CB578" s="77">
        <f>IF($A578="",0,IF($B578='FICHA CLIENTE'!$C$4,1,0))</f>
      </c>
      <c r="CC578" s="77">
        <f t="shared" si="131"/>
      </c>
      <c r="CD578" s="77">
        <f>IF($A578="",0,IF($D578='FICHA VEHICULO'!$C$4,1,0))</f>
      </c>
      <c r="CE578" s="77">
        <f t="shared" si="132"/>
      </c>
      <c r="CF578" s="77">
        <f t="shared" si="133"/>
      </c>
      <c r="CG578" s="77">
        <f t="shared" si="134"/>
      </c>
    </row>
    <row r="579" spans="1:85" ht="19.5" customHeight="1" x14ac:dyDescent="0.2">
      <c r="A579" s="104"/>
      <c r="B579" s="104"/>
      <c r="C579" s="105"/>
      <c r="D579" s="104"/>
      <c r="E579" s="105"/>
      <c r="F579" s="106"/>
      <c r="G579" s="104"/>
      <c r="H579" s="106"/>
      <c r="I579" s="107"/>
      <c r="J579" s="108"/>
      <c r="K579" s="108"/>
      <c r="L579" s="108"/>
      <c r="M579" s="105"/>
      <c r="N579" s="105"/>
      <c r="O579" s="105"/>
      <c r="P579" s="108"/>
      <c r="Q579" s="105"/>
      <c r="R579" s="105"/>
      <c r="S579" s="105"/>
      <c r="T579" s="105"/>
      <c r="U579" s="108"/>
      <c r="V579" s="105"/>
      <c r="W579" s="105"/>
      <c r="X579" s="105"/>
      <c r="Y579" s="105"/>
      <c r="Z579" s="105"/>
      <c r="AA579" s="108"/>
      <c r="AB579" s="108"/>
      <c r="AC579" s="105"/>
      <c r="AD579" s="279"/>
      <c r="AE579" s="105"/>
      <c r="AF579" s="279"/>
      <c r="AG579" s="105"/>
      <c r="AH579" s="108"/>
      <c r="AI579" s="108"/>
      <c r="AJ579" s="108"/>
      <c r="AK579" s="108"/>
      <c r="AL579" s="105"/>
      <c r="AM579" s="108"/>
      <c r="AN579" s="105"/>
      <c r="AO579" s="108"/>
      <c r="AP579" s="108"/>
      <c r="AQ579" s="105"/>
      <c r="AR579" s="108"/>
      <c r="AS579" s="108"/>
      <c r="AT579" s="105"/>
      <c r="AU579" s="105"/>
      <c r="AV579" s="105"/>
      <c r="AW579" s="105"/>
      <c r="AX579" s="105"/>
      <c r="AY579" s="105"/>
      <c r="AZ579" s="105"/>
      <c r="BA579" s="105"/>
      <c r="BB579" s="105"/>
      <c r="BC579" s="105"/>
      <c r="BD579" s="108"/>
      <c r="BE579" s="83">
        <f>IF($A579="","",IF(TRIM($D579&amp;"")="",IF(TRIM($AX579&amp;$AY579&amp;$AZ579&amp;$BA579&amp;$BB579&amp;$BC579&amp;$BD579&amp;"")="","","SUBARRENDADO"),IFERROR(IF(VLOOKUP($D579,VEHICULOS!$A$3:$H$202,7,FALSE)="","",VLOOKUP($D579,VEHICULOS!$A$3:$H$202,7,FALSE)),"")))</f>
      </c>
      <c r="BF579" s="82">
        <f>IF($A579="","",IF(TRIM($BC579&amp;"")&lt;&gt;"",$BC579,IF(TRIM($D579&amp;"")="","",IFERROR(IF(VLOOKUP($D579,VEHICULOS!$A$3:$H$202,8,FALSE)="","",VLOOKUP($D579,VEHICULOS!$A$3:$H$202,8,FALSE)),""))))</f>
      </c>
      <c r="BG579" s="106"/>
      <c r="BH579" s="107"/>
      <c r="BI579" s="86">
        <f t="shared" si="120"/>
      </c>
      <c r="BJ579" s="83">
        <f t="shared" si="121"/>
      </c>
      <c r="BK579" s="85">
        <f t="shared" si="122"/>
      </c>
      <c r="BL579" s="85">
        <f t="shared" si="123"/>
      </c>
      <c r="BM579" s="108"/>
      <c r="BN579" s="85">
        <f t="shared" si="124"/>
      </c>
      <c r="BO579" s="108"/>
      <c r="BP579" s="85">
        <f t="shared" si="125"/>
      </c>
      <c r="BQ579" s="85">
        <f t="shared" si="126"/>
      </c>
      <c r="BR579" s="108"/>
      <c r="BS579" s="104"/>
      <c r="BT579" s="87">
        <f t="shared" si="127"/>
      </c>
      <c r="BU579" s="85">
        <f t="shared" si="128"/>
      </c>
      <c r="BV579" s="85">
        <f t="shared" si="129"/>
      </c>
      <c r="BW579" s="87">
        <f t="shared" si="130"/>
      </c>
      <c r="BX579" s="104"/>
      <c r="BY579" s="106"/>
      <c r="BZ579" s="104"/>
      <c r="CA579" s="105"/>
      <c r="CB579" s="77">
        <f>IF($A579="",0,IF($B579='FICHA CLIENTE'!$C$4,1,0))</f>
      </c>
      <c r="CC579" s="77">
        <f t="shared" si="131"/>
      </c>
      <c r="CD579" s="77">
        <f>IF($A579="",0,IF($D579='FICHA VEHICULO'!$C$4,1,0))</f>
      </c>
      <c r="CE579" s="77">
        <f t="shared" si="132"/>
      </c>
      <c r="CF579" s="77">
        <f t="shared" si="133"/>
      </c>
      <c r="CG579" s="77">
        <f t="shared" si="134"/>
      </c>
    </row>
    <row r="580" spans="1:85" ht="19.5" customHeight="1" x14ac:dyDescent="0.2">
      <c r="A580" s="104"/>
      <c r="B580" s="104"/>
      <c r="C580" s="105"/>
      <c r="D580" s="104"/>
      <c r="E580" s="105"/>
      <c r="F580" s="106"/>
      <c r="G580" s="104"/>
      <c r="H580" s="106"/>
      <c r="I580" s="107"/>
      <c r="J580" s="108"/>
      <c r="K580" s="108"/>
      <c r="L580" s="108"/>
      <c r="M580" s="105"/>
      <c r="N580" s="105"/>
      <c r="O580" s="105"/>
      <c r="P580" s="108"/>
      <c r="Q580" s="105"/>
      <c r="R580" s="105"/>
      <c r="S580" s="105"/>
      <c r="T580" s="105"/>
      <c r="U580" s="108"/>
      <c r="V580" s="105"/>
      <c r="W580" s="105"/>
      <c r="X580" s="105"/>
      <c r="Y580" s="105"/>
      <c r="Z580" s="105"/>
      <c r="AA580" s="108"/>
      <c r="AB580" s="108"/>
      <c r="AC580" s="105"/>
      <c r="AD580" s="279"/>
      <c r="AE580" s="105"/>
      <c r="AF580" s="279"/>
      <c r="AG580" s="105"/>
      <c r="AH580" s="108"/>
      <c r="AI580" s="108"/>
      <c r="AJ580" s="108"/>
      <c r="AK580" s="108"/>
      <c r="AL580" s="105"/>
      <c r="AM580" s="108"/>
      <c r="AN580" s="105"/>
      <c r="AO580" s="108"/>
      <c r="AP580" s="108"/>
      <c r="AQ580" s="105"/>
      <c r="AR580" s="108"/>
      <c r="AS580" s="108"/>
      <c r="AT580" s="105"/>
      <c r="AU580" s="105"/>
      <c r="AV580" s="105"/>
      <c r="AW580" s="105"/>
      <c r="AX580" s="105"/>
      <c r="AY580" s="105"/>
      <c r="AZ580" s="105"/>
      <c r="BA580" s="105"/>
      <c r="BB580" s="105"/>
      <c r="BC580" s="105"/>
      <c r="BD580" s="108"/>
      <c r="BE580" s="83">
        <f>IF($A580="","",IF(TRIM($D580&amp;"")="",IF(TRIM($AX580&amp;$AY580&amp;$AZ580&amp;$BA580&amp;$BB580&amp;$BC580&amp;$BD580&amp;"")="","","SUBARRENDADO"),IFERROR(IF(VLOOKUP($D580,VEHICULOS!$A$3:$H$202,7,FALSE)="","",VLOOKUP($D580,VEHICULOS!$A$3:$H$202,7,FALSE)),"")))</f>
      </c>
      <c r="BF580" s="82">
        <f>IF($A580="","",IF(TRIM($BC580&amp;"")&lt;&gt;"",$BC580,IF(TRIM($D580&amp;"")="","",IFERROR(IF(VLOOKUP($D580,VEHICULOS!$A$3:$H$202,8,FALSE)="","",VLOOKUP($D580,VEHICULOS!$A$3:$H$202,8,FALSE)),""))))</f>
      </c>
      <c r="BG580" s="106"/>
      <c r="BH580" s="107"/>
      <c r="BI580" s="86">
        <f t="shared" si="120"/>
      </c>
      <c r="BJ580" s="83">
        <f t="shared" si="121"/>
      </c>
      <c r="BK580" s="85">
        <f t="shared" si="122"/>
      </c>
      <c r="BL580" s="85">
        <f t="shared" si="123"/>
      </c>
      <c r="BM580" s="108"/>
      <c r="BN580" s="85">
        <f t="shared" si="124"/>
      </c>
      <c r="BO580" s="108"/>
      <c r="BP580" s="85">
        <f t="shared" si="125"/>
      </c>
      <c r="BQ580" s="85">
        <f t="shared" si="126"/>
      </c>
      <c r="BR580" s="108"/>
      <c r="BS580" s="104"/>
      <c r="BT580" s="87">
        <f t="shared" si="127"/>
      </c>
      <c r="BU580" s="85">
        <f t="shared" si="128"/>
      </c>
      <c r="BV580" s="85">
        <f t="shared" si="129"/>
      </c>
      <c r="BW580" s="87">
        <f t="shared" si="130"/>
      </c>
      <c r="BX580" s="104"/>
      <c r="BY580" s="106"/>
      <c r="BZ580" s="104"/>
      <c r="CA580" s="105"/>
      <c r="CB580" s="77">
        <f>IF($A580="",0,IF($B580='FICHA CLIENTE'!$C$4,1,0))</f>
      </c>
      <c r="CC580" s="77">
        <f t="shared" si="131"/>
      </c>
      <c r="CD580" s="77">
        <f>IF($A580="",0,IF($D580='FICHA VEHICULO'!$C$4,1,0))</f>
      </c>
      <c r="CE580" s="77">
        <f t="shared" si="132"/>
      </c>
      <c r="CF580" s="77">
        <f t="shared" si="133"/>
      </c>
      <c r="CG580" s="77">
        <f t="shared" si="134"/>
      </c>
    </row>
    <row r="581" spans="1:85" ht="19.5" customHeight="1" x14ac:dyDescent="0.2">
      <c r="A581" s="104"/>
      <c r="B581" s="104"/>
      <c r="C581" s="105"/>
      <c r="D581" s="104"/>
      <c r="E581" s="105"/>
      <c r="F581" s="106"/>
      <c r="G581" s="104"/>
      <c r="H581" s="106"/>
      <c r="I581" s="107"/>
      <c r="J581" s="108"/>
      <c r="K581" s="108"/>
      <c r="L581" s="108"/>
      <c r="M581" s="105"/>
      <c r="N581" s="105"/>
      <c r="O581" s="105"/>
      <c r="P581" s="108"/>
      <c r="Q581" s="105"/>
      <c r="R581" s="105"/>
      <c r="S581" s="105"/>
      <c r="T581" s="105"/>
      <c r="U581" s="108"/>
      <c r="V581" s="105"/>
      <c r="W581" s="105"/>
      <c r="X581" s="105"/>
      <c r="Y581" s="105"/>
      <c r="Z581" s="105"/>
      <c r="AA581" s="108"/>
      <c r="AB581" s="108"/>
      <c r="AC581" s="105"/>
      <c r="AD581" s="279"/>
      <c r="AE581" s="105"/>
      <c r="AF581" s="279"/>
      <c r="AG581" s="105"/>
      <c r="AH581" s="108"/>
      <c r="AI581" s="108"/>
      <c r="AJ581" s="108"/>
      <c r="AK581" s="108"/>
      <c r="AL581" s="105"/>
      <c r="AM581" s="108"/>
      <c r="AN581" s="105"/>
      <c r="AO581" s="108"/>
      <c r="AP581" s="108"/>
      <c r="AQ581" s="105"/>
      <c r="AR581" s="108"/>
      <c r="AS581" s="108"/>
      <c r="AT581" s="105"/>
      <c r="AU581" s="105"/>
      <c r="AV581" s="105"/>
      <c r="AW581" s="105"/>
      <c r="AX581" s="105"/>
      <c r="AY581" s="105"/>
      <c r="AZ581" s="105"/>
      <c r="BA581" s="105"/>
      <c r="BB581" s="105"/>
      <c r="BC581" s="105"/>
      <c r="BD581" s="108"/>
      <c r="BE581" s="83">
        <f>IF($A581="","",IF(TRIM($D581&amp;"")="",IF(TRIM($AX581&amp;$AY581&amp;$AZ581&amp;$BA581&amp;$BB581&amp;$BC581&amp;$BD581&amp;"")="","","SUBARRENDADO"),IFERROR(IF(VLOOKUP($D581,VEHICULOS!$A$3:$H$202,7,FALSE)="","",VLOOKUP($D581,VEHICULOS!$A$3:$H$202,7,FALSE)),"")))</f>
      </c>
      <c r="BF581" s="82">
        <f>IF($A581="","",IF(TRIM($BC581&amp;"")&lt;&gt;"",$BC581,IF(TRIM($D581&amp;"")="","",IFERROR(IF(VLOOKUP($D581,VEHICULOS!$A$3:$H$202,8,FALSE)="","",VLOOKUP($D581,VEHICULOS!$A$3:$H$202,8,FALSE)),""))))</f>
      </c>
      <c r="BG581" s="106"/>
      <c r="BH581" s="107"/>
      <c r="BI581" s="86">
        <f t="shared" si="120"/>
      </c>
      <c r="BJ581" s="83">
        <f t="shared" si="121"/>
      </c>
      <c r="BK581" s="85">
        <f t="shared" si="122"/>
      </c>
      <c r="BL581" s="85">
        <f t="shared" si="123"/>
      </c>
      <c r="BM581" s="108"/>
      <c r="BN581" s="85">
        <f t="shared" si="124"/>
      </c>
      <c r="BO581" s="108"/>
      <c r="BP581" s="85">
        <f t="shared" si="125"/>
      </c>
      <c r="BQ581" s="85">
        <f t="shared" si="126"/>
      </c>
      <c r="BR581" s="108"/>
      <c r="BS581" s="104"/>
      <c r="BT581" s="87">
        <f t="shared" si="127"/>
      </c>
      <c r="BU581" s="85">
        <f t="shared" si="128"/>
      </c>
      <c r="BV581" s="85">
        <f t="shared" si="129"/>
      </c>
      <c r="BW581" s="87">
        <f t="shared" si="130"/>
      </c>
      <c r="BX581" s="104"/>
      <c r="BY581" s="106"/>
      <c r="BZ581" s="104"/>
      <c r="CA581" s="105"/>
      <c r="CB581" s="77">
        <f>IF($A581="",0,IF($B581='FICHA CLIENTE'!$C$4,1,0))</f>
      </c>
      <c r="CC581" s="77">
        <f t="shared" si="131"/>
      </c>
      <c r="CD581" s="77">
        <f>IF($A581="",0,IF($D581='FICHA VEHICULO'!$C$4,1,0))</f>
      </c>
      <c r="CE581" s="77">
        <f t="shared" si="132"/>
      </c>
      <c r="CF581" s="77">
        <f t="shared" si="133"/>
      </c>
      <c r="CG581" s="77">
        <f t="shared" si="134"/>
      </c>
    </row>
    <row r="582" spans="1:85" ht="19.5" customHeight="1" x14ac:dyDescent="0.2">
      <c r="A582" s="104"/>
      <c r="B582" s="104"/>
      <c r="C582" s="105"/>
      <c r="D582" s="104"/>
      <c r="E582" s="105"/>
      <c r="F582" s="106"/>
      <c r="G582" s="104"/>
      <c r="H582" s="106"/>
      <c r="I582" s="107"/>
      <c r="J582" s="108"/>
      <c r="K582" s="108"/>
      <c r="L582" s="108"/>
      <c r="M582" s="105"/>
      <c r="N582" s="105"/>
      <c r="O582" s="105"/>
      <c r="P582" s="108"/>
      <c r="Q582" s="105"/>
      <c r="R582" s="105"/>
      <c r="S582" s="105"/>
      <c r="T582" s="105"/>
      <c r="U582" s="108"/>
      <c r="V582" s="105"/>
      <c r="W582" s="105"/>
      <c r="X582" s="105"/>
      <c r="Y582" s="105"/>
      <c r="Z582" s="105"/>
      <c r="AA582" s="108"/>
      <c r="AB582" s="108"/>
      <c r="AC582" s="105"/>
      <c r="AD582" s="279"/>
      <c r="AE582" s="105"/>
      <c r="AF582" s="279"/>
      <c r="AG582" s="105"/>
      <c r="AH582" s="108"/>
      <c r="AI582" s="108"/>
      <c r="AJ582" s="108"/>
      <c r="AK582" s="108"/>
      <c r="AL582" s="105"/>
      <c r="AM582" s="108"/>
      <c r="AN582" s="105"/>
      <c r="AO582" s="108"/>
      <c r="AP582" s="108"/>
      <c r="AQ582" s="105"/>
      <c r="AR582" s="108"/>
      <c r="AS582" s="108"/>
      <c r="AT582" s="105"/>
      <c r="AU582" s="105"/>
      <c r="AV582" s="105"/>
      <c r="AW582" s="105"/>
      <c r="AX582" s="105"/>
      <c r="AY582" s="105"/>
      <c r="AZ582" s="105"/>
      <c r="BA582" s="105"/>
      <c r="BB582" s="105"/>
      <c r="BC582" s="105"/>
      <c r="BD582" s="108"/>
      <c r="BE582" s="83">
        <f>IF($A582="","",IF(TRIM($D582&amp;"")="",IF(TRIM($AX582&amp;$AY582&amp;$AZ582&amp;$BA582&amp;$BB582&amp;$BC582&amp;$BD582&amp;"")="","","SUBARRENDADO"),IFERROR(IF(VLOOKUP($D582,VEHICULOS!$A$3:$H$202,7,FALSE)="","",VLOOKUP($D582,VEHICULOS!$A$3:$H$202,7,FALSE)),"")))</f>
      </c>
      <c r="BF582" s="82">
        <f>IF($A582="","",IF(TRIM($BC582&amp;"")&lt;&gt;"",$BC582,IF(TRIM($D582&amp;"")="","",IFERROR(IF(VLOOKUP($D582,VEHICULOS!$A$3:$H$202,8,FALSE)="","",VLOOKUP($D582,VEHICULOS!$A$3:$H$202,8,FALSE)),""))))</f>
      </c>
      <c r="BG582" s="106"/>
      <c r="BH582" s="107"/>
      <c r="BI582" s="86">
        <f t="shared" ref="BI582:BI645" si="135">IF(OR($BH582="",$I582=""),"",$BH582-$I582)</f>
      </c>
      <c r="BJ582" s="83">
        <f t="shared" ref="BJ582:BJ645" si="136">IF(OR($BG582="",$H582=""),"",MAX(0,$BG582-$H582))</f>
      </c>
      <c r="BK582" s="85">
        <f t="shared" ref="BK582:BK645" si="137">IF($A582="","",N($BJ582)*N($J582))</f>
      </c>
      <c r="BL582" s="85">
        <f t="shared" ref="BL582:BL645" si="138">IF($A582="","",(N($AM582)+N($AS582))*(N($G582)+N($BJ582))+N($AP582))</f>
      </c>
      <c r="BM582" s="108"/>
      <c r="BN582" s="85">
        <f t="shared" ref="BN582:BN645" si="139">IF($A582="","",N($AO582))</f>
      </c>
      <c r="BO582" s="108"/>
      <c r="BP582" s="85">
        <f t="shared" ref="BP582:BP645" si="140">IF($A582="","",N($AR582))</f>
      </c>
      <c r="BQ582" s="85">
        <f t="shared" ref="BQ582:BQ645" si="141">IF($A582="","",N($K582)+N($BK582)+N($BL582)+N($BM582)+N($BN582)+N($BO582)+N($BP582))</f>
      </c>
      <c r="BR582" s="108"/>
      <c r="BS582" s="104"/>
      <c r="BT582" s="87">
        <f t="shared" ref="BT582:BT645" si="142">IF($A582="","",ROUND((N($BQ582)-N($BR582))*(1+N($BS582)/100),2))</f>
      </c>
      <c r="BU582" s="85">
        <f t="shared" ref="BU582:BU645" si="143">IF($A582="","",N($BD582))</f>
      </c>
      <c r="BV582" s="85">
        <f t="shared" ref="BV582:BV645" si="144">IF($A582="","",N($BU582)*(N($G582)+N($BJ582)))</f>
      </c>
      <c r="BW582" s="87">
        <f t="shared" ref="BW582:BW645" si="145">IF($A582="","",N($BT582)-N($BV582))</f>
      </c>
      <c r="BX582" s="104"/>
      <c r="BY582" s="106"/>
      <c r="BZ582" s="104"/>
      <c r="CA582" s="105"/>
      <c r="CB582" s="77">
        <f>IF($A582="",0,IF($B582='FICHA CLIENTE'!$C$4,1,0))</f>
      </c>
      <c r="CC582" s="77">
        <f t="shared" ref="CC582:CC645" si="146">$CC581+$CB582</f>
      </c>
      <c r="CD582" s="77">
        <f>IF($A582="",0,IF($D582='FICHA VEHICULO'!$C$4,1,0))</f>
      </c>
      <c r="CE582" s="77">
        <f t="shared" ref="CE582:CE645" si="147">$CE581+$CD582</f>
      </c>
      <c r="CF582" s="77">
        <f t="shared" ref="CF582:CF645" si="148">IF($A582="",0,IF($BG582="",1,0))</f>
      </c>
      <c r="CG582" s="77">
        <f t="shared" ref="CG582:CG645" si="149">$CG581+$CF582</f>
      </c>
    </row>
    <row r="583" spans="1:85" ht="19.5" customHeight="1" x14ac:dyDescent="0.2">
      <c r="A583" s="104"/>
      <c r="B583" s="104"/>
      <c r="C583" s="105"/>
      <c r="D583" s="104"/>
      <c r="E583" s="105"/>
      <c r="F583" s="106"/>
      <c r="G583" s="104"/>
      <c r="H583" s="106"/>
      <c r="I583" s="107"/>
      <c r="J583" s="108"/>
      <c r="K583" s="108"/>
      <c r="L583" s="108"/>
      <c r="M583" s="105"/>
      <c r="N583" s="105"/>
      <c r="O583" s="105"/>
      <c r="P583" s="108"/>
      <c r="Q583" s="105"/>
      <c r="R583" s="105"/>
      <c r="S583" s="105"/>
      <c r="T583" s="105"/>
      <c r="U583" s="108"/>
      <c r="V583" s="105"/>
      <c r="W583" s="105"/>
      <c r="X583" s="105"/>
      <c r="Y583" s="105"/>
      <c r="Z583" s="105"/>
      <c r="AA583" s="108"/>
      <c r="AB583" s="108"/>
      <c r="AC583" s="105"/>
      <c r="AD583" s="279"/>
      <c r="AE583" s="105"/>
      <c r="AF583" s="279"/>
      <c r="AG583" s="105"/>
      <c r="AH583" s="108"/>
      <c r="AI583" s="108"/>
      <c r="AJ583" s="108"/>
      <c r="AK583" s="108"/>
      <c r="AL583" s="105"/>
      <c r="AM583" s="108"/>
      <c r="AN583" s="105"/>
      <c r="AO583" s="108"/>
      <c r="AP583" s="108"/>
      <c r="AQ583" s="105"/>
      <c r="AR583" s="108"/>
      <c r="AS583" s="108"/>
      <c r="AT583" s="105"/>
      <c r="AU583" s="105"/>
      <c r="AV583" s="105"/>
      <c r="AW583" s="105"/>
      <c r="AX583" s="105"/>
      <c r="AY583" s="105"/>
      <c r="AZ583" s="105"/>
      <c r="BA583" s="105"/>
      <c r="BB583" s="105"/>
      <c r="BC583" s="105"/>
      <c r="BD583" s="108"/>
      <c r="BE583" s="83">
        <f>IF($A583="","",IF(TRIM($D583&amp;"")="",IF(TRIM($AX583&amp;$AY583&amp;$AZ583&amp;$BA583&amp;$BB583&amp;$BC583&amp;$BD583&amp;"")="","","SUBARRENDADO"),IFERROR(IF(VLOOKUP($D583,VEHICULOS!$A$3:$H$202,7,FALSE)="","",VLOOKUP($D583,VEHICULOS!$A$3:$H$202,7,FALSE)),"")))</f>
      </c>
      <c r="BF583" s="82">
        <f>IF($A583="","",IF(TRIM($BC583&amp;"")&lt;&gt;"",$BC583,IF(TRIM($D583&amp;"")="","",IFERROR(IF(VLOOKUP($D583,VEHICULOS!$A$3:$H$202,8,FALSE)="","",VLOOKUP($D583,VEHICULOS!$A$3:$H$202,8,FALSE)),""))))</f>
      </c>
      <c r="BG583" s="106"/>
      <c r="BH583" s="107"/>
      <c r="BI583" s="86">
        <f t="shared" si="135"/>
      </c>
      <c r="BJ583" s="83">
        <f t="shared" si="136"/>
      </c>
      <c r="BK583" s="85">
        <f t="shared" si="137"/>
      </c>
      <c r="BL583" s="85">
        <f t="shared" si="138"/>
      </c>
      <c r="BM583" s="108"/>
      <c r="BN583" s="85">
        <f t="shared" si="139"/>
      </c>
      <c r="BO583" s="108"/>
      <c r="BP583" s="85">
        <f t="shared" si="140"/>
      </c>
      <c r="BQ583" s="85">
        <f t="shared" si="141"/>
      </c>
      <c r="BR583" s="108"/>
      <c r="BS583" s="104"/>
      <c r="BT583" s="87">
        <f t="shared" si="142"/>
      </c>
      <c r="BU583" s="85">
        <f t="shared" si="143"/>
      </c>
      <c r="BV583" s="85">
        <f t="shared" si="144"/>
      </c>
      <c r="BW583" s="87">
        <f t="shared" si="145"/>
      </c>
      <c r="BX583" s="104"/>
      <c r="BY583" s="106"/>
      <c r="BZ583" s="104"/>
      <c r="CA583" s="105"/>
      <c r="CB583" s="77">
        <f>IF($A583="",0,IF($B583='FICHA CLIENTE'!$C$4,1,0))</f>
      </c>
      <c r="CC583" s="77">
        <f t="shared" si="146"/>
      </c>
      <c r="CD583" s="77">
        <f>IF($A583="",0,IF($D583='FICHA VEHICULO'!$C$4,1,0))</f>
      </c>
      <c r="CE583" s="77">
        <f t="shared" si="147"/>
      </c>
      <c r="CF583" s="77">
        <f t="shared" si="148"/>
      </c>
      <c r="CG583" s="77">
        <f t="shared" si="149"/>
      </c>
    </row>
    <row r="584" spans="1:85" ht="19.5" customHeight="1" x14ac:dyDescent="0.2">
      <c r="A584" s="104"/>
      <c r="B584" s="104"/>
      <c r="C584" s="105"/>
      <c r="D584" s="104"/>
      <c r="E584" s="105"/>
      <c r="F584" s="106"/>
      <c r="G584" s="104"/>
      <c r="H584" s="106"/>
      <c r="I584" s="107"/>
      <c r="J584" s="108"/>
      <c r="K584" s="108"/>
      <c r="L584" s="108"/>
      <c r="M584" s="105"/>
      <c r="N584" s="105"/>
      <c r="O584" s="105"/>
      <c r="P584" s="108"/>
      <c r="Q584" s="105"/>
      <c r="R584" s="105"/>
      <c r="S584" s="105"/>
      <c r="T584" s="105"/>
      <c r="U584" s="108"/>
      <c r="V584" s="105"/>
      <c r="W584" s="105"/>
      <c r="X584" s="105"/>
      <c r="Y584" s="105"/>
      <c r="Z584" s="105"/>
      <c r="AA584" s="108"/>
      <c r="AB584" s="108"/>
      <c r="AC584" s="105"/>
      <c r="AD584" s="279"/>
      <c r="AE584" s="105"/>
      <c r="AF584" s="279"/>
      <c r="AG584" s="105"/>
      <c r="AH584" s="108"/>
      <c r="AI584" s="108"/>
      <c r="AJ584" s="108"/>
      <c r="AK584" s="108"/>
      <c r="AL584" s="105"/>
      <c r="AM584" s="108"/>
      <c r="AN584" s="105"/>
      <c r="AO584" s="108"/>
      <c r="AP584" s="108"/>
      <c r="AQ584" s="105"/>
      <c r="AR584" s="108"/>
      <c r="AS584" s="108"/>
      <c r="AT584" s="105"/>
      <c r="AU584" s="105"/>
      <c r="AV584" s="105"/>
      <c r="AW584" s="105"/>
      <c r="AX584" s="105"/>
      <c r="AY584" s="105"/>
      <c r="AZ584" s="105"/>
      <c r="BA584" s="105"/>
      <c r="BB584" s="105"/>
      <c r="BC584" s="105"/>
      <c r="BD584" s="108"/>
      <c r="BE584" s="83">
        <f>IF($A584="","",IF(TRIM($D584&amp;"")="",IF(TRIM($AX584&amp;$AY584&amp;$AZ584&amp;$BA584&amp;$BB584&amp;$BC584&amp;$BD584&amp;"")="","","SUBARRENDADO"),IFERROR(IF(VLOOKUP($D584,VEHICULOS!$A$3:$H$202,7,FALSE)="","",VLOOKUP($D584,VEHICULOS!$A$3:$H$202,7,FALSE)),"")))</f>
      </c>
      <c r="BF584" s="82">
        <f>IF($A584="","",IF(TRIM($BC584&amp;"")&lt;&gt;"",$BC584,IF(TRIM($D584&amp;"")="","",IFERROR(IF(VLOOKUP($D584,VEHICULOS!$A$3:$H$202,8,FALSE)="","",VLOOKUP($D584,VEHICULOS!$A$3:$H$202,8,FALSE)),""))))</f>
      </c>
      <c r="BG584" s="106"/>
      <c r="BH584" s="107"/>
      <c r="BI584" s="86">
        <f t="shared" si="135"/>
      </c>
      <c r="BJ584" s="83">
        <f t="shared" si="136"/>
      </c>
      <c r="BK584" s="85">
        <f t="shared" si="137"/>
      </c>
      <c r="BL584" s="85">
        <f t="shared" si="138"/>
      </c>
      <c r="BM584" s="108"/>
      <c r="BN584" s="85">
        <f t="shared" si="139"/>
      </c>
      <c r="BO584" s="108"/>
      <c r="BP584" s="85">
        <f t="shared" si="140"/>
      </c>
      <c r="BQ584" s="85">
        <f t="shared" si="141"/>
      </c>
      <c r="BR584" s="108"/>
      <c r="BS584" s="104"/>
      <c r="BT584" s="87">
        <f t="shared" si="142"/>
      </c>
      <c r="BU584" s="85">
        <f t="shared" si="143"/>
      </c>
      <c r="BV584" s="85">
        <f t="shared" si="144"/>
      </c>
      <c r="BW584" s="87">
        <f t="shared" si="145"/>
      </c>
      <c r="BX584" s="104"/>
      <c r="BY584" s="106"/>
      <c r="BZ584" s="104"/>
      <c r="CA584" s="105"/>
      <c r="CB584" s="77">
        <f>IF($A584="",0,IF($B584='FICHA CLIENTE'!$C$4,1,0))</f>
      </c>
      <c r="CC584" s="77">
        <f t="shared" si="146"/>
      </c>
      <c r="CD584" s="77">
        <f>IF($A584="",0,IF($D584='FICHA VEHICULO'!$C$4,1,0))</f>
      </c>
      <c r="CE584" s="77">
        <f t="shared" si="147"/>
      </c>
      <c r="CF584" s="77">
        <f t="shared" si="148"/>
      </c>
      <c r="CG584" s="77">
        <f t="shared" si="149"/>
      </c>
    </row>
    <row r="585" spans="1:85" ht="19.5" customHeight="1" x14ac:dyDescent="0.2">
      <c r="A585" s="104"/>
      <c r="B585" s="104"/>
      <c r="C585" s="105"/>
      <c r="D585" s="104"/>
      <c r="E585" s="105"/>
      <c r="F585" s="106"/>
      <c r="G585" s="104"/>
      <c r="H585" s="106"/>
      <c r="I585" s="107"/>
      <c r="J585" s="108"/>
      <c r="K585" s="108"/>
      <c r="L585" s="108"/>
      <c r="M585" s="105"/>
      <c r="N585" s="105"/>
      <c r="O585" s="105"/>
      <c r="P585" s="108"/>
      <c r="Q585" s="105"/>
      <c r="R585" s="105"/>
      <c r="S585" s="105"/>
      <c r="T585" s="105"/>
      <c r="U585" s="108"/>
      <c r="V585" s="105"/>
      <c r="W585" s="105"/>
      <c r="X585" s="105"/>
      <c r="Y585" s="105"/>
      <c r="Z585" s="105"/>
      <c r="AA585" s="108"/>
      <c r="AB585" s="108"/>
      <c r="AC585" s="105"/>
      <c r="AD585" s="279"/>
      <c r="AE585" s="105"/>
      <c r="AF585" s="279"/>
      <c r="AG585" s="105"/>
      <c r="AH585" s="108"/>
      <c r="AI585" s="108"/>
      <c r="AJ585" s="108"/>
      <c r="AK585" s="108"/>
      <c r="AL585" s="105"/>
      <c r="AM585" s="108"/>
      <c r="AN585" s="105"/>
      <c r="AO585" s="108"/>
      <c r="AP585" s="108"/>
      <c r="AQ585" s="105"/>
      <c r="AR585" s="108"/>
      <c r="AS585" s="108"/>
      <c r="AT585" s="105"/>
      <c r="AU585" s="105"/>
      <c r="AV585" s="105"/>
      <c r="AW585" s="105"/>
      <c r="AX585" s="105"/>
      <c r="AY585" s="105"/>
      <c r="AZ585" s="105"/>
      <c r="BA585" s="105"/>
      <c r="BB585" s="105"/>
      <c r="BC585" s="105"/>
      <c r="BD585" s="108"/>
      <c r="BE585" s="83">
        <f>IF($A585="","",IF(TRIM($D585&amp;"")="",IF(TRIM($AX585&amp;$AY585&amp;$AZ585&amp;$BA585&amp;$BB585&amp;$BC585&amp;$BD585&amp;"")="","","SUBARRENDADO"),IFERROR(IF(VLOOKUP($D585,VEHICULOS!$A$3:$H$202,7,FALSE)="","",VLOOKUP($D585,VEHICULOS!$A$3:$H$202,7,FALSE)),"")))</f>
      </c>
      <c r="BF585" s="82">
        <f>IF($A585="","",IF(TRIM($BC585&amp;"")&lt;&gt;"",$BC585,IF(TRIM($D585&amp;"")="","",IFERROR(IF(VLOOKUP($D585,VEHICULOS!$A$3:$H$202,8,FALSE)="","",VLOOKUP($D585,VEHICULOS!$A$3:$H$202,8,FALSE)),""))))</f>
      </c>
      <c r="BG585" s="106"/>
      <c r="BH585" s="107"/>
      <c r="BI585" s="86">
        <f t="shared" si="135"/>
      </c>
      <c r="BJ585" s="83">
        <f t="shared" si="136"/>
      </c>
      <c r="BK585" s="85">
        <f t="shared" si="137"/>
      </c>
      <c r="BL585" s="85">
        <f t="shared" si="138"/>
      </c>
      <c r="BM585" s="108"/>
      <c r="BN585" s="85">
        <f t="shared" si="139"/>
      </c>
      <c r="BO585" s="108"/>
      <c r="BP585" s="85">
        <f t="shared" si="140"/>
      </c>
      <c r="BQ585" s="85">
        <f t="shared" si="141"/>
      </c>
      <c r="BR585" s="108"/>
      <c r="BS585" s="104"/>
      <c r="BT585" s="87">
        <f t="shared" si="142"/>
      </c>
      <c r="BU585" s="85">
        <f t="shared" si="143"/>
      </c>
      <c r="BV585" s="85">
        <f t="shared" si="144"/>
      </c>
      <c r="BW585" s="87">
        <f t="shared" si="145"/>
      </c>
      <c r="BX585" s="104"/>
      <c r="BY585" s="106"/>
      <c r="BZ585" s="104"/>
      <c r="CA585" s="105"/>
      <c r="CB585" s="77">
        <f>IF($A585="",0,IF($B585='FICHA CLIENTE'!$C$4,1,0))</f>
      </c>
      <c r="CC585" s="77">
        <f t="shared" si="146"/>
      </c>
      <c r="CD585" s="77">
        <f>IF($A585="",0,IF($D585='FICHA VEHICULO'!$C$4,1,0))</f>
      </c>
      <c r="CE585" s="77">
        <f t="shared" si="147"/>
      </c>
      <c r="CF585" s="77">
        <f t="shared" si="148"/>
      </c>
      <c r="CG585" s="77">
        <f t="shared" si="149"/>
      </c>
    </row>
    <row r="586" spans="1:85" ht="19.5" customHeight="1" x14ac:dyDescent="0.2">
      <c r="A586" s="104"/>
      <c r="B586" s="104"/>
      <c r="C586" s="105"/>
      <c r="D586" s="104"/>
      <c r="E586" s="105"/>
      <c r="F586" s="106"/>
      <c r="G586" s="104"/>
      <c r="H586" s="106"/>
      <c r="I586" s="107"/>
      <c r="J586" s="108"/>
      <c r="K586" s="108"/>
      <c r="L586" s="108"/>
      <c r="M586" s="105"/>
      <c r="N586" s="105"/>
      <c r="O586" s="105"/>
      <c r="P586" s="108"/>
      <c r="Q586" s="105"/>
      <c r="R586" s="105"/>
      <c r="S586" s="105"/>
      <c r="T586" s="105"/>
      <c r="U586" s="108"/>
      <c r="V586" s="105"/>
      <c r="W586" s="105"/>
      <c r="X586" s="105"/>
      <c r="Y586" s="105"/>
      <c r="Z586" s="105"/>
      <c r="AA586" s="108"/>
      <c r="AB586" s="108"/>
      <c r="AC586" s="105"/>
      <c r="AD586" s="279"/>
      <c r="AE586" s="105"/>
      <c r="AF586" s="279"/>
      <c r="AG586" s="105"/>
      <c r="AH586" s="108"/>
      <c r="AI586" s="108"/>
      <c r="AJ586" s="108"/>
      <c r="AK586" s="108"/>
      <c r="AL586" s="105"/>
      <c r="AM586" s="108"/>
      <c r="AN586" s="105"/>
      <c r="AO586" s="108"/>
      <c r="AP586" s="108"/>
      <c r="AQ586" s="105"/>
      <c r="AR586" s="108"/>
      <c r="AS586" s="108"/>
      <c r="AT586" s="105"/>
      <c r="AU586" s="105"/>
      <c r="AV586" s="105"/>
      <c r="AW586" s="105"/>
      <c r="AX586" s="105"/>
      <c r="AY586" s="105"/>
      <c r="AZ586" s="105"/>
      <c r="BA586" s="105"/>
      <c r="BB586" s="105"/>
      <c r="BC586" s="105"/>
      <c r="BD586" s="108"/>
      <c r="BE586" s="83">
        <f>IF($A586="","",IF(TRIM($D586&amp;"")="",IF(TRIM($AX586&amp;$AY586&amp;$AZ586&amp;$BA586&amp;$BB586&amp;$BC586&amp;$BD586&amp;"")="","","SUBARRENDADO"),IFERROR(IF(VLOOKUP($D586,VEHICULOS!$A$3:$H$202,7,FALSE)="","",VLOOKUP($D586,VEHICULOS!$A$3:$H$202,7,FALSE)),"")))</f>
      </c>
      <c r="BF586" s="82">
        <f>IF($A586="","",IF(TRIM($BC586&amp;"")&lt;&gt;"",$BC586,IF(TRIM($D586&amp;"")="","",IFERROR(IF(VLOOKUP($D586,VEHICULOS!$A$3:$H$202,8,FALSE)="","",VLOOKUP($D586,VEHICULOS!$A$3:$H$202,8,FALSE)),""))))</f>
      </c>
      <c r="BG586" s="106"/>
      <c r="BH586" s="107"/>
      <c r="BI586" s="86">
        <f t="shared" si="135"/>
      </c>
      <c r="BJ586" s="83">
        <f t="shared" si="136"/>
      </c>
      <c r="BK586" s="85">
        <f t="shared" si="137"/>
      </c>
      <c r="BL586" s="85">
        <f t="shared" si="138"/>
      </c>
      <c r="BM586" s="108"/>
      <c r="BN586" s="85">
        <f t="shared" si="139"/>
      </c>
      <c r="BO586" s="108"/>
      <c r="BP586" s="85">
        <f t="shared" si="140"/>
      </c>
      <c r="BQ586" s="85">
        <f t="shared" si="141"/>
      </c>
      <c r="BR586" s="108"/>
      <c r="BS586" s="104"/>
      <c r="BT586" s="87">
        <f t="shared" si="142"/>
      </c>
      <c r="BU586" s="85">
        <f t="shared" si="143"/>
      </c>
      <c r="BV586" s="85">
        <f t="shared" si="144"/>
      </c>
      <c r="BW586" s="87">
        <f t="shared" si="145"/>
      </c>
      <c r="BX586" s="104"/>
      <c r="BY586" s="106"/>
      <c r="BZ586" s="104"/>
      <c r="CA586" s="105"/>
      <c r="CB586" s="77">
        <f>IF($A586="",0,IF($B586='FICHA CLIENTE'!$C$4,1,0))</f>
      </c>
      <c r="CC586" s="77">
        <f t="shared" si="146"/>
      </c>
      <c r="CD586" s="77">
        <f>IF($A586="",0,IF($D586='FICHA VEHICULO'!$C$4,1,0))</f>
      </c>
      <c r="CE586" s="77">
        <f t="shared" si="147"/>
      </c>
      <c r="CF586" s="77">
        <f t="shared" si="148"/>
      </c>
      <c r="CG586" s="77">
        <f t="shared" si="149"/>
      </c>
    </row>
    <row r="587" spans="1:85" ht="19.5" customHeight="1" x14ac:dyDescent="0.2">
      <c r="A587" s="104"/>
      <c r="B587" s="104"/>
      <c r="C587" s="105"/>
      <c r="D587" s="104"/>
      <c r="E587" s="105"/>
      <c r="F587" s="106"/>
      <c r="G587" s="104"/>
      <c r="H587" s="106"/>
      <c r="I587" s="107"/>
      <c r="J587" s="108"/>
      <c r="K587" s="108"/>
      <c r="L587" s="108"/>
      <c r="M587" s="105"/>
      <c r="N587" s="105"/>
      <c r="O587" s="105"/>
      <c r="P587" s="108"/>
      <c r="Q587" s="105"/>
      <c r="R587" s="105"/>
      <c r="S587" s="105"/>
      <c r="T587" s="105"/>
      <c r="U587" s="108"/>
      <c r="V587" s="105"/>
      <c r="W587" s="105"/>
      <c r="X587" s="105"/>
      <c r="Y587" s="105"/>
      <c r="Z587" s="105"/>
      <c r="AA587" s="108"/>
      <c r="AB587" s="108"/>
      <c r="AC587" s="105"/>
      <c r="AD587" s="279"/>
      <c r="AE587" s="105"/>
      <c r="AF587" s="279"/>
      <c r="AG587" s="105"/>
      <c r="AH587" s="108"/>
      <c r="AI587" s="108"/>
      <c r="AJ587" s="108"/>
      <c r="AK587" s="108"/>
      <c r="AL587" s="105"/>
      <c r="AM587" s="108"/>
      <c r="AN587" s="105"/>
      <c r="AO587" s="108"/>
      <c r="AP587" s="108"/>
      <c r="AQ587" s="105"/>
      <c r="AR587" s="108"/>
      <c r="AS587" s="108"/>
      <c r="AT587" s="105"/>
      <c r="AU587" s="105"/>
      <c r="AV587" s="105"/>
      <c r="AW587" s="105"/>
      <c r="AX587" s="105"/>
      <c r="AY587" s="105"/>
      <c r="AZ587" s="105"/>
      <c r="BA587" s="105"/>
      <c r="BB587" s="105"/>
      <c r="BC587" s="105"/>
      <c r="BD587" s="108"/>
      <c r="BE587" s="83">
        <f>IF($A587="","",IF(TRIM($D587&amp;"")="",IF(TRIM($AX587&amp;$AY587&amp;$AZ587&amp;$BA587&amp;$BB587&amp;$BC587&amp;$BD587&amp;"")="","","SUBARRENDADO"),IFERROR(IF(VLOOKUP($D587,VEHICULOS!$A$3:$H$202,7,FALSE)="","",VLOOKUP($D587,VEHICULOS!$A$3:$H$202,7,FALSE)),"")))</f>
      </c>
      <c r="BF587" s="82">
        <f>IF($A587="","",IF(TRIM($BC587&amp;"")&lt;&gt;"",$BC587,IF(TRIM($D587&amp;"")="","",IFERROR(IF(VLOOKUP($D587,VEHICULOS!$A$3:$H$202,8,FALSE)="","",VLOOKUP($D587,VEHICULOS!$A$3:$H$202,8,FALSE)),""))))</f>
      </c>
      <c r="BG587" s="106"/>
      <c r="BH587" s="107"/>
      <c r="BI587" s="86">
        <f t="shared" si="135"/>
      </c>
      <c r="BJ587" s="83">
        <f t="shared" si="136"/>
      </c>
      <c r="BK587" s="85">
        <f t="shared" si="137"/>
      </c>
      <c r="BL587" s="85">
        <f t="shared" si="138"/>
      </c>
      <c r="BM587" s="108"/>
      <c r="BN587" s="85">
        <f t="shared" si="139"/>
      </c>
      <c r="BO587" s="108"/>
      <c r="BP587" s="85">
        <f t="shared" si="140"/>
      </c>
      <c r="BQ587" s="85">
        <f t="shared" si="141"/>
      </c>
      <c r="BR587" s="108"/>
      <c r="BS587" s="104"/>
      <c r="BT587" s="87">
        <f t="shared" si="142"/>
      </c>
      <c r="BU587" s="85">
        <f t="shared" si="143"/>
      </c>
      <c r="BV587" s="85">
        <f t="shared" si="144"/>
      </c>
      <c r="BW587" s="87">
        <f t="shared" si="145"/>
      </c>
      <c r="BX587" s="104"/>
      <c r="BY587" s="106"/>
      <c r="BZ587" s="104"/>
      <c r="CA587" s="105"/>
      <c r="CB587" s="77">
        <f>IF($A587="",0,IF($B587='FICHA CLIENTE'!$C$4,1,0))</f>
      </c>
      <c r="CC587" s="77">
        <f t="shared" si="146"/>
      </c>
      <c r="CD587" s="77">
        <f>IF($A587="",0,IF($D587='FICHA VEHICULO'!$C$4,1,0))</f>
      </c>
      <c r="CE587" s="77">
        <f t="shared" si="147"/>
      </c>
      <c r="CF587" s="77">
        <f t="shared" si="148"/>
      </c>
      <c r="CG587" s="77">
        <f t="shared" si="149"/>
      </c>
    </row>
    <row r="588" spans="1:85" ht="19.5" customHeight="1" x14ac:dyDescent="0.2">
      <c r="A588" s="104"/>
      <c r="B588" s="104"/>
      <c r="C588" s="105"/>
      <c r="D588" s="104"/>
      <c r="E588" s="105"/>
      <c r="F588" s="106"/>
      <c r="G588" s="104"/>
      <c r="H588" s="106"/>
      <c r="I588" s="107"/>
      <c r="J588" s="108"/>
      <c r="K588" s="108"/>
      <c r="L588" s="108"/>
      <c r="M588" s="105"/>
      <c r="N588" s="105"/>
      <c r="O588" s="105"/>
      <c r="P588" s="108"/>
      <c r="Q588" s="105"/>
      <c r="R588" s="105"/>
      <c r="S588" s="105"/>
      <c r="T588" s="105"/>
      <c r="U588" s="108"/>
      <c r="V588" s="105"/>
      <c r="W588" s="105"/>
      <c r="X588" s="105"/>
      <c r="Y588" s="105"/>
      <c r="Z588" s="105"/>
      <c r="AA588" s="108"/>
      <c r="AB588" s="108"/>
      <c r="AC588" s="105"/>
      <c r="AD588" s="279"/>
      <c r="AE588" s="105"/>
      <c r="AF588" s="279"/>
      <c r="AG588" s="105"/>
      <c r="AH588" s="108"/>
      <c r="AI588" s="108"/>
      <c r="AJ588" s="108"/>
      <c r="AK588" s="108"/>
      <c r="AL588" s="105"/>
      <c r="AM588" s="108"/>
      <c r="AN588" s="105"/>
      <c r="AO588" s="108"/>
      <c r="AP588" s="108"/>
      <c r="AQ588" s="105"/>
      <c r="AR588" s="108"/>
      <c r="AS588" s="108"/>
      <c r="AT588" s="105"/>
      <c r="AU588" s="105"/>
      <c r="AV588" s="105"/>
      <c r="AW588" s="105"/>
      <c r="AX588" s="105"/>
      <c r="AY588" s="105"/>
      <c r="AZ588" s="105"/>
      <c r="BA588" s="105"/>
      <c r="BB588" s="105"/>
      <c r="BC588" s="105"/>
      <c r="BD588" s="108"/>
      <c r="BE588" s="83">
        <f>IF($A588="","",IF(TRIM($D588&amp;"")="",IF(TRIM($AX588&amp;$AY588&amp;$AZ588&amp;$BA588&amp;$BB588&amp;$BC588&amp;$BD588&amp;"")="","","SUBARRENDADO"),IFERROR(IF(VLOOKUP($D588,VEHICULOS!$A$3:$H$202,7,FALSE)="","",VLOOKUP($D588,VEHICULOS!$A$3:$H$202,7,FALSE)),"")))</f>
      </c>
      <c r="BF588" s="82">
        <f>IF($A588="","",IF(TRIM($BC588&amp;"")&lt;&gt;"",$BC588,IF(TRIM($D588&amp;"")="","",IFERROR(IF(VLOOKUP($D588,VEHICULOS!$A$3:$H$202,8,FALSE)="","",VLOOKUP($D588,VEHICULOS!$A$3:$H$202,8,FALSE)),""))))</f>
      </c>
      <c r="BG588" s="106"/>
      <c r="BH588" s="107"/>
      <c r="BI588" s="86">
        <f t="shared" si="135"/>
      </c>
      <c r="BJ588" s="83">
        <f t="shared" si="136"/>
      </c>
      <c r="BK588" s="85">
        <f t="shared" si="137"/>
      </c>
      <c r="BL588" s="85">
        <f t="shared" si="138"/>
      </c>
      <c r="BM588" s="108"/>
      <c r="BN588" s="85">
        <f t="shared" si="139"/>
      </c>
      <c r="BO588" s="108"/>
      <c r="BP588" s="85">
        <f t="shared" si="140"/>
      </c>
      <c r="BQ588" s="85">
        <f t="shared" si="141"/>
      </c>
      <c r="BR588" s="108"/>
      <c r="BS588" s="104"/>
      <c r="BT588" s="87">
        <f t="shared" si="142"/>
      </c>
      <c r="BU588" s="85">
        <f t="shared" si="143"/>
      </c>
      <c r="BV588" s="85">
        <f t="shared" si="144"/>
      </c>
      <c r="BW588" s="87">
        <f t="shared" si="145"/>
      </c>
      <c r="BX588" s="104"/>
      <c r="BY588" s="106"/>
      <c r="BZ588" s="104"/>
      <c r="CA588" s="105"/>
      <c r="CB588" s="77">
        <f>IF($A588="",0,IF($B588='FICHA CLIENTE'!$C$4,1,0))</f>
      </c>
      <c r="CC588" s="77">
        <f t="shared" si="146"/>
      </c>
      <c r="CD588" s="77">
        <f>IF($A588="",0,IF($D588='FICHA VEHICULO'!$C$4,1,0))</f>
      </c>
      <c r="CE588" s="77">
        <f t="shared" si="147"/>
      </c>
      <c r="CF588" s="77">
        <f t="shared" si="148"/>
      </c>
      <c r="CG588" s="77">
        <f t="shared" si="149"/>
      </c>
    </row>
    <row r="589" spans="1:85" ht="19.5" customHeight="1" x14ac:dyDescent="0.2">
      <c r="A589" s="104"/>
      <c r="B589" s="104"/>
      <c r="C589" s="105"/>
      <c r="D589" s="104"/>
      <c r="E589" s="105"/>
      <c r="F589" s="106"/>
      <c r="G589" s="104"/>
      <c r="H589" s="106"/>
      <c r="I589" s="107"/>
      <c r="J589" s="108"/>
      <c r="K589" s="108"/>
      <c r="L589" s="108"/>
      <c r="M589" s="105"/>
      <c r="N589" s="105"/>
      <c r="O589" s="105"/>
      <c r="P589" s="108"/>
      <c r="Q589" s="105"/>
      <c r="R589" s="105"/>
      <c r="S589" s="105"/>
      <c r="T589" s="105"/>
      <c r="U589" s="108"/>
      <c r="V589" s="105"/>
      <c r="W589" s="105"/>
      <c r="X589" s="105"/>
      <c r="Y589" s="105"/>
      <c r="Z589" s="105"/>
      <c r="AA589" s="108"/>
      <c r="AB589" s="108"/>
      <c r="AC589" s="105"/>
      <c r="AD589" s="279"/>
      <c r="AE589" s="105"/>
      <c r="AF589" s="279"/>
      <c r="AG589" s="105"/>
      <c r="AH589" s="108"/>
      <c r="AI589" s="108"/>
      <c r="AJ589" s="108"/>
      <c r="AK589" s="108"/>
      <c r="AL589" s="105"/>
      <c r="AM589" s="108"/>
      <c r="AN589" s="105"/>
      <c r="AO589" s="108"/>
      <c r="AP589" s="108"/>
      <c r="AQ589" s="105"/>
      <c r="AR589" s="108"/>
      <c r="AS589" s="108"/>
      <c r="AT589" s="105"/>
      <c r="AU589" s="105"/>
      <c r="AV589" s="105"/>
      <c r="AW589" s="105"/>
      <c r="AX589" s="105"/>
      <c r="AY589" s="105"/>
      <c r="AZ589" s="105"/>
      <c r="BA589" s="105"/>
      <c r="BB589" s="105"/>
      <c r="BC589" s="105"/>
      <c r="BD589" s="108"/>
      <c r="BE589" s="83">
        <f>IF($A589="","",IF(TRIM($D589&amp;"")="",IF(TRIM($AX589&amp;$AY589&amp;$AZ589&amp;$BA589&amp;$BB589&amp;$BC589&amp;$BD589&amp;"")="","","SUBARRENDADO"),IFERROR(IF(VLOOKUP($D589,VEHICULOS!$A$3:$H$202,7,FALSE)="","",VLOOKUP($D589,VEHICULOS!$A$3:$H$202,7,FALSE)),"")))</f>
      </c>
      <c r="BF589" s="82">
        <f>IF($A589="","",IF(TRIM($BC589&amp;"")&lt;&gt;"",$BC589,IF(TRIM($D589&amp;"")="","",IFERROR(IF(VLOOKUP($D589,VEHICULOS!$A$3:$H$202,8,FALSE)="","",VLOOKUP($D589,VEHICULOS!$A$3:$H$202,8,FALSE)),""))))</f>
      </c>
      <c r="BG589" s="106"/>
      <c r="BH589" s="107"/>
      <c r="BI589" s="86">
        <f t="shared" si="135"/>
      </c>
      <c r="BJ589" s="83">
        <f t="shared" si="136"/>
      </c>
      <c r="BK589" s="85">
        <f t="shared" si="137"/>
      </c>
      <c r="BL589" s="85">
        <f t="shared" si="138"/>
      </c>
      <c r="BM589" s="108"/>
      <c r="BN589" s="85">
        <f t="shared" si="139"/>
      </c>
      <c r="BO589" s="108"/>
      <c r="BP589" s="85">
        <f t="shared" si="140"/>
      </c>
      <c r="BQ589" s="85">
        <f t="shared" si="141"/>
      </c>
      <c r="BR589" s="108"/>
      <c r="BS589" s="104"/>
      <c r="BT589" s="87">
        <f t="shared" si="142"/>
      </c>
      <c r="BU589" s="85">
        <f t="shared" si="143"/>
      </c>
      <c r="BV589" s="85">
        <f t="shared" si="144"/>
      </c>
      <c r="BW589" s="87">
        <f t="shared" si="145"/>
      </c>
      <c r="BX589" s="104"/>
      <c r="BY589" s="106"/>
      <c r="BZ589" s="104"/>
      <c r="CA589" s="105"/>
      <c r="CB589" s="77">
        <f>IF($A589="",0,IF($B589='FICHA CLIENTE'!$C$4,1,0))</f>
      </c>
      <c r="CC589" s="77">
        <f t="shared" si="146"/>
      </c>
      <c r="CD589" s="77">
        <f>IF($A589="",0,IF($D589='FICHA VEHICULO'!$C$4,1,0))</f>
      </c>
      <c r="CE589" s="77">
        <f t="shared" si="147"/>
      </c>
      <c r="CF589" s="77">
        <f t="shared" si="148"/>
      </c>
      <c r="CG589" s="77">
        <f t="shared" si="149"/>
      </c>
    </row>
    <row r="590" spans="1:85" ht="19.5" customHeight="1" x14ac:dyDescent="0.2">
      <c r="A590" s="104"/>
      <c r="B590" s="104"/>
      <c r="C590" s="105"/>
      <c r="D590" s="104"/>
      <c r="E590" s="105"/>
      <c r="F590" s="106"/>
      <c r="G590" s="104"/>
      <c r="H590" s="106"/>
      <c r="I590" s="107"/>
      <c r="J590" s="108"/>
      <c r="K590" s="108"/>
      <c r="L590" s="108"/>
      <c r="M590" s="105"/>
      <c r="N590" s="105"/>
      <c r="O590" s="105"/>
      <c r="P590" s="108"/>
      <c r="Q590" s="105"/>
      <c r="R590" s="105"/>
      <c r="S590" s="105"/>
      <c r="T590" s="105"/>
      <c r="U590" s="108"/>
      <c r="V590" s="105"/>
      <c r="W590" s="105"/>
      <c r="X590" s="105"/>
      <c r="Y590" s="105"/>
      <c r="Z590" s="105"/>
      <c r="AA590" s="108"/>
      <c r="AB590" s="108"/>
      <c r="AC590" s="105"/>
      <c r="AD590" s="279"/>
      <c r="AE590" s="105"/>
      <c r="AF590" s="279"/>
      <c r="AG590" s="105"/>
      <c r="AH590" s="108"/>
      <c r="AI590" s="108"/>
      <c r="AJ590" s="108"/>
      <c r="AK590" s="108"/>
      <c r="AL590" s="105"/>
      <c r="AM590" s="108"/>
      <c r="AN590" s="105"/>
      <c r="AO590" s="108"/>
      <c r="AP590" s="108"/>
      <c r="AQ590" s="105"/>
      <c r="AR590" s="108"/>
      <c r="AS590" s="108"/>
      <c r="AT590" s="105"/>
      <c r="AU590" s="105"/>
      <c r="AV590" s="105"/>
      <c r="AW590" s="105"/>
      <c r="AX590" s="105"/>
      <c r="AY590" s="105"/>
      <c r="AZ590" s="105"/>
      <c r="BA590" s="105"/>
      <c r="BB590" s="105"/>
      <c r="BC590" s="105"/>
      <c r="BD590" s="108"/>
      <c r="BE590" s="83">
        <f>IF($A590="","",IF(TRIM($D590&amp;"")="",IF(TRIM($AX590&amp;$AY590&amp;$AZ590&amp;$BA590&amp;$BB590&amp;$BC590&amp;$BD590&amp;"")="","","SUBARRENDADO"),IFERROR(IF(VLOOKUP($D590,VEHICULOS!$A$3:$H$202,7,FALSE)="","",VLOOKUP($D590,VEHICULOS!$A$3:$H$202,7,FALSE)),"")))</f>
      </c>
      <c r="BF590" s="82">
        <f>IF($A590="","",IF(TRIM($BC590&amp;"")&lt;&gt;"",$BC590,IF(TRIM($D590&amp;"")="","",IFERROR(IF(VLOOKUP($D590,VEHICULOS!$A$3:$H$202,8,FALSE)="","",VLOOKUP($D590,VEHICULOS!$A$3:$H$202,8,FALSE)),""))))</f>
      </c>
      <c r="BG590" s="106"/>
      <c r="BH590" s="107"/>
      <c r="BI590" s="86">
        <f t="shared" si="135"/>
      </c>
      <c r="BJ590" s="83">
        <f t="shared" si="136"/>
      </c>
      <c r="BK590" s="85">
        <f t="shared" si="137"/>
      </c>
      <c r="BL590" s="85">
        <f t="shared" si="138"/>
      </c>
      <c r="BM590" s="108"/>
      <c r="BN590" s="85">
        <f t="shared" si="139"/>
      </c>
      <c r="BO590" s="108"/>
      <c r="BP590" s="85">
        <f t="shared" si="140"/>
      </c>
      <c r="BQ590" s="85">
        <f t="shared" si="141"/>
      </c>
      <c r="BR590" s="108"/>
      <c r="BS590" s="104"/>
      <c r="BT590" s="87">
        <f t="shared" si="142"/>
      </c>
      <c r="BU590" s="85">
        <f t="shared" si="143"/>
      </c>
      <c r="BV590" s="85">
        <f t="shared" si="144"/>
      </c>
      <c r="BW590" s="87">
        <f t="shared" si="145"/>
      </c>
      <c r="BX590" s="104"/>
      <c r="BY590" s="106"/>
      <c r="BZ590" s="104"/>
      <c r="CA590" s="105"/>
      <c r="CB590" s="77">
        <f>IF($A590="",0,IF($B590='FICHA CLIENTE'!$C$4,1,0))</f>
      </c>
      <c r="CC590" s="77">
        <f t="shared" si="146"/>
      </c>
      <c r="CD590" s="77">
        <f>IF($A590="",0,IF($D590='FICHA VEHICULO'!$C$4,1,0))</f>
      </c>
      <c r="CE590" s="77">
        <f t="shared" si="147"/>
      </c>
      <c r="CF590" s="77">
        <f t="shared" si="148"/>
      </c>
      <c r="CG590" s="77">
        <f t="shared" si="149"/>
      </c>
    </row>
    <row r="591" spans="1:85" ht="19.5" customHeight="1" x14ac:dyDescent="0.2">
      <c r="A591" s="104"/>
      <c r="B591" s="104"/>
      <c r="C591" s="105"/>
      <c r="D591" s="104"/>
      <c r="E591" s="105"/>
      <c r="F591" s="106"/>
      <c r="G591" s="104"/>
      <c r="H591" s="106"/>
      <c r="I591" s="107"/>
      <c r="J591" s="108"/>
      <c r="K591" s="108"/>
      <c r="L591" s="108"/>
      <c r="M591" s="105"/>
      <c r="N591" s="105"/>
      <c r="O591" s="105"/>
      <c r="P591" s="108"/>
      <c r="Q591" s="105"/>
      <c r="R591" s="105"/>
      <c r="S591" s="105"/>
      <c r="T591" s="105"/>
      <c r="U591" s="108"/>
      <c r="V591" s="105"/>
      <c r="W591" s="105"/>
      <c r="X591" s="105"/>
      <c r="Y591" s="105"/>
      <c r="Z591" s="105"/>
      <c r="AA591" s="108"/>
      <c r="AB591" s="108"/>
      <c r="AC591" s="105"/>
      <c r="AD591" s="279"/>
      <c r="AE591" s="105"/>
      <c r="AF591" s="279"/>
      <c r="AG591" s="105"/>
      <c r="AH591" s="108"/>
      <c r="AI591" s="108"/>
      <c r="AJ591" s="108"/>
      <c r="AK591" s="108"/>
      <c r="AL591" s="105"/>
      <c r="AM591" s="108"/>
      <c r="AN591" s="105"/>
      <c r="AO591" s="108"/>
      <c r="AP591" s="108"/>
      <c r="AQ591" s="105"/>
      <c r="AR591" s="108"/>
      <c r="AS591" s="108"/>
      <c r="AT591" s="105"/>
      <c r="AU591" s="105"/>
      <c r="AV591" s="105"/>
      <c r="AW591" s="105"/>
      <c r="AX591" s="105"/>
      <c r="AY591" s="105"/>
      <c r="AZ591" s="105"/>
      <c r="BA591" s="105"/>
      <c r="BB591" s="105"/>
      <c r="BC591" s="105"/>
      <c r="BD591" s="108"/>
      <c r="BE591" s="83">
        <f>IF($A591="","",IF(TRIM($D591&amp;"")="",IF(TRIM($AX591&amp;$AY591&amp;$AZ591&amp;$BA591&amp;$BB591&amp;$BC591&amp;$BD591&amp;"")="","","SUBARRENDADO"),IFERROR(IF(VLOOKUP($D591,VEHICULOS!$A$3:$H$202,7,FALSE)="","",VLOOKUP($D591,VEHICULOS!$A$3:$H$202,7,FALSE)),"")))</f>
      </c>
      <c r="BF591" s="82">
        <f>IF($A591="","",IF(TRIM($BC591&amp;"")&lt;&gt;"",$BC591,IF(TRIM($D591&amp;"")="","",IFERROR(IF(VLOOKUP($D591,VEHICULOS!$A$3:$H$202,8,FALSE)="","",VLOOKUP($D591,VEHICULOS!$A$3:$H$202,8,FALSE)),""))))</f>
      </c>
      <c r="BG591" s="106"/>
      <c r="BH591" s="107"/>
      <c r="BI591" s="86">
        <f t="shared" si="135"/>
      </c>
      <c r="BJ591" s="83">
        <f t="shared" si="136"/>
      </c>
      <c r="BK591" s="85">
        <f t="shared" si="137"/>
      </c>
      <c r="BL591" s="85">
        <f t="shared" si="138"/>
      </c>
      <c r="BM591" s="108"/>
      <c r="BN591" s="85">
        <f t="shared" si="139"/>
      </c>
      <c r="BO591" s="108"/>
      <c r="BP591" s="85">
        <f t="shared" si="140"/>
      </c>
      <c r="BQ591" s="85">
        <f t="shared" si="141"/>
      </c>
      <c r="BR591" s="108"/>
      <c r="BS591" s="104"/>
      <c r="BT591" s="87">
        <f t="shared" si="142"/>
      </c>
      <c r="BU591" s="85">
        <f t="shared" si="143"/>
      </c>
      <c r="BV591" s="85">
        <f t="shared" si="144"/>
      </c>
      <c r="BW591" s="87">
        <f t="shared" si="145"/>
      </c>
      <c r="BX591" s="104"/>
      <c r="BY591" s="106"/>
      <c r="BZ591" s="104"/>
      <c r="CA591" s="105"/>
      <c r="CB591" s="77">
        <f>IF($A591="",0,IF($B591='FICHA CLIENTE'!$C$4,1,0))</f>
      </c>
      <c r="CC591" s="77">
        <f t="shared" si="146"/>
      </c>
      <c r="CD591" s="77">
        <f>IF($A591="",0,IF($D591='FICHA VEHICULO'!$C$4,1,0))</f>
      </c>
      <c r="CE591" s="77">
        <f t="shared" si="147"/>
      </c>
      <c r="CF591" s="77">
        <f t="shared" si="148"/>
      </c>
      <c r="CG591" s="77">
        <f t="shared" si="149"/>
      </c>
    </row>
    <row r="592" spans="1:85" ht="19.5" customHeight="1" x14ac:dyDescent="0.2">
      <c r="A592" s="104"/>
      <c r="B592" s="104"/>
      <c r="C592" s="105"/>
      <c r="D592" s="104"/>
      <c r="E592" s="105"/>
      <c r="F592" s="106"/>
      <c r="G592" s="104"/>
      <c r="H592" s="106"/>
      <c r="I592" s="107"/>
      <c r="J592" s="108"/>
      <c r="K592" s="108"/>
      <c r="L592" s="108"/>
      <c r="M592" s="105"/>
      <c r="N592" s="105"/>
      <c r="O592" s="105"/>
      <c r="P592" s="108"/>
      <c r="Q592" s="105"/>
      <c r="R592" s="105"/>
      <c r="S592" s="105"/>
      <c r="T592" s="105"/>
      <c r="U592" s="108"/>
      <c r="V592" s="105"/>
      <c r="W592" s="105"/>
      <c r="X592" s="105"/>
      <c r="Y592" s="105"/>
      <c r="Z592" s="105"/>
      <c r="AA592" s="108"/>
      <c r="AB592" s="108"/>
      <c r="AC592" s="105"/>
      <c r="AD592" s="279"/>
      <c r="AE592" s="105"/>
      <c r="AF592" s="279"/>
      <c r="AG592" s="105"/>
      <c r="AH592" s="108"/>
      <c r="AI592" s="108"/>
      <c r="AJ592" s="108"/>
      <c r="AK592" s="108"/>
      <c r="AL592" s="105"/>
      <c r="AM592" s="108"/>
      <c r="AN592" s="105"/>
      <c r="AO592" s="108"/>
      <c r="AP592" s="108"/>
      <c r="AQ592" s="105"/>
      <c r="AR592" s="108"/>
      <c r="AS592" s="108"/>
      <c r="AT592" s="105"/>
      <c r="AU592" s="105"/>
      <c r="AV592" s="105"/>
      <c r="AW592" s="105"/>
      <c r="AX592" s="105"/>
      <c r="AY592" s="105"/>
      <c r="AZ592" s="105"/>
      <c r="BA592" s="105"/>
      <c r="BB592" s="105"/>
      <c r="BC592" s="105"/>
      <c r="BD592" s="108"/>
      <c r="BE592" s="83">
        <f>IF($A592="","",IF(TRIM($D592&amp;"")="",IF(TRIM($AX592&amp;$AY592&amp;$AZ592&amp;$BA592&amp;$BB592&amp;$BC592&amp;$BD592&amp;"")="","","SUBARRENDADO"),IFERROR(IF(VLOOKUP($D592,VEHICULOS!$A$3:$H$202,7,FALSE)="","",VLOOKUP($D592,VEHICULOS!$A$3:$H$202,7,FALSE)),"")))</f>
      </c>
      <c r="BF592" s="82">
        <f>IF($A592="","",IF(TRIM($BC592&amp;"")&lt;&gt;"",$BC592,IF(TRIM($D592&amp;"")="","",IFERROR(IF(VLOOKUP($D592,VEHICULOS!$A$3:$H$202,8,FALSE)="","",VLOOKUP($D592,VEHICULOS!$A$3:$H$202,8,FALSE)),""))))</f>
      </c>
      <c r="BG592" s="106"/>
      <c r="BH592" s="107"/>
      <c r="BI592" s="86">
        <f t="shared" si="135"/>
      </c>
      <c r="BJ592" s="83">
        <f t="shared" si="136"/>
      </c>
      <c r="BK592" s="85">
        <f t="shared" si="137"/>
      </c>
      <c r="BL592" s="85">
        <f t="shared" si="138"/>
      </c>
      <c r="BM592" s="108"/>
      <c r="BN592" s="85">
        <f t="shared" si="139"/>
      </c>
      <c r="BO592" s="108"/>
      <c r="BP592" s="85">
        <f t="shared" si="140"/>
      </c>
      <c r="BQ592" s="85">
        <f t="shared" si="141"/>
      </c>
      <c r="BR592" s="108"/>
      <c r="BS592" s="104"/>
      <c r="BT592" s="87">
        <f t="shared" si="142"/>
      </c>
      <c r="BU592" s="85">
        <f t="shared" si="143"/>
      </c>
      <c r="BV592" s="85">
        <f t="shared" si="144"/>
      </c>
      <c r="BW592" s="87">
        <f t="shared" si="145"/>
      </c>
      <c r="BX592" s="104"/>
      <c r="BY592" s="106"/>
      <c r="BZ592" s="104"/>
      <c r="CA592" s="105"/>
      <c r="CB592" s="77">
        <f>IF($A592="",0,IF($B592='FICHA CLIENTE'!$C$4,1,0))</f>
      </c>
      <c r="CC592" s="77">
        <f t="shared" si="146"/>
      </c>
      <c r="CD592" s="77">
        <f>IF($A592="",0,IF($D592='FICHA VEHICULO'!$C$4,1,0))</f>
      </c>
      <c r="CE592" s="77">
        <f t="shared" si="147"/>
      </c>
      <c r="CF592" s="77">
        <f t="shared" si="148"/>
      </c>
      <c r="CG592" s="77">
        <f t="shared" si="149"/>
      </c>
    </row>
    <row r="593" spans="1:85" ht="19.5" customHeight="1" x14ac:dyDescent="0.2">
      <c r="A593" s="104"/>
      <c r="B593" s="104"/>
      <c r="C593" s="105"/>
      <c r="D593" s="104"/>
      <c r="E593" s="105"/>
      <c r="F593" s="106"/>
      <c r="G593" s="104"/>
      <c r="H593" s="106"/>
      <c r="I593" s="107"/>
      <c r="J593" s="108"/>
      <c r="K593" s="108"/>
      <c r="L593" s="108"/>
      <c r="M593" s="105"/>
      <c r="N593" s="105"/>
      <c r="O593" s="105"/>
      <c r="P593" s="108"/>
      <c r="Q593" s="105"/>
      <c r="R593" s="105"/>
      <c r="S593" s="105"/>
      <c r="T593" s="105"/>
      <c r="U593" s="108"/>
      <c r="V593" s="105"/>
      <c r="W593" s="105"/>
      <c r="X593" s="105"/>
      <c r="Y593" s="105"/>
      <c r="Z593" s="105"/>
      <c r="AA593" s="108"/>
      <c r="AB593" s="108"/>
      <c r="AC593" s="105"/>
      <c r="AD593" s="279"/>
      <c r="AE593" s="105"/>
      <c r="AF593" s="279"/>
      <c r="AG593" s="105"/>
      <c r="AH593" s="108"/>
      <c r="AI593" s="108"/>
      <c r="AJ593" s="108"/>
      <c r="AK593" s="108"/>
      <c r="AL593" s="105"/>
      <c r="AM593" s="108"/>
      <c r="AN593" s="105"/>
      <c r="AO593" s="108"/>
      <c r="AP593" s="108"/>
      <c r="AQ593" s="105"/>
      <c r="AR593" s="108"/>
      <c r="AS593" s="108"/>
      <c r="AT593" s="105"/>
      <c r="AU593" s="105"/>
      <c r="AV593" s="105"/>
      <c r="AW593" s="105"/>
      <c r="AX593" s="105"/>
      <c r="AY593" s="105"/>
      <c r="AZ593" s="105"/>
      <c r="BA593" s="105"/>
      <c r="BB593" s="105"/>
      <c r="BC593" s="105"/>
      <c r="BD593" s="108"/>
      <c r="BE593" s="83">
        <f>IF($A593="","",IF(TRIM($D593&amp;"")="",IF(TRIM($AX593&amp;$AY593&amp;$AZ593&amp;$BA593&amp;$BB593&amp;$BC593&amp;$BD593&amp;"")="","","SUBARRENDADO"),IFERROR(IF(VLOOKUP($D593,VEHICULOS!$A$3:$H$202,7,FALSE)="","",VLOOKUP($D593,VEHICULOS!$A$3:$H$202,7,FALSE)),"")))</f>
      </c>
      <c r="BF593" s="82">
        <f>IF($A593="","",IF(TRIM($BC593&amp;"")&lt;&gt;"",$BC593,IF(TRIM($D593&amp;"")="","",IFERROR(IF(VLOOKUP($D593,VEHICULOS!$A$3:$H$202,8,FALSE)="","",VLOOKUP($D593,VEHICULOS!$A$3:$H$202,8,FALSE)),""))))</f>
      </c>
      <c r="BG593" s="106"/>
      <c r="BH593" s="107"/>
      <c r="BI593" s="86">
        <f t="shared" si="135"/>
      </c>
      <c r="BJ593" s="83">
        <f t="shared" si="136"/>
      </c>
      <c r="BK593" s="85">
        <f t="shared" si="137"/>
      </c>
      <c r="BL593" s="85">
        <f t="shared" si="138"/>
      </c>
      <c r="BM593" s="108"/>
      <c r="BN593" s="85">
        <f t="shared" si="139"/>
      </c>
      <c r="BO593" s="108"/>
      <c r="BP593" s="85">
        <f t="shared" si="140"/>
      </c>
      <c r="BQ593" s="85">
        <f t="shared" si="141"/>
      </c>
      <c r="BR593" s="108"/>
      <c r="BS593" s="104"/>
      <c r="BT593" s="87">
        <f t="shared" si="142"/>
      </c>
      <c r="BU593" s="85">
        <f t="shared" si="143"/>
      </c>
      <c r="BV593" s="85">
        <f t="shared" si="144"/>
      </c>
      <c r="BW593" s="87">
        <f t="shared" si="145"/>
      </c>
      <c r="BX593" s="104"/>
      <c r="BY593" s="106"/>
      <c r="BZ593" s="104"/>
      <c r="CA593" s="105"/>
      <c r="CB593" s="77">
        <f>IF($A593="",0,IF($B593='FICHA CLIENTE'!$C$4,1,0))</f>
      </c>
      <c r="CC593" s="77">
        <f t="shared" si="146"/>
      </c>
      <c r="CD593" s="77">
        <f>IF($A593="",0,IF($D593='FICHA VEHICULO'!$C$4,1,0))</f>
      </c>
      <c r="CE593" s="77">
        <f t="shared" si="147"/>
      </c>
      <c r="CF593" s="77">
        <f t="shared" si="148"/>
      </c>
      <c r="CG593" s="77">
        <f t="shared" si="149"/>
      </c>
    </row>
    <row r="594" spans="1:85" ht="19.5" customHeight="1" x14ac:dyDescent="0.2">
      <c r="A594" s="104"/>
      <c r="B594" s="104"/>
      <c r="C594" s="105"/>
      <c r="D594" s="104"/>
      <c r="E594" s="105"/>
      <c r="F594" s="106"/>
      <c r="G594" s="104"/>
      <c r="H594" s="106"/>
      <c r="I594" s="107"/>
      <c r="J594" s="108"/>
      <c r="K594" s="108"/>
      <c r="L594" s="108"/>
      <c r="M594" s="105"/>
      <c r="N594" s="105"/>
      <c r="O594" s="105"/>
      <c r="P594" s="108"/>
      <c r="Q594" s="105"/>
      <c r="R594" s="105"/>
      <c r="S594" s="105"/>
      <c r="T594" s="105"/>
      <c r="U594" s="108"/>
      <c r="V594" s="105"/>
      <c r="W594" s="105"/>
      <c r="X594" s="105"/>
      <c r="Y594" s="105"/>
      <c r="Z594" s="105"/>
      <c r="AA594" s="108"/>
      <c r="AB594" s="108"/>
      <c r="AC594" s="105"/>
      <c r="AD594" s="279"/>
      <c r="AE594" s="105"/>
      <c r="AF594" s="279"/>
      <c r="AG594" s="105"/>
      <c r="AH594" s="108"/>
      <c r="AI594" s="108"/>
      <c r="AJ594" s="108"/>
      <c r="AK594" s="108"/>
      <c r="AL594" s="105"/>
      <c r="AM594" s="108"/>
      <c r="AN594" s="105"/>
      <c r="AO594" s="108"/>
      <c r="AP594" s="108"/>
      <c r="AQ594" s="105"/>
      <c r="AR594" s="108"/>
      <c r="AS594" s="108"/>
      <c r="AT594" s="105"/>
      <c r="AU594" s="105"/>
      <c r="AV594" s="105"/>
      <c r="AW594" s="105"/>
      <c r="AX594" s="105"/>
      <c r="AY594" s="105"/>
      <c r="AZ594" s="105"/>
      <c r="BA594" s="105"/>
      <c r="BB594" s="105"/>
      <c r="BC594" s="105"/>
      <c r="BD594" s="108"/>
      <c r="BE594" s="83">
        <f>IF($A594="","",IF(TRIM($D594&amp;"")="",IF(TRIM($AX594&amp;$AY594&amp;$AZ594&amp;$BA594&amp;$BB594&amp;$BC594&amp;$BD594&amp;"")="","","SUBARRENDADO"),IFERROR(IF(VLOOKUP($D594,VEHICULOS!$A$3:$H$202,7,FALSE)="","",VLOOKUP($D594,VEHICULOS!$A$3:$H$202,7,FALSE)),"")))</f>
      </c>
      <c r="BF594" s="82">
        <f>IF($A594="","",IF(TRIM($BC594&amp;"")&lt;&gt;"",$BC594,IF(TRIM($D594&amp;"")="","",IFERROR(IF(VLOOKUP($D594,VEHICULOS!$A$3:$H$202,8,FALSE)="","",VLOOKUP($D594,VEHICULOS!$A$3:$H$202,8,FALSE)),""))))</f>
      </c>
      <c r="BG594" s="106"/>
      <c r="BH594" s="107"/>
      <c r="BI594" s="86">
        <f t="shared" si="135"/>
      </c>
      <c r="BJ594" s="83">
        <f t="shared" si="136"/>
      </c>
      <c r="BK594" s="85">
        <f t="shared" si="137"/>
      </c>
      <c r="BL594" s="85">
        <f t="shared" si="138"/>
      </c>
      <c r="BM594" s="108"/>
      <c r="BN594" s="85">
        <f t="shared" si="139"/>
      </c>
      <c r="BO594" s="108"/>
      <c r="BP594" s="85">
        <f t="shared" si="140"/>
      </c>
      <c r="BQ594" s="85">
        <f t="shared" si="141"/>
      </c>
      <c r="BR594" s="108"/>
      <c r="BS594" s="104"/>
      <c r="BT594" s="87">
        <f t="shared" si="142"/>
      </c>
      <c r="BU594" s="85">
        <f t="shared" si="143"/>
      </c>
      <c r="BV594" s="85">
        <f t="shared" si="144"/>
      </c>
      <c r="BW594" s="87">
        <f t="shared" si="145"/>
      </c>
      <c r="BX594" s="104"/>
      <c r="BY594" s="106"/>
      <c r="BZ594" s="104"/>
      <c r="CA594" s="105"/>
      <c r="CB594" s="77">
        <f>IF($A594="",0,IF($B594='FICHA CLIENTE'!$C$4,1,0))</f>
      </c>
      <c r="CC594" s="77">
        <f t="shared" si="146"/>
      </c>
      <c r="CD594" s="77">
        <f>IF($A594="",0,IF($D594='FICHA VEHICULO'!$C$4,1,0))</f>
      </c>
      <c r="CE594" s="77">
        <f t="shared" si="147"/>
      </c>
      <c r="CF594" s="77">
        <f t="shared" si="148"/>
      </c>
      <c r="CG594" s="77">
        <f t="shared" si="149"/>
      </c>
    </row>
    <row r="595" spans="1:85" ht="19.5" customHeight="1" x14ac:dyDescent="0.2">
      <c r="A595" s="104"/>
      <c r="B595" s="104"/>
      <c r="C595" s="105"/>
      <c r="D595" s="104"/>
      <c r="E595" s="105"/>
      <c r="F595" s="106"/>
      <c r="G595" s="104"/>
      <c r="H595" s="106"/>
      <c r="I595" s="107"/>
      <c r="J595" s="108"/>
      <c r="K595" s="108"/>
      <c r="L595" s="108"/>
      <c r="M595" s="105"/>
      <c r="N595" s="105"/>
      <c r="O595" s="105"/>
      <c r="P595" s="108"/>
      <c r="Q595" s="105"/>
      <c r="R595" s="105"/>
      <c r="S595" s="105"/>
      <c r="T595" s="105"/>
      <c r="U595" s="108"/>
      <c r="V595" s="105"/>
      <c r="W595" s="105"/>
      <c r="X595" s="105"/>
      <c r="Y595" s="105"/>
      <c r="Z595" s="105"/>
      <c r="AA595" s="108"/>
      <c r="AB595" s="108"/>
      <c r="AC595" s="105"/>
      <c r="AD595" s="279"/>
      <c r="AE595" s="105"/>
      <c r="AF595" s="279"/>
      <c r="AG595" s="105"/>
      <c r="AH595" s="108"/>
      <c r="AI595" s="108"/>
      <c r="AJ595" s="108"/>
      <c r="AK595" s="108"/>
      <c r="AL595" s="105"/>
      <c r="AM595" s="108"/>
      <c r="AN595" s="105"/>
      <c r="AO595" s="108"/>
      <c r="AP595" s="108"/>
      <c r="AQ595" s="105"/>
      <c r="AR595" s="108"/>
      <c r="AS595" s="108"/>
      <c r="AT595" s="105"/>
      <c r="AU595" s="105"/>
      <c r="AV595" s="105"/>
      <c r="AW595" s="105"/>
      <c r="AX595" s="105"/>
      <c r="AY595" s="105"/>
      <c r="AZ595" s="105"/>
      <c r="BA595" s="105"/>
      <c r="BB595" s="105"/>
      <c r="BC595" s="105"/>
      <c r="BD595" s="108"/>
      <c r="BE595" s="83">
        <f>IF($A595="","",IF(TRIM($D595&amp;"")="",IF(TRIM($AX595&amp;$AY595&amp;$AZ595&amp;$BA595&amp;$BB595&amp;$BC595&amp;$BD595&amp;"")="","","SUBARRENDADO"),IFERROR(IF(VLOOKUP($D595,VEHICULOS!$A$3:$H$202,7,FALSE)="","",VLOOKUP($D595,VEHICULOS!$A$3:$H$202,7,FALSE)),"")))</f>
      </c>
      <c r="BF595" s="82">
        <f>IF($A595="","",IF(TRIM($BC595&amp;"")&lt;&gt;"",$BC595,IF(TRIM($D595&amp;"")="","",IFERROR(IF(VLOOKUP($D595,VEHICULOS!$A$3:$H$202,8,FALSE)="","",VLOOKUP($D595,VEHICULOS!$A$3:$H$202,8,FALSE)),""))))</f>
      </c>
      <c r="BG595" s="106"/>
      <c r="BH595" s="107"/>
      <c r="BI595" s="86">
        <f t="shared" si="135"/>
      </c>
      <c r="BJ595" s="83">
        <f t="shared" si="136"/>
      </c>
      <c r="BK595" s="85">
        <f t="shared" si="137"/>
      </c>
      <c r="BL595" s="85">
        <f t="shared" si="138"/>
      </c>
      <c r="BM595" s="108"/>
      <c r="BN595" s="85">
        <f t="shared" si="139"/>
      </c>
      <c r="BO595" s="108"/>
      <c r="BP595" s="85">
        <f t="shared" si="140"/>
      </c>
      <c r="BQ595" s="85">
        <f t="shared" si="141"/>
      </c>
      <c r="BR595" s="108"/>
      <c r="BS595" s="104"/>
      <c r="BT595" s="87">
        <f t="shared" si="142"/>
      </c>
      <c r="BU595" s="85">
        <f t="shared" si="143"/>
      </c>
      <c r="BV595" s="85">
        <f t="shared" si="144"/>
      </c>
      <c r="BW595" s="87">
        <f t="shared" si="145"/>
      </c>
      <c r="BX595" s="104"/>
      <c r="BY595" s="106"/>
      <c r="BZ595" s="104"/>
      <c r="CA595" s="105"/>
      <c r="CB595" s="77">
        <f>IF($A595="",0,IF($B595='FICHA CLIENTE'!$C$4,1,0))</f>
      </c>
      <c r="CC595" s="77">
        <f t="shared" si="146"/>
      </c>
      <c r="CD595" s="77">
        <f>IF($A595="",0,IF($D595='FICHA VEHICULO'!$C$4,1,0))</f>
      </c>
      <c r="CE595" s="77">
        <f t="shared" si="147"/>
      </c>
      <c r="CF595" s="77">
        <f t="shared" si="148"/>
      </c>
      <c r="CG595" s="77">
        <f t="shared" si="149"/>
      </c>
    </row>
    <row r="596" spans="1:85" ht="19.5" customHeight="1" x14ac:dyDescent="0.2">
      <c r="A596" s="104"/>
      <c r="B596" s="104"/>
      <c r="C596" s="105"/>
      <c r="D596" s="104"/>
      <c r="E596" s="105"/>
      <c r="F596" s="106"/>
      <c r="G596" s="104"/>
      <c r="H596" s="106"/>
      <c r="I596" s="107"/>
      <c r="J596" s="108"/>
      <c r="K596" s="108"/>
      <c r="L596" s="108"/>
      <c r="M596" s="105"/>
      <c r="N596" s="105"/>
      <c r="O596" s="105"/>
      <c r="P596" s="108"/>
      <c r="Q596" s="105"/>
      <c r="R596" s="105"/>
      <c r="S596" s="105"/>
      <c r="T596" s="105"/>
      <c r="U596" s="108"/>
      <c r="V596" s="105"/>
      <c r="W596" s="105"/>
      <c r="X596" s="105"/>
      <c r="Y596" s="105"/>
      <c r="Z596" s="105"/>
      <c r="AA596" s="108"/>
      <c r="AB596" s="108"/>
      <c r="AC596" s="105"/>
      <c r="AD596" s="279"/>
      <c r="AE596" s="105"/>
      <c r="AF596" s="279"/>
      <c r="AG596" s="105"/>
      <c r="AH596" s="108"/>
      <c r="AI596" s="108"/>
      <c r="AJ596" s="108"/>
      <c r="AK596" s="108"/>
      <c r="AL596" s="105"/>
      <c r="AM596" s="108"/>
      <c r="AN596" s="105"/>
      <c r="AO596" s="108"/>
      <c r="AP596" s="108"/>
      <c r="AQ596" s="105"/>
      <c r="AR596" s="108"/>
      <c r="AS596" s="108"/>
      <c r="AT596" s="105"/>
      <c r="AU596" s="105"/>
      <c r="AV596" s="105"/>
      <c r="AW596" s="105"/>
      <c r="AX596" s="105"/>
      <c r="AY596" s="105"/>
      <c r="AZ596" s="105"/>
      <c r="BA596" s="105"/>
      <c r="BB596" s="105"/>
      <c r="BC596" s="105"/>
      <c r="BD596" s="108"/>
      <c r="BE596" s="83">
        <f>IF($A596="","",IF(TRIM($D596&amp;"")="",IF(TRIM($AX596&amp;$AY596&amp;$AZ596&amp;$BA596&amp;$BB596&amp;$BC596&amp;$BD596&amp;"")="","","SUBARRENDADO"),IFERROR(IF(VLOOKUP($D596,VEHICULOS!$A$3:$H$202,7,FALSE)="","",VLOOKUP($D596,VEHICULOS!$A$3:$H$202,7,FALSE)),"")))</f>
      </c>
      <c r="BF596" s="82">
        <f>IF($A596="","",IF(TRIM($BC596&amp;"")&lt;&gt;"",$BC596,IF(TRIM($D596&amp;"")="","",IFERROR(IF(VLOOKUP($D596,VEHICULOS!$A$3:$H$202,8,FALSE)="","",VLOOKUP($D596,VEHICULOS!$A$3:$H$202,8,FALSE)),""))))</f>
      </c>
      <c r="BG596" s="106"/>
      <c r="BH596" s="107"/>
      <c r="BI596" s="86">
        <f t="shared" si="135"/>
      </c>
      <c r="BJ596" s="83">
        <f t="shared" si="136"/>
      </c>
      <c r="BK596" s="85">
        <f t="shared" si="137"/>
      </c>
      <c r="BL596" s="85">
        <f t="shared" si="138"/>
      </c>
      <c r="BM596" s="108"/>
      <c r="BN596" s="85">
        <f t="shared" si="139"/>
      </c>
      <c r="BO596" s="108"/>
      <c r="BP596" s="85">
        <f t="shared" si="140"/>
      </c>
      <c r="BQ596" s="85">
        <f t="shared" si="141"/>
      </c>
      <c r="BR596" s="108"/>
      <c r="BS596" s="104"/>
      <c r="BT596" s="87">
        <f t="shared" si="142"/>
      </c>
      <c r="BU596" s="85">
        <f t="shared" si="143"/>
      </c>
      <c r="BV596" s="85">
        <f t="shared" si="144"/>
      </c>
      <c r="BW596" s="87">
        <f t="shared" si="145"/>
      </c>
      <c r="BX596" s="104"/>
      <c r="BY596" s="106"/>
      <c r="BZ596" s="104"/>
      <c r="CA596" s="105"/>
      <c r="CB596" s="77">
        <f>IF($A596="",0,IF($B596='FICHA CLIENTE'!$C$4,1,0))</f>
      </c>
      <c r="CC596" s="77">
        <f t="shared" si="146"/>
      </c>
      <c r="CD596" s="77">
        <f>IF($A596="",0,IF($D596='FICHA VEHICULO'!$C$4,1,0))</f>
      </c>
      <c r="CE596" s="77">
        <f t="shared" si="147"/>
      </c>
      <c r="CF596" s="77">
        <f t="shared" si="148"/>
      </c>
      <c r="CG596" s="77">
        <f t="shared" si="149"/>
      </c>
    </row>
    <row r="597" spans="1:85" ht="19.5" customHeight="1" x14ac:dyDescent="0.2">
      <c r="A597" s="104"/>
      <c r="B597" s="104"/>
      <c r="C597" s="105"/>
      <c r="D597" s="104"/>
      <c r="E597" s="105"/>
      <c r="F597" s="106"/>
      <c r="G597" s="104"/>
      <c r="H597" s="106"/>
      <c r="I597" s="107"/>
      <c r="J597" s="108"/>
      <c r="K597" s="108"/>
      <c r="L597" s="108"/>
      <c r="M597" s="105"/>
      <c r="N597" s="105"/>
      <c r="O597" s="105"/>
      <c r="P597" s="108"/>
      <c r="Q597" s="105"/>
      <c r="R597" s="105"/>
      <c r="S597" s="105"/>
      <c r="T597" s="105"/>
      <c r="U597" s="108"/>
      <c r="V597" s="105"/>
      <c r="W597" s="105"/>
      <c r="X597" s="105"/>
      <c r="Y597" s="105"/>
      <c r="Z597" s="105"/>
      <c r="AA597" s="108"/>
      <c r="AB597" s="108"/>
      <c r="AC597" s="105"/>
      <c r="AD597" s="279"/>
      <c r="AE597" s="105"/>
      <c r="AF597" s="279"/>
      <c r="AG597" s="105"/>
      <c r="AH597" s="108"/>
      <c r="AI597" s="108"/>
      <c r="AJ597" s="108"/>
      <c r="AK597" s="108"/>
      <c r="AL597" s="105"/>
      <c r="AM597" s="108"/>
      <c r="AN597" s="105"/>
      <c r="AO597" s="108"/>
      <c r="AP597" s="108"/>
      <c r="AQ597" s="105"/>
      <c r="AR597" s="108"/>
      <c r="AS597" s="108"/>
      <c r="AT597" s="105"/>
      <c r="AU597" s="105"/>
      <c r="AV597" s="105"/>
      <c r="AW597" s="105"/>
      <c r="AX597" s="105"/>
      <c r="AY597" s="105"/>
      <c r="AZ597" s="105"/>
      <c r="BA597" s="105"/>
      <c r="BB597" s="105"/>
      <c r="BC597" s="105"/>
      <c r="BD597" s="108"/>
      <c r="BE597" s="83">
        <f>IF($A597="","",IF(TRIM($D597&amp;"")="",IF(TRIM($AX597&amp;$AY597&amp;$AZ597&amp;$BA597&amp;$BB597&amp;$BC597&amp;$BD597&amp;"")="","","SUBARRENDADO"),IFERROR(IF(VLOOKUP($D597,VEHICULOS!$A$3:$H$202,7,FALSE)="","",VLOOKUP($D597,VEHICULOS!$A$3:$H$202,7,FALSE)),"")))</f>
      </c>
      <c r="BF597" s="82">
        <f>IF($A597="","",IF(TRIM($BC597&amp;"")&lt;&gt;"",$BC597,IF(TRIM($D597&amp;"")="","",IFERROR(IF(VLOOKUP($D597,VEHICULOS!$A$3:$H$202,8,FALSE)="","",VLOOKUP($D597,VEHICULOS!$A$3:$H$202,8,FALSE)),""))))</f>
      </c>
      <c r="BG597" s="106"/>
      <c r="BH597" s="107"/>
      <c r="BI597" s="86">
        <f t="shared" si="135"/>
      </c>
      <c r="BJ597" s="83">
        <f t="shared" si="136"/>
      </c>
      <c r="BK597" s="85">
        <f t="shared" si="137"/>
      </c>
      <c r="BL597" s="85">
        <f t="shared" si="138"/>
      </c>
      <c r="BM597" s="108"/>
      <c r="BN597" s="85">
        <f t="shared" si="139"/>
      </c>
      <c r="BO597" s="108"/>
      <c r="BP597" s="85">
        <f t="shared" si="140"/>
      </c>
      <c r="BQ597" s="85">
        <f t="shared" si="141"/>
      </c>
      <c r="BR597" s="108"/>
      <c r="BS597" s="104"/>
      <c r="BT597" s="87">
        <f t="shared" si="142"/>
      </c>
      <c r="BU597" s="85">
        <f t="shared" si="143"/>
      </c>
      <c r="BV597" s="85">
        <f t="shared" si="144"/>
      </c>
      <c r="BW597" s="87">
        <f t="shared" si="145"/>
      </c>
      <c r="BX597" s="104"/>
      <c r="BY597" s="106"/>
      <c r="BZ597" s="104"/>
      <c r="CA597" s="105"/>
      <c r="CB597" s="77">
        <f>IF($A597="",0,IF($B597='FICHA CLIENTE'!$C$4,1,0))</f>
      </c>
      <c r="CC597" s="77">
        <f t="shared" si="146"/>
      </c>
      <c r="CD597" s="77">
        <f>IF($A597="",0,IF($D597='FICHA VEHICULO'!$C$4,1,0))</f>
      </c>
      <c r="CE597" s="77">
        <f t="shared" si="147"/>
      </c>
      <c r="CF597" s="77">
        <f t="shared" si="148"/>
      </c>
      <c r="CG597" s="77">
        <f t="shared" si="149"/>
      </c>
    </row>
    <row r="598" spans="1:85" ht="19.5" customHeight="1" x14ac:dyDescent="0.2">
      <c r="A598" s="104"/>
      <c r="B598" s="104"/>
      <c r="C598" s="105"/>
      <c r="D598" s="104"/>
      <c r="E598" s="105"/>
      <c r="F598" s="106"/>
      <c r="G598" s="104"/>
      <c r="H598" s="106"/>
      <c r="I598" s="107"/>
      <c r="J598" s="108"/>
      <c r="K598" s="108"/>
      <c r="L598" s="108"/>
      <c r="M598" s="105"/>
      <c r="N598" s="105"/>
      <c r="O598" s="105"/>
      <c r="P598" s="108"/>
      <c r="Q598" s="105"/>
      <c r="R598" s="105"/>
      <c r="S598" s="105"/>
      <c r="T598" s="105"/>
      <c r="U598" s="108"/>
      <c r="V598" s="105"/>
      <c r="W598" s="105"/>
      <c r="X598" s="105"/>
      <c r="Y598" s="105"/>
      <c r="Z598" s="105"/>
      <c r="AA598" s="108"/>
      <c r="AB598" s="108"/>
      <c r="AC598" s="105"/>
      <c r="AD598" s="279"/>
      <c r="AE598" s="105"/>
      <c r="AF598" s="279"/>
      <c r="AG598" s="105"/>
      <c r="AH598" s="108"/>
      <c r="AI598" s="108"/>
      <c r="AJ598" s="108"/>
      <c r="AK598" s="108"/>
      <c r="AL598" s="105"/>
      <c r="AM598" s="108"/>
      <c r="AN598" s="105"/>
      <c r="AO598" s="108"/>
      <c r="AP598" s="108"/>
      <c r="AQ598" s="105"/>
      <c r="AR598" s="108"/>
      <c r="AS598" s="108"/>
      <c r="AT598" s="105"/>
      <c r="AU598" s="105"/>
      <c r="AV598" s="105"/>
      <c r="AW598" s="105"/>
      <c r="AX598" s="105"/>
      <c r="AY598" s="105"/>
      <c r="AZ598" s="105"/>
      <c r="BA598" s="105"/>
      <c r="BB598" s="105"/>
      <c r="BC598" s="105"/>
      <c r="BD598" s="108"/>
      <c r="BE598" s="83">
        <f>IF($A598="","",IF(TRIM($D598&amp;"")="",IF(TRIM($AX598&amp;$AY598&amp;$AZ598&amp;$BA598&amp;$BB598&amp;$BC598&amp;$BD598&amp;"")="","","SUBARRENDADO"),IFERROR(IF(VLOOKUP($D598,VEHICULOS!$A$3:$H$202,7,FALSE)="","",VLOOKUP($D598,VEHICULOS!$A$3:$H$202,7,FALSE)),"")))</f>
      </c>
      <c r="BF598" s="82">
        <f>IF($A598="","",IF(TRIM($BC598&amp;"")&lt;&gt;"",$BC598,IF(TRIM($D598&amp;"")="","",IFERROR(IF(VLOOKUP($D598,VEHICULOS!$A$3:$H$202,8,FALSE)="","",VLOOKUP($D598,VEHICULOS!$A$3:$H$202,8,FALSE)),""))))</f>
      </c>
      <c r="BG598" s="106"/>
      <c r="BH598" s="107"/>
      <c r="BI598" s="86">
        <f t="shared" si="135"/>
      </c>
      <c r="BJ598" s="83">
        <f t="shared" si="136"/>
      </c>
      <c r="BK598" s="85">
        <f t="shared" si="137"/>
      </c>
      <c r="BL598" s="85">
        <f t="shared" si="138"/>
      </c>
      <c r="BM598" s="108"/>
      <c r="BN598" s="85">
        <f t="shared" si="139"/>
      </c>
      <c r="BO598" s="108"/>
      <c r="BP598" s="85">
        <f t="shared" si="140"/>
      </c>
      <c r="BQ598" s="85">
        <f t="shared" si="141"/>
      </c>
      <c r="BR598" s="108"/>
      <c r="BS598" s="104"/>
      <c r="BT598" s="87">
        <f t="shared" si="142"/>
      </c>
      <c r="BU598" s="85">
        <f t="shared" si="143"/>
      </c>
      <c r="BV598" s="85">
        <f t="shared" si="144"/>
      </c>
      <c r="BW598" s="87">
        <f t="shared" si="145"/>
      </c>
      <c r="BX598" s="104"/>
      <c r="BY598" s="106"/>
      <c r="BZ598" s="104"/>
      <c r="CA598" s="105"/>
      <c r="CB598" s="77">
        <f>IF($A598="",0,IF($B598='FICHA CLIENTE'!$C$4,1,0))</f>
      </c>
      <c r="CC598" s="77">
        <f t="shared" si="146"/>
      </c>
      <c r="CD598" s="77">
        <f>IF($A598="",0,IF($D598='FICHA VEHICULO'!$C$4,1,0))</f>
      </c>
      <c r="CE598" s="77">
        <f t="shared" si="147"/>
      </c>
      <c r="CF598" s="77">
        <f t="shared" si="148"/>
      </c>
      <c r="CG598" s="77">
        <f t="shared" si="149"/>
      </c>
    </row>
    <row r="599" spans="1:85" ht="19.5" customHeight="1" x14ac:dyDescent="0.2">
      <c r="A599" s="104"/>
      <c r="B599" s="104"/>
      <c r="C599" s="105"/>
      <c r="D599" s="104"/>
      <c r="E599" s="105"/>
      <c r="F599" s="106"/>
      <c r="G599" s="104"/>
      <c r="H599" s="106"/>
      <c r="I599" s="107"/>
      <c r="J599" s="108"/>
      <c r="K599" s="108"/>
      <c r="L599" s="108"/>
      <c r="M599" s="105"/>
      <c r="N599" s="105"/>
      <c r="O599" s="105"/>
      <c r="P599" s="108"/>
      <c r="Q599" s="105"/>
      <c r="R599" s="105"/>
      <c r="S599" s="105"/>
      <c r="T599" s="105"/>
      <c r="U599" s="108"/>
      <c r="V599" s="105"/>
      <c r="W599" s="105"/>
      <c r="X599" s="105"/>
      <c r="Y599" s="105"/>
      <c r="Z599" s="105"/>
      <c r="AA599" s="108"/>
      <c r="AB599" s="108"/>
      <c r="AC599" s="105"/>
      <c r="AD599" s="279"/>
      <c r="AE599" s="105"/>
      <c r="AF599" s="279"/>
      <c r="AG599" s="105"/>
      <c r="AH599" s="108"/>
      <c r="AI599" s="108"/>
      <c r="AJ599" s="108"/>
      <c r="AK599" s="108"/>
      <c r="AL599" s="105"/>
      <c r="AM599" s="108"/>
      <c r="AN599" s="105"/>
      <c r="AO599" s="108"/>
      <c r="AP599" s="108"/>
      <c r="AQ599" s="105"/>
      <c r="AR599" s="108"/>
      <c r="AS599" s="108"/>
      <c r="AT599" s="105"/>
      <c r="AU599" s="105"/>
      <c r="AV599" s="105"/>
      <c r="AW599" s="105"/>
      <c r="AX599" s="105"/>
      <c r="AY599" s="105"/>
      <c r="AZ599" s="105"/>
      <c r="BA599" s="105"/>
      <c r="BB599" s="105"/>
      <c r="BC599" s="105"/>
      <c r="BD599" s="108"/>
      <c r="BE599" s="83">
        <f>IF($A599="","",IF(TRIM($D599&amp;"")="",IF(TRIM($AX599&amp;$AY599&amp;$AZ599&amp;$BA599&amp;$BB599&amp;$BC599&amp;$BD599&amp;"")="","","SUBARRENDADO"),IFERROR(IF(VLOOKUP($D599,VEHICULOS!$A$3:$H$202,7,FALSE)="","",VLOOKUP($D599,VEHICULOS!$A$3:$H$202,7,FALSE)),"")))</f>
      </c>
      <c r="BF599" s="82">
        <f>IF($A599="","",IF(TRIM($BC599&amp;"")&lt;&gt;"",$BC599,IF(TRIM($D599&amp;"")="","",IFERROR(IF(VLOOKUP($D599,VEHICULOS!$A$3:$H$202,8,FALSE)="","",VLOOKUP($D599,VEHICULOS!$A$3:$H$202,8,FALSE)),""))))</f>
      </c>
      <c r="BG599" s="106"/>
      <c r="BH599" s="107"/>
      <c r="BI599" s="86">
        <f t="shared" si="135"/>
      </c>
      <c r="BJ599" s="83">
        <f t="shared" si="136"/>
      </c>
      <c r="BK599" s="85">
        <f t="shared" si="137"/>
      </c>
      <c r="BL599" s="85">
        <f t="shared" si="138"/>
      </c>
      <c r="BM599" s="108"/>
      <c r="BN599" s="85">
        <f t="shared" si="139"/>
      </c>
      <c r="BO599" s="108"/>
      <c r="BP599" s="85">
        <f t="shared" si="140"/>
      </c>
      <c r="BQ599" s="85">
        <f t="shared" si="141"/>
      </c>
      <c r="BR599" s="108"/>
      <c r="BS599" s="104"/>
      <c r="BT599" s="87">
        <f t="shared" si="142"/>
      </c>
      <c r="BU599" s="85">
        <f t="shared" si="143"/>
      </c>
      <c r="BV599" s="85">
        <f t="shared" si="144"/>
      </c>
      <c r="BW599" s="87">
        <f t="shared" si="145"/>
      </c>
      <c r="BX599" s="104"/>
      <c r="BY599" s="106"/>
      <c r="BZ599" s="104"/>
      <c r="CA599" s="105"/>
      <c r="CB599" s="77">
        <f>IF($A599="",0,IF($B599='FICHA CLIENTE'!$C$4,1,0))</f>
      </c>
      <c r="CC599" s="77">
        <f t="shared" si="146"/>
      </c>
      <c r="CD599" s="77">
        <f>IF($A599="",0,IF($D599='FICHA VEHICULO'!$C$4,1,0))</f>
      </c>
      <c r="CE599" s="77">
        <f t="shared" si="147"/>
      </c>
      <c r="CF599" s="77">
        <f t="shared" si="148"/>
      </c>
      <c r="CG599" s="77">
        <f t="shared" si="149"/>
      </c>
    </row>
    <row r="600" spans="1:85" ht="19.5" customHeight="1" x14ac:dyDescent="0.2">
      <c r="A600" s="104"/>
      <c r="B600" s="104"/>
      <c r="C600" s="105"/>
      <c r="D600" s="104"/>
      <c r="E600" s="105"/>
      <c r="F600" s="106"/>
      <c r="G600" s="104"/>
      <c r="H600" s="106"/>
      <c r="I600" s="107"/>
      <c r="J600" s="108"/>
      <c r="K600" s="108"/>
      <c r="L600" s="108"/>
      <c r="M600" s="105"/>
      <c r="N600" s="105"/>
      <c r="O600" s="105"/>
      <c r="P600" s="108"/>
      <c r="Q600" s="105"/>
      <c r="R600" s="105"/>
      <c r="S600" s="105"/>
      <c r="T600" s="105"/>
      <c r="U600" s="108"/>
      <c r="V600" s="105"/>
      <c r="W600" s="105"/>
      <c r="X600" s="105"/>
      <c r="Y600" s="105"/>
      <c r="Z600" s="105"/>
      <c r="AA600" s="108"/>
      <c r="AB600" s="108"/>
      <c r="AC600" s="105"/>
      <c r="AD600" s="279"/>
      <c r="AE600" s="105"/>
      <c r="AF600" s="279"/>
      <c r="AG600" s="105"/>
      <c r="AH600" s="108"/>
      <c r="AI600" s="108"/>
      <c r="AJ600" s="108"/>
      <c r="AK600" s="108"/>
      <c r="AL600" s="105"/>
      <c r="AM600" s="108"/>
      <c r="AN600" s="105"/>
      <c r="AO600" s="108"/>
      <c r="AP600" s="108"/>
      <c r="AQ600" s="105"/>
      <c r="AR600" s="108"/>
      <c r="AS600" s="108"/>
      <c r="AT600" s="105"/>
      <c r="AU600" s="105"/>
      <c r="AV600" s="105"/>
      <c r="AW600" s="105"/>
      <c r="AX600" s="105"/>
      <c r="AY600" s="105"/>
      <c r="AZ600" s="105"/>
      <c r="BA600" s="105"/>
      <c r="BB600" s="105"/>
      <c r="BC600" s="105"/>
      <c r="BD600" s="108"/>
      <c r="BE600" s="83">
        <f>IF($A600="","",IF(TRIM($D600&amp;"")="",IF(TRIM($AX600&amp;$AY600&amp;$AZ600&amp;$BA600&amp;$BB600&amp;$BC600&amp;$BD600&amp;"")="","","SUBARRENDADO"),IFERROR(IF(VLOOKUP($D600,VEHICULOS!$A$3:$H$202,7,FALSE)="","",VLOOKUP($D600,VEHICULOS!$A$3:$H$202,7,FALSE)),"")))</f>
      </c>
      <c r="BF600" s="82">
        <f>IF($A600="","",IF(TRIM($BC600&amp;"")&lt;&gt;"",$BC600,IF(TRIM($D600&amp;"")="","",IFERROR(IF(VLOOKUP($D600,VEHICULOS!$A$3:$H$202,8,FALSE)="","",VLOOKUP($D600,VEHICULOS!$A$3:$H$202,8,FALSE)),""))))</f>
      </c>
      <c r="BG600" s="106"/>
      <c r="BH600" s="107"/>
      <c r="BI600" s="86">
        <f t="shared" si="135"/>
      </c>
      <c r="BJ600" s="83">
        <f t="shared" si="136"/>
      </c>
      <c r="BK600" s="85">
        <f t="shared" si="137"/>
      </c>
      <c r="BL600" s="85">
        <f t="shared" si="138"/>
      </c>
      <c r="BM600" s="108"/>
      <c r="BN600" s="85">
        <f t="shared" si="139"/>
      </c>
      <c r="BO600" s="108"/>
      <c r="BP600" s="85">
        <f t="shared" si="140"/>
      </c>
      <c r="BQ600" s="85">
        <f t="shared" si="141"/>
      </c>
      <c r="BR600" s="108"/>
      <c r="BS600" s="104"/>
      <c r="BT600" s="87">
        <f t="shared" si="142"/>
      </c>
      <c r="BU600" s="85">
        <f t="shared" si="143"/>
      </c>
      <c r="BV600" s="85">
        <f t="shared" si="144"/>
      </c>
      <c r="BW600" s="87">
        <f t="shared" si="145"/>
      </c>
      <c r="BX600" s="104"/>
      <c r="BY600" s="106"/>
      <c r="BZ600" s="104"/>
      <c r="CA600" s="105"/>
      <c r="CB600" s="77">
        <f>IF($A600="",0,IF($B600='FICHA CLIENTE'!$C$4,1,0))</f>
      </c>
      <c r="CC600" s="77">
        <f t="shared" si="146"/>
      </c>
      <c r="CD600" s="77">
        <f>IF($A600="",0,IF($D600='FICHA VEHICULO'!$C$4,1,0))</f>
      </c>
      <c r="CE600" s="77">
        <f t="shared" si="147"/>
      </c>
      <c r="CF600" s="77">
        <f t="shared" si="148"/>
      </c>
      <c r="CG600" s="77">
        <f t="shared" si="149"/>
      </c>
    </row>
    <row r="601" spans="1:85" ht="19.5" customHeight="1" x14ac:dyDescent="0.2">
      <c r="A601" s="104"/>
      <c r="B601" s="104"/>
      <c r="C601" s="105"/>
      <c r="D601" s="104"/>
      <c r="E601" s="105"/>
      <c r="F601" s="106"/>
      <c r="G601" s="104"/>
      <c r="H601" s="106"/>
      <c r="I601" s="107"/>
      <c r="J601" s="108"/>
      <c r="K601" s="108"/>
      <c r="L601" s="108"/>
      <c r="M601" s="105"/>
      <c r="N601" s="105"/>
      <c r="O601" s="105"/>
      <c r="P601" s="108"/>
      <c r="Q601" s="105"/>
      <c r="R601" s="105"/>
      <c r="S601" s="105"/>
      <c r="T601" s="105"/>
      <c r="U601" s="108"/>
      <c r="V601" s="105"/>
      <c r="W601" s="105"/>
      <c r="X601" s="105"/>
      <c r="Y601" s="105"/>
      <c r="Z601" s="105"/>
      <c r="AA601" s="108"/>
      <c r="AB601" s="108"/>
      <c r="AC601" s="105"/>
      <c r="AD601" s="279"/>
      <c r="AE601" s="105"/>
      <c r="AF601" s="279"/>
      <c r="AG601" s="105"/>
      <c r="AH601" s="108"/>
      <c r="AI601" s="108"/>
      <c r="AJ601" s="108"/>
      <c r="AK601" s="108"/>
      <c r="AL601" s="105"/>
      <c r="AM601" s="108"/>
      <c r="AN601" s="105"/>
      <c r="AO601" s="108"/>
      <c r="AP601" s="108"/>
      <c r="AQ601" s="105"/>
      <c r="AR601" s="108"/>
      <c r="AS601" s="108"/>
      <c r="AT601" s="105"/>
      <c r="AU601" s="105"/>
      <c r="AV601" s="105"/>
      <c r="AW601" s="105"/>
      <c r="AX601" s="105"/>
      <c r="AY601" s="105"/>
      <c r="AZ601" s="105"/>
      <c r="BA601" s="105"/>
      <c r="BB601" s="105"/>
      <c r="BC601" s="105"/>
      <c r="BD601" s="108"/>
      <c r="BE601" s="83">
        <f>IF($A601="","",IF(TRIM($D601&amp;"")="",IF(TRIM($AX601&amp;$AY601&amp;$AZ601&amp;$BA601&amp;$BB601&amp;$BC601&amp;$BD601&amp;"")="","","SUBARRENDADO"),IFERROR(IF(VLOOKUP($D601,VEHICULOS!$A$3:$H$202,7,FALSE)="","",VLOOKUP($D601,VEHICULOS!$A$3:$H$202,7,FALSE)),"")))</f>
      </c>
      <c r="BF601" s="82">
        <f>IF($A601="","",IF(TRIM($BC601&amp;"")&lt;&gt;"",$BC601,IF(TRIM($D601&amp;"")="","",IFERROR(IF(VLOOKUP($D601,VEHICULOS!$A$3:$H$202,8,FALSE)="","",VLOOKUP($D601,VEHICULOS!$A$3:$H$202,8,FALSE)),""))))</f>
      </c>
      <c r="BG601" s="106"/>
      <c r="BH601" s="107"/>
      <c r="BI601" s="86">
        <f t="shared" si="135"/>
      </c>
      <c r="BJ601" s="83">
        <f t="shared" si="136"/>
      </c>
      <c r="BK601" s="85">
        <f t="shared" si="137"/>
      </c>
      <c r="BL601" s="85">
        <f t="shared" si="138"/>
      </c>
      <c r="BM601" s="108"/>
      <c r="BN601" s="85">
        <f t="shared" si="139"/>
      </c>
      <c r="BO601" s="108"/>
      <c r="BP601" s="85">
        <f t="shared" si="140"/>
      </c>
      <c r="BQ601" s="85">
        <f t="shared" si="141"/>
      </c>
      <c r="BR601" s="108"/>
      <c r="BS601" s="104"/>
      <c r="BT601" s="87">
        <f t="shared" si="142"/>
      </c>
      <c r="BU601" s="85">
        <f t="shared" si="143"/>
      </c>
      <c r="BV601" s="85">
        <f t="shared" si="144"/>
      </c>
      <c r="BW601" s="87">
        <f t="shared" si="145"/>
      </c>
      <c r="BX601" s="104"/>
      <c r="BY601" s="106"/>
      <c r="BZ601" s="104"/>
      <c r="CA601" s="105"/>
      <c r="CB601" s="77">
        <f>IF($A601="",0,IF($B601='FICHA CLIENTE'!$C$4,1,0))</f>
      </c>
      <c r="CC601" s="77">
        <f t="shared" si="146"/>
      </c>
      <c r="CD601" s="77">
        <f>IF($A601="",0,IF($D601='FICHA VEHICULO'!$C$4,1,0))</f>
      </c>
      <c r="CE601" s="77">
        <f t="shared" si="147"/>
      </c>
      <c r="CF601" s="77">
        <f t="shared" si="148"/>
      </c>
      <c r="CG601" s="77">
        <f t="shared" si="149"/>
      </c>
    </row>
    <row r="602" spans="1:85" ht="19.5" customHeight="1" x14ac:dyDescent="0.2">
      <c r="A602" s="104"/>
      <c r="B602" s="104"/>
      <c r="C602" s="105"/>
      <c r="D602" s="104"/>
      <c r="E602" s="105"/>
      <c r="F602" s="106"/>
      <c r="G602" s="104"/>
      <c r="H602" s="106"/>
      <c r="I602" s="107"/>
      <c r="J602" s="108"/>
      <c r="K602" s="108"/>
      <c r="L602" s="108"/>
      <c r="M602" s="105"/>
      <c r="N602" s="105"/>
      <c r="O602" s="105"/>
      <c r="P602" s="108"/>
      <c r="Q602" s="105"/>
      <c r="R602" s="105"/>
      <c r="S602" s="105"/>
      <c r="T602" s="105"/>
      <c r="U602" s="108"/>
      <c r="V602" s="105"/>
      <c r="W602" s="105"/>
      <c r="X602" s="105"/>
      <c r="Y602" s="105"/>
      <c r="Z602" s="105"/>
      <c r="AA602" s="108"/>
      <c r="AB602" s="108"/>
      <c r="AC602" s="105"/>
      <c r="AD602" s="279"/>
      <c r="AE602" s="105"/>
      <c r="AF602" s="279"/>
      <c r="AG602" s="105"/>
      <c r="AH602" s="108"/>
      <c r="AI602" s="108"/>
      <c r="AJ602" s="108"/>
      <c r="AK602" s="108"/>
      <c r="AL602" s="105"/>
      <c r="AM602" s="108"/>
      <c r="AN602" s="105"/>
      <c r="AO602" s="108"/>
      <c r="AP602" s="108"/>
      <c r="AQ602" s="105"/>
      <c r="AR602" s="108"/>
      <c r="AS602" s="108"/>
      <c r="AT602" s="105"/>
      <c r="AU602" s="105"/>
      <c r="AV602" s="105"/>
      <c r="AW602" s="105"/>
      <c r="AX602" s="105"/>
      <c r="AY602" s="105"/>
      <c r="AZ602" s="105"/>
      <c r="BA602" s="105"/>
      <c r="BB602" s="105"/>
      <c r="BC602" s="105"/>
      <c r="BD602" s="108"/>
      <c r="BE602" s="83">
        <f>IF($A602="","",IF(TRIM($D602&amp;"")="",IF(TRIM($AX602&amp;$AY602&amp;$AZ602&amp;$BA602&amp;$BB602&amp;$BC602&amp;$BD602&amp;"")="","","SUBARRENDADO"),IFERROR(IF(VLOOKUP($D602,VEHICULOS!$A$3:$H$202,7,FALSE)="","",VLOOKUP($D602,VEHICULOS!$A$3:$H$202,7,FALSE)),"")))</f>
      </c>
      <c r="BF602" s="82">
        <f>IF($A602="","",IF(TRIM($BC602&amp;"")&lt;&gt;"",$BC602,IF(TRIM($D602&amp;"")="","",IFERROR(IF(VLOOKUP($D602,VEHICULOS!$A$3:$H$202,8,FALSE)="","",VLOOKUP($D602,VEHICULOS!$A$3:$H$202,8,FALSE)),""))))</f>
      </c>
      <c r="BG602" s="106"/>
      <c r="BH602" s="107"/>
      <c r="BI602" s="86">
        <f t="shared" si="135"/>
      </c>
      <c r="BJ602" s="83">
        <f t="shared" si="136"/>
      </c>
      <c r="BK602" s="85">
        <f t="shared" si="137"/>
      </c>
      <c r="BL602" s="85">
        <f t="shared" si="138"/>
      </c>
      <c r="BM602" s="108"/>
      <c r="BN602" s="85">
        <f t="shared" si="139"/>
      </c>
      <c r="BO602" s="108"/>
      <c r="BP602" s="85">
        <f t="shared" si="140"/>
      </c>
      <c r="BQ602" s="85">
        <f t="shared" si="141"/>
      </c>
      <c r="BR602" s="108"/>
      <c r="BS602" s="104"/>
      <c r="BT602" s="87">
        <f t="shared" si="142"/>
      </c>
      <c r="BU602" s="85">
        <f t="shared" si="143"/>
      </c>
      <c r="BV602" s="85">
        <f t="shared" si="144"/>
      </c>
      <c r="BW602" s="87">
        <f t="shared" si="145"/>
      </c>
      <c r="BX602" s="104"/>
      <c r="BY602" s="106"/>
      <c r="BZ602" s="104"/>
      <c r="CA602" s="105"/>
      <c r="CB602" s="77">
        <f>IF($A602="",0,IF($B602='FICHA CLIENTE'!$C$4,1,0))</f>
      </c>
      <c r="CC602" s="77">
        <f t="shared" si="146"/>
      </c>
      <c r="CD602" s="77">
        <f>IF($A602="",0,IF($D602='FICHA VEHICULO'!$C$4,1,0))</f>
      </c>
      <c r="CE602" s="77">
        <f t="shared" si="147"/>
      </c>
      <c r="CF602" s="77">
        <f t="shared" si="148"/>
      </c>
      <c r="CG602" s="77">
        <f t="shared" si="149"/>
      </c>
    </row>
    <row r="603" spans="1:85" ht="19.5" customHeight="1" x14ac:dyDescent="0.2">
      <c r="A603" s="104"/>
      <c r="B603" s="104"/>
      <c r="C603" s="105"/>
      <c r="D603" s="104"/>
      <c r="E603" s="105"/>
      <c r="F603" s="106"/>
      <c r="G603" s="104"/>
      <c r="H603" s="106"/>
      <c r="I603" s="107"/>
      <c r="J603" s="108"/>
      <c r="K603" s="108"/>
      <c r="L603" s="108"/>
      <c r="M603" s="105"/>
      <c r="N603" s="105"/>
      <c r="O603" s="105"/>
      <c r="P603" s="108"/>
      <c r="Q603" s="105"/>
      <c r="R603" s="105"/>
      <c r="S603" s="105"/>
      <c r="T603" s="105"/>
      <c r="U603" s="108"/>
      <c r="V603" s="105"/>
      <c r="W603" s="105"/>
      <c r="X603" s="105"/>
      <c r="Y603" s="105"/>
      <c r="Z603" s="105"/>
      <c r="AA603" s="108"/>
      <c r="AB603" s="108"/>
      <c r="AC603" s="105"/>
      <c r="AD603" s="279"/>
      <c r="AE603" s="105"/>
      <c r="AF603" s="279"/>
      <c r="AG603" s="105"/>
      <c r="AH603" s="108"/>
      <c r="AI603" s="108"/>
      <c r="AJ603" s="108"/>
      <c r="AK603" s="108"/>
      <c r="AL603" s="105"/>
      <c r="AM603" s="108"/>
      <c r="AN603" s="105"/>
      <c r="AO603" s="108"/>
      <c r="AP603" s="108"/>
      <c r="AQ603" s="105"/>
      <c r="AR603" s="108"/>
      <c r="AS603" s="108"/>
      <c r="AT603" s="105"/>
      <c r="AU603" s="105"/>
      <c r="AV603" s="105"/>
      <c r="AW603" s="105"/>
      <c r="AX603" s="105"/>
      <c r="AY603" s="105"/>
      <c r="AZ603" s="105"/>
      <c r="BA603" s="105"/>
      <c r="BB603" s="105"/>
      <c r="BC603" s="105"/>
      <c r="BD603" s="108"/>
      <c r="BE603" s="83">
        <f>IF($A603="","",IF(TRIM($D603&amp;"")="",IF(TRIM($AX603&amp;$AY603&amp;$AZ603&amp;$BA603&amp;$BB603&amp;$BC603&amp;$BD603&amp;"")="","","SUBARRENDADO"),IFERROR(IF(VLOOKUP($D603,VEHICULOS!$A$3:$H$202,7,FALSE)="","",VLOOKUP($D603,VEHICULOS!$A$3:$H$202,7,FALSE)),"")))</f>
      </c>
      <c r="BF603" s="82">
        <f>IF($A603="","",IF(TRIM($BC603&amp;"")&lt;&gt;"",$BC603,IF(TRIM($D603&amp;"")="","",IFERROR(IF(VLOOKUP($D603,VEHICULOS!$A$3:$H$202,8,FALSE)="","",VLOOKUP($D603,VEHICULOS!$A$3:$H$202,8,FALSE)),""))))</f>
      </c>
      <c r="BG603" s="106"/>
      <c r="BH603" s="107"/>
      <c r="BI603" s="86">
        <f t="shared" si="135"/>
      </c>
      <c r="BJ603" s="83">
        <f t="shared" si="136"/>
      </c>
      <c r="BK603" s="85">
        <f t="shared" si="137"/>
      </c>
      <c r="BL603" s="85">
        <f t="shared" si="138"/>
      </c>
      <c r="BM603" s="108"/>
      <c r="BN603" s="85">
        <f t="shared" si="139"/>
      </c>
      <c r="BO603" s="108"/>
      <c r="BP603" s="85">
        <f t="shared" si="140"/>
      </c>
      <c r="BQ603" s="85">
        <f t="shared" si="141"/>
      </c>
      <c r="BR603" s="108"/>
      <c r="BS603" s="104"/>
      <c r="BT603" s="87">
        <f t="shared" si="142"/>
      </c>
      <c r="BU603" s="85">
        <f t="shared" si="143"/>
      </c>
      <c r="BV603" s="85">
        <f t="shared" si="144"/>
      </c>
      <c r="BW603" s="87">
        <f t="shared" si="145"/>
      </c>
      <c r="BX603" s="104"/>
      <c r="BY603" s="106"/>
      <c r="BZ603" s="104"/>
      <c r="CA603" s="105"/>
      <c r="CB603" s="77">
        <f>IF($A603="",0,IF($B603='FICHA CLIENTE'!$C$4,1,0))</f>
      </c>
      <c r="CC603" s="77">
        <f t="shared" si="146"/>
      </c>
      <c r="CD603" s="77">
        <f>IF($A603="",0,IF($D603='FICHA VEHICULO'!$C$4,1,0))</f>
      </c>
      <c r="CE603" s="77">
        <f t="shared" si="147"/>
      </c>
      <c r="CF603" s="77">
        <f t="shared" si="148"/>
      </c>
      <c r="CG603" s="77">
        <f t="shared" si="149"/>
      </c>
    </row>
    <row r="604" spans="1:85" ht="19.5" customHeight="1" x14ac:dyDescent="0.2">
      <c r="A604" s="104"/>
      <c r="B604" s="104"/>
      <c r="C604" s="105"/>
      <c r="D604" s="104"/>
      <c r="E604" s="105"/>
      <c r="F604" s="106"/>
      <c r="G604" s="104"/>
      <c r="H604" s="106"/>
      <c r="I604" s="107"/>
      <c r="J604" s="108"/>
      <c r="K604" s="108"/>
      <c r="L604" s="108"/>
      <c r="M604" s="105"/>
      <c r="N604" s="105"/>
      <c r="O604" s="105"/>
      <c r="P604" s="108"/>
      <c r="Q604" s="105"/>
      <c r="R604" s="105"/>
      <c r="S604" s="105"/>
      <c r="T604" s="105"/>
      <c r="U604" s="108"/>
      <c r="V604" s="105"/>
      <c r="W604" s="105"/>
      <c r="X604" s="105"/>
      <c r="Y604" s="105"/>
      <c r="Z604" s="105"/>
      <c r="AA604" s="108"/>
      <c r="AB604" s="108"/>
      <c r="AC604" s="105"/>
      <c r="AD604" s="279"/>
      <c r="AE604" s="105"/>
      <c r="AF604" s="279"/>
      <c r="AG604" s="105"/>
      <c r="AH604" s="108"/>
      <c r="AI604" s="108"/>
      <c r="AJ604" s="108"/>
      <c r="AK604" s="108"/>
      <c r="AL604" s="105"/>
      <c r="AM604" s="108"/>
      <c r="AN604" s="105"/>
      <c r="AO604" s="108"/>
      <c r="AP604" s="108"/>
      <c r="AQ604" s="105"/>
      <c r="AR604" s="108"/>
      <c r="AS604" s="108"/>
      <c r="AT604" s="105"/>
      <c r="AU604" s="105"/>
      <c r="AV604" s="105"/>
      <c r="AW604" s="105"/>
      <c r="AX604" s="105"/>
      <c r="AY604" s="105"/>
      <c r="AZ604" s="105"/>
      <c r="BA604" s="105"/>
      <c r="BB604" s="105"/>
      <c r="BC604" s="105"/>
      <c r="BD604" s="108"/>
      <c r="BE604" s="83">
        <f>IF($A604="","",IF(TRIM($D604&amp;"")="",IF(TRIM($AX604&amp;$AY604&amp;$AZ604&amp;$BA604&amp;$BB604&amp;$BC604&amp;$BD604&amp;"")="","","SUBARRENDADO"),IFERROR(IF(VLOOKUP($D604,VEHICULOS!$A$3:$H$202,7,FALSE)="","",VLOOKUP($D604,VEHICULOS!$A$3:$H$202,7,FALSE)),"")))</f>
      </c>
      <c r="BF604" s="82">
        <f>IF($A604="","",IF(TRIM($BC604&amp;"")&lt;&gt;"",$BC604,IF(TRIM($D604&amp;"")="","",IFERROR(IF(VLOOKUP($D604,VEHICULOS!$A$3:$H$202,8,FALSE)="","",VLOOKUP($D604,VEHICULOS!$A$3:$H$202,8,FALSE)),""))))</f>
      </c>
      <c r="BG604" s="106"/>
      <c r="BH604" s="107"/>
      <c r="BI604" s="86">
        <f t="shared" si="135"/>
      </c>
      <c r="BJ604" s="83">
        <f t="shared" si="136"/>
      </c>
      <c r="BK604" s="85">
        <f t="shared" si="137"/>
      </c>
      <c r="BL604" s="85">
        <f t="shared" si="138"/>
      </c>
      <c r="BM604" s="108"/>
      <c r="BN604" s="85">
        <f t="shared" si="139"/>
      </c>
      <c r="BO604" s="108"/>
      <c r="BP604" s="85">
        <f t="shared" si="140"/>
      </c>
      <c r="BQ604" s="85">
        <f t="shared" si="141"/>
      </c>
      <c r="BR604" s="108"/>
      <c r="BS604" s="104"/>
      <c r="BT604" s="87">
        <f t="shared" si="142"/>
      </c>
      <c r="BU604" s="85">
        <f t="shared" si="143"/>
      </c>
      <c r="BV604" s="85">
        <f t="shared" si="144"/>
      </c>
      <c r="BW604" s="87">
        <f t="shared" si="145"/>
      </c>
      <c r="BX604" s="104"/>
      <c r="BY604" s="106"/>
      <c r="BZ604" s="104"/>
      <c r="CA604" s="105"/>
      <c r="CB604" s="77">
        <f>IF($A604="",0,IF($B604='FICHA CLIENTE'!$C$4,1,0))</f>
      </c>
      <c r="CC604" s="77">
        <f t="shared" si="146"/>
      </c>
      <c r="CD604" s="77">
        <f>IF($A604="",0,IF($D604='FICHA VEHICULO'!$C$4,1,0))</f>
      </c>
      <c r="CE604" s="77">
        <f t="shared" si="147"/>
      </c>
      <c r="CF604" s="77">
        <f t="shared" si="148"/>
      </c>
      <c r="CG604" s="77">
        <f t="shared" si="149"/>
      </c>
    </row>
    <row r="605" spans="1:85" ht="19.5" customHeight="1" x14ac:dyDescent="0.2">
      <c r="A605" s="104"/>
      <c r="B605" s="104"/>
      <c r="C605" s="105"/>
      <c r="D605" s="104"/>
      <c r="E605" s="105"/>
      <c r="F605" s="106"/>
      <c r="G605" s="104"/>
      <c r="H605" s="106"/>
      <c r="I605" s="107"/>
      <c r="J605" s="108"/>
      <c r="K605" s="108"/>
      <c r="L605" s="108"/>
      <c r="M605" s="105"/>
      <c r="N605" s="105"/>
      <c r="O605" s="105"/>
      <c r="P605" s="108"/>
      <c r="Q605" s="105"/>
      <c r="R605" s="105"/>
      <c r="S605" s="105"/>
      <c r="T605" s="105"/>
      <c r="U605" s="108"/>
      <c r="V605" s="105"/>
      <c r="W605" s="105"/>
      <c r="X605" s="105"/>
      <c r="Y605" s="105"/>
      <c r="Z605" s="105"/>
      <c r="AA605" s="108"/>
      <c r="AB605" s="108"/>
      <c r="AC605" s="105"/>
      <c r="AD605" s="279"/>
      <c r="AE605" s="105"/>
      <c r="AF605" s="279"/>
      <c r="AG605" s="105"/>
      <c r="AH605" s="108"/>
      <c r="AI605" s="108"/>
      <c r="AJ605" s="108"/>
      <c r="AK605" s="108"/>
      <c r="AL605" s="105"/>
      <c r="AM605" s="108"/>
      <c r="AN605" s="105"/>
      <c r="AO605" s="108"/>
      <c r="AP605" s="108"/>
      <c r="AQ605" s="105"/>
      <c r="AR605" s="108"/>
      <c r="AS605" s="108"/>
      <c r="AT605" s="105"/>
      <c r="AU605" s="105"/>
      <c r="AV605" s="105"/>
      <c r="AW605" s="105"/>
      <c r="AX605" s="105"/>
      <c r="AY605" s="105"/>
      <c r="AZ605" s="105"/>
      <c r="BA605" s="105"/>
      <c r="BB605" s="105"/>
      <c r="BC605" s="105"/>
      <c r="BD605" s="108"/>
      <c r="BE605" s="83">
        <f>IF($A605="","",IF(TRIM($D605&amp;"")="",IF(TRIM($AX605&amp;$AY605&amp;$AZ605&amp;$BA605&amp;$BB605&amp;$BC605&amp;$BD605&amp;"")="","","SUBARRENDADO"),IFERROR(IF(VLOOKUP($D605,VEHICULOS!$A$3:$H$202,7,FALSE)="","",VLOOKUP($D605,VEHICULOS!$A$3:$H$202,7,FALSE)),"")))</f>
      </c>
      <c r="BF605" s="82">
        <f>IF($A605="","",IF(TRIM($BC605&amp;"")&lt;&gt;"",$BC605,IF(TRIM($D605&amp;"")="","",IFERROR(IF(VLOOKUP($D605,VEHICULOS!$A$3:$H$202,8,FALSE)="","",VLOOKUP($D605,VEHICULOS!$A$3:$H$202,8,FALSE)),""))))</f>
      </c>
      <c r="BG605" s="106"/>
      <c r="BH605" s="107"/>
      <c r="BI605" s="86">
        <f t="shared" si="135"/>
      </c>
      <c r="BJ605" s="83">
        <f t="shared" si="136"/>
      </c>
      <c r="BK605" s="85">
        <f t="shared" si="137"/>
      </c>
      <c r="BL605" s="85">
        <f t="shared" si="138"/>
      </c>
      <c r="BM605" s="108"/>
      <c r="BN605" s="85">
        <f t="shared" si="139"/>
      </c>
      <c r="BO605" s="108"/>
      <c r="BP605" s="85">
        <f t="shared" si="140"/>
      </c>
      <c r="BQ605" s="85">
        <f t="shared" si="141"/>
      </c>
      <c r="BR605" s="108"/>
      <c r="BS605" s="104"/>
      <c r="BT605" s="87">
        <f t="shared" si="142"/>
      </c>
      <c r="BU605" s="85">
        <f t="shared" si="143"/>
      </c>
      <c r="BV605" s="85">
        <f t="shared" si="144"/>
      </c>
      <c r="BW605" s="87">
        <f t="shared" si="145"/>
      </c>
      <c r="BX605" s="104"/>
      <c r="BY605" s="106"/>
      <c r="BZ605" s="104"/>
      <c r="CA605" s="105"/>
      <c r="CB605" s="77">
        <f>IF($A605="",0,IF($B605='FICHA CLIENTE'!$C$4,1,0))</f>
      </c>
      <c r="CC605" s="77">
        <f t="shared" si="146"/>
      </c>
      <c r="CD605" s="77">
        <f>IF($A605="",0,IF($D605='FICHA VEHICULO'!$C$4,1,0))</f>
      </c>
      <c r="CE605" s="77">
        <f t="shared" si="147"/>
      </c>
      <c r="CF605" s="77">
        <f t="shared" si="148"/>
      </c>
      <c r="CG605" s="77">
        <f t="shared" si="149"/>
      </c>
    </row>
    <row r="606" spans="1:85" ht="19.5" customHeight="1" x14ac:dyDescent="0.2">
      <c r="A606" s="104"/>
      <c r="B606" s="104"/>
      <c r="C606" s="105"/>
      <c r="D606" s="104"/>
      <c r="E606" s="105"/>
      <c r="F606" s="106"/>
      <c r="G606" s="104"/>
      <c r="H606" s="106"/>
      <c r="I606" s="107"/>
      <c r="J606" s="108"/>
      <c r="K606" s="108"/>
      <c r="L606" s="108"/>
      <c r="M606" s="105"/>
      <c r="N606" s="105"/>
      <c r="O606" s="105"/>
      <c r="P606" s="108"/>
      <c r="Q606" s="105"/>
      <c r="R606" s="105"/>
      <c r="S606" s="105"/>
      <c r="T606" s="105"/>
      <c r="U606" s="108"/>
      <c r="V606" s="105"/>
      <c r="W606" s="105"/>
      <c r="X606" s="105"/>
      <c r="Y606" s="105"/>
      <c r="Z606" s="105"/>
      <c r="AA606" s="108"/>
      <c r="AB606" s="108"/>
      <c r="AC606" s="105"/>
      <c r="AD606" s="279"/>
      <c r="AE606" s="105"/>
      <c r="AF606" s="279"/>
      <c r="AG606" s="105"/>
      <c r="AH606" s="108"/>
      <c r="AI606" s="108"/>
      <c r="AJ606" s="108"/>
      <c r="AK606" s="108"/>
      <c r="AL606" s="105"/>
      <c r="AM606" s="108"/>
      <c r="AN606" s="105"/>
      <c r="AO606" s="108"/>
      <c r="AP606" s="108"/>
      <c r="AQ606" s="105"/>
      <c r="AR606" s="108"/>
      <c r="AS606" s="108"/>
      <c r="AT606" s="105"/>
      <c r="AU606" s="105"/>
      <c r="AV606" s="105"/>
      <c r="AW606" s="105"/>
      <c r="AX606" s="105"/>
      <c r="AY606" s="105"/>
      <c r="AZ606" s="105"/>
      <c r="BA606" s="105"/>
      <c r="BB606" s="105"/>
      <c r="BC606" s="105"/>
      <c r="BD606" s="108"/>
      <c r="BE606" s="83">
        <f>IF($A606="","",IF(TRIM($D606&amp;"")="",IF(TRIM($AX606&amp;$AY606&amp;$AZ606&amp;$BA606&amp;$BB606&amp;$BC606&amp;$BD606&amp;"")="","","SUBARRENDADO"),IFERROR(IF(VLOOKUP($D606,VEHICULOS!$A$3:$H$202,7,FALSE)="","",VLOOKUP($D606,VEHICULOS!$A$3:$H$202,7,FALSE)),"")))</f>
      </c>
      <c r="BF606" s="82">
        <f>IF($A606="","",IF(TRIM($BC606&amp;"")&lt;&gt;"",$BC606,IF(TRIM($D606&amp;"")="","",IFERROR(IF(VLOOKUP($D606,VEHICULOS!$A$3:$H$202,8,FALSE)="","",VLOOKUP($D606,VEHICULOS!$A$3:$H$202,8,FALSE)),""))))</f>
      </c>
      <c r="BG606" s="106"/>
      <c r="BH606" s="107"/>
      <c r="BI606" s="86">
        <f t="shared" si="135"/>
      </c>
      <c r="BJ606" s="83">
        <f t="shared" si="136"/>
      </c>
      <c r="BK606" s="85">
        <f t="shared" si="137"/>
      </c>
      <c r="BL606" s="85">
        <f t="shared" si="138"/>
      </c>
      <c r="BM606" s="108"/>
      <c r="BN606" s="85">
        <f t="shared" si="139"/>
      </c>
      <c r="BO606" s="108"/>
      <c r="BP606" s="85">
        <f t="shared" si="140"/>
      </c>
      <c r="BQ606" s="85">
        <f t="shared" si="141"/>
      </c>
      <c r="BR606" s="108"/>
      <c r="BS606" s="104"/>
      <c r="BT606" s="87">
        <f t="shared" si="142"/>
      </c>
      <c r="BU606" s="85">
        <f t="shared" si="143"/>
      </c>
      <c r="BV606" s="85">
        <f t="shared" si="144"/>
      </c>
      <c r="BW606" s="87">
        <f t="shared" si="145"/>
      </c>
      <c r="BX606" s="104"/>
      <c r="BY606" s="106"/>
      <c r="BZ606" s="104"/>
      <c r="CA606" s="105"/>
      <c r="CB606" s="77">
        <f>IF($A606="",0,IF($B606='FICHA CLIENTE'!$C$4,1,0))</f>
      </c>
      <c r="CC606" s="77">
        <f t="shared" si="146"/>
      </c>
      <c r="CD606" s="77">
        <f>IF($A606="",0,IF($D606='FICHA VEHICULO'!$C$4,1,0))</f>
      </c>
      <c r="CE606" s="77">
        <f t="shared" si="147"/>
      </c>
      <c r="CF606" s="77">
        <f t="shared" si="148"/>
      </c>
      <c r="CG606" s="77">
        <f t="shared" si="149"/>
      </c>
    </row>
    <row r="607" spans="1:85" ht="19.5" customHeight="1" x14ac:dyDescent="0.2">
      <c r="A607" s="104"/>
      <c r="B607" s="104"/>
      <c r="C607" s="105"/>
      <c r="D607" s="104"/>
      <c r="E607" s="105"/>
      <c r="F607" s="106"/>
      <c r="G607" s="104"/>
      <c r="H607" s="106"/>
      <c r="I607" s="107"/>
      <c r="J607" s="108"/>
      <c r="K607" s="108"/>
      <c r="L607" s="108"/>
      <c r="M607" s="105"/>
      <c r="N607" s="105"/>
      <c r="O607" s="105"/>
      <c r="P607" s="108"/>
      <c r="Q607" s="105"/>
      <c r="R607" s="105"/>
      <c r="S607" s="105"/>
      <c r="T607" s="105"/>
      <c r="U607" s="108"/>
      <c r="V607" s="105"/>
      <c r="W607" s="105"/>
      <c r="X607" s="105"/>
      <c r="Y607" s="105"/>
      <c r="Z607" s="105"/>
      <c r="AA607" s="108"/>
      <c r="AB607" s="108"/>
      <c r="AC607" s="105"/>
      <c r="AD607" s="279"/>
      <c r="AE607" s="105"/>
      <c r="AF607" s="279"/>
      <c r="AG607" s="105"/>
      <c r="AH607" s="108"/>
      <c r="AI607" s="108"/>
      <c r="AJ607" s="108"/>
      <c r="AK607" s="108"/>
      <c r="AL607" s="105"/>
      <c r="AM607" s="108"/>
      <c r="AN607" s="105"/>
      <c r="AO607" s="108"/>
      <c r="AP607" s="108"/>
      <c r="AQ607" s="105"/>
      <c r="AR607" s="108"/>
      <c r="AS607" s="108"/>
      <c r="AT607" s="105"/>
      <c r="AU607" s="105"/>
      <c r="AV607" s="105"/>
      <c r="AW607" s="105"/>
      <c r="AX607" s="105"/>
      <c r="AY607" s="105"/>
      <c r="AZ607" s="105"/>
      <c r="BA607" s="105"/>
      <c r="BB607" s="105"/>
      <c r="BC607" s="105"/>
      <c r="BD607" s="108"/>
      <c r="BE607" s="83">
        <f>IF($A607="","",IF(TRIM($D607&amp;"")="",IF(TRIM($AX607&amp;$AY607&amp;$AZ607&amp;$BA607&amp;$BB607&amp;$BC607&amp;$BD607&amp;"")="","","SUBARRENDADO"),IFERROR(IF(VLOOKUP($D607,VEHICULOS!$A$3:$H$202,7,FALSE)="","",VLOOKUP($D607,VEHICULOS!$A$3:$H$202,7,FALSE)),"")))</f>
      </c>
      <c r="BF607" s="82">
        <f>IF($A607="","",IF(TRIM($BC607&amp;"")&lt;&gt;"",$BC607,IF(TRIM($D607&amp;"")="","",IFERROR(IF(VLOOKUP($D607,VEHICULOS!$A$3:$H$202,8,FALSE)="","",VLOOKUP($D607,VEHICULOS!$A$3:$H$202,8,FALSE)),""))))</f>
      </c>
      <c r="BG607" s="106"/>
      <c r="BH607" s="107"/>
      <c r="BI607" s="86">
        <f t="shared" si="135"/>
      </c>
      <c r="BJ607" s="83">
        <f t="shared" si="136"/>
      </c>
      <c r="BK607" s="85">
        <f t="shared" si="137"/>
      </c>
      <c r="BL607" s="85">
        <f t="shared" si="138"/>
      </c>
      <c r="BM607" s="108"/>
      <c r="BN607" s="85">
        <f t="shared" si="139"/>
      </c>
      <c r="BO607" s="108"/>
      <c r="BP607" s="85">
        <f t="shared" si="140"/>
      </c>
      <c r="BQ607" s="85">
        <f t="shared" si="141"/>
      </c>
      <c r="BR607" s="108"/>
      <c r="BS607" s="104"/>
      <c r="BT607" s="87">
        <f t="shared" si="142"/>
      </c>
      <c r="BU607" s="85">
        <f t="shared" si="143"/>
      </c>
      <c r="BV607" s="85">
        <f t="shared" si="144"/>
      </c>
      <c r="BW607" s="87">
        <f t="shared" si="145"/>
      </c>
      <c r="BX607" s="104"/>
      <c r="BY607" s="106"/>
      <c r="BZ607" s="104"/>
      <c r="CA607" s="105"/>
      <c r="CB607" s="77">
        <f>IF($A607="",0,IF($B607='FICHA CLIENTE'!$C$4,1,0))</f>
      </c>
      <c r="CC607" s="77">
        <f t="shared" si="146"/>
      </c>
      <c r="CD607" s="77">
        <f>IF($A607="",0,IF($D607='FICHA VEHICULO'!$C$4,1,0))</f>
      </c>
      <c r="CE607" s="77">
        <f t="shared" si="147"/>
      </c>
      <c r="CF607" s="77">
        <f t="shared" si="148"/>
      </c>
      <c r="CG607" s="77">
        <f t="shared" si="149"/>
      </c>
    </row>
    <row r="608" spans="1:85" ht="19.5" customHeight="1" x14ac:dyDescent="0.2">
      <c r="A608" s="104"/>
      <c r="B608" s="104"/>
      <c r="C608" s="105"/>
      <c r="D608" s="104"/>
      <c r="E608" s="105"/>
      <c r="F608" s="106"/>
      <c r="G608" s="104"/>
      <c r="H608" s="106"/>
      <c r="I608" s="107"/>
      <c r="J608" s="108"/>
      <c r="K608" s="108"/>
      <c r="L608" s="108"/>
      <c r="M608" s="105"/>
      <c r="N608" s="105"/>
      <c r="O608" s="105"/>
      <c r="P608" s="108"/>
      <c r="Q608" s="105"/>
      <c r="R608" s="105"/>
      <c r="S608" s="105"/>
      <c r="T608" s="105"/>
      <c r="U608" s="108"/>
      <c r="V608" s="105"/>
      <c r="W608" s="105"/>
      <c r="X608" s="105"/>
      <c r="Y608" s="105"/>
      <c r="Z608" s="105"/>
      <c r="AA608" s="108"/>
      <c r="AB608" s="108"/>
      <c r="AC608" s="105"/>
      <c r="AD608" s="279"/>
      <c r="AE608" s="105"/>
      <c r="AF608" s="279"/>
      <c r="AG608" s="105"/>
      <c r="AH608" s="108"/>
      <c r="AI608" s="108"/>
      <c r="AJ608" s="108"/>
      <c r="AK608" s="108"/>
      <c r="AL608" s="105"/>
      <c r="AM608" s="108"/>
      <c r="AN608" s="105"/>
      <c r="AO608" s="108"/>
      <c r="AP608" s="108"/>
      <c r="AQ608" s="105"/>
      <c r="AR608" s="108"/>
      <c r="AS608" s="108"/>
      <c r="AT608" s="105"/>
      <c r="AU608" s="105"/>
      <c r="AV608" s="105"/>
      <c r="AW608" s="105"/>
      <c r="AX608" s="105"/>
      <c r="AY608" s="105"/>
      <c r="AZ608" s="105"/>
      <c r="BA608" s="105"/>
      <c r="BB608" s="105"/>
      <c r="BC608" s="105"/>
      <c r="BD608" s="108"/>
      <c r="BE608" s="83">
        <f>IF($A608="","",IF(TRIM($D608&amp;"")="",IF(TRIM($AX608&amp;$AY608&amp;$AZ608&amp;$BA608&amp;$BB608&amp;$BC608&amp;$BD608&amp;"")="","","SUBARRENDADO"),IFERROR(IF(VLOOKUP($D608,VEHICULOS!$A$3:$H$202,7,FALSE)="","",VLOOKUP($D608,VEHICULOS!$A$3:$H$202,7,FALSE)),"")))</f>
      </c>
      <c r="BF608" s="82">
        <f>IF($A608="","",IF(TRIM($BC608&amp;"")&lt;&gt;"",$BC608,IF(TRIM($D608&amp;"")="","",IFERROR(IF(VLOOKUP($D608,VEHICULOS!$A$3:$H$202,8,FALSE)="","",VLOOKUP($D608,VEHICULOS!$A$3:$H$202,8,FALSE)),""))))</f>
      </c>
      <c r="BG608" s="106"/>
      <c r="BH608" s="107"/>
      <c r="BI608" s="86">
        <f t="shared" si="135"/>
      </c>
      <c r="BJ608" s="83">
        <f t="shared" si="136"/>
      </c>
      <c r="BK608" s="85">
        <f t="shared" si="137"/>
      </c>
      <c r="BL608" s="85">
        <f t="shared" si="138"/>
      </c>
      <c r="BM608" s="108"/>
      <c r="BN608" s="85">
        <f t="shared" si="139"/>
      </c>
      <c r="BO608" s="108"/>
      <c r="BP608" s="85">
        <f t="shared" si="140"/>
      </c>
      <c r="BQ608" s="85">
        <f t="shared" si="141"/>
      </c>
      <c r="BR608" s="108"/>
      <c r="BS608" s="104"/>
      <c r="BT608" s="87">
        <f t="shared" si="142"/>
      </c>
      <c r="BU608" s="85">
        <f t="shared" si="143"/>
      </c>
      <c r="BV608" s="85">
        <f t="shared" si="144"/>
      </c>
      <c r="BW608" s="87">
        <f t="shared" si="145"/>
      </c>
      <c r="BX608" s="104"/>
      <c r="BY608" s="106"/>
      <c r="BZ608" s="104"/>
      <c r="CA608" s="105"/>
      <c r="CB608" s="77">
        <f>IF($A608="",0,IF($B608='FICHA CLIENTE'!$C$4,1,0))</f>
      </c>
      <c r="CC608" s="77">
        <f t="shared" si="146"/>
      </c>
      <c r="CD608" s="77">
        <f>IF($A608="",0,IF($D608='FICHA VEHICULO'!$C$4,1,0))</f>
      </c>
      <c r="CE608" s="77">
        <f t="shared" si="147"/>
      </c>
      <c r="CF608" s="77">
        <f t="shared" si="148"/>
      </c>
      <c r="CG608" s="77">
        <f t="shared" si="149"/>
      </c>
    </row>
    <row r="609" spans="1:85" ht="19.5" customHeight="1" x14ac:dyDescent="0.2">
      <c r="A609" s="104"/>
      <c r="B609" s="104"/>
      <c r="C609" s="105"/>
      <c r="D609" s="104"/>
      <c r="E609" s="105"/>
      <c r="F609" s="106"/>
      <c r="G609" s="104"/>
      <c r="H609" s="106"/>
      <c r="I609" s="107"/>
      <c r="J609" s="108"/>
      <c r="K609" s="108"/>
      <c r="L609" s="108"/>
      <c r="M609" s="105"/>
      <c r="N609" s="105"/>
      <c r="O609" s="105"/>
      <c r="P609" s="108"/>
      <c r="Q609" s="105"/>
      <c r="R609" s="105"/>
      <c r="S609" s="105"/>
      <c r="T609" s="105"/>
      <c r="U609" s="108"/>
      <c r="V609" s="105"/>
      <c r="W609" s="105"/>
      <c r="X609" s="105"/>
      <c r="Y609" s="105"/>
      <c r="Z609" s="105"/>
      <c r="AA609" s="108"/>
      <c r="AB609" s="108"/>
      <c r="AC609" s="105"/>
      <c r="AD609" s="279"/>
      <c r="AE609" s="105"/>
      <c r="AF609" s="279"/>
      <c r="AG609" s="105"/>
      <c r="AH609" s="108"/>
      <c r="AI609" s="108"/>
      <c r="AJ609" s="108"/>
      <c r="AK609" s="108"/>
      <c r="AL609" s="105"/>
      <c r="AM609" s="108"/>
      <c r="AN609" s="105"/>
      <c r="AO609" s="108"/>
      <c r="AP609" s="108"/>
      <c r="AQ609" s="105"/>
      <c r="AR609" s="108"/>
      <c r="AS609" s="108"/>
      <c r="AT609" s="105"/>
      <c r="AU609" s="105"/>
      <c r="AV609" s="105"/>
      <c r="AW609" s="105"/>
      <c r="AX609" s="105"/>
      <c r="AY609" s="105"/>
      <c r="AZ609" s="105"/>
      <c r="BA609" s="105"/>
      <c r="BB609" s="105"/>
      <c r="BC609" s="105"/>
      <c r="BD609" s="108"/>
      <c r="BE609" s="83">
        <f>IF($A609="","",IF(TRIM($D609&amp;"")="",IF(TRIM($AX609&amp;$AY609&amp;$AZ609&amp;$BA609&amp;$BB609&amp;$BC609&amp;$BD609&amp;"")="","","SUBARRENDADO"),IFERROR(IF(VLOOKUP($D609,VEHICULOS!$A$3:$H$202,7,FALSE)="","",VLOOKUP($D609,VEHICULOS!$A$3:$H$202,7,FALSE)),"")))</f>
      </c>
      <c r="BF609" s="82">
        <f>IF($A609="","",IF(TRIM($BC609&amp;"")&lt;&gt;"",$BC609,IF(TRIM($D609&amp;"")="","",IFERROR(IF(VLOOKUP($D609,VEHICULOS!$A$3:$H$202,8,FALSE)="","",VLOOKUP($D609,VEHICULOS!$A$3:$H$202,8,FALSE)),""))))</f>
      </c>
      <c r="BG609" s="106"/>
      <c r="BH609" s="107"/>
      <c r="BI609" s="86">
        <f t="shared" si="135"/>
      </c>
      <c r="BJ609" s="83">
        <f t="shared" si="136"/>
      </c>
      <c r="BK609" s="85">
        <f t="shared" si="137"/>
      </c>
      <c r="BL609" s="85">
        <f t="shared" si="138"/>
      </c>
      <c r="BM609" s="108"/>
      <c r="BN609" s="85">
        <f t="shared" si="139"/>
      </c>
      <c r="BO609" s="108"/>
      <c r="BP609" s="85">
        <f t="shared" si="140"/>
      </c>
      <c r="BQ609" s="85">
        <f t="shared" si="141"/>
      </c>
      <c r="BR609" s="108"/>
      <c r="BS609" s="104"/>
      <c r="BT609" s="87">
        <f t="shared" si="142"/>
      </c>
      <c r="BU609" s="85">
        <f t="shared" si="143"/>
      </c>
      <c r="BV609" s="85">
        <f t="shared" si="144"/>
      </c>
      <c r="BW609" s="87">
        <f t="shared" si="145"/>
      </c>
      <c r="BX609" s="104"/>
      <c r="BY609" s="106"/>
      <c r="BZ609" s="104"/>
      <c r="CA609" s="105"/>
      <c r="CB609" s="77">
        <f>IF($A609="",0,IF($B609='FICHA CLIENTE'!$C$4,1,0))</f>
      </c>
      <c r="CC609" s="77">
        <f t="shared" si="146"/>
      </c>
      <c r="CD609" s="77">
        <f>IF($A609="",0,IF($D609='FICHA VEHICULO'!$C$4,1,0))</f>
      </c>
      <c r="CE609" s="77">
        <f t="shared" si="147"/>
      </c>
      <c r="CF609" s="77">
        <f t="shared" si="148"/>
      </c>
      <c r="CG609" s="77">
        <f t="shared" si="149"/>
      </c>
    </row>
    <row r="610" spans="1:85" ht="19.5" customHeight="1" x14ac:dyDescent="0.2">
      <c r="A610" s="104"/>
      <c r="B610" s="104"/>
      <c r="C610" s="105"/>
      <c r="D610" s="104"/>
      <c r="E610" s="105"/>
      <c r="F610" s="106"/>
      <c r="G610" s="104"/>
      <c r="H610" s="106"/>
      <c r="I610" s="107"/>
      <c r="J610" s="108"/>
      <c r="K610" s="108"/>
      <c r="L610" s="108"/>
      <c r="M610" s="105"/>
      <c r="N610" s="105"/>
      <c r="O610" s="105"/>
      <c r="P610" s="108"/>
      <c r="Q610" s="105"/>
      <c r="R610" s="105"/>
      <c r="S610" s="105"/>
      <c r="T610" s="105"/>
      <c r="U610" s="108"/>
      <c r="V610" s="105"/>
      <c r="W610" s="105"/>
      <c r="X610" s="105"/>
      <c r="Y610" s="105"/>
      <c r="Z610" s="105"/>
      <c r="AA610" s="108"/>
      <c r="AB610" s="108"/>
      <c r="AC610" s="105"/>
      <c r="AD610" s="279"/>
      <c r="AE610" s="105"/>
      <c r="AF610" s="279"/>
      <c r="AG610" s="105"/>
      <c r="AH610" s="108"/>
      <c r="AI610" s="108"/>
      <c r="AJ610" s="108"/>
      <c r="AK610" s="108"/>
      <c r="AL610" s="105"/>
      <c r="AM610" s="108"/>
      <c r="AN610" s="105"/>
      <c r="AO610" s="108"/>
      <c r="AP610" s="108"/>
      <c r="AQ610" s="105"/>
      <c r="AR610" s="108"/>
      <c r="AS610" s="108"/>
      <c r="AT610" s="105"/>
      <c r="AU610" s="105"/>
      <c r="AV610" s="105"/>
      <c r="AW610" s="105"/>
      <c r="AX610" s="105"/>
      <c r="AY610" s="105"/>
      <c r="AZ610" s="105"/>
      <c r="BA610" s="105"/>
      <c r="BB610" s="105"/>
      <c r="BC610" s="105"/>
      <c r="BD610" s="108"/>
      <c r="BE610" s="83">
        <f>IF($A610="","",IF(TRIM($D610&amp;"")="",IF(TRIM($AX610&amp;$AY610&amp;$AZ610&amp;$BA610&amp;$BB610&amp;$BC610&amp;$BD610&amp;"")="","","SUBARRENDADO"),IFERROR(IF(VLOOKUP($D610,VEHICULOS!$A$3:$H$202,7,FALSE)="","",VLOOKUP($D610,VEHICULOS!$A$3:$H$202,7,FALSE)),"")))</f>
      </c>
      <c r="BF610" s="82">
        <f>IF($A610="","",IF(TRIM($BC610&amp;"")&lt;&gt;"",$BC610,IF(TRIM($D610&amp;"")="","",IFERROR(IF(VLOOKUP($D610,VEHICULOS!$A$3:$H$202,8,FALSE)="","",VLOOKUP($D610,VEHICULOS!$A$3:$H$202,8,FALSE)),""))))</f>
      </c>
      <c r="BG610" s="106"/>
      <c r="BH610" s="107"/>
      <c r="BI610" s="86">
        <f t="shared" si="135"/>
      </c>
      <c r="BJ610" s="83">
        <f t="shared" si="136"/>
      </c>
      <c r="BK610" s="85">
        <f t="shared" si="137"/>
      </c>
      <c r="BL610" s="85">
        <f t="shared" si="138"/>
      </c>
      <c r="BM610" s="108"/>
      <c r="BN610" s="85">
        <f t="shared" si="139"/>
      </c>
      <c r="BO610" s="108"/>
      <c r="BP610" s="85">
        <f t="shared" si="140"/>
      </c>
      <c r="BQ610" s="85">
        <f t="shared" si="141"/>
      </c>
      <c r="BR610" s="108"/>
      <c r="BS610" s="104"/>
      <c r="BT610" s="87">
        <f t="shared" si="142"/>
      </c>
      <c r="BU610" s="85">
        <f t="shared" si="143"/>
      </c>
      <c r="BV610" s="85">
        <f t="shared" si="144"/>
      </c>
      <c r="BW610" s="87">
        <f t="shared" si="145"/>
      </c>
      <c r="BX610" s="104"/>
      <c r="BY610" s="106"/>
      <c r="BZ610" s="104"/>
      <c r="CA610" s="105"/>
      <c r="CB610" s="77">
        <f>IF($A610="",0,IF($B610='FICHA CLIENTE'!$C$4,1,0))</f>
      </c>
      <c r="CC610" s="77">
        <f t="shared" si="146"/>
      </c>
      <c r="CD610" s="77">
        <f>IF($A610="",0,IF($D610='FICHA VEHICULO'!$C$4,1,0))</f>
      </c>
      <c r="CE610" s="77">
        <f t="shared" si="147"/>
      </c>
      <c r="CF610" s="77">
        <f t="shared" si="148"/>
      </c>
      <c r="CG610" s="77">
        <f t="shared" si="149"/>
      </c>
    </row>
    <row r="611" spans="1:85" ht="19.5" customHeight="1" x14ac:dyDescent="0.2">
      <c r="A611" s="104"/>
      <c r="B611" s="104"/>
      <c r="C611" s="105"/>
      <c r="D611" s="104"/>
      <c r="E611" s="105"/>
      <c r="F611" s="106"/>
      <c r="G611" s="104"/>
      <c r="H611" s="106"/>
      <c r="I611" s="107"/>
      <c r="J611" s="108"/>
      <c r="K611" s="108"/>
      <c r="L611" s="108"/>
      <c r="M611" s="105"/>
      <c r="N611" s="105"/>
      <c r="O611" s="105"/>
      <c r="P611" s="108"/>
      <c r="Q611" s="105"/>
      <c r="R611" s="105"/>
      <c r="S611" s="105"/>
      <c r="T611" s="105"/>
      <c r="U611" s="108"/>
      <c r="V611" s="105"/>
      <c r="W611" s="105"/>
      <c r="X611" s="105"/>
      <c r="Y611" s="105"/>
      <c r="Z611" s="105"/>
      <c r="AA611" s="108"/>
      <c r="AB611" s="108"/>
      <c r="AC611" s="105"/>
      <c r="AD611" s="279"/>
      <c r="AE611" s="105"/>
      <c r="AF611" s="279"/>
      <c r="AG611" s="105"/>
      <c r="AH611" s="108"/>
      <c r="AI611" s="108"/>
      <c r="AJ611" s="108"/>
      <c r="AK611" s="108"/>
      <c r="AL611" s="105"/>
      <c r="AM611" s="108"/>
      <c r="AN611" s="105"/>
      <c r="AO611" s="108"/>
      <c r="AP611" s="108"/>
      <c r="AQ611" s="105"/>
      <c r="AR611" s="108"/>
      <c r="AS611" s="108"/>
      <c r="AT611" s="105"/>
      <c r="AU611" s="105"/>
      <c r="AV611" s="105"/>
      <c r="AW611" s="105"/>
      <c r="AX611" s="105"/>
      <c r="AY611" s="105"/>
      <c r="AZ611" s="105"/>
      <c r="BA611" s="105"/>
      <c r="BB611" s="105"/>
      <c r="BC611" s="105"/>
      <c r="BD611" s="108"/>
      <c r="BE611" s="83">
        <f>IF($A611="","",IF(TRIM($D611&amp;"")="",IF(TRIM($AX611&amp;$AY611&amp;$AZ611&amp;$BA611&amp;$BB611&amp;$BC611&amp;$BD611&amp;"")="","","SUBARRENDADO"),IFERROR(IF(VLOOKUP($D611,VEHICULOS!$A$3:$H$202,7,FALSE)="","",VLOOKUP($D611,VEHICULOS!$A$3:$H$202,7,FALSE)),"")))</f>
      </c>
      <c r="BF611" s="82">
        <f>IF($A611="","",IF(TRIM($BC611&amp;"")&lt;&gt;"",$BC611,IF(TRIM($D611&amp;"")="","",IFERROR(IF(VLOOKUP($D611,VEHICULOS!$A$3:$H$202,8,FALSE)="","",VLOOKUP($D611,VEHICULOS!$A$3:$H$202,8,FALSE)),""))))</f>
      </c>
      <c r="BG611" s="106"/>
      <c r="BH611" s="107"/>
      <c r="BI611" s="86">
        <f t="shared" si="135"/>
      </c>
      <c r="BJ611" s="83">
        <f t="shared" si="136"/>
      </c>
      <c r="BK611" s="85">
        <f t="shared" si="137"/>
      </c>
      <c r="BL611" s="85">
        <f t="shared" si="138"/>
      </c>
      <c r="BM611" s="108"/>
      <c r="BN611" s="85">
        <f t="shared" si="139"/>
      </c>
      <c r="BO611" s="108"/>
      <c r="BP611" s="85">
        <f t="shared" si="140"/>
      </c>
      <c r="BQ611" s="85">
        <f t="shared" si="141"/>
      </c>
      <c r="BR611" s="108"/>
      <c r="BS611" s="104"/>
      <c r="BT611" s="87">
        <f t="shared" si="142"/>
      </c>
      <c r="BU611" s="85">
        <f t="shared" si="143"/>
      </c>
      <c r="BV611" s="85">
        <f t="shared" si="144"/>
      </c>
      <c r="BW611" s="87">
        <f t="shared" si="145"/>
      </c>
      <c r="BX611" s="104"/>
      <c r="BY611" s="106"/>
      <c r="BZ611" s="104"/>
      <c r="CA611" s="105"/>
      <c r="CB611" s="77">
        <f>IF($A611="",0,IF($B611='FICHA CLIENTE'!$C$4,1,0))</f>
      </c>
      <c r="CC611" s="77">
        <f t="shared" si="146"/>
      </c>
      <c r="CD611" s="77">
        <f>IF($A611="",0,IF($D611='FICHA VEHICULO'!$C$4,1,0))</f>
      </c>
      <c r="CE611" s="77">
        <f t="shared" si="147"/>
      </c>
      <c r="CF611" s="77">
        <f t="shared" si="148"/>
      </c>
      <c r="CG611" s="77">
        <f t="shared" si="149"/>
      </c>
    </row>
    <row r="612" spans="1:85" ht="19.5" customHeight="1" x14ac:dyDescent="0.2">
      <c r="A612" s="104"/>
      <c r="B612" s="104"/>
      <c r="C612" s="105"/>
      <c r="D612" s="104"/>
      <c r="E612" s="105"/>
      <c r="F612" s="106"/>
      <c r="G612" s="104"/>
      <c r="H612" s="106"/>
      <c r="I612" s="107"/>
      <c r="J612" s="108"/>
      <c r="K612" s="108"/>
      <c r="L612" s="108"/>
      <c r="M612" s="105"/>
      <c r="N612" s="105"/>
      <c r="O612" s="105"/>
      <c r="P612" s="108"/>
      <c r="Q612" s="105"/>
      <c r="R612" s="105"/>
      <c r="S612" s="105"/>
      <c r="T612" s="105"/>
      <c r="U612" s="108"/>
      <c r="V612" s="105"/>
      <c r="W612" s="105"/>
      <c r="X612" s="105"/>
      <c r="Y612" s="105"/>
      <c r="Z612" s="105"/>
      <c r="AA612" s="108"/>
      <c r="AB612" s="108"/>
      <c r="AC612" s="105"/>
      <c r="AD612" s="279"/>
      <c r="AE612" s="105"/>
      <c r="AF612" s="279"/>
      <c r="AG612" s="105"/>
      <c r="AH612" s="108"/>
      <c r="AI612" s="108"/>
      <c r="AJ612" s="108"/>
      <c r="AK612" s="108"/>
      <c r="AL612" s="105"/>
      <c r="AM612" s="108"/>
      <c r="AN612" s="105"/>
      <c r="AO612" s="108"/>
      <c r="AP612" s="108"/>
      <c r="AQ612" s="105"/>
      <c r="AR612" s="108"/>
      <c r="AS612" s="108"/>
      <c r="AT612" s="105"/>
      <c r="AU612" s="105"/>
      <c r="AV612" s="105"/>
      <c r="AW612" s="105"/>
      <c r="AX612" s="105"/>
      <c r="AY612" s="105"/>
      <c r="AZ612" s="105"/>
      <c r="BA612" s="105"/>
      <c r="BB612" s="105"/>
      <c r="BC612" s="105"/>
      <c r="BD612" s="108"/>
      <c r="BE612" s="83">
        <f>IF($A612="","",IF(TRIM($D612&amp;"")="",IF(TRIM($AX612&amp;$AY612&amp;$AZ612&amp;$BA612&amp;$BB612&amp;$BC612&amp;$BD612&amp;"")="","","SUBARRENDADO"),IFERROR(IF(VLOOKUP($D612,VEHICULOS!$A$3:$H$202,7,FALSE)="","",VLOOKUP($D612,VEHICULOS!$A$3:$H$202,7,FALSE)),"")))</f>
      </c>
      <c r="BF612" s="82">
        <f>IF($A612="","",IF(TRIM($BC612&amp;"")&lt;&gt;"",$BC612,IF(TRIM($D612&amp;"")="","",IFERROR(IF(VLOOKUP($D612,VEHICULOS!$A$3:$H$202,8,FALSE)="","",VLOOKUP($D612,VEHICULOS!$A$3:$H$202,8,FALSE)),""))))</f>
      </c>
      <c r="BG612" s="106"/>
      <c r="BH612" s="107"/>
      <c r="BI612" s="86">
        <f t="shared" si="135"/>
      </c>
      <c r="BJ612" s="83">
        <f t="shared" si="136"/>
      </c>
      <c r="BK612" s="85">
        <f t="shared" si="137"/>
      </c>
      <c r="BL612" s="85">
        <f t="shared" si="138"/>
      </c>
      <c r="BM612" s="108"/>
      <c r="BN612" s="85">
        <f t="shared" si="139"/>
      </c>
      <c r="BO612" s="108"/>
      <c r="BP612" s="85">
        <f t="shared" si="140"/>
      </c>
      <c r="BQ612" s="85">
        <f t="shared" si="141"/>
      </c>
      <c r="BR612" s="108"/>
      <c r="BS612" s="104"/>
      <c r="BT612" s="87">
        <f t="shared" si="142"/>
      </c>
      <c r="BU612" s="85">
        <f t="shared" si="143"/>
      </c>
      <c r="BV612" s="85">
        <f t="shared" si="144"/>
      </c>
      <c r="BW612" s="87">
        <f t="shared" si="145"/>
      </c>
      <c r="BX612" s="104"/>
      <c r="BY612" s="106"/>
      <c r="BZ612" s="104"/>
      <c r="CA612" s="105"/>
      <c r="CB612" s="77">
        <f>IF($A612="",0,IF($B612='FICHA CLIENTE'!$C$4,1,0))</f>
      </c>
      <c r="CC612" s="77">
        <f t="shared" si="146"/>
      </c>
      <c r="CD612" s="77">
        <f>IF($A612="",0,IF($D612='FICHA VEHICULO'!$C$4,1,0))</f>
      </c>
      <c r="CE612" s="77">
        <f t="shared" si="147"/>
      </c>
      <c r="CF612" s="77">
        <f t="shared" si="148"/>
      </c>
      <c r="CG612" s="77">
        <f t="shared" si="149"/>
      </c>
    </row>
    <row r="613" spans="1:85" ht="19.5" customHeight="1" x14ac:dyDescent="0.2">
      <c r="A613" s="104"/>
      <c r="B613" s="104"/>
      <c r="C613" s="105"/>
      <c r="D613" s="104"/>
      <c r="E613" s="105"/>
      <c r="F613" s="106"/>
      <c r="G613" s="104"/>
      <c r="H613" s="106"/>
      <c r="I613" s="107"/>
      <c r="J613" s="108"/>
      <c r="K613" s="108"/>
      <c r="L613" s="108"/>
      <c r="M613" s="105"/>
      <c r="N613" s="105"/>
      <c r="O613" s="105"/>
      <c r="P613" s="108"/>
      <c r="Q613" s="105"/>
      <c r="R613" s="105"/>
      <c r="S613" s="105"/>
      <c r="T613" s="105"/>
      <c r="U613" s="108"/>
      <c r="V613" s="105"/>
      <c r="W613" s="105"/>
      <c r="X613" s="105"/>
      <c r="Y613" s="105"/>
      <c r="Z613" s="105"/>
      <c r="AA613" s="108"/>
      <c r="AB613" s="108"/>
      <c r="AC613" s="105"/>
      <c r="AD613" s="279"/>
      <c r="AE613" s="105"/>
      <c r="AF613" s="279"/>
      <c r="AG613" s="105"/>
      <c r="AH613" s="108"/>
      <c r="AI613" s="108"/>
      <c r="AJ613" s="108"/>
      <c r="AK613" s="108"/>
      <c r="AL613" s="105"/>
      <c r="AM613" s="108"/>
      <c r="AN613" s="105"/>
      <c r="AO613" s="108"/>
      <c r="AP613" s="108"/>
      <c r="AQ613" s="105"/>
      <c r="AR613" s="108"/>
      <c r="AS613" s="108"/>
      <c r="AT613" s="105"/>
      <c r="AU613" s="105"/>
      <c r="AV613" s="105"/>
      <c r="AW613" s="105"/>
      <c r="AX613" s="105"/>
      <c r="AY613" s="105"/>
      <c r="AZ613" s="105"/>
      <c r="BA613" s="105"/>
      <c r="BB613" s="105"/>
      <c r="BC613" s="105"/>
      <c r="BD613" s="108"/>
      <c r="BE613" s="83">
        <f>IF($A613="","",IF(TRIM($D613&amp;"")="",IF(TRIM($AX613&amp;$AY613&amp;$AZ613&amp;$BA613&amp;$BB613&amp;$BC613&amp;$BD613&amp;"")="","","SUBARRENDADO"),IFERROR(IF(VLOOKUP($D613,VEHICULOS!$A$3:$H$202,7,FALSE)="","",VLOOKUP($D613,VEHICULOS!$A$3:$H$202,7,FALSE)),"")))</f>
      </c>
      <c r="BF613" s="82">
        <f>IF($A613="","",IF(TRIM($BC613&amp;"")&lt;&gt;"",$BC613,IF(TRIM($D613&amp;"")="","",IFERROR(IF(VLOOKUP($D613,VEHICULOS!$A$3:$H$202,8,FALSE)="","",VLOOKUP($D613,VEHICULOS!$A$3:$H$202,8,FALSE)),""))))</f>
      </c>
      <c r="BG613" s="106"/>
      <c r="BH613" s="107"/>
      <c r="BI613" s="86">
        <f t="shared" si="135"/>
      </c>
      <c r="BJ613" s="83">
        <f t="shared" si="136"/>
      </c>
      <c r="BK613" s="85">
        <f t="shared" si="137"/>
      </c>
      <c r="BL613" s="85">
        <f t="shared" si="138"/>
      </c>
      <c r="BM613" s="108"/>
      <c r="BN613" s="85">
        <f t="shared" si="139"/>
      </c>
      <c r="BO613" s="108"/>
      <c r="BP613" s="85">
        <f t="shared" si="140"/>
      </c>
      <c r="BQ613" s="85">
        <f t="shared" si="141"/>
      </c>
      <c r="BR613" s="108"/>
      <c r="BS613" s="104"/>
      <c r="BT613" s="87">
        <f t="shared" si="142"/>
      </c>
      <c r="BU613" s="85">
        <f t="shared" si="143"/>
      </c>
      <c r="BV613" s="85">
        <f t="shared" si="144"/>
      </c>
      <c r="BW613" s="87">
        <f t="shared" si="145"/>
      </c>
      <c r="BX613" s="104"/>
      <c r="BY613" s="106"/>
      <c r="BZ613" s="104"/>
      <c r="CA613" s="105"/>
      <c r="CB613" s="77">
        <f>IF($A613="",0,IF($B613='FICHA CLIENTE'!$C$4,1,0))</f>
      </c>
      <c r="CC613" s="77">
        <f t="shared" si="146"/>
      </c>
      <c r="CD613" s="77">
        <f>IF($A613="",0,IF($D613='FICHA VEHICULO'!$C$4,1,0))</f>
      </c>
      <c r="CE613" s="77">
        <f t="shared" si="147"/>
      </c>
      <c r="CF613" s="77">
        <f t="shared" si="148"/>
      </c>
      <c r="CG613" s="77">
        <f t="shared" si="149"/>
      </c>
    </row>
    <row r="614" spans="1:85" ht="19.5" customHeight="1" x14ac:dyDescent="0.2">
      <c r="A614" s="104"/>
      <c r="B614" s="104"/>
      <c r="C614" s="105"/>
      <c r="D614" s="104"/>
      <c r="E614" s="105"/>
      <c r="F614" s="106"/>
      <c r="G614" s="104"/>
      <c r="H614" s="106"/>
      <c r="I614" s="107"/>
      <c r="J614" s="108"/>
      <c r="K614" s="108"/>
      <c r="L614" s="108"/>
      <c r="M614" s="105"/>
      <c r="N614" s="105"/>
      <c r="O614" s="105"/>
      <c r="P614" s="108"/>
      <c r="Q614" s="105"/>
      <c r="R614" s="105"/>
      <c r="S614" s="105"/>
      <c r="T614" s="105"/>
      <c r="U614" s="108"/>
      <c r="V614" s="105"/>
      <c r="W614" s="105"/>
      <c r="X614" s="105"/>
      <c r="Y614" s="105"/>
      <c r="Z614" s="105"/>
      <c r="AA614" s="108"/>
      <c r="AB614" s="108"/>
      <c r="AC614" s="105"/>
      <c r="AD614" s="279"/>
      <c r="AE614" s="105"/>
      <c r="AF614" s="279"/>
      <c r="AG614" s="105"/>
      <c r="AH614" s="108"/>
      <c r="AI614" s="108"/>
      <c r="AJ614" s="108"/>
      <c r="AK614" s="108"/>
      <c r="AL614" s="105"/>
      <c r="AM614" s="108"/>
      <c r="AN614" s="105"/>
      <c r="AO614" s="108"/>
      <c r="AP614" s="108"/>
      <c r="AQ614" s="105"/>
      <c r="AR614" s="108"/>
      <c r="AS614" s="108"/>
      <c r="AT614" s="105"/>
      <c r="AU614" s="105"/>
      <c r="AV614" s="105"/>
      <c r="AW614" s="105"/>
      <c r="AX614" s="105"/>
      <c r="AY614" s="105"/>
      <c r="AZ614" s="105"/>
      <c r="BA614" s="105"/>
      <c r="BB614" s="105"/>
      <c r="BC614" s="105"/>
      <c r="BD614" s="108"/>
      <c r="BE614" s="83">
        <f>IF($A614="","",IF(TRIM($D614&amp;"")="",IF(TRIM($AX614&amp;$AY614&amp;$AZ614&amp;$BA614&amp;$BB614&amp;$BC614&amp;$BD614&amp;"")="","","SUBARRENDADO"),IFERROR(IF(VLOOKUP($D614,VEHICULOS!$A$3:$H$202,7,FALSE)="","",VLOOKUP($D614,VEHICULOS!$A$3:$H$202,7,FALSE)),"")))</f>
      </c>
      <c r="BF614" s="82">
        <f>IF($A614="","",IF(TRIM($BC614&amp;"")&lt;&gt;"",$BC614,IF(TRIM($D614&amp;"")="","",IFERROR(IF(VLOOKUP($D614,VEHICULOS!$A$3:$H$202,8,FALSE)="","",VLOOKUP($D614,VEHICULOS!$A$3:$H$202,8,FALSE)),""))))</f>
      </c>
      <c r="BG614" s="106"/>
      <c r="BH614" s="107"/>
      <c r="BI614" s="86">
        <f t="shared" si="135"/>
      </c>
      <c r="BJ614" s="83">
        <f t="shared" si="136"/>
      </c>
      <c r="BK614" s="85">
        <f t="shared" si="137"/>
      </c>
      <c r="BL614" s="85">
        <f t="shared" si="138"/>
      </c>
      <c r="BM614" s="108"/>
      <c r="BN614" s="85">
        <f t="shared" si="139"/>
      </c>
      <c r="BO614" s="108"/>
      <c r="BP614" s="85">
        <f t="shared" si="140"/>
      </c>
      <c r="BQ614" s="85">
        <f t="shared" si="141"/>
      </c>
      <c r="BR614" s="108"/>
      <c r="BS614" s="104"/>
      <c r="BT614" s="87">
        <f t="shared" si="142"/>
      </c>
      <c r="BU614" s="85">
        <f t="shared" si="143"/>
      </c>
      <c r="BV614" s="85">
        <f t="shared" si="144"/>
      </c>
      <c r="BW614" s="87">
        <f t="shared" si="145"/>
      </c>
      <c r="BX614" s="104"/>
      <c r="BY614" s="106"/>
      <c r="BZ614" s="104"/>
      <c r="CA614" s="105"/>
      <c r="CB614" s="77">
        <f>IF($A614="",0,IF($B614='FICHA CLIENTE'!$C$4,1,0))</f>
      </c>
      <c r="CC614" s="77">
        <f t="shared" si="146"/>
      </c>
      <c r="CD614" s="77">
        <f>IF($A614="",0,IF($D614='FICHA VEHICULO'!$C$4,1,0))</f>
      </c>
      <c r="CE614" s="77">
        <f t="shared" si="147"/>
      </c>
      <c r="CF614" s="77">
        <f t="shared" si="148"/>
      </c>
      <c r="CG614" s="77">
        <f t="shared" si="149"/>
      </c>
    </row>
    <row r="615" spans="1:85" ht="19.5" customHeight="1" x14ac:dyDescent="0.2">
      <c r="A615" s="104"/>
      <c r="B615" s="104"/>
      <c r="C615" s="105"/>
      <c r="D615" s="104"/>
      <c r="E615" s="105"/>
      <c r="F615" s="106"/>
      <c r="G615" s="104"/>
      <c r="H615" s="106"/>
      <c r="I615" s="107"/>
      <c r="J615" s="108"/>
      <c r="K615" s="108"/>
      <c r="L615" s="108"/>
      <c r="M615" s="105"/>
      <c r="N615" s="105"/>
      <c r="O615" s="105"/>
      <c r="P615" s="108"/>
      <c r="Q615" s="105"/>
      <c r="R615" s="105"/>
      <c r="S615" s="105"/>
      <c r="T615" s="105"/>
      <c r="U615" s="108"/>
      <c r="V615" s="105"/>
      <c r="W615" s="105"/>
      <c r="X615" s="105"/>
      <c r="Y615" s="105"/>
      <c r="Z615" s="105"/>
      <c r="AA615" s="108"/>
      <c r="AB615" s="108"/>
      <c r="AC615" s="105"/>
      <c r="AD615" s="279"/>
      <c r="AE615" s="105"/>
      <c r="AF615" s="279"/>
      <c r="AG615" s="105"/>
      <c r="AH615" s="108"/>
      <c r="AI615" s="108"/>
      <c r="AJ615" s="108"/>
      <c r="AK615" s="108"/>
      <c r="AL615" s="105"/>
      <c r="AM615" s="108"/>
      <c r="AN615" s="105"/>
      <c r="AO615" s="108"/>
      <c r="AP615" s="108"/>
      <c r="AQ615" s="105"/>
      <c r="AR615" s="108"/>
      <c r="AS615" s="108"/>
      <c r="AT615" s="105"/>
      <c r="AU615" s="105"/>
      <c r="AV615" s="105"/>
      <c r="AW615" s="105"/>
      <c r="AX615" s="105"/>
      <c r="AY615" s="105"/>
      <c r="AZ615" s="105"/>
      <c r="BA615" s="105"/>
      <c r="BB615" s="105"/>
      <c r="BC615" s="105"/>
      <c r="BD615" s="108"/>
      <c r="BE615" s="83">
        <f>IF($A615="","",IF(TRIM($D615&amp;"")="",IF(TRIM($AX615&amp;$AY615&amp;$AZ615&amp;$BA615&amp;$BB615&amp;$BC615&amp;$BD615&amp;"")="","","SUBARRENDADO"),IFERROR(IF(VLOOKUP($D615,VEHICULOS!$A$3:$H$202,7,FALSE)="","",VLOOKUP($D615,VEHICULOS!$A$3:$H$202,7,FALSE)),"")))</f>
      </c>
      <c r="BF615" s="82">
        <f>IF($A615="","",IF(TRIM($BC615&amp;"")&lt;&gt;"",$BC615,IF(TRIM($D615&amp;"")="","",IFERROR(IF(VLOOKUP($D615,VEHICULOS!$A$3:$H$202,8,FALSE)="","",VLOOKUP($D615,VEHICULOS!$A$3:$H$202,8,FALSE)),""))))</f>
      </c>
      <c r="BG615" s="106"/>
      <c r="BH615" s="107"/>
      <c r="BI615" s="86">
        <f t="shared" si="135"/>
      </c>
      <c r="BJ615" s="83">
        <f t="shared" si="136"/>
      </c>
      <c r="BK615" s="85">
        <f t="shared" si="137"/>
      </c>
      <c r="BL615" s="85">
        <f t="shared" si="138"/>
      </c>
      <c r="BM615" s="108"/>
      <c r="BN615" s="85">
        <f t="shared" si="139"/>
      </c>
      <c r="BO615" s="108"/>
      <c r="BP615" s="85">
        <f t="shared" si="140"/>
      </c>
      <c r="BQ615" s="85">
        <f t="shared" si="141"/>
      </c>
      <c r="BR615" s="108"/>
      <c r="BS615" s="104"/>
      <c r="BT615" s="87">
        <f t="shared" si="142"/>
      </c>
      <c r="BU615" s="85">
        <f t="shared" si="143"/>
      </c>
      <c r="BV615" s="85">
        <f t="shared" si="144"/>
      </c>
      <c r="BW615" s="87">
        <f t="shared" si="145"/>
      </c>
      <c r="BX615" s="104"/>
      <c r="BY615" s="106"/>
      <c r="BZ615" s="104"/>
      <c r="CA615" s="105"/>
      <c r="CB615" s="77">
        <f>IF($A615="",0,IF($B615='FICHA CLIENTE'!$C$4,1,0))</f>
      </c>
      <c r="CC615" s="77">
        <f t="shared" si="146"/>
      </c>
      <c r="CD615" s="77">
        <f>IF($A615="",0,IF($D615='FICHA VEHICULO'!$C$4,1,0))</f>
      </c>
      <c r="CE615" s="77">
        <f t="shared" si="147"/>
      </c>
      <c r="CF615" s="77">
        <f t="shared" si="148"/>
      </c>
      <c r="CG615" s="77">
        <f t="shared" si="149"/>
      </c>
    </row>
    <row r="616" spans="1:85" ht="19.5" customHeight="1" x14ac:dyDescent="0.2">
      <c r="A616" s="104"/>
      <c r="B616" s="104"/>
      <c r="C616" s="105"/>
      <c r="D616" s="104"/>
      <c r="E616" s="105"/>
      <c r="F616" s="106"/>
      <c r="G616" s="104"/>
      <c r="H616" s="106"/>
      <c r="I616" s="107"/>
      <c r="J616" s="108"/>
      <c r="K616" s="108"/>
      <c r="L616" s="108"/>
      <c r="M616" s="105"/>
      <c r="N616" s="105"/>
      <c r="O616" s="105"/>
      <c r="P616" s="108"/>
      <c r="Q616" s="105"/>
      <c r="R616" s="105"/>
      <c r="S616" s="105"/>
      <c r="T616" s="105"/>
      <c r="U616" s="108"/>
      <c r="V616" s="105"/>
      <c r="W616" s="105"/>
      <c r="X616" s="105"/>
      <c r="Y616" s="105"/>
      <c r="Z616" s="105"/>
      <c r="AA616" s="108"/>
      <c r="AB616" s="108"/>
      <c r="AC616" s="105"/>
      <c r="AD616" s="279"/>
      <c r="AE616" s="105"/>
      <c r="AF616" s="279"/>
      <c r="AG616" s="105"/>
      <c r="AH616" s="108"/>
      <c r="AI616" s="108"/>
      <c r="AJ616" s="108"/>
      <c r="AK616" s="108"/>
      <c r="AL616" s="105"/>
      <c r="AM616" s="108"/>
      <c r="AN616" s="105"/>
      <c r="AO616" s="108"/>
      <c r="AP616" s="108"/>
      <c r="AQ616" s="105"/>
      <c r="AR616" s="108"/>
      <c r="AS616" s="108"/>
      <c r="AT616" s="105"/>
      <c r="AU616" s="105"/>
      <c r="AV616" s="105"/>
      <c r="AW616" s="105"/>
      <c r="AX616" s="105"/>
      <c r="AY616" s="105"/>
      <c r="AZ616" s="105"/>
      <c r="BA616" s="105"/>
      <c r="BB616" s="105"/>
      <c r="BC616" s="105"/>
      <c r="BD616" s="108"/>
      <c r="BE616" s="83">
        <f>IF($A616="","",IF(TRIM($D616&amp;"")="",IF(TRIM($AX616&amp;$AY616&amp;$AZ616&amp;$BA616&amp;$BB616&amp;$BC616&amp;$BD616&amp;"")="","","SUBARRENDADO"),IFERROR(IF(VLOOKUP($D616,VEHICULOS!$A$3:$H$202,7,FALSE)="","",VLOOKUP($D616,VEHICULOS!$A$3:$H$202,7,FALSE)),"")))</f>
      </c>
      <c r="BF616" s="82">
        <f>IF($A616="","",IF(TRIM($BC616&amp;"")&lt;&gt;"",$BC616,IF(TRIM($D616&amp;"")="","",IFERROR(IF(VLOOKUP($D616,VEHICULOS!$A$3:$H$202,8,FALSE)="","",VLOOKUP($D616,VEHICULOS!$A$3:$H$202,8,FALSE)),""))))</f>
      </c>
      <c r="BG616" s="106"/>
      <c r="BH616" s="107"/>
      <c r="BI616" s="86">
        <f t="shared" si="135"/>
      </c>
      <c r="BJ616" s="83">
        <f t="shared" si="136"/>
      </c>
      <c r="BK616" s="85">
        <f t="shared" si="137"/>
      </c>
      <c r="BL616" s="85">
        <f t="shared" si="138"/>
      </c>
      <c r="BM616" s="108"/>
      <c r="BN616" s="85">
        <f t="shared" si="139"/>
      </c>
      <c r="BO616" s="108"/>
      <c r="BP616" s="85">
        <f t="shared" si="140"/>
      </c>
      <c r="BQ616" s="85">
        <f t="shared" si="141"/>
      </c>
      <c r="BR616" s="108"/>
      <c r="BS616" s="104"/>
      <c r="BT616" s="87">
        <f t="shared" si="142"/>
      </c>
      <c r="BU616" s="85">
        <f t="shared" si="143"/>
      </c>
      <c r="BV616" s="85">
        <f t="shared" si="144"/>
      </c>
      <c r="BW616" s="87">
        <f t="shared" si="145"/>
      </c>
      <c r="BX616" s="104"/>
      <c r="BY616" s="106"/>
      <c r="BZ616" s="104"/>
      <c r="CA616" s="105"/>
      <c r="CB616" s="77">
        <f>IF($A616="",0,IF($B616='FICHA CLIENTE'!$C$4,1,0))</f>
      </c>
      <c r="CC616" s="77">
        <f t="shared" si="146"/>
      </c>
      <c r="CD616" s="77">
        <f>IF($A616="",0,IF($D616='FICHA VEHICULO'!$C$4,1,0))</f>
      </c>
      <c r="CE616" s="77">
        <f t="shared" si="147"/>
      </c>
      <c r="CF616" s="77">
        <f t="shared" si="148"/>
      </c>
      <c r="CG616" s="77">
        <f t="shared" si="149"/>
      </c>
    </row>
    <row r="617" spans="1:85" ht="19.5" customHeight="1" x14ac:dyDescent="0.2">
      <c r="A617" s="104"/>
      <c r="B617" s="104"/>
      <c r="C617" s="105"/>
      <c r="D617" s="104"/>
      <c r="E617" s="105"/>
      <c r="F617" s="106"/>
      <c r="G617" s="104"/>
      <c r="H617" s="106"/>
      <c r="I617" s="107"/>
      <c r="J617" s="108"/>
      <c r="K617" s="108"/>
      <c r="L617" s="108"/>
      <c r="M617" s="105"/>
      <c r="N617" s="105"/>
      <c r="O617" s="105"/>
      <c r="P617" s="108"/>
      <c r="Q617" s="105"/>
      <c r="R617" s="105"/>
      <c r="S617" s="105"/>
      <c r="T617" s="105"/>
      <c r="U617" s="108"/>
      <c r="V617" s="105"/>
      <c r="W617" s="105"/>
      <c r="X617" s="105"/>
      <c r="Y617" s="105"/>
      <c r="Z617" s="105"/>
      <c r="AA617" s="108"/>
      <c r="AB617" s="108"/>
      <c r="AC617" s="105"/>
      <c r="AD617" s="279"/>
      <c r="AE617" s="105"/>
      <c r="AF617" s="279"/>
      <c r="AG617" s="105"/>
      <c r="AH617" s="108"/>
      <c r="AI617" s="108"/>
      <c r="AJ617" s="108"/>
      <c r="AK617" s="108"/>
      <c r="AL617" s="105"/>
      <c r="AM617" s="108"/>
      <c r="AN617" s="105"/>
      <c r="AO617" s="108"/>
      <c r="AP617" s="108"/>
      <c r="AQ617" s="105"/>
      <c r="AR617" s="108"/>
      <c r="AS617" s="108"/>
      <c r="AT617" s="105"/>
      <c r="AU617" s="105"/>
      <c r="AV617" s="105"/>
      <c r="AW617" s="105"/>
      <c r="AX617" s="105"/>
      <c r="AY617" s="105"/>
      <c r="AZ617" s="105"/>
      <c r="BA617" s="105"/>
      <c r="BB617" s="105"/>
      <c r="BC617" s="105"/>
      <c r="BD617" s="108"/>
      <c r="BE617" s="83">
        <f>IF($A617="","",IF(TRIM($D617&amp;"")="",IF(TRIM($AX617&amp;$AY617&amp;$AZ617&amp;$BA617&amp;$BB617&amp;$BC617&amp;$BD617&amp;"")="","","SUBARRENDADO"),IFERROR(IF(VLOOKUP($D617,VEHICULOS!$A$3:$H$202,7,FALSE)="","",VLOOKUP($D617,VEHICULOS!$A$3:$H$202,7,FALSE)),"")))</f>
      </c>
      <c r="BF617" s="82">
        <f>IF($A617="","",IF(TRIM($BC617&amp;"")&lt;&gt;"",$BC617,IF(TRIM($D617&amp;"")="","",IFERROR(IF(VLOOKUP($D617,VEHICULOS!$A$3:$H$202,8,FALSE)="","",VLOOKUP($D617,VEHICULOS!$A$3:$H$202,8,FALSE)),""))))</f>
      </c>
      <c r="BG617" s="106"/>
      <c r="BH617" s="107"/>
      <c r="BI617" s="86">
        <f t="shared" si="135"/>
      </c>
      <c r="BJ617" s="83">
        <f t="shared" si="136"/>
      </c>
      <c r="BK617" s="85">
        <f t="shared" si="137"/>
      </c>
      <c r="BL617" s="85">
        <f t="shared" si="138"/>
      </c>
      <c r="BM617" s="108"/>
      <c r="BN617" s="85">
        <f t="shared" si="139"/>
      </c>
      <c r="BO617" s="108"/>
      <c r="BP617" s="85">
        <f t="shared" si="140"/>
      </c>
      <c r="BQ617" s="85">
        <f t="shared" si="141"/>
      </c>
      <c r="BR617" s="108"/>
      <c r="BS617" s="104"/>
      <c r="BT617" s="87">
        <f t="shared" si="142"/>
      </c>
      <c r="BU617" s="85">
        <f t="shared" si="143"/>
      </c>
      <c r="BV617" s="85">
        <f t="shared" si="144"/>
      </c>
      <c r="BW617" s="87">
        <f t="shared" si="145"/>
      </c>
      <c r="BX617" s="104"/>
      <c r="BY617" s="106"/>
      <c r="BZ617" s="104"/>
      <c r="CA617" s="105"/>
      <c r="CB617" s="77">
        <f>IF($A617="",0,IF($B617='FICHA CLIENTE'!$C$4,1,0))</f>
      </c>
      <c r="CC617" s="77">
        <f t="shared" si="146"/>
      </c>
      <c r="CD617" s="77">
        <f>IF($A617="",0,IF($D617='FICHA VEHICULO'!$C$4,1,0))</f>
      </c>
      <c r="CE617" s="77">
        <f t="shared" si="147"/>
      </c>
      <c r="CF617" s="77">
        <f t="shared" si="148"/>
      </c>
      <c r="CG617" s="77">
        <f t="shared" si="149"/>
      </c>
    </row>
    <row r="618" spans="1:85" ht="19.5" customHeight="1" x14ac:dyDescent="0.2">
      <c r="A618" s="104"/>
      <c r="B618" s="104"/>
      <c r="C618" s="105"/>
      <c r="D618" s="104"/>
      <c r="E618" s="105"/>
      <c r="F618" s="106"/>
      <c r="G618" s="104"/>
      <c r="H618" s="106"/>
      <c r="I618" s="107"/>
      <c r="J618" s="108"/>
      <c r="K618" s="108"/>
      <c r="L618" s="108"/>
      <c r="M618" s="105"/>
      <c r="N618" s="105"/>
      <c r="O618" s="105"/>
      <c r="P618" s="108"/>
      <c r="Q618" s="105"/>
      <c r="R618" s="105"/>
      <c r="S618" s="105"/>
      <c r="T618" s="105"/>
      <c r="U618" s="108"/>
      <c r="V618" s="105"/>
      <c r="W618" s="105"/>
      <c r="X618" s="105"/>
      <c r="Y618" s="105"/>
      <c r="Z618" s="105"/>
      <c r="AA618" s="108"/>
      <c r="AB618" s="108"/>
      <c r="AC618" s="105"/>
      <c r="AD618" s="279"/>
      <c r="AE618" s="105"/>
      <c r="AF618" s="279"/>
      <c r="AG618" s="105"/>
      <c r="AH618" s="108"/>
      <c r="AI618" s="108"/>
      <c r="AJ618" s="108"/>
      <c r="AK618" s="108"/>
      <c r="AL618" s="105"/>
      <c r="AM618" s="108"/>
      <c r="AN618" s="105"/>
      <c r="AO618" s="108"/>
      <c r="AP618" s="108"/>
      <c r="AQ618" s="105"/>
      <c r="AR618" s="108"/>
      <c r="AS618" s="108"/>
      <c r="AT618" s="105"/>
      <c r="AU618" s="105"/>
      <c r="AV618" s="105"/>
      <c r="AW618" s="105"/>
      <c r="AX618" s="105"/>
      <c r="AY618" s="105"/>
      <c r="AZ618" s="105"/>
      <c r="BA618" s="105"/>
      <c r="BB618" s="105"/>
      <c r="BC618" s="105"/>
      <c r="BD618" s="108"/>
      <c r="BE618" s="83">
        <f>IF($A618="","",IF(TRIM($D618&amp;"")="",IF(TRIM($AX618&amp;$AY618&amp;$AZ618&amp;$BA618&amp;$BB618&amp;$BC618&amp;$BD618&amp;"")="","","SUBARRENDADO"),IFERROR(IF(VLOOKUP($D618,VEHICULOS!$A$3:$H$202,7,FALSE)="","",VLOOKUP($D618,VEHICULOS!$A$3:$H$202,7,FALSE)),"")))</f>
      </c>
      <c r="BF618" s="82">
        <f>IF($A618="","",IF(TRIM($BC618&amp;"")&lt;&gt;"",$BC618,IF(TRIM($D618&amp;"")="","",IFERROR(IF(VLOOKUP($D618,VEHICULOS!$A$3:$H$202,8,FALSE)="","",VLOOKUP($D618,VEHICULOS!$A$3:$H$202,8,FALSE)),""))))</f>
      </c>
      <c r="BG618" s="106"/>
      <c r="BH618" s="107"/>
      <c r="BI618" s="86">
        <f t="shared" si="135"/>
      </c>
      <c r="BJ618" s="83">
        <f t="shared" si="136"/>
      </c>
      <c r="BK618" s="85">
        <f t="shared" si="137"/>
      </c>
      <c r="BL618" s="85">
        <f t="shared" si="138"/>
      </c>
      <c r="BM618" s="108"/>
      <c r="BN618" s="85">
        <f t="shared" si="139"/>
      </c>
      <c r="BO618" s="108"/>
      <c r="BP618" s="85">
        <f t="shared" si="140"/>
      </c>
      <c r="BQ618" s="85">
        <f t="shared" si="141"/>
      </c>
      <c r="BR618" s="108"/>
      <c r="BS618" s="104"/>
      <c r="BT618" s="87">
        <f t="shared" si="142"/>
      </c>
      <c r="BU618" s="85">
        <f t="shared" si="143"/>
      </c>
      <c r="BV618" s="85">
        <f t="shared" si="144"/>
      </c>
      <c r="BW618" s="87">
        <f t="shared" si="145"/>
      </c>
      <c r="BX618" s="104"/>
      <c r="BY618" s="106"/>
      <c r="BZ618" s="104"/>
      <c r="CA618" s="105"/>
      <c r="CB618" s="77">
        <f>IF($A618="",0,IF($B618='FICHA CLIENTE'!$C$4,1,0))</f>
      </c>
      <c r="CC618" s="77">
        <f t="shared" si="146"/>
      </c>
      <c r="CD618" s="77">
        <f>IF($A618="",0,IF($D618='FICHA VEHICULO'!$C$4,1,0))</f>
      </c>
      <c r="CE618" s="77">
        <f t="shared" si="147"/>
      </c>
      <c r="CF618" s="77">
        <f t="shared" si="148"/>
      </c>
      <c r="CG618" s="77">
        <f t="shared" si="149"/>
      </c>
    </row>
    <row r="619" spans="1:85" ht="19.5" customHeight="1" x14ac:dyDescent="0.2">
      <c r="A619" s="104"/>
      <c r="B619" s="104"/>
      <c r="C619" s="105"/>
      <c r="D619" s="104"/>
      <c r="E619" s="105"/>
      <c r="F619" s="106"/>
      <c r="G619" s="104"/>
      <c r="H619" s="106"/>
      <c r="I619" s="107"/>
      <c r="J619" s="108"/>
      <c r="K619" s="108"/>
      <c r="L619" s="108"/>
      <c r="M619" s="105"/>
      <c r="N619" s="105"/>
      <c r="O619" s="105"/>
      <c r="P619" s="108"/>
      <c r="Q619" s="105"/>
      <c r="R619" s="105"/>
      <c r="S619" s="105"/>
      <c r="T619" s="105"/>
      <c r="U619" s="108"/>
      <c r="V619" s="105"/>
      <c r="W619" s="105"/>
      <c r="X619" s="105"/>
      <c r="Y619" s="105"/>
      <c r="Z619" s="105"/>
      <c r="AA619" s="108"/>
      <c r="AB619" s="108"/>
      <c r="AC619" s="105"/>
      <c r="AD619" s="279"/>
      <c r="AE619" s="105"/>
      <c r="AF619" s="279"/>
      <c r="AG619" s="105"/>
      <c r="AH619" s="108"/>
      <c r="AI619" s="108"/>
      <c r="AJ619" s="108"/>
      <c r="AK619" s="108"/>
      <c r="AL619" s="105"/>
      <c r="AM619" s="108"/>
      <c r="AN619" s="105"/>
      <c r="AO619" s="108"/>
      <c r="AP619" s="108"/>
      <c r="AQ619" s="105"/>
      <c r="AR619" s="108"/>
      <c r="AS619" s="108"/>
      <c r="AT619" s="105"/>
      <c r="AU619" s="105"/>
      <c r="AV619" s="105"/>
      <c r="AW619" s="105"/>
      <c r="AX619" s="105"/>
      <c r="AY619" s="105"/>
      <c r="AZ619" s="105"/>
      <c r="BA619" s="105"/>
      <c r="BB619" s="105"/>
      <c r="BC619" s="105"/>
      <c r="BD619" s="108"/>
      <c r="BE619" s="83">
        <f>IF($A619="","",IF(TRIM($D619&amp;"")="",IF(TRIM($AX619&amp;$AY619&amp;$AZ619&amp;$BA619&amp;$BB619&amp;$BC619&amp;$BD619&amp;"")="","","SUBARRENDADO"),IFERROR(IF(VLOOKUP($D619,VEHICULOS!$A$3:$H$202,7,FALSE)="","",VLOOKUP($D619,VEHICULOS!$A$3:$H$202,7,FALSE)),"")))</f>
      </c>
      <c r="BF619" s="82">
        <f>IF($A619="","",IF(TRIM($BC619&amp;"")&lt;&gt;"",$BC619,IF(TRIM($D619&amp;"")="","",IFERROR(IF(VLOOKUP($D619,VEHICULOS!$A$3:$H$202,8,FALSE)="","",VLOOKUP($D619,VEHICULOS!$A$3:$H$202,8,FALSE)),""))))</f>
      </c>
      <c r="BG619" s="106"/>
      <c r="BH619" s="107"/>
      <c r="BI619" s="86">
        <f t="shared" si="135"/>
      </c>
      <c r="BJ619" s="83">
        <f t="shared" si="136"/>
      </c>
      <c r="BK619" s="85">
        <f t="shared" si="137"/>
      </c>
      <c r="BL619" s="85">
        <f t="shared" si="138"/>
      </c>
      <c r="BM619" s="108"/>
      <c r="BN619" s="85">
        <f t="shared" si="139"/>
      </c>
      <c r="BO619" s="108"/>
      <c r="BP619" s="85">
        <f t="shared" si="140"/>
      </c>
      <c r="BQ619" s="85">
        <f t="shared" si="141"/>
      </c>
      <c r="BR619" s="108"/>
      <c r="BS619" s="104"/>
      <c r="BT619" s="87">
        <f t="shared" si="142"/>
      </c>
      <c r="BU619" s="85">
        <f t="shared" si="143"/>
      </c>
      <c r="BV619" s="85">
        <f t="shared" si="144"/>
      </c>
      <c r="BW619" s="87">
        <f t="shared" si="145"/>
      </c>
      <c r="BX619" s="104"/>
      <c r="BY619" s="106"/>
      <c r="BZ619" s="104"/>
      <c r="CA619" s="105"/>
      <c r="CB619" s="77">
        <f>IF($A619="",0,IF($B619='FICHA CLIENTE'!$C$4,1,0))</f>
      </c>
      <c r="CC619" s="77">
        <f t="shared" si="146"/>
      </c>
      <c r="CD619" s="77">
        <f>IF($A619="",0,IF($D619='FICHA VEHICULO'!$C$4,1,0))</f>
      </c>
      <c r="CE619" s="77">
        <f t="shared" si="147"/>
      </c>
      <c r="CF619" s="77">
        <f t="shared" si="148"/>
      </c>
      <c r="CG619" s="77">
        <f t="shared" si="149"/>
      </c>
    </row>
    <row r="620" spans="1:85" ht="19.5" customHeight="1" x14ac:dyDescent="0.2">
      <c r="A620" s="104"/>
      <c r="B620" s="104"/>
      <c r="C620" s="105"/>
      <c r="D620" s="104"/>
      <c r="E620" s="105"/>
      <c r="F620" s="106"/>
      <c r="G620" s="104"/>
      <c r="H620" s="106"/>
      <c r="I620" s="107"/>
      <c r="J620" s="108"/>
      <c r="K620" s="108"/>
      <c r="L620" s="108"/>
      <c r="M620" s="105"/>
      <c r="N620" s="105"/>
      <c r="O620" s="105"/>
      <c r="P620" s="108"/>
      <c r="Q620" s="105"/>
      <c r="R620" s="105"/>
      <c r="S620" s="105"/>
      <c r="T620" s="105"/>
      <c r="U620" s="108"/>
      <c r="V620" s="105"/>
      <c r="W620" s="105"/>
      <c r="X620" s="105"/>
      <c r="Y620" s="105"/>
      <c r="Z620" s="105"/>
      <c r="AA620" s="108"/>
      <c r="AB620" s="108"/>
      <c r="AC620" s="105"/>
      <c r="AD620" s="279"/>
      <c r="AE620" s="105"/>
      <c r="AF620" s="279"/>
      <c r="AG620" s="105"/>
      <c r="AH620" s="108"/>
      <c r="AI620" s="108"/>
      <c r="AJ620" s="108"/>
      <c r="AK620" s="108"/>
      <c r="AL620" s="105"/>
      <c r="AM620" s="108"/>
      <c r="AN620" s="105"/>
      <c r="AO620" s="108"/>
      <c r="AP620" s="108"/>
      <c r="AQ620" s="105"/>
      <c r="AR620" s="108"/>
      <c r="AS620" s="108"/>
      <c r="AT620" s="105"/>
      <c r="AU620" s="105"/>
      <c r="AV620" s="105"/>
      <c r="AW620" s="105"/>
      <c r="AX620" s="105"/>
      <c r="AY620" s="105"/>
      <c r="AZ620" s="105"/>
      <c r="BA620" s="105"/>
      <c r="BB620" s="105"/>
      <c r="BC620" s="105"/>
      <c r="BD620" s="108"/>
      <c r="BE620" s="83">
        <f>IF($A620="","",IF(TRIM($D620&amp;"")="",IF(TRIM($AX620&amp;$AY620&amp;$AZ620&amp;$BA620&amp;$BB620&amp;$BC620&amp;$BD620&amp;"")="","","SUBARRENDADO"),IFERROR(IF(VLOOKUP($D620,VEHICULOS!$A$3:$H$202,7,FALSE)="","",VLOOKUP($D620,VEHICULOS!$A$3:$H$202,7,FALSE)),"")))</f>
      </c>
      <c r="BF620" s="82">
        <f>IF($A620="","",IF(TRIM($BC620&amp;"")&lt;&gt;"",$BC620,IF(TRIM($D620&amp;"")="","",IFERROR(IF(VLOOKUP($D620,VEHICULOS!$A$3:$H$202,8,FALSE)="","",VLOOKUP($D620,VEHICULOS!$A$3:$H$202,8,FALSE)),""))))</f>
      </c>
      <c r="BG620" s="106"/>
      <c r="BH620" s="107"/>
      <c r="BI620" s="86">
        <f t="shared" si="135"/>
      </c>
      <c r="BJ620" s="83">
        <f t="shared" si="136"/>
      </c>
      <c r="BK620" s="85">
        <f t="shared" si="137"/>
      </c>
      <c r="BL620" s="85">
        <f t="shared" si="138"/>
      </c>
      <c r="BM620" s="108"/>
      <c r="BN620" s="85">
        <f t="shared" si="139"/>
      </c>
      <c r="BO620" s="108"/>
      <c r="BP620" s="85">
        <f t="shared" si="140"/>
      </c>
      <c r="BQ620" s="85">
        <f t="shared" si="141"/>
      </c>
      <c r="BR620" s="108"/>
      <c r="BS620" s="104"/>
      <c r="BT620" s="87">
        <f t="shared" si="142"/>
      </c>
      <c r="BU620" s="85">
        <f t="shared" si="143"/>
      </c>
      <c r="BV620" s="85">
        <f t="shared" si="144"/>
      </c>
      <c r="BW620" s="87">
        <f t="shared" si="145"/>
      </c>
      <c r="BX620" s="104"/>
      <c r="BY620" s="106"/>
      <c r="BZ620" s="104"/>
      <c r="CA620" s="105"/>
      <c r="CB620" s="77">
        <f>IF($A620="",0,IF($B620='FICHA CLIENTE'!$C$4,1,0))</f>
      </c>
      <c r="CC620" s="77">
        <f t="shared" si="146"/>
      </c>
      <c r="CD620" s="77">
        <f>IF($A620="",0,IF($D620='FICHA VEHICULO'!$C$4,1,0))</f>
      </c>
      <c r="CE620" s="77">
        <f t="shared" si="147"/>
      </c>
      <c r="CF620" s="77">
        <f t="shared" si="148"/>
      </c>
      <c r="CG620" s="77">
        <f t="shared" si="149"/>
      </c>
    </row>
    <row r="621" spans="1:85" ht="19.5" customHeight="1" x14ac:dyDescent="0.2">
      <c r="A621" s="104"/>
      <c r="B621" s="104"/>
      <c r="C621" s="105"/>
      <c r="D621" s="104"/>
      <c r="E621" s="105"/>
      <c r="F621" s="106"/>
      <c r="G621" s="104"/>
      <c r="H621" s="106"/>
      <c r="I621" s="107"/>
      <c r="J621" s="108"/>
      <c r="K621" s="108"/>
      <c r="L621" s="108"/>
      <c r="M621" s="105"/>
      <c r="N621" s="105"/>
      <c r="O621" s="105"/>
      <c r="P621" s="108"/>
      <c r="Q621" s="105"/>
      <c r="R621" s="105"/>
      <c r="S621" s="105"/>
      <c r="T621" s="105"/>
      <c r="U621" s="108"/>
      <c r="V621" s="105"/>
      <c r="W621" s="105"/>
      <c r="X621" s="105"/>
      <c r="Y621" s="105"/>
      <c r="Z621" s="105"/>
      <c r="AA621" s="108"/>
      <c r="AB621" s="108"/>
      <c r="AC621" s="105"/>
      <c r="AD621" s="279"/>
      <c r="AE621" s="105"/>
      <c r="AF621" s="279"/>
      <c r="AG621" s="105"/>
      <c r="AH621" s="108"/>
      <c r="AI621" s="108"/>
      <c r="AJ621" s="108"/>
      <c r="AK621" s="108"/>
      <c r="AL621" s="105"/>
      <c r="AM621" s="108"/>
      <c r="AN621" s="105"/>
      <c r="AO621" s="108"/>
      <c r="AP621" s="108"/>
      <c r="AQ621" s="105"/>
      <c r="AR621" s="108"/>
      <c r="AS621" s="108"/>
      <c r="AT621" s="105"/>
      <c r="AU621" s="105"/>
      <c r="AV621" s="105"/>
      <c r="AW621" s="105"/>
      <c r="AX621" s="105"/>
      <c r="AY621" s="105"/>
      <c r="AZ621" s="105"/>
      <c r="BA621" s="105"/>
      <c r="BB621" s="105"/>
      <c r="BC621" s="105"/>
      <c r="BD621" s="108"/>
      <c r="BE621" s="83">
        <f>IF($A621="","",IF(TRIM($D621&amp;"")="",IF(TRIM($AX621&amp;$AY621&amp;$AZ621&amp;$BA621&amp;$BB621&amp;$BC621&amp;$BD621&amp;"")="","","SUBARRENDADO"),IFERROR(IF(VLOOKUP($D621,VEHICULOS!$A$3:$H$202,7,FALSE)="","",VLOOKUP($D621,VEHICULOS!$A$3:$H$202,7,FALSE)),"")))</f>
      </c>
      <c r="BF621" s="82">
        <f>IF($A621="","",IF(TRIM($BC621&amp;"")&lt;&gt;"",$BC621,IF(TRIM($D621&amp;"")="","",IFERROR(IF(VLOOKUP($D621,VEHICULOS!$A$3:$H$202,8,FALSE)="","",VLOOKUP($D621,VEHICULOS!$A$3:$H$202,8,FALSE)),""))))</f>
      </c>
      <c r="BG621" s="106"/>
      <c r="BH621" s="107"/>
      <c r="BI621" s="86">
        <f t="shared" si="135"/>
      </c>
      <c r="BJ621" s="83">
        <f t="shared" si="136"/>
      </c>
      <c r="BK621" s="85">
        <f t="shared" si="137"/>
      </c>
      <c r="BL621" s="85">
        <f t="shared" si="138"/>
      </c>
      <c r="BM621" s="108"/>
      <c r="BN621" s="85">
        <f t="shared" si="139"/>
      </c>
      <c r="BO621" s="108"/>
      <c r="BP621" s="85">
        <f t="shared" si="140"/>
      </c>
      <c r="BQ621" s="85">
        <f t="shared" si="141"/>
      </c>
      <c r="BR621" s="108"/>
      <c r="BS621" s="104"/>
      <c r="BT621" s="87">
        <f t="shared" si="142"/>
      </c>
      <c r="BU621" s="85">
        <f t="shared" si="143"/>
      </c>
      <c r="BV621" s="85">
        <f t="shared" si="144"/>
      </c>
      <c r="BW621" s="87">
        <f t="shared" si="145"/>
      </c>
      <c r="BX621" s="104"/>
      <c r="BY621" s="106"/>
      <c r="BZ621" s="104"/>
      <c r="CA621" s="105"/>
      <c r="CB621" s="77">
        <f>IF($A621="",0,IF($B621='FICHA CLIENTE'!$C$4,1,0))</f>
      </c>
      <c r="CC621" s="77">
        <f t="shared" si="146"/>
      </c>
      <c r="CD621" s="77">
        <f>IF($A621="",0,IF($D621='FICHA VEHICULO'!$C$4,1,0))</f>
      </c>
      <c r="CE621" s="77">
        <f t="shared" si="147"/>
      </c>
      <c r="CF621" s="77">
        <f t="shared" si="148"/>
      </c>
      <c r="CG621" s="77">
        <f t="shared" si="149"/>
      </c>
    </row>
    <row r="622" spans="1:85" ht="19.5" customHeight="1" x14ac:dyDescent="0.2">
      <c r="A622" s="104"/>
      <c r="B622" s="104"/>
      <c r="C622" s="105"/>
      <c r="D622" s="104"/>
      <c r="E622" s="105"/>
      <c r="F622" s="106"/>
      <c r="G622" s="104"/>
      <c r="H622" s="106"/>
      <c r="I622" s="107"/>
      <c r="J622" s="108"/>
      <c r="K622" s="108"/>
      <c r="L622" s="108"/>
      <c r="M622" s="105"/>
      <c r="N622" s="105"/>
      <c r="O622" s="105"/>
      <c r="P622" s="108"/>
      <c r="Q622" s="105"/>
      <c r="R622" s="105"/>
      <c r="S622" s="105"/>
      <c r="T622" s="105"/>
      <c r="U622" s="108"/>
      <c r="V622" s="105"/>
      <c r="W622" s="105"/>
      <c r="X622" s="105"/>
      <c r="Y622" s="105"/>
      <c r="Z622" s="105"/>
      <c r="AA622" s="108"/>
      <c r="AB622" s="108"/>
      <c r="AC622" s="105"/>
      <c r="AD622" s="279"/>
      <c r="AE622" s="105"/>
      <c r="AF622" s="279"/>
      <c r="AG622" s="105"/>
      <c r="AH622" s="108"/>
      <c r="AI622" s="108"/>
      <c r="AJ622" s="108"/>
      <c r="AK622" s="108"/>
      <c r="AL622" s="105"/>
      <c r="AM622" s="108"/>
      <c r="AN622" s="105"/>
      <c r="AO622" s="108"/>
      <c r="AP622" s="108"/>
      <c r="AQ622" s="105"/>
      <c r="AR622" s="108"/>
      <c r="AS622" s="108"/>
      <c r="AT622" s="105"/>
      <c r="AU622" s="105"/>
      <c r="AV622" s="105"/>
      <c r="AW622" s="105"/>
      <c r="AX622" s="105"/>
      <c r="AY622" s="105"/>
      <c r="AZ622" s="105"/>
      <c r="BA622" s="105"/>
      <c r="BB622" s="105"/>
      <c r="BC622" s="105"/>
      <c r="BD622" s="108"/>
      <c r="BE622" s="83">
        <f>IF($A622="","",IF(TRIM($D622&amp;"")="",IF(TRIM($AX622&amp;$AY622&amp;$AZ622&amp;$BA622&amp;$BB622&amp;$BC622&amp;$BD622&amp;"")="","","SUBARRENDADO"),IFERROR(IF(VLOOKUP($D622,VEHICULOS!$A$3:$H$202,7,FALSE)="","",VLOOKUP($D622,VEHICULOS!$A$3:$H$202,7,FALSE)),"")))</f>
      </c>
      <c r="BF622" s="82">
        <f>IF($A622="","",IF(TRIM($BC622&amp;"")&lt;&gt;"",$BC622,IF(TRIM($D622&amp;"")="","",IFERROR(IF(VLOOKUP($D622,VEHICULOS!$A$3:$H$202,8,FALSE)="","",VLOOKUP($D622,VEHICULOS!$A$3:$H$202,8,FALSE)),""))))</f>
      </c>
      <c r="BG622" s="106"/>
      <c r="BH622" s="107"/>
      <c r="BI622" s="86">
        <f t="shared" si="135"/>
      </c>
      <c r="BJ622" s="83">
        <f t="shared" si="136"/>
      </c>
      <c r="BK622" s="85">
        <f t="shared" si="137"/>
      </c>
      <c r="BL622" s="85">
        <f t="shared" si="138"/>
      </c>
      <c r="BM622" s="108"/>
      <c r="BN622" s="85">
        <f t="shared" si="139"/>
      </c>
      <c r="BO622" s="108"/>
      <c r="BP622" s="85">
        <f t="shared" si="140"/>
      </c>
      <c r="BQ622" s="85">
        <f t="shared" si="141"/>
      </c>
      <c r="BR622" s="108"/>
      <c r="BS622" s="104"/>
      <c r="BT622" s="87">
        <f t="shared" si="142"/>
      </c>
      <c r="BU622" s="85">
        <f t="shared" si="143"/>
      </c>
      <c r="BV622" s="85">
        <f t="shared" si="144"/>
      </c>
      <c r="BW622" s="87">
        <f t="shared" si="145"/>
      </c>
      <c r="BX622" s="104"/>
      <c r="BY622" s="106"/>
      <c r="BZ622" s="104"/>
      <c r="CA622" s="105"/>
      <c r="CB622" s="77">
        <f>IF($A622="",0,IF($B622='FICHA CLIENTE'!$C$4,1,0))</f>
      </c>
      <c r="CC622" s="77">
        <f t="shared" si="146"/>
      </c>
      <c r="CD622" s="77">
        <f>IF($A622="",0,IF($D622='FICHA VEHICULO'!$C$4,1,0))</f>
      </c>
      <c r="CE622" s="77">
        <f t="shared" si="147"/>
      </c>
      <c r="CF622" s="77">
        <f t="shared" si="148"/>
      </c>
      <c r="CG622" s="77">
        <f t="shared" si="149"/>
      </c>
    </row>
    <row r="623" spans="1:85" ht="19.5" customHeight="1" x14ac:dyDescent="0.2">
      <c r="A623" s="104"/>
      <c r="B623" s="104"/>
      <c r="C623" s="105"/>
      <c r="D623" s="104"/>
      <c r="E623" s="105"/>
      <c r="F623" s="106"/>
      <c r="G623" s="104"/>
      <c r="H623" s="106"/>
      <c r="I623" s="107"/>
      <c r="J623" s="108"/>
      <c r="K623" s="108"/>
      <c r="L623" s="108"/>
      <c r="M623" s="105"/>
      <c r="N623" s="105"/>
      <c r="O623" s="105"/>
      <c r="P623" s="108"/>
      <c r="Q623" s="105"/>
      <c r="R623" s="105"/>
      <c r="S623" s="105"/>
      <c r="T623" s="105"/>
      <c r="U623" s="108"/>
      <c r="V623" s="105"/>
      <c r="W623" s="105"/>
      <c r="X623" s="105"/>
      <c r="Y623" s="105"/>
      <c r="Z623" s="105"/>
      <c r="AA623" s="108"/>
      <c r="AB623" s="108"/>
      <c r="AC623" s="105"/>
      <c r="AD623" s="279"/>
      <c r="AE623" s="105"/>
      <c r="AF623" s="279"/>
      <c r="AG623" s="105"/>
      <c r="AH623" s="108"/>
      <c r="AI623" s="108"/>
      <c r="AJ623" s="108"/>
      <c r="AK623" s="108"/>
      <c r="AL623" s="105"/>
      <c r="AM623" s="108"/>
      <c r="AN623" s="105"/>
      <c r="AO623" s="108"/>
      <c r="AP623" s="108"/>
      <c r="AQ623" s="105"/>
      <c r="AR623" s="108"/>
      <c r="AS623" s="108"/>
      <c r="AT623" s="105"/>
      <c r="AU623" s="105"/>
      <c r="AV623" s="105"/>
      <c r="AW623" s="105"/>
      <c r="AX623" s="105"/>
      <c r="AY623" s="105"/>
      <c r="AZ623" s="105"/>
      <c r="BA623" s="105"/>
      <c r="BB623" s="105"/>
      <c r="BC623" s="105"/>
      <c r="BD623" s="108"/>
      <c r="BE623" s="83">
        <f>IF($A623="","",IF(TRIM($D623&amp;"")="",IF(TRIM($AX623&amp;$AY623&amp;$AZ623&amp;$BA623&amp;$BB623&amp;$BC623&amp;$BD623&amp;"")="","","SUBARRENDADO"),IFERROR(IF(VLOOKUP($D623,VEHICULOS!$A$3:$H$202,7,FALSE)="","",VLOOKUP($D623,VEHICULOS!$A$3:$H$202,7,FALSE)),"")))</f>
      </c>
      <c r="BF623" s="82">
        <f>IF($A623="","",IF(TRIM($BC623&amp;"")&lt;&gt;"",$BC623,IF(TRIM($D623&amp;"")="","",IFERROR(IF(VLOOKUP($D623,VEHICULOS!$A$3:$H$202,8,FALSE)="","",VLOOKUP($D623,VEHICULOS!$A$3:$H$202,8,FALSE)),""))))</f>
      </c>
      <c r="BG623" s="106"/>
      <c r="BH623" s="107"/>
      <c r="BI623" s="86">
        <f t="shared" si="135"/>
      </c>
      <c r="BJ623" s="83">
        <f t="shared" si="136"/>
      </c>
      <c r="BK623" s="85">
        <f t="shared" si="137"/>
      </c>
      <c r="BL623" s="85">
        <f t="shared" si="138"/>
      </c>
      <c r="BM623" s="108"/>
      <c r="BN623" s="85">
        <f t="shared" si="139"/>
      </c>
      <c r="BO623" s="108"/>
      <c r="BP623" s="85">
        <f t="shared" si="140"/>
      </c>
      <c r="BQ623" s="85">
        <f t="shared" si="141"/>
      </c>
      <c r="BR623" s="108"/>
      <c r="BS623" s="104"/>
      <c r="BT623" s="87">
        <f t="shared" si="142"/>
      </c>
      <c r="BU623" s="85">
        <f t="shared" si="143"/>
      </c>
      <c r="BV623" s="85">
        <f t="shared" si="144"/>
      </c>
      <c r="BW623" s="87">
        <f t="shared" si="145"/>
      </c>
      <c r="BX623" s="104"/>
      <c r="BY623" s="106"/>
      <c r="BZ623" s="104"/>
      <c r="CA623" s="105"/>
      <c r="CB623" s="77">
        <f>IF($A623="",0,IF($B623='FICHA CLIENTE'!$C$4,1,0))</f>
      </c>
      <c r="CC623" s="77">
        <f t="shared" si="146"/>
      </c>
      <c r="CD623" s="77">
        <f>IF($A623="",0,IF($D623='FICHA VEHICULO'!$C$4,1,0))</f>
      </c>
      <c r="CE623" s="77">
        <f t="shared" si="147"/>
      </c>
      <c r="CF623" s="77">
        <f t="shared" si="148"/>
      </c>
      <c r="CG623" s="77">
        <f t="shared" si="149"/>
      </c>
    </row>
    <row r="624" spans="1:85" ht="19.5" customHeight="1" x14ac:dyDescent="0.2">
      <c r="A624" s="104"/>
      <c r="B624" s="104"/>
      <c r="C624" s="105"/>
      <c r="D624" s="104"/>
      <c r="E624" s="105"/>
      <c r="F624" s="106"/>
      <c r="G624" s="104"/>
      <c r="H624" s="106"/>
      <c r="I624" s="107"/>
      <c r="J624" s="108"/>
      <c r="K624" s="108"/>
      <c r="L624" s="108"/>
      <c r="M624" s="105"/>
      <c r="N624" s="105"/>
      <c r="O624" s="105"/>
      <c r="P624" s="108"/>
      <c r="Q624" s="105"/>
      <c r="R624" s="105"/>
      <c r="S624" s="105"/>
      <c r="T624" s="105"/>
      <c r="U624" s="108"/>
      <c r="V624" s="105"/>
      <c r="W624" s="105"/>
      <c r="X624" s="105"/>
      <c r="Y624" s="105"/>
      <c r="Z624" s="105"/>
      <c r="AA624" s="108"/>
      <c r="AB624" s="108"/>
      <c r="AC624" s="105"/>
      <c r="AD624" s="279"/>
      <c r="AE624" s="105"/>
      <c r="AF624" s="279"/>
      <c r="AG624" s="105"/>
      <c r="AH624" s="108"/>
      <c r="AI624" s="108"/>
      <c r="AJ624" s="108"/>
      <c r="AK624" s="108"/>
      <c r="AL624" s="105"/>
      <c r="AM624" s="108"/>
      <c r="AN624" s="105"/>
      <c r="AO624" s="108"/>
      <c r="AP624" s="108"/>
      <c r="AQ624" s="105"/>
      <c r="AR624" s="108"/>
      <c r="AS624" s="108"/>
      <c r="AT624" s="105"/>
      <c r="AU624" s="105"/>
      <c r="AV624" s="105"/>
      <c r="AW624" s="105"/>
      <c r="AX624" s="105"/>
      <c r="AY624" s="105"/>
      <c r="AZ624" s="105"/>
      <c r="BA624" s="105"/>
      <c r="BB624" s="105"/>
      <c r="BC624" s="105"/>
      <c r="BD624" s="108"/>
      <c r="BE624" s="83">
        <f>IF($A624="","",IF(TRIM($D624&amp;"")="",IF(TRIM($AX624&amp;$AY624&amp;$AZ624&amp;$BA624&amp;$BB624&amp;$BC624&amp;$BD624&amp;"")="","","SUBARRENDADO"),IFERROR(IF(VLOOKUP($D624,VEHICULOS!$A$3:$H$202,7,FALSE)="","",VLOOKUP($D624,VEHICULOS!$A$3:$H$202,7,FALSE)),"")))</f>
      </c>
      <c r="BF624" s="82">
        <f>IF($A624="","",IF(TRIM($BC624&amp;"")&lt;&gt;"",$BC624,IF(TRIM($D624&amp;"")="","",IFERROR(IF(VLOOKUP($D624,VEHICULOS!$A$3:$H$202,8,FALSE)="","",VLOOKUP($D624,VEHICULOS!$A$3:$H$202,8,FALSE)),""))))</f>
      </c>
      <c r="BG624" s="106"/>
      <c r="BH624" s="107"/>
      <c r="BI624" s="86">
        <f t="shared" si="135"/>
      </c>
      <c r="BJ624" s="83">
        <f t="shared" si="136"/>
      </c>
      <c r="BK624" s="85">
        <f t="shared" si="137"/>
      </c>
      <c r="BL624" s="85">
        <f t="shared" si="138"/>
      </c>
      <c r="BM624" s="108"/>
      <c r="BN624" s="85">
        <f t="shared" si="139"/>
      </c>
      <c r="BO624" s="108"/>
      <c r="BP624" s="85">
        <f t="shared" si="140"/>
      </c>
      <c r="BQ624" s="85">
        <f t="shared" si="141"/>
      </c>
      <c r="BR624" s="108"/>
      <c r="BS624" s="104"/>
      <c r="BT624" s="87">
        <f t="shared" si="142"/>
      </c>
      <c r="BU624" s="85">
        <f t="shared" si="143"/>
      </c>
      <c r="BV624" s="85">
        <f t="shared" si="144"/>
      </c>
      <c r="BW624" s="87">
        <f t="shared" si="145"/>
      </c>
      <c r="BX624" s="104"/>
      <c r="BY624" s="106"/>
      <c r="BZ624" s="104"/>
      <c r="CA624" s="105"/>
      <c r="CB624" s="77">
        <f>IF($A624="",0,IF($B624='FICHA CLIENTE'!$C$4,1,0))</f>
      </c>
      <c r="CC624" s="77">
        <f t="shared" si="146"/>
      </c>
      <c r="CD624" s="77">
        <f>IF($A624="",0,IF($D624='FICHA VEHICULO'!$C$4,1,0))</f>
      </c>
      <c r="CE624" s="77">
        <f t="shared" si="147"/>
      </c>
      <c r="CF624" s="77">
        <f t="shared" si="148"/>
      </c>
      <c r="CG624" s="77">
        <f t="shared" si="149"/>
      </c>
    </row>
    <row r="625" spans="1:85" ht="19.5" customHeight="1" x14ac:dyDescent="0.2">
      <c r="A625" s="104"/>
      <c r="B625" s="104"/>
      <c r="C625" s="105"/>
      <c r="D625" s="104"/>
      <c r="E625" s="105"/>
      <c r="F625" s="106"/>
      <c r="G625" s="104"/>
      <c r="H625" s="106"/>
      <c r="I625" s="107"/>
      <c r="J625" s="108"/>
      <c r="K625" s="108"/>
      <c r="L625" s="108"/>
      <c r="M625" s="105"/>
      <c r="N625" s="105"/>
      <c r="O625" s="105"/>
      <c r="P625" s="108"/>
      <c r="Q625" s="105"/>
      <c r="R625" s="105"/>
      <c r="S625" s="105"/>
      <c r="T625" s="105"/>
      <c r="U625" s="108"/>
      <c r="V625" s="105"/>
      <c r="W625" s="105"/>
      <c r="X625" s="105"/>
      <c r="Y625" s="105"/>
      <c r="Z625" s="105"/>
      <c r="AA625" s="108"/>
      <c r="AB625" s="108"/>
      <c r="AC625" s="105"/>
      <c r="AD625" s="279"/>
      <c r="AE625" s="105"/>
      <c r="AF625" s="279"/>
      <c r="AG625" s="105"/>
      <c r="AH625" s="108"/>
      <c r="AI625" s="108"/>
      <c r="AJ625" s="108"/>
      <c r="AK625" s="108"/>
      <c r="AL625" s="105"/>
      <c r="AM625" s="108"/>
      <c r="AN625" s="105"/>
      <c r="AO625" s="108"/>
      <c r="AP625" s="108"/>
      <c r="AQ625" s="105"/>
      <c r="AR625" s="108"/>
      <c r="AS625" s="108"/>
      <c r="AT625" s="105"/>
      <c r="AU625" s="105"/>
      <c r="AV625" s="105"/>
      <c r="AW625" s="105"/>
      <c r="AX625" s="105"/>
      <c r="AY625" s="105"/>
      <c r="AZ625" s="105"/>
      <c r="BA625" s="105"/>
      <c r="BB625" s="105"/>
      <c r="BC625" s="105"/>
      <c r="BD625" s="108"/>
      <c r="BE625" s="83">
        <f>IF($A625="","",IF(TRIM($D625&amp;"")="",IF(TRIM($AX625&amp;$AY625&amp;$AZ625&amp;$BA625&amp;$BB625&amp;$BC625&amp;$BD625&amp;"")="","","SUBARRENDADO"),IFERROR(IF(VLOOKUP($D625,VEHICULOS!$A$3:$H$202,7,FALSE)="","",VLOOKUP($D625,VEHICULOS!$A$3:$H$202,7,FALSE)),"")))</f>
      </c>
      <c r="BF625" s="82">
        <f>IF($A625="","",IF(TRIM($BC625&amp;"")&lt;&gt;"",$BC625,IF(TRIM($D625&amp;"")="","",IFERROR(IF(VLOOKUP($D625,VEHICULOS!$A$3:$H$202,8,FALSE)="","",VLOOKUP($D625,VEHICULOS!$A$3:$H$202,8,FALSE)),""))))</f>
      </c>
      <c r="BG625" s="106"/>
      <c r="BH625" s="107"/>
      <c r="BI625" s="86">
        <f t="shared" si="135"/>
      </c>
      <c r="BJ625" s="83">
        <f t="shared" si="136"/>
      </c>
      <c r="BK625" s="85">
        <f t="shared" si="137"/>
      </c>
      <c r="BL625" s="85">
        <f t="shared" si="138"/>
      </c>
      <c r="BM625" s="108"/>
      <c r="BN625" s="85">
        <f t="shared" si="139"/>
      </c>
      <c r="BO625" s="108"/>
      <c r="BP625" s="85">
        <f t="shared" si="140"/>
      </c>
      <c r="BQ625" s="85">
        <f t="shared" si="141"/>
      </c>
      <c r="BR625" s="108"/>
      <c r="BS625" s="104"/>
      <c r="BT625" s="87">
        <f t="shared" si="142"/>
      </c>
      <c r="BU625" s="85">
        <f t="shared" si="143"/>
      </c>
      <c r="BV625" s="85">
        <f t="shared" si="144"/>
      </c>
      <c r="BW625" s="87">
        <f t="shared" si="145"/>
      </c>
      <c r="BX625" s="104"/>
      <c r="BY625" s="106"/>
      <c r="BZ625" s="104"/>
      <c r="CA625" s="105"/>
      <c r="CB625" s="77">
        <f>IF($A625="",0,IF($B625='FICHA CLIENTE'!$C$4,1,0))</f>
      </c>
      <c r="CC625" s="77">
        <f t="shared" si="146"/>
      </c>
      <c r="CD625" s="77">
        <f>IF($A625="",0,IF($D625='FICHA VEHICULO'!$C$4,1,0))</f>
      </c>
      <c r="CE625" s="77">
        <f t="shared" si="147"/>
      </c>
      <c r="CF625" s="77">
        <f t="shared" si="148"/>
      </c>
      <c r="CG625" s="77">
        <f t="shared" si="149"/>
      </c>
    </row>
    <row r="626" spans="1:85" ht="19.5" customHeight="1" x14ac:dyDescent="0.2">
      <c r="A626" s="104"/>
      <c r="B626" s="104"/>
      <c r="C626" s="105"/>
      <c r="D626" s="104"/>
      <c r="E626" s="105"/>
      <c r="F626" s="106"/>
      <c r="G626" s="104"/>
      <c r="H626" s="106"/>
      <c r="I626" s="107"/>
      <c r="J626" s="108"/>
      <c r="K626" s="108"/>
      <c r="L626" s="108"/>
      <c r="M626" s="105"/>
      <c r="N626" s="105"/>
      <c r="O626" s="105"/>
      <c r="P626" s="108"/>
      <c r="Q626" s="105"/>
      <c r="R626" s="105"/>
      <c r="S626" s="105"/>
      <c r="T626" s="105"/>
      <c r="U626" s="108"/>
      <c r="V626" s="105"/>
      <c r="W626" s="105"/>
      <c r="X626" s="105"/>
      <c r="Y626" s="105"/>
      <c r="Z626" s="105"/>
      <c r="AA626" s="108"/>
      <c r="AB626" s="108"/>
      <c r="AC626" s="105"/>
      <c r="AD626" s="279"/>
      <c r="AE626" s="105"/>
      <c r="AF626" s="279"/>
      <c r="AG626" s="105"/>
      <c r="AH626" s="108"/>
      <c r="AI626" s="108"/>
      <c r="AJ626" s="108"/>
      <c r="AK626" s="108"/>
      <c r="AL626" s="105"/>
      <c r="AM626" s="108"/>
      <c r="AN626" s="105"/>
      <c r="AO626" s="108"/>
      <c r="AP626" s="108"/>
      <c r="AQ626" s="105"/>
      <c r="AR626" s="108"/>
      <c r="AS626" s="108"/>
      <c r="AT626" s="105"/>
      <c r="AU626" s="105"/>
      <c r="AV626" s="105"/>
      <c r="AW626" s="105"/>
      <c r="AX626" s="105"/>
      <c r="AY626" s="105"/>
      <c r="AZ626" s="105"/>
      <c r="BA626" s="105"/>
      <c r="BB626" s="105"/>
      <c r="BC626" s="105"/>
      <c r="BD626" s="108"/>
      <c r="BE626" s="83">
        <f>IF($A626="","",IF(TRIM($D626&amp;"")="",IF(TRIM($AX626&amp;$AY626&amp;$AZ626&amp;$BA626&amp;$BB626&amp;$BC626&amp;$BD626&amp;"")="","","SUBARRENDADO"),IFERROR(IF(VLOOKUP($D626,VEHICULOS!$A$3:$H$202,7,FALSE)="","",VLOOKUP($D626,VEHICULOS!$A$3:$H$202,7,FALSE)),"")))</f>
      </c>
      <c r="BF626" s="82">
        <f>IF($A626="","",IF(TRIM($BC626&amp;"")&lt;&gt;"",$BC626,IF(TRIM($D626&amp;"")="","",IFERROR(IF(VLOOKUP($D626,VEHICULOS!$A$3:$H$202,8,FALSE)="","",VLOOKUP($D626,VEHICULOS!$A$3:$H$202,8,FALSE)),""))))</f>
      </c>
      <c r="BG626" s="106"/>
      <c r="BH626" s="107"/>
      <c r="BI626" s="86">
        <f t="shared" si="135"/>
      </c>
      <c r="BJ626" s="83">
        <f t="shared" si="136"/>
      </c>
      <c r="BK626" s="85">
        <f t="shared" si="137"/>
      </c>
      <c r="BL626" s="85">
        <f t="shared" si="138"/>
      </c>
      <c r="BM626" s="108"/>
      <c r="BN626" s="85">
        <f t="shared" si="139"/>
      </c>
      <c r="BO626" s="108"/>
      <c r="BP626" s="85">
        <f t="shared" si="140"/>
      </c>
      <c r="BQ626" s="85">
        <f t="shared" si="141"/>
      </c>
      <c r="BR626" s="108"/>
      <c r="BS626" s="104"/>
      <c r="BT626" s="87">
        <f t="shared" si="142"/>
      </c>
      <c r="BU626" s="85">
        <f t="shared" si="143"/>
      </c>
      <c r="BV626" s="85">
        <f t="shared" si="144"/>
      </c>
      <c r="BW626" s="87">
        <f t="shared" si="145"/>
      </c>
      <c r="BX626" s="104"/>
      <c r="BY626" s="106"/>
      <c r="BZ626" s="104"/>
      <c r="CA626" s="105"/>
      <c r="CB626" s="77">
        <f>IF($A626="",0,IF($B626='FICHA CLIENTE'!$C$4,1,0))</f>
      </c>
      <c r="CC626" s="77">
        <f t="shared" si="146"/>
      </c>
      <c r="CD626" s="77">
        <f>IF($A626="",0,IF($D626='FICHA VEHICULO'!$C$4,1,0))</f>
      </c>
      <c r="CE626" s="77">
        <f t="shared" si="147"/>
      </c>
      <c r="CF626" s="77">
        <f t="shared" si="148"/>
      </c>
      <c r="CG626" s="77">
        <f t="shared" si="149"/>
      </c>
    </row>
    <row r="627" spans="1:85" ht="19.5" customHeight="1" x14ac:dyDescent="0.2">
      <c r="A627" s="104"/>
      <c r="B627" s="104"/>
      <c r="C627" s="105"/>
      <c r="D627" s="104"/>
      <c r="E627" s="105"/>
      <c r="F627" s="106"/>
      <c r="G627" s="104"/>
      <c r="H627" s="106"/>
      <c r="I627" s="107"/>
      <c r="J627" s="108"/>
      <c r="K627" s="108"/>
      <c r="L627" s="108"/>
      <c r="M627" s="105"/>
      <c r="N627" s="105"/>
      <c r="O627" s="105"/>
      <c r="P627" s="108"/>
      <c r="Q627" s="105"/>
      <c r="R627" s="105"/>
      <c r="S627" s="105"/>
      <c r="T627" s="105"/>
      <c r="U627" s="108"/>
      <c r="V627" s="105"/>
      <c r="W627" s="105"/>
      <c r="X627" s="105"/>
      <c r="Y627" s="105"/>
      <c r="Z627" s="105"/>
      <c r="AA627" s="108"/>
      <c r="AB627" s="108"/>
      <c r="AC627" s="105"/>
      <c r="AD627" s="279"/>
      <c r="AE627" s="105"/>
      <c r="AF627" s="279"/>
      <c r="AG627" s="105"/>
      <c r="AH627" s="108"/>
      <c r="AI627" s="108"/>
      <c r="AJ627" s="108"/>
      <c r="AK627" s="108"/>
      <c r="AL627" s="105"/>
      <c r="AM627" s="108"/>
      <c r="AN627" s="105"/>
      <c r="AO627" s="108"/>
      <c r="AP627" s="108"/>
      <c r="AQ627" s="105"/>
      <c r="AR627" s="108"/>
      <c r="AS627" s="108"/>
      <c r="AT627" s="105"/>
      <c r="AU627" s="105"/>
      <c r="AV627" s="105"/>
      <c r="AW627" s="105"/>
      <c r="AX627" s="105"/>
      <c r="AY627" s="105"/>
      <c r="AZ627" s="105"/>
      <c r="BA627" s="105"/>
      <c r="BB627" s="105"/>
      <c r="BC627" s="105"/>
      <c r="BD627" s="108"/>
      <c r="BE627" s="83">
        <f>IF($A627="","",IF(TRIM($D627&amp;"")="",IF(TRIM($AX627&amp;$AY627&amp;$AZ627&amp;$BA627&amp;$BB627&amp;$BC627&amp;$BD627&amp;"")="","","SUBARRENDADO"),IFERROR(IF(VLOOKUP($D627,VEHICULOS!$A$3:$H$202,7,FALSE)="","",VLOOKUP($D627,VEHICULOS!$A$3:$H$202,7,FALSE)),"")))</f>
      </c>
      <c r="BF627" s="82">
        <f>IF($A627="","",IF(TRIM($BC627&amp;"")&lt;&gt;"",$BC627,IF(TRIM($D627&amp;"")="","",IFERROR(IF(VLOOKUP($D627,VEHICULOS!$A$3:$H$202,8,FALSE)="","",VLOOKUP($D627,VEHICULOS!$A$3:$H$202,8,FALSE)),""))))</f>
      </c>
      <c r="BG627" s="106"/>
      <c r="BH627" s="107"/>
      <c r="BI627" s="86">
        <f t="shared" si="135"/>
      </c>
      <c r="BJ627" s="83">
        <f t="shared" si="136"/>
      </c>
      <c r="BK627" s="85">
        <f t="shared" si="137"/>
      </c>
      <c r="BL627" s="85">
        <f t="shared" si="138"/>
      </c>
      <c r="BM627" s="108"/>
      <c r="BN627" s="85">
        <f t="shared" si="139"/>
      </c>
      <c r="BO627" s="108"/>
      <c r="BP627" s="85">
        <f t="shared" si="140"/>
      </c>
      <c r="BQ627" s="85">
        <f t="shared" si="141"/>
      </c>
      <c r="BR627" s="108"/>
      <c r="BS627" s="104"/>
      <c r="BT627" s="87">
        <f t="shared" si="142"/>
      </c>
      <c r="BU627" s="85">
        <f t="shared" si="143"/>
      </c>
      <c r="BV627" s="85">
        <f t="shared" si="144"/>
      </c>
      <c r="BW627" s="87">
        <f t="shared" si="145"/>
      </c>
      <c r="BX627" s="104"/>
      <c r="BY627" s="106"/>
      <c r="BZ627" s="104"/>
      <c r="CA627" s="105"/>
      <c r="CB627" s="77">
        <f>IF($A627="",0,IF($B627='FICHA CLIENTE'!$C$4,1,0))</f>
      </c>
      <c r="CC627" s="77">
        <f t="shared" si="146"/>
      </c>
      <c r="CD627" s="77">
        <f>IF($A627="",0,IF($D627='FICHA VEHICULO'!$C$4,1,0))</f>
      </c>
      <c r="CE627" s="77">
        <f t="shared" si="147"/>
      </c>
      <c r="CF627" s="77">
        <f t="shared" si="148"/>
      </c>
      <c r="CG627" s="77">
        <f t="shared" si="149"/>
      </c>
    </row>
    <row r="628" spans="1:85" ht="19.5" customHeight="1" x14ac:dyDescent="0.2">
      <c r="A628" s="104"/>
      <c r="B628" s="104"/>
      <c r="C628" s="105"/>
      <c r="D628" s="104"/>
      <c r="E628" s="105"/>
      <c r="F628" s="106"/>
      <c r="G628" s="104"/>
      <c r="H628" s="106"/>
      <c r="I628" s="107"/>
      <c r="J628" s="108"/>
      <c r="K628" s="108"/>
      <c r="L628" s="108"/>
      <c r="M628" s="105"/>
      <c r="N628" s="105"/>
      <c r="O628" s="105"/>
      <c r="P628" s="108"/>
      <c r="Q628" s="105"/>
      <c r="R628" s="105"/>
      <c r="S628" s="105"/>
      <c r="T628" s="105"/>
      <c r="U628" s="108"/>
      <c r="V628" s="105"/>
      <c r="W628" s="105"/>
      <c r="X628" s="105"/>
      <c r="Y628" s="105"/>
      <c r="Z628" s="105"/>
      <c r="AA628" s="108"/>
      <c r="AB628" s="108"/>
      <c r="AC628" s="105"/>
      <c r="AD628" s="279"/>
      <c r="AE628" s="105"/>
      <c r="AF628" s="279"/>
      <c r="AG628" s="105"/>
      <c r="AH628" s="108"/>
      <c r="AI628" s="108"/>
      <c r="AJ628" s="108"/>
      <c r="AK628" s="108"/>
      <c r="AL628" s="105"/>
      <c r="AM628" s="108"/>
      <c r="AN628" s="105"/>
      <c r="AO628" s="108"/>
      <c r="AP628" s="108"/>
      <c r="AQ628" s="105"/>
      <c r="AR628" s="108"/>
      <c r="AS628" s="108"/>
      <c r="AT628" s="105"/>
      <c r="AU628" s="105"/>
      <c r="AV628" s="105"/>
      <c r="AW628" s="105"/>
      <c r="AX628" s="105"/>
      <c r="AY628" s="105"/>
      <c r="AZ628" s="105"/>
      <c r="BA628" s="105"/>
      <c r="BB628" s="105"/>
      <c r="BC628" s="105"/>
      <c r="BD628" s="108"/>
      <c r="BE628" s="83">
        <f>IF($A628="","",IF(TRIM($D628&amp;"")="",IF(TRIM($AX628&amp;$AY628&amp;$AZ628&amp;$BA628&amp;$BB628&amp;$BC628&amp;$BD628&amp;"")="","","SUBARRENDADO"),IFERROR(IF(VLOOKUP($D628,VEHICULOS!$A$3:$H$202,7,FALSE)="","",VLOOKUP($D628,VEHICULOS!$A$3:$H$202,7,FALSE)),"")))</f>
      </c>
      <c r="BF628" s="82">
        <f>IF($A628="","",IF(TRIM($BC628&amp;"")&lt;&gt;"",$BC628,IF(TRIM($D628&amp;"")="","",IFERROR(IF(VLOOKUP($D628,VEHICULOS!$A$3:$H$202,8,FALSE)="","",VLOOKUP($D628,VEHICULOS!$A$3:$H$202,8,FALSE)),""))))</f>
      </c>
      <c r="BG628" s="106"/>
      <c r="BH628" s="107"/>
      <c r="BI628" s="86">
        <f t="shared" si="135"/>
      </c>
      <c r="BJ628" s="83">
        <f t="shared" si="136"/>
      </c>
      <c r="BK628" s="85">
        <f t="shared" si="137"/>
      </c>
      <c r="BL628" s="85">
        <f t="shared" si="138"/>
      </c>
      <c r="BM628" s="108"/>
      <c r="BN628" s="85">
        <f t="shared" si="139"/>
      </c>
      <c r="BO628" s="108"/>
      <c r="BP628" s="85">
        <f t="shared" si="140"/>
      </c>
      <c r="BQ628" s="85">
        <f t="shared" si="141"/>
      </c>
      <c r="BR628" s="108"/>
      <c r="BS628" s="104"/>
      <c r="BT628" s="87">
        <f t="shared" si="142"/>
      </c>
      <c r="BU628" s="85">
        <f t="shared" si="143"/>
      </c>
      <c r="BV628" s="85">
        <f t="shared" si="144"/>
      </c>
      <c r="BW628" s="87">
        <f t="shared" si="145"/>
      </c>
      <c r="BX628" s="104"/>
      <c r="BY628" s="106"/>
      <c r="BZ628" s="104"/>
      <c r="CA628" s="105"/>
      <c r="CB628" s="77">
        <f>IF($A628="",0,IF($B628='FICHA CLIENTE'!$C$4,1,0))</f>
      </c>
      <c r="CC628" s="77">
        <f t="shared" si="146"/>
      </c>
      <c r="CD628" s="77">
        <f>IF($A628="",0,IF($D628='FICHA VEHICULO'!$C$4,1,0))</f>
      </c>
      <c r="CE628" s="77">
        <f t="shared" si="147"/>
      </c>
      <c r="CF628" s="77">
        <f t="shared" si="148"/>
      </c>
      <c r="CG628" s="77">
        <f t="shared" si="149"/>
      </c>
    </row>
    <row r="629" spans="1:85" ht="19.5" customHeight="1" x14ac:dyDescent="0.2">
      <c r="A629" s="104"/>
      <c r="B629" s="104"/>
      <c r="C629" s="105"/>
      <c r="D629" s="104"/>
      <c r="E629" s="105"/>
      <c r="F629" s="106"/>
      <c r="G629" s="104"/>
      <c r="H629" s="106"/>
      <c r="I629" s="107"/>
      <c r="J629" s="108"/>
      <c r="K629" s="108"/>
      <c r="L629" s="108"/>
      <c r="M629" s="105"/>
      <c r="N629" s="105"/>
      <c r="O629" s="105"/>
      <c r="P629" s="108"/>
      <c r="Q629" s="105"/>
      <c r="R629" s="105"/>
      <c r="S629" s="105"/>
      <c r="T629" s="105"/>
      <c r="U629" s="108"/>
      <c r="V629" s="105"/>
      <c r="W629" s="105"/>
      <c r="X629" s="105"/>
      <c r="Y629" s="105"/>
      <c r="Z629" s="105"/>
      <c r="AA629" s="108"/>
      <c r="AB629" s="108"/>
      <c r="AC629" s="105"/>
      <c r="AD629" s="279"/>
      <c r="AE629" s="105"/>
      <c r="AF629" s="279"/>
      <c r="AG629" s="105"/>
      <c r="AH629" s="108"/>
      <c r="AI629" s="108"/>
      <c r="AJ629" s="108"/>
      <c r="AK629" s="108"/>
      <c r="AL629" s="105"/>
      <c r="AM629" s="108"/>
      <c r="AN629" s="105"/>
      <c r="AO629" s="108"/>
      <c r="AP629" s="108"/>
      <c r="AQ629" s="105"/>
      <c r="AR629" s="108"/>
      <c r="AS629" s="108"/>
      <c r="AT629" s="105"/>
      <c r="AU629" s="105"/>
      <c r="AV629" s="105"/>
      <c r="AW629" s="105"/>
      <c r="AX629" s="105"/>
      <c r="AY629" s="105"/>
      <c r="AZ629" s="105"/>
      <c r="BA629" s="105"/>
      <c r="BB629" s="105"/>
      <c r="BC629" s="105"/>
      <c r="BD629" s="108"/>
      <c r="BE629" s="83">
        <f>IF($A629="","",IF(TRIM($D629&amp;"")="",IF(TRIM($AX629&amp;$AY629&amp;$AZ629&amp;$BA629&amp;$BB629&amp;$BC629&amp;$BD629&amp;"")="","","SUBARRENDADO"),IFERROR(IF(VLOOKUP($D629,VEHICULOS!$A$3:$H$202,7,FALSE)="","",VLOOKUP($D629,VEHICULOS!$A$3:$H$202,7,FALSE)),"")))</f>
      </c>
      <c r="BF629" s="82">
        <f>IF($A629="","",IF(TRIM($BC629&amp;"")&lt;&gt;"",$BC629,IF(TRIM($D629&amp;"")="","",IFERROR(IF(VLOOKUP($D629,VEHICULOS!$A$3:$H$202,8,FALSE)="","",VLOOKUP($D629,VEHICULOS!$A$3:$H$202,8,FALSE)),""))))</f>
      </c>
      <c r="BG629" s="106"/>
      <c r="BH629" s="107"/>
      <c r="BI629" s="86">
        <f t="shared" si="135"/>
      </c>
      <c r="BJ629" s="83">
        <f t="shared" si="136"/>
      </c>
      <c r="BK629" s="85">
        <f t="shared" si="137"/>
      </c>
      <c r="BL629" s="85">
        <f t="shared" si="138"/>
      </c>
      <c r="BM629" s="108"/>
      <c r="BN629" s="85">
        <f t="shared" si="139"/>
      </c>
      <c r="BO629" s="108"/>
      <c r="BP629" s="85">
        <f t="shared" si="140"/>
      </c>
      <c r="BQ629" s="85">
        <f t="shared" si="141"/>
      </c>
      <c r="BR629" s="108"/>
      <c r="BS629" s="104"/>
      <c r="BT629" s="87">
        <f t="shared" si="142"/>
      </c>
      <c r="BU629" s="85">
        <f t="shared" si="143"/>
      </c>
      <c r="BV629" s="85">
        <f t="shared" si="144"/>
      </c>
      <c r="BW629" s="87">
        <f t="shared" si="145"/>
      </c>
      <c r="BX629" s="104"/>
      <c r="BY629" s="106"/>
      <c r="BZ629" s="104"/>
      <c r="CA629" s="105"/>
      <c r="CB629" s="77">
        <f>IF($A629="",0,IF($B629='FICHA CLIENTE'!$C$4,1,0))</f>
      </c>
      <c r="CC629" s="77">
        <f t="shared" si="146"/>
      </c>
      <c r="CD629" s="77">
        <f>IF($A629="",0,IF($D629='FICHA VEHICULO'!$C$4,1,0))</f>
      </c>
      <c r="CE629" s="77">
        <f t="shared" si="147"/>
      </c>
      <c r="CF629" s="77">
        <f t="shared" si="148"/>
      </c>
      <c r="CG629" s="77">
        <f t="shared" si="149"/>
      </c>
    </row>
    <row r="630" spans="1:85" ht="19.5" customHeight="1" x14ac:dyDescent="0.2">
      <c r="A630" s="104"/>
      <c r="B630" s="104"/>
      <c r="C630" s="105"/>
      <c r="D630" s="104"/>
      <c r="E630" s="105"/>
      <c r="F630" s="106"/>
      <c r="G630" s="104"/>
      <c r="H630" s="106"/>
      <c r="I630" s="107"/>
      <c r="J630" s="108"/>
      <c r="K630" s="108"/>
      <c r="L630" s="108"/>
      <c r="M630" s="105"/>
      <c r="N630" s="105"/>
      <c r="O630" s="105"/>
      <c r="P630" s="108"/>
      <c r="Q630" s="105"/>
      <c r="R630" s="105"/>
      <c r="S630" s="105"/>
      <c r="T630" s="105"/>
      <c r="U630" s="108"/>
      <c r="V630" s="105"/>
      <c r="W630" s="105"/>
      <c r="X630" s="105"/>
      <c r="Y630" s="105"/>
      <c r="Z630" s="105"/>
      <c r="AA630" s="108"/>
      <c r="AB630" s="108"/>
      <c r="AC630" s="105"/>
      <c r="AD630" s="279"/>
      <c r="AE630" s="105"/>
      <c r="AF630" s="279"/>
      <c r="AG630" s="105"/>
      <c r="AH630" s="108"/>
      <c r="AI630" s="108"/>
      <c r="AJ630" s="108"/>
      <c r="AK630" s="108"/>
      <c r="AL630" s="105"/>
      <c r="AM630" s="108"/>
      <c r="AN630" s="105"/>
      <c r="AO630" s="108"/>
      <c r="AP630" s="108"/>
      <c r="AQ630" s="105"/>
      <c r="AR630" s="108"/>
      <c r="AS630" s="108"/>
      <c r="AT630" s="105"/>
      <c r="AU630" s="105"/>
      <c r="AV630" s="105"/>
      <c r="AW630" s="105"/>
      <c r="AX630" s="105"/>
      <c r="AY630" s="105"/>
      <c r="AZ630" s="105"/>
      <c r="BA630" s="105"/>
      <c r="BB630" s="105"/>
      <c r="BC630" s="105"/>
      <c r="BD630" s="108"/>
      <c r="BE630" s="83">
        <f>IF($A630="","",IF(TRIM($D630&amp;"")="",IF(TRIM($AX630&amp;$AY630&amp;$AZ630&amp;$BA630&amp;$BB630&amp;$BC630&amp;$BD630&amp;"")="","","SUBARRENDADO"),IFERROR(IF(VLOOKUP($D630,VEHICULOS!$A$3:$H$202,7,FALSE)="","",VLOOKUP($D630,VEHICULOS!$A$3:$H$202,7,FALSE)),"")))</f>
      </c>
      <c r="BF630" s="82">
        <f>IF($A630="","",IF(TRIM($BC630&amp;"")&lt;&gt;"",$BC630,IF(TRIM($D630&amp;"")="","",IFERROR(IF(VLOOKUP($D630,VEHICULOS!$A$3:$H$202,8,FALSE)="","",VLOOKUP($D630,VEHICULOS!$A$3:$H$202,8,FALSE)),""))))</f>
      </c>
      <c r="BG630" s="106"/>
      <c r="BH630" s="107"/>
      <c r="BI630" s="86">
        <f t="shared" si="135"/>
      </c>
      <c r="BJ630" s="83">
        <f t="shared" si="136"/>
      </c>
      <c r="BK630" s="85">
        <f t="shared" si="137"/>
      </c>
      <c r="BL630" s="85">
        <f t="shared" si="138"/>
      </c>
      <c r="BM630" s="108"/>
      <c r="BN630" s="85">
        <f t="shared" si="139"/>
      </c>
      <c r="BO630" s="108"/>
      <c r="BP630" s="85">
        <f t="shared" si="140"/>
      </c>
      <c r="BQ630" s="85">
        <f t="shared" si="141"/>
      </c>
      <c r="BR630" s="108"/>
      <c r="BS630" s="104"/>
      <c r="BT630" s="87">
        <f t="shared" si="142"/>
      </c>
      <c r="BU630" s="85">
        <f t="shared" si="143"/>
      </c>
      <c r="BV630" s="85">
        <f t="shared" si="144"/>
      </c>
      <c r="BW630" s="87">
        <f t="shared" si="145"/>
      </c>
      <c r="BX630" s="104"/>
      <c r="BY630" s="106"/>
      <c r="BZ630" s="104"/>
      <c r="CA630" s="105"/>
      <c r="CB630" s="77">
        <f>IF($A630="",0,IF($B630='FICHA CLIENTE'!$C$4,1,0))</f>
      </c>
      <c r="CC630" s="77">
        <f t="shared" si="146"/>
      </c>
      <c r="CD630" s="77">
        <f>IF($A630="",0,IF($D630='FICHA VEHICULO'!$C$4,1,0))</f>
      </c>
      <c r="CE630" s="77">
        <f t="shared" si="147"/>
      </c>
      <c r="CF630" s="77">
        <f t="shared" si="148"/>
      </c>
      <c r="CG630" s="77">
        <f t="shared" si="149"/>
      </c>
    </row>
    <row r="631" spans="1:85" ht="19.5" customHeight="1" x14ac:dyDescent="0.2">
      <c r="A631" s="104"/>
      <c r="B631" s="104"/>
      <c r="C631" s="105"/>
      <c r="D631" s="104"/>
      <c r="E631" s="105"/>
      <c r="F631" s="106"/>
      <c r="G631" s="104"/>
      <c r="H631" s="106"/>
      <c r="I631" s="107"/>
      <c r="J631" s="108"/>
      <c r="K631" s="108"/>
      <c r="L631" s="108"/>
      <c r="M631" s="105"/>
      <c r="N631" s="105"/>
      <c r="O631" s="105"/>
      <c r="P631" s="108"/>
      <c r="Q631" s="105"/>
      <c r="R631" s="105"/>
      <c r="S631" s="105"/>
      <c r="T631" s="105"/>
      <c r="U631" s="108"/>
      <c r="V631" s="105"/>
      <c r="W631" s="105"/>
      <c r="X631" s="105"/>
      <c r="Y631" s="105"/>
      <c r="Z631" s="105"/>
      <c r="AA631" s="108"/>
      <c r="AB631" s="108"/>
      <c r="AC631" s="105"/>
      <c r="AD631" s="279"/>
      <c r="AE631" s="105"/>
      <c r="AF631" s="279"/>
      <c r="AG631" s="105"/>
      <c r="AH631" s="108"/>
      <c r="AI631" s="108"/>
      <c r="AJ631" s="108"/>
      <c r="AK631" s="108"/>
      <c r="AL631" s="105"/>
      <c r="AM631" s="108"/>
      <c r="AN631" s="105"/>
      <c r="AO631" s="108"/>
      <c r="AP631" s="108"/>
      <c r="AQ631" s="105"/>
      <c r="AR631" s="108"/>
      <c r="AS631" s="108"/>
      <c r="AT631" s="105"/>
      <c r="AU631" s="105"/>
      <c r="AV631" s="105"/>
      <c r="AW631" s="105"/>
      <c r="AX631" s="105"/>
      <c r="AY631" s="105"/>
      <c r="AZ631" s="105"/>
      <c r="BA631" s="105"/>
      <c r="BB631" s="105"/>
      <c r="BC631" s="105"/>
      <c r="BD631" s="108"/>
      <c r="BE631" s="83">
        <f>IF($A631="","",IF(TRIM($D631&amp;"")="",IF(TRIM($AX631&amp;$AY631&amp;$AZ631&amp;$BA631&amp;$BB631&amp;$BC631&amp;$BD631&amp;"")="","","SUBARRENDADO"),IFERROR(IF(VLOOKUP($D631,VEHICULOS!$A$3:$H$202,7,FALSE)="","",VLOOKUP($D631,VEHICULOS!$A$3:$H$202,7,FALSE)),"")))</f>
      </c>
      <c r="BF631" s="82">
        <f>IF($A631="","",IF(TRIM($BC631&amp;"")&lt;&gt;"",$BC631,IF(TRIM($D631&amp;"")="","",IFERROR(IF(VLOOKUP($D631,VEHICULOS!$A$3:$H$202,8,FALSE)="","",VLOOKUP($D631,VEHICULOS!$A$3:$H$202,8,FALSE)),""))))</f>
      </c>
      <c r="BG631" s="106"/>
      <c r="BH631" s="107"/>
      <c r="BI631" s="86">
        <f t="shared" si="135"/>
      </c>
      <c r="BJ631" s="83">
        <f t="shared" si="136"/>
      </c>
      <c r="BK631" s="85">
        <f t="shared" si="137"/>
      </c>
      <c r="BL631" s="85">
        <f t="shared" si="138"/>
      </c>
      <c r="BM631" s="108"/>
      <c r="BN631" s="85">
        <f t="shared" si="139"/>
      </c>
      <c r="BO631" s="108"/>
      <c r="BP631" s="85">
        <f t="shared" si="140"/>
      </c>
      <c r="BQ631" s="85">
        <f t="shared" si="141"/>
      </c>
      <c r="BR631" s="108"/>
      <c r="BS631" s="104"/>
      <c r="BT631" s="87">
        <f t="shared" si="142"/>
      </c>
      <c r="BU631" s="85">
        <f t="shared" si="143"/>
      </c>
      <c r="BV631" s="85">
        <f t="shared" si="144"/>
      </c>
      <c r="BW631" s="87">
        <f t="shared" si="145"/>
      </c>
      <c r="BX631" s="104"/>
      <c r="BY631" s="106"/>
      <c r="BZ631" s="104"/>
      <c r="CA631" s="105"/>
      <c r="CB631" s="77">
        <f>IF($A631="",0,IF($B631='FICHA CLIENTE'!$C$4,1,0))</f>
      </c>
      <c r="CC631" s="77">
        <f t="shared" si="146"/>
      </c>
      <c r="CD631" s="77">
        <f>IF($A631="",0,IF($D631='FICHA VEHICULO'!$C$4,1,0))</f>
      </c>
      <c r="CE631" s="77">
        <f t="shared" si="147"/>
      </c>
      <c r="CF631" s="77">
        <f t="shared" si="148"/>
      </c>
      <c r="CG631" s="77">
        <f t="shared" si="149"/>
      </c>
    </row>
    <row r="632" spans="1:85" ht="19.5" customHeight="1" x14ac:dyDescent="0.2">
      <c r="A632" s="104"/>
      <c r="B632" s="104"/>
      <c r="C632" s="105"/>
      <c r="D632" s="104"/>
      <c r="E632" s="105"/>
      <c r="F632" s="106"/>
      <c r="G632" s="104"/>
      <c r="H632" s="106"/>
      <c r="I632" s="107"/>
      <c r="J632" s="108"/>
      <c r="K632" s="108"/>
      <c r="L632" s="108"/>
      <c r="M632" s="105"/>
      <c r="N632" s="105"/>
      <c r="O632" s="105"/>
      <c r="P632" s="108"/>
      <c r="Q632" s="105"/>
      <c r="R632" s="105"/>
      <c r="S632" s="105"/>
      <c r="T632" s="105"/>
      <c r="U632" s="108"/>
      <c r="V632" s="105"/>
      <c r="W632" s="105"/>
      <c r="X632" s="105"/>
      <c r="Y632" s="105"/>
      <c r="Z632" s="105"/>
      <c r="AA632" s="108"/>
      <c r="AB632" s="108"/>
      <c r="AC632" s="105"/>
      <c r="AD632" s="279"/>
      <c r="AE632" s="105"/>
      <c r="AF632" s="279"/>
      <c r="AG632" s="105"/>
      <c r="AH632" s="108"/>
      <c r="AI632" s="108"/>
      <c r="AJ632" s="108"/>
      <c r="AK632" s="108"/>
      <c r="AL632" s="105"/>
      <c r="AM632" s="108"/>
      <c r="AN632" s="105"/>
      <c r="AO632" s="108"/>
      <c r="AP632" s="108"/>
      <c r="AQ632" s="105"/>
      <c r="AR632" s="108"/>
      <c r="AS632" s="108"/>
      <c r="AT632" s="105"/>
      <c r="AU632" s="105"/>
      <c r="AV632" s="105"/>
      <c r="AW632" s="105"/>
      <c r="AX632" s="105"/>
      <c r="AY632" s="105"/>
      <c r="AZ632" s="105"/>
      <c r="BA632" s="105"/>
      <c r="BB632" s="105"/>
      <c r="BC632" s="105"/>
      <c r="BD632" s="108"/>
      <c r="BE632" s="83">
        <f>IF($A632="","",IF(TRIM($D632&amp;"")="",IF(TRIM($AX632&amp;$AY632&amp;$AZ632&amp;$BA632&amp;$BB632&amp;$BC632&amp;$BD632&amp;"")="","","SUBARRENDADO"),IFERROR(IF(VLOOKUP($D632,VEHICULOS!$A$3:$H$202,7,FALSE)="","",VLOOKUP($D632,VEHICULOS!$A$3:$H$202,7,FALSE)),"")))</f>
      </c>
      <c r="BF632" s="82">
        <f>IF($A632="","",IF(TRIM($BC632&amp;"")&lt;&gt;"",$BC632,IF(TRIM($D632&amp;"")="","",IFERROR(IF(VLOOKUP($D632,VEHICULOS!$A$3:$H$202,8,FALSE)="","",VLOOKUP($D632,VEHICULOS!$A$3:$H$202,8,FALSE)),""))))</f>
      </c>
      <c r="BG632" s="106"/>
      <c r="BH632" s="107"/>
      <c r="BI632" s="86">
        <f t="shared" si="135"/>
      </c>
      <c r="BJ632" s="83">
        <f t="shared" si="136"/>
      </c>
      <c r="BK632" s="85">
        <f t="shared" si="137"/>
      </c>
      <c r="BL632" s="85">
        <f t="shared" si="138"/>
      </c>
      <c r="BM632" s="108"/>
      <c r="BN632" s="85">
        <f t="shared" si="139"/>
      </c>
      <c r="BO632" s="108"/>
      <c r="BP632" s="85">
        <f t="shared" si="140"/>
      </c>
      <c r="BQ632" s="85">
        <f t="shared" si="141"/>
      </c>
      <c r="BR632" s="108"/>
      <c r="BS632" s="104"/>
      <c r="BT632" s="87">
        <f t="shared" si="142"/>
      </c>
      <c r="BU632" s="85">
        <f t="shared" si="143"/>
      </c>
      <c r="BV632" s="85">
        <f t="shared" si="144"/>
      </c>
      <c r="BW632" s="87">
        <f t="shared" si="145"/>
      </c>
      <c r="BX632" s="104"/>
      <c r="BY632" s="106"/>
      <c r="BZ632" s="104"/>
      <c r="CA632" s="105"/>
      <c r="CB632" s="77">
        <f>IF($A632="",0,IF($B632='FICHA CLIENTE'!$C$4,1,0))</f>
      </c>
      <c r="CC632" s="77">
        <f t="shared" si="146"/>
      </c>
      <c r="CD632" s="77">
        <f>IF($A632="",0,IF($D632='FICHA VEHICULO'!$C$4,1,0))</f>
      </c>
      <c r="CE632" s="77">
        <f t="shared" si="147"/>
      </c>
      <c r="CF632" s="77">
        <f t="shared" si="148"/>
      </c>
      <c r="CG632" s="77">
        <f t="shared" si="149"/>
      </c>
    </row>
    <row r="633" spans="1:85" ht="19.5" customHeight="1" x14ac:dyDescent="0.2">
      <c r="A633" s="104"/>
      <c r="B633" s="104"/>
      <c r="C633" s="105"/>
      <c r="D633" s="104"/>
      <c r="E633" s="105"/>
      <c r="F633" s="106"/>
      <c r="G633" s="104"/>
      <c r="H633" s="106"/>
      <c r="I633" s="107"/>
      <c r="J633" s="108"/>
      <c r="K633" s="108"/>
      <c r="L633" s="108"/>
      <c r="M633" s="105"/>
      <c r="N633" s="105"/>
      <c r="O633" s="105"/>
      <c r="P633" s="108"/>
      <c r="Q633" s="105"/>
      <c r="R633" s="105"/>
      <c r="S633" s="105"/>
      <c r="T633" s="105"/>
      <c r="U633" s="108"/>
      <c r="V633" s="105"/>
      <c r="W633" s="105"/>
      <c r="X633" s="105"/>
      <c r="Y633" s="105"/>
      <c r="Z633" s="105"/>
      <c r="AA633" s="108"/>
      <c r="AB633" s="108"/>
      <c r="AC633" s="105"/>
      <c r="AD633" s="279"/>
      <c r="AE633" s="105"/>
      <c r="AF633" s="279"/>
      <c r="AG633" s="105"/>
      <c r="AH633" s="108"/>
      <c r="AI633" s="108"/>
      <c r="AJ633" s="108"/>
      <c r="AK633" s="108"/>
      <c r="AL633" s="105"/>
      <c r="AM633" s="108"/>
      <c r="AN633" s="105"/>
      <c r="AO633" s="108"/>
      <c r="AP633" s="108"/>
      <c r="AQ633" s="105"/>
      <c r="AR633" s="108"/>
      <c r="AS633" s="108"/>
      <c r="AT633" s="105"/>
      <c r="AU633" s="105"/>
      <c r="AV633" s="105"/>
      <c r="AW633" s="105"/>
      <c r="AX633" s="105"/>
      <c r="AY633" s="105"/>
      <c r="AZ633" s="105"/>
      <c r="BA633" s="105"/>
      <c r="BB633" s="105"/>
      <c r="BC633" s="105"/>
      <c r="BD633" s="108"/>
      <c r="BE633" s="83">
        <f>IF($A633="","",IF(TRIM($D633&amp;"")="",IF(TRIM($AX633&amp;$AY633&amp;$AZ633&amp;$BA633&amp;$BB633&amp;$BC633&amp;$BD633&amp;"")="","","SUBARRENDADO"),IFERROR(IF(VLOOKUP($D633,VEHICULOS!$A$3:$H$202,7,FALSE)="","",VLOOKUP($D633,VEHICULOS!$A$3:$H$202,7,FALSE)),"")))</f>
      </c>
      <c r="BF633" s="82">
        <f>IF($A633="","",IF(TRIM($BC633&amp;"")&lt;&gt;"",$BC633,IF(TRIM($D633&amp;"")="","",IFERROR(IF(VLOOKUP($D633,VEHICULOS!$A$3:$H$202,8,FALSE)="","",VLOOKUP($D633,VEHICULOS!$A$3:$H$202,8,FALSE)),""))))</f>
      </c>
      <c r="BG633" s="106"/>
      <c r="BH633" s="107"/>
      <c r="BI633" s="86">
        <f t="shared" si="135"/>
      </c>
      <c r="BJ633" s="83">
        <f t="shared" si="136"/>
      </c>
      <c r="BK633" s="85">
        <f t="shared" si="137"/>
      </c>
      <c r="BL633" s="85">
        <f t="shared" si="138"/>
      </c>
      <c r="BM633" s="108"/>
      <c r="BN633" s="85">
        <f t="shared" si="139"/>
      </c>
      <c r="BO633" s="108"/>
      <c r="BP633" s="85">
        <f t="shared" si="140"/>
      </c>
      <c r="BQ633" s="85">
        <f t="shared" si="141"/>
      </c>
      <c r="BR633" s="108"/>
      <c r="BS633" s="104"/>
      <c r="BT633" s="87">
        <f t="shared" si="142"/>
      </c>
      <c r="BU633" s="85">
        <f t="shared" si="143"/>
      </c>
      <c r="BV633" s="85">
        <f t="shared" si="144"/>
      </c>
      <c r="BW633" s="87">
        <f t="shared" si="145"/>
      </c>
      <c r="BX633" s="104"/>
      <c r="BY633" s="106"/>
      <c r="BZ633" s="104"/>
      <c r="CA633" s="105"/>
      <c r="CB633" s="77">
        <f>IF($A633="",0,IF($B633='FICHA CLIENTE'!$C$4,1,0))</f>
      </c>
      <c r="CC633" s="77">
        <f t="shared" si="146"/>
      </c>
      <c r="CD633" s="77">
        <f>IF($A633="",0,IF($D633='FICHA VEHICULO'!$C$4,1,0))</f>
      </c>
      <c r="CE633" s="77">
        <f t="shared" si="147"/>
      </c>
      <c r="CF633" s="77">
        <f t="shared" si="148"/>
      </c>
      <c r="CG633" s="77">
        <f t="shared" si="149"/>
      </c>
    </row>
    <row r="634" spans="1:85" ht="19.5" customHeight="1" x14ac:dyDescent="0.2">
      <c r="A634" s="104"/>
      <c r="B634" s="104"/>
      <c r="C634" s="105"/>
      <c r="D634" s="104"/>
      <c r="E634" s="105"/>
      <c r="F634" s="106"/>
      <c r="G634" s="104"/>
      <c r="H634" s="106"/>
      <c r="I634" s="107"/>
      <c r="J634" s="108"/>
      <c r="K634" s="108"/>
      <c r="L634" s="108"/>
      <c r="M634" s="105"/>
      <c r="N634" s="105"/>
      <c r="O634" s="105"/>
      <c r="P634" s="108"/>
      <c r="Q634" s="105"/>
      <c r="R634" s="105"/>
      <c r="S634" s="105"/>
      <c r="T634" s="105"/>
      <c r="U634" s="108"/>
      <c r="V634" s="105"/>
      <c r="W634" s="105"/>
      <c r="X634" s="105"/>
      <c r="Y634" s="105"/>
      <c r="Z634" s="105"/>
      <c r="AA634" s="108"/>
      <c r="AB634" s="108"/>
      <c r="AC634" s="105"/>
      <c r="AD634" s="279"/>
      <c r="AE634" s="105"/>
      <c r="AF634" s="279"/>
      <c r="AG634" s="105"/>
      <c r="AH634" s="108"/>
      <c r="AI634" s="108"/>
      <c r="AJ634" s="108"/>
      <c r="AK634" s="108"/>
      <c r="AL634" s="105"/>
      <c r="AM634" s="108"/>
      <c r="AN634" s="105"/>
      <c r="AO634" s="108"/>
      <c r="AP634" s="108"/>
      <c r="AQ634" s="105"/>
      <c r="AR634" s="108"/>
      <c r="AS634" s="108"/>
      <c r="AT634" s="105"/>
      <c r="AU634" s="105"/>
      <c r="AV634" s="105"/>
      <c r="AW634" s="105"/>
      <c r="AX634" s="105"/>
      <c r="AY634" s="105"/>
      <c r="AZ634" s="105"/>
      <c r="BA634" s="105"/>
      <c r="BB634" s="105"/>
      <c r="BC634" s="105"/>
      <c r="BD634" s="108"/>
      <c r="BE634" s="83">
        <f>IF($A634="","",IF(TRIM($D634&amp;"")="",IF(TRIM($AX634&amp;$AY634&amp;$AZ634&amp;$BA634&amp;$BB634&amp;$BC634&amp;$BD634&amp;"")="","","SUBARRENDADO"),IFERROR(IF(VLOOKUP($D634,VEHICULOS!$A$3:$H$202,7,FALSE)="","",VLOOKUP($D634,VEHICULOS!$A$3:$H$202,7,FALSE)),"")))</f>
      </c>
      <c r="BF634" s="82">
        <f>IF($A634="","",IF(TRIM($BC634&amp;"")&lt;&gt;"",$BC634,IF(TRIM($D634&amp;"")="","",IFERROR(IF(VLOOKUP($D634,VEHICULOS!$A$3:$H$202,8,FALSE)="","",VLOOKUP($D634,VEHICULOS!$A$3:$H$202,8,FALSE)),""))))</f>
      </c>
      <c r="BG634" s="106"/>
      <c r="BH634" s="107"/>
      <c r="BI634" s="86">
        <f t="shared" si="135"/>
      </c>
      <c r="BJ634" s="83">
        <f t="shared" si="136"/>
      </c>
      <c r="BK634" s="85">
        <f t="shared" si="137"/>
      </c>
      <c r="BL634" s="85">
        <f t="shared" si="138"/>
      </c>
      <c r="BM634" s="108"/>
      <c r="BN634" s="85">
        <f t="shared" si="139"/>
      </c>
      <c r="BO634" s="108"/>
      <c r="BP634" s="85">
        <f t="shared" si="140"/>
      </c>
      <c r="BQ634" s="85">
        <f t="shared" si="141"/>
      </c>
      <c r="BR634" s="108"/>
      <c r="BS634" s="104"/>
      <c r="BT634" s="87">
        <f t="shared" si="142"/>
      </c>
      <c r="BU634" s="85">
        <f t="shared" si="143"/>
      </c>
      <c r="BV634" s="85">
        <f t="shared" si="144"/>
      </c>
      <c r="BW634" s="87">
        <f t="shared" si="145"/>
      </c>
      <c r="BX634" s="104"/>
      <c r="BY634" s="106"/>
      <c r="BZ634" s="104"/>
      <c r="CA634" s="105"/>
      <c r="CB634" s="77">
        <f>IF($A634="",0,IF($B634='FICHA CLIENTE'!$C$4,1,0))</f>
      </c>
      <c r="CC634" s="77">
        <f t="shared" si="146"/>
      </c>
      <c r="CD634" s="77">
        <f>IF($A634="",0,IF($D634='FICHA VEHICULO'!$C$4,1,0))</f>
      </c>
      <c r="CE634" s="77">
        <f t="shared" si="147"/>
      </c>
      <c r="CF634" s="77">
        <f t="shared" si="148"/>
      </c>
      <c r="CG634" s="77">
        <f t="shared" si="149"/>
      </c>
    </row>
    <row r="635" spans="1:85" ht="19.5" customHeight="1" x14ac:dyDescent="0.2">
      <c r="A635" s="104"/>
      <c r="B635" s="104"/>
      <c r="C635" s="105"/>
      <c r="D635" s="104"/>
      <c r="E635" s="105"/>
      <c r="F635" s="106"/>
      <c r="G635" s="104"/>
      <c r="H635" s="106"/>
      <c r="I635" s="107"/>
      <c r="J635" s="108"/>
      <c r="K635" s="108"/>
      <c r="L635" s="108"/>
      <c r="M635" s="105"/>
      <c r="N635" s="105"/>
      <c r="O635" s="105"/>
      <c r="P635" s="108"/>
      <c r="Q635" s="105"/>
      <c r="R635" s="105"/>
      <c r="S635" s="105"/>
      <c r="T635" s="105"/>
      <c r="U635" s="108"/>
      <c r="V635" s="105"/>
      <c r="W635" s="105"/>
      <c r="X635" s="105"/>
      <c r="Y635" s="105"/>
      <c r="Z635" s="105"/>
      <c r="AA635" s="108"/>
      <c r="AB635" s="108"/>
      <c r="AC635" s="105"/>
      <c r="AD635" s="279"/>
      <c r="AE635" s="105"/>
      <c r="AF635" s="279"/>
      <c r="AG635" s="105"/>
      <c r="AH635" s="108"/>
      <c r="AI635" s="108"/>
      <c r="AJ635" s="108"/>
      <c r="AK635" s="108"/>
      <c r="AL635" s="105"/>
      <c r="AM635" s="108"/>
      <c r="AN635" s="105"/>
      <c r="AO635" s="108"/>
      <c r="AP635" s="108"/>
      <c r="AQ635" s="105"/>
      <c r="AR635" s="108"/>
      <c r="AS635" s="108"/>
      <c r="AT635" s="105"/>
      <c r="AU635" s="105"/>
      <c r="AV635" s="105"/>
      <c r="AW635" s="105"/>
      <c r="AX635" s="105"/>
      <c r="AY635" s="105"/>
      <c r="AZ635" s="105"/>
      <c r="BA635" s="105"/>
      <c r="BB635" s="105"/>
      <c r="BC635" s="105"/>
      <c r="BD635" s="108"/>
      <c r="BE635" s="83">
        <f>IF($A635="","",IF(TRIM($D635&amp;"")="",IF(TRIM($AX635&amp;$AY635&amp;$AZ635&amp;$BA635&amp;$BB635&amp;$BC635&amp;$BD635&amp;"")="","","SUBARRENDADO"),IFERROR(IF(VLOOKUP($D635,VEHICULOS!$A$3:$H$202,7,FALSE)="","",VLOOKUP($D635,VEHICULOS!$A$3:$H$202,7,FALSE)),"")))</f>
      </c>
      <c r="BF635" s="82">
        <f>IF($A635="","",IF(TRIM($BC635&amp;"")&lt;&gt;"",$BC635,IF(TRIM($D635&amp;"")="","",IFERROR(IF(VLOOKUP($D635,VEHICULOS!$A$3:$H$202,8,FALSE)="","",VLOOKUP($D635,VEHICULOS!$A$3:$H$202,8,FALSE)),""))))</f>
      </c>
      <c r="BG635" s="106"/>
      <c r="BH635" s="107"/>
      <c r="BI635" s="86">
        <f t="shared" si="135"/>
      </c>
      <c r="BJ635" s="83">
        <f t="shared" si="136"/>
      </c>
      <c r="BK635" s="85">
        <f t="shared" si="137"/>
      </c>
      <c r="BL635" s="85">
        <f t="shared" si="138"/>
      </c>
      <c r="BM635" s="108"/>
      <c r="BN635" s="85">
        <f t="shared" si="139"/>
      </c>
      <c r="BO635" s="108"/>
      <c r="BP635" s="85">
        <f t="shared" si="140"/>
      </c>
      <c r="BQ635" s="85">
        <f t="shared" si="141"/>
      </c>
      <c r="BR635" s="108"/>
      <c r="BS635" s="104"/>
      <c r="BT635" s="87">
        <f t="shared" si="142"/>
      </c>
      <c r="BU635" s="85">
        <f t="shared" si="143"/>
      </c>
      <c r="BV635" s="85">
        <f t="shared" si="144"/>
      </c>
      <c r="BW635" s="87">
        <f t="shared" si="145"/>
      </c>
      <c r="BX635" s="104"/>
      <c r="BY635" s="106"/>
      <c r="BZ635" s="104"/>
      <c r="CA635" s="105"/>
      <c r="CB635" s="77">
        <f>IF($A635="",0,IF($B635='FICHA CLIENTE'!$C$4,1,0))</f>
      </c>
      <c r="CC635" s="77">
        <f t="shared" si="146"/>
      </c>
      <c r="CD635" s="77">
        <f>IF($A635="",0,IF($D635='FICHA VEHICULO'!$C$4,1,0))</f>
      </c>
      <c r="CE635" s="77">
        <f t="shared" si="147"/>
      </c>
      <c r="CF635" s="77">
        <f t="shared" si="148"/>
      </c>
      <c r="CG635" s="77">
        <f t="shared" si="149"/>
      </c>
    </row>
    <row r="636" spans="1:85" ht="19.5" customHeight="1" x14ac:dyDescent="0.2">
      <c r="A636" s="104"/>
      <c r="B636" s="104"/>
      <c r="C636" s="105"/>
      <c r="D636" s="104"/>
      <c r="E636" s="105"/>
      <c r="F636" s="106"/>
      <c r="G636" s="104"/>
      <c r="H636" s="106"/>
      <c r="I636" s="107"/>
      <c r="J636" s="108"/>
      <c r="K636" s="108"/>
      <c r="L636" s="108"/>
      <c r="M636" s="105"/>
      <c r="N636" s="105"/>
      <c r="O636" s="105"/>
      <c r="P636" s="108"/>
      <c r="Q636" s="105"/>
      <c r="R636" s="105"/>
      <c r="S636" s="105"/>
      <c r="T636" s="105"/>
      <c r="U636" s="108"/>
      <c r="V636" s="105"/>
      <c r="W636" s="105"/>
      <c r="X636" s="105"/>
      <c r="Y636" s="105"/>
      <c r="Z636" s="105"/>
      <c r="AA636" s="108"/>
      <c r="AB636" s="108"/>
      <c r="AC636" s="105"/>
      <c r="AD636" s="279"/>
      <c r="AE636" s="105"/>
      <c r="AF636" s="279"/>
      <c r="AG636" s="105"/>
      <c r="AH636" s="108"/>
      <c r="AI636" s="108"/>
      <c r="AJ636" s="108"/>
      <c r="AK636" s="108"/>
      <c r="AL636" s="105"/>
      <c r="AM636" s="108"/>
      <c r="AN636" s="105"/>
      <c r="AO636" s="108"/>
      <c r="AP636" s="108"/>
      <c r="AQ636" s="105"/>
      <c r="AR636" s="108"/>
      <c r="AS636" s="108"/>
      <c r="AT636" s="105"/>
      <c r="AU636" s="105"/>
      <c r="AV636" s="105"/>
      <c r="AW636" s="105"/>
      <c r="AX636" s="105"/>
      <c r="AY636" s="105"/>
      <c r="AZ636" s="105"/>
      <c r="BA636" s="105"/>
      <c r="BB636" s="105"/>
      <c r="BC636" s="105"/>
      <c r="BD636" s="108"/>
      <c r="BE636" s="83">
        <f>IF($A636="","",IF(TRIM($D636&amp;"")="",IF(TRIM($AX636&amp;$AY636&amp;$AZ636&amp;$BA636&amp;$BB636&amp;$BC636&amp;$BD636&amp;"")="","","SUBARRENDADO"),IFERROR(IF(VLOOKUP($D636,VEHICULOS!$A$3:$H$202,7,FALSE)="","",VLOOKUP($D636,VEHICULOS!$A$3:$H$202,7,FALSE)),"")))</f>
      </c>
      <c r="BF636" s="82">
        <f>IF($A636="","",IF(TRIM($BC636&amp;"")&lt;&gt;"",$BC636,IF(TRIM($D636&amp;"")="","",IFERROR(IF(VLOOKUP($D636,VEHICULOS!$A$3:$H$202,8,FALSE)="","",VLOOKUP($D636,VEHICULOS!$A$3:$H$202,8,FALSE)),""))))</f>
      </c>
      <c r="BG636" s="106"/>
      <c r="BH636" s="107"/>
      <c r="BI636" s="86">
        <f t="shared" si="135"/>
      </c>
      <c r="BJ636" s="83">
        <f t="shared" si="136"/>
      </c>
      <c r="BK636" s="85">
        <f t="shared" si="137"/>
      </c>
      <c r="BL636" s="85">
        <f t="shared" si="138"/>
      </c>
      <c r="BM636" s="108"/>
      <c r="BN636" s="85">
        <f t="shared" si="139"/>
      </c>
      <c r="BO636" s="108"/>
      <c r="BP636" s="85">
        <f t="shared" si="140"/>
      </c>
      <c r="BQ636" s="85">
        <f t="shared" si="141"/>
      </c>
      <c r="BR636" s="108"/>
      <c r="BS636" s="104"/>
      <c r="BT636" s="87">
        <f t="shared" si="142"/>
      </c>
      <c r="BU636" s="85">
        <f t="shared" si="143"/>
      </c>
      <c r="BV636" s="85">
        <f t="shared" si="144"/>
      </c>
      <c r="BW636" s="87">
        <f t="shared" si="145"/>
      </c>
      <c r="BX636" s="104"/>
      <c r="BY636" s="106"/>
      <c r="BZ636" s="104"/>
      <c r="CA636" s="105"/>
      <c r="CB636" s="77">
        <f>IF($A636="",0,IF($B636='FICHA CLIENTE'!$C$4,1,0))</f>
      </c>
      <c r="CC636" s="77">
        <f t="shared" si="146"/>
      </c>
      <c r="CD636" s="77">
        <f>IF($A636="",0,IF($D636='FICHA VEHICULO'!$C$4,1,0))</f>
      </c>
      <c r="CE636" s="77">
        <f t="shared" si="147"/>
      </c>
      <c r="CF636" s="77">
        <f t="shared" si="148"/>
      </c>
      <c r="CG636" s="77">
        <f t="shared" si="149"/>
      </c>
    </row>
    <row r="637" spans="1:85" ht="19.5" customHeight="1" x14ac:dyDescent="0.2">
      <c r="A637" s="104"/>
      <c r="B637" s="104"/>
      <c r="C637" s="105"/>
      <c r="D637" s="104"/>
      <c r="E637" s="105"/>
      <c r="F637" s="106"/>
      <c r="G637" s="104"/>
      <c r="H637" s="106"/>
      <c r="I637" s="107"/>
      <c r="J637" s="108"/>
      <c r="K637" s="108"/>
      <c r="L637" s="108"/>
      <c r="M637" s="105"/>
      <c r="N637" s="105"/>
      <c r="O637" s="105"/>
      <c r="P637" s="108"/>
      <c r="Q637" s="105"/>
      <c r="R637" s="105"/>
      <c r="S637" s="105"/>
      <c r="T637" s="105"/>
      <c r="U637" s="108"/>
      <c r="V637" s="105"/>
      <c r="W637" s="105"/>
      <c r="X637" s="105"/>
      <c r="Y637" s="105"/>
      <c r="Z637" s="105"/>
      <c r="AA637" s="108"/>
      <c r="AB637" s="108"/>
      <c r="AC637" s="105"/>
      <c r="AD637" s="279"/>
      <c r="AE637" s="105"/>
      <c r="AF637" s="279"/>
      <c r="AG637" s="105"/>
      <c r="AH637" s="108"/>
      <c r="AI637" s="108"/>
      <c r="AJ637" s="108"/>
      <c r="AK637" s="108"/>
      <c r="AL637" s="105"/>
      <c r="AM637" s="108"/>
      <c r="AN637" s="105"/>
      <c r="AO637" s="108"/>
      <c r="AP637" s="108"/>
      <c r="AQ637" s="105"/>
      <c r="AR637" s="108"/>
      <c r="AS637" s="108"/>
      <c r="AT637" s="105"/>
      <c r="AU637" s="105"/>
      <c r="AV637" s="105"/>
      <c r="AW637" s="105"/>
      <c r="AX637" s="105"/>
      <c r="AY637" s="105"/>
      <c r="AZ637" s="105"/>
      <c r="BA637" s="105"/>
      <c r="BB637" s="105"/>
      <c r="BC637" s="105"/>
      <c r="BD637" s="108"/>
      <c r="BE637" s="83">
        <f>IF($A637="","",IF(TRIM($D637&amp;"")="",IF(TRIM($AX637&amp;$AY637&amp;$AZ637&amp;$BA637&amp;$BB637&amp;$BC637&amp;$BD637&amp;"")="","","SUBARRENDADO"),IFERROR(IF(VLOOKUP($D637,VEHICULOS!$A$3:$H$202,7,FALSE)="","",VLOOKUP($D637,VEHICULOS!$A$3:$H$202,7,FALSE)),"")))</f>
      </c>
      <c r="BF637" s="82">
        <f>IF($A637="","",IF(TRIM($BC637&amp;"")&lt;&gt;"",$BC637,IF(TRIM($D637&amp;"")="","",IFERROR(IF(VLOOKUP($D637,VEHICULOS!$A$3:$H$202,8,FALSE)="","",VLOOKUP($D637,VEHICULOS!$A$3:$H$202,8,FALSE)),""))))</f>
      </c>
      <c r="BG637" s="106"/>
      <c r="BH637" s="107"/>
      <c r="BI637" s="86">
        <f t="shared" si="135"/>
      </c>
      <c r="BJ637" s="83">
        <f t="shared" si="136"/>
      </c>
      <c r="BK637" s="85">
        <f t="shared" si="137"/>
      </c>
      <c r="BL637" s="85">
        <f t="shared" si="138"/>
      </c>
      <c r="BM637" s="108"/>
      <c r="BN637" s="85">
        <f t="shared" si="139"/>
      </c>
      <c r="BO637" s="108"/>
      <c r="BP637" s="85">
        <f t="shared" si="140"/>
      </c>
      <c r="BQ637" s="85">
        <f t="shared" si="141"/>
      </c>
      <c r="BR637" s="108"/>
      <c r="BS637" s="104"/>
      <c r="BT637" s="87">
        <f t="shared" si="142"/>
      </c>
      <c r="BU637" s="85">
        <f t="shared" si="143"/>
      </c>
      <c r="BV637" s="85">
        <f t="shared" si="144"/>
      </c>
      <c r="BW637" s="87">
        <f t="shared" si="145"/>
      </c>
      <c r="BX637" s="104"/>
      <c r="BY637" s="106"/>
      <c r="BZ637" s="104"/>
      <c r="CA637" s="105"/>
      <c r="CB637" s="77">
        <f>IF($A637="",0,IF($B637='FICHA CLIENTE'!$C$4,1,0))</f>
      </c>
      <c r="CC637" s="77">
        <f t="shared" si="146"/>
      </c>
      <c r="CD637" s="77">
        <f>IF($A637="",0,IF($D637='FICHA VEHICULO'!$C$4,1,0))</f>
      </c>
      <c r="CE637" s="77">
        <f t="shared" si="147"/>
      </c>
      <c r="CF637" s="77">
        <f t="shared" si="148"/>
      </c>
      <c r="CG637" s="77">
        <f t="shared" si="149"/>
      </c>
    </row>
    <row r="638" spans="1:85" ht="19.5" customHeight="1" x14ac:dyDescent="0.2">
      <c r="A638" s="104"/>
      <c r="B638" s="104"/>
      <c r="C638" s="105"/>
      <c r="D638" s="104"/>
      <c r="E638" s="105"/>
      <c r="F638" s="106"/>
      <c r="G638" s="104"/>
      <c r="H638" s="106"/>
      <c r="I638" s="107"/>
      <c r="J638" s="108"/>
      <c r="K638" s="108"/>
      <c r="L638" s="108"/>
      <c r="M638" s="105"/>
      <c r="N638" s="105"/>
      <c r="O638" s="105"/>
      <c r="P638" s="108"/>
      <c r="Q638" s="105"/>
      <c r="R638" s="105"/>
      <c r="S638" s="105"/>
      <c r="T638" s="105"/>
      <c r="U638" s="108"/>
      <c r="V638" s="105"/>
      <c r="W638" s="105"/>
      <c r="X638" s="105"/>
      <c r="Y638" s="105"/>
      <c r="Z638" s="105"/>
      <c r="AA638" s="108"/>
      <c r="AB638" s="108"/>
      <c r="AC638" s="105"/>
      <c r="AD638" s="279"/>
      <c r="AE638" s="105"/>
      <c r="AF638" s="279"/>
      <c r="AG638" s="105"/>
      <c r="AH638" s="108"/>
      <c r="AI638" s="108"/>
      <c r="AJ638" s="108"/>
      <c r="AK638" s="108"/>
      <c r="AL638" s="105"/>
      <c r="AM638" s="108"/>
      <c r="AN638" s="105"/>
      <c r="AO638" s="108"/>
      <c r="AP638" s="108"/>
      <c r="AQ638" s="105"/>
      <c r="AR638" s="108"/>
      <c r="AS638" s="108"/>
      <c r="AT638" s="105"/>
      <c r="AU638" s="105"/>
      <c r="AV638" s="105"/>
      <c r="AW638" s="105"/>
      <c r="AX638" s="105"/>
      <c r="AY638" s="105"/>
      <c r="AZ638" s="105"/>
      <c r="BA638" s="105"/>
      <c r="BB638" s="105"/>
      <c r="BC638" s="105"/>
      <c r="BD638" s="108"/>
      <c r="BE638" s="83">
        <f>IF($A638="","",IF(TRIM($D638&amp;"")="",IF(TRIM($AX638&amp;$AY638&amp;$AZ638&amp;$BA638&amp;$BB638&amp;$BC638&amp;$BD638&amp;"")="","","SUBARRENDADO"),IFERROR(IF(VLOOKUP($D638,VEHICULOS!$A$3:$H$202,7,FALSE)="","",VLOOKUP($D638,VEHICULOS!$A$3:$H$202,7,FALSE)),"")))</f>
      </c>
      <c r="BF638" s="82">
        <f>IF($A638="","",IF(TRIM($BC638&amp;"")&lt;&gt;"",$BC638,IF(TRIM($D638&amp;"")="","",IFERROR(IF(VLOOKUP($D638,VEHICULOS!$A$3:$H$202,8,FALSE)="","",VLOOKUP($D638,VEHICULOS!$A$3:$H$202,8,FALSE)),""))))</f>
      </c>
      <c r="BG638" s="106"/>
      <c r="BH638" s="107"/>
      <c r="BI638" s="86">
        <f t="shared" si="135"/>
      </c>
      <c r="BJ638" s="83">
        <f t="shared" si="136"/>
      </c>
      <c r="BK638" s="85">
        <f t="shared" si="137"/>
      </c>
      <c r="BL638" s="85">
        <f t="shared" si="138"/>
      </c>
      <c r="BM638" s="108"/>
      <c r="BN638" s="85">
        <f t="shared" si="139"/>
      </c>
      <c r="BO638" s="108"/>
      <c r="BP638" s="85">
        <f t="shared" si="140"/>
      </c>
      <c r="BQ638" s="85">
        <f t="shared" si="141"/>
      </c>
      <c r="BR638" s="108"/>
      <c r="BS638" s="104"/>
      <c r="BT638" s="87">
        <f t="shared" si="142"/>
      </c>
      <c r="BU638" s="85">
        <f t="shared" si="143"/>
      </c>
      <c r="BV638" s="85">
        <f t="shared" si="144"/>
      </c>
      <c r="BW638" s="87">
        <f t="shared" si="145"/>
      </c>
      <c r="BX638" s="104"/>
      <c r="BY638" s="106"/>
      <c r="BZ638" s="104"/>
      <c r="CA638" s="105"/>
      <c r="CB638" s="77">
        <f>IF($A638="",0,IF($B638='FICHA CLIENTE'!$C$4,1,0))</f>
      </c>
      <c r="CC638" s="77">
        <f t="shared" si="146"/>
      </c>
      <c r="CD638" s="77">
        <f>IF($A638="",0,IF($D638='FICHA VEHICULO'!$C$4,1,0))</f>
      </c>
      <c r="CE638" s="77">
        <f t="shared" si="147"/>
      </c>
      <c r="CF638" s="77">
        <f t="shared" si="148"/>
      </c>
      <c r="CG638" s="77">
        <f t="shared" si="149"/>
      </c>
    </row>
    <row r="639" spans="1:85" ht="19.5" customHeight="1" x14ac:dyDescent="0.2">
      <c r="A639" s="104"/>
      <c r="B639" s="104"/>
      <c r="C639" s="105"/>
      <c r="D639" s="104"/>
      <c r="E639" s="105"/>
      <c r="F639" s="106"/>
      <c r="G639" s="104"/>
      <c r="H639" s="106"/>
      <c r="I639" s="107"/>
      <c r="J639" s="108"/>
      <c r="K639" s="108"/>
      <c r="L639" s="108"/>
      <c r="M639" s="105"/>
      <c r="N639" s="105"/>
      <c r="O639" s="105"/>
      <c r="P639" s="108"/>
      <c r="Q639" s="105"/>
      <c r="R639" s="105"/>
      <c r="S639" s="105"/>
      <c r="T639" s="105"/>
      <c r="U639" s="108"/>
      <c r="V639" s="105"/>
      <c r="W639" s="105"/>
      <c r="X639" s="105"/>
      <c r="Y639" s="105"/>
      <c r="Z639" s="105"/>
      <c r="AA639" s="108"/>
      <c r="AB639" s="108"/>
      <c r="AC639" s="105"/>
      <c r="AD639" s="279"/>
      <c r="AE639" s="105"/>
      <c r="AF639" s="279"/>
      <c r="AG639" s="105"/>
      <c r="AH639" s="108"/>
      <c r="AI639" s="108"/>
      <c r="AJ639" s="108"/>
      <c r="AK639" s="108"/>
      <c r="AL639" s="105"/>
      <c r="AM639" s="108"/>
      <c r="AN639" s="105"/>
      <c r="AO639" s="108"/>
      <c r="AP639" s="108"/>
      <c r="AQ639" s="105"/>
      <c r="AR639" s="108"/>
      <c r="AS639" s="108"/>
      <c r="AT639" s="105"/>
      <c r="AU639" s="105"/>
      <c r="AV639" s="105"/>
      <c r="AW639" s="105"/>
      <c r="AX639" s="105"/>
      <c r="AY639" s="105"/>
      <c r="AZ639" s="105"/>
      <c r="BA639" s="105"/>
      <c r="BB639" s="105"/>
      <c r="BC639" s="105"/>
      <c r="BD639" s="108"/>
      <c r="BE639" s="83">
        <f>IF($A639="","",IF(TRIM($D639&amp;"")="",IF(TRIM($AX639&amp;$AY639&amp;$AZ639&amp;$BA639&amp;$BB639&amp;$BC639&amp;$BD639&amp;"")="","","SUBARRENDADO"),IFERROR(IF(VLOOKUP($D639,VEHICULOS!$A$3:$H$202,7,FALSE)="","",VLOOKUP($D639,VEHICULOS!$A$3:$H$202,7,FALSE)),"")))</f>
      </c>
      <c r="BF639" s="82">
        <f>IF($A639="","",IF(TRIM($BC639&amp;"")&lt;&gt;"",$BC639,IF(TRIM($D639&amp;"")="","",IFERROR(IF(VLOOKUP($D639,VEHICULOS!$A$3:$H$202,8,FALSE)="","",VLOOKUP($D639,VEHICULOS!$A$3:$H$202,8,FALSE)),""))))</f>
      </c>
      <c r="BG639" s="106"/>
      <c r="BH639" s="107"/>
      <c r="BI639" s="86">
        <f t="shared" si="135"/>
      </c>
      <c r="BJ639" s="83">
        <f t="shared" si="136"/>
      </c>
      <c r="BK639" s="85">
        <f t="shared" si="137"/>
      </c>
      <c r="BL639" s="85">
        <f t="shared" si="138"/>
      </c>
      <c r="BM639" s="108"/>
      <c r="BN639" s="85">
        <f t="shared" si="139"/>
      </c>
      <c r="BO639" s="108"/>
      <c r="BP639" s="85">
        <f t="shared" si="140"/>
      </c>
      <c r="BQ639" s="85">
        <f t="shared" si="141"/>
      </c>
      <c r="BR639" s="108"/>
      <c r="BS639" s="104"/>
      <c r="BT639" s="87">
        <f t="shared" si="142"/>
      </c>
      <c r="BU639" s="85">
        <f t="shared" si="143"/>
      </c>
      <c r="BV639" s="85">
        <f t="shared" si="144"/>
      </c>
      <c r="BW639" s="87">
        <f t="shared" si="145"/>
      </c>
      <c r="BX639" s="104"/>
      <c r="BY639" s="106"/>
      <c r="BZ639" s="104"/>
      <c r="CA639" s="105"/>
      <c r="CB639" s="77">
        <f>IF($A639="",0,IF($B639='FICHA CLIENTE'!$C$4,1,0))</f>
      </c>
      <c r="CC639" s="77">
        <f t="shared" si="146"/>
      </c>
      <c r="CD639" s="77">
        <f>IF($A639="",0,IF($D639='FICHA VEHICULO'!$C$4,1,0))</f>
      </c>
      <c r="CE639" s="77">
        <f t="shared" si="147"/>
      </c>
      <c r="CF639" s="77">
        <f t="shared" si="148"/>
      </c>
      <c r="CG639" s="77">
        <f t="shared" si="149"/>
      </c>
    </row>
    <row r="640" spans="1:85" ht="19.5" customHeight="1" x14ac:dyDescent="0.2">
      <c r="A640" s="104"/>
      <c r="B640" s="104"/>
      <c r="C640" s="105"/>
      <c r="D640" s="104"/>
      <c r="E640" s="105"/>
      <c r="F640" s="106"/>
      <c r="G640" s="104"/>
      <c r="H640" s="106"/>
      <c r="I640" s="107"/>
      <c r="J640" s="108"/>
      <c r="K640" s="108"/>
      <c r="L640" s="108"/>
      <c r="M640" s="105"/>
      <c r="N640" s="105"/>
      <c r="O640" s="105"/>
      <c r="P640" s="108"/>
      <c r="Q640" s="105"/>
      <c r="R640" s="105"/>
      <c r="S640" s="105"/>
      <c r="T640" s="105"/>
      <c r="U640" s="108"/>
      <c r="V640" s="105"/>
      <c r="W640" s="105"/>
      <c r="X640" s="105"/>
      <c r="Y640" s="105"/>
      <c r="Z640" s="105"/>
      <c r="AA640" s="108"/>
      <c r="AB640" s="108"/>
      <c r="AC640" s="105"/>
      <c r="AD640" s="279"/>
      <c r="AE640" s="105"/>
      <c r="AF640" s="279"/>
      <c r="AG640" s="105"/>
      <c r="AH640" s="108"/>
      <c r="AI640" s="108"/>
      <c r="AJ640" s="108"/>
      <c r="AK640" s="108"/>
      <c r="AL640" s="105"/>
      <c r="AM640" s="108"/>
      <c r="AN640" s="105"/>
      <c r="AO640" s="108"/>
      <c r="AP640" s="108"/>
      <c r="AQ640" s="105"/>
      <c r="AR640" s="108"/>
      <c r="AS640" s="108"/>
      <c r="AT640" s="105"/>
      <c r="AU640" s="105"/>
      <c r="AV640" s="105"/>
      <c r="AW640" s="105"/>
      <c r="AX640" s="105"/>
      <c r="AY640" s="105"/>
      <c r="AZ640" s="105"/>
      <c r="BA640" s="105"/>
      <c r="BB640" s="105"/>
      <c r="BC640" s="105"/>
      <c r="BD640" s="108"/>
      <c r="BE640" s="83">
        <f>IF($A640="","",IF(TRIM($D640&amp;"")="",IF(TRIM($AX640&amp;$AY640&amp;$AZ640&amp;$BA640&amp;$BB640&amp;$BC640&amp;$BD640&amp;"")="","","SUBARRENDADO"),IFERROR(IF(VLOOKUP($D640,VEHICULOS!$A$3:$H$202,7,FALSE)="","",VLOOKUP($D640,VEHICULOS!$A$3:$H$202,7,FALSE)),"")))</f>
      </c>
      <c r="BF640" s="82">
        <f>IF($A640="","",IF(TRIM($BC640&amp;"")&lt;&gt;"",$BC640,IF(TRIM($D640&amp;"")="","",IFERROR(IF(VLOOKUP($D640,VEHICULOS!$A$3:$H$202,8,FALSE)="","",VLOOKUP($D640,VEHICULOS!$A$3:$H$202,8,FALSE)),""))))</f>
      </c>
      <c r="BG640" s="106"/>
      <c r="BH640" s="107"/>
      <c r="BI640" s="86">
        <f t="shared" si="135"/>
      </c>
      <c r="BJ640" s="83">
        <f t="shared" si="136"/>
      </c>
      <c r="BK640" s="85">
        <f t="shared" si="137"/>
      </c>
      <c r="BL640" s="85">
        <f t="shared" si="138"/>
      </c>
      <c r="BM640" s="108"/>
      <c r="BN640" s="85">
        <f t="shared" si="139"/>
      </c>
      <c r="BO640" s="108"/>
      <c r="BP640" s="85">
        <f t="shared" si="140"/>
      </c>
      <c r="BQ640" s="85">
        <f t="shared" si="141"/>
      </c>
      <c r="BR640" s="108"/>
      <c r="BS640" s="104"/>
      <c r="BT640" s="87">
        <f t="shared" si="142"/>
      </c>
      <c r="BU640" s="85">
        <f t="shared" si="143"/>
      </c>
      <c r="BV640" s="85">
        <f t="shared" si="144"/>
      </c>
      <c r="BW640" s="87">
        <f t="shared" si="145"/>
      </c>
      <c r="BX640" s="104"/>
      <c r="BY640" s="106"/>
      <c r="BZ640" s="104"/>
      <c r="CA640" s="105"/>
      <c r="CB640" s="77">
        <f>IF($A640="",0,IF($B640='FICHA CLIENTE'!$C$4,1,0))</f>
      </c>
      <c r="CC640" s="77">
        <f t="shared" si="146"/>
      </c>
      <c r="CD640" s="77">
        <f>IF($A640="",0,IF($D640='FICHA VEHICULO'!$C$4,1,0))</f>
      </c>
      <c r="CE640" s="77">
        <f t="shared" si="147"/>
      </c>
      <c r="CF640" s="77">
        <f t="shared" si="148"/>
      </c>
      <c r="CG640" s="77">
        <f t="shared" si="149"/>
      </c>
    </row>
    <row r="641" spans="1:85" ht="19.5" customHeight="1" x14ac:dyDescent="0.2">
      <c r="A641" s="104"/>
      <c r="B641" s="104"/>
      <c r="C641" s="105"/>
      <c r="D641" s="104"/>
      <c r="E641" s="105"/>
      <c r="F641" s="106"/>
      <c r="G641" s="104"/>
      <c r="H641" s="106"/>
      <c r="I641" s="107"/>
      <c r="J641" s="108"/>
      <c r="K641" s="108"/>
      <c r="L641" s="108"/>
      <c r="M641" s="105"/>
      <c r="N641" s="105"/>
      <c r="O641" s="105"/>
      <c r="P641" s="108"/>
      <c r="Q641" s="105"/>
      <c r="R641" s="105"/>
      <c r="S641" s="105"/>
      <c r="T641" s="105"/>
      <c r="U641" s="108"/>
      <c r="V641" s="105"/>
      <c r="W641" s="105"/>
      <c r="X641" s="105"/>
      <c r="Y641" s="105"/>
      <c r="Z641" s="105"/>
      <c r="AA641" s="108"/>
      <c r="AB641" s="108"/>
      <c r="AC641" s="105"/>
      <c r="AD641" s="279"/>
      <c r="AE641" s="105"/>
      <c r="AF641" s="279"/>
      <c r="AG641" s="105"/>
      <c r="AH641" s="108"/>
      <c r="AI641" s="108"/>
      <c r="AJ641" s="108"/>
      <c r="AK641" s="108"/>
      <c r="AL641" s="105"/>
      <c r="AM641" s="108"/>
      <c r="AN641" s="105"/>
      <c r="AO641" s="108"/>
      <c r="AP641" s="108"/>
      <c r="AQ641" s="105"/>
      <c r="AR641" s="108"/>
      <c r="AS641" s="108"/>
      <c r="AT641" s="105"/>
      <c r="AU641" s="105"/>
      <c r="AV641" s="105"/>
      <c r="AW641" s="105"/>
      <c r="AX641" s="105"/>
      <c r="AY641" s="105"/>
      <c r="AZ641" s="105"/>
      <c r="BA641" s="105"/>
      <c r="BB641" s="105"/>
      <c r="BC641" s="105"/>
      <c r="BD641" s="108"/>
      <c r="BE641" s="83">
        <f>IF($A641="","",IF(TRIM($D641&amp;"")="",IF(TRIM($AX641&amp;$AY641&amp;$AZ641&amp;$BA641&amp;$BB641&amp;$BC641&amp;$BD641&amp;"")="","","SUBARRENDADO"),IFERROR(IF(VLOOKUP($D641,VEHICULOS!$A$3:$H$202,7,FALSE)="","",VLOOKUP($D641,VEHICULOS!$A$3:$H$202,7,FALSE)),"")))</f>
      </c>
      <c r="BF641" s="82">
        <f>IF($A641="","",IF(TRIM($BC641&amp;"")&lt;&gt;"",$BC641,IF(TRIM($D641&amp;"")="","",IFERROR(IF(VLOOKUP($D641,VEHICULOS!$A$3:$H$202,8,FALSE)="","",VLOOKUP($D641,VEHICULOS!$A$3:$H$202,8,FALSE)),""))))</f>
      </c>
      <c r="BG641" s="106"/>
      <c r="BH641" s="107"/>
      <c r="BI641" s="86">
        <f t="shared" si="135"/>
      </c>
      <c r="BJ641" s="83">
        <f t="shared" si="136"/>
      </c>
      <c r="BK641" s="85">
        <f t="shared" si="137"/>
      </c>
      <c r="BL641" s="85">
        <f t="shared" si="138"/>
      </c>
      <c r="BM641" s="108"/>
      <c r="BN641" s="85">
        <f t="shared" si="139"/>
      </c>
      <c r="BO641" s="108"/>
      <c r="BP641" s="85">
        <f t="shared" si="140"/>
      </c>
      <c r="BQ641" s="85">
        <f t="shared" si="141"/>
      </c>
      <c r="BR641" s="108"/>
      <c r="BS641" s="104"/>
      <c r="BT641" s="87">
        <f t="shared" si="142"/>
      </c>
      <c r="BU641" s="85">
        <f t="shared" si="143"/>
      </c>
      <c r="BV641" s="85">
        <f t="shared" si="144"/>
      </c>
      <c r="BW641" s="87">
        <f t="shared" si="145"/>
      </c>
      <c r="BX641" s="104"/>
      <c r="BY641" s="106"/>
      <c r="BZ641" s="104"/>
      <c r="CA641" s="105"/>
      <c r="CB641" s="77">
        <f>IF($A641="",0,IF($B641='FICHA CLIENTE'!$C$4,1,0))</f>
      </c>
      <c r="CC641" s="77">
        <f t="shared" si="146"/>
      </c>
      <c r="CD641" s="77">
        <f>IF($A641="",0,IF($D641='FICHA VEHICULO'!$C$4,1,0))</f>
      </c>
      <c r="CE641" s="77">
        <f t="shared" si="147"/>
      </c>
      <c r="CF641" s="77">
        <f t="shared" si="148"/>
      </c>
      <c r="CG641" s="77">
        <f t="shared" si="149"/>
      </c>
    </row>
    <row r="642" spans="1:85" ht="19.5" customHeight="1" x14ac:dyDescent="0.2">
      <c r="A642" s="104"/>
      <c r="B642" s="104"/>
      <c r="C642" s="105"/>
      <c r="D642" s="104"/>
      <c r="E642" s="105"/>
      <c r="F642" s="106"/>
      <c r="G642" s="104"/>
      <c r="H642" s="106"/>
      <c r="I642" s="107"/>
      <c r="J642" s="108"/>
      <c r="K642" s="108"/>
      <c r="L642" s="108"/>
      <c r="M642" s="105"/>
      <c r="N642" s="105"/>
      <c r="O642" s="105"/>
      <c r="P642" s="108"/>
      <c r="Q642" s="105"/>
      <c r="R642" s="105"/>
      <c r="S642" s="105"/>
      <c r="T642" s="105"/>
      <c r="U642" s="108"/>
      <c r="V642" s="105"/>
      <c r="W642" s="105"/>
      <c r="X642" s="105"/>
      <c r="Y642" s="105"/>
      <c r="Z642" s="105"/>
      <c r="AA642" s="108"/>
      <c r="AB642" s="108"/>
      <c r="AC642" s="105"/>
      <c r="AD642" s="279"/>
      <c r="AE642" s="105"/>
      <c r="AF642" s="279"/>
      <c r="AG642" s="105"/>
      <c r="AH642" s="108"/>
      <c r="AI642" s="108"/>
      <c r="AJ642" s="108"/>
      <c r="AK642" s="108"/>
      <c r="AL642" s="105"/>
      <c r="AM642" s="108"/>
      <c r="AN642" s="105"/>
      <c r="AO642" s="108"/>
      <c r="AP642" s="108"/>
      <c r="AQ642" s="105"/>
      <c r="AR642" s="108"/>
      <c r="AS642" s="108"/>
      <c r="AT642" s="105"/>
      <c r="AU642" s="105"/>
      <c r="AV642" s="105"/>
      <c r="AW642" s="105"/>
      <c r="AX642" s="105"/>
      <c r="AY642" s="105"/>
      <c r="AZ642" s="105"/>
      <c r="BA642" s="105"/>
      <c r="BB642" s="105"/>
      <c r="BC642" s="105"/>
      <c r="BD642" s="108"/>
      <c r="BE642" s="83">
        <f>IF($A642="","",IF(TRIM($D642&amp;"")="",IF(TRIM($AX642&amp;$AY642&amp;$AZ642&amp;$BA642&amp;$BB642&amp;$BC642&amp;$BD642&amp;"")="","","SUBARRENDADO"),IFERROR(IF(VLOOKUP($D642,VEHICULOS!$A$3:$H$202,7,FALSE)="","",VLOOKUP($D642,VEHICULOS!$A$3:$H$202,7,FALSE)),"")))</f>
      </c>
      <c r="BF642" s="82">
        <f>IF($A642="","",IF(TRIM($BC642&amp;"")&lt;&gt;"",$BC642,IF(TRIM($D642&amp;"")="","",IFERROR(IF(VLOOKUP($D642,VEHICULOS!$A$3:$H$202,8,FALSE)="","",VLOOKUP($D642,VEHICULOS!$A$3:$H$202,8,FALSE)),""))))</f>
      </c>
      <c r="BG642" s="106"/>
      <c r="BH642" s="107"/>
      <c r="BI642" s="86">
        <f t="shared" si="135"/>
      </c>
      <c r="BJ642" s="83">
        <f t="shared" si="136"/>
      </c>
      <c r="BK642" s="85">
        <f t="shared" si="137"/>
      </c>
      <c r="BL642" s="85">
        <f t="shared" si="138"/>
      </c>
      <c r="BM642" s="108"/>
      <c r="BN642" s="85">
        <f t="shared" si="139"/>
      </c>
      <c r="BO642" s="108"/>
      <c r="BP642" s="85">
        <f t="shared" si="140"/>
      </c>
      <c r="BQ642" s="85">
        <f t="shared" si="141"/>
      </c>
      <c r="BR642" s="108"/>
      <c r="BS642" s="104"/>
      <c r="BT642" s="87">
        <f t="shared" si="142"/>
      </c>
      <c r="BU642" s="85">
        <f t="shared" si="143"/>
      </c>
      <c r="BV642" s="85">
        <f t="shared" si="144"/>
      </c>
      <c r="BW642" s="87">
        <f t="shared" si="145"/>
      </c>
      <c r="BX642" s="104"/>
      <c r="BY642" s="106"/>
      <c r="BZ642" s="104"/>
      <c r="CA642" s="105"/>
      <c r="CB642" s="77">
        <f>IF($A642="",0,IF($B642='FICHA CLIENTE'!$C$4,1,0))</f>
      </c>
      <c r="CC642" s="77">
        <f t="shared" si="146"/>
      </c>
      <c r="CD642" s="77">
        <f>IF($A642="",0,IF($D642='FICHA VEHICULO'!$C$4,1,0))</f>
      </c>
      <c r="CE642" s="77">
        <f t="shared" si="147"/>
      </c>
      <c r="CF642" s="77">
        <f t="shared" si="148"/>
      </c>
      <c r="CG642" s="77">
        <f t="shared" si="149"/>
      </c>
    </row>
    <row r="643" spans="1:85" ht="19.5" customHeight="1" x14ac:dyDescent="0.2">
      <c r="A643" s="104"/>
      <c r="B643" s="104"/>
      <c r="C643" s="105"/>
      <c r="D643" s="104"/>
      <c r="E643" s="105"/>
      <c r="F643" s="106"/>
      <c r="G643" s="104"/>
      <c r="H643" s="106"/>
      <c r="I643" s="107"/>
      <c r="J643" s="108"/>
      <c r="K643" s="108"/>
      <c r="L643" s="108"/>
      <c r="M643" s="105"/>
      <c r="N643" s="105"/>
      <c r="O643" s="105"/>
      <c r="P643" s="108"/>
      <c r="Q643" s="105"/>
      <c r="R643" s="105"/>
      <c r="S643" s="105"/>
      <c r="T643" s="105"/>
      <c r="U643" s="108"/>
      <c r="V643" s="105"/>
      <c r="W643" s="105"/>
      <c r="X643" s="105"/>
      <c r="Y643" s="105"/>
      <c r="Z643" s="105"/>
      <c r="AA643" s="108"/>
      <c r="AB643" s="108"/>
      <c r="AC643" s="105"/>
      <c r="AD643" s="279"/>
      <c r="AE643" s="105"/>
      <c r="AF643" s="279"/>
      <c r="AG643" s="105"/>
      <c r="AH643" s="108"/>
      <c r="AI643" s="108"/>
      <c r="AJ643" s="108"/>
      <c r="AK643" s="108"/>
      <c r="AL643" s="105"/>
      <c r="AM643" s="108"/>
      <c r="AN643" s="105"/>
      <c r="AO643" s="108"/>
      <c r="AP643" s="108"/>
      <c r="AQ643" s="105"/>
      <c r="AR643" s="108"/>
      <c r="AS643" s="108"/>
      <c r="AT643" s="105"/>
      <c r="AU643" s="105"/>
      <c r="AV643" s="105"/>
      <c r="AW643" s="105"/>
      <c r="AX643" s="105"/>
      <c r="AY643" s="105"/>
      <c r="AZ643" s="105"/>
      <c r="BA643" s="105"/>
      <c r="BB643" s="105"/>
      <c r="BC643" s="105"/>
      <c r="BD643" s="108"/>
      <c r="BE643" s="83">
        <f>IF($A643="","",IF(TRIM($D643&amp;"")="",IF(TRIM($AX643&amp;$AY643&amp;$AZ643&amp;$BA643&amp;$BB643&amp;$BC643&amp;$BD643&amp;"")="","","SUBARRENDADO"),IFERROR(IF(VLOOKUP($D643,VEHICULOS!$A$3:$H$202,7,FALSE)="","",VLOOKUP($D643,VEHICULOS!$A$3:$H$202,7,FALSE)),"")))</f>
      </c>
      <c r="BF643" s="82">
        <f>IF($A643="","",IF(TRIM($BC643&amp;"")&lt;&gt;"",$BC643,IF(TRIM($D643&amp;"")="","",IFERROR(IF(VLOOKUP($D643,VEHICULOS!$A$3:$H$202,8,FALSE)="","",VLOOKUP($D643,VEHICULOS!$A$3:$H$202,8,FALSE)),""))))</f>
      </c>
      <c r="BG643" s="106"/>
      <c r="BH643" s="107"/>
      <c r="BI643" s="86">
        <f t="shared" si="135"/>
      </c>
      <c r="BJ643" s="83">
        <f t="shared" si="136"/>
      </c>
      <c r="BK643" s="85">
        <f t="shared" si="137"/>
      </c>
      <c r="BL643" s="85">
        <f t="shared" si="138"/>
      </c>
      <c r="BM643" s="108"/>
      <c r="BN643" s="85">
        <f t="shared" si="139"/>
      </c>
      <c r="BO643" s="108"/>
      <c r="BP643" s="85">
        <f t="shared" si="140"/>
      </c>
      <c r="BQ643" s="85">
        <f t="shared" si="141"/>
      </c>
      <c r="BR643" s="108"/>
      <c r="BS643" s="104"/>
      <c r="BT643" s="87">
        <f t="shared" si="142"/>
      </c>
      <c r="BU643" s="85">
        <f t="shared" si="143"/>
      </c>
      <c r="BV643" s="85">
        <f t="shared" si="144"/>
      </c>
      <c r="BW643" s="87">
        <f t="shared" si="145"/>
      </c>
      <c r="BX643" s="104"/>
      <c r="BY643" s="106"/>
      <c r="BZ643" s="104"/>
      <c r="CA643" s="105"/>
      <c r="CB643" s="77">
        <f>IF($A643="",0,IF($B643='FICHA CLIENTE'!$C$4,1,0))</f>
      </c>
      <c r="CC643" s="77">
        <f t="shared" si="146"/>
      </c>
      <c r="CD643" s="77">
        <f>IF($A643="",0,IF($D643='FICHA VEHICULO'!$C$4,1,0))</f>
      </c>
      <c r="CE643" s="77">
        <f t="shared" si="147"/>
      </c>
      <c r="CF643" s="77">
        <f t="shared" si="148"/>
      </c>
      <c r="CG643" s="77">
        <f t="shared" si="149"/>
      </c>
    </row>
    <row r="644" spans="1:85" ht="19.5" customHeight="1" x14ac:dyDescent="0.2">
      <c r="A644" s="104"/>
      <c r="B644" s="104"/>
      <c r="C644" s="105"/>
      <c r="D644" s="104"/>
      <c r="E644" s="105"/>
      <c r="F644" s="106"/>
      <c r="G644" s="104"/>
      <c r="H644" s="106"/>
      <c r="I644" s="107"/>
      <c r="J644" s="108"/>
      <c r="K644" s="108"/>
      <c r="L644" s="108"/>
      <c r="M644" s="105"/>
      <c r="N644" s="105"/>
      <c r="O644" s="105"/>
      <c r="P644" s="108"/>
      <c r="Q644" s="105"/>
      <c r="R644" s="105"/>
      <c r="S644" s="105"/>
      <c r="T644" s="105"/>
      <c r="U644" s="108"/>
      <c r="V644" s="105"/>
      <c r="W644" s="105"/>
      <c r="X644" s="105"/>
      <c r="Y644" s="105"/>
      <c r="Z644" s="105"/>
      <c r="AA644" s="108"/>
      <c r="AB644" s="108"/>
      <c r="AC644" s="105"/>
      <c r="AD644" s="279"/>
      <c r="AE644" s="105"/>
      <c r="AF644" s="279"/>
      <c r="AG644" s="105"/>
      <c r="AH644" s="108"/>
      <c r="AI644" s="108"/>
      <c r="AJ644" s="108"/>
      <c r="AK644" s="108"/>
      <c r="AL644" s="105"/>
      <c r="AM644" s="108"/>
      <c r="AN644" s="105"/>
      <c r="AO644" s="108"/>
      <c r="AP644" s="108"/>
      <c r="AQ644" s="105"/>
      <c r="AR644" s="108"/>
      <c r="AS644" s="108"/>
      <c r="AT644" s="105"/>
      <c r="AU644" s="105"/>
      <c r="AV644" s="105"/>
      <c r="AW644" s="105"/>
      <c r="AX644" s="105"/>
      <c r="AY644" s="105"/>
      <c r="AZ644" s="105"/>
      <c r="BA644" s="105"/>
      <c r="BB644" s="105"/>
      <c r="BC644" s="105"/>
      <c r="BD644" s="108"/>
      <c r="BE644" s="83">
        <f>IF($A644="","",IF(TRIM($D644&amp;"")="",IF(TRIM($AX644&amp;$AY644&amp;$AZ644&amp;$BA644&amp;$BB644&amp;$BC644&amp;$BD644&amp;"")="","","SUBARRENDADO"),IFERROR(IF(VLOOKUP($D644,VEHICULOS!$A$3:$H$202,7,FALSE)="","",VLOOKUP($D644,VEHICULOS!$A$3:$H$202,7,FALSE)),"")))</f>
      </c>
      <c r="BF644" s="82">
        <f>IF($A644="","",IF(TRIM($BC644&amp;"")&lt;&gt;"",$BC644,IF(TRIM($D644&amp;"")="","",IFERROR(IF(VLOOKUP($D644,VEHICULOS!$A$3:$H$202,8,FALSE)="","",VLOOKUP($D644,VEHICULOS!$A$3:$H$202,8,FALSE)),""))))</f>
      </c>
      <c r="BG644" s="106"/>
      <c r="BH644" s="107"/>
      <c r="BI644" s="86">
        <f t="shared" si="135"/>
      </c>
      <c r="BJ644" s="83">
        <f t="shared" si="136"/>
      </c>
      <c r="BK644" s="85">
        <f t="shared" si="137"/>
      </c>
      <c r="BL644" s="85">
        <f t="shared" si="138"/>
      </c>
      <c r="BM644" s="108"/>
      <c r="BN644" s="85">
        <f t="shared" si="139"/>
      </c>
      <c r="BO644" s="108"/>
      <c r="BP644" s="85">
        <f t="shared" si="140"/>
      </c>
      <c r="BQ644" s="85">
        <f t="shared" si="141"/>
      </c>
      <c r="BR644" s="108"/>
      <c r="BS644" s="104"/>
      <c r="BT644" s="87">
        <f t="shared" si="142"/>
      </c>
      <c r="BU644" s="85">
        <f t="shared" si="143"/>
      </c>
      <c r="BV644" s="85">
        <f t="shared" si="144"/>
      </c>
      <c r="BW644" s="87">
        <f t="shared" si="145"/>
      </c>
      <c r="BX644" s="104"/>
      <c r="BY644" s="106"/>
      <c r="BZ644" s="104"/>
      <c r="CA644" s="105"/>
      <c r="CB644" s="77">
        <f>IF($A644="",0,IF($B644='FICHA CLIENTE'!$C$4,1,0))</f>
      </c>
      <c r="CC644" s="77">
        <f t="shared" si="146"/>
      </c>
      <c r="CD644" s="77">
        <f>IF($A644="",0,IF($D644='FICHA VEHICULO'!$C$4,1,0))</f>
      </c>
      <c r="CE644" s="77">
        <f t="shared" si="147"/>
      </c>
      <c r="CF644" s="77">
        <f t="shared" si="148"/>
      </c>
      <c r="CG644" s="77">
        <f t="shared" si="149"/>
      </c>
    </row>
    <row r="645" spans="1:85" ht="19.5" customHeight="1" x14ac:dyDescent="0.2">
      <c r="A645" s="104"/>
      <c r="B645" s="104"/>
      <c r="C645" s="105"/>
      <c r="D645" s="104"/>
      <c r="E645" s="105"/>
      <c r="F645" s="106"/>
      <c r="G645" s="104"/>
      <c r="H645" s="106"/>
      <c r="I645" s="107"/>
      <c r="J645" s="108"/>
      <c r="K645" s="108"/>
      <c r="L645" s="108"/>
      <c r="M645" s="105"/>
      <c r="N645" s="105"/>
      <c r="O645" s="105"/>
      <c r="P645" s="108"/>
      <c r="Q645" s="105"/>
      <c r="R645" s="105"/>
      <c r="S645" s="105"/>
      <c r="T645" s="105"/>
      <c r="U645" s="108"/>
      <c r="V645" s="105"/>
      <c r="W645" s="105"/>
      <c r="X645" s="105"/>
      <c r="Y645" s="105"/>
      <c r="Z645" s="105"/>
      <c r="AA645" s="108"/>
      <c r="AB645" s="108"/>
      <c r="AC645" s="105"/>
      <c r="AD645" s="279"/>
      <c r="AE645" s="105"/>
      <c r="AF645" s="279"/>
      <c r="AG645" s="105"/>
      <c r="AH645" s="108"/>
      <c r="AI645" s="108"/>
      <c r="AJ645" s="108"/>
      <c r="AK645" s="108"/>
      <c r="AL645" s="105"/>
      <c r="AM645" s="108"/>
      <c r="AN645" s="105"/>
      <c r="AO645" s="108"/>
      <c r="AP645" s="108"/>
      <c r="AQ645" s="105"/>
      <c r="AR645" s="108"/>
      <c r="AS645" s="108"/>
      <c r="AT645" s="105"/>
      <c r="AU645" s="105"/>
      <c r="AV645" s="105"/>
      <c r="AW645" s="105"/>
      <c r="AX645" s="105"/>
      <c r="AY645" s="105"/>
      <c r="AZ645" s="105"/>
      <c r="BA645" s="105"/>
      <c r="BB645" s="105"/>
      <c r="BC645" s="105"/>
      <c r="BD645" s="108"/>
      <c r="BE645" s="83">
        <f>IF($A645="","",IF(TRIM($D645&amp;"")="",IF(TRIM($AX645&amp;$AY645&amp;$AZ645&amp;$BA645&amp;$BB645&amp;$BC645&amp;$BD645&amp;"")="","","SUBARRENDADO"),IFERROR(IF(VLOOKUP($D645,VEHICULOS!$A$3:$H$202,7,FALSE)="","",VLOOKUP($D645,VEHICULOS!$A$3:$H$202,7,FALSE)),"")))</f>
      </c>
      <c r="BF645" s="82">
        <f>IF($A645="","",IF(TRIM($BC645&amp;"")&lt;&gt;"",$BC645,IF(TRIM($D645&amp;"")="","",IFERROR(IF(VLOOKUP($D645,VEHICULOS!$A$3:$H$202,8,FALSE)="","",VLOOKUP($D645,VEHICULOS!$A$3:$H$202,8,FALSE)),""))))</f>
      </c>
      <c r="BG645" s="106"/>
      <c r="BH645" s="107"/>
      <c r="BI645" s="86">
        <f t="shared" si="135"/>
      </c>
      <c r="BJ645" s="83">
        <f t="shared" si="136"/>
      </c>
      <c r="BK645" s="85">
        <f t="shared" si="137"/>
      </c>
      <c r="BL645" s="85">
        <f t="shared" si="138"/>
      </c>
      <c r="BM645" s="108"/>
      <c r="BN645" s="85">
        <f t="shared" si="139"/>
      </c>
      <c r="BO645" s="108"/>
      <c r="BP645" s="85">
        <f t="shared" si="140"/>
      </c>
      <c r="BQ645" s="85">
        <f t="shared" si="141"/>
      </c>
      <c r="BR645" s="108"/>
      <c r="BS645" s="104"/>
      <c r="BT645" s="87">
        <f t="shared" si="142"/>
      </c>
      <c r="BU645" s="85">
        <f t="shared" si="143"/>
      </c>
      <c r="BV645" s="85">
        <f t="shared" si="144"/>
      </c>
      <c r="BW645" s="87">
        <f t="shared" si="145"/>
      </c>
      <c r="BX645" s="104"/>
      <c r="BY645" s="106"/>
      <c r="BZ645" s="104"/>
      <c r="CA645" s="105"/>
      <c r="CB645" s="77">
        <f>IF($A645="",0,IF($B645='FICHA CLIENTE'!$C$4,1,0))</f>
      </c>
      <c r="CC645" s="77">
        <f t="shared" si="146"/>
      </c>
      <c r="CD645" s="77">
        <f>IF($A645="",0,IF($D645='FICHA VEHICULO'!$C$4,1,0))</f>
      </c>
      <c r="CE645" s="77">
        <f t="shared" si="147"/>
      </c>
      <c r="CF645" s="77">
        <f t="shared" si="148"/>
      </c>
      <c r="CG645" s="77">
        <f t="shared" si="149"/>
      </c>
    </row>
    <row r="646" spans="1:85" ht="19.5" customHeight="1" x14ac:dyDescent="0.2">
      <c r="A646" s="104"/>
      <c r="B646" s="104"/>
      <c r="C646" s="105"/>
      <c r="D646" s="104"/>
      <c r="E646" s="105"/>
      <c r="F646" s="106"/>
      <c r="G646" s="104"/>
      <c r="H646" s="106"/>
      <c r="I646" s="107"/>
      <c r="J646" s="108"/>
      <c r="K646" s="108"/>
      <c r="L646" s="108"/>
      <c r="M646" s="105"/>
      <c r="N646" s="105"/>
      <c r="O646" s="105"/>
      <c r="P646" s="108"/>
      <c r="Q646" s="105"/>
      <c r="R646" s="105"/>
      <c r="S646" s="105"/>
      <c r="T646" s="105"/>
      <c r="U646" s="108"/>
      <c r="V646" s="105"/>
      <c r="W646" s="105"/>
      <c r="X646" s="105"/>
      <c r="Y646" s="105"/>
      <c r="Z646" s="105"/>
      <c r="AA646" s="108"/>
      <c r="AB646" s="108"/>
      <c r="AC646" s="105"/>
      <c r="AD646" s="279"/>
      <c r="AE646" s="105"/>
      <c r="AF646" s="279"/>
      <c r="AG646" s="105"/>
      <c r="AH646" s="108"/>
      <c r="AI646" s="108"/>
      <c r="AJ646" s="108"/>
      <c r="AK646" s="108"/>
      <c r="AL646" s="105"/>
      <c r="AM646" s="108"/>
      <c r="AN646" s="105"/>
      <c r="AO646" s="108"/>
      <c r="AP646" s="108"/>
      <c r="AQ646" s="105"/>
      <c r="AR646" s="108"/>
      <c r="AS646" s="108"/>
      <c r="AT646" s="105"/>
      <c r="AU646" s="105"/>
      <c r="AV646" s="105"/>
      <c r="AW646" s="105"/>
      <c r="AX646" s="105"/>
      <c r="AY646" s="105"/>
      <c r="AZ646" s="105"/>
      <c r="BA646" s="105"/>
      <c r="BB646" s="105"/>
      <c r="BC646" s="105"/>
      <c r="BD646" s="108"/>
      <c r="BE646" s="83">
        <f>IF($A646="","",IF(TRIM($D646&amp;"")="",IF(TRIM($AX646&amp;$AY646&amp;$AZ646&amp;$BA646&amp;$BB646&amp;$BC646&amp;$BD646&amp;"")="","","SUBARRENDADO"),IFERROR(IF(VLOOKUP($D646,VEHICULOS!$A$3:$H$202,7,FALSE)="","",VLOOKUP($D646,VEHICULOS!$A$3:$H$202,7,FALSE)),"")))</f>
      </c>
      <c r="BF646" s="82">
        <f>IF($A646="","",IF(TRIM($BC646&amp;"")&lt;&gt;"",$BC646,IF(TRIM($D646&amp;"")="","",IFERROR(IF(VLOOKUP($D646,VEHICULOS!$A$3:$H$202,8,FALSE)="","",VLOOKUP($D646,VEHICULOS!$A$3:$H$202,8,FALSE)),""))))</f>
      </c>
      <c r="BG646" s="106"/>
      <c r="BH646" s="107"/>
      <c r="BI646" s="86">
        <f t="shared" ref="BI646:BI709" si="150">IF(OR($BH646="",$I646=""),"",$BH646-$I646)</f>
      </c>
      <c r="BJ646" s="83">
        <f t="shared" ref="BJ646:BJ709" si="151">IF(OR($BG646="",$H646=""),"",MAX(0,$BG646-$H646))</f>
      </c>
      <c r="BK646" s="85">
        <f t="shared" ref="BK646:BK709" si="152">IF($A646="","",N($BJ646)*N($J646))</f>
      </c>
      <c r="BL646" s="85">
        <f t="shared" ref="BL646:BL709" si="153">IF($A646="","",(N($AM646)+N($AS646))*(N($G646)+N($BJ646))+N($AP646))</f>
      </c>
      <c r="BM646" s="108"/>
      <c r="BN646" s="85">
        <f t="shared" ref="BN646:BN709" si="154">IF($A646="","",N($AO646))</f>
      </c>
      <c r="BO646" s="108"/>
      <c r="BP646" s="85">
        <f t="shared" ref="BP646:BP709" si="155">IF($A646="","",N($AR646))</f>
      </c>
      <c r="BQ646" s="85">
        <f t="shared" ref="BQ646:BQ709" si="156">IF($A646="","",N($K646)+N($BK646)+N($BL646)+N($BM646)+N($BN646)+N($BO646)+N($BP646))</f>
      </c>
      <c r="BR646" s="108"/>
      <c r="BS646" s="104"/>
      <c r="BT646" s="87">
        <f t="shared" ref="BT646:BT709" si="157">IF($A646="","",ROUND((N($BQ646)-N($BR646))*(1+N($BS646)/100),2))</f>
      </c>
      <c r="BU646" s="85">
        <f t="shared" ref="BU646:BU709" si="158">IF($A646="","",N($BD646))</f>
      </c>
      <c r="BV646" s="85">
        <f t="shared" ref="BV646:BV709" si="159">IF($A646="","",N($BU646)*(N($G646)+N($BJ646)))</f>
      </c>
      <c r="BW646" s="87">
        <f t="shared" ref="BW646:BW709" si="160">IF($A646="","",N($BT646)-N($BV646))</f>
      </c>
      <c r="BX646" s="104"/>
      <c r="BY646" s="106"/>
      <c r="BZ646" s="104"/>
      <c r="CA646" s="105"/>
      <c r="CB646" s="77">
        <f>IF($A646="",0,IF($B646='FICHA CLIENTE'!$C$4,1,0))</f>
      </c>
      <c r="CC646" s="77">
        <f t="shared" ref="CC646:CC709" si="161">$CC645+$CB646</f>
      </c>
      <c r="CD646" s="77">
        <f>IF($A646="",0,IF($D646='FICHA VEHICULO'!$C$4,1,0))</f>
      </c>
      <c r="CE646" s="77">
        <f t="shared" ref="CE646:CE709" si="162">$CE645+$CD646</f>
      </c>
      <c r="CF646" s="77">
        <f t="shared" ref="CF646:CF709" si="163">IF($A646="",0,IF($BG646="",1,0))</f>
      </c>
      <c r="CG646" s="77">
        <f t="shared" ref="CG646:CG709" si="164">$CG645+$CF646</f>
      </c>
    </row>
    <row r="647" spans="1:85" ht="19.5" customHeight="1" x14ac:dyDescent="0.2">
      <c r="A647" s="104"/>
      <c r="B647" s="104"/>
      <c r="C647" s="105"/>
      <c r="D647" s="104"/>
      <c r="E647" s="105"/>
      <c r="F647" s="106"/>
      <c r="G647" s="104"/>
      <c r="H647" s="106"/>
      <c r="I647" s="107"/>
      <c r="J647" s="108"/>
      <c r="K647" s="108"/>
      <c r="L647" s="108"/>
      <c r="M647" s="105"/>
      <c r="N647" s="105"/>
      <c r="O647" s="105"/>
      <c r="P647" s="108"/>
      <c r="Q647" s="105"/>
      <c r="R647" s="105"/>
      <c r="S647" s="105"/>
      <c r="T647" s="105"/>
      <c r="U647" s="108"/>
      <c r="V647" s="105"/>
      <c r="W647" s="105"/>
      <c r="X647" s="105"/>
      <c r="Y647" s="105"/>
      <c r="Z647" s="105"/>
      <c r="AA647" s="108"/>
      <c r="AB647" s="108"/>
      <c r="AC647" s="105"/>
      <c r="AD647" s="279"/>
      <c r="AE647" s="105"/>
      <c r="AF647" s="279"/>
      <c r="AG647" s="105"/>
      <c r="AH647" s="108"/>
      <c r="AI647" s="108"/>
      <c r="AJ647" s="108"/>
      <c r="AK647" s="108"/>
      <c r="AL647" s="105"/>
      <c r="AM647" s="108"/>
      <c r="AN647" s="105"/>
      <c r="AO647" s="108"/>
      <c r="AP647" s="108"/>
      <c r="AQ647" s="105"/>
      <c r="AR647" s="108"/>
      <c r="AS647" s="108"/>
      <c r="AT647" s="105"/>
      <c r="AU647" s="105"/>
      <c r="AV647" s="105"/>
      <c r="AW647" s="105"/>
      <c r="AX647" s="105"/>
      <c r="AY647" s="105"/>
      <c r="AZ647" s="105"/>
      <c r="BA647" s="105"/>
      <c r="BB647" s="105"/>
      <c r="BC647" s="105"/>
      <c r="BD647" s="108"/>
      <c r="BE647" s="83">
        <f>IF($A647="","",IF(TRIM($D647&amp;"")="",IF(TRIM($AX647&amp;$AY647&amp;$AZ647&amp;$BA647&amp;$BB647&amp;$BC647&amp;$BD647&amp;"")="","","SUBARRENDADO"),IFERROR(IF(VLOOKUP($D647,VEHICULOS!$A$3:$H$202,7,FALSE)="","",VLOOKUP($D647,VEHICULOS!$A$3:$H$202,7,FALSE)),"")))</f>
      </c>
      <c r="BF647" s="82">
        <f>IF($A647="","",IF(TRIM($BC647&amp;"")&lt;&gt;"",$BC647,IF(TRIM($D647&amp;"")="","",IFERROR(IF(VLOOKUP($D647,VEHICULOS!$A$3:$H$202,8,FALSE)="","",VLOOKUP($D647,VEHICULOS!$A$3:$H$202,8,FALSE)),""))))</f>
      </c>
      <c r="BG647" s="106"/>
      <c r="BH647" s="107"/>
      <c r="BI647" s="86">
        <f t="shared" si="150"/>
      </c>
      <c r="BJ647" s="83">
        <f t="shared" si="151"/>
      </c>
      <c r="BK647" s="85">
        <f t="shared" si="152"/>
      </c>
      <c r="BL647" s="85">
        <f t="shared" si="153"/>
      </c>
      <c r="BM647" s="108"/>
      <c r="BN647" s="85">
        <f t="shared" si="154"/>
      </c>
      <c r="BO647" s="108"/>
      <c r="BP647" s="85">
        <f t="shared" si="155"/>
      </c>
      <c r="BQ647" s="85">
        <f t="shared" si="156"/>
      </c>
      <c r="BR647" s="108"/>
      <c r="BS647" s="104"/>
      <c r="BT647" s="87">
        <f t="shared" si="157"/>
      </c>
      <c r="BU647" s="85">
        <f t="shared" si="158"/>
      </c>
      <c r="BV647" s="85">
        <f t="shared" si="159"/>
      </c>
      <c r="BW647" s="87">
        <f t="shared" si="160"/>
      </c>
      <c r="BX647" s="104"/>
      <c r="BY647" s="106"/>
      <c r="BZ647" s="104"/>
      <c r="CA647" s="105"/>
      <c r="CB647" s="77">
        <f>IF($A647="",0,IF($B647='FICHA CLIENTE'!$C$4,1,0))</f>
      </c>
      <c r="CC647" s="77">
        <f t="shared" si="161"/>
      </c>
      <c r="CD647" s="77">
        <f>IF($A647="",0,IF($D647='FICHA VEHICULO'!$C$4,1,0))</f>
      </c>
      <c r="CE647" s="77">
        <f t="shared" si="162"/>
      </c>
      <c r="CF647" s="77">
        <f t="shared" si="163"/>
      </c>
      <c r="CG647" s="77">
        <f t="shared" si="164"/>
      </c>
    </row>
    <row r="648" spans="1:85" ht="19.5" customHeight="1" x14ac:dyDescent="0.2">
      <c r="A648" s="104"/>
      <c r="B648" s="104"/>
      <c r="C648" s="105"/>
      <c r="D648" s="104"/>
      <c r="E648" s="105"/>
      <c r="F648" s="106"/>
      <c r="G648" s="104"/>
      <c r="H648" s="106"/>
      <c r="I648" s="107"/>
      <c r="J648" s="108"/>
      <c r="K648" s="108"/>
      <c r="L648" s="108"/>
      <c r="M648" s="105"/>
      <c r="N648" s="105"/>
      <c r="O648" s="105"/>
      <c r="P648" s="108"/>
      <c r="Q648" s="105"/>
      <c r="R648" s="105"/>
      <c r="S648" s="105"/>
      <c r="T648" s="105"/>
      <c r="U648" s="108"/>
      <c r="V648" s="105"/>
      <c r="W648" s="105"/>
      <c r="X648" s="105"/>
      <c r="Y648" s="105"/>
      <c r="Z648" s="105"/>
      <c r="AA648" s="108"/>
      <c r="AB648" s="108"/>
      <c r="AC648" s="105"/>
      <c r="AD648" s="279"/>
      <c r="AE648" s="105"/>
      <c r="AF648" s="279"/>
      <c r="AG648" s="105"/>
      <c r="AH648" s="108"/>
      <c r="AI648" s="108"/>
      <c r="AJ648" s="108"/>
      <c r="AK648" s="108"/>
      <c r="AL648" s="105"/>
      <c r="AM648" s="108"/>
      <c r="AN648" s="105"/>
      <c r="AO648" s="108"/>
      <c r="AP648" s="108"/>
      <c r="AQ648" s="105"/>
      <c r="AR648" s="108"/>
      <c r="AS648" s="108"/>
      <c r="AT648" s="105"/>
      <c r="AU648" s="105"/>
      <c r="AV648" s="105"/>
      <c r="AW648" s="105"/>
      <c r="AX648" s="105"/>
      <c r="AY648" s="105"/>
      <c r="AZ648" s="105"/>
      <c r="BA648" s="105"/>
      <c r="BB648" s="105"/>
      <c r="BC648" s="105"/>
      <c r="BD648" s="108"/>
      <c r="BE648" s="83">
        <f>IF($A648="","",IF(TRIM($D648&amp;"")="",IF(TRIM($AX648&amp;$AY648&amp;$AZ648&amp;$BA648&amp;$BB648&amp;$BC648&amp;$BD648&amp;"")="","","SUBARRENDADO"),IFERROR(IF(VLOOKUP($D648,VEHICULOS!$A$3:$H$202,7,FALSE)="","",VLOOKUP($D648,VEHICULOS!$A$3:$H$202,7,FALSE)),"")))</f>
      </c>
      <c r="BF648" s="82">
        <f>IF($A648="","",IF(TRIM($BC648&amp;"")&lt;&gt;"",$BC648,IF(TRIM($D648&amp;"")="","",IFERROR(IF(VLOOKUP($D648,VEHICULOS!$A$3:$H$202,8,FALSE)="","",VLOOKUP($D648,VEHICULOS!$A$3:$H$202,8,FALSE)),""))))</f>
      </c>
      <c r="BG648" s="106"/>
      <c r="BH648" s="107"/>
      <c r="BI648" s="86">
        <f t="shared" si="150"/>
      </c>
      <c r="BJ648" s="83">
        <f t="shared" si="151"/>
      </c>
      <c r="BK648" s="85">
        <f t="shared" si="152"/>
      </c>
      <c r="BL648" s="85">
        <f t="shared" si="153"/>
      </c>
      <c r="BM648" s="108"/>
      <c r="BN648" s="85">
        <f t="shared" si="154"/>
      </c>
      <c r="BO648" s="108"/>
      <c r="BP648" s="85">
        <f t="shared" si="155"/>
      </c>
      <c r="BQ648" s="85">
        <f t="shared" si="156"/>
      </c>
      <c r="BR648" s="108"/>
      <c r="BS648" s="104"/>
      <c r="BT648" s="87">
        <f t="shared" si="157"/>
      </c>
      <c r="BU648" s="85">
        <f t="shared" si="158"/>
      </c>
      <c r="BV648" s="85">
        <f t="shared" si="159"/>
      </c>
      <c r="BW648" s="87">
        <f t="shared" si="160"/>
      </c>
      <c r="BX648" s="104"/>
      <c r="BY648" s="106"/>
      <c r="BZ648" s="104"/>
      <c r="CA648" s="105"/>
      <c r="CB648" s="77">
        <f>IF($A648="",0,IF($B648='FICHA CLIENTE'!$C$4,1,0))</f>
      </c>
      <c r="CC648" s="77">
        <f t="shared" si="161"/>
      </c>
      <c r="CD648" s="77">
        <f>IF($A648="",0,IF($D648='FICHA VEHICULO'!$C$4,1,0))</f>
      </c>
      <c r="CE648" s="77">
        <f t="shared" si="162"/>
      </c>
      <c r="CF648" s="77">
        <f t="shared" si="163"/>
      </c>
      <c r="CG648" s="77">
        <f t="shared" si="164"/>
      </c>
    </row>
    <row r="649" spans="1:85" ht="19.5" customHeight="1" x14ac:dyDescent="0.2">
      <c r="A649" s="104"/>
      <c r="B649" s="104"/>
      <c r="C649" s="105"/>
      <c r="D649" s="104"/>
      <c r="E649" s="105"/>
      <c r="F649" s="106"/>
      <c r="G649" s="104"/>
      <c r="H649" s="106"/>
      <c r="I649" s="107"/>
      <c r="J649" s="108"/>
      <c r="K649" s="108"/>
      <c r="L649" s="108"/>
      <c r="M649" s="105"/>
      <c r="N649" s="105"/>
      <c r="O649" s="105"/>
      <c r="P649" s="108"/>
      <c r="Q649" s="105"/>
      <c r="R649" s="105"/>
      <c r="S649" s="105"/>
      <c r="T649" s="105"/>
      <c r="U649" s="108"/>
      <c r="V649" s="105"/>
      <c r="W649" s="105"/>
      <c r="X649" s="105"/>
      <c r="Y649" s="105"/>
      <c r="Z649" s="105"/>
      <c r="AA649" s="108"/>
      <c r="AB649" s="108"/>
      <c r="AC649" s="105"/>
      <c r="AD649" s="279"/>
      <c r="AE649" s="105"/>
      <c r="AF649" s="279"/>
      <c r="AG649" s="105"/>
      <c r="AH649" s="108"/>
      <c r="AI649" s="108"/>
      <c r="AJ649" s="108"/>
      <c r="AK649" s="108"/>
      <c r="AL649" s="105"/>
      <c r="AM649" s="108"/>
      <c r="AN649" s="105"/>
      <c r="AO649" s="108"/>
      <c r="AP649" s="108"/>
      <c r="AQ649" s="105"/>
      <c r="AR649" s="108"/>
      <c r="AS649" s="108"/>
      <c r="AT649" s="105"/>
      <c r="AU649" s="105"/>
      <c r="AV649" s="105"/>
      <c r="AW649" s="105"/>
      <c r="AX649" s="105"/>
      <c r="AY649" s="105"/>
      <c r="AZ649" s="105"/>
      <c r="BA649" s="105"/>
      <c r="BB649" s="105"/>
      <c r="BC649" s="105"/>
      <c r="BD649" s="108"/>
      <c r="BE649" s="83">
        <f>IF($A649="","",IF(TRIM($D649&amp;"")="",IF(TRIM($AX649&amp;$AY649&amp;$AZ649&amp;$BA649&amp;$BB649&amp;$BC649&amp;$BD649&amp;"")="","","SUBARRENDADO"),IFERROR(IF(VLOOKUP($D649,VEHICULOS!$A$3:$H$202,7,FALSE)="","",VLOOKUP($D649,VEHICULOS!$A$3:$H$202,7,FALSE)),"")))</f>
      </c>
      <c r="BF649" s="82">
        <f>IF($A649="","",IF(TRIM($BC649&amp;"")&lt;&gt;"",$BC649,IF(TRIM($D649&amp;"")="","",IFERROR(IF(VLOOKUP($D649,VEHICULOS!$A$3:$H$202,8,FALSE)="","",VLOOKUP($D649,VEHICULOS!$A$3:$H$202,8,FALSE)),""))))</f>
      </c>
      <c r="BG649" s="106"/>
      <c r="BH649" s="107"/>
      <c r="BI649" s="86">
        <f t="shared" si="150"/>
      </c>
      <c r="BJ649" s="83">
        <f t="shared" si="151"/>
      </c>
      <c r="BK649" s="85">
        <f t="shared" si="152"/>
      </c>
      <c r="BL649" s="85">
        <f t="shared" si="153"/>
      </c>
      <c r="BM649" s="108"/>
      <c r="BN649" s="85">
        <f t="shared" si="154"/>
      </c>
      <c r="BO649" s="108"/>
      <c r="BP649" s="85">
        <f t="shared" si="155"/>
      </c>
      <c r="BQ649" s="85">
        <f t="shared" si="156"/>
      </c>
      <c r="BR649" s="108"/>
      <c r="BS649" s="104"/>
      <c r="BT649" s="87">
        <f t="shared" si="157"/>
      </c>
      <c r="BU649" s="85">
        <f t="shared" si="158"/>
      </c>
      <c r="BV649" s="85">
        <f t="shared" si="159"/>
      </c>
      <c r="BW649" s="87">
        <f t="shared" si="160"/>
      </c>
      <c r="BX649" s="104"/>
      <c r="BY649" s="106"/>
      <c r="BZ649" s="104"/>
      <c r="CA649" s="105"/>
      <c r="CB649" s="77">
        <f>IF($A649="",0,IF($B649='FICHA CLIENTE'!$C$4,1,0))</f>
      </c>
      <c r="CC649" s="77">
        <f t="shared" si="161"/>
      </c>
      <c r="CD649" s="77">
        <f>IF($A649="",0,IF($D649='FICHA VEHICULO'!$C$4,1,0))</f>
      </c>
      <c r="CE649" s="77">
        <f t="shared" si="162"/>
      </c>
      <c r="CF649" s="77">
        <f t="shared" si="163"/>
      </c>
      <c r="CG649" s="77">
        <f t="shared" si="164"/>
      </c>
    </row>
    <row r="650" spans="1:85" ht="19.5" customHeight="1" x14ac:dyDescent="0.2">
      <c r="A650" s="104"/>
      <c r="B650" s="104"/>
      <c r="C650" s="105"/>
      <c r="D650" s="104"/>
      <c r="E650" s="105"/>
      <c r="F650" s="106"/>
      <c r="G650" s="104"/>
      <c r="H650" s="106"/>
      <c r="I650" s="107"/>
      <c r="J650" s="108"/>
      <c r="K650" s="108"/>
      <c r="L650" s="108"/>
      <c r="M650" s="105"/>
      <c r="N650" s="105"/>
      <c r="O650" s="105"/>
      <c r="P650" s="108"/>
      <c r="Q650" s="105"/>
      <c r="R650" s="105"/>
      <c r="S650" s="105"/>
      <c r="T650" s="105"/>
      <c r="U650" s="108"/>
      <c r="V650" s="105"/>
      <c r="W650" s="105"/>
      <c r="X650" s="105"/>
      <c r="Y650" s="105"/>
      <c r="Z650" s="105"/>
      <c r="AA650" s="108"/>
      <c r="AB650" s="108"/>
      <c r="AC650" s="105"/>
      <c r="AD650" s="279"/>
      <c r="AE650" s="105"/>
      <c r="AF650" s="279"/>
      <c r="AG650" s="105"/>
      <c r="AH650" s="108"/>
      <c r="AI650" s="108"/>
      <c r="AJ650" s="108"/>
      <c r="AK650" s="108"/>
      <c r="AL650" s="105"/>
      <c r="AM650" s="108"/>
      <c r="AN650" s="105"/>
      <c r="AO650" s="108"/>
      <c r="AP650" s="108"/>
      <c r="AQ650" s="105"/>
      <c r="AR650" s="108"/>
      <c r="AS650" s="108"/>
      <c r="AT650" s="105"/>
      <c r="AU650" s="105"/>
      <c r="AV650" s="105"/>
      <c r="AW650" s="105"/>
      <c r="AX650" s="105"/>
      <c r="AY650" s="105"/>
      <c r="AZ650" s="105"/>
      <c r="BA650" s="105"/>
      <c r="BB650" s="105"/>
      <c r="BC650" s="105"/>
      <c r="BD650" s="108"/>
      <c r="BE650" s="83">
        <f>IF($A650="","",IF(TRIM($D650&amp;"")="",IF(TRIM($AX650&amp;$AY650&amp;$AZ650&amp;$BA650&amp;$BB650&amp;$BC650&amp;$BD650&amp;"")="","","SUBARRENDADO"),IFERROR(IF(VLOOKUP($D650,VEHICULOS!$A$3:$H$202,7,FALSE)="","",VLOOKUP($D650,VEHICULOS!$A$3:$H$202,7,FALSE)),"")))</f>
      </c>
      <c r="BF650" s="82">
        <f>IF($A650="","",IF(TRIM($BC650&amp;"")&lt;&gt;"",$BC650,IF(TRIM($D650&amp;"")="","",IFERROR(IF(VLOOKUP($D650,VEHICULOS!$A$3:$H$202,8,FALSE)="","",VLOOKUP($D650,VEHICULOS!$A$3:$H$202,8,FALSE)),""))))</f>
      </c>
      <c r="BG650" s="106"/>
      <c r="BH650" s="107"/>
      <c r="BI650" s="86">
        <f t="shared" si="150"/>
      </c>
      <c r="BJ650" s="83">
        <f t="shared" si="151"/>
      </c>
      <c r="BK650" s="85">
        <f t="shared" si="152"/>
      </c>
      <c r="BL650" s="85">
        <f t="shared" si="153"/>
      </c>
      <c r="BM650" s="108"/>
      <c r="BN650" s="85">
        <f t="shared" si="154"/>
      </c>
      <c r="BO650" s="108"/>
      <c r="BP650" s="85">
        <f t="shared" si="155"/>
      </c>
      <c r="BQ650" s="85">
        <f t="shared" si="156"/>
      </c>
      <c r="BR650" s="108"/>
      <c r="BS650" s="104"/>
      <c r="BT650" s="87">
        <f t="shared" si="157"/>
      </c>
      <c r="BU650" s="85">
        <f t="shared" si="158"/>
      </c>
      <c r="BV650" s="85">
        <f t="shared" si="159"/>
      </c>
      <c r="BW650" s="87">
        <f t="shared" si="160"/>
      </c>
      <c r="BX650" s="104"/>
      <c r="BY650" s="106"/>
      <c r="BZ650" s="104"/>
      <c r="CA650" s="105"/>
      <c r="CB650" s="77">
        <f>IF($A650="",0,IF($B650='FICHA CLIENTE'!$C$4,1,0))</f>
      </c>
      <c r="CC650" s="77">
        <f t="shared" si="161"/>
      </c>
      <c r="CD650" s="77">
        <f>IF($A650="",0,IF($D650='FICHA VEHICULO'!$C$4,1,0))</f>
      </c>
      <c r="CE650" s="77">
        <f t="shared" si="162"/>
      </c>
      <c r="CF650" s="77">
        <f t="shared" si="163"/>
      </c>
      <c r="CG650" s="77">
        <f t="shared" si="164"/>
      </c>
    </row>
    <row r="651" spans="1:85" ht="19.5" customHeight="1" x14ac:dyDescent="0.2">
      <c r="A651" s="104"/>
      <c r="B651" s="104"/>
      <c r="C651" s="105"/>
      <c r="D651" s="104"/>
      <c r="E651" s="105"/>
      <c r="F651" s="106"/>
      <c r="G651" s="104"/>
      <c r="H651" s="106"/>
      <c r="I651" s="107"/>
      <c r="J651" s="108"/>
      <c r="K651" s="108"/>
      <c r="L651" s="108"/>
      <c r="M651" s="105"/>
      <c r="N651" s="105"/>
      <c r="O651" s="105"/>
      <c r="P651" s="108"/>
      <c r="Q651" s="105"/>
      <c r="R651" s="105"/>
      <c r="S651" s="105"/>
      <c r="T651" s="105"/>
      <c r="U651" s="108"/>
      <c r="V651" s="105"/>
      <c r="W651" s="105"/>
      <c r="X651" s="105"/>
      <c r="Y651" s="105"/>
      <c r="Z651" s="105"/>
      <c r="AA651" s="108"/>
      <c r="AB651" s="108"/>
      <c r="AC651" s="105"/>
      <c r="AD651" s="279"/>
      <c r="AE651" s="105"/>
      <c r="AF651" s="279"/>
      <c r="AG651" s="105"/>
      <c r="AH651" s="108"/>
      <c r="AI651" s="108"/>
      <c r="AJ651" s="108"/>
      <c r="AK651" s="108"/>
      <c r="AL651" s="105"/>
      <c r="AM651" s="108"/>
      <c r="AN651" s="105"/>
      <c r="AO651" s="108"/>
      <c r="AP651" s="108"/>
      <c r="AQ651" s="105"/>
      <c r="AR651" s="108"/>
      <c r="AS651" s="108"/>
      <c r="AT651" s="105"/>
      <c r="AU651" s="105"/>
      <c r="AV651" s="105"/>
      <c r="AW651" s="105"/>
      <c r="AX651" s="105"/>
      <c r="AY651" s="105"/>
      <c r="AZ651" s="105"/>
      <c r="BA651" s="105"/>
      <c r="BB651" s="105"/>
      <c r="BC651" s="105"/>
      <c r="BD651" s="108"/>
      <c r="BE651" s="83">
        <f>IF($A651="","",IF(TRIM($D651&amp;"")="",IF(TRIM($AX651&amp;$AY651&amp;$AZ651&amp;$BA651&amp;$BB651&amp;$BC651&amp;$BD651&amp;"")="","","SUBARRENDADO"),IFERROR(IF(VLOOKUP($D651,VEHICULOS!$A$3:$H$202,7,FALSE)="","",VLOOKUP($D651,VEHICULOS!$A$3:$H$202,7,FALSE)),"")))</f>
      </c>
      <c r="BF651" s="82">
        <f>IF($A651="","",IF(TRIM($BC651&amp;"")&lt;&gt;"",$BC651,IF(TRIM($D651&amp;"")="","",IFERROR(IF(VLOOKUP($D651,VEHICULOS!$A$3:$H$202,8,FALSE)="","",VLOOKUP($D651,VEHICULOS!$A$3:$H$202,8,FALSE)),""))))</f>
      </c>
      <c r="BG651" s="106"/>
      <c r="BH651" s="107"/>
      <c r="BI651" s="86">
        <f t="shared" si="150"/>
      </c>
      <c r="BJ651" s="83">
        <f t="shared" si="151"/>
      </c>
      <c r="BK651" s="85">
        <f t="shared" si="152"/>
      </c>
      <c r="BL651" s="85">
        <f t="shared" si="153"/>
      </c>
      <c r="BM651" s="108"/>
      <c r="BN651" s="85">
        <f t="shared" si="154"/>
      </c>
      <c r="BO651" s="108"/>
      <c r="BP651" s="85">
        <f t="shared" si="155"/>
      </c>
      <c r="BQ651" s="85">
        <f t="shared" si="156"/>
      </c>
      <c r="BR651" s="108"/>
      <c r="BS651" s="104"/>
      <c r="BT651" s="87">
        <f t="shared" si="157"/>
      </c>
      <c r="BU651" s="85">
        <f t="shared" si="158"/>
      </c>
      <c r="BV651" s="85">
        <f t="shared" si="159"/>
      </c>
      <c r="BW651" s="87">
        <f t="shared" si="160"/>
      </c>
      <c r="BX651" s="104"/>
      <c r="BY651" s="106"/>
      <c r="BZ651" s="104"/>
      <c r="CA651" s="105"/>
      <c r="CB651" s="77">
        <f>IF($A651="",0,IF($B651='FICHA CLIENTE'!$C$4,1,0))</f>
      </c>
      <c r="CC651" s="77">
        <f t="shared" si="161"/>
      </c>
      <c r="CD651" s="77">
        <f>IF($A651="",0,IF($D651='FICHA VEHICULO'!$C$4,1,0))</f>
      </c>
      <c r="CE651" s="77">
        <f t="shared" si="162"/>
      </c>
      <c r="CF651" s="77">
        <f t="shared" si="163"/>
      </c>
      <c r="CG651" s="77">
        <f t="shared" si="164"/>
      </c>
    </row>
    <row r="652" spans="1:85" ht="19.5" customHeight="1" x14ac:dyDescent="0.2">
      <c r="A652" s="104"/>
      <c r="B652" s="104"/>
      <c r="C652" s="105"/>
      <c r="D652" s="104"/>
      <c r="E652" s="105"/>
      <c r="F652" s="106"/>
      <c r="G652" s="104"/>
      <c r="H652" s="106"/>
      <c r="I652" s="107"/>
      <c r="J652" s="108"/>
      <c r="K652" s="108"/>
      <c r="L652" s="108"/>
      <c r="M652" s="105"/>
      <c r="N652" s="105"/>
      <c r="O652" s="105"/>
      <c r="P652" s="108"/>
      <c r="Q652" s="105"/>
      <c r="R652" s="105"/>
      <c r="S652" s="105"/>
      <c r="T652" s="105"/>
      <c r="U652" s="108"/>
      <c r="V652" s="105"/>
      <c r="W652" s="105"/>
      <c r="X652" s="105"/>
      <c r="Y652" s="105"/>
      <c r="Z652" s="105"/>
      <c r="AA652" s="108"/>
      <c r="AB652" s="108"/>
      <c r="AC652" s="105"/>
      <c r="AD652" s="279"/>
      <c r="AE652" s="105"/>
      <c r="AF652" s="279"/>
      <c r="AG652" s="105"/>
      <c r="AH652" s="108"/>
      <c r="AI652" s="108"/>
      <c r="AJ652" s="108"/>
      <c r="AK652" s="108"/>
      <c r="AL652" s="105"/>
      <c r="AM652" s="108"/>
      <c r="AN652" s="105"/>
      <c r="AO652" s="108"/>
      <c r="AP652" s="108"/>
      <c r="AQ652" s="105"/>
      <c r="AR652" s="108"/>
      <c r="AS652" s="108"/>
      <c r="AT652" s="105"/>
      <c r="AU652" s="105"/>
      <c r="AV652" s="105"/>
      <c r="AW652" s="105"/>
      <c r="AX652" s="105"/>
      <c r="AY652" s="105"/>
      <c r="AZ652" s="105"/>
      <c r="BA652" s="105"/>
      <c r="BB652" s="105"/>
      <c r="BC652" s="105"/>
      <c r="BD652" s="108"/>
      <c r="BE652" s="83">
        <f>IF($A652="","",IF(TRIM($D652&amp;"")="",IF(TRIM($AX652&amp;$AY652&amp;$AZ652&amp;$BA652&amp;$BB652&amp;$BC652&amp;$BD652&amp;"")="","","SUBARRENDADO"),IFERROR(IF(VLOOKUP($D652,VEHICULOS!$A$3:$H$202,7,FALSE)="","",VLOOKUP($D652,VEHICULOS!$A$3:$H$202,7,FALSE)),"")))</f>
      </c>
      <c r="BF652" s="82">
        <f>IF($A652="","",IF(TRIM($BC652&amp;"")&lt;&gt;"",$BC652,IF(TRIM($D652&amp;"")="","",IFERROR(IF(VLOOKUP($D652,VEHICULOS!$A$3:$H$202,8,FALSE)="","",VLOOKUP($D652,VEHICULOS!$A$3:$H$202,8,FALSE)),""))))</f>
      </c>
      <c r="BG652" s="106"/>
      <c r="BH652" s="107"/>
      <c r="BI652" s="86">
        <f t="shared" si="150"/>
      </c>
      <c r="BJ652" s="83">
        <f t="shared" si="151"/>
      </c>
      <c r="BK652" s="85">
        <f t="shared" si="152"/>
      </c>
      <c r="BL652" s="85">
        <f t="shared" si="153"/>
      </c>
      <c r="BM652" s="108"/>
      <c r="BN652" s="85">
        <f t="shared" si="154"/>
      </c>
      <c r="BO652" s="108"/>
      <c r="BP652" s="85">
        <f t="shared" si="155"/>
      </c>
      <c r="BQ652" s="85">
        <f t="shared" si="156"/>
      </c>
      <c r="BR652" s="108"/>
      <c r="BS652" s="104"/>
      <c r="BT652" s="87">
        <f t="shared" si="157"/>
      </c>
      <c r="BU652" s="85">
        <f t="shared" si="158"/>
      </c>
      <c r="BV652" s="85">
        <f t="shared" si="159"/>
      </c>
      <c r="BW652" s="87">
        <f t="shared" si="160"/>
      </c>
      <c r="BX652" s="104"/>
      <c r="BY652" s="106"/>
      <c r="BZ652" s="104"/>
      <c r="CA652" s="105"/>
      <c r="CB652" s="77">
        <f>IF($A652="",0,IF($B652='FICHA CLIENTE'!$C$4,1,0))</f>
      </c>
      <c r="CC652" s="77">
        <f t="shared" si="161"/>
      </c>
      <c r="CD652" s="77">
        <f>IF($A652="",0,IF($D652='FICHA VEHICULO'!$C$4,1,0))</f>
      </c>
      <c r="CE652" s="77">
        <f t="shared" si="162"/>
      </c>
      <c r="CF652" s="77">
        <f t="shared" si="163"/>
      </c>
      <c r="CG652" s="77">
        <f t="shared" si="164"/>
      </c>
    </row>
    <row r="653" spans="1:85" ht="19.5" customHeight="1" x14ac:dyDescent="0.2">
      <c r="A653" s="104"/>
      <c r="B653" s="104"/>
      <c r="C653" s="105"/>
      <c r="D653" s="104"/>
      <c r="E653" s="105"/>
      <c r="F653" s="106"/>
      <c r="G653" s="104"/>
      <c r="H653" s="106"/>
      <c r="I653" s="107"/>
      <c r="J653" s="108"/>
      <c r="K653" s="108"/>
      <c r="L653" s="108"/>
      <c r="M653" s="105"/>
      <c r="N653" s="105"/>
      <c r="O653" s="105"/>
      <c r="P653" s="108"/>
      <c r="Q653" s="105"/>
      <c r="R653" s="105"/>
      <c r="S653" s="105"/>
      <c r="T653" s="105"/>
      <c r="U653" s="108"/>
      <c r="V653" s="105"/>
      <c r="W653" s="105"/>
      <c r="X653" s="105"/>
      <c r="Y653" s="105"/>
      <c r="Z653" s="105"/>
      <c r="AA653" s="108"/>
      <c r="AB653" s="108"/>
      <c r="AC653" s="105"/>
      <c r="AD653" s="279"/>
      <c r="AE653" s="105"/>
      <c r="AF653" s="279"/>
      <c r="AG653" s="105"/>
      <c r="AH653" s="108"/>
      <c r="AI653" s="108"/>
      <c r="AJ653" s="108"/>
      <c r="AK653" s="108"/>
      <c r="AL653" s="105"/>
      <c r="AM653" s="108"/>
      <c r="AN653" s="105"/>
      <c r="AO653" s="108"/>
      <c r="AP653" s="108"/>
      <c r="AQ653" s="105"/>
      <c r="AR653" s="108"/>
      <c r="AS653" s="108"/>
      <c r="AT653" s="105"/>
      <c r="AU653" s="105"/>
      <c r="AV653" s="105"/>
      <c r="AW653" s="105"/>
      <c r="AX653" s="105"/>
      <c r="AY653" s="105"/>
      <c r="AZ653" s="105"/>
      <c r="BA653" s="105"/>
      <c r="BB653" s="105"/>
      <c r="BC653" s="105"/>
      <c r="BD653" s="108"/>
      <c r="BE653" s="83">
        <f>IF($A653="","",IF(TRIM($D653&amp;"")="",IF(TRIM($AX653&amp;$AY653&amp;$AZ653&amp;$BA653&amp;$BB653&amp;$BC653&amp;$BD653&amp;"")="","","SUBARRENDADO"),IFERROR(IF(VLOOKUP($D653,VEHICULOS!$A$3:$H$202,7,FALSE)="","",VLOOKUP($D653,VEHICULOS!$A$3:$H$202,7,FALSE)),"")))</f>
      </c>
      <c r="BF653" s="82">
        <f>IF($A653="","",IF(TRIM($BC653&amp;"")&lt;&gt;"",$BC653,IF(TRIM($D653&amp;"")="","",IFERROR(IF(VLOOKUP($D653,VEHICULOS!$A$3:$H$202,8,FALSE)="","",VLOOKUP($D653,VEHICULOS!$A$3:$H$202,8,FALSE)),""))))</f>
      </c>
      <c r="BG653" s="106"/>
      <c r="BH653" s="107"/>
      <c r="BI653" s="86">
        <f t="shared" si="150"/>
      </c>
      <c r="BJ653" s="83">
        <f t="shared" si="151"/>
      </c>
      <c r="BK653" s="85">
        <f t="shared" si="152"/>
      </c>
      <c r="BL653" s="85">
        <f t="shared" si="153"/>
      </c>
      <c r="BM653" s="108"/>
      <c r="BN653" s="85">
        <f t="shared" si="154"/>
      </c>
      <c r="BO653" s="108"/>
      <c r="BP653" s="85">
        <f t="shared" si="155"/>
      </c>
      <c r="BQ653" s="85">
        <f t="shared" si="156"/>
      </c>
      <c r="BR653" s="108"/>
      <c r="BS653" s="104"/>
      <c r="BT653" s="87">
        <f t="shared" si="157"/>
      </c>
      <c r="BU653" s="85">
        <f t="shared" si="158"/>
      </c>
      <c r="BV653" s="85">
        <f t="shared" si="159"/>
      </c>
      <c r="BW653" s="87">
        <f t="shared" si="160"/>
      </c>
      <c r="BX653" s="104"/>
      <c r="BY653" s="106"/>
      <c r="BZ653" s="104"/>
      <c r="CA653" s="105"/>
      <c r="CB653" s="77">
        <f>IF($A653="",0,IF($B653='FICHA CLIENTE'!$C$4,1,0))</f>
      </c>
      <c r="CC653" s="77">
        <f t="shared" si="161"/>
      </c>
      <c r="CD653" s="77">
        <f>IF($A653="",0,IF($D653='FICHA VEHICULO'!$C$4,1,0))</f>
      </c>
      <c r="CE653" s="77">
        <f t="shared" si="162"/>
      </c>
      <c r="CF653" s="77">
        <f t="shared" si="163"/>
      </c>
      <c r="CG653" s="77">
        <f t="shared" si="164"/>
      </c>
    </row>
    <row r="654" spans="1:85" ht="19.5" customHeight="1" x14ac:dyDescent="0.2">
      <c r="A654" s="104"/>
      <c r="B654" s="104"/>
      <c r="C654" s="105"/>
      <c r="D654" s="104"/>
      <c r="E654" s="105"/>
      <c r="F654" s="106"/>
      <c r="G654" s="104"/>
      <c r="H654" s="106"/>
      <c r="I654" s="107"/>
      <c r="J654" s="108"/>
      <c r="K654" s="108"/>
      <c r="L654" s="108"/>
      <c r="M654" s="105"/>
      <c r="N654" s="105"/>
      <c r="O654" s="105"/>
      <c r="P654" s="108"/>
      <c r="Q654" s="105"/>
      <c r="R654" s="105"/>
      <c r="S654" s="105"/>
      <c r="T654" s="105"/>
      <c r="U654" s="108"/>
      <c r="V654" s="105"/>
      <c r="W654" s="105"/>
      <c r="X654" s="105"/>
      <c r="Y654" s="105"/>
      <c r="Z654" s="105"/>
      <c r="AA654" s="108"/>
      <c r="AB654" s="108"/>
      <c r="AC654" s="105"/>
      <c r="AD654" s="279"/>
      <c r="AE654" s="105"/>
      <c r="AF654" s="279"/>
      <c r="AG654" s="105"/>
      <c r="AH654" s="108"/>
      <c r="AI654" s="108"/>
      <c r="AJ654" s="108"/>
      <c r="AK654" s="108"/>
      <c r="AL654" s="105"/>
      <c r="AM654" s="108"/>
      <c r="AN654" s="105"/>
      <c r="AO654" s="108"/>
      <c r="AP654" s="108"/>
      <c r="AQ654" s="105"/>
      <c r="AR654" s="108"/>
      <c r="AS654" s="108"/>
      <c r="AT654" s="105"/>
      <c r="AU654" s="105"/>
      <c r="AV654" s="105"/>
      <c r="AW654" s="105"/>
      <c r="AX654" s="105"/>
      <c r="AY654" s="105"/>
      <c r="AZ654" s="105"/>
      <c r="BA654" s="105"/>
      <c r="BB654" s="105"/>
      <c r="BC654" s="105"/>
      <c r="BD654" s="108"/>
      <c r="BE654" s="83">
        <f>IF($A654="","",IF(TRIM($D654&amp;"")="",IF(TRIM($AX654&amp;$AY654&amp;$AZ654&amp;$BA654&amp;$BB654&amp;$BC654&amp;$BD654&amp;"")="","","SUBARRENDADO"),IFERROR(IF(VLOOKUP($D654,VEHICULOS!$A$3:$H$202,7,FALSE)="","",VLOOKUP($D654,VEHICULOS!$A$3:$H$202,7,FALSE)),"")))</f>
      </c>
      <c r="BF654" s="82">
        <f>IF($A654="","",IF(TRIM($BC654&amp;"")&lt;&gt;"",$BC654,IF(TRIM($D654&amp;"")="","",IFERROR(IF(VLOOKUP($D654,VEHICULOS!$A$3:$H$202,8,FALSE)="","",VLOOKUP($D654,VEHICULOS!$A$3:$H$202,8,FALSE)),""))))</f>
      </c>
      <c r="BG654" s="106"/>
      <c r="BH654" s="107"/>
      <c r="BI654" s="86">
        <f t="shared" si="150"/>
      </c>
      <c r="BJ654" s="83">
        <f t="shared" si="151"/>
      </c>
      <c r="BK654" s="85">
        <f t="shared" si="152"/>
      </c>
      <c r="BL654" s="85">
        <f t="shared" si="153"/>
      </c>
      <c r="BM654" s="108"/>
      <c r="BN654" s="85">
        <f t="shared" si="154"/>
      </c>
      <c r="BO654" s="108"/>
      <c r="BP654" s="85">
        <f t="shared" si="155"/>
      </c>
      <c r="BQ654" s="85">
        <f t="shared" si="156"/>
      </c>
      <c r="BR654" s="108"/>
      <c r="BS654" s="104"/>
      <c r="BT654" s="87">
        <f t="shared" si="157"/>
      </c>
      <c r="BU654" s="85">
        <f t="shared" si="158"/>
      </c>
      <c r="BV654" s="85">
        <f t="shared" si="159"/>
      </c>
      <c r="BW654" s="87">
        <f t="shared" si="160"/>
      </c>
      <c r="BX654" s="104"/>
      <c r="BY654" s="106"/>
      <c r="BZ654" s="104"/>
      <c r="CA654" s="105"/>
      <c r="CB654" s="77">
        <f>IF($A654="",0,IF($B654='FICHA CLIENTE'!$C$4,1,0))</f>
      </c>
      <c r="CC654" s="77">
        <f t="shared" si="161"/>
      </c>
      <c r="CD654" s="77">
        <f>IF($A654="",0,IF($D654='FICHA VEHICULO'!$C$4,1,0))</f>
      </c>
      <c r="CE654" s="77">
        <f t="shared" si="162"/>
      </c>
      <c r="CF654" s="77">
        <f t="shared" si="163"/>
      </c>
      <c r="CG654" s="77">
        <f t="shared" si="164"/>
      </c>
    </row>
    <row r="655" spans="1:85" ht="19.5" customHeight="1" x14ac:dyDescent="0.2">
      <c r="A655" s="104"/>
      <c r="B655" s="104"/>
      <c r="C655" s="105"/>
      <c r="D655" s="104"/>
      <c r="E655" s="105"/>
      <c r="F655" s="106"/>
      <c r="G655" s="104"/>
      <c r="H655" s="106"/>
      <c r="I655" s="107"/>
      <c r="J655" s="108"/>
      <c r="K655" s="108"/>
      <c r="L655" s="108"/>
      <c r="M655" s="105"/>
      <c r="N655" s="105"/>
      <c r="O655" s="105"/>
      <c r="P655" s="108"/>
      <c r="Q655" s="105"/>
      <c r="R655" s="105"/>
      <c r="S655" s="105"/>
      <c r="T655" s="105"/>
      <c r="U655" s="108"/>
      <c r="V655" s="105"/>
      <c r="W655" s="105"/>
      <c r="X655" s="105"/>
      <c r="Y655" s="105"/>
      <c r="Z655" s="105"/>
      <c r="AA655" s="108"/>
      <c r="AB655" s="108"/>
      <c r="AC655" s="105"/>
      <c r="AD655" s="279"/>
      <c r="AE655" s="105"/>
      <c r="AF655" s="279"/>
      <c r="AG655" s="105"/>
      <c r="AH655" s="108"/>
      <c r="AI655" s="108"/>
      <c r="AJ655" s="108"/>
      <c r="AK655" s="108"/>
      <c r="AL655" s="105"/>
      <c r="AM655" s="108"/>
      <c r="AN655" s="105"/>
      <c r="AO655" s="108"/>
      <c r="AP655" s="108"/>
      <c r="AQ655" s="105"/>
      <c r="AR655" s="108"/>
      <c r="AS655" s="108"/>
      <c r="AT655" s="105"/>
      <c r="AU655" s="105"/>
      <c r="AV655" s="105"/>
      <c r="AW655" s="105"/>
      <c r="AX655" s="105"/>
      <c r="AY655" s="105"/>
      <c r="AZ655" s="105"/>
      <c r="BA655" s="105"/>
      <c r="BB655" s="105"/>
      <c r="BC655" s="105"/>
      <c r="BD655" s="108"/>
      <c r="BE655" s="83">
        <f>IF($A655="","",IF(TRIM($D655&amp;"")="",IF(TRIM($AX655&amp;$AY655&amp;$AZ655&amp;$BA655&amp;$BB655&amp;$BC655&amp;$BD655&amp;"")="","","SUBARRENDADO"),IFERROR(IF(VLOOKUP($D655,VEHICULOS!$A$3:$H$202,7,FALSE)="","",VLOOKUP($D655,VEHICULOS!$A$3:$H$202,7,FALSE)),"")))</f>
      </c>
      <c r="BF655" s="82">
        <f>IF($A655="","",IF(TRIM($BC655&amp;"")&lt;&gt;"",$BC655,IF(TRIM($D655&amp;"")="","",IFERROR(IF(VLOOKUP($D655,VEHICULOS!$A$3:$H$202,8,FALSE)="","",VLOOKUP($D655,VEHICULOS!$A$3:$H$202,8,FALSE)),""))))</f>
      </c>
      <c r="BG655" s="106"/>
      <c r="BH655" s="107"/>
      <c r="BI655" s="86">
        <f t="shared" si="150"/>
      </c>
      <c r="BJ655" s="83">
        <f t="shared" si="151"/>
      </c>
      <c r="BK655" s="85">
        <f t="shared" si="152"/>
      </c>
      <c r="BL655" s="85">
        <f t="shared" si="153"/>
      </c>
      <c r="BM655" s="108"/>
      <c r="BN655" s="85">
        <f t="shared" si="154"/>
      </c>
      <c r="BO655" s="108"/>
      <c r="BP655" s="85">
        <f t="shared" si="155"/>
      </c>
      <c r="BQ655" s="85">
        <f t="shared" si="156"/>
      </c>
      <c r="BR655" s="108"/>
      <c r="BS655" s="104"/>
      <c r="BT655" s="87">
        <f t="shared" si="157"/>
      </c>
      <c r="BU655" s="85">
        <f t="shared" si="158"/>
      </c>
      <c r="BV655" s="85">
        <f t="shared" si="159"/>
      </c>
      <c r="BW655" s="87">
        <f t="shared" si="160"/>
      </c>
      <c r="BX655" s="104"/>
      <c r="BY655" s="106"/>
      <c r="BZ655" s="104"/>
      <c r="CA655" s="105"/>
      <c r="CB655" s="77">
        <f>IF($A655="",0,IF($B655='FICHA CLIENTE'!$C$4,1,0))</f>
      </c>
      <c r="CC655" s="77">
        <f t="shared" si="161"/>
      </c>
      <c r="CD655" s="77">
        <f>IF($A655="",0,IF($D655='FICHA VEHICULO'!$C$4,1,0))</f>
      </c>
      <c r="CE655" s="77">
        <f t="shared" si="162"/>
      </c>
      <c r="CF655" s="77">
        <f t="shared" si="163"/>
      </c>
      <c r="CG655" s="77">
        <f t="shared" si="164"/>
      </c>
    </row>
    <row r="656" spans="1:85" ht="19.5" customHeight="1" x14ac:dyDescent="0.2">
      <c r="A656" s="104"/>
      <c r="B656" s="104"/>
      <c r="C656" s="105"/>
      <c r="D656" s="104"/>
      <c r="E656" s="105"/>
      <c r="F656" s="106"/>
      <c r="G656" s="104"/>
      <c r="H656" s="106"/>
      <c r="I656" s="107"/>
      <c r="J656" s="108"/>
      <c r="K656" s="108"/>
      <c r="L656" s="108"/>
      <c r="M656" s="105"/>
      <c r="N656" s="105"/>
      <c r="O656" s="105"/>
      <c r="P656" s="108"/>
      <c r="Q656" s="105"/>
      <c r="R656" s="105"/>
      <c r="S656" s="105"/>
      <c r="T656" s="105"/>
      <c r="U656" s="108"/>
      <c r="V656" s="105"/>
      <c r="W656" s="105"/>
      <c r="X656" s="105"/>
      <c r="Y656" s="105"/>
      <c r="Z656" s="105"/>
      <c r="AA656" s="108"/>
      <c r="AB656" s="108"/>
      <c r="AC656" s="105"/>
      <c r="AD656" s="279"/>
      <c r="AE656" s="105"/>
      <c r="AF656" s="279"/>
      <c r="AG656" s="105"/>
      <c r="AH656" s="108"/>
      <c r="AI656" s="108"/>
      <c r="AJ656" s="108"/>
      <c r="AK656" s="108"/>
      <c r="AL656" s="105"/>
      <c r="AM656" s="108"/>
      <c r="AN656" s="105"/>
      <c r="AO656" s="108"/>
      <c r="AP656" s="108"/>
      <c r="AQ656" s="105"/>
      <c r="AR656" s="108"/>
      <c r="AS656" s="108"/>
      <c r="AT656" s="105"/>
      <c r="AU656" s="105"/>
      <c r="AV656" s="105"/>
      <c r="AW656" s="105"/>
      <c r="AX656" s="105"/>
      <c r="AY656" s="105"/>
      <c r="AZ656" s="105"/>
      <c r="BA656" s="105"/>
      <c r="BB656" s="105"/>
      <c r="BC656" s="105"/>
      <c r="BD656" s="108"/>
      <c r="BE656" s="83">
        <f>IF($A656="","",IF(TRIM($D656&amp;"")="",IF(TRIM($AX656&amp;$AY656&amp;$AZ656&amp;$BA656&amp;$BB656&amp;$BC656&amp;$BD656&amp;"")="","","SUBARRENDADO"),IFERROR(IF(VLOOKUP($D656,VEHICULOS!$A$3:$H$202,7,FALSE)="","",VLOOKUP($D656,VEHICULOS!$A$3:$H$202,7,FALSE)),"")))</f>
      </c>
      <c r="BF656" s="82">
        <f>IF($A656="","",IF(TRIM($BC656&amp;"")&lt;&gt;"",$BC656,IF(TRIM($D656&amp;"")="","",IFERROR(IF(VLOOKUP($D656,VEHICULOS!$A$3:$H$202,8,FALSE)="","",VLOOKUP($D656,VEHICULOS!$A$3:$H$202,8,FALSE)),""))))</f>
      </c>
      <c r="BG656" s="106"/>
      <c r="BH656" s="107"/>
      <c r="BI656" s="86">
        <f t="shared" si="150"/>
      </c>
      <c r="BJ656" s="83">
        <f t="shared" si="151"/>
      </c>
      <c r="BK656" s="85">
        <f t="shared" si="152"/>
      </c>
      <c r="BL656" s="85">
        <f t="shared" si="153"/>
      </c>
      <c r="BM656" s="108"/>
      <c r="BN656" s="85">
        <f t="shared" si="154"/>
      </c>
      <c r="BO656" s="108"/>
      <c r="BP656" s="85">
        <f t="shared" si="155"/>
      </c>
      <c r="BQ656" s="85">
        <f t="shared" si="156"/>
      </c>
      <c r="BR656" s="108"/>
      <c r="BS656" s="104"/>
      <c r="BT656" s="87">
        <f t="shared" si="157"/>
      </c>
      <c r="BU656" s="85">
        <f t="shared" si="158"/>
      </c>
      <c r="BV656" s="85">
        <f t="shared" si="159"/>
      </c>
      <c r="BW656" s="87">
        <f t="shared" si="160"/>
      </c>
      <c r="BX656" s="104"/>
      <c r="BY656" s="106"/>
      <c r="BZ656" s="104"/>
      <c r="CA656" s="105"/>
      <c r="CB656" s="77">
        <f>IF($A656="",0,IF($B656='FICHA CLIENTE'!$C$4,1,0))</f>
      </c>
      <c r="CC656" s="77">
        <f t="shared" si="161"/>
      </c>
      <c r="CD656" s="77">
        <f>IF($A656="",0,IF($D656='FICHA VEHICULO'!$C$4,1,0))</f>
      </c>
      <c r="CE656" s="77">
        <f t="shared" si="162"/>
      </c>
      <c r="CF656" s="77">
        <f t="shared" si="163"/>
      </c>
      <c r="CG656" s="77">
        <f t="shared" si="164"/>
      </c>
    </row>
    <row r="657" spans="1:85" ht="19.5" customHeight="1" x14ac:dyDescent="0.2">
      <c r="A657" s="104"/>
      <c r="B657" s="104"/>
      <c r="C657" s="105"/>
      <c r="D657" s="104"/>
      <c r="E657" s="105"/>
      <c r="F657" s="106"/>
      <c r="G657" s="104"/>
      <c r="H657" s="106"/>
      <c r="I657" s="107"/>
      <c r="J657" s="108"/>
      <c r="K657" s="108"/>
      <c r="L657" s="108"/>
      <c r="M657" s="105"/>
      <c r="N657" s="105"/>
      <c r="O657" s="105"/>
      <c r="P657" s="108"/>
      <c r="Q657" s="105"/>
      <c r="R657" s="105"/>
      <c r="S657" s="105"/>
      <c r="T657" s="105"/>
      <c r="U657" s="108"/>
      <c r="V657" s="105"/>
      <c r="W657" s="105"/>
      <c r="X657" s="105"/>
      <c r="Y657" s="105"/>
      <c r="Z657" s="105"/>
      <c r="AA657" s="108"/>
      <c r="AB657" s="108"/>
      <c r="AC657" s="105"/>
      <c r="AD657" s="279"/>
      <c r="AE657" s="105"/>
      <c r="AF657" s="279"/>
      <c r="AG657" s="105"/>
      <c r="AH657" s="108"/>
      <c r="AI657" s="108"/>
      <c r="AJ657" s="108"/>
      <c r="AK657" s="108"/>
      <c r="AL657" s="105"/>
      <c r="AM657" s="108"/>
      <c r="AN657" s="105"/>
      <c r="AO657" s="108"/>
      <c r="AP657" s="108"/>
      <c r="AQ657" s="105"/>
      <c r="AR657" s="108"/>
      <c r="AS657" s="108"/>
      <c r="AT657" s="105"/>
      <c r="AU657" s="105"/>
      <c r="AV657" s="105"/>
      <c r="AW657" s="105"/>
      <c r="AX657" s="105"/>
      <c r="AY657" s="105"/>
      <c r="AZ657" s="105"/>
      <c r="BA657" s="105"/>
      <c r="BB657" s="105"/>
      <c r="BC657" s="105"/>
      <c r="BD657" s="108"/>
      <c r="BE657" s="83">
        <f>IF($A657="","",IF(TRIM($D657&amp;"")="",IF(TRIM($AX657&amp;$AY657&amp;$AZ657&amp;$BA657&amp;$BB657&amp;$BC657&amp;$BD657&amp;"")="","","SUBARRENDADO"),IFERROR(IF(VLOOKUP($D657,VEHICULOS!$A$3:$H$202,7,FALSE)="","",VLOOKUP($D657,VEHICULOS!$A$3:$H$202,7,FALSE)),"")))</f>
      </c>
      <c r="BF657" s="82">
        <f>IF($A657="","",IF(TRIM($BC657&amp;"")&lt;&gt;"",$BC657,IF(TRIM($D657&amp;"")="","",IFERROR(IF(VLOOKUP($D657,VEHICULOS!$A$3:$H$202,8,FALSE)="","",VLOOKUP($D657,VEHICULOS!$A$3:$H$202,8,FALSE)),""))))</f>
      </c>
      <c r="BG657" s="106"/>
      <c r="BH657" s="107"/>
      <c r="BI657" s="86">
        <f t="shared" si="150"/>
      </c>
      <c r="BJ657" s="83">
        <f t="shared" si="151"/>
      </c>
      <c r="BK657" s="85">
        <f t="shared" si="152"/>
      </c>
      <c r="BL657" s="85">
        <f t="shared" si="153"/>
      </c>
      <c r="BM657" s="108"/>
      <c r="BN657" s="85">
        <f t="shared" si="154"/>
      </c>
      <c r="BO657" s="108"/>
      <c r="BP657" s="85">
        <f t="shared" si="155"/>
      </c>
      <c r="BQ657" s="85">
        <f t="shared" si="156"/>
      </c>
      <c r="BR657" s="108"/>
      <c r="BS657" s="104"/>
      <c r="BT657" s="87">
        <f t="shared" si="157"/>
      </c>
      <c r="BU657" s="85">
        <f t="shared" si="158"/>
      </c>
      <c r="BV657" s="85">
        <f t="shared" si="159"/>
      </c>
      <c r="BW657" s="87">
        <f t="shared" si="160"/>
      </c>
      <c r="BX657" s="104"/>
      <c r="BY657" s="106"/>
      <c r="BZ657" s="104"/>
      <c r="CA657" s="105"/>
      <c r="CB657" s="77">
        <f>IF($A657="",0,IF($B657='FICHA CLIENTE'!$C$4,1,0))</f>
      </c>
      <c r="CC657" s="77">
        <f t="shared" si="161"/>
      </c>
      <c r="CD657" s="77">
        <f>IF($A657="",0,IF($D657='FICHA VEHICULO'!$C$4,1,0))</f>
      </c>
      <c r="CE657" s="77">
        <f t="shared" si="162"/>
      </c>
      <c r="CF657" s="77">
        <f t="shared" si="163"/>
      </c>
      <c r="CG657" s="77">
        <f t="shared" si="164"/>
      </c>
    </row>
    <row r="658" spans="1:85" ht="19.5" customHeight="1" x14ac:dyDescent="0.2">
      <c r="A658" s="104"/>
      <c r="B658" s="104"/>
      <c r="C658" s="105"/>
      <c r="D658" s="104"/>
      <c r="E658" s="105"/>
      <c r="F658" s="106"/>
      <c r="G658" s="104"/>
      <c r="H658" s="106"/>
      <c r="I658" s="107"/>
      <c r="J658" s="108"/>
      <c r="K658" s="108"/>
      <c r="L658" s="108"/>
      <c r="M658" s="105"/>
      <c r="N658" s="105"/>
      <c r="O658" s="105"/>
      <c r="P658" s="108"/>
      <c r="Q658" s="105"/>
      <c r="R658" s="105"/>
      <c r="S658" s="105"/>
      <c r="T658" s="105"/>
      <c r="U658" s="108"/>
      <c r="V658" s="105"/>
      <c r="W658" s="105"/>
      <c r="X658" s="105"/>
      <c r="Y658" s="105"/>
      <c r="Z658" s="105"/>
      <c r="AA658" s="108"/>
      <c r="AB658" s="108"/>
      <c r="AC658" s="105"/>
      <c r="AD658" s="279"/>
      <c r="AE658" s="105"/>
      <c r="AF658" s="279"/>
      <c r="AG658" s="105"/>
      <c r="AH658" s="108"/>
      <c r="AI658" s="108"/>
      <c r="AJ658" s="108"/>
      <c r="AK658" s="108"/>
      <c r="AL658" s="105"/>
      <c r="AM658" s="108"/>
      <c r="AN658" s="105"/>
      <c r="AO658" s="108"/>
      <c r="AP658" s="108"/>
      <c r="AQ658" s="105"/>
      <c r="AR658" s="108"/>
      <c r="AS658" s="108"/>
      <c r="AT658" s="105"/>
      <c r="AU658" s="105"/>
      <c r="AV658" s="105"/>
      <c r="AW658" s="105"/>
      <c r="AX658" s="105"/>
      <c r="AY658" s="105"/>
      <c r="AZ658" s="105"/>
      <c r="BA658" s="105"/>
      <c r="BB658" s="105"/>
      <c r="BC658" s="105"/>
      <c r="BD658" s="108"/>
      <c r="BE658" s="83">
        <f>IF($A658="","",IF(TRIM($D658&amp;"")="",IF(TRIM($AX658&amp;$AY658&amp;$AZ658&amp;$BA658&amp;$BB658&amp;$BC658&amp;$BD658&amp;"")="","","SUBARRENDADO"),IFERROR(IF(VLOOKUP($D658,VEHICULOS!$A$3:$H$202,7,FALSE)="","",VLOOKUP($D658,VEHICULOS!$A$3:$H$202,7,FALSE)),"")))</f>
      </c>
      <c r="BF658" s="82">
        <f>IF($A658="","",IF(TRIM($BC658&amp;"")&lt;&gt;"",$BC658,IF(TRIM($D658&amp;"")="","",IFERROR(IF(VLOOKUP($D658,VEHICULOS!$A$3:$H$202,8,FALSE)="","",VLOOKUP($D658,VEHICULOS!$A$3:$H$202,8,FALSE)),""))))</f>
      </c>
      <c r="BG658" s="106"/>
      <c r="BH658" s="107"/>
      <c r="BI658" s="86">
        <f t="shared" si="150"/>
      </c>
      <c r="BJ658" s="83">
        <f t="shared" si="151"/>
      </c>
      <c r="BK658" s="85">
        <f t="shared" si="152"/>
      </c>
      <c r="BL658" s="85">
        <f t="shared" si="153"/>
      </c>
      <c r="BM658" s="108"/>
      <c r="BN658" s="85">
        <f t="shared" si="154"/>
      </c>
      <c r="BO658" s="108"/>
      <c r="BP658" s="85">
        <f t="shared" si="155"/>
      </c>
      <c r="BQ658" s="85">
        <f t="shared" si="156"/>
      </c>
      <c r="BR658" s="108"/>
      <c r="BS658" s="104"/>
      <c r="BT658" s="87">
        <f t="shared" si="157"/>
      </c>
      <c r="BU658" s="85">
        <f t="shared" si="158"/>
      </c>
      <c r="BV658" s="85">
        <f t="shared" si="159"/>
      </c>
      <c r="BW658" s="87">
        <f t="shared" si="160"/>
      </c>
      <c r="BX658" s="104"/>
      <c r="BY658" s="106"/>
      <c r="BZ658" s="104"/>
      <c r="CA658" s="105"/>
      <c r="CB658" s="77">
        <f>IF($A658="",0,IF($B658='FICHA CLIENTE'!$C$4,1,0))</f>
      </c>
      <c r="CC658" s="77">
        <f t="shared" si="161"/>
      </c>
      <c r="CD658" s="77">
        <f>IF($A658="",0,IF($D658='FICHA VEHICULO'!$C$4,1,0))</f>
      </c>
      <c r="CE658" s="77">
        <f t="shared" si="162"/>
      </c>
      <c r="CF658" s="77">
        <f t="shared" si="163"/>
      </c>
      <c r="CG658" s="77">
        <f t="shared" si="164"/>
      </c>
    </row>
    <row r="659" spans="1:85" ht="19.5" customHeight="1" x14ac:dyDescent="0.2">
      <c r="A659" s="104"/>
      <c r="B659" s="104"/>
      <c r="C659" s="105"/>
      <c r="D659" s="104"/>
      <c r="E659" s="105"/>
      <c r="F659" s="106"/>
      <c r="G659" s="104"/>
      <c r="H659" s="106"/>
      <c r="I659" s="107"/>
      <c r="J659" s="108"/>
      <c r="K659" s="108"/>
      <c r="L659" s="108"/>
      <c r="M659" s="105"/>
      <c r="N659" s="105"/>
      <c r="O659" s="105"/>
      <c r="P659" s="108"/>
      <c r="Q659" s="105"/>
      <c r="R659" s="105"/>
      <c r="S659" s="105"/>
      <c r="T659" s="105"/>
      <c r="U659" s="108"/>
      <c r="V659" s="105"/>
      <c r="W659" s="105"/>
      <c r="X659" s="105"/>
      <c r="Y659" s="105"/>
      <c r="Z659" s="105"/>
      <c r="AA659" s="108"/>
      <c r="AB659" s="108"/>
      <c r="AC659" s="105"/>
      <c r="AD659" s="279"/>
      <c r="AE659" s="105"/>
      <c r="AF659" s="279"/>
      <c r="AG659" s="105"/>
      <c r="AH659" s="108"/>
      <c r="AI659" s="108"/>
      <c r="AJ659" s="108"/>
      <c r="AK659" s="108"/>
      <c r="AL659" s="105"/>
      <c r="AM659" s="108"/>
      <c r="AN659" s="105"/>
      <c r="AO659" s="108"/>
      <c r="AP659" s="108"/>
      <c r="AQ659" s="105"/>
      <c r="AR659" s="108"/>
      <c r="AS659" s="108"/>
      <c r="AT659" s="105"/>
      <c r="AU659" s="105"/>
      <c r="AV659" s="105"/>
      <c r="AW659" s="105"/>
      <c r="AX659" s="105"/>
      <c r="AY659" s="105"/>
      <c r="AZ659" s="105"/>
      <c r="BA659" s="105"/>
      <c r="BB659" s="105"/>
      <c r="BC659" s="105"/>
      <c r="BD659" s="108"/>
      <c r="BE659" s="83">
        <f>IF($A659="","",IF(TRIM($D659&amp;"")="",IF(TRIM($AX659&amp;$AY659&amp;$AZ659&amp;$BA659&amp;$BB659&amp;$BC659&amp;$BD659&amp;"")="","","SUBARRENDADO"),IFERROR(IF(VLOOKUP($D659,VEHICULOS!$A$3:$H$202,7,FALSE)="","",VLOOKUP($D659,VEHICULOS!$A$3:$H$202,7,FALSE)),"")))</f>
      </c>
      <c r="BF659" s="82">
        <f>IF($A659="","",IF(TRIM($BC659&amp;"")&lt;&gt;"",$BC659,IF(TRIM($D659&amp;"")="","",IFERROR(IF(VLOOKUP($D659,VEHICULOS!$A$3:$H$202,8,FALSE)="","",VLOOKUP($D659,VEHICULOS!$A$3:$H$202,8,FALSE)),""))))</f>
      </c>
      <c r="BG659" s="106"/>
      <c r="BH659" s="107"/>
      <c r="BI659" s="86">
        <f t="shared" si="150"/>
      </c>
      <c r="BJ659" s="83">
        <f t="shared" si="151"/>
      </c>
      <c r="BK659" s="85">
        <f t="shared" si="152"/>
      </c>
      <c r="BL659" s="85">
        <f t="shared" si="153"/>
      </c>
      <c r="BM659" s="108"/>
      <c r="BN659" s="85">
        <f t="shared" si="154"/>
      </c>
      <c r="BO659" s="108"/>
      <c r="BP659" s="85">
        <f t="shared" si="155"/>
      </c>
      <c r="BQ659" s="85">
        <f t="shared" si="156"/>
      </c>
      <c r="BR659" s="108"/>
      <c r="BS659" s="104"/>
      <c r="BT659" s="87">
        <f t="shared" si="157"/>
      </c>
      <c r="BU659" s="85">
        <f t="shared" si="158"/>
      </c>
      <c r="BV659" s="85">
        <f t="shared" si="159"/>
      </c>
      <c r="BW659" s="87">
        <f t="shared" si="160"/>
      </c>
      <c r="BX659" s="104"/>
      <c r="BY659" s="106"/>
      <c r="BZ659" s="104"/>
      <c r="CA659" s="105"/>
      <c r="CB659" s="77">
        <f>IF($A659="",0,IF($B659='FICHA CLIENTE'!$C$4,1,0))</f>
      </c>
      <c r="CC659" s="77">
        <f t="shared" si="161"/>
      </c>
      <c r="CD659" s="77">
        <f>IF($A659="",0,IF($D659='FICHA VEHICULO'!$C$4,1,0))</f>
      </c>
      <c r="CE659" s="77">
        <f t="shared" si="162"/>
      </c>
      <c r="CF659" s="77">
        <f t="shared" si="163"/>
      </c>
      <c r="CG659" s="77">
        <f t="shared" si="164"/>
      </c>
    </row>
    <row r="660" spans="1:85" ht="19.5" customHeight="1" x14ac:dyDescent="0.2">
      <c r="A660" s="104"/>
      <c r="B660" s="104"/>
      <c r="C660" s="105"/>
      <c r="D660" s="104"/>
      <c r="E660" s="105"/>
      <c r="F660" s="106"/>
      <c r="G660" s="104"/>
      <c r="H660" s="106"/>
      <c r="I660" s="107"/>
      <c r="J660" s="108"/>
      <c r="K660" s="108"/>
      <c r="L660" s="108"/>
      <c r="M660" s="105"/>
      <c r="N660" s="105"/>
      <c r="O660" s="105"/>
      <c r="P660" s="108"/>
      <c r="Q660" s="105"/>
      <c r="R660" s="105"/>
      <c r="S660" s="105"/>
      <c r="T660" s="105"/>
      <c r="U660" s="108"/>
      <c r="V660" s="105"/>
      <c r="W660" s="105"/>
      <c r="X660" s="105"/>
      <c r="Y660" s="105"/>
      <c r="Z660" s="105"/>
      <c r="AA660" s="108"/>
      <c r="AB660" s="108"/>
      <c r="AC660" s="105"/>
      <c r="AD660" s="279"/>
      <c r="AE660" s="105"/>
      <c r="AF660" s="279"/>
      <c r="AG660" s="105"/>
      <c r="AH660" s="108"/>
      <c r="AI660" s="108"/>
      <c r="AJ660" s="108"/>
      <c r="AK660" s="108"/>
      <c r="AL660" s="105"/>
      <c r="AM660" s="108"/>
      <c r="AN660" s="105"/>
      <c r="AO660" s="108"/>
      <c r="AP660" s="108"/>
      <c r="AQ660" s="105"/>
      <c r="AR660" s="108"/>
      <c r="AS660" s="108"/>
      <c r="AT660" s="105"/>
      <c r="AU660" s="105"/>
      <c r="AV660" s="105"/>
      <c r="AW660" s="105"/>
      <c r="AX660" s="105"/>
      <c r="AY660" s="105"/>
      <c r="AZ660" s="105"/>
      <c r="BA660" s="105"/>
      <c r="BB660" s="105"/>
      <c r="BC660" s="105"/>
      <c r="BD660" s="108"/>
      <c r="BE660" s="83">
        <f>IF($A660="","",IF(TRIM($D660&amp;"")="",IF(TRIM($AX660&amp;$AY660&amp;$AZ660&amp;$BA660&amp;$BB660&amp;$BC660&amp;$BD660&amp;"")="","","SUBARRENDADO"),IFERROR(IF(VLOOKUP($D660,VEHICULOS!$A$3:$H$202,7,FALSE)="","",VLOOKUP($D660,VEHICULOS!$A$3:$H$202,7,FALSE)),"")))</f>
      </c>
      <c r="BF660" s="82">
        <f>IF($A660="","",IF(TRIM($BC660&amp;"")&lt;&gt;"",$BC660,IF(TRIM($D660&amp;"")="","",IFERROR(IF(VLOOKUP($D660,VEHICULOS!$A$3:$H$202,8,FALSE)="","",VLOOKUP($D660,VEHICULOS!$A$3:$H$202,8,FALSE)),""))))</f>
      </c>
      <c r="BG660" s="106"/>
      <c r="BH660" s="107"/>
      <c r="BI660" s="86">
        <f t="shared" si="150"/>
      </c>
      <c r="BJ660" s="83">
        <f t="shared" si="151"/>
      </c>
      <c r="BK660" s="85">
        <f t="shared" si="152"/>
      </c>
      <c r="BL660" s="85">
        <f t="shared" si="153"/>
      </c>
      <c r="BM660" s="108"/>
      <c r="BN660" s="85">
        <f t="shared" si="154"/>
      </c>
      <c r="BO660" s="108"/>
      <c r="BP660" s="85">
        <f t="shared" si="155"/>
      </c>
      <c r="BQ660" s="85">
        <f t="shared" si="156"/>
      </c>
      <c r="BR660" s="108"/>
      <c r="BS660" s="104"/>
      <c r="BT660" s="87">
        <f t="shared" si="157"/>
      </c>
      <c r="BU660" s="85">
        <f t="shared" si="158"/>
      </c>
      <c r="BV660" s="85">
        <f t="shared" si="159"/>
      </c>
      <c r="BW660" s="87">
        <f t="shared" si="160"/>
      </c>
      <c r="BX660" s="104"/>
      <c r="BY660" s="106"/>
      <c r="BZ660" s="104"/>
      <c r="CA660" s="105"/>
      <c r="CB660" s="77">
        <f>IF($A660="",0,IF($B660='FICHA CLIENTE'!$C$4,1,0))</f>
      </c>
      <c r="CC660" s="77">
        <f t="shared" si="161"/>
      </c>
      <c r="CD660" s="77">
        <f>IF($A660="",0,IF($D660='FICHA VEHICULO'!$C$4,1,0))</f>
      </c>
      <c r="CE660" s="77">
        <f t="shared" si="162"/>
      </c>
      <c r="CF660" s="77">
        <f t="shared" si="163"/>
      </c>
      <c r="CG660" s="77">
        <f t="shared" si="164"/>
      </c>
    </row>
    <row r="661" spans="1:85" ht="19.5" customHeight="1" x14ac:dyDescent="0.2">
      <c r="A661" s="104"/>
      <c r="B661" s="104"/>
      <c r="C661" s="105"/>
      <c r="D661" s="104"/>
      <c r="E661" s="105"/>
      <c r="F661" s="106"/>
      <c r="G661" s="104"/>
      <c r="H661" s="106"/>
      <c r="I661" s="107"/>
      <c r="J661" s="108"/>
      <c r="K661" s="108"/>
      <c r="L661" s="108"/>
      <c r="M661" s="105"/>
      <c r="N661" s="105"/>
      <c r="O661" s="105"/>
      <c r="P661" s="108"/>
      <c r="Q661" s="105"/>
      <c r="R661" s="105"/>
      <c r="S661" s="105"/>
      <c r="T661" s="105"/>
      <c r="U661" s="108"/>
      <c r="V661" s="105"/>
      <c r="W661" s="105"/>
      <c r="X661" s="105"/>
      <c r="Y661" s="105"/>
      <c r="Z661" s="105"/>
      <c r="AA661" s="108"/>
      <c r="AB661" s="108"/>
      <c r="AC661" s="105"/>
      <c r="AD661" s="279"/>
      <c r="AE661" s="105"/>
      <c r="AF661" s="279"/>
      <c r="AG661" s="105"/>
      <c r="AH661" s="108"/>
      <c r="AI661" s="108"/>
      <c r="AJ661" s="108"/>
      <c r="AK661" s="108"/>
      <c r="AL661" s="105"/>
      <c r="AM661" s="108"/>
      <c r="AN661" s="105"/>
      <c r="AO661" s="108"/>
      <c r="AP661" s="108"/>
      <c r="AQ661" s="105"/>
      <c r="AR661" s="108"/>
      <c r="AS661" s="108"/>
      <c r="AT661" s="105"/>
      <c r="AU661" s="105"/>
      <c r="AV661" s="105"/>
      <c r="AW661" s="105"/>
      <c r="AX661" s="105"/>
      <c r="AY661" s="105"/>
      <c r="AZ661" s="105"/>
      <c r="BA661" s="105"/>
      <c r="BB661" s="105"/>
      <c r="BC661" s="105"/>
      <c r="BD661" s="108"/>
      <c r="BE661" s="83">
        <f>IF($A661="","",IF(TRIM($D661&amp;"")="",IF(TRIM($AX661&amp;$AY661&amp;$AZ661&amp;$BA661&amp;$BB661&amp;$BC661&amp;$BD661&amp;"")="","","SUBARRENDADO"),IFERROR(IF(VLOOKUP($D661,VEHICULOS!$A$3:$H$202,7,FALSE)="","",VLOOKUP($D661,VEHICULOS!$A$3:$H$202,7,FALSE)),"")))</f>
      </c>
      <c r="BF661" s="82">
        <f>IF($A661="","",IF(TRIM($BC661&amp;"")&lt;&gt;"",$BC661,IF(TRIM($D661&amp;"")="","",IFERROR(IF(VLOOKUP($D661,VEHICULOS!$A$3:$H$202,8,FALSE)="","",VLOOKUP($D661,VEHICULOS!$A$3:$H$202,8,FALSE)),""))))</f>
      </c>
      <c r="BG661" s="106"/>
      <c r="BH661" s="107"/>
      <c r="BI661" s="86">
        <f t="shared" si="150"/>
      </c>
      <c r="BJ661" s="83">
        <f t="shared" si="151"/>
      </c>
      <c r="BK661" s="85">
        <f t="shared" si="152"/>
      </c>
      <c r="BL661" s="85">
        <f t="shared" si="153"/>
      </c>
      <c r="BM661" s="108"/>
      <c r="BN661" s="85">
        <f t="shared" si="154"/>
      </c>
      <c r="BO661" s="108"/>
      <c r="BP661" s="85">
        <f t="shared" si="155"/>
      </c>
      <c r="BQ661" s="85">
        <f t="shared" si="156"/>
      </c>
      <c r="BR661" s="108"/>
      <c r="BS661" s="104"/>
      <c r="BT661" s="87">
        <f t="shared" si="157"/>
      </c>
      <c r="BU661" s="85">
        <f t="shared" si="158"/>
      </c>
      <c r="BV661" s="85">
        <f t="shared" si="159"/>
      </c>
      <c r="BW661" s="87">
        <f t="shared" si="160"/>
      </c>
      <c r="BX661" s="104"/>
      <c r="BY661" s="106"/>
      <c r="BZ661" s="104"/>
      <c r="CA661" s="105"/>
      <c r="CB661" s="77">
        <f>IF($A661="",0,IF($B661='FICHA CLIENTE'!$C$4,1,0))</f>
      </c>
      <c r="CC661" s="77">
        <f t="shared" si="161"/>
      </c>
      <c r="CD661" s="77">
        <f>IF($A661="",0,IF($D661='FICHA VEHICULO'!$C$4,1,0))</f>
      </c>
      <c r="CE661" s="77">
        <f t="shared" si="162"/>
      </c>
      <c r="CF661" s="77">
        <f t="shared" si="163"/>
      </c>
      <c r="CG661" s="77">
        <f t="shared" si="164"/>
      </c>
    </row>
    <row r="662" spans="1:85" ht="19.5" customHeight="1" x14ac:dyDescent="0.2">
      <c r="A662" s="104"/>
      <c r="B662" s="104"/>
      <c r="C662" s="105"/>
      <c r="D662" s="104"/>
      <c r="E662" s="105"/>
      <c r="F662" s="106"/>
      <c r="G662" s="104"/>
      <c r="H662" s="106"/>
      <c r="I662" s="107"/>
      <c r="J662" s="108"/>
      <c r="K662" s="108"/>
      <c r="L662" s="108"/>
      <c r="M662" s="105"/>
      <c r="N662" s="105"/>
      <c r="O662" s="105"/>
      <c r="P662" s="108"/>
      <c r="Q662" s="105"/>
      <c r="R662" s="105"/>
      <c r="S662" s="105"/>
      <c r="T662" s="105"/>
      <c r="U662" s="108"/>
      <c r="V662" s="105"/>
      <c r="W662" s="105"/>
      <c r="X662" s="105"/>
      <c r="Y662" s="105"/>
      <c r="Z662" s="105"/>
      <c r="AA662" s="108"/>
      <c r="AB662" s="108"/>
      <c r="AC662" s="105"/>
      <c r="AD662" s="279"/>
      <c r="AE662" s="105"/>
      <c r="AF662" s="279"/>
      <c r="AG662" s="105"/>
      <c r="AH662" s="108"/>
      <c r="AI662" s="108"/>
      <c r="AJ662" s="108"/>
      <c r="AK662" s="108"/>
      <c r="AL662" s="105"/>
      <c r="AM662" s="108"/>
      <c r="AN662" s="105"/>
      <c r="AO662" s="108"/>
      <c r="AP662" s="108"/>
      <c r="AQ662" s="105"/>
      <c r="AR662" s="108"/>
      <c r="AS662" s="108"/>
      <c r="AT662" s="105"/>
      <c r="AU662" s="105"/>
      <c r="AV662" s="105"/>
      <c r="AW662" s="105"/>
      <c r="AX662" s="105"/>
      <c r="AY662" s="105"/>
      <c r="AZ662" s="105"/>
      <c r="BA662" s="105"/>
      <c r="BB662" s="105"/>
      <c r="BC662" s="105"/>
      <c r="BD662" s="108"/>
      <c r="BE662" s="83">
        <f>IF($A662="","",IF(TRIM($D662&amp;"")="",IF(TRIM($AX662&amp;$AY662&amp;$AZ662&amp;$BA662&amp;$BB662&amp;$BC662&amp;$BD662&amp;"")="","","SUBARRENDADO"),IFERROR(IF(VLOOKUP($D662,VEHICULOS!$A$3:$H$202,7,FALSE)="","",VLOOKUP($D662,VEHICULOS!$A$3:$H$202,7,FALSE)),"")))</f>
      </c>
      <c r="BF662" s="82">
        <f>IF($A662="","",IF(TRIM($BC662&amp;"")&lt;&gt;"",$BC662,IF(TRIM($D662&amp;"")="","",IFERROR(IF(VLOOKUP($D662,VEHICULOS!$A$3:$H$202,8,FALSE)="","",VLOOKUP($D662,VEHICULOS!$A$3:$H$202,8,FALSE)),""))))</f>
      </c>
      <c r="BG662" s="106"/>
      <c r="BH662" s="107"/>
      <c r="BI662" s="86">
        <f t="shared" si="150"/>
      </c>
      <c r="BJ662" s="83">
        <f t="shared" si="151"/>
      </c>
      <c r="BK662" s="85">
        <f t="shared" si="152"/>
      </c>
      <c r="BL662" s="85">
        <f t="shared" si="153"/>
      </c>
      <c r="BM662" s="108"/>
      <c r="BN662" s="85">
        <f t="shared" si="154"/>
      </c>
      <c r="BO662" s="108"/>
      <c r="BP662" s="85">
        <f t="shared" si="155"/>
      </c>
      <c r="BQ662" s="85">
        <f t="shared" si="156"/>
      </c>
      <c r="BR662" s="108"/>
      <c r="BS662" s="104"/>
      <c r="BT662" s="87">
        <f t="shared" si="157"/>
      </c>
      <c r="BU662" s="85">
        <f t="shared" si="158"/>
      </c>
      <c r="BV662" s="85">
        <f t="shared" si="159"/>
      </c>
      <c r="BW662" s="87">
        <f t="shared" si="160"/>
      </c>
      <c r="BX662" s="104"/>
      <c r="BY662" s="106"/>
      <c r="BZ662" s="104"/>
      <c r="CA662" s="105"/>
      <c r="CB662" s="77">
        <f>IF($A662="",0,IF($B662='FICHA CLIENTE'!$C$4,1,0))</f>
      </c>
      <c r="CC662" s="77">
        <f t="shared" si="161"/>
      </c>
      <c r="CD662" s="77">
        <f>IF($A662="",0,IF($D662='FICHA VEHICULO'!$C$4,1,0))</f>
      </c>
      <c r="CE662" s="77">
        <f t="shared" si="162"/>
      </c>
      <c r="CF662" s="77">
        <f t="shared" si="163"/>
      </c>
      <c r="CG662" s="77">
        <f t="shared" si="164"/>
      </c>
    </row>
    <row r="663" spans="1:85" ht="19.5" customHeight="1" x14ac:dyDescent="0.2">
      <c r="A663" s="104"/>
      <c r="B663" s="104"/>
      <c r="C663" s="105"/>
      <c r="D663" s="104"/>
      <c r="E663" s="105"/>
      <c r="F663" s="106"/>
      <c r="G663" s="104"/>
      <c r="H663" s="106"/>
      <c r="I663" s="107"/>
      <c r="J663" s="108"/>
      <c r="K663" s="108"/>
      <c r="L663" s="108"/>
      <c r="M663" s="105"/>
      <c r="N663" s="105"/>
      <c r="O663" s="105"/>
      <c r="P663" s="108"/>
      <c r="Q663" s="105"/>
      <c r="R663" s="105"/>
      <c r="S663" s="105"/>
      <c r="T663" s="105"/>
      <c r="U663" s="108"/>
      <c r="V663" s="105"/>
      <c r="W663" s="105"/>
      <c r="X663" s="105"/>
      <c r="Y663" s="105"/>
      <c r="Z663" s="105"/>
      <c r="AA663" s="108"/>
      <c r="AB663" s="108"/>
      <c r="AC663" s="105"/>
      <c r="AD663" s="279"/>
      <c r="AE663" s="105"/>
      <c r="AF663" s="279"/>
      <c r="AG663" s="105"/>
      <c r="AH663" s="108"/>
      <c r="AI663" s="108"/>
      <c r="AJ663" s="108"/>
      <c r="AK663" s="108"/>
      <c r="AL663" s="105"/>
      <c r="AM663" s="108"/>
      <c r="AN663" s="105"/>
      <c r="AO663" s="108"/>
      <c r="AP663" s="108"/>
      <c r="AQ663" s="105"/>
      <c r="AR663" s="108"/>
      <c r="AS663" s="108"/>
      <c r="AT663" s="105"/>
      <c r="AU663" s="105"/>
      <c r="AV663" s="105"/>
      <c r="AW663" s="105"/>
      <c r="AX663" s="105"/>
      <c r="AY663" s="105"/>
      <c r="AZ663" s="105"/>
      <c r="BA663" s="105"/>
      <c r="BB663" s="105"/>
      <c r="BC663" s="105"/>
      <c r="BD663" s="108"/>
      <c r="BE663" s="83">
        <f>IF($A663="","",IF(TRIM($D663&amp;"")="",IF(TRIM($AX663&amp;$AY663&amp;$AZ663&amp;$BA663&amp;$BB663&amp;$BC663&amp;$BD663&amp;"")="","","SUBARRENDADO"),IFERROR(IF(VLOOKUP($D663,VEHICULOS!$A$3:$H$202,7,FALSE)="","",VLOOKUP($D663,VEHICULOS!$A$3:$H$202,7,FALSE)),"")))</f>
      </c>
      <c r="BF663" s="82">
        <f>IF($A663="","",IF(TRIM($BC663&amp;"")&lt;&gt;"",$BC663,IF(TRIM($D663&amp;"")="","",IFERROR(IF(VLOOKUP($D663,VEHICULOS!$A$3:$H$202,8,FALSE)="","",VLOOKUP($D663,VEHICULOS!$A$3:$H$202,8,FALSE)),""))))</f>
      </c>
      <c r="BG663" s="106"/>
      <c r="BH663" s="107"/>
      <c r="BI663" s="86">
        <f t="shared" si="150"/>
      </c>
      <c r="BJ663" s="83">
        <f t="shared" si="151"/>
      </c>
      <c r="BK663" s="85">
        <f t="shared" si="152"/>
      </c>
      <c r="BL663" s="85">
        <f t="shared" si="153"/>
      </c>
      <c r="BM663" s="108"/>
      <c r="BN663" s="85">
        <f t="shared" si="154"/>
      </c>
      <c r="BO663" s="108"/>
      <c r="BP663" s="85">
        <f t="shared" si="155"/>
      </c>
      <c r="BQ663" s="85">
        <f t="shared" si="156"/>
      </c>
      <c r="BR663" s="108"/>
      <c r="BS663" s="104"/>
      <c r="BT663" s="87">
        <f t="shared" si="157"/>
      </c>
      <c r="BU663" s="85">
        <f t="shared" si="158"/>
      </c>
      <c r="BV663" s="85">
        <f t="shared" si="159"/>
      </c>
      <c r="BW663" s="87">
        <f t="shared" si="160"/>
      </c>
      <c r="BX663" s="104"/>
      <c r="BY663" s="106"/>
      <c r="BZ663" s="104"/>
      <c r="CA663" s="105"/>
      <c r="CB663" s="77">
        <f>IF($A663="",0,IF($B663='FICHA CLIENTE'!$C$4,1,0))</f>
      </c>
      <c r="CC663" s="77">
        <f t="shared" si="161"/>
      </c>
      <c r="CD663" s="77">
        <f>IF($A663="",0,IF($D663='FICHA VEHICULO'!$C$4,1,0))</f>
      </c>
      <c r="CE663" s="77">
        <f t="shared" si="162"/>
      </c>
      <c r="CF663" s="77">
        <f t="shared" si="163"/>
      </c>
      <c r="CG663" s="77">
        <f t="shared" si="164"/>
      </c>
    </row>
    <row r="664" spans="1:85" ht="19.5" customHeight="1" x14ac:dyDescent="0.2">
      <c r="A664" s="104"/>
      <c r="B664" s="104"/>
      <c r="C664" s="105"/>
      <c r="D664" s="104"/>
      <c r="E664" s="105"/>
      <c r="F664" s="106"/>
      <c r="G664" s="104"/>
      <c r="H664" s="106"/>
      <c r="I664" s="107"/>
      <c r="J664" s="108"/>
      <c r="K664" s="108"/>
      <c r="L664" s="108"/>
      <c r="M664" s="105"/>
      <c r="N664" s="105"/>
      <c r="O664" s="105"/>
      <c r="P664" s="108"/>
      <c r="Q664" s="105"/>
      <c r="R664" s="105"/>
      <c r="S664" s="105"/>
      <c r="T664" s="105"/>
      <c r="U664" s="108"/>
      <c r="V664" s="105"/>
      <c r="W664" s="105"/>
      <c r="X664" s="105"/>
      <c r="Y664" s="105"/>
      <c r="Z664" s="105"/>
      <c r="AA664" s="108"/>
      <c r="AB664" s="108"/>
      <c r="AC664" s="105"/>
      <c r="AD664" s="279"/>
      <c r="AE664" s="105"/>
      <c r="AF664" s="279"/>
      <c r="AG664" s="105"/>
      <c r="AH664" s="108"/>
      <c r="AI664" s="108"/>
      <c r="AJ664" s="108"/>
      <c r="AK664" s="108"/>
      <c r="AL664" s="105"/>
      <c r="AM664" s="108"/>
      <c r="AN664" s="105"/>
      <c r="AO664" s="108"/>
      <c r="AP664" s="108"/>
      <c r="AQ664" s="105"/>
      <c r="AR664" s="108"/>
      <c r="AS664" s="108"/>
      <c r="AT664" s="105"/>
      <c r="AU664" s="105"/>
      <c r="AV664" s="105"/>
      <c r="AW664" s="105"/>
      <c r="AX664" s="105"/>
      <c r="AY664" s="105"/>
      <c r="AZ664" s="105"/>
      <c r="BA664" s="105"/>
      <c r="BB664" s="105"/>
      <c r="BC664" s="105"/>
      <c r="BD664" s="108"/>
      <c r="BE664" s="83">
        <f>IF($A664="","",IF(TRIM($D664&amp;"")="",IF(TRIM($AX664&amp;$AY664&amp;$AZ664&amp;$BA664&amp;$BB664&amp;$BC664&amp;$BD664&amp;"")="","","SUBARRENDADO"),IFERROR(IF(VLOOKUP($D664,VEHICULOS!$A$3:$H$202,7,FALSE)="","",VLOOKUP($D664,VEHICULOS!$A$3:$H$202,7,FALSE)),"")))</f>
      </c>
      <c r="BF664" s="82">
        <f>IF($A664="","",IF(TRIM($BC664&amp;"")&lt;&gt;"",$BC664,IF(TRIM($D664&amp;"")="","",IFERROR(IF(VLOOKUP($D664,VEHICULOS!$A$3:$H$202,8,FALSE)="","",VLOOKUP($D664,VEHICULOS!$A$3:$H$202,8,FALSE)),""))))</f>
      </c>
      <c r="BG664" s="106"/>
      <c r="BH664" s="107"/>
      <c r="BI664" s="86">
        <f t="shared" si="150"/>
      </c>
      <c r="BJ664" s="83">
        <f t="shared" si="151"/>
      </c>
      <c r="BK664" s="85">
        <f t="shared" si="152"/>
      </c>
      <c r="BL664" s="85">
        <f t="shared" si="153"/>
      </c>
      <c r="BM664" s="108"/>
      <c r="BN664" s="85">
        <f t="shared" si="154"/>
      </c>
      <c r="BO664" s="108"/>
      <c r="BP664" s="85">
        <f t="shared" si="155"/>
      </c>
      <c r="BQ664" s="85">
        <f t="shared" si="156"/>
      </c>
      <c r="BR664" s="108"/>
      <c r="BS664" s="104"/>
      <c r="BT664" s="87">
        <f t="shared" si="157"/>
      </c>
      <c r="BU664" s="85">
        <f t="shared" si="158"/>
      </c>
      <c r="BV664" s="85">
        <f t="shared" si="159"/>
      </c>
      <c r="BW664" s="87">
        <f t="shared" si="160"/>
      </c>
      <c r="BX664" s="104"/>
      <c r="BY664" s="106"/>
      <c r="BZ664" s="104"/>
      <c r="CA664" s="105"/>
      <c r="CB664" s="77">
        <f>IF($A664="",0,IF($B664='FICHA CLIENTE'!$C$4,1,0))</f>
      </c>
      <c r="CC664" s="77">
        <f t="shared" si="161"/>
      </c>
      <c r="CD664" s="77">
        <f>IF($A664="",0,IF($D664='FICHA VEHICULO'!$C$4,1,0))</f>
      </c>
      <c r="CE664" s="77">
        <f t="shared" si="162"/>
      </c>
      <c r="CF664" s="77">
        <f t="shared" si="163"/>
      </c>
      <c r="CG664" s="77">
        <f t="shared" si="164"/>
      </c>
    </row>
    <row r="665" spans="1:85" ht="19.5" customHeight="1" x14ac:dyDescent="0.2">
      <c r="A665" s="104"/>
      <c r="B665" s="104"/>
      <c r="C665" s="105"/>
      <c r="D665" s="104"/>
      <c r="E665" s="105"/>
      <c r="F665" s="106"/>
      <c r="G665" s="104"/>
      <c r="H665" s="106"/>
      <c r="I665" s="107"/>
      <c r="J665" s="108"/>
      <c r="K665" s="108"/>
      <c r="L665" s="108"/>
      <c r="M665" s="105"/>
      <c r="N665" s="105"/>
      <c r="O665" s="105"/>
      <c r="P665" s="108"/>
      <c r="Q665" s="105"/>
      <c r="R665" s="105"/>
      <c r="S665" s="105"/>
      <c r="T665" s="105"/>
      <c r="U665" s="108"/>
      <c r="V665" s="105"/>
      <c r="W665" s="105"/>
      <c r="X665" s="105"/>
      <c r="Y665" s="105"/>
      <c r="Z665" s="105"/>
      <c r="AA665" s="108"/>
      <c r="AB665" s="108"/>
      <c r="AC665" s="105"/>
      <c r="AD665" s="279"/>
      <c r="AE665" s="105"/>
      <c r="AF665" s="279"/>
      <c r="AG665" s="105"/>
      <c r="AH665" s="108"/>
      <c r="AI665" s="108"/>
      <c r="AJ665" s="108"/>
      <c r="AK665" s="108"/>
      <c r="AL665" s="105"/>
      <c r="AM665" s="108"/>
      <c r="AN665" s="105"/>
      <c r="AO665" s="108"/>
      <c r="AP665" s="108"/>
      <c r="AQ665" s="105"/>
      <c r="AR665" s="108"/>
      <c r="AS665" s="108"/>
      <c r="AT665" s="105"/>
      <c r="AU665" s="105"/>
      <c r="AV665" s="105"/>
      <c r="AW665" s="105"/>
      <c r="AX665" s="105"/>
      <c r="AY665" s="105"/>
      <c r="AZ665" s="105"/>
      <c r="BA665" s="105"/>
      <c r="BB665" s="105"/>
      <c r="BC665" s="105"/>
      <c r="BD665" s="108"/>
      <c r="BE665" s="83">
        <f>IF($A665="","",IF(TRIM($D665&amp;"")="",IF(TRIM($AX665&amp;$AY665&amp;$AZ665&amp;$BA665&amp;$BB665&amp;$BC665&amp;$BD665&amp;"")="","","SUBARRENDADO"),IFERROR(IF(VLOOKUP($D665,VEHICULOS!$A$3:$H$202,7,FALSE)="","",VLOOKUP($D665,VEHICULOS!$A$3:$H$202,7,FALSE)),"")))</f>
      </c>
      <c r="BF665" s="82">
        <f>IF($A665="","",IF(TRIM($BC665&amp;"")&lt;&gt;"",$BC665,IF(TRIM($D665&amp;"")="","",IFERROR(IF(VLOOKUP($D665,VEHICULOS!$A$3:$H$202,8,FALSE)="","",VLOOKUP($D665,VEHICULOS!$A$3:$H$202,8,FALSE)),""))))</f>
      </c>
      <c r="BG665" s="106"/>
      <c r="BH665" s="107"/>
      <c r="BI665" s="86">
        <f t="shared" si="150"/>
      </c>
      <c r="BJ665" s="83">
        <f t="shared" si="151"/>
      </c>
      <c r="BK665" s="85">
        <f t="shared" si="152"/>
      </c>
      <c r="BL665" s="85">
        <f t="shared" si="153"/>
      </c>
      <c r="BM665" s="108"/>
      <c r="BN665" s="85">
        <f t="shared" si="154"/>
      </c>
      <c r="BO665" s="108"/>
      <c r="BP665" s="85">
        <f t="shared" si="155"/>
      </c>
      <c r="BQ665" s="85">
        <f t="shared" si="156"/>
      </c>
      <c r="BR665" s="108"/>
      <c r="BS665" s="104"/>
      <c r="BT665" s="87">
        <f t="shared" si="157"/>
      </c>
      <c r="BU665" s="85">
        <f t="shared" si="158"/>
      </c>
      <c r="BV665" s="85">
        <f t="shared" si="159"/>
      </c>
      <c r="BW665" s="87">
        <f t="shared" si="160"/>
      </c>
      <c r="BX665" s="104"/>
      <c r="BY665" s="106"/>
      <c r="BZ665" s="104"/>
      <c r="CA665" s="105"/>
      <c r="CB665" s="77">
        <f>IF($A665="",0,IF($B665='FICHA CLIENTE'!$C$4,1,0))</f>
      </c>
      <c r="CC665" s="77">
        <f t="shared" si="161"/>
      </c>
      <c r="CD665" s="77">
        <f>IF($A665="",0,IF($D665='FICHA VEHICULO'!$C$4,1,0))</f>
      </c>
      <c r="CE665" s="77">
        <f t="shared" si="162"/>
      </c>
      <c r="CF665" s="77">
        <f t="shared" si="163"/>
      </c>
      <c r="CG665" s="77">
        <f t="shared" si="164"/>
      </c>
    </row>
    <row r="666" spans="1:85" ht="19.5" customHeight="1" x14ac:dyDescent="0.2">
      <c r="A666" s="104"/>
      <c r="B666" s="104"/>
      <c r="C666" s="105"/>
      <c r="D666" s="104"/>
      <c r="E666" s="105"/>
      <c r="F666" s="106"/>
      <c r="G666" s="104"/>
      <c r="H666" s="106"/>
      <c r="I666" s="107"/>
      <c r="J666" s="108"/>
      <c r="K666" s="108"/>
      <c r="L666" s="108"/>
      <c r="M666" s="105"/>
      <c r="N666" s="105"/>
      <c r="O666" s="105"/>
      <c r="P666" s="108"/>
      <c r="Q666" s="105"/>
      <c r="R666" s="105"/>
      <c r="S666" s="105"/>
      <c r="T666" s="105"/>
      <c r="U666" s="108"/>
      <c r="V666" s="105"/>
      <c r="W666" s="105"/>
      <c r="X666" s="105"/>
      <c r="Y666" s="105"/>
      <c r="Z666" s="105"/>
      <c r="AA666" s="108"/>
      <c r="AB666" s="108"/>
      <c r="AC666" s="105"/>
      <c r="AD666" s="279"/>
      <c r="AE666" s="105"/>
      <c r="AF666" s="279"/>
      <c r="AG666" s="105"/>
      <c r="AH666" s="108"/>
      <c r="AI666" s="108"/>
      <c r="AJ666" s="108"/>
      <c r="AK666" s="108"/>
      <c r="AL666" s="105"/>
      <c r="AM666" s="108"/>
      <c r="AN666" s="105"/>
      <c r="AO666" s="108"/>
      <c r="AP666" s="108"/>
      <c r="AQ666" s="105"/>
      <c r="AR666" s="108"/>
      <c r="AS666" s="108"/>
      <c r="AT666" s="105"/>
      <c r="AU666" s="105"/>
      <c r="AV666" s="105"/>
      <c r="AW666" s="105"/>
      <c r="AX666" s="105"/>
      <c r="AY666" s="105"/>
      <c r="AZ666" s="105"/>
      <c r="BA666" s="105"/>
      <c r="BB666" s="105"/>
      <c r="BC666" s="105"/>
      <c r="BD666" s="108"/>
      <c r="BE666" s="83">
        <f>IF($A666="","",IF(TRIM($D666&amp;"")="",IF(TRIM($AX666&amp;$AY666&amp;$AZ666&amp;$BA666&amp;$BB666&amp;$BC666&amp;$BD666&amp;"")="","","SUBARRENDADO"),IFERROR(IF(VLOOKUP($D666,VEHICULOS!$A$3:$H$202,7,FALSE)="","",VLOOKUP($D666,VEHICULOS!$A$3:$H$202,7,FALSE)),"")))</f>
      </c>
      <c r="BF666" s="82">
        <f>IF($A666="","",IF(TRIM($BC666&amp;"")&lt;&gt;"",$BC666,IF(TRIM($D666&amp;"")="","",IFERROR(IF(VLOOKUP($D666,VEHICULOS!$A$3:$H$202,8,FALSE)="","",VLOOKUP($D666,VEHICULOS!$A$3:$H$202,8,FALSE)),""))))</f>
      </c>
      <c r="BG666" s="106"/>
      <c r="BH666" s="107"/>
      <c r="BI666" s="86">
        <f t="shared" si="150"/>
      </c>
      <c r="BJ666" s="83">
        <f t="shared" si="151"/>
      </c>
      <c r="BK666" s="85">
        <f t="shared" si="152"/>
      </c>
      <c r="BL666" s="85">
        <f t="shared" si="153"/>
      </c>
      <c r="BM666" s="108"/>
      <c r="BN666" s="85">
        <f t="shared" si="154"/>
      </c>
      <c r="BO666" s="108"/>
      <c r="BP666" s="85">
        <f t="shared" si="155"/>
      </c>
      <c r="BQ666" s="85">
        <f t="shared" si="156"/>
      </c>
      <c r="BR666" s="108"/>
      <c r="BS666" s="104"/>
      <c r="BT666" s="87">
        <f t="shared" si="157"/>
      </c>
      <c r="BU666" s="85">
        <f t="shared" si="158"/>
      </c>
      <c r="BV666" s="85">
        <f t="shared" si="159"/>
      </c>
      <c r="BW666" s="87">
        <f t="shared" si="160"/>
      </c>
      <c r="BX666" s="104"/>
      <c r="BY666" s="106"/>
      <c r="BZ666" s="104"/>
      <c r="CA666" s="105"/>
      <c r="CB666" s="77">
        <f>IF($A666="",0,IF($B666='FICHA CLIENTE'!$C$4,1,0))</f>
      </c>
      <c r="CC666" s="77">
        <f t="shared" si="161"/>
      </c>
      <c r="CD666" s="77">
        <f>IF($A666="",0,IF($D666='FICHA VEHICULO'!$C$4,1,0))</f>
      </c>
      <c r="CE666" s="77">
        <f t="shared" si="162"/>
      </c>
      <c r="CF666" s="77">
        <f t="shared" si="163"/>
      </c>
      <c r="CG666" s="77">
        <f t="shared" si="164"/>
      </c>
    </row>
    <row r="667" spans="1:85" ht="19.5" customHeight="1" x14ac:dyDescent="0.2">
      <c r="A667" s="104"/>
      <c r="B667" s="104"/>
      <c r="C667" s="105"/>
      <c r="D667" s="104"/>
      <c r="E667" s="105"/>
      <c r="F667" s="106"/>
      <c r="G667" s="104"/>
      <c r="H667" s="106"/>
      <c r="I667" s="107"/>
      <c r="J667" s="108"/>
      <c r="K667" s="108"/>
      <c r="L667" s="108"/>
      <c r="M667" s="105"/>
      <c r="N667" s="105"/>
      <c r="O667" s="105"/>
      <c r="P667" s="108"/>
      <c r="Q667" s="105"/>
      <c r="R667" s="105"/>
      <c r="S667" s="105"/>
      <c r="T667" s="105"/>
      <c r="U667" s="108"/>
      <c r="V667" s="105"/>
      <c r="W667" s="105"/>
      <c r="X667" s="105"/>
      <c r="Y667" s="105"/>
      <c r="Z667" s="105"/>
      <c r="AA667" s="108"/>
      <c r="AB667" s="108"/>
      <c r="AC667" s="105"/>
      <c r="AD667" s="279"/>
      <c r="AE667" s="105"/>
      <c r="AF667" s="279"/>
      <c r="AG667" s="105"/>
      <c r="AH667" s="108"/>
      <c r="AI667" s="108"/>
      <c r="AJ667" s="108"/>
      <c r="AK667" s="108"/>
      <c r="AL667" s="105"/>
      <c r="AM667" s="108"/>
      <c r="AN667" s="105"/>
      <c r="AO667" s="108"/>
      <c r="AP667" s="108"/>
      <c r="AQ667" s="105"/>
      <c r="AR667" s="108"/>
      <c r="AS667" s="108"/>
      <c r="AT667" s="105"/>
      <c r="AU667" s="105"/>
      <c r="AV667" s="105"/>
      <c r="AW667" s="105"/>
      <c r="AX667" s="105"/>
      <c r="AY667" s="105"/>
      <c r="AZ667" s="105"/>
      <c r="BA667" s="105"/>
      <c r="BB667" s="105"/>
      <c r="BC667" s="105"/>
      <c r="BD667" s="108"/>
      <c r="BE667" s="83">
        <f>IF($A667="","",IF(TRIM($D667&amp;"")="",IF(TRIM($AX667&amp;$AY667&amp;$AZ667&amp;$BA667&amp;$BB667&amp;$BC667&amp;$BD667&amp;"")="","","SUBARRENDADO"),IFERROR(IF(VLOOKUP($D667,VEHICULOS!$A$3:$H$202,7,FALSE)="","",VLOOKUP($D667,VEHICULOS!$A$3:$H$202,7,FALSE)),"")))</f>
      </c>
      <c r="BF667" s="82">
        <f>IF($A667="","",IF(TRIM($BC667&amp;"")&lt;&gt;"",$BC667,IF(TRIM($D667&amp;"")="","",IFERROR(IF(VLOOKUP($D667,VEHICULOS!$A$3:$H$202,8,FALSE)="","",VLOOKUP($D667,VEHICULOS!$A$3:$H$202,8,FALSE)),""))))</f>
      </c>
      <c r="BG667" s="106"/>
      <c r="BH667" s="107"/>
      <c r="BI667" s="86">
        <f t="shared" si="150"/>
      </c>
      <c r="BJ667" s="83">
        <f t="shared" si="151"/>
      </c>
      <c r="BK667" s="85">
        <f t="shared" si="152"/>
      </c>
      <c r="BL667" s="85">
        <f t="shared" si="153"/>
      </c>
      <c r="BM667" s="108"/>
      <c r="BN667" s="85">
        <f t="shared" si="154"/>
      </c>
      <c r="BO667" s="108"/>
      <c r="BP667" s="85">
        <f t="shared" si="155"/>
      </c>
      <c r="BQ667" s="85">
        <f t="shared" si="156"/>
      </c>
      <c r="BR667" s="108"/>
      <c r="BS667" s="104"/>
      <c r="BT667" s="87">
        <f t="shared" si="157"/>
      </c>
      <c r="BU667" s="85">
        <f t="shared" si="158"/>
      </c>
      <c r="BV667" s="85">
        <f t="shared" si="159"/>
      </c>
      <c r="BW667" s="87">
        <f t="shared" si="160"/>
      </c>
      <c r="BX667" s="104"/>
      <c r="BY667" s="106"/>
      <c r="BZ667" s="104"/>
      <c r="CA667" s="105"/>
      <c r="CB667" s="77">
        <f>IF($A667="",0,IF($B667='FICHA CLIENTE'!$C$4,1,0))</f>
      </c>
      <c r="CC667" s="77">
        <f t="shared" si="161"/>
      </c>
      <c r="CD667" s="77">
        <f>IF($A667="",0,IF($D667='FICHA VEHICULO'!$C$4,1,0))</f>
      </c>
      <c r="CE667" s="77">
        <f t="shared" si="162"/>
      </c>
      <c r="CF667" s="77">
        <f t="shared" si="163"/>
      </c>
      <c r="CG667" s="77">
        <f t="shared" si="164"/>
      </c>
    </row>
    <row r="668" spans="1:85" ht="19.5" customHeight="1" x14ac:dyDescent="0.2">
      <c r="A668" s="104"/>
      <c r="B668" s="104"/>
      <c r="C668" s="105"/>
      <c r="D668" s="104"/>
      <c r="E668" s="105"/>
      <c r="F668" s="106"/>
      <c r="G668" s="104"/>
      <c r="H668" s="106"/>
      <c r="I668" s="107"/>
      <c r="J668" s="108"/>
      <c r="K668" s="108"/>
      <c r="L668" s="108"/>
      <c r="M668" s="105"/>
      <c r="N668" s="105"/>
      <c r="O668" s="105"/>
      <c r="P668" s="108"/>
      <c r="Q668" s="105"/>
      <c r="R668" s="105"/>
      <c r="S668" s="105"/>
      <c r="T668" s="105"/>
      <c r="U668" s="108"/>
      <c r="V668" s="105"/>
      <c r="W668" s="105"/>
      <c r="X668" s="105"/>
      <c r="Y668" s="105"/>
      <c r="Z668" s="105"/>
      <c r="AA668" s="108"/>
      <c r="AB668" s="108"/>
      <c r="AC668" s="105"/>
      <c r="AD668" s="279"/>
      <c r="AE668" s="105"/>
      <c r="AF668" s="279"/>
      <c r="AG668" s="105"/>
      <c r="AH668" s="108"/>
      <c r="AI668" s="108"/>
      <c r="AJ668" s="108"/>
      <c r="AK668" s="108"/>
      <c r="AL668" s="105"/>
      <c r="AM668" s="108"/>
      <c r="AN668" s="105"/>
      <c r="AO668" s="108"/>
      <c r="AP668" s="108"/>
      <c r="AQ668" s="105"/>
      <c r="AR668" s="108"/>
      <c r="AS668" s="108"/>
      <c r="AT668" s="105"/>
      <c r="AU668" s="105"/>
      <c r="AV668" s="105"/>
      <c r="AW668" s="105"/>
      <c r="AX668" s="105"/>
      <c r="AY668" s="105"/>
      <c r="AZ668" s="105"/>
      <c r="BA668" s="105"/>
      <c r="BB668" s="105"/>
      <c r="BC668" s="105"/>
      <c r="BD668" s="108"/>
      <c r="BE668" s="83">
        <f>IF($A668="","",IF(TRIM($D668&amp;"")="",IF(TRIM($AX668&amp;$AY668&amp;$AZ668&amp;$BA668&amp;$BB668&amp;$BC668&amp;$BD668&amp;"")="","","SUBARRENDADO"),IFERROR(IF(VLOOKUP($D668,VEHICULOS!$A$3:$H$202,7,FALSE)="","",VLOOKUP($D668,VEHICULOS!$A$3:$H$202,7,FALSE)),"")))</f>
      </c>
      <c r="BF668" s="82">
        <f>IF($A668="","",IF(TRIM($BC668&amp;"")&lt;&gt;"",$BC668,IF(TRIM($D668&amp;"")="","",IFERROR(IF(VLOOKUP($D668,VEHICULOS!$A$3:$H$202,8,FALSE)="","",VLOOKUP($D668,VEHICULOS!$A$3:$H$202,8,FALSE)),""))))</f>
      </c>
      <c r="BG668" s="106"/>
      <c r="BH668" s="107"/>
      <c r="BI668" s="86">
        <f t="shared" si="150"/>
      </c>
      <c r="BJ668" s="83">
        <f t="shared" si="151"/>
      </c>
      <c r="BK668" s="85">
        <f t="shared" si="152"/>
      </c>
      <c r="BL668" s="85">
        <f t="shared" si="153"/>
      </c>
      <c r="BM668" s="108"/>
      <c r="BN668" s="85">
        <f t="shared" si="154"/>
      </c>
      <c r="BO668" s="108"/>
      <c r="BP668" s="85">
        <f t="shared" si="155"/>
      </c>
      <c r="BQ668" s="85">
        <f t="shared" si="156"/>
      </c>
      <c r="BR668" s="108"/>
      <c r="BS668" s="104"/>
      <c r="BT668" s="87">
        <f t="shared" si="157"/>
      </c>
      <c r="BU668" s="85">
        <f t="shared" si="158"/>
      </c>
      <c r="BV668" s="85">
        <f t="shared" si="159"/>
      </c>
      <c r="BW668" s="87">
        <f t="shared" si="160"/>
      </c>
      <c r="BX668" s="104"/>
      <c r="BY668" s="106"/>
      <c r="BZ668" s="104"/>
      <c r="CA668" s="105"/>
      <c r="CB668" s="77">
        <f>IF($A668="",0,IF($B668='FICHA CLIENTE'!$C$4,1,0))</f>
      </c>
      <c r="CC668" s="77">
        <f t="shared" si="161"/>
      </c>
      <c r="CD668" s="77">
        <f>IF($A668="",0,IF($D668='FICHA VEHICULO'!$C$4,1,0))</f>
      </c>
      <c r="CE668" s="77">
        <f t="shared" si="162"/>
      </c>
      <c r="CF668" s="77">
        <f t="shared" si="163"/>
      </c>
      <c r="CG668" s="77">
        <f t="shared" si="164"/>
      </c>
    </row>
    <row r="669" spans="1:85" ht="19.5" customHeight="1" x14ac:dyDescent="0.2">
      <c r="A669" s="104"/>
      <c r="B669" s="104"/>
      <c r="C669" s="105"/>
      <c r="D669" s="104"/>
      <c r="E669" s="105"/>
      <c r="F669" s="106"/>
      <c r="G669" s="104"/>
      <c r="H669" s="106"/>
      <c r="I669" s="107"/>
      <c r="J669" s="108"/>
      <c r="K669" s="108"/>
      <c r="L669" s="108"/>
      <c r="M669" s="105"/>
      <c r="N669" s="105"/>
      <c r="O669" s="105"/>
      <c r="P669" s="108"/>
      <c r="Q669" s="105"/>
      <c r="R669" s="105"/>
      <c r="S669" s="105"/>
      <c r="T669" s="105"/>
      <c r="U669" s="108"/>
      <c r="V669" s="105"/>
      <c r="W669" s="105"/>
      <c r="X669" s="105"/>
      <c r="Y669" s="105"/>
      <c r="Z669" s="105"/>
      <c r="AA669" s="108"/>
      <c r="AB669" s="108"/>
      <c r="AC669" s="105"/>
      <c r="AD669" s="279"/>
      <c r="AE669" s="105"/>
      <c r="AF669" s="279"/>
      <c r="AG669" s="105"/>
      <c r="AH669" s="108"/>
      <c r="AI669" s="108"/>
      <c r="AJ669" s="108"/>
      <c r="AK669" s="108"/>
      <c r="AL669" s="105"/>
      <c r="AM669" s="108"/>
      <c r="AN669" s="105"/>
      <c r="AO669" s="108"/>
      <c r="AP669" s="108"/>
      <c r="AQ669" s="105"/>
      <c r="AR669" s="108"/>
      <c r="AS669" s="108"/>
      <c r="AT669" s="105"/>
      <c r="AU669" s="105"/>
      <c r="AV669" s="105"/>
      <c r="AW669" s="105"/>
      <c r="AX669" s="105"/>
      <c r="AY669" s="105"/>
      <c r="AZ669" s="105"/>
      <c r="BA669" s="105"/>
      <c r="BB669" s="105"/>
      <c r="BC669" s="105"/>
      <c r="BD669" s="108"/>
      <c r="BE669" s="83">
        <f>IF($A669="","",IF(TRIM($D669&amp;"")="",IF(TRIM($AX669&amp;$AY669&amp;$AZ669&amp;$BA669&amp;$BB669&amp;$BC669&amp;$BD669&amp;"")="","","SUBARRENDADO"),IFERROR(IF(VLOOKUP($D669,VEHICULOS!$A$3:$H$202,7,FALSE)="","",VLOOKUP($D669,VEHICULOS!$A$3:$H$202,7,FALSE)),"")))</f>
      </c>
      <c r="BF669" s="82">
        <f>IF($A669="","",IF(TRIM($BC669&amp;"")&lt;&gt;"",$BC669,IF(TRIM($D669&amp;"")="","",IFERROR(IF(VLOOKUP($D669,VEHICULOS!$A$3:$H$202,8,FALSE)="","",VLOOKUP($D669,VEHICULOS!$A$3:$H$202,8,FALSE)),""))))</f>
      </c>
      <c r="BG669" s="106"/>
      <c r="BH669" s="107"/>
      <c r="BI669" s="86">
        <f t="shared" si="150"/>
      </c>
      <c r="BJ669" s="83">
        <f t="shared" si="151"/>
      </c>
      <c r="BK669" s="85">
        <f t="shared" si="152"/>
      </c>
      <c r="BL669" s="85">
        <f t="shared" si="153"/>
      </c>
      <c r="BM669" s="108"/>
      <c r="BN669" s="85">
        <f t="shared" si="154"/>
      </c>
      <c r="BO669" s="108"/>
      <c r="BP669" s="85">
        <f t="shared" si="155"/>
      </c>
      <c r="BQ669" s="85">
        <f t="shared" si="156"/>
      </c>
      <c r="BR669" s="108"/>
      <c r="BS669" s="104"/>
      <c r="BT669" s="87">
        <f t="shared" si="157"/>
      </c>
      <c r="BU669" s="85">
        <f t="shared" si="158"/>
      </c>
      <c r="BV669" s="85">
        <f t="shared" si="159"/>
      </c>
      <c r="BW669" s="87">
        <f t="shared" si="160"/>
      </c>
      <c r="BX669" s="104"/>
      <c r="BY669" s="106"/>
      <c r="BZ669" s="104"/>
      <c r="CA669" s="105"/>
      <c r="CB669" s="77">
        <f>IF($A669="",0,IF($B669='FICHA CLIENTE'!$C$4,1,0))</f>
      </c>
      <c r="CC669" s="77">
        <f t="shared" si="161"/>
      </c>
      <c r="CD669" s="77">
        <f>IF($A669="",0,IF($D669='FICHA VEHICULO'!$C$4,1,0))</f>
      </c>
      <c r="CE669" s="77">
        <f t="shared" si="162"/>
      </c>
      <c r="CF669" s="77">
        <f t="shared" si="163"/>
      </c>
      <c r="CG669" s="77">
        <f t="shared" si="164"/>
      </c>
    </row>
    <row r="670" spans="1:85" ht="19.5" customHeight="1" x14ac:dyDescent="0.2">
      <c r="A670" s="104"/>
      <c r="B670" s="104"/>
      <c r="C670" s="105"/>
      <c r="D670" s="104"/>
      <c r="E670" s="105"/>
      <c r="F670" s="106"/>
      <c r="G670" s="104"/>
      <c r="H670" s="106"/>
      <c r="I670" s="107"/>
      <c r="J670" s="108"/>
      <c r="K670" s="108"/>
      <c r="L670" s="108"/>
      <c r="M670" s="105"/>
      <c r="N670" s="105"/>
      <c r="O670" s="105"/>
      <c r="P670" s="108"/>
      <c r="Q670" s="105"/>
      <c r="R670" s="105"/>
      <c r="S670" s="105"/>
      <c r="T670" s="105"/>
      <c r="U670" s="108"/>
      <c r="V670" s="105"/>
      <c r="W670" s="105"/>
      <c r="X670" s="105"/>
      <c r="Y670" s="105"/>
      <c r="Z670" s="105"/>
      <c r="AA670" s="108"/>
      <c r="AB670" s="108"/>
      <c r="AC670" s="105"/>
      <c r="AD670" s="279"/>
      <c r="AE670" s="105"/>
      <c r="AF670" s="279"/>
      <c r="AG670" s="105"/>
      <c r="AH670" s="108"/>
      <c r="AI670" s="108"/>
      <c r="AJ670" s="108"/>
      <c r="AK670" s="108"/>
      <c r="AL670" s="105"/>
      <c r="AM670" s="108"/>
      <c r="AN670" s="105"/>
      <c r="AO670" s="108"/>
      <c r="AP670" s="108"/>
      <c r="AQ670" s="105"/>
      <c r="AR670" s="108"/>
      <c r="AS670" s="108"/>
      <c r="AT670" s="105"/>
      <c r="AU670" s="105"/>
      <c r="AV670" s="105"/>
      <c r="AW670" s="105"/>
      <c r="AX670" s="105"/>
      <c r="AY670" s="105"/>
      <c r="AZ670" s="105"/>
      <c r="BA670" s="105"/>
      <c r="BB670" s="105"/>
      <c r="BC670" s="105"/>
      <c r="BD670" s="108"/>
      <c r="BE670" s="83">
        <f>IF($A670="","",IF(TRIM($D670&amp;"")="",IF(TRIM($AX670&amp;$AY670&amp;$AZ670&amp;$BA670&amp;$BB670&amp;$BC670&amp;$BD670&amp;"")="","","SUBARRENDADO"),IFERROR(IF(VLOOKUP($D670,VEHICULOS!$A$3:$H$202,7,FALSE)="","",VLOOKUP($D670,VEHICULOS!$A$3:$H$202,7,FALSE)),"")))</f>
      </c>
      <c r="BF670" s="82">
        <f>IF($A670="","",IF(TRIM($BC670&amp;"")&lt;&gt;"",$BC670,IF(TRIM($D670&amp;"")="","",IFERROR(IF(VLOOKUP($D670,VEHICULOS!$A$3:$H$202,8,FALSE)="","",VLOOKUP($D670,VEHICULOS!$A$3:$H$202,8,FALSE)),""))))</f>
      </c>
      <c r="BG670" s="106"/>
      <c r="BH670" s="107"/>
      <c r="BI670" s="86">
        <f t="shared" si="150"/>
      </c>
      <c r="BJ670" s="83">
        <f t="shared" si="151"/>
      </c>
      <c r="BK670" s="85">
        <f t="shared" si="152"/>
      </c>
      <c r="BL670" s="85">
        <f t="shared" si="153"/>
      </c>
      <c r="BM670" s="108"/>
      <c r="BN670" s="85">
        <f t="shared" si="154"/>
      </c>
      <c r="BO670" s="108"/>
      <c r="BP670" s="85">
        <f t="shared" si="155"/>
      </c>
      <c r="BQ670" s="85">
        <f t="shared" si="156"/>
      </c>
      <c r="BR670" s="108"/>
      <c r="BS670" s="104"/>
      <c r="BT670" s="87">
        <f t="shared" si="157"/>
      </c>
      <c r="BU670" s="85">
        <f t="shared" si="158"/>
      </c>
      <c r="BV670" s="85">
        <f t="shared" si="159"/>
      </c>
      <c r="BW670" s="87">
        <f t="shared" si="160"/>
      </c>
      <c r="BX670" s="104"/>
      <c r="BY670" s="106"/>
      <c r="BZ670" s="104"/>
      <c r="CA670" s="105"/>
      <c r="CB670" s="77">
        <f>IF($A670="",0,IF($B670='FICHA CLIENTE'!$C$4,1,0))</f>
      </c>
      <c r="CC670" s="77">
        <f t="shared" si="161"/>
      </c>
      <c r="CD670" s="77">
        <f>IF($A670="",0,IF($D670='FICHA VEHICULO'!$C$4,1,0))</f>
      </c>
      <c r="CE670" s="77">
        <f t="shared" si="162"/>
      </c>
      <c r="CF670" s="77">
        <f t="shared" si="163"/>
      </c>
      <c r="CG670" s="77">
        <f t="shared" si="164"/>
      </c>
    </row>
    <row r="671" spans="1:85" ht="19.5" customHeight="1" x14ac:dyDescent="0.2">
      <c r="A671" s="104"/>
      <c r="B671" s="104"/>
      <c r="C671" s="105"/>
      <c r="D671" s="104"/>
      <c r="E671" s="105"/>
      <c r="F671" s="106"/>
      <c r="G671" s="104"/>
      <c r="H671" s="106"/>
      <c r="I671" s="107"/>
      <c r="J671" s="108"/>
      <c r="K671" s="108"/>
      <c r="L671" s="108"/>
      <c r="M671" s="105"/>
      <c r="N671" s="105"/>
      <c r="O671" s="105"/>
      <c r="P671" s="108"/>
      <c r="Q671" s="105"/>
      <c r="R671" s="105"/>
      <c r="S671" s="105"/>
      <c r="T671" s="105"/>
      <c r="U671" s="108"/>
      <c r="V671" s="105"/>
      <c r="W671" s="105"/>
      <c r="X671" s="105"/>
      <c r="Y671" s="105"/>
      <c r="Z671" s="105"/>
      <c r="AA671" s="108"/>
      <c r="AB671" s="108"/>
      <c r="AC671" s="105"/>
      <c r="AD671" s="279"/>
      <c r="AE671" s="105"/>
      <c r="AF671" s="279"/>
      <c r="AG671" s="105"/>
      <c r="AH671" s="108"/>
      <c r="AI671" s="108"/>
      <c r="AJ671" s="108"/>
      <c r="AK671" s="108"/>
      <c r="AL671" s="105"/>
      <c r="AM671" s="108"/>
      <c r="AN671" s="105"/>
      <c r="AO671" s="108"/>
      <c r="AP671" s="108"/>
      <c r="AQ671" s="105"/>
      <c r="AR671" s="108"/>
      <c r="AS671" s="108"/>
      <c r="AT671" s="105"/>
      <c r="AU671" s="105"/>
      <c r="AV671" s="105"/>
      <c r="AW671" s="105"/>
      <c r="AX671" s="105"/>
      <c r="AY671" s="105"/>
      <c r="AZ671" s="105"/>
      <c r="BA671" s="105"/>
      <c r="BB671" s="105"/>
      <c r="BC671" s="105"/>
      <c r="BD671" s="108"/>
      <c r="BE671" s="83">
        <f>IF($A671="","",IF(TRIM($D671&amp;"")="",IF(TRIM($AX671&amp;$AY671&amp;$AZ671&amp;$BA671&amp;$BB671&amp;$BC671&amp;$BD671&amp;"")="","","SUBARRENDADO"),IFERROR(IF(VLOOKUP($D671,VEHICULOS!$A$3:$H$202,7,FALSE)="","",VLOOKUP($D671,VEHICULOS!$A$3:$H$202,7,FALSE)),"")))</f>
      </c>
      <c r="BF671" s="82">
        <f>IF($A671="","",IF(TRIM($BC671&amp;"")&lt;&gt;"",$BC671,IF(TRIM($D671&amp;"")="","",IFERROR(IF(VLOOKUP($D671,VEHICULOS!$A$3:$H$202,8,FALSE)="","",VLOOKUP($D671,VEHICULOS!$A$3:$H$202,8,FALSE)),""))))</f>
      </c>
      <c r="BG671" s="106"/>
      <c r="BH671" s="107"/>
      <c r="BI671" s="86">
        <f t="shared" si="150"/>
      </c>
      <c r="BJ671" s="83">
        <f t="shared" si="151"/>
      </c>
      <c r="BK671" s="85">
        <f t="shared" si="152"/>
      </c>
      <c r="BL671" s="85">
        <f t="shared" si="153"/>
      </c>
      <c r="BM671" s="108"/>
      <c r="BN671" s="85">
        <f t="shared" si="154"/>
      </c>
      <c r="BO671" s="108"/>
      <c r="BP671" s="85">
        <f t="shared" si="155"/>
      </c>
      <c r="BQ671" s="85">
        <f t="shared" si="156"/>
      </c>
      <c r="BR671" s="108"/>
      <c r="BS671" s="104"/>
      <c r="BT671" s="87">
        <f t="shared" si="157"/>
      </c>
      <c r="BU671" s="85">
        <f t="shared" si="158"/>
      </c>
      <c r="BV671" s="85">
        <f t="shared" si="159"/>
      </c>
      <c r="BW671" s="87">
        <f t="shared" si="160"/>
      </c>
      <c r="BX671" s="104"/>
      <c r="BY671" s="106"/>
      <c r="BZ671" s="104"/>
      <c r="CA671" s="105"/>
      <c r="CB671" s="77">
        <f>IF($A671="",0,IF($B671='FICHA CLIENTE'!$C$4,1,0))</f>
      </c>
      <c r="CC671" s="77">
        <f t="shared" si="161"/>
      </c>
      <c r="CD671" s="77">
        <f>IF($A671="",0,IF($D671='FICHA VEHICULO'!$C$4,1,0))</f>
      </c>
      <c r="CE671" s="77">
        <f t="shared" si="162"/>
      </c>
      <c r="CF671" s="77">
        <f t="shared" si="163"/>
      </c>
      <c r="CG671" s="77">
        <f t="shared" si="164"/>
      </c>
    </row>
    <row r="672" spans="1:85" ht="19.5" customHeight="1" x14ac:dyDescent="0.2">
      <c r="A672" s="104"/>
      <c r="B672" s="104"/>
      <c r="C672" s="105"/>
      <c r="D672" s="104"/>
      <c r="E672" s="105"/>
      <c r="F672" s="106"/>
      <c r="G672" s="104"/>
      <c r="H672" s="106"/>
      <c r="I672" s="107"/>
      <c r="J672" s="108"/>
      <c r="K672" s="108"/>
      <c r="L672" s="108"/>
      <c r="M672" s="105"/>
      <c r="N672" s="105"/>
      <c r="O672" s="105"/>
      <c r="P672" s="108"/>
      <c r="Q672" s="105"/>
      <c r="R672" s="105"/>
      <c r="S672" s="105"/>
      <c r="T672" s="105"/>
      <c r="U672" s="108"/>
      <c r="V672" s="105"/>
      <c r="W672" s="105"/>
      <c r="X672" s="105"/>
      <c r="Y672" s="105"/>
      <c r="Z672" s="105"/>
      <c r="AA672" s="108"/>
      <c r="AB672" s="108"/>
      <c r="AC672" s="105"/>
      <c r="AD672" s="279"/>
      <c r="AE672" s="105"/>
      <c r="AF672" s="279"/>
      <c r="AG672" s="105"/>
      <c r="AH672" s="108"/>
      <c r="AI672" s="108"/>
      <c r="AJ672" s="108"/>
      <c r="AK672" s="108"/>
      <c r="AL672" s="105"/>
      <c r="AM672" s="108"/>
      <c r="AN672" s="105"/>
      <c r="AO672" s="108"/>
      <c r="AP672" s="108"/>
      <c r="AQ672" s="105"/>
      <c r="AR672" s="108"/>
      <c r="AS672" s="108"/>
      <c r="AT672" s="105"/>
      <c r="AU672" s="105"/>
      <c r="AV672" s="105"/>
      <c r="AW672" s="105"/>
      <c r="AX672" s="105"/>
      <c r="AY672" s="105"/>
      <c r="AZ672" s="105"/>
      <c r="BA672" s="105"/>
      <c r="BB672" s="105"/>
      <c r="BC672" s="105"/>
      <c r="BD672" s="108"/>
      <c r="BE672" s="83">
        <f>IF($A672="","",IF(TRIM($D672&amp;"")="",IF(TRIM($AX672&amp;$AY672&amp;$AZ672&amp;$BA672&amp;$BB672&amp;$BC672&amp;$BD672&amp;"")="","","SUBARRENDADO"),IFERROR(IF(VLOOKUP($D672,VEHICULOS!$A$3:$H$202,7,FALSE)="","",VLOOKUP($D672,VEHICULOS!$A$3:$H$202,7,FALSE)),"")))</f>
      </c>
      <c r="BF672" s="82">
        <f>IF($A672="","",IF(TRIM($BC672&amp;"")&lt;&gt;"",$BC672,IF(TRIM($D672&amp;"")="","",IFERROR(IF(VLOOKUP($D672,VEHICULOS!$A$3:$H$202,8,FALSE)="","",VLOOKUP($D672,VEHICULOS!$A$3:$H$202,8,FALSE)),""))))</f>
      </c>
      <c r="BG672" s="106"/>
      <c r="BH672" s="107"/>
      <c r="BI672" s="86">
        <f t="shared" si="150"/>
      </c>
      <c r="BJ672" s="83">
        <f t="shared" si="151"/>
      </c>
      <c r="BK672" s="85">
        <f t="shared" si="152"/>
      </c>
      <c r="BL672" s="85">
        <f t="shared" si="153"/>
      </c>
      <c r="BM672" s="108"/>
      <c r="BN672" s="85">
        <f t="shared" si="154"/>
      </c>
      <c r="BO672" s="108"/>
      <c r="BP672" s="85">
        <f t="shared" si="155"/>
      </c>
      <c r="BQ672" s="85">
        <f t="shared" si="156"/>
      </c>
      <c r="BR672" s="108"/>
      <c r="BS672" s="104"/>
      <c r="BT672" s="87">
        <f t="shared" si="157"/>
      </c>
      <c r="BU672" s="85">
        <f t="shared" si="158"/>
      </c>
      <c r="BV672" s="85">
        <f t="shared" si="159"/>
      </c>
      <c r="BW672" s="87">
        <f t="shared" si="160"/>
      </c>
      <c r="BX672" s="104"/>
      <c r="BY672" s="106"/>
      <c r="BZ672" s="104"/>
      <c r="CA672" s="105"/>
      <c r="CB672" s="77">
        <f>IF($A672="",0,IF($B672='FICHA CLIENTE'!$C$4,1,0))</f>
      </c>
      <c r="CC672" s="77">
        <f t="shared" si="161"/>
      </c>
      <c r="CD672" s="77">
        <f>IF($A672="",0,IF($D672='FICHA VEHICULO'!$C$4,1,0))</f>
      </c>
      <c r="CE672" s="77">
        <f t="shared" si="162"/>
      </c>
      <c r="CF672" s="77">
        <f t="shared" si="163"/>
      </c>
      <c r="CG672" s="77">
        <f t="shared" si="164"/>
      </c>
    </row>
    <row r="673" spans="1:85" ht="19.5" customHeight="1" x14ac:dyDescent="0.2">
      <c r="A673" s="104"/>
      <c r="B673" s="104"/>
      <c r="C673" s="105"/>
      <c r="D673" s="104"/>
      <c r="E673" s="105"/>
      <c r="F673" s="106"/>
      <c r="G673" s="104"/>
      <c r="H673" s="106"/>
      <c r="I673" s="107"/>
      <c r="J673" s="108"/>
      <c r="K673" s="108"/>
      <c r="L673" s="108"/>
      <c r="M673" s="105"/>
      <c r="N673" s="105"/>
      <c r="O673" s="105"/>
      <c r="P673" s="108"/>
      <c r="Q673" s="105"/>
      <c r="R673" s="105"/>
      <c r="S673" s="105"/>
      <c r="T673" s="105"/>
      <c r="U673" s="108"/>
      <c r="V673" s="105"/>
      <c r="W673" s="105"/>
      <c r="X673" s="105"/>
      <c r="Y673" s="105"/>
      <c r="Z673" s="105"/>
      <c r="AA673" s="108"/>
      <c r="AB673" s="108"/>
      <c r="AC673" s="105"/>
      <c r="AD673" s="279"/>
      <c r="AE673" s="105"/>
      <c r="AF673" s="279"/>
      <c r="AG673" s="105"/>
      <c r="AH673" s="108"/>
      <c r="AI673" s="108"/>
      <c r="AJ673" s="108"/>
      <c r="AK673" s="108"/>
      <c r="AL673" s="105"/>
      <c r="AM673" s="108"/>
      <c r="AN673" s="105"/>
      <c r="AO673" s="108"/>
      <c r="AP673" s="108"/>
      <c r="AQ673" s="105"/>
      <c r="AR673" s="108"/>
      <c r="AS673" s="108"/>
      <c r="AT673" s="105"/>
      <c r="AU673" s="105"/>
      <c r="AV673" s="105"/>
      <c r="AW673" s="105"/>
      <c r="AX673" s="105"/>
      <c r="AY673" s="105"/>
      <c r="AZ673" s="105"/>
      <c r="BA673" s="105"/>
      <c r="BB673" s="105"/>
      <c r="BC673" s="105"/>
      <c r="BD673" s="108"/>
      <c r="BE673" s="83">
        <f>IF($A673="","",IF(TRIM($D673&amp;"")="",IF(TRIM($AX673&amp;$AY673&amp;$AZ673&amp;$BA673&amp;$BB673&amp;$BC673&amp;$BD673&amp;"")="","","SUBARRENDADO"),IFERROR(IF(VLOOKUP($D673,VEHICULOS!$A$3:$H$202,7,FALSE)="","",VLOOKUP($D673,VEHICULOS!$A$3:$H$202,7,FALSE)),"")))</f>
      </c>
      <c r="BF673" s="82">
        <f>IF($A673="","",IF(TRIM($BC673&amp;"")&lt;&gt;"",$BC673,IF(TRIM($D673&amp;"")="","",IFERROR(IF(VLOOKUP($D673,VEHICULOS!$A$3:$H$202,8,FALSE)="","",VLOOKUP($D673,VEHICULOS!$A$3:$H$202,8,FALSE)),""))))</f>
      </c>
      <c r="BG673" s="106"/>
      <c r="BH673" s="107"/>
      <c r="BI673" s="86">
        <f t="shared" si="150"/>
      </c>
      <c r="BJ673" s="83">
        <f t="shared" si="151"/>
      </c>
      <c r="BK673" s="85">
        <f t="shared" si="152"/>
      </c>
      <c r="BL673" s="85">
        <f t="shared" si="153"/>
      </c>
      <c r="BM673" s="108"/>
      <c r="BN673" s="85">
        <f t="shared" si="154"/>
      </c>
      <c r="BO673" s="108"/>
      <c r="BP673" s="85">
        <f t="shared" si="155"/>
      </c>
      <c r="BQ673" s="85">
        <f t="shared" si="156"/>
      </c>
      <c r="BR673" s="108"/>
      <c r="BS673" s="104"/>
      <c r="BT673" s="87">
        <f t="shared" si="157"/>
      </c>
      <c r="BU673" s="85">
        <f t="shared" si="158"/>
      </c>
      <c r="BV673" s="85">
        <f t="shared" si="159"/>
      </c>
      <c r="BW673" s="87">
        <f t="shared" si="160"/>
      </c>
      <c r="BX673" s="104"/>
      <c r="BY673" s="106"/>
      <c r="BZ673" s="104"/>
      <c r="CA673" s="105"/>
      <c r="CB673" s="77">
        <f>IF($A673="",0,IF($B673='FICHA CLIENTE'!$C$4,1,0))</f>
      </c>
      <c r="CC673" s="77">
        <f t="shared" si="161"/>
      </c>
      <c r="CD673" s="77">
        <f>IF($A673="",0,IF($D673='FICHA VEHICULO'!$C$4,1,0))</f>
      </c>
      <c r="CE673" s="77">
        <f t="shared" si="162"/>
      </c>
      <c r="CF673" s="77">
        <f t="shared" si="163"/>
      </c>
      <c r="CG673" s="77">
        <f t="shared" si="164"/>
      </c>
    </row>
    <row r="674" spans="1:85" ht="19.5" customHeight="1" x14ac:dyDescent="0.2">
      <c r="A674" s="104"/>
      <c r="B674" s="104"/>
      <c r="C674" s="105"/>
      <c r="D674" s="104"/>
      <c r="E674" s="105"/>
      <c r="F674" s="106"/>
      <c r="G674" s="104"/>
      <c r="H674" s="106"/>
      <c r="I674" s="107"/>
      <c r="J674" s="108"/>
      <c r="K674" s="108"/>
      <c r="L674" s="108"/>
      <c r="M674" s="105"/>
      <c r="N674" s="105"/>
      <c r="O674" s="105"/>
      <c r="P674" s="108"/>
      <c r="Q674" s="105"/>
      <c r="R674" s="105"/>
      <c r="S674" s="105"/>
      <c r="T674" s="105"/>
      <c r="U674" s="108"/>
      <c r="V674" s="105"/>
      <c r="W674" s="105"/>
      <c r="X674" s="105"/>
      <c r="Y674" s="105"/>
      <c r="Z674" s="105"/>
      <c r="AA674" s="108"/>
      <c r="AB674" s="108"/>
      <c r="AC674" s="105"/>
      <c r="AD674" s="279"/>
      <c r="AE674" s="105"/>
      <c r="AF674" s="279"/>
      <c r="AG674" s="105"/>
      <c r="AH674" s="108"/>
      <c r="AI674" s="108"/>
      <c r="AJ674" s="108"/>
      <c r="AK674" s="108"/>
      <c r="AL674" s="105"/>
      <c r="AM674" s="108"/>
      <c r="AN674" s="105"/>
      <c r="AO674" s="108"/>
      <c r="AP674" s="108"/>
      <c r="AQ674" s="105"/>
      <c r="AR674" s="108"/>
      <c r="AS674" s="108"/>
      <c r="AT674" s="105"/>
      <c r="AU674" s="105"/>
      <c r="AV674" s="105"/>
      <c r="AW674" s="105"/>
      <c r="AX674" s="105"/>
      <c r="AY674" s="105"/>
      <c r="AZ674" s="105"/>
      <c r="BA674" s="105"/>
      <c r="BB674" s="105"/>
      <c r="BC674" s="105"/>
      <c r="BD674" s="108"/>
      <c r="BE674" s="83">
        <f>IF($A674="","",IF(TRIM($D674&amp;"")="",IF(TRIM($AX674&amp;$AY674&amp;$AZ674&amp;$BA674&amp;$BB674&amp;$BC674&amp;$BD674&amp;"")="","","SUBARRENDADO"),IFERROR(IF(VLOOKUP($D674,VEHICULOS!$A$3:$H$202,7,FALSE)="","",VLOOKUP($D674,VEHICULOS!$A$3:$H$202,7,FALSE)),"")))</f>
      </c>
      <c r="BF674" s="82">
        <f>IF($A674="","",IF(TRIM($BC674&amp;"")&lt;&gt;"",$BC674,IF(TRIM($D674&amp;"")="","",IFERROR(IF(VLOOKUP($D674,VEHICULOS!$A$3:$H$202,8,FALSE)="","",VLOOKUP($D674,VEHICULOS!$A$3:$H$202,8,FALSE)),""))))</f>
      </c>
      <c r="BG674" s="106"/>
      <c r="BH674" s="107"/>
      <c r="BI674" s="86">
        <f t="shared" si="150"/>
      </c>
      <c r="BJ674" s="83">
        <f t="shared" si="151"/>
      </c>
      <c r="BK674" s="85">
        <f t="shared" si="152"/>
      </c>
      <c r="BL674" s="85">
        <f t="shared" si="153"/>
      </c>
      <c r="BM674" s="108"/>
      <c r="BN674" s="85">
        <f t="shared" si="154"/>
      </c>
      <c r="BO674" s="108"/>
      <c r="BP674" s="85">
        <f t="shared" si="155"/>
      </c>
      <c r="BQ674" s="85">
        <f t="shared" si="156"/>
      </c>
      <c r="BR674" s="108"/>
      <c r="BS674" s="104"/>
      <c r="BT674" s="87">
        <f t="shared" si="157"/>
      </c>
      <c r="BU674" s="85">
        <f t="shared" si="158"/>
      </c>
      <c r="BV674" s="85">
        <f t="shared" si="159"/>
      </c>
      <c r="BW674" s="87">
        <f t="shared" si="160"/>
      </c>
      <c r="BX674" s="104"/>
      <c r="BY674" s="106"/>
      <c r="BZ674" s="104"/>
      <c r="CA674" s="105"/>
      <c r="CB674" s="77">
        <f>IF($A674="",0,IF($B674='FICHA CLIENTE'!$C$4,1,0))</f>
      </c>
      <c r="CC674" s="77">
        <f t="shared" si="161"/>
      </c>
      <c r="CD674" s="77">
        <f>IF($A674="",0,IF($D674='FICHA VEHICULO'!$C$4,1,0))</f>
      </c>
      <c r="CE674" s="77">
        <f t="shared" si="162"/>
      </c>
      <c r="CF674" s="77">
        <f t="shared" si="163"/>
      </c>
      <c r="CG674" s="77">
        <f t="shared" si="164"/>
      </c>
    </row>
    <row r="675" spans="1:85" ht="19.5" customHeight="1" x14ac:dyDescent="0.2">
      <c r="A675" s="104"/>
      <c r="B675" s="104"/>
      <c r="C675" s="105"/>
      <c r="D675" s="104"/>
      <c r="E675" s="105"/>
      <c r="F675" s="106"/>
      <c r="G675" s="104"/>
      <c r="H675" s="106"/>
      <c r="I675" s="107"/>
      <c r="J675" s="108"/>
      <c r="K675" s="108"/>
      <c r="L675" s="108"/>
      <c r="M675" s="105"/>
      <c r="N675" s="105"/>
      <c r="O675" s="105"/>
      <c r="P675" s="108"/>
      <c r="Q675" s="105"/>
      <c r="R675" s="105"/>
      <c r="S675" s="105"/>
      <c r="T675" s="105"/>
      <c r="U675" s="108"/>
      <c r="V675" s="105"/>
      <c r="W675" s="105"/>
      <c r="X675" s="105"/>
      <c r="Y675" s="105"/>
      <c r="Z675" s="105"/>
      <c r="AA675" s="108"/>
      <c r="AB675" s="108"/>
      <c r="AC675" s="105"/>
      <c r="AD675" s="279"/>
      <c r="AE675" s="105"/>
      <c r="AF675" s="279"/>
      <c r="AG675" s="105"/>
      <c r="AH675" s="108"/>
      <c r="AI675" s="108"/>
      <c r="AJ675" s="108"/>
      <c r="AK675" s="108"/>
      <c r="AL675" s="105"/>
      <c r="AM675" s="108"/>
      <c r="AN675" s="105"/>
      <c r="AO675" s="108"/>
      <c r="AP675" s="108"/>
      <c r="AQ675" s="105"/>
      <c r="AR675" s="108"/>
      <c r="AS675" s="108"/>
      <c r="AT675" s="105"/>
      <c r="AU675" s="105"/>
      <c r="AV675" s="105"/>
      <c r="AW675" s="105"/>
      <c r="AX675" s="105"/>
      <c r="AY675" s="105"/>
      <c r="AZ675" s="105"/>
      <c r="BA675" s="105"/>
      <c r="BB675" s="105"/>
      <c r="BC675" s="105"/>
      <c r="BD675" s="108"/>
      <c r="BE675" s="83">
        <f>IF($A675="","",IF(TRIM($D675&amp;"")="",IF(TRIM($AX675&amp;$AY675&amp;$AZ675&amp;$BA675&amp;$BB675&amp;$BC675&amp;$BD675&amp;"")="","","SUBARRENDADO"),IFERROR(IF(VLOOKUP($D675,VEHICULOS!$A$3:$H$202,7,FALSE)="","",VLOOKUP($D675,VEHICULOS!$A$3:$H$202,7,FALSE)),"")))</f>
      </c>
      <c r="BF675" s="82">
        <f>IF($A675="","",IF(TRIM($BC675&amp;"")&lt;&gt;"",$BC675,IF(TRIM($D675&amp;"")="","",IFERROR(IF(VLOOKUP($D675,VEHICULOS!$A$3:$H$202,8,FALSE)="","",VLOOKUP($D675,VEHICULOS!$A$3:$H$202,8,FALSE)),""))))</f>
      </c>
      <c r="BG675" s="106"/>
      <c r="BH675" s="107"/>
      <c r="BI675" s="86">
        <f t="shared" si="150"/>
      </c>
      <c r="BJ675" s="83">
        <f t="shared" si="151"/>
      </c>
      <c r="BK675" s="85">
        <f t="shared" si="152"/>
      </c>
      <c r="BL675" s="85">
        <f t="shared" si="153"/>
      </c>
      <c r="BM675" s="108"/>
      <c r="BN675" s="85">
        <f t="shared" si="154"/>
      </c>
      <c r="BO675" s="108"/>
      <c r="BP675" s="85">
        <f t="shared" si="155"/>
      </c>
      <c r="BQ675" s="85">
        <f t="shared" si="156"/>
      </c>
      <c r="BR675" s="108"/>
      <c r="BS675" s="104"/>
      <c r="BT675" s="87">
        <f t="shared" si="157"/>
      </c>
      <c r="BU675" s="85">
        <f t="shared" si="158"/>
      </c>
      <c r="BV675" s="85">
        <f t="shared" si="159"/>
      </c>
      <c r="BW675" s="87">
        <f t="shared" si="160"/>
      </c>
      <c r="BX675" s="104"/>
      <c r="BY675" s="106"/>
      <c r="BZ675" s="104"/>
      <c r="CA675" s="105"/>
      <c r="CB675" s="77">
        <f>IF($A675="",0,IF($B675='FICHA CLIENTE'!$C$4,1,0))</f>
      </c>
      <c r="CC675" s="77">
        <f t="shared" si="161"/>
      </c>
      <c r="CD675" s="77">
        <f>IF($A675="",0,IF($D675='FICHA VEHICULO'!$C$4,1,0))</f>
      </c>
      <c r="CE675" s="77">
        <f t="shared" si="162"/>
      </c>
      <c r="CF675" s="77">
        <f t="shared" si="163"/>
      </c>
      <c r="CG675" s="77">
        <f t="shared" si="164"/>
      </c>
    </row>
    <row r="676" spans="1:85" ht="19.5" customHeight="1" x14ac:dyDescent="0.2">
      <c r="A676" s="104"/>
      <c r="B676" s="104"/>
      <c r="C676" s="105"/>
      <c r="D676" s="104"/>
      <c r="E676" s="105"/>
      <c r="F676" s="106"/>
      <c r="G676" s="104"/>
      <c r="H676" s="106"/>
      <c r="I676" s="107"/>
      <c r="J676" s="108"/>
      <c r="K676" s="108"/>
      <c r="L676" s="108"/>
      <c r="M676" s="105"/>
      <c r="N676" s="105"/>
      <c r="O676" s="105"/>
      <c r="P676" s="108"/>
      <c r="Q676" s="105"/>
      <c r="R676" s="105"/>
      <c r="S676" s="105"/>
      <c r="T676" s="105"/>
      <c r="U676" s="108"/>
      <c r="V676" s="105"/>
      <c r="W676" s="105"/>
      <c r="X676" s="105"/>
      <c r="Y676" s="105"/>
      <c r="Z676" s="105"/>
      <c r="AA676" s="108"/>
      <c r="AB676" s="108"/>
      <c r="AC676" s="105"/>
      <c r="AD676" s="279"/>
      <c r="AE676" s="105"/>
      <c r="AF676" s="279"/>
      <c r="AG676" s="105"/>
      <c r="AH676" s="108"/>
      <c r="AI676" s="108"/>
      <c r="AJ676" s="108"/>
      <c r="AK676" s="108"/>
      <c r="AL676" s="105"/>
      <c r="AM676" s="108"/>
      <c r="AN676" s="105"/>
      <c r="AO676" s="108"/>
      <c r="AP676" s="108"/>
      <c r="AQ676" s="105"/>
      <c r="AR676" s="108"/>
      <c r="AS676" s="108"/>
      <c r="AT676" s="105"/>
      <c r="AU676" s="105"/>
      <c r="AV676" s="105"/>
      <c r="AW676" s="105"/>
      <c r="AX676" s="105"/>
      <c r="AY676" s="105"/>
      <c r="AZ676" s="105"/>
      <c r="BA676" s="105"/>
      <c r="BB676" s="105"/>
      <c r="BC676" s="105"/>
      <c r="BD676" s="108"/>
      <c r="BE676" s="83">
        <f>IF($A676="","",IF(TRIM($D676&amp;"")="",IF(TRIM($AX676&amp;$AY676&amp;$AZ676&amp;$BA676&amp;$BB676&amp;$BC676&amp;$BD676&amp;"")="","","SUBARRENDADO"),IFERROR(IF(VLOOKUP($D676,VEHICULOS!$A$3:$H$202,7,FALSE)="","",VLOOKUP($D676,VEHICULOS!$A$3:$H$202,7,FALSE)),"")))</f>
      </c>
      <c r="BF676" s="82">
        <f>IF($A676="","",IF(TRIM($BC676&amp;"")&lt;&gt;"",$BC676,IF(TRIM($D676&amp;"")="","",IFERROR(IF(VLOOKUP($D676,VEHICULOS!$A$3:$H$202,8,FALSE)="","",VLOOKUP($D676,VEHICULOS!$A$3:$H$202,8,FALSE)),""))))</f>
      </c>
      <c r="BG676" s="106"/>
      <c r="BH676" s="107"/>
      <c r="BI676" s="86">
        <f t="shared" si="150"/>
      </c>
      <c r="BJ676" s="83">
        <f t="shared" si="151"/>
      </c>
      <c r="BK676" s="85">
        <f t="shared" si="152"/>
      </c>
      <c r="BL676" s="85">
        <f t="shared" si="153"/>
      </c>
      <c r="BM676" s="108"/>
      <c r="BN676" s="85">
        <f t="shared" si="154"/>
      </c>
      <c r="BO676" s="108"/>
      <c r="BP676" s="85">
        <f t="shared" si="155"/>
      </c>
      <c r="BQ676" s="85">
        <f t="shared" si="156"/>
      </c>
      <c r="BR676" s="108"/>
      <c r="BS676" s="104"/>
      <c r="BT676" s="87">
        <f t="shared" si="157"/>
      </c>
      <c r="BU676" s="85">
        <f t="shared" si="158"/>
      </c>
      <c r="BV676" s="85">
        <f t="shared" si="159"/>
      </c>
      <c r="BW676" s="87">
        <f t="shared" si="160"/>
      </c>
      <c r="BX676" s="104"/>
      <c r="BY676" s="106"/>
      <c r="BZ676" s="104"/>
      <c r="CA676" s="105"/>
      <c r="CB676" s="77">
        <f>IF($A676="",0,IF($B676='FICHA CLIENTE'!$C$4,1,0))</f>
      </c>
      <c r="CC676" s="77">
        <f t="shared" si="161"/>
      </c>
      <c r="CD676" s="77">
        <f>IF($A676="",0,IF($D676='FICHA VEHICULO'!$C$4,1,0))</f>
      </c>
      <c r="CE676" s="77">
        <f t="shared" si="162"/>
      </c>
      <c r="CF676" s="77">
        <f t="shared" si="163"/>
      </c>
      <c r="CG676" s="77">
        <f t="shared" si="164"/>
      </c>
    </row>
    <row r="677" spans="1:85" ht="19.5" customHeight="1" x14ac:dyDescent="0.2">
      <c r="A677" s="104"/>
      <c r="B677" s="104"/>
      <c r="C677" s="105"/>
      <c r="D677" s="104"/>
      <c r="E677" s="105"/>
      <c r="F677" s="106"/>
      <c r="G677" s="104"/>
      <c r="H677" s="106"/>
      <c r="I677" s="107"/>
      <c r="J677" s="108"/>
      <c r="K677" s="108"/>
      <c r="L677" s="108"/>
      <c r="M677" s="105"/>
      <c r="N677" s="105"/>
      <c r="O677" s="105"/>
      <c r="P677" s="108"/>
      <c r="Q677" s="105"/>
      <c r="R677" s="105"/>
      <c r="S677" s="105"/>
      <c r="T677" s="105"/>
      <c r="U677" s="108"/>
      <c r="V677" s="105"/>
      <c r="W677" s="105"/>
      <c r="X677" s="105"/>
      <c r="Y677" s="105"/>
      <c r="Z677" s="105"/>
      <c r="AA677" s="108"/>
      <c r="AB677" s="108"/>
      <c r="AC677" s="105"/>
      <c r="AD677" s="279"/>
      <c r="AE677" s="105"/>
      <c r="AF677" s="279"/>
      <c r="AG677" s="105"/>
      <c r="AH677" s="108"/>
      <c r="AI677" s="108"/>
      <c r="AJ677" s="108"/>
      <c r="AK677" s="108"/>
      <c r="AL677" s="105"/>
      <c r="AM677" s="108"/>
      <c r="AN677" s="105"/>
      <c r="AO677" s="108"/>
      <c r="AP677" s="108"/>
      <c r="AQ677" s="105"/>
      <c r="AR677" s="108"/>
      <c r="AS677" s="108"/>
      <c r="AT677" s="105"/>
      <c r="AU677" s="105"/>
      <c r="AV677" s="105"/>
      <c r="AW677" s="105"/>
      <c r="AX677" s="105"/>
      <c r="AY677" s="105"/>
      <c r="AZ677" s="105"/>
      <c r="BA677" s="105"/>
      <c r="BB677" s="105"/>
      <c r="BC677" s="105"/>
      <c r="BD677" s="108"/>
      <c r="BE677" s="83">
        <f>IF($A677="","",IF(TRIM($D677&amp;"")="",IF(TRIM($AX677&amp;$AY677&amp;$AZ677&amp;$BA677&amp;$BB677&amp;$BC677&amp;$BD677&amp;"")="","","SUBARRENDADO"),IFERROR(IF(VLOOKUP($D677,VEHICULOS!$A$3:$H$202,7,FALSE)="","",VLOOKUP($D677,VEHICULOS!$A$3:$H$202,7,FALSE)),"")))</f>
      </c>
      <c r="BF677" s="82">
        <f>IF($A677="","",IF(TRIM($BC677&amp;"")&lt;&gt;"",$BC677,IF(TRIM($D677&amp;"")="","",IFERROR(IF(VLOOKUP($D677,VEHICULOS!$A$3:$H$202,8,FALSE)="","",VLOOKUP($D677,VEHICULOS!$A$3:$H$202,8,FALSE)),""))))</f>
      </c>
      <c r="BG677" s="106"/>
      <c r="BH677" s="107"/>
      <c r="BI677" s="86">
        <f t="shared" si="150"/>
      </c>
      <c r="BJ677" s="83">
        <f t="shared" si="151"/>
      </c>
      <c r="BK677" s="85">
        <f t="shared" si="152"/>
      </c>
      <c r="BL677" s="85">
        <f t="shared" si="153"/>
      </c>
      <c r="BM677" s="108"/>
      <c r="BN677" s="85">
        <f t="shared" si="154"/>
      </c>
      <c r="BO677" s="108"/>
      <c r="BP677" s="85">
        <f t="shared" si="155"/>
      </c>
      <c r="BQ677" s="85">
        <f t="shared" si="156"/>
      </c>
      <c r="BR677" s="108"/>
      <c r="BS677" s="104"/>
      <c r="BT677" s="87">
        <f t="shared" si="157"/>
      </c>
      <c r="BU677" s="85">
        <f t="shared" si="158"/>
      </c>
      <c r="BV677" s="85">
        <f t="shared" si="159"/>
      </c>
      <c r="BW677" s="87">
        <f t="shared" si="160"/>
      </c>
      <c r="BX677" s="104"/>
      <c r="BY677" s="106"/>
      <c r="BZ677" s="104"/>
      <c r="CA677" s="105"/>
      <c r="CB677" s="77">
        <f>IF($A677="",0,IF($B677='FICHA CLIENTE'!$C$4,1,0))</f>
      </c>
      <c r="CC677" s="77">
        <f t="shared" si="161"/>
      </c>
      <c r="CD677" s="77">
        <f>IF($A677="",0,IF($D677='FICHA VEHICULO'!$C$4,1,0))</f>
      </c>
      <c r="CE677" s="77">
        <f t="shared" si="162"/>
      </c>
      <c r="CF677" s="77">
        <f t="shared" si="163"/>
      </c>
      <c r="CG677" s="77">
        <f t="shared" si="164"/>
      </c>
    </row>
    <row r="678" spans="1:85" ht="19.5" customHeight="1" x14ac:dyDescent="0.2">
      <c r="A678" s="104"/>
      <c r="B678" s="104"/>
      <c r="C678" s="105"/>
      <c r="D678" s="104"/>
      <c r="E678" s="105"/>
      <c r="F678" s="106"/>
      <c r="G678" s="104"/>
      <c r="H678" s="106"/>
      <c r="I678" s="107"/>
      <c r="J678" s="108"/>
      <c r="K678" s="108"/>
      <c r="L678" s="108"/>
      <c r="M678" s="105"/>
      <c r="N678" s="105"/>
      <c r="O678" s="105"/>
      <c r="P678" s="108"/>
      <c r="Q678" s="105"/>
      <c r="R678" s="105"/>
      <c r="S678" s="105"/>
      <c r="T678" s="105"/>
      <c r="U678" s="108"/>
      <c r="V678" s="105"/>
      <c r="W678" s="105"/>
      <c r="X678" s="105"/>
      <c r="Y678" s="105"/>
      <c r="Z678" s="105"/>
      <c r="AA678" s="108"/>
      <c r="AB678" s="108"/>
      <c r="AC678" s="105"/>
      <c r="AD678" s="279"/>
      <c r="AE678" s="105"/>
      <c r="AF678" s="279"/>
      <c r="AG678" s="105"/>
      <c r="AH678" s="108"/>
      <c r="AI678" s="108"/>
      <c r="AJ678" s="108"/>
      <c r="AK678" s="108"/>
      <c r="AL678" s="105"/>
      <c r="AM678" s="108"/>
      <c r="AN678" s="105"/>
      <c r="AO678" s="108"/>
      <c r="AP678" s="108"/>
      <c r="AQ678" s="105"/>
      <c r="AR678" s="108"/>
      <c r="AS678" s="108"/>
      <c r="AT678" s="105"/>
      <c r="AU678" s="105"/>
      <c r="AV678" s="105"/>
      <c r="AW678" s="105"/>
      <c r="AX678" s="105"/>
      <c r="AY678" s="105"/>
      <c r="AZ678" s="105"/>
      <c r="BA678" s="105"/>
      <c r="BB678" s="105"/>
      <c r="BC678" s="105"/>
      <c r="BD678" s="108"/>
      <c r="BE678" s="83">
        <f>IF($A678="","",IF(TRIM($D678&amp;"")="",IF(TRIM($AX678&amp;$AY678&amp;$AZ678&amp;$BA678&amp;$BB678&amp;$BC678&amp;$BD678&amp;"")="","","SUBARRENDADO"),IFERROR(IF(VLOOKUP($D678,VEHICULOS!$A$3:$H$202,7,FALSE)="","",VLOOKUP($D678,VEHICULOS!$A$3:$H$202,7,FALSE)),"")))</f>
      </c>
      <c r="BF678" s="82">
        <f>IF($A678="","",IF(TRIM($BC678&amp;"")&lt;&gt;"",$BC678,IF(TRIM($D678&amp;"")="","",IFERROR(IF(VLOOKUP($D678,VEHICULOS!$A$3:$H$202,8,FALSE)="","",VLOOKUP($D678,VEHICULOS!$A$3:$H$202,8,FALSE)),""))))</f>
      </c>
      <c r="BG678" s="106"/>
      <c r="BH678" s="107"/>
      <c r="BI678" s="86">
        <f t="shared" si="150"/>
      </c>
      <c r="BJ678" s="83">
        <f t="shared" si="151"/>
      </c>
      <c r="BK678" s="85">
        <f t="shared" si="152"/>
      </c>
      <c r="BL678" s="85">
        <f t="shared" si="153"/>
      </c>
      <c r="BM678" s="108"/>
      <c r="BN678" s="85">
        <f t="shared" si="154"/>
      </c>
      <c r="BO678" s="108"/>
      <c r="BP678" s="85">
        <f t="shared" si="155"/>
      </c>
      <c r="BQ678" s="85">
        <f t="shared" si="156"/>
      </c>
      <c r="BR678" s="108"/>
      <c r="BS678" s="104"/>
      <c r="BT678" s="87">
        <f t="shared" si="157"/>
      </c>
      <c r="BU678" s="85">
        <f t="shared" si="158"/>
      </c>
      <c r="BV678" s="85">
        <f t="shared" si="159"/>
      </c>
      <c r="BW678" s="87">
        <f t="shared" si="160"/>
      </c>
      <c r="BX678" s="104"/>
      <c r="BY678" s="106"/>
      <c r="BZ678" s="104"/>
      <c r="CA678" s="105"/>
      <c r="CB678" s="77">
        <f>IF($A678="",0,IF($B678='FICHA CLIENTE'!$C$4,1,0))</f>
      </c>
      <c r="CC678" s="77">
        <f t="shared" si="161"/>
      </c>
      <c r="CD678" s="77">
        <f>IF($A678="",0,IF($D678='FICHA VEHICULO'!$C$4,1,0))</f>
      </c>
      <c r="CE678" s="77">
        <f t="shared" si="162"/>
      </c>
      <c r="CF678" s="77">
        <f t="shared" si="163"/>
      </c>
      <c r="CG678" s="77">
        <f t="shared" si="164"/>
      </c>
    </row>
    <row r="679" spans="1:85" ht="19.5" customHeight="1" x14ac:dyDescent="0.2">
      <c r="A679" s="104"/>
      <c r="B679" s="104"/>
      <c r="C679" s="105"/>
      <c r="D679" s="104"/>
      <c r="E679" s="105"/>
      <c r="F679" s="106"/>
      <c r="G679" s="104"/>
      <c r="H679" s="106"/>
      <c r="I679" s="107"/>
      <c r="J679" s="108"/>
      <c r="K679" s="108"/>
      <c r="L679" s="108"/>
      <c r="M679" s="105"/>
      <c r="N679" s="105"/>
      <c r="O679" s="105"/>
      <c r="P679" s="108"/>
      <c r="Q679" s="105"/>
      <c r="R679" s="105"/>
      <c r="S679" s="105"/>
      <c r="T679" s="105"/>
      <c r="U679" s="108"/>
      <c r="V679" s="105"/>
      <c r="W679" s="105"/>
      <c r="X679" s="105"/>
      <c r="Y679" s="105"/>
      <c r="Z679" s="105"/>
      <c r="AA679" s="108"/>
      <c r="AB679" s="108"/>
      <c r="AC679" s="105"/>
      <c r="AD679" s="279"/>
      <c r="AE679" s="105"/>
      <c r="AF679" s="279"/>
      <c r="AG679" s="105"/>
      <c r="AH679" s="108"/>
      <c r="AI679" s="108"/>
      <c r="AJ679" s="108"/>
      <c r="AK679" s="108"/>
      <c r="AL679" s="105"/>
      <c r="AM679" s="108"/>
      <c r="AN679" s="105"/>
      <c r="AO679" s="108"/>
      <c r="AP679" s="108"/>
      <c r="AQ679" s="105"/>
      <c r="AR679" s="108"/>
      <c r="AS679" s="108"/>
      <c r="AT679" s="105"/>
      <c r="AU679" s="105"/>
      <c r="AV679" s="105"/>
      <c r="AW679" s="105"/>
      <c r="AX679" s="105"/>
      <c r="AY679" s="105"/>
      <c r="AZ679" s="105"/>
      <c r="BA679" s="105"/>
      <c r="BB679" s="105"/>
      <c r="BC679" s="105"/>
      <c r="BD679" s="108"/>
      <c r="BE679" s="83">
        <f>IF($A679="","",IF(TRIM($D679&amp;"")="",IF(TRIM($AX679&amp;$AY679&amp;$AZ679&amp;$BA679&amp;$BB679&amp;$BC679&amp;$BD679&amp;"")="","","SUBARRENDADO"),IFERROR(IF(VLOOKUP($D679,VEHICULOS!$A$3:$H$202,7,FALSE)="","",VLOOKUP($D679,VEHICULOS!$A$3:$H$202,7,FALSE)),"")))</f>
      </c>
      <c r="BF679" s="82">
        <f>IF($A679="","",IF(TRIM($BC679&amp;"")&lt;&gt;"",$BC679,IF(TRIM($D679&amp;"")="","",IFERROR(IF(VLOOKUP($D679,VEHICULOS!$A$3:$H$202,8,FALSE)="","",VLOOKUP($D679,VEHICULOS!$A$3:$H$202,8,FALSE)),""))))</f>
      </c>
      <c r="BG679" s="106"/>
      <c r="BH679" s="107"/>
      <c r="BI679" s="86">
        <f t="shared" si="150"/>
      </c>
      <c r="BJ679" s="83">
        <f t="shared" si="151"/>
      </c>
      <c r="BK679" s="85">
        <f t="shared" si="152"/>
      </c>
      <c r="BL679" s="85">
        <f t="shared" si="153"/>
      </c>
      <c r="BM679" s="108"/>
      <c r="BN679" s="85">
        <f t="shared" si="154"/>
      </c>
      <c r="BO679" s="108"/>
      <c r="BP679" s="85">
        <f t="shared" si="155"/>
      </c>
      <c r="BQ679" s="85">
        <f t="shared" si="156"/>
      </c>
      <c r="BR679" s="108"/>
      <c r="BS679" s="104"/>
      <c r="BT679" s="87">
        <f t="shared" si="157"/>
      </c>
      <c r="BU679" s="85">
        <f t="shared" si="158"/>
      </c>
      <c r="BV679" s="85">
        <f t="shared" si="159"/>
      </c>
      <c r="BW679" s="87">
        <f t="shared" si="160"/>
      </c>
      <c r="BX679" s="104"/>
      <c r="BY679" s="106"/>
      <c r="BZ679" s="104"/>
      <c r="CA679" s="105"/>
      <c r="CB679" s="77">
        <f>IF($A679="",0,IF($B679='FICHA CLIENTE'!$C$4,1,0))</f>
      </c>
      <c r="CC679" s="77">
        <f t="shared" si="161"/>
      </c>
      <c r="CD679" s="77">
        <f>IF($A679="",0,IF($D679='FICHA VEHICULO'!$C$4,1,0))</f>
      </c>
      <c r="CE679" s="77">
        <f t="shared" si="162"/>
      </c>
      <c r="CF679" s="77">
        <f t="shared" si="163"/>
      </c>
      <c r="CG679" s="77">
        <f t="shared" si="164"/>
      </c>
    </row>
    <row r="680" spans="1:85" ht="19.5" customHeight="1" x14ac:dyDescent="0.2">
      <c r="A680" s="104"/>
      <c r="B680" s="104"/>
      <c r="C680" s="105"/>
      <c r="D680" s="104"/>
      <c r="E680" s="105"/>
      <c r="F680" s="106"/>
      <c r="G680" s="104"/>
      <c r="H680" s="106"/>
      <c r="I680" s="107"/>
      <c r="J680" s="108"/>
      <c r="K680" s="108"/>
      <c r="L680" s="108"/>
      <c r="M680" s="105"/>
      <c r="N680" s="105"/>
      <c r="O680" s="105"/>
      <c r="P680" s="108"/>
      <c r="Q680" s="105"/>
      <c r="R680" s="105"/>
      <c r="S680" s="105"/>
      <c r="T680" s="105"/>
      <c r="U680" s="108"/>
      <c r="V680" s="105"/>
      <c r="W680" s="105"/>
      <c r="X680" s="105"/>
      <c r="Y680" s="105"/>
      <c r="Z680" s="105"/>
      <c r="AA680" s="108"/>
      <c r="AB680" s="108"/>
      <c r="AC680" s="105"/>
      <c r="AD680" s="279"/>
      <c r="AE680" s="105"/>
      <c r="AF680" s="279"/>
      <c r="AG680" s="105"/>
      <c r="AH680" s="108"/>
      <c r="AI680" s="108"/>
      <c r="AJ680" s="108"/>
      <c r="AK680" s="108"/>
      <c r="AL680" s="105"/>
      <c r="AM680" s="108"/>
      <c r="AN680" s="105"/>
      <c r="AO680" s="108"/>
      <c r="AP680" s="108"/>
      <c r="AQ680" s="105"/>
      <c r="AR680" s="108"/>
      <c r="AS680" s="108"/>
      <c r="AT680" s="105"/>
      <c r="AU680" s="105"/>
      <c r="AV680" s="105"/>
      <c r="AW680" s="105"/>
      <c r="AX680" s="105"/>
      <c r="AY680" s="105"/>
      <c r="AZ680" s="105"/>
      <c r="BA680" s="105"/>
      <c r="BB680" s="105"/>
      <c r="BC680" s="105"/>
      <c r="BD680" s="108"/>
      <c r="BE680" s="83">
        <f>IF($A680="","",IF(TRIM($D680&amp;"")="",IF(TRIM($AX680&amp;$AY680&amp;$AZ680&amp;$BA680&amp;$BB680&amp;$BC680&amp;$BD680&amp;"")="","","SUBARRENDADO"),IFERROR(IF(VLOOKUP($D680,VEHICULOS!$A$3:$H$202,7,FALSE)="","",VLOOKUP($D680,VEHICULOS!$A$3:$H$202,7,FALSE)),"")))</f>
      </c>
      <c r="BF680" s="82">
        <f>IF($A680="","",IF(TRIM($BC680&amp;"")&lt;&gt;"",$BC680,IF(TRIM($D680&amp;"")="","",IFERROR(IF(VLOOKUP($D680,VEHICULOS!$A$3:$H$202,8,FALSE)="","",VLOOKUP($D680,VEHICULOS!$A$3:$H$202,8,FALSE)),""))))</f>
      </c>
      <c r="BG680" s="106"/>
      <c r="BH680" s="107"/>
      <c r="BI680" s="86">
        <f t="shared" si="150"/>
      </c>
      <c r="BJ680" s="83">
        <f t="shared" si="151"/>
      </c>
      <c r="BK680" s="85">
        <f t="shared" si="152"/>
      </c>
      <c r="BL680" s="85">
        <f t="shared" si="153"/>
      </c>
      <c r="BM680" s="108"/>
      <c r="BN680" s="85">
        <f t="shared" si="154"/>
      </c>
      <c r="BO680" s="108"/>
      <c r="BP680" s="85">
        <f t="shared" si="155"/>
      </c>
      <c r="BQ680" s="85">
        <f t="shared" si="156"/>
      </c>
      <c r="BR680" s="108"/>
      <c r="BS680" s="104"/>
      <c r="BT680" s="87">
        <f t="shared" si="157"/>
      </c>
      <c r="BU680" s="85">
        <f t="shared" si="158"/>
      </c>
      <c r="BV680" s="85">
        <f t="shared" si="159"/>
      </c>
      <c r="BW680" s="87">
        <f t="shared" si="160"/>
      </c>
      <c r="BX680" s="104"/>
      <c r="BY680" s="106"/>
      <c r="BZ680" s="104"/>
      <c r="CA680" s="105"/>
      <c r="CB680" s="77">
        <f>IF($A680="",0,IF($B680='FICHA CLIENTE'!$C$4,1,0))</f>
      </c>
      <c r="CC680" s="77">
        <f t="shared" si="161"/>
      </c>
      <c r="CD680" s="77">
        <f>IF($A680="",0,IF($D680='FICHA VEHICULO'!$C$4,1,0))</f>
      </c>
      <c r="CE680" s="77">
        <f t="shared" si="162"/>
      </c>
      <c r="CF680" s="77">
        <f t="shared" si="163"/>
      </c>
      <c r="CG680" s="77">
        <f t="shared" si="164"/>
      </c>
    </row>
    <row r="681" spans="1:85" ht="19.5" customHeight="1" x14ac:dyDescent="0.2">
      <c r="A681" s="104"/>
      <c r="B681" s="104"/>
      <c r="C681" s="105"/>
      <c r="D681" s="104"/>
      <c r="E681" s="105"/>
      <c r="F681" s="106"/>
      <c r="G681" s="104"/>
      <c r="H681" s="106"/>
      <c r="I681" s="107"/>
      <c r="J681" s="108"/>
      <c r="K681" s="108"/>
      <c r="L681" s="108"/>
      <c r="M681" s="105"/>
      <c r="N681" s="105"/>
      <c r="O681" s="105"/>
      <c r="P681" s="108"/>
      <c r="Q681" s="105"/>
      <c r="R681" s="105"/>
      <c r="S681" s="105"/>
      <c r="T681" s="105"/>
      <c r="U681" s="108"/>
      <c r="V681" s="105"/>
      <c r="W681" s="105"/>
      <c r="X681" s="105"/>
      <c r="Y681" s="105"/>
      <c r="Z681" s="105"/>
      <c r="AA681" s="108"/>
      <c r="AB681" s="108"/>
      <c r="AC681" s="105"/>
      <c r="AD681" s="279"/>
      <c r="AE681" s="105"/>
      <c r="AF681" s="279"/>
      <c r="AG681" s="105"/>
      <c r="AH681" s="108"/>
      <c r="AI681" s="108"/>
      <c r="AJ681" s="108"/>
      <c r="AK681" s="108"/>
      <c r="AL681" s="105"/>
      <c r="AM681" s="108"/>
      <c r="AN681" s="105"/>
      <c r="AO681" s="108"/>
      <c r="AP681" s="108"/>
      <c r="AQ681" s="105"/>
      <c r="AR681" s="108"/>
      <c r="AS681" s="108"/>
      <c r="AT681" s="105"/>
      <c r="AU681" s="105"/>
      <c r="AV681" s="105"/>
      <c r="AW681" s="105"/>
      <c r="AX681" s="105"/>
      <c r="AY681" s="105"/>
      <c r="AZ681" s="105"/>
      <c r="BA681" s="105"/>
      <c r="BB681" s="105"/>
      <c r="BC681" s="105"/>
      <c r="BD681" s="108"/>
      <c r="BE681" s="83">
        <f>IF($A681="","",IF(TRIM($D681&amp;"")="",IF(TRIM($AX681&amp;$AY681&amp;$AZ681&amp;$BA681&amp;$BB681&amp;$BC681&amp;$BD681&amp;"")="","","SUBARRENDADO"),IFERROR(IF(VLOOKUP($D681,VEHICULOS!$A$3:$H$202,7,FALSE)="","",VLOOKUP($D681,VEHICULOS!$A$3:$H$202,7,FALSE)),"")))</f>
      </c>
      <c r="BF681" s="82">
        <f>IF($A681="","",IF(TRIM($BC681&amp;"")&lt;&gt;"",$BC681,IF(TRIM($D681&amp;"")="","",IFERROR(IF(VLOOKUP($D681,VEHICULOS!$A$3:$H$202,8,FALSE)="","",VLOOKUP($D681,VEHICULOS!$A$3:$H$202,8,FALSE)),""))))</f>
      </c>
      <c r="BG681" s="106"/>
      <c r="BH681" s="107"/>
      <c r="BI681" s="86">
        <f t="shared" si="150"/>
      </c>
      <c r="BJ681" s="83">
        <f t="shared" si="151"/>
      </c>
      <c r="BK681" s="85">
        <f t="shared" si="152"/>
      </c>
      <c r="BL681" s="85">
        <f t="shared" si="153"/>
      </c>
      <c r="BM681" s="108"/>
      <c r="BN681" s="85">
        <f t="shared" si="154"/>
      </c>
      <c r="BO681" s="108"/>
      <c r="BP681" s="85">
        <f t="shared" si="155"/>
      </c>
      <c r="BQ681" s="85">
        <f t="shared" si="156"/>
      </c>
      <c r="BR681" s="108"/>
      <c r="BS681" s="104"/>
      <c r="BT681" s="87">
        <f t="shared" si="157"/>
      </c>
      <c r="BU681" s="85">
        <f t="shared" si="158"/>
      </c>
      <c r="BV681" s="85">
        <f t="shared" si="159"/>
      </c>
      <c r="BW681" s="87">
        <f t="shared" si="160"/>
      </c>
      <c r="BX681" s="104"/>
      <c r="BY681" s="106"/>
      <c r="BZ681" s="104"/>
      <c r="CA681" s="105"/>
      <c r="CB681" s="77">
        <f>IF($A681="",0,IF($B681='FICHA CLIENTE'!$C$4,1,0))</f>
      </c>
      <c r="CC681" s="77">
        <f t="shared" si="161"/>
      </c>
      <c r="CD681" s="77">
        <f>IF($A681="",0,IF($D681='FICHA VEHICULO'!$C$4,1,0))</f>
      </c>
      <c r="CE681" s="77">
        <f t="shared" si="162"/>
      </c>
      <c r="CF681" s="77">
        <f t="shared" si="163"/>
      </c>
      <c r="CG681" s="77">
        <f t="shared" si="164"/>
      </c>
    </row>
    <row r="682" spans="1:85" ht="19.5" customHeight="1" x14ac:dyDescent="0.2">
      <c r="A682" s="104"/>
      <c r="B682" s="104"/>
      <c r="C682" s="105"/>
      <c r="D682" s="104"/>
      <c r="E682" s="105"/>
      <c r="F682" s="106"/>
      <c r="G682" s="104"/>
      <c r="H682" s="106"/>
      <c r="I682" s="107"/>
      <c r="J682" s="108"/>
      <c r="K682" s="108"/>
      <c r="L682" s="108"/>
      <c r="M682" s="105"/>
      <c r="N682" s="105"/>
      <c r="O682" s="105"/>
      <c r="P682" s="108"/>
      <c r="Q682" s="105"/>
      <c r="R682" s="105"/>
      <c r="S682" s="105"/>
      <c r="T682" s="105"/>
      <c r="U682" s="108"/>
      <c r="V682" s="105"/>
      <c r="W682" s="105"/>
      <c r="X682" s="105"/>
      <c r="Y682" s="105"/>
      <c r="Z682" s="105"/>
      <c r="AA682" s="108"/>
      <c r="AB682" s="108"/>
      <c r="AC682" s="105"/>
      <c r="AD682" s="279"/>
      <c r="AE682" s="105"/>
      <c r="AF682" s="279"/>
      <c r="AG682" s="105"/>
      <c r="AH682" s="108"/>
      <c r="AI682" s="108"/>
      <c r="AJ682" s="108"/>
      <c r="AK682" s="108"/>
      <c r="AL682" s="105"/>
      <c r="AM682" s="108"/>
      <c r="AN682" s="105"/>
      <c r="AO682" s="108"/>
      <c r="AP682" s="108"/>
      <c r="AQ682" s="105"/>
      <c r="AR682" s="108"/>
      <c r="AS682" s="108"/>
      <c r="AT682" s="105"/>
      <c r="AU682" s="105"/>
      <c r="AV682" s="105"/>
      <c r="AW682" s="105"/>
      <c r="AX682" s="105"/>
      <c r="AY682" s="105"/>
      <c r="AZ682" s="105"/>
      <c r="BA682" s="105"/>
      <c r="BB682" s="105"/>
      <c r="BC682" s="105"/>
      <c r="BD682" s="108"/>
      <c r="BE682" s="83">
        <f>IF($A682="","",IF(TRIM($D682&amp;"")="",IF(TRIM($AX682&amp;$AY682&amp;$AZ682&amp;$BA682&amp;$BB682&amp;$BC682&amp;$BD682&amp;"")="","","SUBARRENDADO"),IFERROR(IF(VLOOKUP($D682,VEHICULOS!$A$3:$H$202,7,FALSE)="","",VLOOKUP($D682,VEHICULOS!$A$3:$H$202,7,FALSE)),"")))</f>
      </c>
      <c r="BF682" s="82">
        <f>IF($A682="","",IF(TRIM($BC682&amp;"")&lt;&gt;"",$BC682,IF(TRIM($D682&amp;"")="","",IFERROR(IF(VLOOKUP($D682,VEHICULOS!$A$3:$H$202,8,FALSE)="","",VLOOKUP($D682,VEHICULOS!$A$3:$H$202,8,FALSE)),""))))</f>
      </c>
      <c r="BG682" s="106"/>
      <c r="BH682" s="107"/>
      <c r="BI682" s="86">
        <f t="shared" si="150"/>
      </c>
      <c r="BJ682" s="83">
        <f t="shared" si="151"/>
      </c>
      <c r="BK682" s="85">
        <f t="shared" si="152"/>
      </c>
      <c r="BL682" s="85">
        <f t="shared" si="153"/>
      </c>
      <c r="BM682" s="108"/>
      <c r="BN682" s="85">
        <f t="shared" si="154"/>
      </c>
      <c r="BO682" s="108"/>
      <c r="BP682" s="85">
        <f t="shared" si="155"/>
      </c>
      <c r="BQ682" s="85">
        <f t="shared" si="156"/>
      </c>
      <c r="BR682" s="108"/>
      <c r="BS682" s="104"/>
      <c r="BT682" s="87">
        <f t="shared" si="157"/>
      </c>
      <c r="BU682" s="85">
        <f t="shared" si="158"/>
      </c>
      <c r="BV682" s="85">
        <f t="shared" si="159"/>
      </c>
      <c r="BW682" s="87">
        <f t="shared" si="160"/>
      </c>
      <c r="BX682" s="104"/>
      <c r="BY682" s="106"/>
      <c r="BZ682" s="104"/>
      <c r="CA682" s="105"/>
      <c r="CB682" s="77">
        <f>IF($A682="",0,IF($B682='FICHA CLIENTE'!$C$4,1,0))</f>
      </c>
      <c r="CC682" s="77">
        <f t="shared" si="161"/>
      </c>
      <c r="CD682" s="77">
        <f>IF($A682="",0,IF($D682='FICHA VEHICULO'!$C$4,1,0))</f>
      </c>
      <c r="CE682" s="77">
        <f t="shared" si="162"/>
      </c>
      <c r="CF682" s="77">
        <f t="shared" si="163"/>
      </c>
      <c r="CG682" s="77">
        <f t="shared" si="164"/>
      </c>
    </row>
    <row r="683" spans="1:85" ht="19.5" customHeight="1" x14ac:dyDescent="0.2">
      <c r="A683" s="104"/>
      <c r="B683" s="104"/>
      <c r="C683" s="105"/>
      <c r="D683" s="104"/>
      <c r="E683" s="105"/>
      <c r="F683" s="106"/>
      <c r="G683" s="104"/>
      <c r="H683" s="106"/>
      <c r="I683" s="107"/>
      <c r="J683" s="108"/>
      <c r="K683" s="108"/>
      <c r="L683" s="108"/>
      <c r="M683" s="105"/>
      <c r="N683" s="105"/>
      <c r="O683" s="105"/>
      <c r="P683" s="108"/>
      <c r="Q683" s="105"/>
      <c r="R683" s="105"/>
      <c r="S683" s="105"/>
      <c r="T683" s="105"/>
      <c r="U683" s="108"/>
      <c r="V683" s="105"/>
      <c r="W683" s="105"/>
      <c r="X683" s="105"/>
      <c r="Y683" s="105"/>
      <c r="Z683" s="105"/>
      <c r="AA683" s="108"/>
      <c r="AB683" s="108"/>
      <c r="AC683" s="105"/>
      <c r="AD683" s="279"/>
      <c r="AE683" s="105"/>
      <c r="AF683" s="279"/>
      <c r="AG683" s="105"/>
      <c r="AH683" s="108"/>
      <c r="AI683" s="108"/>
      <c r="AJ683" s="108"/>
      <c r="AK683" s="108"/>
      <c r="AL683" s="105"/>
      <c r="AM683" s="108"/>
      <c r="AN683" s="105"/>
      <c r="AO683" s="108"/>
      <c r="AP683" s="108"/>
      <c r="AQ683" s="105"/>
      <c r="AR683" s="108"/>
      <c r="AS683" s="108"/>
      <c r="AT683" s="105"/>
      <c r="AU683" s="105"/>
      <c r="AV683" s="105"/>
      <c r="AW683" s="105"/>
      <c r="AX683" s="105"/>
      <c r="AY683" s="105"/>
      <c r="AZ683" s="105"/>
      <c r="BA683" s="105"/>
      <c r="BB683" s="105"/>
      <c r="BC683" s="105"/>
      <c r="BD683" s="108"/>
      <c r="BE683" s="83">
        <f>IF($A683="","",IF(TRIM($D683&amp;"")="",IF(TRIM($AX683&amp;$AY683&amp;$AZ683&amp;$BA683&amp;$BB683&amp;$BC683&amp;$BD683&amp;"")="","","SUBARRENDADO"),IFERROR(IF(VLOOKUP($D683,VEHICULOS!$A$3:$H$202,7,FALSE)="","",VLOOKUP($D683,VEHICULOS!$A$3:$H$202,7,FALSE)),"")))</f>
      </c>
      <c r="BF683" s="82">
        <f>IF($A683="","",IF(TRIM($BC683&amp;"")&lt;&gt;"",$BC683,IF(TRIM($D683&amp;"")="","",IFERROR(IF(VLOOKUP($D683,VEHICULOS!$A$3:$H$202,8,FALSE)="","",VLOOKUP($D683,VEHICULOS!$A$3:$H$202,8,FALSE)),""))))</f>
      </c>
      <c r="BG683" s="106"/>
      <c r="BH683" s="107"/>
      <c r="BI683" s="86">
        <f t="shared" si="150"/>
      </c>
      <c r="BJ683" s="83">
        <f t="shared" si="151"/>
      </c>
      <c r="BK683" s="85">
        <f t="shared" si="152"/>
      </c>
      <c r="BL683" s="85">
        <f t="shared" si="153"/>
      </c>
      <c r="BM683" s="108"/>
      <c r="BN683" s="85">
        <f t="shared" si="154"/>
      </c>
      <c r="BO683" s="108"/>
      <c r="BP683" s="85">
        <f t="shared" si="155"/>
      </c>
      <c r="BQ683" s="85">
        <f t="shared" si="156"/>
      </c>
      <c r="BR683" s="108"/>
      <c r="BS683" s="104"/>
      <c r="BT683" s="87">
        <f t="shared" si="157"/>
      </c>
      <c r="BU683" s="85">
        <f t="shared" si="158"/>
      </c>
      <c r="BV683" s="85">
        <f t="shared" si="159"/>
      </c>
      <c r="BW683" s="87">
        <f t="shared" si="160"/>
      </c>
      <c r="BX683" s="104"/>
      <c r="BY683" s="106"/>
      <c r="BZ683" s="104"/>
      <c r="CA683" s="105"/>
      <c r="CB683" s="77">
        <f>IF($A683="",0,IF($B683='FICHA CLIENTE'!$C$4,1,0))</f>
      </c>
      <c r="CC683" s="77">
        <f t="shared" si="161"/>
      </c>
      <c r="CD683" s="77">
        <f>IF($A683="",0,IF($D683='FICHA VEHICULO'!$C$4,1,0))</f>
      </c>
      <c r="CE683" s="77">
        <f t="shared" si="162"/>
      </c>
      <c r="CF683" s="77">
        <f t="shared" si="163"/>
      </c>
      <c r="CG683" s="77">
        <f t="shared" si="164"/>
      </c>
    </row>
    <row r="684" spans="1:85" ht="19.5" customHeight="1" x14ac:dyDescent="0.2">
      <c r="A684" s="104"/>
      <c r="B684" s="104"/>
      <c r="C684" s="105"/>
      <c r="D684" s="104"/>
      <c r="E684" s="105"/>
      <c r="F684" s="106"/>
      <c r="G684" s="104"/>
      <c r="H684" s="106"/>
      <c r="I684" s="107"/>
      <c r="J684" s="108"/>
      <c r="K684" s="108"/>
      <c r="L684" s="108"/>
      <c r="M684" s="105"/>
      <c r="N684" s="105"/>
      <c r="O684" s="105"/>
      <c r="P684" s="108"/>
      <c r="Q684" s="105"/>
      <c r="R684" s="105"/>
      <c r="S684" s="105"/>
      <c r="T684" s="105"/>
      <c r="U684" s="108"/>
      <c r="V684" s="105"/>
      <c r="W684" s="105"/>
      <c r="X684" s="105"/>
      <c r="Y684" s="105"/>
      <c r="Z684" s="105"/>
      <c r="AA684" s="108"/>
      <c r="AB684" s="108"/>
      <c r="AC684" s="105"/>
      <c r="AD684" s="279"/>
      <c r="AE684" s="105"/>
      <c r="AF684" s="279"/>
      <c r="AG684" s="105"/>
      <c r="AH684" s="108"/>
      <c r="AI684" s="108"/>
      <c r="AJ684" s="108"/>
      <c r="AK684" s="108"/>
      <c r="AL684" s="105"/>
      <c r="AM684" s="108"/>
      <c r="AN684" s="105"/>
      <c r="AO684" s="108"/>
      <c r="AP684" s="108"/>
      <c r="AQ684" s="105"/>
      <c r="AR684" s="108"/>
      <c r="AS684" s="108"/>
      <c r="AT684" s="105"/>
      <c r="AU684" s="105"/>
      <c r="AV684" s="105"/>
      <c r="AW684" s="105"/>
      <c r="AX684" s="105"/>
      <c r="AY684" s="105"/>
      <c r="AZ684" s="105"/>
      <c r="BA684" s="105"/>
      <c r="BB684" s="105"/>
      <c r="BC684" s="105"/>
      <c r="BD684" s="108"/>
      <c r="BE684" s="83">
        <f>IF($A684="","",IF(TRIM($D684&amp;"")="",IF(TRIM($AX684&amp;$AY684&amp;$AZ684&amp;$BA684&amp;$BB684&amp;$BC684&amp;$BD684&amp;"")="","","SUBARRENDADO"),IFERROR(IF(VLOOKUP($D684,VEHICULOS!$A$3:$H$202,7,FALSE)="","",VLOOKUP($D684,VEHICULOS!$A$3:$H$202,7,FALSE)),"")))</f>
      </c>
      <c r="BF684" s="82">
        <f>IF($A684="","",IF(TRIM($BC684&amp;"")&lt;&gt;"",$BC684,IF(TRIM($D684&amp;"")="","",IFERROR(IF(VLOOKUP($D684,VEHICULOS!$A$3:$H$202,8,FALSE)="","",VLOOKUP($D684,VEHICULOS!$A$3:$H$202,8,FALSE)),""))))</f>
      </c>
      <c r="BG684" s="106"/>
      <c r="BH684" s="107"/>
      <c r="BI684" s="86">
        <f t="shared" si="150"/>
      </c>
      <c r="BJ684" s="83">
        <f t="shared" si="151"/>
      </c>
      <c r="BK684" s="85">
        <f t="shared" si="152"/>
      </c>
      <c r="BL684" s="85">
        <f t="shared" si="153"/>
      </c>
      <c r="BM684" s="108"/>
      <c r="BN684" s="85">
        <f t="shared" si="154"/>
      </c>
      <c r="BO684" s="108"/>
      <c r="BP684" s="85">
        <f t="shared" si="155"/>
      </c>
      <c r="BQ684" s="85">
        <f t="shared" si="156"/>
      </c>
      <c r="BR684" s="108"/>
      <c r="BS684" s="104"/>
      <c r="BT684" s="87">
        <f t="shared" si="157"/>
      </c>
      <c r="BU684" s="85">
        <f t="shared" si="158"/>
      </c>
      <c r="BV684" s="85">
        <f t="shared" si="159"/>
      </c>
      <c r="BW684" s="87">
        <f t="shared" si="160"/>
      </c>
      <c r="BX684" s="104"/>
      <c r="BY684" s="106"/>
      <c r="BZ684" s="104"/>
      <c r="CA684" s="105"/>
      <c r="CB684" s="77">
        <f>IF($A684="",0,IF($B684='FICHA CLIENTE'!$C$4,1,0))</f>
      </c>
      <c r="CC684" s="77">
        <f t="shared" si="161"/>
      </c>
      <c r="CD684" s="77">
        <f>IF($A684="",0,IF($D684='FICHA VEHICULO'!$C$4,1,0))</f>
      </c>
      <c r="CE684" s="77">
        <f t="shared" si="162"/>
      </c>
      <c r="CF684" s="77">
        <f t="shared" si="163"/>
      </c>
      <c r="CG684" s="77">
        <f t="shared" si="164"/>
      </c>
    </row>
    <row r="685" spans="1:85" ht="19.5" customHeight="1" x14ac:dyDescent="0.2">
      <c r="A685" s="104"/>
      <c r="B685" s="104"/>
      <c r="C685" s="105"/>
      <c r="D685" s="104"/>
      <c r="E685" s="105"/>
      <c r="F685" s="106"/>
      <c r="G685" s="104"/>
      <c r="H685" s="106"/>
      <c r="I685" s="107"/>
      <c r="J685" s="108"/>
      <c r="K685" s="108"/>
      <c r="L685" s="108"/>
      <c r="M685" s="105"/>
      <c r="N685" s="105"/>
      <c r="O685" s="105"/>
      <c r="P685" s="108"/>
      <c r="Q685" s="105"/>
      <c r="R685" s="105"/>
      <c r="S685" s="105"/>
      <c r="T685" s="105"/>
      <c r="U685" s="108"/>
      <c r="V685" s="105"/>
      <c r="W685" s="105"/>
      <c r="X685" s="105"/>
      <c r="Y685" s="105"/>
      <c r="Z685" s="105"/>
      <c r="AA685" s="108"/>
      <c r="AB685" s="108"/>
      <c r="AC685" s="105"/>
      <c r="AD685" s="279"/>
      <c r="AE685" s="105"/>
      <c r="AF685" s="279"/>
      <c r="AG685" s="105"/>
      <c r="AH685" s="108"/>
      <c r="AI685" s="108"/>
      <c r="AJ685" s="108"/>
      <c r="AK685" s="108"/>
      <c r="AL685" s="105"/>
      <c r="AM685" s="108"/>
      <c r="AN685" s="105"/>
      <c r="AO685" s="108"/>
      <c r="AP685" s="108"/>
      <c r="AQ685" s="105"/>
      <c r="AR685" s="108"/>
      <c r="AS685" s="108"/>
      <c r="AT685" s="105"/>
      <c r="AU685" s="105"/>
      <c r="AV685" s="105"/>
      <c r="AW685" s="105"/>
      <c r="AX685" s="105"/>
      <c r="AY685" s="105"/>
      <c r="AZ685" s="105"/>
      <c r="BA685" s="105"/>
      <c r="BB685" s="105"/>
      <c r="BC685" s="105"/>
      <c r="BD685" s="108"/>
      <c r="BE685" s="83">
        <f>IF($A685="","",IF(TRIM($D685&amp;"")="",IF(TRIM($AX685&amp;$AY685&amp;$AZ685&amp;$BA685&amp;$BB685&amp;$BC685&amp;$BD685&amp;"")="","","SUBARRENDADO"),IFERROR(IF(VLOOKUP($D685,VEHICULOS!$A$3:$H$202,7,FALSE)="","",VLOOKUP($D685,VEHICULOS!$A$3:$H$202,7,FALSE)),"")))</f>
      </c>
      <c r="BF685" s="82">
        <f>IF($A685="","",IF(TRIM($BC685&amp;"")&lt;&gt;"",$BC685,IF(TRIM($D685&amp;"")="","",IFERROR(IF(VLOOKUP($D685,VEHICULOS!$A$3:$H$202,8,FALSE)="","",VLOOKUP($D685,VEHICULOS!$A$3:$H$202,8,FALSE)),""))))</f>
      </c>
      <c r="BG685" s="106"/>
      <c r="BH685" s="107"/>
      <c r="BI685" s="86">
        <f t="shared" si="150"/>
      </c>
      <c r="BJ685" s="83">
        <f t="shared" si="151"/>
      </c>
      <c r="BK685" s="85">
        <f t="shared" si="152"/>
      </c>
      <c r="BL685" s="85">
        <f t="shared" si="153"/>
      </c>
      <c r="BM685" s="108"/>
      <c r="BN685" s="85">
        <f t="shared" si="154"/>
      </c>
      <c r="BO685" s="108"/>
      <c r="BP685" s="85">
        <f t="shared" si="155"/>
      </c>
      <c r="BQ685" s="85">
        <f t="shared" si="156"/>
      </c>
      <c r="BR685" s="108"/>
      <c r="BS685" s="104"/>
      <c r="BT685" s="87">
        <f t="shared" si="157"/>
      </c>
      <c r="BU685" s="85">
        <f t="shared" si="158"/>
      </c>
      <c r="BV685" s="85">
        <f t="shared" si="159"/>
      </c>
      <c r="BW685" s="87">
        <f t="shared" si="160"/>
      </c>
      <c r="BX685" s="104"/>
      <c r="BY685" s="106"/>
      <c r="BZ685" s="104"/>
      <c r="CA685" s="105"/>
      <c r="CB685" s="77">
        <f>IF($A685="",0,IF($B685='FICHA CLIENTE'!$C$4,1,0))</f>
      </c>
      <c r="CC685" s="77">
        <f t="shared" si="161"/>
      </c>
      <c r="CD685" s="77">
        <f>IF($A685="",0,IF($D685='FICHA VEHICULO'!$C$4,1,0))</f>
      </c>
      <c r="CE685" s="77">
        <f t="shared" si="162"/>
      </c>
      <c r="CF685" s="77">
        <f t="shared" si="163"/>
      </c>
      <c r="CG685" s="77">
        <f t="shared" si="164"/>
      </c>
    </row>
    <row r="686" spans="1:85" ht="19.5" customHeight="1" x14ac:dyDescent="0.2">
      <c r="A686" s="104"/>
      <c r="B686" s="104"/>
      <c r="C686" s="105"/>
      <c r="D686" s="104"/>
      <c r="E686" s="105"/>
      <c r="F686" s="106"/>
      <c r="G686" s="104"/>
      <c r="H686" s="106"/>
      <c r="I686" s="107"/>
      <c r="J686" s="108"/>
      <c r="K686" s="108"/>
      <c r="L686" s="108"/>
      <c r="M686" s="105"/>
      <c r="N686" s="105"/>
      <c r="O686" s="105"/>
      <c r="P686" s="108"/>
      <c r="Q686" s="105"/>
      <c r="R686" s="105"/>
      <c r="S686" s="105"/>
      <c r="T686" s="105"/>
      <c r="U686" s="108"/>
      <c r="V686" s="105"/>
      <c r="W686" s="105"/>
      <c r="X686" s="105"/>
      <c r="Y686" s="105"/>
      <c r="Z686" s="105"/>
      <c r="AA686" s="108"/>
      <c r="AB686" s="108"/>
      <c r="AC686" s="105"/>
      <c r="AD686" s="279"/>
      <c r="AE686" s="105"/>
      <c r="AF686" s="279"/>
      <c r="AG686" s="105"/>
      <c r="AH686" s="108"/>
      <c r="AI686" s="108"/>
      <c r="AJ686" s="108"/>
      <c r="AK686" s="108"/>
      <c r="AL686" s="105"/>
      <c r="AM686" s="108"/>
      <c r="AN686" s="105"/>
      <c r="AO686" s="108"/>
      <c r="AP686" s="108"/>
      <c r="AQ686" s="105"/>
      <c r="AR686" s="108"/>
      <c r="AS686" s="108"/>
      <c r="AT686" s="105"/>
      <c r="AU686" s="105"/>
      <c r="AV686" s="105"/>
      <c r="AW686" s="105"/>
      <c r="AX686" s="105"/>
      <c r="AY686" s="105"/>
      <c r="AZ686" s="105"/>
      <c r="BA686" s="105"/>
      <c r="BB686" s="105"/>
      <c r="BC686" s="105"/>
      <c r="BD686" s="108"/>
      <c r="BE686" s="83">
        <f>IF($A686="","",IF(TRIM($D686&amp;"")="",IF(TRIM($AX686&amp;$AY686&amp;$AZ686&amp;$BA686&amp;$BB686&amp;$BC686&amp;$BD686&amp;"")="","","SUBARRENDADO"),IFERROR(IF(VLOOKUP($D686,VEHICULOS!$A$3:$H$202,7,FALSE)="","",VLOOKUP($D686,VEHICULOS!$A$3:$H$202,7,FALSE)),"")))</f>
      </c>
      <c r="BF686" s="82">
        <f>IF($A686="","",IF(TRIM($BC686&amp;"")&lt;&gt;"",$BC686,IF(TRIM($D686&amp;"")="","",IFERROR(IF(VLOOKUP($D686,VEHICULOS!$A$3:$H$202,8,FALSE)="","",VLOOKUP($D686,VEHICULOS!$A$3:$H$202,8,FALSE)),""))))</f>
      </c>
      <c r="BG686" s="106"/>
      <c r="BH686" s="107"/>
      <c r="BI686" s="86">
        <f t="shared" si="150"/>
      </c>
      <c r="BJ686" s="83">
        <f t="shared" si="151"/>
      </c>
      <c r="BK686" s="85">
        <f t="shared" si="152"/>
      </c>
      <c r="BL686" s="85">
        <f t="shared" si="153"/>
      </c>
      <c r="BM686" s="108"/>
      <c r="BN686" s="85">
        <f t="shared" si="154"/>
      </c>
      <c r="BO686" s="108"/>
      <c r="BP686" s="85">
        <f t="shared" si="155"/>
      </c>
      <c r="BQ686" s="85">
        <f t="shared" si="156"/>
      </c>
      <c r="BR686" s="108"/>
      <c r="BS686" s="104"/>
      <c r="BT686" s="87">
        <f t="shared" si="157"/>
      </c>
      <c r="BU686" s="85">
        <f t="shared" si="158"/>
      </c>
      <c r="BV686" s="85">
        <f t="shared" si="159"/>
      </c>
      <c r="BW686" s="87">
        <f t="shared" si="160"/>
      </c>
      <c r="BX686" s="104"/>
      <c r="BY686" s="106"/>
      <c r="BZ686" s="104"/>
      <c r="CA686" s="105"/>
      <c r="CB686" s="77">
        <f>IF($A686="",0,IF($B686='FICHA CLIENTE'!$C$4,1,0))</f>
      </c>
      <c r="CC686" s="77">
        <f t="shared" si="161"/>
      </c>
      <c r="CD686" s="77">
        <f>IF($A686="",0,IF($D686='FICHA VEHICULO'!$C$4,1,0))</f>
      </c>
      <c r="CE686" s="77">
        <f t="shared" si="162"/>
      </c>
      <c r="CF686" s="77">
        <f t="shared" si="163"/>
      </c>
      <c r="CG686" s="77">
        <f t="shared" si="164"/>
      </c>
    </row>
    <row r="687" spans="1:85" ht="19.5" customHeight="1" x14ac:dyDescent="0.2">
      <c r="A687" s="104"/>
      <c r="B687" s="104"/>
      <c r="C687" s="105"/>
      <c r="D687" s="104"/>
      <c r="E687" s="105"/>
      <c r="F687" s="106"/>
      <c r="G687" s="104"/>
      <c r="H687" s="106"/>
      <c r="I687" s="107"/>
      <c r="J687" s="108"/>
      <c r="K687" s="108"/>
      <c r="L687" s="108"/>
      <c r="M687" s="105"/>
      <c r="N687" s="105"/>
      <c r="O687" s="105"/>
      <c r="P687" s="108"/>
      <c r="Q687" s="105"/>
      <c r="R687" s="105"/>
      <c r="S687" s="105"/>
      <c r="T687" s="105"/>
      <c r="U687" s="108"/>
      <c r="V687" s="105"/>
      <c r="W687" s="105"/>
      <c r="X687" s="105"/>
      <c r="Y687" s="105"/>
      <c r="Z687" s="105"/>
      <c r="AA687" s="108"/>
      <c r="AB687" s="108"/>
      <c r="AC687" s="105"/>
      <c r="AD687" s="279"/>
      <c r="AE687" s="105"/>
      <c r="AF687" s="279"/>
      <c r="AG687" s="105"/>
      <c r="AH687" s="108"/>
      <c r="AI687" s="108"/>
      <c r="AJ687" s="108"/>
      <c r="AK687" s="108"/>
      <c r="AL687" s="105"/>
      <c r="AM687" s="108"/>
      <c r="AN687" s="105"/>
      <c r="AO687" s="108"/>
      <c r="AP687" s="108"/>
      <c r="AQ687" s="105"/>
      <c r="AR687" s="108"/>
      <c r="AS687" s="108"/>
      <c r="AT687" s="105"/>
      <c r="AU687" s="105"/>
      <c r="AV687" s="105"/>
      <c r="AW687" s="105"/>
      <c r="AX687" s="105"/>
      <c r="AY687" s="105"/>
      <c r="AZ687" s="105"/>
      <c r="BA687" s="105"/>
      <c r="BB687" s="105"/>
      <c r="BC687" s="105"/>
      <c r="BD687" s="108"/>
      <c r="BE687" s="83">
        <f>IF($A687="","",IF(TRIM($D687&amp;"")="",IF(TRIM($AX687&amp;$AY687&amp;$AZ687&amp;$BA687&amp;$BB687&amp;$BC687&amp;$BD687&amp;"")="","","SUBARRENDADO"),IFERROR(IF(VLOOKUP($D687,VEHICULOS!$A$3:$H$202,7,FALSE)="","",VLOOKUP($D687,VEHICULOS!$A$3:$H$202,7,FALSE)),"")))</f>
      </c>
      <c r="BF687" s="82">
        <f>IF($A687="","",IF(TRIM($BC687&amp;"")&lt;&gt;"",$BC687,IF(TRIM($D687&amp;"")="","",IFERROR(IF(VLOOKUP($D687,VEHICULOS!$A$3:$H$202,8,FALSE)="","",VLOOKUP($D687,VEHICULOS!$A$3:$H$202,8,FALSE)),""))))</f>
      </c>
      <c r="BG687" s="106"/>
      <c r="BH687" s="107"/>
      <c r="BI687" s="86">
        <f t="shared" si="150"/>
      </c>
      <c r="BJ687" s="83">
        <f t="shared" si="151"/>
      </c>
      <c r="BK687" s="85">
        <f t="shared" si="152"/>
      </c>
      <c r="BL687" s="85">
        <f t="shared" si="153"/>
      </c>
      <c r="BM687" s="108"/>
      <c r="BN687" s="85">
        <f t="shared" si="154"/>
      </c>
      <c r="BO687" s="108"/>
      <c r="BP687" s="85">
        <f t="shared" si="155"/>
      </c>
      <c r="BQ687" s="85">
        <f t="shared" si="156"/>
      </c>
      <c r="BR687" s="108"/>
      <c r="BS687" s="104"/>
      <c r="BT687" s="87">
        <f t="shared" si="157"/>
      </c>
      <c r="BU687" s="85">
        <f t="shared" si="158"/>
      </c>
      <c r="BV687" s="85">
        <f t="shared" si="159"/>
      </c>
      <c r="BW687" s="87">
        <f t="shared" si="160"/>
      </c>
      <c r="BX687" s="104"/>
      <c r="BY687" s="106"/>
      <c r="BZ687" s="104"/>
      <c r="CA687" s="105"/>
      <c r="CB687" s="77">
        <f>IF($A687="",0,IF($B687='FICHA CLIENTE'!$C$4,1,0))</f>
      </c>
      <c r="CC687" s="77">
        <f t="shared" si="161"/>
      </c>
      <c r="CD687" s="77">
        <f>IF($A687="",0,IF($D687='FICHA VEHICULO'!$C$4,1,0))</f>
      </c>
      <c r="CE687" s="77">
        <f t="shared" si="162"/>
      </c>
      <c r="CF687" s="77">
        <f t="shared" si="163"/>
      </c>
      <c r="CG687" s="77">
        <f t="shared" si="164"/>
      </c>
    </row>
    <row r="688" spans="1:85" ht="19.5" customHeight="1" x14ac:dyDescent="0.2">
      <c r="A688" s="104"/>
      <c r="B688" s="104"/>
      <c r="C688" s="105"/>
      <c r="D688" s="104"/>
      <c r="E688" s="105"/>
      <c r="F688" s="106"/>
      <c r="G688" s="104"/>
      <c r="H688" s="106"/>
      <c r="I688" s="107"/>
      <c r="J688" s="108"/>
      <c r="K688" s="108"/>
      <c r="L688" s="108"/>
      <c r="M688" s="105"/>
      <c r="N688" s="105"/>
      <c r="O688" s="105"/>
      <c r="P688" s="108"/>
      <c r="Q688" s="105"/>
      <c r="R688" s="105"/>
      <c r="S688" s="105"/>
      <c r="T688" s="105"/>
      <c r="U688" s="108"/>
      <c r="V688" s="105"/>
      <c r="W688" s="105"/>
      <c r="X688" s="105"/>
      <c r="Y688" s="105"/>
      <c r="Z688" s="105"/>
      <c r="AA688" s="108"/>
      <c r="AB688" s="108"/>
      <c r="AC688" s="105"/>
      <c r="AD688" s="279"/>
      <c r="AE688" s="105"/>
      <c r="AF688" s="279"/>
      <c r="AG688" s="105"/>
      <c r="AH688" s="108"/>
      <c r="AI688" s="108"/>
      <c r="AJ688" s="108"/>
      <c r="AK688" s="108"/>
      <c r="AL688" s="105"/>
      <c r="AM688" s="108"/>
      <c r="AN688" s="105"/>
      <c r="AO688" s="108"/>
      <c r="AP688" s="108"/>
      <c r="AQ688" s="105"/>
      <c r="AR688" s="108"/>
      <c r="AS688" s="108"/>
      <c r="AT688" s="105"/>
      <c r="AU688" s="105"/>
      <c r="AV688" s="105"/>
      <c r="AW688" s="105"/>
      <c r="AX688" s="105"/>
      <c r="AY688" s="105"/>
      <c r="AZ688" s="105"/>
      <c r="BA688" s="105"/>
      <c r="BB688" s="105"/>
      <c r="BC688" s="105"/>
      <c r="BD688" s="108"/>
      <c r="BE688" s="83">
        <f>IF($A688="","",IF(TRIM($D688&amp;"")="",IF(TRIM($AX688&amp;$AY688&amp;$AZ688&amp;$BA688&amp;$BB688&amp;$BC688&amp;$BD688&amp;"")="","","SUBARRENDADO"),IFERROR(IF(VLOOKUP($D688,VEHICULOS!$A$3:$H$202,7,FALSE)="","",VLOOKUP($D688,VEHICULOS!$A$3:$H$202,7,FALSE)),"")))</f>
      </c>
      <c r="BF688" s="82">
        <f>IF($A688="","",IF(TRIM($BC688&amp;"")&lt;&gt;"",$BC688,IF(TRIM($D688&amp;"")="","",IFERROR(IF(VLOOKUP($D688,VEHICULOS!$A$3:$H$202,8,FALSE)="","",VLOOKUP($D688,VEHICULOS!$A$3:$H$202,8,FALSE)),""))))</f>
      </c>
      <c r="BG688" s="106"/>
      <c r="BH688" s="107"/>
      <c r="BI688" s="86">
        <f t="shared" si="150"/>
      </c>
      <c r="BJ688" s="83">
        <f t="shared" si="151"/>
      </c>
      <c r="BK688" s="85">
        <f t="shared" si="152"/>
      </c>
      <c r="BL688" s="85">
        <f t="shared" si="153"/>
      </c>
      <c r="BM688" s="108"/>
      <c r="BN688" s="85">
        <f t="shared" si="154"/>
      </c>
      <c r="BO688" s="108"/>
      <c r="BP688" s="85">
        <f t="shared" si="155"/>
      </c>
      <c r="BQ688" s="85">
        <f t="shared" si="156"/>
      </c>
      <c r="BR688" s="108"/>
      <c r="BS688" s="104"/>
      <c r="BT688" s="87">
        <f t="shared" si="157"/>
      </c>
      <c r="BU688" s="85">
        <f t="shared" si="158"/>
      </c>
      <c r="BV688" s="85">
        <f t="shared" si="159"/>
      </c>
      <c r="BW688" s="87">
        <f t="shared" si="160"/>
      </c>
      <c r="BX688" s="104"/>
      <c r="BY688" s="106"/>
      <c r="BZ688" s="104"/>
      <c r="CA688" s="105"/>
      <c r="CB688" s="77">
        <f>IF($A688="",0,IF($B688='FICHA CLIENTE'!$C$4,1,0))</f>
      </c>
      <c r="CC688" s="77">
        <f t="shared" si="161"/>
      </c>
      <c r="CD688" s="77">
        <f>IF($A688="",0,IF($D688='FICHA VEHICULO'!$C$4,1,0))</f>
      </c>
      <c r="CE688" s="77">
        <f t="shared" si="162"/>
      </c>
      <c r="CF688" s="77">
        <f t="shared" si="163"/>
      </c>
      <c r="CG688" s="77">
        <f t="shared" si="164"/>
      </c>
    </row>
    <row r="689" spans="1:85" ht="19.5" customHeight="1" x14ac:dyDescent="0.2">
      <c r="A689" s="104"/>
      <c r="B689" s="104"/>
      <c r="C689" s="105"/>
      <c r="D689" s="104"/>
      <c r="E689" s="105"/>
      <c r="F689" s="106"/>
      <c r="G689" s="104"/>
      <c r="H689" s="106"/>
      <c r="I689" s="107"/>
      <c r="J689" s="108"/>
      <c r="K689" s="108"/>
      <c r="L689" s="108"/>
      <c r="M689" s="105"/>
      <c r="N689" s="105"/>
      <c r="O689" s="105"/>
      <c r="P689" s="108"/>
      <c r="Q689" s="105"/>
      <c r="R689" s="105"/>
      <c r="S689" s="105"/>
      <c r="T689" s="105"/>
      <c r="U689" s="108"/>
      <c r="V689" s="105"/>
      <c r="W689" s="105"/>
      <c r="X689" s="105"/>
      <c r="Y689" s="105"/>
      <c r="Z689" s="105"/>
      <c r="AA689" s="108"/>
      <c r="AB689" s="108"/>
      <c r="AC689" s="105"/>
      <c r="AD689" s="279"/>
      <c r="AE689" s="105"/>
      <c r="AF689" s="279"/>
      <c r="AG689" s="105"/>
      <c r="AH689" s="108"/>
      <c r="AI689" s="108"/>
      <c r="AJ689" s="108"/>
      <c r="AK689" s="108"/>
      <c r="AL689" s="105"/>
      <c r="AM689" s="108"/>
      <c r="AN689" s="105"/>
      <c r="AO689" s="108"/>
      <c r="AP689" s="108"/>
      <c r="AQ689" s="105"/>
      <c r="AR689" s="108"/>
      <c r="AS689" s="108"/>
      <c r="AT689" s="105"/>
      <c r="AU689" s="105"/>
      <c r="AV689" s="105"/>
      <c r="AW689" s="105"/>
      <c r="AX689" s="105"/>
      <c r="AY689" s="105"/>
      <c r="AZ689" s="105"/>
      <c r="BA689" s="105"/>
      <c r="BB689" s="105"/>
      <c r="BC689" s="105"/>
      <c r="BD689" s="108"/>
      <c r="BE689" s="83">
        <f>IF($A689="","",IF(TRIM($D689&amp;"")="",IF(TRIM($AX689&amp;$AY689&amp;$AZ689&amp;$BA689&amp;$BB689&amp;$BC689&amp;$BD689&amp;"")="","","SUBARRENDADO"),IFERROR(IF(VLOOKUP($D689,VEHICULOS!$A$3:$H$202,7,FALSE)="","",VLOOKUP($D689,VEHICULOS!$A$3:$H$202,7,FALSE)),"")))</f>
      </c>
      <c r="BF689" s="82">
        <f>IF($A689="","",IF(TRIM($BC689&amp;"")&lt;&gt;"",$BC689,IF(TRIM($D689&amp;"")="","",IFERROR(IF(VLOOKUP($D689,VEHICULOS!$A$3:$H$202,8,FALSE)="","",VLOOKUP($D689,VEHICULOS!$A$3:$H$202,8,FALSE)),""))))</f>
      </c>
      <c r="BG689" s="106"/>
      <c r="BH689" s="107"/>
      <c r="BI689" s="86">
        <f t="shared" si="150"/>
      </c>
      <c r="BJ689" s="83">
        <f t="shared" si="151"/>
      </c>
      <c r="BK689" s="85">
        <f t="shared" si="152"/>
      </c>
      <c r="BL689" s="85">
        <f t="shared" si="153"/>
      </c>
      <c r="BM689" s="108"/>
      <c r="BN689" s="85">
        <f t="shared" si="154"/>
      </c>
      <c r="BO689" s="108"/>
      <c r="BP689" s="85">
        <f t="shared" si="155"/>
      </c>
      <c r="BQ689" s="85">
        <f t="shared" si="156"/>
      </c>
      <c r="BR689" s="108"/>
      <c r="BS689" s="104"/>
      <c r="BT689" s="87">
        <f t="shared" si="157"/>
      </c>
      <c r="BU689" s="85">
        <f t="shared" si="158"/>
      </c>
      <c r="BV689" s="85">
        <f t="shared" si="159"/>
      </c>
      <c r="BW689" s="87">
        <f t="shared" si="160"/>
      </c>
      <c r="BX689" s="104"/>
      <c r="BY689" s="106"/>
      <c r="BZ689" s="104"/>
      <c r="CA689" s="105"/>
      <c r="CB689" s="77">
        <f>IF($A689="",0,IF($B689='FICHA CLIENTE'!$C$4,1,0))</f>
      </c>
      <c r="CC689" s="77">
        <f t="shared" si="161"/>
      </c>
      <c r="CD689" s="77">
        <f>IF($A689="",0,IF($D689='FICHA VEHICULO'!$C$4,1,0))</f>
      </c>
      <c r="CE689" s="77">
        <f t="shared" si="162"/>
      </c>
      <c r="CF689" s="77">
        <f t="shared" si="163"/>
      </c>
      <c r="CG689" s="77">
        <f t="shared" si="164"/>
      </c>
    </row>
    <row r="690" spans="1:85" ht="19.5" customHeight="1" x14ac:dyDescent="0.2">
      <c r="A690" s="104"/>
      <c r="B690" s="104"/>
      <c r="C690" s="105"/>
      <c r="D690" s="104"/>
      <c r="E690" s="105"/>
      <c r="F690" s="106"/>
      <c r="G690" s="104"/>
      <c r="H690" s="106"/>
      <c r="I690" s="107"/>
      <c r="J690" s="108"/>
      <c r="K690" s="108"/>
      <c r="L690" s="108"/>
      <c r="M690" s="105"/>
      <c r="N690" s="105"/>
      <c r="O690" s="105"/>
      <c r="P690" s="108"/>
      <c r="Q690" s="105"/>
      <c r="R690" s="105"/>
      <c r="S690" s="105"/>
      <c r="T690" s="105"/>
      <c r="U690" s="108"/>
      <c r="V690" s="105"/>
      <c r="W690" s="105"/>
      <c r="X690" s="105"/>
      <c r="Y690" s="105"/>
      <c r="Z690" s="105"/>
      <c r="AA690" s="108"/>
      <c r="AB690" s="108"/>
      <c r="AC690" s="105"/>
      <c r="AD690" s="279"/>
      <c r="AE690" s="105"/>
      <c r="AF690" s="279"/>
      <c r="AG690" s="105"/>
      <c r="AH690" s="108"/>
      <c r="AI690" s="108"/>
      <c r="AJ690" s="108"/>
      <c r="AK690" s="108"/>
      <c r="AL690" s="105"/>
      <c r="AM690" s="108"/>
      <c r="AN690" s="105"/>
      <c r="AO690" s="108"/>
      <c r="AP690" s="108"/>
      <c r="AQ690" s="105"/>
      <c r="AR690" s="108"/>
      <c r="AS690" s="108"/>
      <c r="AT690" s="105"/>
      <c r="AU690" s="105"/>
      <c r="AV690" s="105"/>
      <c r="AW690" s="105"/>
      <c r="AX690" s="105"/>
      <c r="AY690" s="105"/>
      <c r="AZ690" s="105"/>
      <c r="BA690" s="105"/>
      <c r="BB690" s="105"/>
      <c r="BC690" s="105"/>
      <c r="BD690" s="108"/>
      <c r="BE690" s="83">
        <f>IF($A690="","",IF(TRIM($D690&amp;"")="",IF(TRIM($AX690&amp;$AY690&amp;$AZ690&amp;$BA690&amp;$BB690&amp;$BC690&amp;$BD690&amp;"")="","","SUBARRENDADO"),IFERROR(IF(VLOOKUP($D690,VEHICULOS!$A$3:$H$202,7,FALSE)="","",VLOOKUP($D690,VEHICULOS!$A$3:$H$202,7,FALSE)),"")))</f>
      </c>
      <c r="BF690" s="82">
        <f>IF($A690="","",IF(TRIM($BC690&amp;"")&lt;&gt;"",$BC690,IF(TRIM($D690&amp;"")="","",IFERROR(IF(VLOOKUP($D690,VEHICULOS!$A$3:$H$202,8,FALSE)="","",VLOOKUP($D690,VEHICULOS!$A$3:$H$202,8,FALSE)),""))))</f>
      </c>
      <c r="BG690" s="106"/>
      <c r="BH690" s="107"/>
      <c r="BI690" s="86">
        <f t="shared" si="150"/>
      </c>
      <c r="BJ690" s="83">
        <f t="shared" si="151"/>
      </c>
      <c r="BK690" s="85">
        <f t="shared" si="152"/>
      </c>
      <c r="BL690" s="85">
        <f t="shared" si="153"/>
      </c>
      <c r="BM690" s="108"/>
      <c r="BN690" s="85">
        <f t="shared" si="154"/>
      </c>
      <c r="BO690" s="108"/>
      <c r="BP690" s="85">
        <f t="shared" si="155"/>
      </c>
      <c r="BQ690" s="85">
        <f t="shared" si="156"/>
      </c>
      <c r="BR690" s="108"/>
      <c r="BS690" s="104"/>
      <c r="BT690" s="87">
        <f t="shared" si="157"/>
      </c>
      <c r="BU690" s="85">
        <f t="shared" si="158"/>
      </c>
      <c r="BV690" s="85">
        <f t="shared" si="159"/>
      </c>
      <c r="BW690" s="87">
        <f t="shared" si="160"/>
      </c>
      <c r="BX690" s="104"/>
      <c r="BY690" s="106"/>
      <c r="BZ690" s="104"/>
      <c r="CA690" s="105"/>
      <c r="CB690" s="77">
        <f>IF($A690="",0,IF($B690='FICHA CLIENTE'!$C$4,1,0))</f>
      </c>
      <c r="CC690" s="77">
        <f t="shared" si="161"/>
      </c>
      <c r="CD690" s="77">
        <f>IF($A690="",0,IF($D690='FICHA VEHICULO'!$C$4,1,0))</f>
      </c>
      <c r="CE690" s="77">
        <f t="shared" si="162"/>
      </c>
      <c r="CF690" s="77">
        <f t="shared" si="163"/>
      </c>
      <c r="CG690" s="77">
        <f t="shared" si="164"/>
      </c>
    </row>
    <row r="691" spans="1:85" ht="19.5" customHeight="1" x14ac:dyDescent="0.2">
      <c r="A691" s="104"/>
      <c r="B691" s="104"/>
      <c r="C691" s="105"/>
      <c r="D691" s="104"/>
      <c r="E691" s="105"/>
      <c r="F691" s="106"/>
      <c r="G691" s="104"/>
      <c r="H691" s="106"/>
      <c r="I691" s="107"/>
      <c r="J691" s="108"/>
      <c r="K691" s="108"/>
      <c r="L691" s="108"/>
      <c r="M691" s="105"/>
      <c r="N691" s="105"/>
      <c r="O691" s="105"/>
      <c r="P691" s="108"/>
      <c r="Q691" s="105"/>
      <c r="R691" s="105"/>
      <c r="S691" s="105"/>
      <c r="T691" s="105"/>
      <c r="U691" s="108"/>
      <c r="V691" s="105"/>
      <c r="W691" s="105"/>
      <c r="X691" s="105"/>
      <c r="Y691" s="105"/>
      <c r="Z691" s="105"/>
      <c r="AA691" s="108"/>
      <c r="AB691" s="108"/>
      <c r="AC691" s="105"/>
      <c r="AD691" s="279"/>
      <c r="AE691" s="105"/>
      <c r="AF691" s="279"/>
      <c r="AG691" s="105"/>
      <c r="AH691" s="108"/>
      <c r="AI691" s="108"/>
      <c r="AJ691" s="108"/>
      <c r="AK691" s="108"/>
      <c r="AL691" s="105"/>
      <c r="AM691" s="108"/>
      <c r="AN691" s="105"/>
      <c r="AO691" s="108"/>
      <c r="AP691" s="108"/>
      <c r="AQ691" s="105"/>
      <c r="AR691" s="108"/>
      <c r="AS691" s="108"/>
      <c r="AT691" s="105"/>
      <c r="AU691" s="105"/>
      <c r="AV691" s="105"/>
      <c r="AW691" s="105"/>
      <c r="AX691" s="105"/>
      <c r="AY691" s="105"/>
      <c r="AZ691" s="105"/>
      <c r="BA691" s="105"/>
      <c r="BB691" s="105"/>
      <c r="BC691" s="105"/>
      <c r="BD691" s="108"/>
      <c r="BE691" s="83">
        <f>IF($A691="","",IF(TRIM($D691&amp;"")="",IF(TRIM($AX691&amp;$AY691&amp;$AZ691&amp;$BA691&amp;$BB691&amp;$BC691&amp;$BD691&amp;"")="","","SUBARRENDADO"),IFERROR(IF(VLOOKUP($D691,VEHICULOS!$A$3:$H$202,7,FALSE)="","",VLOOKUP($D691,VEHICULOS!$A$3:$H$202,7,FALSE)),"")))</f>
      </c>
      <c r="BF691" s="82">
        <f>IF($A691="","",IF(TRIM($BC691&amp;"")&lt;&gt;"",$BC691,IF(TRIM($D691&amp;"")="","",IFERROR(IF(VLOOKUP($D691,VEHICULOS!$A$3:$H$202,8,FALSE)="","",VLOOKUP($D691,VEHICULOS!$A$3:$H$202,8,FALSE)),""))))</f>
      </c>
      <c r="BG691" s="106"/>
      <c r="BH691" s="107"/>
      <c r="BI691" s="86">
        <f t="shared" si="150"/>
      </c>
      <c r="BJ691" s="83">
        <f t="shared" si="151"/>
      </c>
      <c r="BK691" s="85">
        <f t="shared" si="152"/>
      </c>
      <c r="BL691" s="85">
        <f t="shared" si="153"/>
      </c>
      <c r="BM691" s="108"/>
      <c r="BN691" s="85">
        <f t="shared" si="154"/>
      </c>
      <c r="BO691" s="108"/>
      <c r="BP691" s="85">
        <f t="shared" si="155"/>
      </c>
      <c r="BQ691" s="85">
        <f t="shared" si="156"/>
      </c>
      <c r="BR691" s="108"/>
      <c r="BS691" s="104"/>
      <c r="BT691" s="87">
        <f t="shared" si="157"/>
      </c>
      <c r="BU691" s="85">
        <f t="shared" si="158"/>
      </c>
      <c r="BV691" s="85">
        <f t="shared" si="159"/>
      </c>
      <c r="BW691" s="87">
        <f t="shared" si="160"/>
      </c>
      <c r="BX691" s="104"/>
      <c r="BY691" s="106"/>
      <c r="BZ691" s="104"/>
      <c r="CA691" s="105"/>
      <c r="CB691" s="77">
        <f>IF($A691="",0,IF($B691='FICHA CLIENTE'!$C$4,1,0))</f>
      </c>
      <c r="CC691" s="77">
        <f t="shared" si="161"/>
      </c>
      <c r="CD691" s="77">
        <f>IF($A691="",0,IF($D691='FICHA VEHICULO'!$C$4,1,0))</f>
      </c>
      <c r="CE691" s="77">
        <f t="shared" si="162"/>
      </c>
      <c r="CF691" s="77">
        <f t="shared" si="163"/>
      </c>
      <c r="CG691" s="77">
        <f t="shared" si="164"/>
      </c>
    </row>
    <row r="692" spans="1:85" ht="19.5" customHeight="1" x14ac:dyDescent="0.2">
      <c r="A692" s="104"/>
      <c r="B692" s="104"/>
      <c r="C692" s="105"/>
      <c r="D692" s="104"/>
      <c r="E692" s="105"/>
      <c r="F692" s="106"/>
      <c r="G692" s="104"/>
      <c r="H692" s="106"/>
      <c r="I692" s="107"/>
      <c r="J692" s="108"/>
      <c r="K692" s="108"/>
      <c r="L692" s="108"/>
      <c r="M692" s="105"/>
      <c r="N692" s="105"/>
      <c r="O692" s="105"/>
      <c r="P692" s="108"/>
      <c r="Q692" s="105"/>
      <c r="R692" s="105"/>
      <c r="S692" s="105"/>
      <c r="T692" s="105"/>
      <c r="U692" s="108"/>
      <c r="V692" s="105"/>
      <c r="W692" s="105"/>
      <c r="X692" s="105"/>
      <c r="Y692" s="105"/>
      <c r="Z692" s="105"/>
      <c r="AA692" s="108"/>
      <c r="AB692" s="108"/>
      <c r="AC692" s="105"/>
      <c r="AD692" s="279"/>
      <c r="AE692" s="105"/>
      <c r="AF692" s="279"/>
      <c r="AG692" s="105"/>
      <c r="AH692" s="108"/>
      <c r="AI692" s="108"/>
      <c r="AJ692" s="108"/>
      <c r="AK692" s="108"/>
      <c r="AL692" s="105"/>
      <c r="AM692" s="108"/>
      <c r="AN692" s="105"/>
      <c r="AO692" s="108"/>
      <c r="AP692" s="108"/>
      <c r="AQ692" s="105"/>
      <c r="AR692" s="108"/>
      <c r="AS692" s="108"/>
      <c r="AT692" s="105"/>
      <c r="AU692" s="105"/>
      <c r="AV692" s="105"/>
      <c r="AW692" s="105"/>
      <c r="AX692" s="105"/>
      <c r="AY692" s="105"/>
      <c r="AZ692" s="105"/>
      <c r="BA692" s="105"/>
      <c r="BB692" s="105"/>
      <c r="BC692" s="105"/>
      <c r="BD692" s="108"/>
      <c r="BE692" s="83">
        <f>IF($A692="","",IF(TRIM($D692&amp;"")="",IF(TRIM($AX692&amp;$AY692&amp;$AZ692&amp;$BA692&amp;$BB692&amp;$BC692&amp;$BD692&amp;"")="","","SUBARRENDADO"),IFERROR(IF(VLOOKUP($D692,VEHICULOS!$A$3:$H$202,7,FALSE)="","",VLOOKUP($D692,VEHICULOS!$A$3:$H$202,7,FALSE)),"")))</f>
      </c>
      <c r="BF692" s="82">
        <f>IF($A692="","",IF(TRIM($BC692&amp;"")&lt;&gt;"",$BC692,IF(TRIM($D692&amp;"")="","",IFERROR(IF(VLOOKUP($D692,VEHICULOS!$A$3:$H$202,8,FALSE)="","",VLOOKUP($D692,VEHICULOS!$A$3:$H$202,8,FALSE)),""))))</f>
      </c>
      <c r="BG692" s="106"/>
      <c r="BH692" s="107"/>
      <c r="BI692" s="86">
        <f t="shared" si="150"/>
      </c>
      <c r="BJ692" s="83">
        <f t="shared" si="151"/>
      </c>
      <c r="BK692" s="85">
        <f t="shared" si="152"/>
      </c>
      <c r="BL692" s="85">
        <f t="shared" si="153"/>
      </c>
      <c r="BM692" s="108"/>
      <c r="BN692" s="85">
        <f t="shared" si="154"/>
      </c>
      <c r="BO692" s="108"/>
      <c r="BP692" s="85">
        <f t="shared" si="155"/>
      </c>
      <c r="BQ692" s="85">
        <f t="shared" si="156"/>
      </c>
      <c r="BR692" s="108"/>
      <c r="BS692" s="104"/>
      <c r="BT692" s="87">
        <f t="shared" si="157"/>
      </c>
      <c r="BU692" s="85">
        <f t="shared" si="158"/>
      </c>
      <c r="BV692" s="85">
        <f t="shared" si="159"/>
      </c>
      <c r="BW692" s="87">
        <f t="shared" si="160"/>
      </c>
      <c r="BX692" s="104"/>
      <c r="BY692" s="106"/>
      <c r="BZ692" s="104"/>
      <c r="CA692" s="105"/>
      <c r="CB692" s="77">
        <f>IF($A692="",0,IF($B692='FICHA CLIENTE'!$C$4,1,0))</f>
      </c>
      <c r="CC692" s="77">
        <f t="shared" si="161"/>
      </c>
      <c r="CD692" s="77">
        <f>IF($A692="",0,IF($D692='FICHA VEHICULO'!$C$4,1,0))</f>
      </c>
      <c r="CE692" s="77">
        <f t="shared" si="162"/>
      </c>
      <c r="CF692" s="77">
        <f t="shared" si="163"/>
      </c>
      <c r="CG692" s="77">
        <f t="shared" si="164"/>
      </c>
    </row>
    <row r="693" spans="1:85" ht="19.5" customHeight="1" x14ac:dyDescent="0.2">
      <c r="A693" s="104"/>
      <c r="B693" s="104"/>
      <c r="C693" s="105"/>
      <c r="D693" s="104"/>
      <c r="E693" s="105"/>
      <c r="F693" s="106"/>
      <c r="G693" s="104"/>
      <c r="H693" s="106"/>
      <c r="I693" s="107"/>
      <c r="J693" s="108"/>
      <c r="K693" s="108"/>
      <c r="L693" s="108"/>
      <c r="M693" s="105"/>
      <c r="N693" s="105"/>
      <c r="O693" s="105"/>
      <c r="P693" s="108"/>
      <c r="Q693" s="105"/>
      <c r="R693" s="105"/>
      <c r="S693" s="105"/>
      <c r="T693" s="105"/>
      <c r="U693" s="108"/>
      <c r="V693" s="105"/>
      <c r="W693" s="105"/>
      <c r="X693" s="105"/>
      <c r="Y693" s="105"/>
      <c r="Z693" s="105"/>
      <c r="AA693" s="108"/>
      <c r="AB693" s="108"/>
      <c r="AC693" s="105"/>
      <c r="AD693" s="279"/>
      <c r="AE693" s="105"/>
      <c r="AF693" s="279"/>
      <c r="AG693" s="105"/>
      <c r="AH693" s="108"/>
      <c r="AI693" s="108"/>
      <c r="AJ693" s="108"/>
      <c r="AK693" s="108"/>
      <c r="AL693" s="105"/>
      <c r="AM693" s="108"/>
      <c r="AN693" s="105"/>
      <c r="AO693" s="108"/>
      <c r="AP693" s="108"/>
      <c r="AQ693" s="105"/>
      <c r="AR693" s="108"/>
      <c r="AS693" s="108"/>
      <c r="AT693" s="105"/>
      <c r="AU693" s="105"/>
      <c r="AV693" s="105"/>
      <c r="AW693" s="105"/>
      <c r="AX693" s="105"/>
      <c r="AY693" s="105"/>
      <c r="AZ693" s="105"/>
      <c r="BA693" s="105"/>
      <c r="BB693" s="105"/>
      <c r="BC693" s="105"/>
      <c r="BD693" s="108"/>
      <c r="BE693" s="83">
        <f>IF($A693="","",IF(TRIM($D693&amp;"")="",IF(TRIM($AX693&amp;$AY693&amp;$AZ693&amp;$BA693&amp;$BB693&amp;$BC693&amp;$BD693&amp;"")="","","SUBARRENDADO"),IFERROR(IF(VLOOKUP($D693,VEHICULOS!$A$3:$H$202,7,FALSE)="","",VLOOKUP($D693,VEHICULOS!$A$3:$H$202,7,FALSE)),"")))</f>
      </c>
      <c r="BF693" s="82">
        <f>IF($A693="","",IF(TRIM($BC693&amp;"")&lt;&gt;"",$BC693,IF(TRIM($D693&amp;"")="","",IFERROR(IF(VLOOKUP($D693,VEHICULOS!$A$3:$H$202,8,FALSE)="","",VLOOKUP($D693,VEHICULOS!$A$3:$H$202,8,FALSE)),""))))</f>
      </c>
      <c r="BG693" s="106"/>
      <c r="BH693" s="107"/>
      <c r="BI693" s="86">
        <f t="shared" si="150"/>
      </c>
      <c r="BJ693" s="83">
        <f t="shared" si="151"/>
      </c>
      <c r="BK693" s="85">
        <f t="shared" si="152"/>
      </c>
      <c r="BL693" s="85">
        <f t="shared" si="153"/>
      </c>
      <c r="BM693" s="108"/>
      <c r="BN693" s="85">
        <f t="shared" si="154"/>
      </c>
      <c r="BO693" s="108"/>
      <c r="BP693" s="85">
        <f t="shared" si="155"/>
      </c>
      <c r="BQ693" s="85">
        <f t="shared" si="156"/>
      </c>
      <c r="BR693" s="108"/>
      <c r="BS693" s="104"/>
      <c r="BT693" s="87">
        <f t="shared" si="157"/>
      </c>
      <c r="BU693" s="85">
        <f t="shared" si="158"/>
      </c>
      <c r="BV693" s="85">
        <f t="shared" si="159"/>
      </c>
      <c r="BW693" s="87">
        <f t="shared" si="160"/>
      </c>
      <c r="BX693" s="104"/>
      <c r="BY693" s="106"/>
      <c r="BZ693" s="104"/>
      <c r="CA693" s="105"/>
      <c r="CB693" s="77">
        <f>IF($A693="",0,IF($B693='FICHA CLIENTE'!$C$4,1,0))</f>
      </c>
      <c r="CC693" s="77">
        <f t="shared" si="161"/>
      </c>
      <c r="CD693" s="77">
        <f>IF($A693="",0,IF($D693='FICHA VEHICULO'!$C$4,1,0))</f>
      </c>
      <c r="CE693" s="77">
        <f t="shared" si="162"/>
      </c>
      <c r="CF693" s="77">
        <f t="shared" si="163"/>
      </c>
      <c r="CG693" s="77">
        <f t="shared" si="164"/>
      </c>
    </row>
    <row r="694" spans="1:85" ht="19.5" customHeight="1" x14ac:dyDescent="0.2">
      <c r="A694" s="104"/>
      <c r="B694" s="104"/>
      <c r="C694" s="105"/>
      <c r="D694" s="104"/>
      <c r="E694" s="105"/>
      <c r="F694" s="106"/>
      <c r="G694" s="104"/>
      <c r="H694" s="106"/>
      <c r="I694" s="107"/>
      <c r="J694" s="108"/>
      <c r="K694" s="108"/>
      <c r="L694" s="108"/>
      <c r="M694" s="105"/>
      <c r="N694" s="105"/>
      <c r="O694" s="105"/>
      <c r="P694" s="108"/>
      <c r="Q694" s="105"/>
      <c r="R694" s="105"/>
      <c r="S694" s="105"/>
      <c r="T694" s="105"/>
      <c r="U694" s="108"/>
      <c r="V694" s="105"/>
      <c r="W694" s="105"/>
      <c r="X694" s="105"/>
      <c r="Y694" s="105"/>
      <c r="Z694" s="105"/>
      <c r="AA694" s="108"/>
      <c r="AB694" s="108"/>
      <c r="AC694" s="105"/>
      <c r="AD694" s="279"/>
      <c r="AE694" s="105"/>
      <c r="AF694" s="279"/>
      <c r="AG694" s="105"/>
      <c r="AH694" s="108"/>
      <c r="AI694" s="108"/>
      <c r="AJ694" s="108"/>
      <c r="AK694" s="108"/>
      <c r="AL694" s="105"/>
      <c r="AM694" s="108"/>
      <c r="AN694" s="105"/>
      <c r="AO694" s="108"/>
      <c r="AP694" s="108"/>
      <c r="AQ694" s="105"/>
      <c r="AR694" s="108"/>
      <c r="AS694" s="108"/>
      <c r="AT694" s="105"/>
      <c r="AU694" s="105"/>
      <c r="AV694" s="105"/>
      <c r="AW694" s="105"/>
      <c r="AX694" s="105"/>
      <c r="AY694" s="105"/>
      <c r="AZ694" s="105"/>
      <c r="BA694" s="105"/>
      <c r="BB694" s="105"/>
      <c r="BC694" s="105"/>
      <c r="BD694" s="108"/>
      <c r="BE694" s="83">
        <f>IF($A694="","",IF(TRIM($D694&amp;"")="",IF(TRIM($AX694&amp;$AY694&amp;$AZ694&amp;$BA694&amp;$BB694&amp;$BC694&amp;$BD694&amp;"")="","","SUBARRENDADO"),IFERROR(IF(VLOOKUP($D694,VEHICULOS!$A$3:$H$202,7,FALSE)="","",VLOOKUP($D694,VEHICULOS!$A$3:$H$202,7,FALSE)),"")))</f>
      </c>
      <c r="BF694" s="82">
        <f>IF($A694="","",IF(TRIM($BC694&amp;"")&lt;&gt;"",$BC694,IF(TRIM($D694&amp;"")="","",IFERROR(IF(VLOOKUP($D694,VEHICULOS!$A$3:$H$202,8,FALSE)="","",VLOOKUP($D694,VEHICULOS!$A$3:$H$202,8,FALSE)),""))))</f>
      </c>
      <c r="BG694" s="106"/>
      <c r="BH694" s="107"/>
      <c r="BI694" s="86">
        <f t="shared" si="150"/>
      </c>
      <c r="BJ694" s="83">
        <f t="shared" si="151"/>
      </c>
      <c r="BK694" s="85">
        <f t="shared" si="152"/>
      </c>
      <c r="BL694" s="85">
        <f t="shared" si="153"/>
      </c>
      <c r="BM694" s="108"/>
      <c r="BN694" s="85">
        <f t="shared" si="154"/>
      </c>
      <c r="BO694" s="108"/>
      <c r="BP694" s="85">
        <f t="shared" si="155"/>
      </c>
      <c r="BQ694" s="85">
        <f t="shared" si="156"/>
      </c>
      <c r="BR694" s="108"/>
      <c r="BS694" s="104"/>
      <c r="BT694" s="87">
        <f t="shared" si="157"/>
      </c>
      <c r="BU694" s="85">
        <f t="shared" si="158"/>
      </c>
      <c r="BV694" s="85">
        <f t="shared" si="159"/>
      </c>
      <c r="BW694" s="87">
        <f t="shared" si="160"/>
      </c>
      <c r="BX694" s="104"/>
      <c r="BY694" s="106"/>
      <c r="BZ694" s="104"/>
      <c r="CA694" s="105"/>
      <c r="CB694" s="77">
        <f>IF($A694="",0,IF($B694='FICHA CLIENTE'!$C$4,1,0))</f>
      </c>
      <c r="CC694" s="77">
        <f t="shared" si="161"/>
      </c>
      <c r="CD694" s="77">
        <f>IF($A694="",0,IF($D694='FICHA VEHICULO'!$C$4,1,0))</f>
      </c>
      <c r="CE694" s="77">
        <f t="shared" si="162"/>
      </c>
      <c r="CF694" s="77">
        <f t="shared" si="163"/>
      </c>
      <c r="CG694" s="77">
        <f t="shared" si="164"/>
      </c>
    </row>
    <row r="695" spans="1:85" ht="19.5" customHeight="1" x14ac:dyDescent="0.2">
      <c r="A695" s="104"/>
      <c r="B695" s="104"/>
      <c r="C695" s="105"/>
      <c r="D695" s="104"/>
      <c r="E695" s="105"/>
      <c r="F695" s="106"/>
      <c r="G695" s="104"/>
      <c r="H695" s="106"/>
      <c r="I695" s="107"/>
      <c r="J695" s="108"/>
      <c r="K695" s="108"/>
      <c r="L695" s="108"/>
      <c r="M695" s="105"/>
      <c r="N695" s="105"/>
      <c r="O695" s="105"/>
      <c r="P695" s="108"/>
      <c r="Q695" s="105"/>
      <c r="R695" s="105"/>
      <c r="S695" s="105"/>
      <c r="T695" s="105"/>
      <c r="U695" s="108"/>
      <c r="V695" s="105"/>
      <c r="W695" s="105"/>
      <c r="X695" s="105"/>
      <c r="Y695" s="105"/>
      <c r="Z695" s="105"/>
      <c r="AA695" s="108"/>
      <c r="AB695" s="108"/>
      <c r="AC695" s="105"/>
      <c r="AD695" s="279"/>
      <c r="AE695" s="105"/>
      <c r="AF695" s="279"/>
      <c r="AG695" s="105"/>
      <c r="AH695" s="108"/>
      <c r="AI695" s="108"/>
      <c r="AJ695" s="108"/>
      <c r="AK695" s="108"/>
      <c r="AL695" s="105"/>
      <c r="AM695" s="108"/>
      <c r="AN695" s="105"/>
      <c r="AO695" s="108"/>
      <c r="AP695" s="108"/>
      <c r="AQ695" s="105"/>
      <c r="AR695" s="108"/>
      <c r="AS695" s="108"/>
      <c r="AT695" s="105"/>
      <c r="AU695" s="105"/>
      <c r="AV695" s="105"/>
      <c r="AW695" s="105"/>
      <c r="AX695" s="105"/>
      <c r="AY695" s="105"/>
      <c r="AZ695" s="105"/>
      <c r="BA695" s="105"/>
      <c r="BB695" s="105"/>
      <c r="BC695" s="105"/>
      <c r="BD695" s="108"/>
      <c r="BE695" s="83">
        <f>IF($A695="","",IF(TRIM($D695&amp;"")="",IF(TRIM($AX695&amp;$AY695&amp;$AZ695&amp;$BA695&amp;$BB695&amp;$BC695&amp;$BD695&amp;"")="","","SUBARRENDADO"),IFERROR(IF(VLOOKUP($D695,VEHICULOS!$A$3:$H$202,7,FALSE)="","",VLOOKUP($D695,VEHICULOS!$A$3:$H$202,7,FALSE)),"")))</f>
      </c>
      <c r="BF695" s="82">
        <f>IF($A695="","",IF(TRIM($BC695&amp;"")&lt;&gt;"",$BC695,IF(TRIM($D695&amp;"")="","",IFERROR(IF(VLOOKUP($D695,VEHICULOS!$A$3:$H$202,8,FALSE)="","",VLOOKUP($D695,VEHICULOS!$A$3:$H$202,8,FALSE)),""))))</f>
      </c>
      <c r="BG695" s="106"/>
      <c r="BH695" s="107"/>
      <c r="BI695" s="86">
        <f t="shared" si="150"/>
      </c>
      <c r="BJ695" s="83">
        <f t="shared" si="151"/>
      </c>
      <c r="BK695" s="85">
        <f t="shared" si="152"/>
      </c>
      <c r="BL695" s="85">
        <f t="shared" si="153"/>
      </c>
      <c r="BM695" s="108"/>
      <c r="BN695" s="85">
        <f t="shared" si="154"/>
      </c>
      <c r="BO695" s="108"/>
      <c r="BP695" s="85">
        <f t="shared" si="155"/>
      </c>
      <c r="BQ695" s="85">
        <f t="shared" si="156"/>
      </c>
      <c r="BR695" s="108"/>
      <c r="BS695" s="104"/>
      <c r="BT695" s="87">
        <f t="shared" si="157"/>
      </c>
      <c r="BU695" s="85">
        <f t="shared" si="158"/>
      </c>
      <c r="BV695" s="85">
        <f t="shared" si="159"/>
      </c>
      <c r="BW695" s="87">
        <f t="shared" si="160"/>
      </c>
      <c r="BX695" s="104"/>
      <c r="BY695" s="106"/>
      <c r="BZ695" s="104"/>
      <c r="CA695" s="105"/>
      <c r="CB695" s="77">
        <f>IF($A695="",0,IF($B695='FICHA CLIENTE'!$C$4,1,0))</f>
      </c>
      <c r="CC695" s="77">
        <f t="shared" si="161"/>
      </c>
      <c r="CD695" s="77">
        <f>IF($A695="",0,IF($D695='FICHA VEHICULO'!$C$4,1,0))</f>
      </c>
      <c r="CE695" s="77">
        <f t="shared" si="162"/>
      </c>
      <c r="CF695" s="77">
        <f t="shared" si="163"/>
      </c>
      <c r="CG695" s="77">
        <f t="shared" si="164"/>
      </c>
    </row>
    <row r="696" spans="1:85" ht="19.5" customHeight="1" x14ac:dyDescent="0.2">
      <c r="A696" s="104"/>
      <c r="B696" s="104"/>
      <c r="C696" s="105"/>
      <c r="D696" s="104"/>
      <c r="E696" s="105"/>
      <c r="F696" s="106"/>
      <c r="G696" s="104"/>
      <c r="H696" s="106"/>
      <c r="I696" s="107"/>
      <c r="J696" s="108"/>
      <c r="K696" s="108"/>
      <c r="L696" s="108"/>
      <c r="M696" s="105"/>
      <c r="N696" s="105"/>
      <c r="O696" s="105"/>
      <c r="P696" s="108"/>
      <c r="Q696" s="105"/>
      <c r="R696" s="105"/>
      <c r="S696" s="105"/>
      <c r="T696" s="105"/>
      <c r="U696" s="108"/>
      <c r="V696" s="105"/>
      <c r="W696" s="105"/>
      <c r="X696" s="105"/>
      <c r="Y696" s="105"/>
      <c r="Z696" s="105"/>
      <c r="AA696" s="108"/>
      <c r="AB696" s="108"/>
      <c r="AC696" s="105"/>
      <c r="AD696" s="279"/>
      <c r="AE696" s="105"/>
      <c r="AF696" s="279"/>
      <c r="AG696" s="105"/>
      <c r="AH696" s="108"/>
      <c r="AI696" s="108"/>
      <c r="AJ696" s="108"/>
      <c r="AK696" s="108"/>
      <c r="AL696" s="105"/>
      <c r="AM696" s="108"/>
      <c r="AN696" s="105"/>
      <c r="AO696" s="108"/>
      <c r="AP696" s="108"/>
      <c r="AQ696" s="105"/>
      <c r="AR696" s="108"/>
      <c r="AS696" s="108"/>
      <c r="AT696" s="105"/>
      <c r="AU696" s="105"/>
      <c r="AV696" s="105"/>
      <c r="AW696" s="105"/>
      <c r="AX696" s="105"/>
      <c r="AY696" s="105"/>
      <c r="AZ696" s="105"/>
      <c r="BA696" s="105"/>
      <c r="BB696" s="105"/>
      <c r="BC696" s="105"/>
      <c r="BD696" s="108"/>
      <c r="BE696" s="83">
        <f>IF($A696="","",IF(TRIM($D696&amp;"")="",IF(TRIM($AX696&amp;$AY696&amp;$AZ696&amp;$BA696&amp;$BB696&amp;$BC696&amp;$BD696&amp;"")="","","SUBARRENDADO"),IFERROR(IF(VLOOKUP($D696,VEHICULOS!$A$3:$H$202,7,FALSE)="","",VLOOKUP($D696,VEHICULOS!$A$3:$H$202,7,FALSE)),"")))</f>
      </c>
      <c r="BF696" s="82">
        <f>IF($A696="","",IF(TRIM($BC696&amp;"")&lt;&gt;"",$BC696,IF(TRIM($D696&amp;"")="","",IFERROR(IF(VLOOKUP($D696,VEHICULOS!$A$3:$H$202,8,FALSE)="","",VLOOKUP($D696,VEHICULOS!$A$3:$H$202,8,FALSE)),""))))</f>
      </c>
      <c r="BG696" s="106"/>
      <c r="BH696" s="107"/>
      <c r="BI696" s="86">
        <f t="shared" si="150"/>
      </c>
      <c r="BJ696" s="83">
        <f t="shared" si="151"/>
      </c>
      <c r="BK696" s="85">
        <f t="shared" si="152"/>
      </c>
      <c r="BL696" s="85">
        <f t="shared" si="153"/>
      </c>
      <c r="BM696" s="108"/>
      <c r="BN696" s="85">
        <f t="shared" si="154"/>
      </c>
      <c r="BO696" s="108"/>
      <c r="BP696" s="85">
        <f t="shared" si="155"/>
      </c>
      <c r="BQ696" s="85">
        <f t="shared" si="156"/>
      </c>
      <c r="BR696" s="108"/>
      <c r="BS696" s="104"/>
      <c r="BT696" s="87">
        <f t="shared" si="157"/>
      </c>
      <c r="BU696" s="85">
        <f t="shared" si="158"/>
      </c>
      <c r="BV696" s="85">
        <f t="shared" si="159"/>
      </c>
      <c r="BW696" s="87">
        <f t="shared" si="160"/>
      </c>
      <c r="BX696" s="104"/>
      <c r="BY696" s="106"/>
      <c r="BZ696" s="104"/>
      <c r="CA696" s="105"/>
      <c r="CB696" s="77">
        <f>IF($A696="",0,IF($B696='FICHA CLIENTE'!$C$4,1,0))</f>
      </c>
      <c r="CC696" s="77">
        <f t="shared" si="161"/>
      </c>
      <c r="CD696" s="77">
        <f>IF($A696="",0,IF($D696='FICHA VEHICULO'!$C$4,1,0))</f>
      </c>
      <c r="CE696" s="77">
        <f t="shared" si="162"/>
      </c>
      <c r="CF696" s="77">
        <f t="shared" si="163"/>
      </c>
      <c r="CG696" s="77">
        <f t="shared" si="164"/>
      </c>
    </row>
    <row r="697" spans="1:85" ht="19.5" customHeight="1" x14ac:dyDescent="0.2">
      <c r="A697" s="104"/>
      <c r="B697" s="104"/>
      <c r="C697" s="105"/>
      <c r="D697" s="104"/>
      <c r="E697" s="105"/>
      <c r="F697" s="106"/>
      <c r="G697" s="104"/>
      <c r="H697" s="106"/>
      <c r="I697" s="107"/>
      <c r="J697" s="108"/>
      <c r="K697" s="108"/>
      <c r="L697" s="108"/>
      <c r="M697" s="105"/>
      <c r="N697" s="105"/>
      <c r="O697" s="105"/>
      <c r="P697" s="108"/>
      <c r="Q697" s="105"/>
      <c r="R697" s="105"/>
      <c r="S697" s="105"/>
      <c r="T697" s="105"/>
      <c r="U697" s="108"/>
      <c r="V697" s="105"/>
      <c r="W697" s="105"/>
      <c r="X697" s="105"/>
      <c r="Y697" s="105"/>
      <c r="Z697" s="105"/>
      <c r="AA697" s="108"/>
      <c r="AB697" s="108"/>
      <c r="AC697" s="105"/>
      <c r="AD697" s="279"/>
      <c r="AE697" s="105"/>
      <c r="AF697" s="279"/>
      <c r="AG697" s="105"/>
      <c r="AH697" s="108"/>
      <c r="AI697" s="108"/>
      <c r="AJ697" s="108"/>
      <c r="AK697" s="108"/>
      <c r="AL697" s="105"/>
      <c r="AM697" s="108"/>
      <c r="AN697" s="105"/>
      <c r="AO697" s="108"/>
      <c r="AP697" s="108"/>
      <c r="AQ697" s="105"/>
      <c r="AR697" s="108"/>
      <c r="AS697" s="108"/>
      <c r="AT697" s="105"/>
      <c r="AU697" s="105"/>
      <c r="AV697" s="105"/>
      <c r="AW697" s="105"/>
      <c r="AX697" s="105"/>
      <c r="AY697" s="105"/>
      <c r="AZ697" s="105"/>
      <c r="BA697" s="105"/>
      <c r="BB697" s="105"/>
      <c r="BC697" s="105"/>
      <c r="BD697" s="108"/>
      <c r="BE697" s="83">
        <f>IF($A697="","",IF(TRIM($D697&amp;"")="",IF(TRIM($AX697&amp;$AY697&amp;$AZ697&amp;$BA697&amp;$BB697&amp;$BC697&amp;$BD697&amp;"")="","","SUBARRENDADO"),IFERROR(IF(VLOOKUP($D697,VEHICULOS!$A$3:$H$202,7,FALSE)="","",VLOOKUP($D697,VEHICULOS!$A$3:$H$202,7,FALSE)),"")))</f>
      </c>
      <c r="BF697" s="82">
        <f>IF($A697="","",IF(TRIM($BC697&amp;"")&lt;&gt;"",$BC697,IF(TRIM($D697&amp;"")="","",IFERROR(IF(VLOOKUP($D697,VEHICULOS!$A$3:$H$202,8,FALSE)="","",VLOOKUP($D697,VEHICULOS!$A$3:$H$202,8,FALSE)),""))))</f>
      </c>
      <c r="BG697" s="106"/>
      <c r="BH697" s="107"/>
      <c r="BI697" s="86">
        <f t="shared" si="150"/>
      </c>
      <c r="BJ697" s="83">
        <f t="shared" si="151"/>
      </c>
      <c r="BK697" s="85">
        <f t="shared" si="152"/>
      </c>
      <c r="BL697" s="85">
        <f t="shared" si="153"/>
      </c>
      <c r="BM697" s="108"/>
      <c r="BN697" s="85">
        <f t="shared" si="154"/>
      </c>
      <c r="BO697" s="108"/>
      <c r="BP697" s="85">
        <f t="shared" si="155"/>
      </c>
      <c r="BQ697" s="85">
        <f t="shared" si="156"/>
      </c>
      <c r="BR697" s="108"/>
      <c r="BS697" s="104"/>
      <c r="BT697" s="87">
        <f t="shared" si="157"/>
      </c>
      <c r="BU697" s="85">
        <f t="shared" si="158"/>
      </c>
      <c r="BV697" s="85">
        <f t="shared" si="159"/>
      </c>
      <c r="BW697" s="87">
        <f t="shared" si="160"/>
      </c>
      <c r="BX697" s="104"/>
      <c r="BY697" s="106"/>
      <c r="BZ697" s="104"/>
      <c r="CA697" s="105"/>
      <c r="CB697" s="77">
        <f>IF($A697="",0,IF($B697='FICHA CLIENTE'!$C$4,1,0))</f>
      </c>
      <c r="CC697" s="77">
        <f t="shared" si="161"/>
      </c>
      <c r="CD697" s="77">
        <f>IF($A697="",0,IF($D697='FICHA VEHICULO'!$C$4,1,0))</f>
      </c>
      <c r="CE697" s="77">
        <f t="shared" si="162"/>
      </c>
      <c r="CF697" s="77">
        <f t="shared" si="163"/>
      </c>
      <c r="CG697" s="77">
        <f t="shared" si="164"/>
      </c>
    </row>
    <row r="698" spans="1:85" ht="19.5" customHeight="1" x14ac:dyDescent="0.2">
      <c r="A698" s="104"/>
      <c r="B698" s="104"/>
      <c r="C698" s="105"/>
      <c r="D698" s="104"/>
      <c r="E698" s="105"/>
      <c r="F698" s="106"/>
      <c r="G698" s="104"/>
      <c r="H698" s="106"/>
      <c r="I698" s="107"/>
      <c r="J698" s="108"/>
      <c r="K698" s="108"/>
      <c r="L698" s="108"/>
      <c r="M698" s="105"/>
      <c r="N698" s="105"/>
      <c r="O698" s="105"/>
      <c r="P698" s="108"/>
      <c r="Q698" s="105"/>
      <c r="R698" s="105"/>
      <c r="S698" s="105"/>
      <c r="T698" s="105"/>
      <c r="U698" s="108"/>
      <c r="V698" s="105"/>
      <c r="W698" s="105"/>
      <c r="X698" s="105"/>
      <c r="Y698" s="105"/>
      <c r="Z698" s="105"/>
      <c r="AA698" s="108"/>
      <c r="AB698" s="108"/>
      <c r="AC698" s="105"/>
      <c r="AD698" s="279"/>
      <c r="AE698" s="105"/>
      <c r="AF698" s="279"/>
      <c r="AG698" s="105"/>
      <c r="AH698" s="108"/>
      <c r="AI698" s="108"/>
      <c r="AJ698" s="108"/>
      <c r="AK698" s="108"/>
      <c r="AL698" s="105"/>
      <c r="AM698" s="108"/>
      <c r="AN698" s="105"/>
      <c r="AO698" s="108"/>
      <c r="AP698" s="108"/>
      <c r="AQ698" s="105"/>
      <c r="AR698" s="108"/>
      <c r="AS698" s="108"/>
      <c r="AT698" s="105"/>
      <c r="AU698" s="105"/>
      <c r="AV698" s="105"/>
      <c r="AW698" s="105"/>
      <c r="AX698" s="105"/>
      <c r="AY698" s="105"/>
      <c r="AZ698" s="105"/>
      <c r="BA698" s="105"/>
      <c r="BB698" s="105"/>
      <c r="BC698" s="105"/>
      <c r="BD698" s="108"/>
      <c r="BE698" s="83">
        <f>IF($A698="","",IF(TRIM($D698&amp;"")="",IF(TRIM($AX698&amp;$AY698&amp;$AZ698&amp;$BA698&amp;$BB698&amp;$BC698&amp;$BD698&amp;"")="","","SUBARRENDADO"),IFERROR(IF(VLOOKUP($D698,VEHICULOS!$A$3:$H$202,7,FALSE)="","",VLOOKUP($D698,VEHICULOS!$A$3:$H$202,7,FALSE)),"")))</f>
      </c>
      <c r="BF698" s="82">
        <f>IF($A698="","",IF(TRIM($BC698&amp;"")&lt;&gt;"",$BC698,IF(TRIM($D698&amp;"")="","",IFERROR(IF(VLOOKUP($D698,VEHICULOS!$A$3:$H$202,8,FALSE)="","",VLOOKUP($D698,VEHICULOS!$A$3:$H$202,8,FALSE)),""))))</f>
      </c>
      <c r="BG698" s="106"/>
      <c r="BH698" s="107"/>
      <c r="BI698" s="86">
        <f t="shared" si="150"/>
      </c>
      <c r="BJ698" s="83">
        <f t="shared" si="151"/>
      </c>
      <c r="BK698" s="85">
        <f t="shared" si="152"/>
      </c>
      <c r="BL698" s="85">
        <f t="shared" si="153"/>
      </c>
      <c r="BM698" s="108"/>
      <c r="BN698" s="85">
        <f t="shared" si="154"/>
      </c>
      <c r="BO698" s="108"/>
      <c r="BP698" s="85">
        <f t="shared" si="155"/>
      </c>
      <c r="BQ698" s="85">
        <f t="shared" si="156"/>
      </c>
      <c r="BR698" s="108"/>
      <c r="BS698" s="104"/>
      <c r="BT698" s="87">
        <f t="shared" si="157"/>
      </c>
      <c r="BU698" s="85">
        <f t="shared" si="158"/>
      </c>
      <c r="BV698" s="85">
        <f t="shared" si="159"/>
      </c>
      <c r="BW698" s="87">
        <f t="shared" si="160"/>
      </c>
      <c r="BX698" s="104"/>
      <c r="BY698" s="106"/>
      <c r="BZ698" s="104"/>
      <c r="CA698" s="105"/>
      <c r="CB698" s="77">
        <f>IF($A698="",0,IF($B698='FICHA CLIENTE'!$C$4,1,0))</f>
      </c>
      <c r="CC698" s="77">
        <f t="shared" si="161"/>
      </c>
      <c r="CD698" s="77">
        <f>IF($A698="",0,IF($D698='FICHA VEHICULO'!$C$4,1,0))</f>
      </c>
      <c r="CE698" s="77">
        <f t="shared" si="162"/>
      </c>
      <c r="CF698" s="77">
        <f t="shared" si="163"/>
      </c>
      <c r="CG698" s="77">
        <f t="shared" si="164"/>
      </c>
    </row>
    <row r="699" spans="1:85" ht="19.5" customHeight="1" x14ac:dyDescent="0.2">
      <c r="A699" s="104"/>
      <c r="B699" s="104"/>
      <c r="C699" s="105"/>
      <c r="D699" s="104"/>
      <c r="E699" s="105"/>
      <c r="F699" s="106"/>
      <c r="G699" s="104"/>
      <c r="H699" s="106"/>
      <c r="I699" s="107"/>
      <c r="J699" s="108"/>
      <c r="K699" s="108"/>
      <c r="L699" s="108"/>
      <c r="M699" s="105"/>
      <c r="N699" s="105"/>
      <c r="O699" s="105"/>
      <c r="P699" s="108"/>
      <c r="Q699" s="105"/>
      <c r="R699" s="105"/>
      <c r="S699" s="105"/>
      <c r="T699" s="105"/>
      <c r="U699" s="108"/>
      <c r="V699" s="105"/>
      <c r="W699" s="105"/>
      <c r="X699" s="105"/>
      <c r="Y699" s="105"/>
      <c r="Z699" s="105"/>
      <c r="AA699" s="108"/>
      <c r="AB699" s="108"/>
      <c r="AC699" s="105"/>
      <c r="AD699" s="279"/>
      <c r="AE699" s="105"/>
      <c r="AF699" s="279"/>
      <c r="AG699" s="105"/>
      <c r="AH699" s="108"/>
      <c r="AI699" s="108"/>
      <c r="AJ699" s="108"/>
      <c r="AK699" s="108"/>
      <c r="AL699" s="105"/>
      <c r="AM699" s="108"/>
      <c r="AN699" s="105"/>
      <c r="AO699" s="108"/>
      <c r="AP699" s="108"/>
      <c r="AQ699" s="105"/>
      <c r="AR699" s="108"/>
      <c r="AS699" s="108"/>
      <c r="AT699" s="105"/>
      <c r="AU699" s="105"/>
      <c r="AV699" s="105"/>
      <c r="AW699" s="105"/>
      <c r="AX699" s="105"/>
      <c r="AY699" s="105"/>
      <c r="AZ699" s="105"/>
      <c r="BA699" s="105"/>
      <c r="BB699" s="105"/>
      <c r="BC699" s="105"/>
      <c r="BD699" s="108"/>
      <c r="BE699" s="83">
        <f>IF($A699="","",IF(TRIM($D699&amp;"")="",IF(TRIM($AX699&amp;$AY699&amp;$AZ699&amp;$BA699&amp;$BB699&amp;$BC699&amp;$BD699&amp;"")="","","SUBARRENDADO"),IFERROR(IF(VLOOKUP($D699,VEHICULOS!$A$3:$H$202,7,FALSE)="","",VLOOKUP($D699,VEHICULOS!$A$3:$H$202,7,FALSE)),"")))</f>
      </c>
      <c r="BF699" s="82">
        <f>IF($A699="","",IF(TRIM($BC699&amp;"")&lt;&gt;"",$BC699,IF(TRIM($D699&amp;"")="","",IFERROR(IF(VLOOKUP($D699,VEHICULOS!$A$3:$H$202,8,FALSE)="","",VLOOKUP($D699,VEHICULOS!$A$3:$H$202,8,FALSE)),""))))</f>
      </c>
      <c r="BG699" s="106"/>
      <c r="BH699" s="107"/>
      <c r="BI699" s="86">
        <f t="shared" si="150"/>
      </c>
      <c r="BJ699" s="83">
        <f t="shared" si="151"/>
      </c>
      <c r="BK699" s="85">
        <f t="shared" si="152"/>
      </c>
      <c r="BL699" s="85">
        <f t="shared" si="153"/>
      </c>
      <c r="BM699" s="108"/>
      <c r="BN699" s="85">
        <f t="shared" si="154"/>
      </c>
      <c r="BO699" s="108"/>
      <c r="BP699" s="85">
        <f t="shared" si="155"/>
      </c>
      <c r="BQ699" s="85">
        <f t="shared" si="156"/>
      </c>
      <c r="BR699" s="108"/>
      <c r="BS699" s="104"/>
      <c r="BT699" s="87">
        <f t="shared" si="157"/>
      </c>
      <c r="BU699" s="85">
        <f t="shared" si="158"/>
      </c>
      <c r="BV699" s="85">
        <f t="shared" si="159"/>
      </c>
      <c r="BW699" s="87">
        <f t="shared" si="160"/>
      </c>
      <c r="BX699" s="104"/>
      <c r="BY699" s="106"/>
      <c r="BZ699" s="104"/>
      <c r="CA699" s="105"/>
      <c r="CB699" s="77">
        <f>IF($A699="",0,IF($B699='FICHA CLIENTE'!$C$4,1,0))</f>
      </c>
      <c r="CC699" s="77">
        <f t="shared" si="161"/>
      </c>
      <c r="CD699" s="77">
        <f>IF($A699="",0,IF($D699='FICHA VEHICULO'!$C$4,1,0))</f>
      </c>
      <c r="CE699" s="77">
        <f t="shared" si="162"/>
      </c>
      <c r="CF699" s="77">
        <f t="shared" si="163"/>
      </c>
      <c r="CG699" s="77">
        <f t="shared" si="164"/>
      </c>
    </row>
    <row r="700" spans="1:85" ht="19.5" customHeight="1" x14ac:dyDescent="0.2">
      <c r="A700" s="104"/>
      <c r="B700" s="104"/>
      <c r="C700" s="105"/>
      <c r="D700" s="104"/>
      <c r="E700" s="105"/>
      <c r="F700" s="106"/>
      <c r="G700" s="104"/>
      <c r="H700" s="106"/>
      <c r="I700" s="107"/>
      <c r="J700" s="108"/>
      <c r="K700" s="108"/>
      <c r="L700" s="108"/>
      <c r="M700" s="105"/>
      <c r="N700" s="105"/>
      <c r="O700" s="105"/>
      <c r="P700" s="108"/>
      <c r="Q700" s="105"/>
      <c r="R700" s="105"/>
      <c r="S700" s="105"/>
      <c r="T700" s="105"/>
      <c r="U700" s="108"/>
      <c r="V700" s="105"/>
      <c r="W700" s="105"/>
      <c r="X700" s="105"/>
      <c r="Y700" s="105"/>
      <c r="Z700" s="105"/>
      <c r="AA700" s="108"/>
      <c r="AB700" s="108"/>
      <c r="AC700" s="105"/>
      <c r="AD700" s="279"/>
      <c r="AE700" s="105"/>
      <c r="AF700" s="279"/>
      <c r="AG700" s="105"/>
      <c r="AH700" s="108"/>
      <c r="AI700" s="108"/>
      <c r="AJ700" s="108"/>
      <c r="AK700" s="108"/>
      <c r="AL700" s="105"/>
      <c r="AM700" s="108"/>
      <c r="AN700" s="105"/>
      <c r="AO700" s="108"/>
      <c r="AP700" s="108"/>
      <c r="AQ700" s="105"/>
      <c r="AR700" s="108"/>
      <c r="AS700" s="108"/>
      <c r="AT700" s="105"/>
      <c r="AU700" s="105"/>
      <c r="AV700" s="105"/>
      <c r="AW700" s="105"/>
      <c r="AX700" s="105"/>
      <c r="AY700" s="105"/>
      <c r="AZ700" s="105"/>
      <c r="BA700" s="105"/>
      <c r="BB700" s="105"/>
      <c r="BC700" s="105"/>
      <c r="BD700" s="108"/>
      <c r="BE700" s="83">
        <f>IF($A700="","",IF(TRIM($D700&amp;"")="",IF(TRIM($AX700&amp;$AY700&amp;$AZ700&amp;$BA700&amp;$BB700&amp;$BC700&amp;$BD700&amp;"")="","","SUBARRENDADO"),IFERROR(IF(VLOOKUP($D700,VEHICULOS!$A$3:$H$202,7,FALSE)="","",VLOOKUP($D700,VEHICULOS!$A$3:$H$202,7,FALSE)),"")))</f>
      </c>
      <c r="BF700" s="82">
        <f>IF($A700="","",IF(TRIM($BC700&amp;"")&lt;&gt;"",$BC700,IF(TRIM($D700&amp;"")="","",IFERROR(IF(VLOOKUP($D700,VEHICULOS!$A$3:$H$202,8,FALSE)="","",VLOOKUP($D700,VEHICULOS!$A$3:$H$202,8,FALSE)),""))))</f>
      </c>
      <c r="BG700" s="106"/>
      <c r="BH700" s="107"/>
      <c r="BI700" s="86">
        <f t="shared" si="150"/>
      </c>
      <c r="BJ700" s="83">
        <f t="shared" si="151"/>
      </c>
      <c r="BK700" s="85">
        <f t="shared" si="152"/>
      </c>
      <c r="BL700" s="85">
        <f t="shared" si="153"/>
      </c>
      <c r="BM700" s="108"/>
      <c r="BN700" s="85">
        <f t="shared" si="154"/>
      </c>
      <c r="BO700" s="108"/>
      <c r="BP700" s="85">
        <f t="shared" si="155"/>
      </c>
      <c r="BQ700" s="85">
        <f t="shared" si="156"/>
      </c>
      <c r="BR700" s="108"/>
      <c r="BS700" s="104"/>
      <c r="BT700" s="87">
        <f t="shared" si="157"/>
      </c>
      <c r="BU700" s="85">
        <f t="shared" si="158"/>
      </c>
      <c r="BV700" s="85">
        <f t="shared" si="159"/>
      </c>
      <c r="BW700" s="87">
        <f t="shared" si="160"/>
      </c>
      <c r="BX700" s="104"/>
      <c r="BY700" s="106"/>
      <c r="BZ700" s="104"/>
      <c r="CA700" s="105"/>
      <c r="CB700" s="77">
        <f>IF($A700="",0,IF($B700='FICHA CLIENTE'!$C$4,1,0))</f>
      </c>
      <c r="CC700" s="77">
        <f t="shared" si="161"/>
      </c>
      <c r="CD700" s="77">
        <f>IF($A700="",0,IF($D700='FICHA VEHICULO'!$C$4,1,0))</f>
      </c>
      <c r="CE700" s="77">
        <f t="shared" si="162"/>
      </c>
      <c r="CF700" s="77">
        <f t="shared" si="163"/>
      </c>
      <c r="CG700" s="77">
        <f t="shared" si="164"/>
      </c>
    </row>
    <row r="701" spans="1:85" ht="19.5" customHeight="1" x14ac:dyDescent="0.2">
      <c r="A701" s="104"/>
      <c r="B701" s="104"/>
      <c r="C701" s="105"/>
      <c r="D701" s="104"/>
      <c r="E701" s="105"/>
      <c r="F701" s="106"/>
      <c r="G701" s="104"/>
      <c r="H701" s="106"/>
      <c r="I701" s="107"/>
      <c r="J701" s="108"/>
      <c r="K701" s="108"/>
      <c r="L701" s="108"/>
      <c r="M701" s="105"/>
      <c r="N701" s="105"/>
      <c r="O701" s="105"/>
      <c r="P701" s="108"/>
      <c r="Q701" s="105"/>
      <c r="R701" s="105"/>
      <c r="S701" s="105"/>
      <c r="T701" s="105"/>
      <c r="U701" s="108"/>
      <c r="V701" s="105"/>
      <c r="W701" s="105"/>
      <c r="X701" s="105"/>
      <c r="Y701" s="105"/>
      <c r="Z701" s="105"/>
      <c r="AA701" s="108"/>
      <c r="AB701" s="108"/>
      <c r="AC701" s="105"/>
      <c r="AD701" s="279"/>
      <c r="AE701" s="105"/>
      <c r="AF701" s="279"/>
      <c r="AG701" s="105"/>
      <c r="AH701" s="108"/>
      <c r="AI701" s="108"/>
      <c r="AJ701" s="108"/>
      <c r="AK701" s="108"/>
      <c r="AL701" s="105"/>
      <c r="AM701" s="108"/>
      <c r="AN701" s="105"/>
      <c r="AO701" s="108"/>
      <c r="AP701" s="108"/>
      <c r="AQ701" s="105"/>
      <c r="AR701" s="108"/>
      <c r="AS701" s="108"/>
      <c r="AT701" s="105"/>
      <c r="AU701" s="105"/>
      <c r="AV701" s="105"/>
      <c r="AW701" s="105"/>
      <c r="AX701" s="105"/>
      <c r="AY701" s="105"/>
      <c r="AZ701" s="105"/>
      <c r="BA701" s="105"/>
      <c r="BB701" s="105"/>
      <c r="BC701" s="105"/>
      <c r="BD701" s="108"/>
      <c r="BE701" s="83">
        <f>IF($A701="","",IF(TRIM($D701&amp;"")="",IF(TRIM($AX701&amp;$AY701&amp;$AZ701&amp;$BA701&amp;$BB701&amp;$BC701&amp;$BD701&amp;"")="","","SUBARRENDADO"),IFERROR(IF(VLOOKUP($D701,VEHICULOS!$A$3:$H$202,7,FALSE)="","",VLOOKUP($D701,VEHICULOS!$A$3:$H$202,7,FALSE)),"")))</f>
      </c>
      <c r="BF701" s="82">
        <f>IF($A701="","",IF(TRIM($BC701&amp;"")&lt;&gt;"",$BC701,IF(TRIM($D701&amp;"")="","",IFERROR(IF(VLOOKUP($D701,VEHICULOS!$A$3:$H$202,8,FALSE)="","",VLOOKUP($D701,VEHICULOS!$A$3:$H$202,8,FALSE)),""))))</f>
      </c>
      <c r="BG701" s="106"/>
      <c r="BH701" s="107"/>
      <c r="BI701" s="86">
        <f t="shared" si="150"/>
      </c>
      <c r="BJ701" s="83">
        <f t="shared" si="151"/>
      </c>
      <c r="BK701" s="85">
        <f t="shared" si="152"/>
      </c>
      <c r="BL701" s="85">
        <f t="shared" si="153"/>
      </c>
      <c r="BM701" s="108"/>
      <c r="BN701" s="85">
        <f t="shared" si="154"/>
      </c>
      <c r="BO701" s="108"/>
      <c r="BP701" s="85">
        <f t="shared" si="155"/>
      </c>
      <c r="BQ701" s="85">
        <f t="shared" si="156"/>
      </c>
      <c r="BR701" s="108"/>
      <c r="BS701" s="104"/>
      <c r="BT701" s="87">
        <f t="shared" si="157"/>
      </c>
      <c r="BU701" s="85">
        <f t="shared" si="158"/>
      </c>
      <c r="BV701" s="85">
        <f t="shared" si="159"/>
      </c>
      <c r="BW701" s="87">
        <f t="shared" si="160"/>
      </c>
      <c r="BX701" s="104"/>
      <c r="BY701" s="106"/>
      <c r="BZ701" s="104"/>
      <c r="CA701" s="105"/>
      <c r="CB701" s="77">
        <f>IF($A701="",0,IF($B701='FICHA CLIENTE'!$C$4,1,0))</f>
      </c>
      <c r="CC701" s="77">
        <f t="shared" si="161"/>
      </c>
      <c r="CD701" s="77">
        <f>IF($A701="",0,IF($D701='FICHA VEHICULO'!$C$4,1,0))</f>
      </c>
      <c r="CE701" s="77">
        <f t="shared" si="162"/>
      </c>
      <c r="CF701" s="77">
        <f t="shared" si="163"/>
      </c>
      <c r="CG701" s="77">
        <f t="shared" si="164"/>
      </c>
    </row>
    <row r="702" spans="1:85" ht="19.5" customHeight="1" x14ac:dyDescent="0.2">
      <c r="A702" s="104"/>
      <c r="B702" s="104"/>
      <c r="C702" s="105"/>
      <c r="D702" s="104"/>
      <c r="E702" s="105"/>
      <c r="F702" s="106"/>
      <c r="G702" s="104"/>
      <c r="H702" s="106"/>
      <c r="I702" s="107"/>
      <c r="J702" s="108"/>
      <c r="K702" s="108"/>
      <c r="L702" s="108"/>
      <c r="M702" s="105"/>
      <c r="N702" s="105"/>
      <c r="O702" s="105"/>
      <c r="P702" s="108"/>
      <c r="Q702" s="105"/>
      <c r="R702" s="105"/>
      <c r="S702" s="105"/>
      <c r="T702" s="105"/>
      <c r="U702" s="108"/>
      <c r="V702" s="105"/>
      <c r="W702" s="105"/>
      <c r="X702" s="105"/>
      <c r="Y702" s="105"/>
      <c r="Z702" s="105"/>
      <c r="AA702" s="108"/>
      <c r="AB702" s="108"/>
      <c r="AC702" s="105"/>
      <c r="AD702" s="279"/>
      <c r="AE702" s="105"/>
      <c r="AF702" s="279"/>
      <c r="AG702" s="105"/>
      <c r="AH702" s="108"/>
      <c r="AI702" s="108"/>
      <c r="AJ702" s="108"/>
      <c r="AK702" s="108"/>
      <c r="AL702" s="105"/>
      <c r="AM702" s="108"/>
      <c r="AN702" s="105"/>
      <c r="AO702" s="108"/>
      <c r="AP702" s="108"/>
      <c r="AQ702" s="105"/>
      <c r="AR702" s="108"/>
      <c r="AS702" s="108"/>
      <c r="AT702" s="105"/>
      <c r="AU702" s="105"/>
      <c r="AV702" s="105"/>
      <c r="AW702" s="105"/>
      <c r="AX702" s="105"/>
      <c r="AY702" s="105"/>
      <c r="AZ702" s="105"/>
      <c r="BA702" s="105"/>
      <c r="BB702" s="105"/>
      <c r="BC702" s="105"/>
      <c r="BD702" s="108"/>
      <c r="BE702" s="83">
        <f>IF($A702="","",IF(TRIM($D702&amp;"")="",IF(TRIM($AX702&amp;$AY702&amp;$AZ702&amp;$BA702&amp;$BB702&amp;$BC702&amp;$BD702&amp;"")="","","SUBARRENDADO"),IFERROR(IF(VLOOKUP($D702,VEHICULOS!$A$3:$H$202,7,FALSE)="","",VLOOKUP($D702,VEHICULOS!$A$3:$H$202,7,FALSE)),"")))</f>
      </c>
      <c r="BF702" s="82">
        <f>IF($A702="","",IF(TRIM($BC702&amp;"")&lt;&gt;"",$BC702,IF(TRIM($D702&amp;"")="","",IFERROR(IF(VLOOKUP($D702,VEHICULOS!$A$3:$H$202,8,FALSE)="","",VLOOKUP($D702,VEHICULOS!$A$3:$H$202,8,FALSE)),""))))</f>
      </c>
      <c r="BG702" s="106"/>
      <c r="BH702" s="107"/>
      <c r="BI702" s="86">
        <f t="shared" si="150"/>
      </c>
      <c r="BJ702" s="83">
        <f t="shared" si="151"/>
      </c>
      <c r="BK702" s="85">
        <f t="shared" si="152"/>
      </c>
      <c r="BL702" s="85">
        <f t="shared" si="153"/>
      </c>
      <c r="BM702" s="108"/>
      <c r="BN702" s="85">
        <f t="shared" si="154"/>
      </c>
      <c r="BO702" s="108"/>
      <c r="BP702" s="85">
        <f t="shared" si="155"/>
      </c>
      <c r="BQ702" s="85">
        <f t="shared" si="156"/>
      </c>
      <c r="BR702" s="108"/>
      <c r="BS702" s="104"/>
      <c r="BT702" s="87">
        <f t="shared" si="157"/>
      </c>
      <c r="BU702" s="85">
        <f t="shared" si="158"/>
      </c>
      <c r="BV702" s="85">
        <f t="shared" si="159"/>
      </c>
      <c r="BW702" s="87">
        <f t="shared" si="160"/>
      </c>
      <c r="BX702" s="104"/>
      <c r="BY702" s="106"/>
      <c r="BZ702" s="104"/>
      <c r="CA702" s="105"/>
      <c r="CB702" s="77">
        <f>IF($A702="",0,IF($B702='FICHA CLIENTE'!$C$4,1,0))</f>
      </c>
      <c r="CC702" s="77">
        <f t="shared" si="161"/>
      </c>
      <c r="CD702" s="77">
        <f>IF($A702="",0,IF($D702='FICHA VEHICULO'!$C$4,1,0))</f>
      </c>
      <c r="CE702" s="77">
        <f t="shared" si="162"/>
      </c>
      <c r="CF702" s="77">
        <f t="shared" si="163"/>
      </c>
      <c r="CG702" s="77">
        <f t="shared" si="164"/>
      </c>
    </row>
    <row r="703" spans="1:85" ht="19.5" customHeight="1" x14ac:dyDescent="0.2">
      <c r="A703" s="104"/>
      <c r="B703" s="104"/>
      <c r="C703" s="105"/>
      <c r="D703" s="104"/>
      <c r="E703" s="105"/>
      <c r="F703" s="106"/>
      <c r="G703" s="104"/>
      <c r="H703" s="106"/>
      <c r="I703" s="107"/>
      <c r="J703" s="108"/>
      <c r="K703" s="108"/>
      <c r="L703" s="108"/>
      <c r="M703" s="105"/>
      <c r="N703" s="105"/>
      <c r="O703" s="105"/>
      <c r="P703" s="108"/>
      <c r="Q703" s="105"/>
      <c r="R703" s="105"/>
      <c r="S703" s="105"/>
      <c r="T703" s="105"/>
      <c r="U703" s="108"/>
      <c r="V703" s="105"/>
      <c r="W703" s="105"/>
      <c r="X703" s="105"/>
      <c r="Y703" s="105"/>
      <c r="Z703" s="105"/>
      <c r="AA703" s="108"/>
      <c r="AB703" s="108"/>
      <c r="AC703" s="105"/>
      <c r="AD703" s="279"/>
      <c r="AE703" s="105"/>
      <c r="AF703" s="279"/>
      <c r="AG703" s="105"/>
      <c r="AH703" s="108"/>
      <c r="AI703" s="108"/>
      <c r="AJ703" s="108"/>
      <c r="AK703" s="108"/>
      <c r="AL703" s="105"/>
      <c r="AM703" s="108"/>
      <c r="AN703" s="105"/>
      <c r="AO703" s="108"/>
      <c r="AP703" s="108"/>
      <c r="AQ703" s="105"/>
      <c r="AR703" s="108"/>
      <c r="AS703" s="108"/>
      <c r="AT703" s="105"/>
      <c r="AU703" s="105"/>
      <c r="AV703" s="105"/>
      <c r="AW703" s="105"/>
      <c r="AX703" s="105"/>
      <c r="AY703" s="105"/>
      <c r="AZ703" s="105"/>
      <c r="BA703" s="105"/>
      <c r="BB703" s="105"/>
      <c r="BC703" s="105"/>
      <c r="BD703" s="108"/>
      <c r="BE703" s="83">
        <f>IF($A703="","",IF(TRIM($D703&amp;"")="",IF(TRIM($AX703&amp;$AY703&amp;$AZ703&amp;$BA703&amp;$BB703&amp;$BC703&amp;$BD703&amp;"")="","","SUBARRENDADO"),IFERROR(IF(VLOOKUP($D703,VEHICULOS!$A$3:$H$202,7,FALSE)="","",VLOOKUP($D703,VEHICULOS!$A$3:$H$202,7,FALSE)),"")))</f>
      </c>
      <c r="BF703" s="82">
        <f>IF($A703="","",IF(TRIM($BC703&amp;"")&lt;&gt;"",$BC703,IF(TRIM($D703&amp;"")="","",IFERROR(IF(VLOOKUP($D703,VEHICULOS!$A$3:$H$202,8,FALSE)="","",VLOOKUP($D703,VEHICULOS!$A$3:$H$202,8,FALSE)),""))))</f>
      </c>
      <c r="BG703" s="106"/>
      <c r="BH703" s="107"/>
      <c r="BI703" s="86">
        <f t="shared" si="150"/>
      </c>
      <c r="BJ703" s="83">
        <f t="shared" si="151"/>
      </c>
      <c r="BK703" s="85">
        <f t="shared" si="152"/>
      </c>
      <c r="BL703" s="85">
        <f t="shared" si="153"/>
      </c>
      <c r="BM703" s="108"/>
      <c r="BN703" s="85">
        <f t="shared" si="154"/>
      </c>
      <c r="BO703" s="108"/>
      <c r="BP703" s="85">
        <f t="shared" si="155"/>
      </c>
      <c r="BQ703" s="85">
        <f t="shared" si="156"/>
      </c>
      <c r="BR703" s="108"/>
      <c r="BS703" s="104"/>
      <c r="BT703" s="87">
        <f t="shared" si="157"/>
      </c>
      <c r="BU703" s="85">
        <f t="shared" si="158"/>
      </c>
      <c r="BV703" s="85">
        <f t="shared" si="159"/>
      </c>
      <c r="BW703" s="87">
        <f t="shared" si="160"/>
      </c>
      <c r="BX703" s="104"/>
      <c r="BY703" s="106"/>
      <c r="BZ703" s="104"/>
      <c r="CA703" s="105"/>
      <c r="CB703" s="77">
        <f>IF($A703="",0,IF($B703='FICHA CLIENTE'!$C$4,1,0))</f>
      </c>
      <c r="CC703" s="77">
        <f t="shared" si="161"/>
      </c>
      <c r="CD703" s="77">
        <f>IF($A703="",0,IF($D703='FICHA VEHICULO'!$C$4,1,0))</f>
      </c>
      <c r="CE703" s="77">
        <f t="shared" si="162"/>
      </c>
      <c r="CF703" s="77">
        <f t="shared" si="163"/>
      </c>
      <c r="CG703" s="77">
        <f t="shared" si="164"/>
      </c>
    </row>
    <row r="704" spans="1:85" ht="19.5" customHeight="1" x14ac:dyDescent="0.2">
      <c r="A704" s="104"/>
      <c r="B704" s="104"/>
      <c r="C704" s="105"/>
      <c r="D704" s="104"/>
      <c r="E704" s="105"/>
      <c r="F704" s="106"/>
      <c r="G704" s="104"/>
      <c r="H704" s="106"/>
      <c r="I704" s="107"/>
      <c r="J704" s="108"/>
      <c r="K704" s="108"/>
      <c r="L704" s="108"/>
      <c r="M704" s="105"/>
      <c r="N704" s="105"/>
      <c r="O704" s="105"/>
      <c r="P704" s="108"/>
      <c r="Q704" s="105"/>
      <c r="R704" s="105"/>
      <c r="S704" s="105"/>
      <c r="T704" s="105"/>
      <c r="U704" s="108"/>
      <c r="V704" s="105"/>
      <c r="W704" s="105"/>
      <c r="X704" s="105"/>
      <c r="Y704" s="105"/>
      <c r="Z704" s="105"/>
      <c r="AA704" s="108"/>
      <c r="AB704" s="108"/>
      <c r="AC704" s="105"/>
      <c r="AD704" s="279"/>
      <c r="AE704" s="105"/>
      <c r="AF704" s="279"/>
      <c r="AG704" s="105"/>
      <c r="AH704" s="108"/>
      <c r="AI704" s="108"/>
      <c r="AJ704" s="108"/>
      <c r="AK704" s="108"/>
      <c r="AL704" s="105"/>
      <c r="AM704" s="108"/>
      <c r="AN704" s="105"/>
      <c r="AO704" s="108"/>
      <c r="AP704" s="108"/>
      <c r="AQ704" s="105"/>
      <c r="AR704" s="108"/>
      <c r="AS704" s="108"/>
      <c r="AT704" s="105"/>
      <c r="AU704" s="105"/>
      <c r="AV704" s="105"/>
      <c r="AW704" s="105"/>
      <c r="AX704" s="105"/>
      <c r="AY704" s="105"/>
      <c r="AZ704" s="105"/>
      <c r="BA704" s="105"/>
      <c r="BB704" s="105"/>
      <c r="BC704" s="105"/>
      <c r="BD704" s="108"/>
      <c r="BE704" s="83">
        <f>IF($A704="","",IF(TRIM($D704&amp;"")="",IF(TRIM($AX704&amp;$AY704&amp;$AZ704&amp;$BA704&amp;$BB704&amp;$BC704&amp;$BD704&amp;"")="","","SUBARRENDADO"),IFERROR(IF(VLOOKUP($D704,VEHICULOS!$A$3:$H$202,7,FALSE)="","",VLOOKUP($D704,VEHICULOS!$A$3:$H$202,7,FALSE)),"")))</f>
      </c>
      <c r="BF704" s="82">
        <f>IF($A704="","",IF(TRIM($BC704&amp;"")&lt;&gt;"",$BC704,IF(TRIM($D704&amp;"")="","",IFERROR(IF(VLOOKUP($D704,VEHICULOS!$A$3:$H$202,8,FALSE)="","",VLOOKUP($D704,VEHICULOS!$A$3:$H$202,8,FALSE)),""))))</f>
      </c>
      <c r="BG704" s="106"/>
      <c r="BH704" s="107"/>
      <c r="BI704" s="86">
        <f t="shared" si="150"/>
      </c>
      <c r="BJ704" s="83">
        <f t="shared" si="151"/>
      </c>
      <c r="BK704" s="85">
        <f t="shared" si="152"/>
      </c>
      <c r="BL704" s="85">
        <f t="shared" si="153"/>
      </c>
      <c r="BM704" s="108"/>
      <c r="BN704" s="85">
        <f t="shared" si="154"/>
      </c>
      <c r="BO704" s="108"/>
      <c r="BP704" s="85">
        <f t="shared" si="155"/>
      </c>
      <c r="BQ704" s="85">
        <f t="shared" si="156"/>
      </c>
      <c r="BR704" s="108"/>
      <c r="BS704" s="104"/>
      <c r="BT704" s="87">
        <f t="shared" si="157"/>
      </c>
      <c r="BU704" s="85">
        <f t="shared" si="158"/>
      </c>
      <c r="BV704" s="85">
        <f t="shared" si="159"/>
      </c>
      <c r="BW704" s="87">
        <f t="shared" si="160"/>
      </c>
      <c r="BX704" s="104"/>
      <c r="BY704" s="106"/>
      <c r="BZ704" s="104"/>
      <c r="CA704" s="105"/>
      <c r="CB704" s="77">
        <f>IF($A704="",0,IF($B704='FICHA CLIENTE'!$C$4,1,0))</f>
      </c>
      <c r="CC704" s="77">
        <f t="shared" si="161"/>
      </c>
      <c r="CD704" s="77">
        <f>IF($A704="",0,IF($D704='FICHA VEHICULO'!$C$4,1,0))</f>
      </c>
      <c r="CE704" s="77">
        <f t="shared" si="162"/>
      </c>
      <c r="CF704" s="77">
        <f t="shared" si="163"/>
      </c>
      <c r="CG704" s="77">
        <f t="shared" si="164"/>
      </c>
    </row>
    <row r="705" spans="1:85" ht="19.5" customHeight="1" x14ac:dyDescent="0.2">
      <c r="A705" s="104"/>
      <c r="B705" s="104"/>
      <c r="C705" s="105"/>
      <c r="D705" s="104"/>
      <c r="E705" s="105"/>
      <c r="F705" s="106"/>
      <c r="G705" s="104"/>
      <c r="H705" s="106"/>
      <c r="I705" s="107"/>
      <c r="J705" s="108"/>
      <c r="K705" s="108"/>
      <c r="L705" s="108"/>
      <c r="M705" s="105"/>
      <c r="N705" s="105"/>
      <c r="O705" s="105"/>
      <c r="P705" s="108"/>
      <c r="Q705" s="105"/>
      <c r="R705" s="105"/>
      <c r="S705" s="105"/>
      <c r="T705" s="105"/>
      <c r="U705" s="108"/>
      <c r="V705" s="105"/>
      <c r="W705" s="105"/>
      <c r="X705" s="105"/>
      <c r="Y705" s="105"/>
      <c r="Z705" s="105"/>
      <c r="AA705" s="108"/>
      <c r="AB705" s="108"/>
      <c r="AC705" s="105"/>
      <c r="AD705" s="279"/>
      <c r="AE705" s="105"/>
      <c r="AF705" s="279"/>
      <c r="AG705" s="105"/>
      <c r="AH705" s="108"/>
      <c r="AI705" s="108"/>
      <c r="AJ705" s="108"/>
      <c r="AK705" s="108"/>
      <c r="AL705" s="105"/>
      <c r="AM705" s="108"/>
      <c r="AN705" s="105"/>
      <c r="AO705" s="108"/>
      <c r="AP705" s="108"/>
      <c r="AQ705" s="105"/>
      <c r="AR705" s="108"/>
      <c r="AS705" s="108"/>
      <c r="AT705" s="105"/>
      <c r="AU705" s="105"/>
      <c r="AV705" s="105"/>
      <c r="AW705" s="105"/>
      <c r="AX705" s="105"/>
      <c r="AY705" s="105"/>
      <c r="AZ705" s="105"/>
      <c r="BA705" s="105"/>
      <c r="BB705" s="105"/>
      <c r="BC705" s="105"/>
      <c r="BD705" s="108"/>
      <c r="BE705" s="83">
        <f>IF($A705="","",IF(TRIM($D705&amp;"")="",IF(TRIM($AX705&amp;$AY705&amp;$AZ705&amp;$BA705&amp;$BB705&amp;$BC705&amp;$BD705&amp;"")="","","SUBARRENDADO"),IFERROR(IF(VLOOKUP($D705,VEHICULOS!$A$3:$H$202,7,FALSE)="","",VLOOKUP($D705,VEHICULOS!$A$3:$H$202,7,FALSE)),"")))</f>
      </c>
      <c r="BF705" s="82">
        <f>IF($A705="","",IF(TRIM($BC705&amp;"")&lt;&gt;"",$BC705,IF(TRIM($D705&amp;"")="","",IFERROR(IF(VLOOKUP($D705,VEHICULOS!$A$3:$H$202,8,FALSE)="","",VLOOKUP($D705,VEHICULOS!$A$3:$H$202,8,FALSE)),""))))</f>
      </c>
      <c r="BG705" s="106"/>
      <c r="BH705" s="107"/>
      <c r="BI705" s="86">
        <f t="shared" si="150"/>
      </c>
      <c r="BJ705" s="83">
        <f t="shared" si="151"/>
      </c>
      <c r="BK705" s="85">
        <f t="shared" si="152"/>
      </c>
      <c r="BL705" s="85">
        <f t="shared" si="153"/>
      </c>
      <c r="BM705" s="108"/>
      <c r="BN705" s="85">
        <f t="shared" si="154"/>
      </c>
      <c r="BO705" s="108"/>
      <c r="BP705" s="85">
        <f t="shared" si="155"/>
      </c>
      <c r="BQ705" s="85">
        <f t="shared" si="156"/>
      </c>
      <c r="BR705" s="108"/>
      <c r="BS705" s="104"/>
      <c r="BT705" s="87">
        <f t="shared" si="157"/>
      </c>
      <c r="BU705" s="85">
        <f t="shared" si="158"/>
      </c>
      <c r="BV705" s="85">
        <f t="shared" si="159"/>
      </c>
      <c r="BW705" s="87">
        <f t="shared" si="160"/>
      </c>
      <c r="BX705" s="104"/>
      <c r="BY705" s="106"/>
      <c r="BZ705" s="104"/>
      <c r="CA705" s="105"/>
      <c r="CB705" s="77">
        <f>IF($A705="",0,IF($B705='FICHA CLIENTE'!$C$4,1,0))</f>
      </c>
      <c r="CC705" s="77">
        <f t="shared" si="161"/>
      </c>
      <c r="CD705" s="77">
        <f>IF($A705="",0,IF($D705='FICHA VEHICULO'!$C$4,1,0))</f>
      </c>
      <c r="CE705" s="77">
        <f t="shared" si="162"/>
      </c>
      <c r="CF705" s="77">
        <f t="shared" si="163"/>
      </c>
      <c r="CG705" s="77">
        <f t="shared" si="164"/>
      </c>
    </row>
    <row r="706" spans="1:85" ht="19.5" customHeight="1" x14ac:dyDescent="0.2">
      <c r="A706" s="104"/>
      <c r="B706" s="104"/>
      <c r="C706" s="105"/>
      <c r="D706" s="104"/>
      <c r="E706" s="105"/>
      <c r="F706" s="106"/>
      <c r="G706" s="104"/>
      <c r="H706" s="106"/>
      <c r="I706" s="107"/>
      <c r="J706" s="108"/>
      <c r="K706" s="108"/>
      <c r="L706" s="108"/>
      <c r="M706" s="105"/>
      <c r="N706" s="105"/>
      <c r="O706" s="105"/>
      <c r="P706" s="108"/>
      <c r="Q706" s="105"/>
      <c r="R706" s="105"/>
      <c r="S706" s="105"/>
      <c r="T706" s="105"/>
      <c r="U706" s="108"/>
      <c r="V706" s="105"/>
      <c r="W706" s="105"/>
      <c r="X706" s="105"/>
      <c r="Y706" s="105"/>
      <c r="Z706" s="105"/>
      <c r="AA706" s="108"/>
      <c r="AB706" s="108"/>
      <c r="AC706" s="105"/>
      <c r="AD706" s="279"/>
      <c r="AE706" s="105"/>
      <c r="AF706" s="279"/>
      <c r="AG706" s="105"/>
      <c r="AH706" s="108"/>
      <c r="AI706" s="108"/>
      <c r="AJ706" s="108"/>
      <c r="AK706" s="108"/>
      <c r="AL706" s="105"/>
      <c r="AM706" s="108"/>
      <c r="AN706" s="105"/>
      <c r="AO706" s="108"/>
      <c r="AP706" s="108"/>
      <c r="AQ706" s="105"/>
      <c r="AR706" s="108"/>
      <c r="AS706" s="108"/>
      <c r="AT706" s="105"/>
      <c r="AU706" s="105"/>
      <c r="AV706" s="105"/>
      <c r="AW706" s="105"/>
      <c r="AX706" s="105"/>
      <c r="AY706" s="105"/>
      <c r="AZ706" s="105"/>
      <c r="BA706" s="105"/>
      <c r="BB706" s="105"/>
      <c r="BC706" s="105"/>
      <c r="BD706" s="108"/>
      <c r="BE706" s="83">
        <f>IF($A706="","",IF(TRIM($D706&amp;"")="",IF(TRIM($AX706&amp;$AY706&amp;$AZ706&amp;$BA706&amp;$BB706&amp;$BC706&amp;$BD706&amp;"")="","","SUBARRENDADO"),IFERROR(IF(VLOOKUP($D706,VEHICULOS!$A$3:$H$202,7,FALSE)="","",VLOOKUP($D706,VEHICULOS!$A$3:$H$202,7,FALSE)),"")))</f>
      </c>
      <c r="BF706" s="82">
        <f>IF($A706="","",IF(TRIM($BC706&amp;"")&lt;&gt;"",$BC706,IF(TRIM($D706&amp;"")="","",IFERROR(IF(VLOOKUP($D706,VEHICULOS!$A$3:$H$202,8,FALSE)="","",VLOOKUP($D706,VEHICULOS!$A$3:$H$202,8,FALSE)),""))))</f>
      </c>
      <c r="BG706" s="106"/>
      <c r="BH706" s="107"/>
      <c r="BI706" s="86">
        <f t="shared" si="150"/>
      </c>
      <c r="BJ706" s="83">
        <f t="shared" si="151"/>
      </c>
      <c r="BK706" s="85">
        <f t="shared" si="152"/>
      </c>
      <c r="BL706" s="85">
        <f t="shared" si="153"/>
      </c>
      <c r="BM706" s="108"/>
      <c r="BN706" s="85">
        <f t="shared" si="154"/>
      </c>
      <c r="BO706" s="108"/>
      <c r="BP706" s="85">
        <f t="shared" si="155"/>
      </c>
      <c r="BQ706" s="85">
        <f t="shared" si="156"/>
      </c>
      <c r="BR706" s="108"/>
      <c r="BS706" s="104"/>
      <c r="BT706" s="87">
        <f t="shared" si="157"/>
      </c>
      <c r="BU706" s="85">
        <f t="shared" si="158"/>
      </c>
      <c r="BV706" s="85">
        <f t="shared" si="159"/>
      </c>
      <c r="BW706" s="87">
        <f t="shared" si="160"/>
      </c>
      <c r="BX706" s="104"/>
      <c r="BY706" s="106"/>
      <c r="BZ706" s="104"/>
      <c r="CA706" s="105"/>
      <c r="CB706" s="77">
        <f>IF($A706="",0,IF($B706='FICHA CLIENTE'!$C$4,1,0))</f>
      </c>
      <c r="CC706" s="77">
        <f t="shared" si="161"/>
      </c>
      <c r="CD706" s="77">
        <f>IF($A706="",0,IF($D706='FICHA VEHICULO'!$C$4,1,0))</f>
      </c>
      <c r="CE706" s="77">
        <f t="shared" si="162"/>
      </c>
      <c r="CF706" s="77">
        <f t="shared" si="163"/>
      </c>
      <c r="CG706" s="77">
        <f t="shared" si="164"/>
      </c>
    </row>
    <row r="707" spans="1:85" ht="19.5" customHeight="1" x14ac:dyDescent="0.2">
      <c r="A707" s="104"/>
      <c r="B707" s="104"/>
      <c r="C707" s="105"/>
      <c r="D707" s="104"/>
      <c r="E707" s="105"/>
      <c r="F707" s="106"/>
      <c r="G707" s="104"/>
      <c r="H707" s="106"/>
      <c r="I707" s="107"/>
      <c r="J707" s="108"/>
      <c r="K707" s="108"/>
      <c r="L707" s="108"/>
      <c r="M707" s="105"/>
      <c r="N707" s="105"/>
      <c r="O707" s="105"/>
      <c r="P707" s="108"/>
      <c r="Q707" s="105"/>
      <c r="R707" s="105"/>
      <c r="S707" s="105"/>
      <c r="T707" s="105"/>
      <c r="U707" s="108"/>
      <c r="V707" s="105"/>
      <c r="W707" s="105"/>
      <c r="X707" s="105"/>
      <c r="Y707" s="105"/>
      <c r="Z707" s="105"/>
      <c r="AA707" s="108"/>
      <c r="AB707" s="108"/>
      <c r="AC707" s="105"/>
      <c r="AD707" s="279"/>
      <c r="AE707" s="105"/>
      <c r="AF707" s="279"/>
      <c r="AG707" s="105"/>
      <c r="AH707" s="108"/>
      <c r="AI707" s="108"/>
      <c r="AJ707" s="108"/>
      <c r="AK707" s="108"/>
      <c r="AL707" s="105"/>
      <c r="AM707" s="108"/>
      <c r="AN707" s="105"/>
      <c r="AO707" s="108"/>
      <c r="AP707" s="108"/>
      <c r="AQ707" s="105"/>
      <c r="AR707" s="108"/>
      <c r="AS707" s="108"/>
      <c r="AT707" s="105"/>
      <c r="AU707" s="105"/>
      <c r="AV707" s="105"/>
      <c r="AW707" s="105"/>
      <c r="AX707" s="105"/>
      <c r="AY707" s="105"/>
      <c r="AZ707" s="105"/>
      <c r="BA707" s="105"/>
      <c r="BB707" s="105"/>
      <c r="BC707" s="105"/>
      <c r="BD707" s="108"/>
      <c r="BE707" s="83">
        <f>IF($A707="","",IF(TRIM($D707&amp;"")="",IF(TRIM($AX707&amp;$AY707&amp;$AZ707&amp;$BA707&amp;$BB707&amp;$BC707&amp;$BD707&amp;"")="","","SUBARRENDADO"),IFERROR(IF(VLOOKUP($D707,VEHICULOS!$A$3:$H$202,7,FALSE)="","",VLOOKUP($D707,VEHICULOS!$A$3:$H$202,7,FALSE)),"")))</f>
      </c>
      <c r="BF707" s="82">
        <f>IF($A707="","",IF(TRIM($BC707&amp;"")&lt;&gt;"",$BC707,IF(TRIM($D707&amp;"")="","",IFERROR(IF(VLOOKUP($D707,VEHICULOS!$A$3:$H$202,8,FALSE)="","",VLOOKUP($D707,VEHICULOS!$A$3:$H$202,8,FALSE)),""))))</f>
      </c>
      <c r="BG707" s="106"/>
      <c r="BH707" s="107"/>
      <c r="BI707" s="86">
        <f t="shared" si="150"/>
      </c>
      <c r="BJ707" s="83">
        <f t="shared" si="151"/>
      </c>
      <c r="BK707" s="85">
        <f t="shared" si="152"/>
      </c>
      <c r="BL707" s="85">
        <f t="shared" si="153"/>
      </c>
      <c r="BM707" s="108"/>
      <c r="BN707" s="85">
        <f t="shared" si="154"/>
      </c>
      <c r="BO707" s="108"/>
      <c r="BP707" s="85">
        <f t="shared" si="155"/>
      </c>
      <c r="BQ707" s="85">
        <f t="shared" si="156"/>
      </c>
      <c r="BR707" s="108"/>
      <c r="BS707" s="104"/>
      <c r="BT707" s="87">
        <f t="shared" si="157"/>
      </c>
      <c r="BU707" s="85">
        <f t="shared" si="158"/>
      </c>
      <c r="BV707" s="85">
        <f t="shared" si="159"/>
      </c>
      <c r="BW707" s="87">
        <f t="shared" si="160"/>
      </c>
      <c r="BX707" s="104"/>
      <c r="BY707" s="106"/>
      <c r="BZ707" s="104"/>
      <c r="CA707" s="105"/>
      <c r="CB707" s="77">
        <f>IF($A707="",0,IF($B707='FICHA CLIENTE'!$C$4,1,0))</f>
      </c>
      <c r="CC707" s="77">
        <f t="shared" si="161"/>
      </c>
      <c r="CD707" s="77">
        <f>IF($A707="",0,IF($D707='FICHA VEHICULO'!$C$4,1,0))</f>
      </c>
      <c r="CE707" s="77">
        <f t="shared" si="162"/>
      </c>
      <c r="CF707" s="77">
        <f t="shared" si="163"/>
      </c>
      <c r="CG707" s="77">
        <f t="shared" si="164"/>
      </c>
    </row>
    <row r="708" spans="1:85" ht="19.5" customHeight="1" x14ac:dyDescent="0.2">
      <c r="A708" s="104"/>
      <c r="B708" s="104"/>
      <c r="C708" s="105"/>
      <c r="D708" s="104"/>
      <c r="E708" s="105"/>
      <c r="F708" s="106"/>
      <c r="G708" s="104"/>
      <c r="H708" s="106"/>
      <c r="I708" s="107"/>
      <c r="J708" s="108"/>
      <c r="K708" s="108"/>
      <c r="L708" s="108"/>
      <c r="M708" s="105"/>
      <c r="N708" s="105"/>
      <c r="O708" s="105"/>
      <c r="P708" s="108"/>
      <c r="Q708" s="105"/>
      <c r="R708" s="105"/>
      <c r="S708" s="105"/>
      <c r="T708" s="105"/>
      <c r="U708" s="108"/>
      <c r="V708" s="105"/>
      <c r="W708" s="105"/>
      <c r="X708" s="105"/>
      <c r="Y708" s="105"/>
      <c r="Z708" s="105"/>
      <c r="AA708" s="108"/>
      <c r="AB708" s="108"/>
      <c r="AC708" s="105"/>
      <c r="AD708" s="279"/>
      <c r="AE708" s="105"/>
      <c r="AF708" s="279"/>
      <c r="AG708" s="105"/>
      <c r="AH708" s="108"/>
      <c r="AI708" s="108"/>
      <c r="AJ708" s="108"/>
      <c r="AK708" s="108"/>
      <c r="AL708" s="105"/>
      <c r="AM708" s="108"/>
      <c r="AN708" s="105"/>
      <c r="AO708" s="108"/>
      <c r="AP708" s="108"/>
      <c r="AQ708" s="105"/>
      <c r="AR708" s="108"/>
      <c r="AS708" s="108"/>
      <c r="AT708" s="105"/>
      <c r="AU708" s="105"/>
      <c r="AV708" s="105"/>
      <c r="AW708" s="105"/>
      <c r="AX708" s="105"/>
      <c r="AY708" s="105"/>
      <c r="AZ708" s="105"/>
      <c r="BA708" s="105"/>
      <c r="BB708" s="105"/>
      <c r="BC708" s="105"/>
      <c r="BD708" s="108"/>
      <c r="BE708" s="83">
        <f>IF($A708="","",IF(TRIM($D708&amp;"")="",IF(TRIM($AX708&amp;$AY708&amp;$AZ708&amp;$BA708&amp;$BB708&amp;$BC708&amp;$BD708&amp;"")="","","SUBARRENDADO"),IFERROR(IF(VLOOKUP($D708,VEHICULOS!$A$3:$H$202,7,FALSE)="","",VLOOKUP($D708,VEHICULOS!$A$3:$H$202,7,FALSE)),"")))</f>
      </c>
      <c r="BF708" s="82">
        <f>IF($A708="","",IF(TRIM($BC708&amp;"")&lt;&gt;"",$BC708,IF(TRIM($D708&amp;"")="","",IFERROR(IF(VLOOKUP($D708,VEHICULOS!$A$3:$H$202,8,FALSE)="","",VLOOKUP($D708,VEHICULOS!$A$3:$H$202,8,FALSE)),""))))</f>
      </c>
      <c r="BG708" s="106"/>
      <c r="BH708" s="107"/>
      <c r="BI708" s="86">
        <f t="shared" si="150"/>
      </c>
      <c r="BJ708" s="83">
        <f t="shared" si="151"/>
      </c>
      <c r="BK708" s="85">
        <f t="shared" si="152"/>
      </c>
      <c r="BL708" s="85">
        <f t="shared" si="153"/>
      </c>
      <c r="BM708" s="108"/>
      <c r="BN708" s="85">
        <f t="shared" si="154"/>
      </c>
      <c r="BO708" s="108"/>
      <c r="BP708" s="85">
        <f t="shared" si="155"/>
      </c>
      <c r="BQ708" s="85">
        <f t="shared" si="156"/>
      </c>
      <c r="BR708" s="108"/>
      <c r="BS708" s="104"/>
      <c r="BT708" s="87">
        <f t="shared" si="157"/>
      </c>
      <c r="BU708" s="85">
        <f t="shared" si="158"/>
      </c>
      <c r="BV708" s="85">
        <f t="shared" si="159"/>
      </c>
      <c r="BW708" s="87">
        <f t="shared" si="160"/>
      </c>
      <c r="BX708" s="104"/>
      <c r="BY708" s="106"/>
      <c r="BZ708" s="104"/>
      <c r="CA708" s="105"/>
      <c r="CB708" s="77">
        <f>IF($A708="",0,IF($B708='FICHA CLIENTE'!$C$4,1,0))</f>
      </c>
      <c r="CC708" s="77">
        <f t="shared" si="161"/>
      </c>
      <c r="CD708" s="77">
        <f>IF($A708="",0,IF($D708='FICHA VEHICULO'!$C$4,1,0))</f>
      </c>
      <c r="CE708" s="77">
        <f t="shared" si="162"/>
      </c>
      <c r="CF708" s="77">
        <f t="shared" si="163"/>
      </c>
      <c r="CG708" s="77">
        <f t="shared" si="164"/>
      </c>
    </row>
    <row r="709" spans="1:85" ht="19.5" customHeight="1" x14ac:dyDescent="0.2">
      <c r="A709" s="104"/>
      <c r="B709" s="104"/>
      <c r="C709" s="105"/>
      <c r="D709" s="104"/>
      <c r="E709" s="105"/>
      <c r="F709" s="106"/>
      <c r="G709" s="104"/>
      <c r="H709" s="106"/>
      <c r="I709" s="107"/>
      <c r="J709" s="108"/>
      <c r="K709" s="108"/>
      <c r="L709" s="108"/>
      <c r="M709" s="105"/>
      <c r="N709" s="105"/>
      <c r="O709" s="105"/>
      <c r="P709" s="108"/>
      <c r="Q709" s="105"/>
      <c r="R709" s="105"/>
      <c r="S709" s="105"/>
      <c r="T709" s="105"/>
      <c r="U709" s="108"/>
      <c r="V709" s="105"/>
      <c r="W709" s="105"/>
      <c r="X709" s="105"/>
      <c r="Y709" s="105"/>
      <c r="Z709" s="105"/>
      <c r="AA709" s="108"/>
      <c r="AB709" s="108"/>
      <c r="AC709" s="105"/>
      <c r="AD709" s="279"/>
      <c r="AE709" s="105"/>
      <c r="AF709" s="279"/>
      <c r="AG709" s="105"/>
      <c r="AH709" s="108"/>
      <c r="AI709" s="108"/>
      <c r="AJ709" s="108"/>
      <c r="AK709" s="108"/>
      <c r="AL709" s="105"/>
      <c r="AM709" s="108"/>
      <c r="AN709" s="105"/>
      <c r="AO709" s="108"/>
      <c r="AP709" s="108"/>
      <c r="AQ709" s="105"/>
      <c r="AR709" s="108"/>
      <c r="AS709" s="108"/>
      <c r="AT709" s="105"/>
      <c r="AU709" s="105"/>
      <c r="AV709" s="105"/>
      <c r="AW709" s="105"/>
      <c r="AX709" s="105"/>
      <c r="AY709" s="105"/>
      <c r="AZ709" s="105"/>
      <c r="BA709" s="105"/>
      <c r="BB709" s="105"/>
      <c r="BC709" s="105"/>
      <c r="BD709" s="108"/>
      <c r="BE709" s="83">
        <f>IF($A709="","",IF(TRIM($D709&amp;"")="",IF(TRIM($AX709&amp;$AY709&amp;$AZ709&amp;$BA709&amp;$BB709&amp;$BC709&amp;$BD709&amp;"")="","","SUBARRENDADO"),IFERROR(IF(VLOOKUP($D709,VEHICULOS!$A$3:$H$202,7,FALSE)="","",VLOOKUP($D709,VEHICULOS!$A$3:$H$202,7,FALSE)),"")))</f>
      </c>
      <c r="BF709" s="82">
        <f>IF($A709="","",IF(TRIM($BC709&amp;"")&lt;&gt;"",$BC709,IF(TRIM($D709&amp;"")="","",IFERROR(IF(VLOOKUP($D709,VEHICULOS!$A$3:$H$202,8,FALSE)="","",VLOOKUP($D709,VEHICULOS!$A$3:$H$202,8,FALSE)),""))))</f>
      </c>
      <c r="BG709" s="106"/>
      <c r="BH709" s="107"/>
      <c r="BI709" s="86">
        <f t="shared" si="150"/>
      </c>
      <c r="BJ709" s="83">
        <f t="shared" si="151"/>
      </c>
      <c r="BK709" s="85">
        <f t="shared" si="152"/>
      </c>
      <c r="BL709" s="85">
        <f t="shared" si="153"/>
      </c>
      <c r="BM709" s="108"/>
      <c r="BN709" s="85">
        <f t="shared" si="154"/>
      </c>
      <c r="BO709" s="108"/>
      <c r="BP709" s="85">
        <f t="shared" si="155"/>
      </c>
      <c r="BQ709" s="85">
        <f t="shared" si="156"/>
      </c>
      <c r="BR709" s="108"/>
      <c r="BS709" s="104"/>
      <c r="BT709" s="87">
        <f t="shared" si="157"/>
      </c>
      <c r="BU709" s="85">
        <f t="shared" si="158"/>
      </c>
      <c r="BV709" s="85">
        <f t="shared" si="159"/>
      </c>
      <c r="BW709" s="87">
        <f t="shared" si="160"/>
      </c>
      <c r="BX709" s="104"/>
      <c r="BY709" s="106"/>
      <c r="BZ709" s="104"/>
      <c r="CA709" s="105"/>
      <c r="CB709" s="77">
        <f>IF($A709="",0,IF($B709='FICHA CLIENTE'!$C$4,1,0))</f>
      </c>
      <c r="CC709" s="77">
        <f t="shared" si="161"/>
      </c>
      <c r="CD709" s="77">
        <f>IF($A709="",0,IF($D709='FICHA VEHICULO'!$C$4,1,0))</f>
      </c>
      <c r="CE709" s="77">
        <f t="shared" si="162"/>
      </c>
      <c r="CF709" s="77">
        <f t="shared" si="163"/>
      </c>
      <c r="CG709" s="77">
        <f t="shared" si="164"/>
      </c>
    </row>
    <row r="710" spans="1:85" ht="19.5" customHeight="1" x14ac:dyDescent="0.2">
      <c r="A710" s="104"/>
      <c r="B710" s="104"/>
      <c r="C710" s="105"/>
      <c r="D710" s="104"/>
      <c r="E710" s="105"/>
      <c r="F710" s="106"/>
      <c r="G710" s="104"/>
      <c r="H710" s="106"/>
      <c r="I710" s="107"/>
      <c r="J710" s="108"/>
      <c r="K710" s="108"/>
      <c r="L710" s="108"/>
      <c r="M710" s="105"/>
      <c r="N710" s="105"/>
      <c r="O710" s="105"/>
      <c r="P710" s="108"/>
      <c r="Q710" s="105"/>
      <c r="R710" s="105"/>
      <c r="S710" s="105"/>
      <c r="T710" s="105"/>
      <c r="U710" s="108"/>
      <c r="V710" s="105"/>
      <c r="W710" s="105"/>
      <c r="X710" s="105"/>
      <c r="Y710" s="105"/>
      <c r="Z710" s="105"/>
      <c r="AA710" s="108"/>
      <c r="AB710" s="108"/>
      <c r="AC710" s="105"/>
      <c r="AD710" s="279"/>
      <c r="AE710" s="105"/>
      <c r="AF710" s="279"/>
      <c r="AG710" s="105"/>
      <c r="AH710" s="108"/>
      <c r="AI710" s="108"/>
      <c r="AJ710" s="108"/>
      <c r="AK710" s="108"/>
      <c r="AL710" s="105"/>
      <c r="AM710" s="108"/>
      <c r="AN710" s="105"/>
      <c r="AO710" s="108"/>
      <c r="AP710" s="108"/>
      <c r="AQ710" s="105"/>
      <c r="AR710" s="108"/>
      <c r="AS710" s="108"/>
      <c r="AT710" s="105"/>
      <c r="AU710" s="105"/>
      <c r="AV710" s="105"/>
      <c r="AW710" s="105"/>
      <c r="AX710" s="105"/>
      <c r="AY710" s="105"/>
      <c r="AZ710" s="105"/>
      <c r="BA710" s="105"/>
      <c r="BB710" s="105"/>
      <c r="BC710" s="105"/>
      <c r="BD710" s="108"/>
      <c r="BE710" s="83">
        <f>IF($A710="","",IF(TRIM($D710&amp;"")="",IF(TRIM($AX710&amp;$AY710&amp;$AZ710&amp;$BA710&amp;$BB710&amp;$BC710&amp;$BD710&amp;"")="","","SUBARRENDADO"),IFERROR(IF(VLOOKUP($D710,VEHICULOS!$A$3:$H$202,7,FALSE)="","",VLOOKUP($D710,VEHICULOS!$A$3:$H$202,7,FALSE)),"")))</f>
      </c>
      <c r="BF710" s="82">
        <f>IF($A710="","",IF(TRIM($BC710&amp;"")&lt;&gt;"",$BC710,IF(TRIM($D710&amp;"")="","",IFERROR(IF(VLOOKUP($D710,VEHICULOS!$A$3:$H$202,8,FALSE)="","",VLOOKUP($D710,VEHICULOS!$A$3:$H$202,8,FALSE)),""))))</f>
      </c>
      <c r="BG710" s="106"/>
      <c r="BH710" s="107"/>
      <c r="BI710" s="86">
        <f t="shared" ref="BI710:BI773" si="165">IF(OR($BH710="",$I710=""),"",$BH710-$I710)</f>
      </c>
      <c r="BJ710" s="83">
        <f t="shared" ref="BJ710:BJ773" si="166">IF(OR($BG710="",$H710=""),"",MAX(0,$BG710-$H710))</f>
      </c>
      <c r="BK710" s="85">
        <f t="shared" ref="BK710:BK773" si="167">IF($A710="","",N($BJ710)*N($J710))</f>
      </c>
      <c r="BL710" s="85">
        <f t="shared" ref="BL710:BL773" si="168">IF($A710="","",(N($AM710)+N($AS710))*(N($G710)+N($BJ710))+N($AP710))</f>
      </c>
      <c r="BM710" s="108"/>
      <c r="BN710" s="85">
        <f t="shared" ref="BN710:BN773" si="169">IF($A710="","",N($AO710))</f>
      </c>
      <c r="BO710" s="108"/>
      <c r="BP710" s="85">
        <f t="shared" ref="BP710:BP773" si="170">IF($A710="","",N($AR710))</f>
      </c>
      <c r="BQ710" s="85">
        <f t="shared" ref="BQ710:BQ773" si="171">IF($A710="","",N($K710)+N($BK710)+N($BL710)+N($BM710)+N($BN710)+N($BO710)+N($BP710))</f>
      </c>
      <c r="BR710" s="108"/>
      <c r="BS710" s="104"/>
      <c r="BT710" s="87">
        <f t="shared" ref="BT710:BT773" si="172">IF($A710="","",ROUND((N($BQ710)-N($BR710))*(1+N($BS710)/100),2))</f>
      </c>
      <c r="BU710" s="85">
        <f t="shared" ref="BU710:BU773" si="173">IF($A710="","",N($BD710))</f>
      </c>
      <c r="BV710" s="85">
        <f t="shared" ref="BV710:BV773" si="174">IF($A710="","",N($BU710)*(N($G710)+N($BJ710)))</f>
      </c>
      <c r="BW710" s="87">
        <f t="shared" ref="BW710:BW773" si="175">IF($A710="","",N($BT710)-N($BV710))</f>
      </c>
      <c r="BX710" s="104"/>
      <c r="BY710" s="106"/>
      <c r="BZ710" s="104"/>
      <c r="CA710" s="105"/>
      <c r="CB710" s="77">
        <f>IF($A710="",0,IF($B710='FICHA CLIENTE'!$C$4,1,0))</f>
      </c>
      <c r="CC710" s="77">
        <f t="shared" ref="CC710:CC773" si="176">$CC709+$CB710</f>
      </c>
      <c r="CD710" s="77">
        <f>IF($A710="",0,IF($D710='FICHA VEHICULO'!$C$4,1,0))</f>
      </c>
      <c r="CE710" s="77">
        <f t="shared" ref="CE710:CE773" si="177">$CE709+$CD710</f>
      </c>
      <c r="CF710" s="77">
        <f t="shared" ref="CF710:CF773" si="178">IF($A710="",0,IF($BG710="",1,0))</f>
      </c>
      <c r="CG710" s="77">
        <f t="shared" ref="CG710:CG773" si="179">$CG709+$CF710</f>
      </c>
    </row>
    <row r="711" spans="1:85" ht="19.5" customHeight="1" x14ac:dyDescent="0.2">
      <c r="A711" s="104"/>
      <c r="B711" s="104"/>
      <c r="C711" s="105"/>
      <c r="D711" s="104"/>
      <c r="E711" s="105"/>
      <c r="F711" s="106"/>
      <c r="G711" s="104"/>
      <c r="H711" s="106"/>
      <c r="I711" s="107"/>
      <c r="J711" s="108"/>
      <c r="K711" s="108"/>
      <c r="L711" s="108"/>
      <c r="M711" s="105"/>
      <c r="N711" s="105"/>
      <c r="O711" s="105"/>
      <c r="P711" s="108"/>
      <c r="Q711" s="105"/>
      <c r="R711" s="105"/>
      <c r="S711" s="105"/>
      <c r="T711" s="105"/>
      <c r="U711" s="108"/>
      <c r="V711" s="105"/>
      <c r="W711" s="105"/>
      <c r="X711" s="105"/>
      <c r="Y711" s="105"/>
      <c r="Z711" s="105"/>
      <c r="AA711" s="108"/>
      <c r="AB711" s="108"/>
      <c r="AC711" s="105"/>
      <c r="AD711" s="279"/>
      <c r="AE711" s="105"/>
      <c r="AF711" s="279"/>
      <c r="AG711" s="105"/>
      <c r="AH711" s="108"/>
      <c r="AI711" s="108"/>
      <c r="AJ711" s="108"/>
      <c r="AK711" s="108"/>
      <c r="AL711" s="105"/>
      <c r="AM711" s="108"/>
      <c r="AN711" s="105"/>
      <c r="AO711" s="108"/>
      <c r="AP711" s="108"/>
      <c r="AQ711" s="105"/>
      <c r="AR711" s="108"/>
      <c r="AS711" s="108"/>
      <c r="AT711" s="105"/>
      <c r="AU711" s="105"/>
      <c r="AV711" s="105"/>
      <c r="AW711" s="105"/>
      <c r="AX711" s="105"/>
      <c r="AY711" s="105"/>
      <c r="AZ711" s="105"/>
      <c r="BA711" s="105"/>
      <c r="BB711" s="105"/>
      <c r="BC711" s="105"/>
      <c r="BD711" s="108"/>
      <c r="BE711" s="83">
        <f>IF($A711="","",IF(TRIM($D711&amp;"")="",IF(TRIM($AX711&amp;$AY711&amp;$AZ711&amp;$BA711&amp;$BB711&amp;$BC711&amp;$BD711&amp;"")="","","SUBARRENDADO"),IFERROR(IF(VLOOKUP($D711,VEHICULOS!$A$3:$H$202,7,FALSE)="","",VLOOKUP($D711,VEHICULOS!$A$3:$H$202,7,FALSE)),"")))</f>
      </c>
      <c r="BF711" s="82">
        <f>IF($A711="","",IF(TRIM($BC711&amp;"")&lt;&gt;"",$BC711,IF(TRIM($D711&amp;"")="","",IFERROR(IF(VLOOKUP($D711,VEHICULOS!$A$3:$H$202,8,FALSE)="","",VLOOKUP($D711,VEHICULOS!$A$3:$H$202,8,FALSE)),""))))</f>
      </c>
      <c r="BG711" s="106"/>
      <c r="BH711" s="107"/>
      <c r="BI711" s="86">
        <f t="shared" si="165"/>
      </c>
      <c r="BJ711" s="83">
        <f t="shared" si="166"/>
      </c>
      <c r="BK711" s="85">
        <f t="shared" si="167"/>
      </c>
      <c r="BL711" s="85">
        <f t="shared" si="168"/>
      </c>
      <c r="BM711" s="108"/>
      <c r="BN711" s="85">
        <f t="shared" si="169"/>
      </c>
      <c r="BO711" s="108"/>
      <c r="BP711" s="85">
        <f t="shared" si="170"/>
      </c>
      <c r="BQ711" s="85">
        <f t="shared" si="171"/>
      </c>
      <c r="BR711" s="108"/>
      <c r="BS711" s="104"/>
      <c r="BT711" s="87">
        <f t="shared" si="172"/>
      </c>
      <c r="BU711" s="85">
        <f t="shared" si="173"/>
      </c>
      <c r="BV711" s="85">
        <f t="shared" si="174"/>
      </c>
      <c r="BW711" s="87">
        <f t="shared" si="175"/>
      </c>
      <c r="BX711" s="104"/>
      <c r="BY711" s="106"/>
      <c r="BZ711" s="104"/>
      <c r="CA711" s="105"/>
      <c r="CB711" s="77">
        <f>IF($A711="",0,IF($B711='FICHA CLIENTE'!$C$4,1,0))</f>
      </c>
      <c r="CC711" s="77">
        <f t="shared" si="176"/>
      </c>
      <c r="CD711" s="77">
        <f>IF($A711="",0,IF($D711='FICHA VEHICULO'!$C$4,1,0))</f>
      </c>
      <c r="CE711" s="77">
        <f t="shared" si="177"/>
      </c>
      <c r="CF711" s="77">
        <f t="shared" si="178"/>
      </c>
      <c r="CG711" s="77">
        <f t="shared" si="179"/>
      </c>
    </row>
    <row r="712" spans="1:85" ht="19.5" customHeight="1" x14ac:dyDescent="0.2">
      <c r="A712" s="104"/>
      <c r="B712" s="104"/>
      <c r="C712" s="105"/>
      <c r="D712" s="104"/>
      <c r="E712" s="105"/>
      <c r="F712" s="106"/>
      <c r="G712" s="104"/>
      <c r="H712" s="106"/>
      <c r="I712" s="107"/>
      <c r="J712" s="108"/>
      <c r="K712" s="108"/>
      <c r="L712" s="108"/>
      <c r="M712" s="105"/>
      <c r="N712" s="105"/>
      <c r="O712" s="105"/>
      <c r="P712" s="108"/>
      <c r="Q712" s="105"/>
      <c r="R712" s="105"/>
      <c r="S712" s="105"/>
      <c r="T712" s="105"/>
      <c r="U712" s="108"/>
      <c r="V712" s="105"/>
      <c r="W712" s="105"/>
      <c r="X712" s="105"/>
      <c r="Y712" s="105"/>
      <c r="Z712" s="105"/>
      <c r="AA712" s="108"/>
      <c r="AB712" s="108"/>
      <c r="AC712" s="105"/>
      <c r="AD712" s="279"/>
      <c r="AE712" s="105"/>
      <c r="AF712" s="279"/>
      <c r="AG712" s="105"/>
      <c r="AH712" s="108"/>
      <c r="AI712" s="108"/>
      <c r="AJ712" s="108"/>
      <c r="AK712" s="108"/>
      <c r="AL712" s="105"/>
      <c r="AM712" s="108"/>
      <c r="AN712" s="105"/>
      <c r="AO712" s="108"/>
      <c r="AP712" s="108"/>
      <c r="AQ712" s="105"/>
      <c r="AR712" s="108"/>
      <c r="AS712" s="108"/>
      <c r="AT712" s="105"/>
      <c r="AU712" s="105"/>
      <c r="AV712" s="105"/>
      <c r="AW712" s="105"/>
      <c r="AX712" s="105"/>
      <c r="AY712" s="105"/>
      <c r="AZ712" s="105"/>
      <c r="BA712" s="105"/>
      <c r="BB712" s="105"/>
      <c r="BC712" s="105"/>
      <c r="BD712" s="108"/>
      <c r="BE712" s="83">
        <f>IF($A712="","",IF(TRIM($D712&amp;"")="",IF(TRIM($AX712&amp;$AY712&amp;$AZ712&amp;$BA712&amp;$BB712&amp;$BC712&amp;$BD712&amp;"")="","","SUBARRENDADO"),IFERROR(IF(VLOOKUP($D712,VEHICULOS!$A$3:$H$202,7,FALSE)="","",VLOOKUP($D712,VEHICULOS!$A$3:$H$202,7,FALSE)),"")))</f>
      </c>
      <c r="BF712" s="82">
        <f>IF($A712="","",IF(TRIM($BC712&amp;"")&lt;&gt;"",$BC712,IF(TRIM($D712&amp;"")="","",IFERROR(IF(VLOOKUP($D712,VEHICULOS!$A$3:$H$202,8,FALSE)="","",VLOOKUP($D712,VEHICULOS!$A$3:$H$202,8,FALSE)),""))))</f>
      </c>
      <c r="BG712" s="106"/>
      <c r="BH712" s="107"/>
      <c r="BI712" s="86">
        <f t="shared" si="165"/>
      </c>
      <c r="BJ712" s="83">
        <f t="shared" si="166"/>
      </c>
      <c r="BK712" s="85">
        <f t="shared" si="167"/>
      </c>
      <c r="BL712" s="85">
        <f t="shared" si="168"/>
      </c>
      <c r="BM712" s="108"/>
      <c r="BN712" s="85">
        <f t="shared" si="169"/>
      </c>
      <c r="BO712" s="108"/>
      <c r="BP712" s="85">
        <f t="shared" si="170"/>
      </c>
      <c r="BQ712" s="85">
        <f t="shared" si="171"/>
      </c>
      <c r="BR712" s="108"/>
      <c r="BS712" s="104"/>
      <c r="BT712" s="87">
        <f t="shared" si="172"/>
      </c>
      <c r="BU712" s="85">
        <f t="shared" si="173"/>
      </c>
      <c r="BV712" s="85">
        <f t="shared" si="174"/>
      </c>
      <c r="BW712" s="87">
        <f t="shared" si="175"/>
      </c>
      <c r="BX712" s="104"/>
      <c r="BY712" s="106"/>
      <c r="BZ712" s="104"/>
      <c r="CA712" s="105"/>
      <c r="CB712" s="77">
        <f>IF($A712="",0,IF($B712='FICHA CLIENTE'!$C$4,1,0))</f>
      </c>
      <c r="CC712" s="77">
        <f t="shared" si="176"/>
      </c>
      <c r="CD712" s="77">
        <f>IF($A712="",0,IF($D712='FICHA VEHICULO'!$C$4,1,0))</f>
      </c>
      <c r="CE712" s="77">
        <f t="shared" si="177"/>
      </c>
      <c r="CF712" s="77">
        <f t="shared" si="178"/>
      </c>
      <c r="CG712" s="77">
        <f t="shared" si="179"/>
      </c>
    </row>
    <row r="713" spans="1:85" ht="19.5" customHeight="1" x14ac:dyDescent="0.2">
      <c r="A713" s="104"/>
      <c r="B713" s="104"/>
      <c r="C713" s="105"/>
      <c r="D713" s="104"/>
      <c r="E713" s="105"/>
      <c r="F713" s="106"/>
      <c r="G713" s="104"/>
      <c r="H713" s="106"/>
      <c r="I713" s="107"/>
      <c r="J713" s="108"/>
      <c r="K713" s="108"/>
      <c r="L713" s="108"/>
      <c r="M713" s="105"/>
      <c r="N713" s="105"/>
      <c r="O713" s="105"/>
      <c r="P713" s="108"/>
      <c r="Q713" s="105"/>
      <c r="R713" s="105"/>
      <c r="S713" s="105"/>
      <c r="T713" s="105"/>
      <c r="U713" s="108"/>
      <c r="V713" s="105"/>
      <c r="W713" s="105"/>
      <c r="X713" s="105"/>
      <c r="Y713" s="105"/>
      <c r="Z713" s="105"/>
      <c r="AA713" s="108"/>
      <c r="AB713" s="108"/>
      <c r="AC713" s="105"/>
      <c r="AD713" s="279"/>
      <c r="AE713" s="105"/>
      <c r="AF713" s="279"/>
      <c r="AG713" s="105"/>
      <c r="AH713" s="108"/>
      <c r="AI713" s="108"/>
      <c r="AJ713" s="108"/>
      <c r="AK713" s="108"/>
      <c r="AL713" s="105"/>
      <c r="AM713" s="108"/>
      <c r="AN713" s="105"/>
      <c r="AO713" s="108"/>
      <c r="AP713" s="108"/>
      <c r="AQ713" s="105"/>
      <c r="AR713" s="108"/>
      <c r="AS713" s="108"/>
      <c r="AT713" s="105"/>
      <c r="AU713" s="105"/>
      <c r="AV713" s="105"/>
      <c r="AW713" s="105"/>
      <c r="AX713" s="105"/>
      <c r="AY713" s="105"/>
      <c r="AZ713" s="105"/>
      <c r="BA713" s="105"/>
      <c r="BB713" s="105"/>
      <c r="BC713" s="105"/>
      <c r="BD713" s="108"/>
      <c r="BE713" s="83">
        <f>IF($A713="","",IF(TRIM($D713&amp;"")="",IF(TRIM($AX713&amp;$AY713&amp;$AZ713&amp;$BA713&amp;$BB713&amp;$BC713&amp;$BD713&amp;"")="","","SUBARRENDADO"),IFERROR(IF(VLOOKUP($D713,VEHICULOS!$A$3:$H$202,7,FALSE)="","",VLOOKUP($D713,VEHICULOS!$A$3:$H$202,7,FALSE)),"")))</f>
      </c>
      <c r="BF713" s="82">
        <f>IF($A713="","",IF(TRIM($BC713&amp;"")&lt;&gt;"",$BC713,IF(TRIM($D713&amp;"")="","",IFERROR(IF(VLOOKUP($D713,VEHICULOS!$A$3:$H$202,8,FALSE)="","",VLOOKUP($D713,VEHICULOS!$A$3:$H$202,8,FALSE)),""))))</f>
      </c>
      <c r="BG713" s="106"/>
      <c r="BH713" s="107"/>
      <c r="BI713" s="86">
        <f t="shared" si="165"/>
      </c>
      <c r="BJ713" s="83">
        <f t="shared" si="166"/>
      </c>
      <c r="BK713" s="85">
        <f t="shared" si="167"/>
      </c>
      <c r="BL713" s="85">
        <f t="shared" si="168"/>
      </c>
      <c r="BM713" s="108"/>
      <c r="BN713" s="85">
        <f t="shared" si="169"/>
      </c>
      <c r="BO713" s="108"/>
      <c r="BP713" s="85">
        <f t="shared" si="170"/>
      </c>
      <c r="BQ713" s="85">
        <f t="shared" si="171"/>
      </c>
      <c r="BR713" s="108"/>
      <c r="BS713" s="104"/>
      <c r="BT713" s="87">
        <f t="shared" si="172"/>
      </c>
      <c r="BU713" s="85">
        <f t="shared" si="173"/>
      </c>
      <c r="BV713" s="85">
        <f t="shared" si="174"/>
      </c>
      <c r="BW713" s="87">
        <f t="shared" si="175"/>
      </c>
      <c r="BX713" s="104"/>
      <c r="BY713" s="106"/>
      <c r="BZ713" s="104"/>
      <c r="CA713" s="105"/>
      <c r="CB713" s="77">
        <f>IF($A713="",0,IF($B713='FICHA CLIENTE'!$C$4,1,0))</f>
      </c>
      <c r="CC713" s="77">
        <f t="shared" si="176"/>
      </c>
      <c r="CD713" s="77">
        <f>IF($A713="",0,IF($D713='FICHA VEHICULO'!$C$4,1,0))</f>
      </c>
      <c r="CE713" s="77">
        <f t="shared" si="177"/>
      </c>
      <c r="CF713" s="77">
        <f t="shared" si="178"/>
      </c>
      <c r="CG713" s="77">
        <f t="shared" si="179"/>
      </c>
    </row>
    <row r="714" spans="1:85" ht="19.5" customHeight="1" x14ac:dyDescent="0.2">
      <c r="A714" s="104"/>
      <c r="B714" s="104"/>
      <c r="C714" s="105"/>
      <c r="D714" s="104"/>
      <c r="E714" s="105"/>
      <c r="F714" s="106"/>
      <c r="G714" s="104"/>
      <c r="H714" s="106"/>
      <c r="I714" s="107"/>
      <c r="J714" s="108"/>
      <c r="K714" s="108"/>
      <c r="L714" s="108"/>
      <c r="M714" s="105"/>
      <c r="N714" s="105"/>
      <c r="O714" s="105"/>
      <c r="P714" s="108"/>
      <c r="Q714" s="105"/>
      <c r="R714" s="105"/>
      <c r="S714" s="105"/>
      <c r="T714" s="105"/>
      <c r="U714" s="108"/>
      <c r="V714" s="105"/>
      <c r="W714" s="105"/>
      <c r="X714" s="105"/>
      <c r="Y714" s="105"/>
      <c r="Z714" s="105"/>
      <c r="AA714" s="108"/>
      <c r="AB714" s="108"/>
      <c r="AC714" s="105"/>
      <c r="AD714" s="279"/>
      <c r="AE714" s="105"/>
      <c r="AF714" s="279"/>
      <c r="AG714" s="105"/>
      <c r="AH714" s="108"/>
      <c r="AI714" s="108"/>
      <c r="AJ714" s="108"/>
      <c r="AK714" s="108"/>
      <c r="AL714" s="105"/>
      <c r="AM714" s="108"/>
      <c r="AN714" s="105"/>
      <c r="AO714" s="108"/>
      <c r="AP714" s="108"/>
      <c r="AQ714" s="105"/>
      <c r="AR714" s="108"/>
      <c r="AS714" s="108"/>
      <c r="AT714" s="105"/>
      <c r="AU714" s="105"/>
      <c r="AV714" s="105"/>
      <c r="AW714" s="105"/>
      <c r="AX714" s="105"/>
      <c r="AY714" s="105"/>
      <c r="AZ714" s="105"/>
      <c r="BA714" s="105"/>
      <c r="BB714" s="105"/>
      <c r="BC714" s="105"/>
      <c r="BD714" s="108"/>
      <c r="BE714" s="83">
        <f>IF($A714="","",IF(TRIM($D714&amp;"")="",IF(TRIM($AX714&amp;$AY714&amp;$AZ714&amp;$BA714&amp;$BB714&amp;$BC714&amp;$BD714&amp;"")="","","SUBARRENDADO"),IFERROR(IF(VLOOKUP($D714,VEHICULOS!$A$3:$H$202,7,FALSE)="","",VLOOKUP($D714,VEHICULOS!$A$3:$H$202,7,FALSE)),"")))</f>
      </c>
      <c r="BF714" s="82">
        <f>IF($A714="","",IF(TRIM($BC714&amp;"")&lt;&gt;"",$BC714,IF(TRIM($D714&amp;"")="","",IFERROR(IF(VLOOKUP($D714,VEHICULOS!$A$3:$H$202,8,FALSE)="","",VLOOKUP($D714,VEHICULOS!$A$3:$H$202,8,FALSE)),""))))</f>
      </c>
      <c r="BG714" s="106"/>
      <c r="BH714" s="107"/>
      <c r="BI714" s="86">
        <f t="shared" si="165"/>
      </c>
      <c r="BJ714" s="83">
        <f t="shared" si="166"/>
      </c>
      <c r="BK714" s="85">
        <f t="shared" si="167"/>
      </c>
      <c r="BL714" s="85">
        <f t="shared" si="168"/>
      </c>
      <c r="BM714" s="108"/>
      <c r="BN714" s="85">
        <f t="shared" si="169"/>
      </c>
      <c r="BO714" s="108"/>
      <c r="BP714" s="85">
        <f t="shared" si="170"/>
      </c>
      <c r="BQ714" s="85">
        <f t="shared" si="171"/>
      </c>
      <c r="BR714" s="108"/>
      <c r="BS714" s="104"/>
      <c r="BT714" s="87">
        <f t="shared" si="172"/>
      </c>
      <c r="BU714" s="85">
        <f t="shared" si="173"/>
      </c>
      <c r="BV714" s="85">
        <f t="shared" si="174"/>
      </c>
      <c r="BW714" s="87">
        <f t="shared" si="175"/>
      </c>
      <c r="BX714" s="104"/>
      <c r="BY714" s="106"/>
      <c r="BZ714" s="104"/>
      <c r="CA714" s="105"/>
      <c r="CB714" s="77">
        <f>IF($A714="",0,IF($B714='FICHA CLIENTE'!$C$4,1,0))</f>
      </c>
      <c r="CC714" s="77">
        <f t="shared" si="176"/>
      </c>
      <c r="CD714" s="77">
        <f>IF($A714="",0,IF($D714='FICHA VEHICULO'!$C$4,1,0))</f>
      </c>
      <c r="CE714" s="77">
        <f t="shared" si="177"/>
      </c>
      <c r="CF714" s="77">
        <f t="shared" si="178"/>
      </c>
      <c r="CG714" s="77">
        <f t="shared" si="179"/>
      </c>
    </row>
    <row r="715" spans="1:85" ht="19.5" customHeight="1" x14ac:dyDescent="0.2">
      <c r="A715" s="104"/>
      <c r="B715" s="104"/>
      <c r="C715" s="105"/>
      <c r="D715" s="104"/>
      <c r="E715" s="105"/>
      <c r="F715" s="106"/>
      <c r="G715" s="104"/>
      <c r="H715" s="106"/>
      <c r="I715" s="107"/>
      <c r="J715" s="108"/>
      <c r="K715" s="108"/>
      <c r="L715" s="108"/>
      <c r="M715" s="105"/>
      <c r="N715" s="105"/>
      <c r="O715" s="105"/>
      <c r="P715" s="108"/>
      <c r="Q715" s="105"/>
      <c r="R715" s="105"/>
      <c r="S715" s="105"/>
      <c r="T715" s="105"/>
      <c r="U715" s="108"/>
      <c r="V715" s="105"/>
      <c r="W715" s="105"/>
      <c r="X715" s="105"/>
      <c r="Y715" s="105"/>
      <c r="Z715" s="105"/>
      <c r="AA715" s="108"/>
      <c r="AB715" s="108"/>
      <c r="AC715" s="105"/>
      <c r="AD715" s="279"/>
      <c r="AE715" s="105"/>
      <c r="AF715" s="279"/>
      <c r="AG715" s="105"/>
      <c r="AH715" s="108"/>
      <c r="AI715" s="108"/>
      <c r="AJ715" s="108"/>
      <c r="AK715" s="108"/>
      <c r="AL715" s="105"/>
      <c r="AM715" s="108"/>
      <c r="AN715" s="105"/>
      <c r="AO715" s="108"/>
      <c r="AP715" s="108"/>
      <c r="AQ715" s="105"/>
      <c r="AR715" s="108"/>
      <c r="AS715" s="108"/>
      <c r="AT715" s="105"/>
      <c r="AU715" s="105"/>
      <c r="AV715" s="105"/>
      <c r="AW715" s="105"/>
      <c r="AX715" s="105"/>
      <c r="AY715" s="105"/>
      <c r="AZ715" s="105"/>
      <c r="BA715" s="105"/>
      <c r="BB715" s="105"/>
      <c r="BC715" s="105"/>
      <c r="BD715" s="108"/>
      <c r="BE715" s="83">
        <f>IF($A715="","",IF(TRIM($D715&amp;"")="",IF(TRIM($AX715&amp;$AY715&amp;$AZ715&amp;$BA715&amp;$BB715&amp;$BC715&amp;$BD715&amp;"")="","","SUBARRENDADO"),IFERROR(IF(VLOOKUP($D715,VEHICULOS!$A$3:$H$202,7,FALSE)="","",VLOOKUP($D715,VEHICULOS!$A$3:$H$202,7,FALSE)),"")))</f>
      </c>
      <c r="BF715" s="82">
        <f>IF($A715="","",IF(TRIM($BC715&amp;"")&lt;&gt;"",$BC715,IF(TRIM($D715&amp;"")="","",IFERROR(IF(VLOOKUP($D715,VEHICULOS!$A$3:$H$202,8,FALSE)="","",VLOOKUP($D715,VEHICULOS!$A$3:$H$202,8,FALSE)),""))))</f>
      </c>
      <c r="BG715" s="106"/>
      <c r="BH715" s="107"/>
      <c r="BI715" s="86">
        <f t="shared" si="165"/>
      </c>
      <c r="BJ715" s="83">
        <f t="shared" si="166"/>
      </c>
      <c r="BK715" s="85">
        <f t="shared" si="167"/>
      </c>
      <c r="BL715" s="85">
        <f t="shared" si="168"/>
      </c>
      <c r="BM715" s="108"/>
      <c r="BN715" s="85">
        <f t="shared" si="169"/>
      </c>
      <c r="BO715" s="108"/>
      <c r="BP715" s="85">
        <f t="shared" si="170"/>
      </c>
      <c r="BQ715" s="85">
        <f t="shared" si="171"/>
      </c>
      <c r="BR715" s="108"/>
      <c r="BS715" s="104"/>
      <c r="BT715" s="87">
        <f t="shared" si="172"/>
      </c>
      <c r="BU715" s="85">
        <f t="shared" si="173"/>
      </c>
      <c r="BV715" s="85">
        <f t="shared" si="174"/>
      </c>
      <c r="BW715" s="87">
        <f t="shared" si="175"/>
      </c>
      <c r="BX715" s="104"/>
      <c r="BY715" s="106"/>
      <c r="BZ715" s="104"/>
      <c r="CA715" s="105"/>
      <c r="CB715" s="77">
        <f>IF($A715="",0,IF($B715='FICHA CLIENTE'!$C$4,1,0))</f>
      </c>
      <c r="CC715" s="77">
        <f t="shared" si="176"/>
      </c>
      <c r="CD715" s="77">
        <f>IF($A715="",0,IF($D715='FICHA VEHICULO'!$C$4,1,0))</f>
      </c>
      <c r="CE715" s="77">
        <f t="shared" si="177"/>
      </c>
      <c r="CF715" s="77">
        <f t="shared" si="178"/>
      </c>
      <c r="CG715" s="77">
        <f t="shared" si="179"/>
      </c>
    </row>
    <row r="716" spans="1:85" ht="19.5" customHeight="1" x14ac:dyDescent="0.2">
      <c r="A716" s="104"/>
      <c r="B716" s="104"/>
      <c r="C716" s="105"/>
      <c r="D716" s="104"/>
      <c r="E716" s="105"/>
      <c r="F716" s="106"/>
      <c r="G716" s="104"/>
      <c r="H716" s="106"/>
      <c r="I716" s="107"/>
      <c r="J716" s="108"/>
      <c r="K716" s="108"/>
      <c r="L716" s="108"/>
      <c r="M716" s="105"/>
      <c r="N716" s="105"/>
      <c r="O716" s="105"/>
      <c r="P716" s="108"/>
      <c r="Q716" s="105"/>
      <c r="R716" s="105"/>
      <c r="S716" s="105"/>
      <c r="T716" s="105"/>
      <c r="U716" s="108"/>
      <c r="V716" s="105"/>
      <c r="W716" s="105"/>
      <c r="X716" s="105"/>
      <c r="Y716" s="105"/>
      <c r="Z716" s="105"/>
      <c r="AA716" s="108"/>
      <c r="AB716" s="108"/>
      <c r="AC716" s="105"/>
      <c r="AD716" s="279"/>
      <c r="AE716" s="105"/>
      <c r="AF716" s="279"/>
      <c r="AG716" s="105"/>
      <c r="AH716" s="108"/>
      <c r="AI716" s="108"/>
      <c r="AJ716" s="108"/>
      <c r="AK716" s="108"/>
      <c r="AL716" s="105"/>
      <c r="AM716" s="108"/>
      <c r="AN716" s="105"/>
      <c r="AO716" s="108"/>
      <c r="AP716" s="108"/>
      <c r="AQ716" s="105"/>
      <c r="AR716" s="108"/>
      <c r="AS716" s="108"/>
      <c r="AT716" s="105"/>
      <c r="AU716" s="105"/>
      <c r="AV716" s="105"/>
      <c r="AW716" s="105"/>
      <c r="AX716" s="105"/>
      <c r="AY716" s="105"/>
      <c r="AZ716" s="105"/>
      <c r="BA716" s="105"/>
      <c r="BB716" s="105"/>
      <c r="BC716" s="105"/>
      <c r="BD716" s="108"/>
      <c r="BE716" s="83">
        <f>IF($A716="","",IF(TRIM($D716&amp;"")="",IF(TRIM($AX716&amp;$AY716&amp;$AZ716&amp;$BA716&amp;$BB716&amp;$BC716&amp;$BD716&amp;"")="","","SUBARRENDADO"),IFERROR(IF(VLOOKUP($D716,VEHICULOS!$A$3:$H$202,7,FALSE)="","",VLOOKUP($D716,VEHICULOS!$A$3:$H$202,7,FALSE)),"")))</f>
      </c>
      <c r="BF716" s="82">
        <f>IF($A716="","",IF(TRIM($BC716&amp;"")&lt;&gt;"",$BC716,IF(TRIM($D716&amp;"")="","",IFERROR(IF(VLOOKUP($D716,VEHICULOS!$A$3:$H$202,8,FALSE)="","",VLOOKUP($D716,VEHICULOS!$A$3:$H$202,8,FALSE)),""))))</f>
      </c>
      <c r="BG716" s="106"/>
      <c r="BH716" s="107"/>
      <c r="BI716" s="86">
        <f t="shared" si="165"/>
      </c>
      <c r="BJ716" s="83">
        <f t="shared" si="166"/>
      </c>
      <c r="BK716" s="85">
        <f t="shared" si="167"/>
      </c>
      <c r="BL716" s="85">
        <f t="shared" si="168"/>
      </c>
      <c r="BM716" s="108"/>
      <c r="BN716" s="85">
        <f t="shared" si="169"/>
      </c>
      <c r="BO716" s="108"/>
      <c r="BP716" s="85">
        <f t="shared" si="170"/>
      </c>
      <c r="BQ716" s="85">
        <f t="shared" si="171"/>
      </c>
      <c r="BR716" s="108"/>
      <c r="BS716" s="104"/>
      <c r="BT716" s="87">
        <f t="shared" si="172"/>
      </c>
      <c r="BU716" s="85">
        <f t="shared" si="173"/>
      </c>
      <c r="BV716" s="85">
        <f t="shared" si="174"/>
      </c>
      <c r="BW716" s="87">
        <f t="shared" si="175"/>
      </c>
      <c r="BX716" s="104"/>
      <c r="BY716" s="106"/>
      <c r="BZ716" s="104"/>
      <c r="CA716" s="105"/>
      <c r="CB716" s="77">
        <f>IF($A716="",0,IF($B716='FICHA CLIENTE'!$C$4,1,0))</f>
      </c>
      <c r="CC716" s="77">
        <f t="shared" si="176"/>
      </c>
      <c r="CD716" s="77">
        <f>IF($A716="",0,IF($D716='FICHA VEHICULO'!$C$4,1,0))</f>
      </c>
      <c r="CE716" s="77">
        <f t="shared" si="177"/>
      </c>
      <c r="CF716" s="77">
        <f t="shared" si="178"/>
      </c>
      <c r="CG716" s="77">
        <f t="shared" si="179"/>
      </c>
    </row>
    <row r="717" spans="1:85" ht="19.5" customHeight="1" x14ac:dyDescent="0.2">
      <c r="A717" s="104"/>
      <c r="B717" s="104"/>
      <c r="C717" s="105"/>
      <c r="D717" s="104"/>
      <c r="E717" s="105"/>
      <c r="F717" s="106"/>
      <c r="G717" s="104"/>
      <c r="H717" s="106"/>
      <c r="I717" s="107"/>
      <c r="J717" s="108"/>
      <c r="K717" s="108"/>
      <c r="L717" s="108"/>
      <c r="M717" s="105"/>
      <c r="N717" s="105"/>
      <c r="O717" s="105"/>
      <c r="P717" s="108"/>
      <c r="Q717" s="105"/>
      <c r="R717" s="105"/>
      <c r="S717" s="105"/>
      <c r="T717" s="105"/>
      <c r="U717" s="108"/>
      <c r="V717" s="105"/>
      <c r="W717" s="105"/>
      <c r="X717" s="105"/>
      <c r="Y717" s="105"/>
      <c r="Z717" s="105"/>
      <c r="AA717" s="108"/>
      <c r="AB717" s="108"/>
      <c r="AC717" s="105"/>
      <c r="AD717" s="279"/>
      <c r="AE717" s="105"/>
      <c r="AF717" s="279"/>
      <c r="AG717" s="105"/>
      <c r="AH717" s="108"/>
      <c r="AI717" s="108"/>
      <c r="AJ717" s="108"/>
      <c r="AK717" s="108"/>
      <c r="AL717" s="105"/>
      <c r="AM717" s="108"/>
      <c r="AN717" s="105"/>
      <c r="AO717" s="108"/>
      <c r="AP717" s="108"/>
      <c r="AQ717" s="105"/>
      <c r="AR717" s="108"/>
      <c r="AS717" s="108"/>
      <c r="AT717" s="105"/>
      <c r="AU717" s="105"/>
      <c r="AV717" s="105"/>
      <c r="AW717" s="105"/>
      <c r="AX717" s="105"/>
      <c r="AY717" s="105"/>
      <c r="AZ717" s="105"/>
      <c r="BA717" s="105"/>
      <c r="BB717" s="105"/>
      <c r="BC717" s="105"/>
      <c r="BD717" s="108"/>
      <c r="BE717" s="83">
        <f>IF($A717="","",IF(TRIM($D717&amp;"")="",IF(TRIM($AX717&amp;$AY717&amp;$AZ717&amp;$BA717&amp;$BB717&amp;$BC717&amp;$BD717&amp;"")="","","SUBARRENDADO"),IFERROR(IF(VLOOKUP($D717,VEHICULOS!$A$3:$H$202,7,FALSE)="","",VLOOKUP($D717,VEHICULOS!$A$3:$H$202,7,FALSE)),"")))</f>
      </c>
      <c r="BF717" s="82">
        <f>IF($A717="","",IF(TRIM($BC717&amp;"")&lt;&gt;"",$BC717,IF(TRIM($D717&amp;"")="","",IFERROR(IF(VLOOKUP($D717,VEHICULOS!$A$3:$H$202,8,FALSE)="","",VLOOKUP($D717,VEHICULOS!$A$3:$H$202,8,FALSE)),""))))</f>
      </c>
      <c r="BG717" s="106"/>
      <c r="BH717" s="107"/>
      <c r="BI717" s="86">
        <f t="shared" si="165"/>
      </c>
      <c r="BJ717" s="83">
        <f t="shared" si="166"/>
      </c>
      <c r="BK717" s="85">
        <f t="shared" si="167"/>
      </c>
      <c r="BL717" s="85">
        <f t="shared" si="168"/>
      </c>
      <c r="BM717" s="108"/>
      <c r="BN717" s="85">
        <f t="shared" si="169"/>
      </c>
      <c r="BO717" s="108"/>
      <c r="BP717" s="85">
        <f t="shared" si="170"/>
      </c>
      <c r="BQ717" s="85">
        <f t="shared" si="171"/>
      </c>
      <c r="BR717" s="108"/>
      <c r="BS717" s="104"/>
      <c r="BT717" s="87">
        <f t="shared" si="172"/>
      </c>
      <c r="BU717" s="85">
        <f t="shared" si="173"/>
      </c>
      <c r="BV717" s="85">
        <f t="shared" si="174"/>
      </c>
      <c r="BW717" s="87">
        <f t="shared" si="175"/>
      </c>
      <c r="BX717" s="104"/>
      <c r="BY717" s="106"/>
      <c r="BZ717" s="104"/>
      <c r="CA717" s="105"/>
      <c r="CB717" s="77">
        <f>IF($A717="",0,IF($B717='FICHA CLIENTE'!$C$4,1,0))</f>
      </c>
      <c r="CC717" s="77">
        <f t="shared" si="176"/>
      </c>
      <c r="CD717" s="77">
        <f>IF($A717="",0,IF($D717='FICHA VEHICULO'!$C$4,1,0))</f>
      </c>
      <c r="CE717" s="77">
        <f t="shared" si="177"/>
      </c>
      <c r="CF717" s="77">
        <f t="shared" si="178"/>
      </c>
      <c r="CG717" s="77">
        <f t="shared" si="179"/>
      </c>
    </row>
    <row r="718" spans="1:85" ht="19.5" customHeight="1" x14ac:dyDescent="0.2">
      <c r="A718" s="104"/>
      <c r="B718" s="104"/>
      <c r="C718" s="105"/>
      <c r="D718" s="104"/>
      <c r="E718" s="105"/>
      <c r="F718" s="106"/>
      <c r="G718" s="104"/>
      <c r="H718" s="106"/>
      <c r="I718" s="107"/>
      <c r="J718" s="108"/>
      <c r="K718" s="108"/>
      <c r="L718" s="108"/>
      <c r="M718" s="105"/>
      <c r="N718" s="105"/>
      <c r="O718" s="105"/>
      <c r="P718" s="108"/>
      <c r="Q718" s="105"/>
      <c r="R718" s="105"/>
      <c r="S718" s="105"/>
      <c r="T718" s="105"/>
      <c r="U718" s="108"/>
      <c r="V718" s="105"/>
      <c r="W718" s="105"/>
      <c r="X718" s="105"/>
      <c r="Y718" s="105"/>
      <c r="Z718" s="105"/>
      <c r="AA718" s="108"/>
      <c r="AB718" s="108"/>
      <c r="AC718" s="105"/>
      <c r="AD718" s="279"/>
      <c r="AE718" s="105"/>
      <c r="AF718" s="279"/>
      <c r="AG718" s="105"/>
      <c r="AH718" s="108"/>
      <c r="AI718" s="108"/>
      <c r="AJ718" s="108"/>
      <c r="AK718" s="108"/>
      <c r="AL718" s="105"/>
      <c r="AM718" s="108"/>
      <c r="AN718" s="105"/>
      <c r="AO718" s="108"/>
      <c r="AP718" s="108"/>
      <c r="AQ718" s="105"/>
      <c r="AR718" s="108"/>
      <c r="AS718" s="108"/>
      <c r="AT718" s="105"/>
      <c r="AU718" s="105"/>
      <c r="AV718" s="105"/>
      <c r="AW718" s="105"/>
      <c r="AX718" s="105"/>
      <c r="AY718" s="105"/>
      <c r="AZ718" s="105"/>
      <c r="BA718" s="105"/>
      <c r="BB718" s="105"/>
      <c r="BC718" s="105"/>
      <c r="BD718" s="108"/>
      <c r="BE718" s="83">
        <f>IF($A718="","",IF(TRIM($D718&amp;"")="",IF(TRIM($AX718&amp;$AY718&amp;$AZ718&amp;$BA718&amp;$BB718&amp;$BC718&amp;$BD718&amp;"")="","","SUBARRENDADO"),IFERROR(IF(VLOOKUP($D718,VEHICULOS!$A$3:$H$202,7,FALSE)="","",VLOOKUP($D718,VEHICULOS!$A$3:$H$202,7,FALSE)),"")))</f>
      </c>
      <c r="BF718" s="82">
        <f>IF($A718="","",IF(TRIM($BC718&amp;"")&lt;&gt;"",$BC718,IF(TRIM($D718&amp;"")="","",IFERROR(IF(VLOOKUP($D718,VEHICULOS!$A$3:$H$202,8,FALSE)="","",VLOOKUP($D718,VEHICULOS!$A$3:$H$202,8,FALSE)),""))))</f>
      </c>
      <c r="BG718" s="106"/>
      <c r="BH718" s="107"/>
      <c r="BI718" s="86">
        <f t="shared" si="165"/>
      </c>
      <c r="BJ718" s="83">
        <f t="shared" si="166"/>
      </c>
      <c r="BK718" s="85">
        <f t="shared" si="167"/>
      </c>
      <c r="BL718" s="85">
        <f t="shared" si="168"/>
      </c>
      <c r="BM718" s="108"/>
      <c r="BN718" s="85">
        <f t="shared" si="169"/>
      </c>
      <c r="BO718" s="108"/>
      <c r="BP718" s="85">
        <f t="shared" si="170"/>
      </c>
      <c r="BQ718" s="85">
        <f t="shared" si="171"/>
      </c>
      <c r="BR718" s="108"/>
      <c r="BS718" s="104"/>
      <c r="BT718" s="87">
        <f t="shared" si="172"/>
      </c>
      <c r="BU718" s="85">
        <f t="shared" si="173"/>
      </c>
      <c r="BV718" s="85">
        <f t="shared" si="174"/>
      </c>
      <c r="BW718" s="87">
        <f t="shared" si="175"/>
      </c>
      <c r="BX718" s="104"/>
      <c r="BY718" s="106"/>
      <c r="BZ718" s="104"/>
      <c r="CA718" s="105"/>
      <c r="CB718" s="77">
        <f>IF($A718="",0,IF($B718='FICHA CLIENTE'!$C$4,1,0))</f>
      </c>
      <c r="CC718" s="77">
        <f t="shared" si="176"/>
      </c>
      <c r="CD718" s="77">
        <f>IF($A718="",0,IF($D718='FICHA VEHICULO'!$C$4,1,0))</f>
      </c>
      <c r="CE718" s="77">
        <f t="shared" si="177"/>
      </c>
      <c r="CF718" s="77">
        <f t="shared" si="178"/>
      </c>
      <c r="CG718" s="77">
        <f t="shared" si="179"/>
      </c>
    </row>
    <row r="719" spans="1:85" ht="19.5" customHeight="1" x14ac:dyDescent="0.2">
      <c r="A719" s="104"/>
      <c r="B719" s="104"/>
      <c r="C719" s="105"/>
      <c r="D719" s="104"/>
      <c r="E719" s="105"/>
      <c r="F719" s="106"/>
      <c r="G719" s="104"/>
      <c r="H719" s="106"/>
      <c r="I719" s="107"/>
      <c r="J719" s="108"/>
      <c r="K719" s="108"/>
      <c r="L719" s="108"/>
      <c r="M719" s="105"/>
      <c r="N719" s="105"/>
      <c r="O719" s="105"/>
      <c r="P719" s="108"/>
      <c r="Q719" s="105"/>
      <c r="R719" s="105"/>
      <c r="S719" s="105"/>
      <c r="T719" s="105"/>
      <c r="U719" s="108"/>
      <c r="V719" s="105"/>
      <c r="W719" s="105"/>
      <c r="X719" s="105"/>
      <c r="Y719" s="105"/>
      <c r="Z719" s="105"/>
      <c r="AA719" s="108"/>
      <c r="AB719" s="108"/>
      <c r="AC719" s="105"/>
      <c r="AD719" s="279"/>
      <c r="AE719" s="105"/>
      <c r="AF719" s="279"/>
      <c r="AG719" s="105"/>
      <c r="AH719" s="108"/>
      <c r="AI719" s="108"/>
      <c r="AJ719" s="108"/>
      <c r="AK719" s="108"/>
      <c r="AL719" s="105"/>
      <c r="AM719" s="108"/>
      <c r="AN719" s="105"/>
      <c r="AO719" s="108"/>
      <c r="AP719" s="108"/>
      <c r="AQ719" s="105"/>
      <c r="AR719" s="108"/>
      <c r="AS719" s="108"/>
      <c r="AT719" s="105"/>
      <c r="AU719" s="105"/>
      <c r="AV719" s="105"/>
      <c r="AW719" s="105"/>
      <c r="AX719" s="105"/>
      <c r="AY719" s="105"/>
      <c r="AZ719" s="105"/>
      <c r="BA719" s="105"/>
      <c r="BB719" s="105"/>
      <c r="BC719" s="105"/>
      <c r="BD719" s="108"/>
      <c r="BE719" s="83">
        <f>IF($A719="","",IF(TRIM($D719&amp;"")="",IF(TRIM($AX719&amp;$AY719&amp;$AZ719&amp;$BA719&amp;$BB719&amp;$BC719&amp;$BD719&amp;"")="","","SUBARRENDADO"),IFERROR(IF(VLOOKUP($D719,VEHICULOS!$A$3:$H$202,7,FALSE)="","",VLOOKUP($D719,VEHICULOS!$A$3:$H$202,7,FALSE)),"")))</f>
      </c>
      <c r="BF719" s="82">
        <f>IF($A719="","",IF(TRIM($BC719&amp;"")&lt;&gt;"",$BC719,IF(TRIM($D719&amp;"")="","",IFERROR(IF(VLOOKUP($D719,VEHICULOS!$A$3:$H$202,8,FALSE)="","",VLOOKUP($D719,VEHICULOS!$A$3:$H$202,8,FALSE)),""))))</f>
      </c>
      <c r="BG719" s="106"/>
      <c r="BH719" s="107"/>
      <c r="BI719" s="86">
        <f t="shared" si="165"/>
      </c>
      <c r="BJ719" s="83">
        <f t="shared" si="166"/>
      </c>
      <c r="BK719" s="85">
        <f t="shared" si="167"/>
      </c>
      <c r="BL719" s="85">
        <f t="shared" si="168"/>
      </c>
      <c r="BM719" s="108"/>
      <c r="BN719" s="85">
        <f t="shared" si="169"/>
      </c>
      <c r="BO719" s="108"/>
      <c r="BP719" s="85">
        <f t="shared" si="170"/>
      </c>
      <c r="BQ719" s="85">
        <f t="shared" si="171"/>
      </c>
      <c r="BR719" s="108"/>
      <c r="BS719" s="104"/>
      <c r="BT719" s="87">
        <f t="shared" si="172"/>
      </c>
      <c r="BU719" s="85">
        <f t="shared" si="173"/>
      </c>
      <c r="BV719" s="85">
        <f t="shared" si="174"/>
      </c>
      <c r="BW719" s="87">
        <f t="shared" si="175"/>
      </c>
      <c r="BX719" s="104"/>
      <c r="BY719" s="106"/>
      <c r="BZ719" s="104"/>
      <c r="CA719" s="105"/>
      <c r="CB719" s="77">
        <f>IF($A719="",0,IF($B719='FICHA CLIENTE'!$C$4,1,0))</f>
      </c>
      <c r="CC719" s="77">
        <f t="shared" si="176"/>
      </c>
      <c r="CD719" s="77">
        <f>IF($A719="",0,IF($D719='FICHA VEHICULO'!$C$4,1,0))</f>
      </c>
      <c r="CE719" s="77">
        <f t="shared" si="177"/>
      </c>
      <c r="CF719" s="77">
        <f t="shared" si="178"/>
      </c>
      <c r="CG719" s="77">
        <f t="shared" si="179"/>
      </c>
    </row>
    <row r="720" spans="1:85" ht="19.5" customHeight="1" x14ac:dyDescent="0.2">
      <c r="A720" s="104"/>
      <c r="B720" s="104"/>
      <c r="C720" s="105"/>
      <c r="D720" s="104"/>
      <c r="E720" s="105"/>
      <c r="F720" s="106"/>
      <c r="G720" s="104"/>
      <c r="H720" s="106"/>
      <c r="I720" s="107"/>
      <c r="J720" s="108"/>
      <c r="K720" s="108"/>
      <c r="L720" s="108"/>
      <c r="M720" s="105"/>
      <c r="N720" s="105"/>
      <c r="O720" s="105"/>
      <c r="P720" s="108"/>
      <c r="Q720" s="105"/>
      <c r="R720" s="105"/>
      <c r="S720" s="105"/>
      <c r="T720" s="105"/>
      <c r="U720" s="108"/>
      <c r="V720" s="105"/>
      <c r="W720" s="105"/>
      <c r="X720" s="105"/>
      <c r="Y720" s="105"/>
      <c r="Z720" s="105"/>
      <c r="AA720" s="108"/>
      <c r="AB720" s="108"/>
      <c r="AC720" s="105"/>
      <c r="AD720" s="279"/>
      <c r="AE720" s="105"/>
      <c r="AF720" s="279"/>
      <c r="AG720" s="105"/>
      <c r="AH720" s="108"/>
      <c r="AI720" s="108"/>
      <c r="AJ720" s="108"/>
      <c r="AK720" s="108"/>
      <c r="AL720" s="105"/>
      <c r="AM720" s="108"/>
      <c r="AN720" s="105"/>
      <c r="AO720" s="108"/>
      <c r="AP720" s="108"/>
      <c r="AQ720" s="105"/>
      <c r="AR720" s="108"/>
      <c r="AS720" s="108"/>
      <c r="AT720" s="105"/>
      <c r="AU720" s="105"/>
      <c r="AV720" s="105"/>
      <c r="AW720" s="105"/>
      <c r="AX720" s="105"/>
      <c r="AY720" s="105"/>
      <c r="AZ720" s="105"/>
      <c r="BA720" s="105"/>
      <c r="BB720" s="105"/>
      <c r="BC720" s="105"/>
      <c r="BD720" s="108"/>
      <c r="BE720" s="83">
        <f>IF($A720="","",IF(TRIM($D720&amp;"")="",IF(TRIM($AX720&amp;$AY720&amp;$AZ720&amp;$BA720&amp;$BB720&amp;$BC720&amp;$BD720&amp;"")="","","SUBARRENDADO"),IFERROR(IF(VLOOKUP($D720,VEHICULOS!$A$3:$H$202,7,FALSE)="","",VLOOKUP($D720,VEHICULOS!$A$3:$H$202,7,FALSE)),"")))</f>
      </c>
      <c r="BF720" s="82">
        <f>IF($A720="","",IF(TRIM($BC720&amp;"")&lt;&gt;"",$BC720,IF(TRIM($D720&amp;"")="","",IFERROR(IF(VLOOKUP($D720,VEHICULOS!$A$3:$H$202,8,FALSE)="","",VLOOKUP($D720,VEHICULOS!$A$3:$H$202,8,FALSE)),""))))</f>
      </c>
      <c r="BG720" s="106"/>
      <c r="BH720" s="107"/>
      <c r="BI720" s="86">
        <f t="shared" si="165"/>
      </c>
      <c r="BJ720" s="83">
        <f t="shared" si="166"/>
      </c>
      <c r="BK720" s="85">
        <f t="shared" si="167"/>
      </c>
      <c r="BL720" s="85">
        <f t="shared" si="168"/>
      </c>
      <c r="BM720" s="108"/>
      <c r="BN720" s="85">
        <f t="shared" si="169"/>
      </c>
      <c r="BO720" s="108"/>
      <c r="BP720" s="85">
        <f t="shared" si="170"/>
      </c>
      <c r="BQ720" s="85">
        <f t="shared" si="171"/>
      </c>
      <c r="BR720" s="108"/>
      <c r="BS720" s="104"/>
      <c r="BT720" s="87">
        <f t="shared" si="172"/>
      </c>
      <c r="BU720" s="85">
        <f t="shared" si="173"/>
      </c>
      <c r="BV720" s="85">
        <f t="shared" si="174"/>
      </c>
      <c r="BW720" s="87">
        <f t="shared" si="175"/>
      </c>
      <c r="BX720" s="104"/>
      <c r="BY720" s="106"/>
      <c r="BZ720" s="104"/>
      <c r="CA720" s="105"/>
      <c r="CB720" s="77">
        <f>IF($A720="",0,IF($B720='FICHA CLIENTE'!$C$4,1,0))</f>
      </c>
      <c r="CC720" s="77">
        <f t="shared" si="176"/>
      </c>
      <c r="CD720" s="77">
        <f>IF($A720="",0,IF($D720='FICHA VEHICULO'!$C$4,1,0))</f>
      </c>
      <c r="CE720" s="77">
        <f t="shared" si="177"/>
      </c>
      <c r="CF720" s="77">
        <f t="shared" si="178"/>
      </c>
      <c r="CG720" s="77">
        <f t="shared" si="179"/>
      </c>
    </row>
    <row r="721" spans="1:85" ht="19.5" customHeight="1" x14ac:dyDescent="0.2">
      <c r="A721" s="104"/>
      <c r="B721" s="104"/>
      <c r="C721" s="105"/>
      <c r="D721" s="104"/>
      <c r="E721" s="105"/>
      <c r="F721" s="106"/>
      <c r="G721" s="104"/>
      <c r="H721" s="106"/>
      <c r="I721" s="107"/>
      <c r="J721" s="108"/>
      <c r="K721" s="108"/>
      <c r="L721" s="108"/>
      <c r="M721" s="105"/>
      <c r="N721" s="105"/>
      <c r="O721" s="105"/>
      <c r="P721" s="108"/>
      <c r="Q721" s="105"/>
      <c r="R721" s="105"/>
      <c r="S721" s="105"/>
      <c r="T721" s="105"/>
      <c r="U721" s="108"/>
      <c r="V721" s="105"/>
      <c r="W721" s="105"/>
      <c r="X721" s="105"/>
      <c r="Y721" s="105"/>
      <c r="Z721" s="105"/>
      <c r="AA721" s="108"/>
      <c r="AB721" s="108"/>
      <c r="AC721" s="105"/>
      <c r="AD721" s="279"/>
      <c r="AE721" s="105"/>
      <c r="AF721" s="279"/>
      <c r="AG721" s="105"/>
      <c r="AH721" s="108"/>
      <c r="AI721" s="108"/>
      <c r="AJ721" s="108"/>
      <c r="AK721" s="108"/>
      <c r="AL721" s="105"/>
      <c r="AM721" s="108"/>
      <c r="AN721" s="105"/>
      <c r="AO721" s="108"/>
      <c r="AP721" s="108"/>
      <c r="AQ721" s="105"/>
      <c r="AR721" s="108"/>
      <c r="AS721" s="108"/>
      <c r="AT721" s="105"/>
      <c r="AU721" s="105"/>
      <c r="AV721" s="105"/>
      <c r="AW721" s="105"/>
      <c r="AX721" s="105"/>
      <c r="AY721" s="105"/>
      <c r="AZ721" s="105"/>
      <c r="BA721" s="105"/>
      <c r="BB721" s="105"/>
      <c r="BC721" s="105"/>
      <c r="BD721" s="108"/>
      <c r="BE721" s="83">
        <f>IF($A721="","",IF(TRIM($D721&amp;"")="",IF(TRIM($AX721&amp;$AY721&amp;$AZ721&amp;$BA721&amp;$BB721&amp;$BC721&amp;$BD721&amp;"")="","","SUBARRENDADO"),IFERROR(IF(VLOOKUP($D721,VEHICULOS!$A$3:$H$202,7,FALSE)="","",VLOOKUP($D721,VEHICULOS!$A$3:$H$202,7,FALSE)),"")))</f>
      </c>
      <c r="BF721" s="82">
        <f>IF($A721="","",IF(TRIM($BC721&amp;"")&lt;&gt;"",$BC721,IF(TRIM($D721&amp;"")="","",IFERROR(IF(VLOOKUP($D721,VEHICULOS!$A$3:$H$202,8,FALSE)="","",VLOOKUP($D721,VEHICULOS!$A$3:$H$202,8,FALSE)),""))))</f>
      </c>
      <c r="BG721" s="106"/>
      <c r="BH721" s="107"/>
      <c r="BI721" s="86">
        <f t="shared" si="165"/>
      </c>
      <c r="BJ721" s="83">
        <f t="shared" si="166"/>
      </c>
      <c r="BK721" s="85">
        <f t="shared" si="167"/>
      </c>
      <c r="BL721" s="85">
        <f t="shared" si="168"/>
      </c>
      <c r="BM721" s="108"/>
      <c r="BN721" s="85">
        <f t="shared" si="169"/>
      </c>
      <c r="BO721" s="108"/>
      <c r="BP721" s="85">
        <f t="shared" si="170"/>
      </c>
      <c r="BQ721" s="85">
        <f t="shared" si="171"/>
      </c>
      <c r="BR721" s="108"/>
      <c r="BS721" s="104"/>
      <c r="BT721" s="87">
        <f t="shared" si="172"/>
      </c>
      <c r="BU721" s="85">
        <f t="shared" si="173"/>
      </c>
      <c r="BV721" s="85">
        <f t="shared" si="174"/>
      </c>
      <c r="BW721" s="87">
        <f t="shared" si="175"/>
      </c>
      <c r="BX721" s="104"/>
      <c r="BY721" s="106"/>
      <c r="BZ721" s="104"/>
      <c r="CA721" s="105"/>
      <c r="CB721" s="77">
        <f>IF($A721="",0,IF($B721='FICHA CLIENTE'!$C$4,1,0))</f>
      </c>
      <c r="CC721" s="77">
        <f t="shared" si="176"/>
      </c>
      <c r="CD721" s="77">
        <f>IF($A721="",0,IF($D721='FICHA VEHICULO'!$C$4,1,0))</f>
      </c>
      <c r="CE721" s="77">
        <f t="shared" si="177"/>
      </c>
      <c r="CF721" s="77">
        <f t="shared" si="178"/>
      </c>
      <c r="CG721" s="77">
        <f t="shared" si="179"/>
      </c>
    </row>
    <row r="722" spans="1:85" ht="19.5" customHeight="1" x14ac:dyDescent="0.2">
      <c r="A722" s="104"/>
      <c r="B722" s="104"/>
      <c r="C722" s="105"/>
      <c r="D722" s="104"/>
      <c r="E722" s="105"/>
      <c r="F722" s="106"/>
      <c r="G722" s="104"/>
      <c r="H722" s="106"/>
      <c r="I722" s="107"/>
      <c r="J722" s="108"/>
      <c r="K722" s="108"/>
      <c r="L722" s="108"/>
      <c r="M722" s="105"/>
      <c r="N722" s="105"/>
      <c r="O722" s="105"/>
      <c r="P722" s="108"/>
      <c r="Q722" s="105"/>
      <c r="R722" s="105"/>
      <c r="S722" s="105"/>
      <c r="T722" s="105"/>
      <c r="U722" s="108"/>
      <c r="V722" s="105"/>
      <c r="W722" s="105"/>
      <c r="X722" s="105"/>
      <c r="Y722" s="105"/>
      <c r="Z722" s="105"/>
      <c r="AA722" s="108"/>
      <c r="AB722" s="108"/>
      <c r="AC722" s="105"/>
      <c r="AD722" s="279"/>
      <c r="AE722" s="105"/>
      <c r="AF722" s="279"/>
      <c r="AG722" s="105"/>
      <c r="AH722" s="108"/>
      <c r="AI722" s="108"/>
      <c r="AJ722" s="108"/>
      <c r="AK722" s="108"/>
      <c r="AL722" s="105"/>
      <c r="AM722" s="108"/>
      <c r="AN722" s="105"/>
      <c r="AO722" s="108"/>
      <c r="AP722" s="108"/>
      <c r="AQ722" s="105"/>
      <c r="AR722" s="108"/>
      <c r="AS722" s="108"/>
      <c r="AT722" s="105"/>
      <c r="AU722" s="105"/>
      <c r="AV722" s="105"/>
      <c r="AW722" s="105"/>
      <c r="AX722" s="105"/>
      <c r="AY722" s="105"/>
      <c r="AZ722" s="105"/>
      <c r="BA722" s="105"/>
      <c r="BB722" s="105"/>
      <c r="BC722" s="105"/>
      <c r="BD722" s="108"/>
      <c r="BE722" s="83">
        <f>IF($A722="","",IF(TRIM($D722&amp;"")="",IF(TRIM($AX722&amp;$AY722&amp;$AZ722&amp;$BA722&amp;$BB722&amp;$BC722&amp;$BD722&amp;"")="","","SUBARRENDADO"),IFERROR(IF(VLOOKUP($D722,VEHICULOS!$A$3:$H$202,7,FALSE)="","",VLOOKUP($D722,VEHICULOS!$A$3:$H$202,7,FALSE)),"")))</f>
      </c>
      <c r="BF722" s="82">
        <f>IF($A722="","",IF(TRIM($BC722&amp;"")&lt;&gt;"",$BC722,IF(TRIM($D722&amp;"")="","",IFERROR(IF(VLOOKUP($D722,VEHICULOS!$A$3:$H$202,8,FALSE)="","",VLOOKUP($D722,VEHICULOS!$A$3:$H$202,8,FALSE)),""))))</f>
      </c>
      <c r="BG722" s="106"/>
      <c r="BH722" s="107"/>
      <c r="BI722" s="86">
        <f t="shared" si="165"/>
      </c>
      <c r="BJ722" s="83">
        <f t="shared" si="166"/>
      </c>
      <c r="BK722" s="85">
        <f t="shared" si="167"/>
      </c>
      <c r="BL722" s="85">
        <f t="shared" si="168"/>
      </c>
      <c r="BM722" s="108"/>
      <c r="BN722" s="85">
        <f t="shared" si="169"/>
      </c>
      <c r="BO722" s="108"/>
      <c r="BP722" s="85">
        <f t="shared" si="170"/>
      </c>
      <c r="BQ722" s="85">
        <f t="shared" si="171"/>
      </c>
      <c r="BR722" s="108"/>
      <c r="BS722" s="104"/>
      <c r="BT722" s="87">
        <f t="shared" si="172"/>
      </c>
      <c r="BU722" s="85">
        <f t="shared" si="173"/>
      </c>
      <c r="BV722" s="85">
        <f t="shared" si="174"/>
      </c>
      <c r="BW722" s="87">
        <f t="shared" si="175"/>
      </c>
      <c r="BX722" s="104"/>
      <c r="BY722" s="106"/>
      <c r="BZ722" s="104"/>
      <c r="CA722" s="105"/>
      <c r="CB722" s="77">
        <f>IF($A722="",0,IF($B722='FICHA CLIENTE'!$C$4,1,0))</f>
      </c>
      <c r="CC722" s="77">
        <f t="shared" si="176"/>
      </c>
      <c r="CD722" s="77">
        <f>IF($A722="",0,IF($D722='FICHA VEHICULO'!$C$4,1,0))</f>
      </c>
      <c r="CE722" s="77">
        <f t="shared" si="177"/>
      </c>
      <c r="CF722" s="77">
        <f t="shared" si="178"/>
      </c>
      <c r="CG722" s="77">
        <f t="shared" si="179"/>
      </c>
    </row>
    <row r="723" spans="1:85" ht="19.5" customHeight="1" x14ac:dyDescent="0.2">
      <c r="A723" s="104"/>
      <c r="B723" s="104"/>
      <c r="C723" s="105"/>
      <c r="D723" s="104"/>
      <c r="E723" s="105"/>
      <c r="F723" s="106"/>
      <c r="G723" s="104"/>
      <c r="H723" s="106"/>
      <c r="I723" s="107"/>
      <c r="J723" s="108"/>
      <c r="K723" s="108"/>
      <c r="L723" s="108"/>
      <c r="M723" s="105"/>
      <c r="N723" s="105"/>
      <c r="O723" s="105"/>
      <c r="P723" s="108"/>
      <c r="Q723" s="105"/>
      <c r="R723" s="105"/>
      <c r="S723" s="105"/>
      <c r="T723" s="105"/>
      <c r="U723" s="108"/>
      <c r="V723" s="105"/>
      <c r="W723" s="105"/>
      <c r="X723" s="105"/>
      <c r="Y723" s="105"/>
      <c r="Z723" s="105"/>
      <c r="AA723" s="108"/>
      <c r="AB723" s="108"/>
      <c r="AC723" s="105"/>
      <c r="AD723" s="279"/>
      <c r="AE723" s="105"/>
      <c r="AF723" s="279"/>
      <c r="AG723" s="105"/>
      <c r="AH723" s="108"/>
      <c r="AI723" s="108"/>
      <c r="AJ723" s="108"/>
      <c r="AK723" s="108"/>
      <c r="AL723" s="105"/>
      <c r="AM723" s="108"/>
      <c r="AN723" s="105"/>
      <c r="AO723" s="108"/>
      <c r="AP723" s="108"/>
      <c r="AQ723" s="105"/>
      <c r="AR723" s="108"/>
      <c r="AS723" s="108"/>
      <c r="AT723" s="105"/>
      <c r="AU723" s="105"/>
      <c r="AV723" s="105"/>
      <c r="AW723" s="105"/>
      <c r="AX723" s="105"/>
      <c r="AY723" s="105"/>
      <c r="AZ723" s="105"/>
      <c r="BA723" s="105"/>
      <c r="BB723" s="105"/>
      <c r="BC723" s="105"/>
      <c r="BD723" s="108"/>
      <c r="BE723" s="83">
        <f>IF($A723="","",IF(TRIM($D723&amp;"")="",IF(TRIM($AX723&amp;$AY723&amp;$AZ723&amp;$BA723&amp;$BB723&amp;$BC723&amp;$BD723&amp;"")="","","SUBARRENDADO"),IFERROR(IF(VLOOKUP($D723,VEHICULOS!$A$3:$H$202,7,FALSE)="","",VLOOKUP($D723,VEHICULOS!$A$3:$H$202,7,FALSE)),"")))</f>
      </c>
      <c r="BF723" s="82">
        <f>IF($A723="","",IF(TRIM($BC723&amp;"")&lt;&gt;"",$BC723,IF(TRIM($D723&amp;"")="","",IFERROR(IF(VLOOKUP($D723,VEHICULOS!$A$3:$H$202,8,FALSE)="","",VLOOKUP($D723,VEHICULOS!$A$3:$H$202,8,FALSE)),""))))</f>
      </c>
      <c r="BG723" s="106"/>
      <c r="BH723" s="107"/>
      <c r="BI723" s="86">
        <f t="shared" si="165"/>
      </c>
      <c r="BJ723" s="83">
        <f t="shared" si="166"/>
      </c>
      <c r="BK723" s="85">
        <f t="shared" si="167"/>
      </c>
      <c r="BL723" s="85">
        <f t="shared" si="168"/>
      </c>
      <c r="BM723" s="108"/>
      <c r="BN723" s="85">
        <f t="shared" si="169"/>
      </c>
      <c r="BO723" s="108"/>
      <c r="BP723" s="85">
        <f t="shared" si="170"/>
      </c>
      <c r="BQ723" s="85">
        <f t="shared" si="171"/>
      </c>
      <c r="BR723" s="108"/>
      <c r="BS723" s="104"/>
      <c r="BT723" s="87">
        <f t="shared" si="172"/>
      </c>
      <c r="BU723" s="85">
        <f t="shared" si="173"/>
      </c>
      <c r="BV723" s="85">
        <f t="shared" si="174"/>
      </c>
      <c r="BW723" s="87">
        <f t="shared" si="175"/>
      </c>
      <c r="BX723" s="104"/>
      <c r="BY723" s="106"/>
      <c r="BZ723" s="104"/>
      <c r="CA723" s="105"/>
      <c r="CB723" s="77">
        <f>IF($A723="",0,IF($B723='FICHA CLIENTE'!$C$4,1,0))</f>
      </c>
      <c r="CC723" s="77">
        <f t="shared" si="176"/>
      </c>
      <c r="CD723" s="77">
        <f>IF($A723="",0,IF($D723='FICHA VEHICULO'!$C$4,1,0))</f>
      </c>
      <c r="CE723" s="77">
        <f t="shared" si="177"/>
      </c>
      <c r="CF723" s="77">
        <f t="shared" si="178"/>
      </c>
      <c r="CG723" s="77">
        <f t="shared" si="179"/>
      </c>
    </row>
    <row r="724" spans="1:85" ht="19.5" customHeight="1" x14ac:dyDescent="0.2">
      <c r="A724" s="104"/>
      <c r="B724" s="104"/>
      <c r="C724" s="105"/>
      <c r="D724" s="104"/>
      <c r="E724" s="105"/>
      <c r="F724" s="106"/>
      <c r="G724" s="104"/>
      <c r="H724" s="106"/>
      <c r="I724" s="107"/>
      <c r="J724" s="108"/>
      <c r="K724" s="108"/>
      <c r="L724" s="108"/>
      <c r="M724" s="105"/>
      <c r="N724" s="105"/>
      <c r="O724" s="105"/>
      <c r="P724" s="108"/>
      <c r="Q724" s="105"/>
      <c r="R724" s="105"/>
      <c r="S724" s="105"/>
      <c r="T724" s="105"/>
      <c r="U724" s="108"/>
      <c r="V724" s="105"/>
      <c r="W724" s="105"/>
      <c r="X724" s="105"/>
      <c r="Y724" s="105"/>
      <c r="Z724" s="105"/>
      <c r="AA724" s="108"/>
      <c r="AB724" s="108"/>
      <c r="AC724" s="105"/>
      <c r="AD724" s="279"/>
      <c r="AE724" s="105"/>
      <c r="AF724" s="279"/>
      <c r="AG724" s="105"/>
      <c r="AH724" s="108"/>
      <c r="AI724" s="108"/>
      <c r="AJ724" s="108"/>
      <c r="AK724" s="108"/>
      <c r="AL724" s="105"/>
      <c r="AM724" s="108"/>
      <c r="AN724" s="105"/>
      <c r="AO724" s="108"/>
      <c r="AP724" s="108"/>
      <c r="AQ724" s="105"/>
      <c r="AR724" s="108"/>
      <c r="AS724" s="108"/>
      <c r="AT724" s="105"/>
      <c r="AU724" s="105"/>
      <c r="AV724" s="105"/>
      <c r="AW724" s="105"/>
      <c r="AX724" s="105"/>
      <c r="AY724" s="105"/>
      <c r="AZ724" s="105"/>
      <c r="BA724" s="105"/>
      <c r="BB724" s="105"/>
      <c r="BC724" s="105"/>
      <c r="BD724" s="108"/>
      <c r="BE724" s="83">
        <f>IF($A724="","",IF(TRIM($D724&amp;"")="",IF(TRIM($AX724&amp;$AY724&amp;$AZ724&amp;$BA724&amp;$BB724&amp;$BC724&amp;$BD724&amp;"")="","","SUBARRENDADO"),IFERROR(IF(VLOOKUP($D724,VEHICULOS!$A$3:$H$202,7,FALSE)="","",VLOOKUP($D724,VEHICULOS!$A$3:$H$202,7,FALSE)),"")))</f>
      </c>
      <c r="BF724" s="82">
        <f>IF($A724="","",IF(TRIM($BC724&amp;"")&lt;&gt;"",$BC724,IF(TRIM($D724&amp;"")="","",IFERROR(IF(VLOOKUP($D724,VEHICULOS!$A$3:$H$202,8,FALSE)="","",VLOOKUP($D724,VEHICULOS!$A$3:$H$202,8,FALSE)),""))))</f>
      </c>
      <c r="BG724" s="106"/>
      <c r="BH724" s="107"/>
      <c r="BI724" s="86">
        <f t="shared" si="165"/>
      </c>
      <c r="BJ724" s="83">
        <f t="shared" si="166"/>
      </c>
      <c r="BK724" s="85">
        <f t="shared" si="167"/>
      </c>
      <c r="BL724" s="85">
        <f t="shared" si="168"/>
      </c>
      <c r="BM724" s="108"/>
      <c r="BN724" s="85">
        <f t="shared" si="169"/>
      </c>
      <c r="BO724" s="108"/>
      <c r="BP724" s="85">
        <f t="shared" si="170"/>
      </c>
      <c r="BQ724" s="85">
        <f t="shared" si="171"/>
      </c>
      <c r="BR724" s="108"/>
      <c r="BS724" s="104"/>
      <c r="BT724" s="87">
        <f t="shared" si="172"/>
      </c>
      <c r="BU724" s="85">
        <f t="shared" si="173"/>
      </c>
      <c r="BV724" s="85">
        <f t="shared" si="174"/>
      </c>
      <c r="BW724" s="87">
        <f t="shared" si="175"/>
      </c>
      <c r="BX724" s="104"/>
      <c r="BY724" s="106"/>
      <c r="BZ724" s="104"/>
      <c r="CA724" s="105"/>
      <c r="CB724" s="77">
        <f>IF($A724="",0,IF($B724='FICHA CLIENTE'!$C$4,1,0))</f>
      </c>
      <c r="CC724" s="77">
        <f t="shared" si="176"/>
      </c>
      <c r="CD724" s="77">
        <f>IF($A724="",0,IF($D724='FICHA VEHICULO'!$C$4,1,0))</f>
      </c>
      <c r="CE724" s="77">
        <f t="shared" si="177"/>
      </c>
      <c r="CF724" s="77">
        <f t="shared" si="178"/>
      </c>
      <c r="CG724" s="77">
        <f t="shared" si="179"/>
      </c>
    </row>
    <row r="725" spans="1:85" ht="19.5" customHeight="1" x14ac:dyDescent="0.2">
      <c r="A725" s="104"/>
      <c r="B725" s="104"/>
      <c r="C725" s="105"/>
      <c r="D725" s="104"/>
      <c r="E725" s="105"/>
      <c r="F725" s="106"/>
      <c r="G725" s="104"/>
      <c r="H725" s="106"/>
      <c r="I725" s="107"/>
      <c r="J725" s="108"/>
      <c r="K725" s="108"/>
      <c r="L725" s="108"/>
      <c r="M725" s="105"/>
      <c r="N725" s="105"/>
      <c r="O725" s="105"/>
      <c r="P725" s="108"/>
      <c r="Q725" s="105"/>
      <c r="R725" s="105"/>
      <c r="S725" s="105"/>
      <c r="T725" s="105"/>
      <c r="U725" s="108"/>
      <c r="V725" s="105"/>
      <c r="W725" s="105"/>
      <c r="X725" s="105"/>
      <c r="Y725" s="105"/>
      <c r="Z725" s="105"/>
      <c r="AA725" s="108"/>
      <c r="AB725" s="108"/>
      <c r="AC725" s="105"/>
      <c r="AD725" s="279"/>
      <c r="AE725" s="105"/>
      <c r="AF725" s="279"/>
      <c r="AG725" s="105"/>
      <c r="AH725" s="108"/>
      <c r="AI725" s="108"/>
      <c r="AJ725" s="108"/>
      <c r="AK725" s="108"/>
      <c r="AL725" s="105"/>
      <c r="AM725" s="108"/>
      <c r="AN725" s="105"/>
      <c r="AO725" s="108"/>
      <c r="AP725" s="108"/>
      <c r="AQ725" s="105"/>
      <c r="AR725" s="108"/>
      <c r="AS725" s="108"/>
      <c r="AT725" s="105"/>
      <c r="AU725" s="105"/>
      <c r="AV725" s="105"/>
      <c r="AW725" s="105"/>
      <c r="AX725" s="105"/>
      <c r="AY725" s="105"/>
      <c r="AZ725" s="105"/>
      <c r="BA725" s="105"/>
      <c r="BB725" s="105"/>
      <c r="BC725" s="105"/>
      <c r="BD725" s="108"/>
      <c r="BE725" s="83">
        <f>IF($A725="","",IF(TRIM($D725&amp;"")="",IF(TRIM($AX725&amp;$AY725&amp;$AZ725&amp;$BA725&amp;$BB725&amp;$BC725&amp;$BD725&amp;"")="","","SUBARRENDADO"),IFERROR(IF(VLOOKUP($D725,VEHICULOS!$A$3:$H$202,7,FALSE)="","",VLOOKUP($D725,VEHICULOS!$A$3:$H$202,7,FALSE)),"")))</f>
      </c>
      <c r="BF725" s="82">
        <f>IF($A725="","",IF(TRIM($BC725&amp;"")&lt;&gt;"",$BC725,IF(TRIM($D725&amp;"")="","",IFERROR(IF(VLOOKUP($D725,VEHICULOS!$A$3:$H$202,8,FALSE)="","",VLOOKUP($D725,VEHICULOS!$A$3:$H$202,8,FALSE)),""))))</f>
      </c>
      <c r="BG725" s="106"/>
      <c r="BH725" s="107"/>
      <c r="BI725" s="86">
        <f t="shared" si="165"/>
      </c>
      <c r="BJ725" s="83">
        <f t="shared" si="166"/>
      </c>
      <c r="BK725" s="85">
        <f t="shared" si="167"/>
      </c>
      <c r="BL725" s="85">
        <f t="shared" si="168"/>
      </c>
      <c r="BM725" s="108"/>
      <c r="BN725" s="85">
        <f t="shared" si="169"/>
      </c>
      <c r="BO725" s="108"/>
      <c r="BP725" s="85">
        <f t="shared" si="170"/>
      </c>
      <c r="BQ725" s="85">
        <f t="shared" si="171"/>
      </c>
      <c r="BR725" s="108"/>
      <c r="BS725" s="104"/>
      <c r="BT725" s="87">
        <f t="shared" si="172"/>
      </c>
      <c r="BU725" s="85">
        <f t="shared" si="173"/>
      </c>
      <c r="BV725" s="85">
        <f t="shared" si="174"/>
      </c>
      <c r="BW725" s="87">
        <f t="shared" si="175"/>
      </c>
      <c r="BX725" s="104"/>
      <c r="BY725" s="106"/>
      <c r="BZ725" s="104"/>
      <c r="CA725" s="105"/>
      <c r="CB725" s="77">
        <f>IF($A725="",0,IF($B725='FICHA CLIENTE'!$C$4,1,0))</f>
      </c>
      <c r="CC725" s="77">
        <f t="shared" si="176"/>
      </c>
      <c r="CD725" s="77">
        <f>IF($A725="",0,IF($D725='FICHA VEHICULO'!$C$4,1,0))</f>
      </c>
      <c r="CE725" s="77">
        <f t="shared" si="177"/>
      </c>
      <c r="CF725" s="77">
        <f t="shared" si="178"/>
      </c>
      <c r="CG725" s="77">
        <f t="shared" si="179"/>
      </c>
    </row>
    <row r="726" spans="1:85" ht="19.5" customHeight="1" x14ac:dyDescent="0.2">
      <c r="A726" s="104"/>
      <c r="B726" s="104"/>
      <c r="C726" s="105"/>
      <c r="D726" s="104"/>
      <c r="E726" s="105"/>
      <c r="F726" s="106"/>
      <c r="G726" s="104"/>
      <c r="H726" s="106"/>
      <c r="I726" s="107"/>
      <c r="J726" s="108"/>
      <c r="K726" s="108"/>
      <c r="L726" s="108"/>
      <c r="M726" s="105"/>
      <c r="N726" s="105"/>
      <c r="O726" s="105"/>
      <c r="P726" s="108"/>
      <c r="Q726" s="105"/>
      <c r="R726" s="105"/>
      <c r="S726" s="105"/>
      <c r="T726" s="105"/>
      <c r="U726" s="108"/>
      <c r="V726" s="105"/>
      <c r="W726" s="105"/>
      <c r="X726" s="105"/>
      <c r="Y726" s="105"/>
      <c r="Z726" s="105"/>
      <c r="AA726" s="108"/>
      <c r="AB726" s="108"/>
      <c r="AC726" s="105"/>
      <c r="AD726" s="279"/>
      <c r="AE726" s="105"/>
      <c r="AF726" s="279"/>
      <c r="AG726" s="105"/>
      <c r="AH726" s="108"/>
      <c r="AI726" s="108"/>
      <c r="AJ726" s="108"/>
      <c r="AK726" s="108"/>
      <c r="AL726" s="105"/>
      <c r="AM726" s="108"/>
      <c r="AN726" s="105"/>
      <c r="AO726" s="108"/>
      <c r="AP726" s="108"/>
      <c r="AQ726" s="105"/>
      <c r="AR726" s="108"/>
      <c r="AS726" s="108"/>
      <c r="AT726" s="105"/>
      <c r="AU726" s="105"/>
      <c r="AV726" s="105"/>
      <c r="AW726" s="105"/>
      <c r="AX726" s="105"/>
      <c r="AY726" s="105"/>
      <c r="AZ726" s="105"/>
      <c r="BA726" s="105"/>
      <c r="BB726" s="105"/>
      <c r="BC726" s="105"/>
      <c r="BD726" s="108"/>
      <c r="BE726" s="83">
        <f>IF($A726="","",IF(TRIM($D726&amp;"")="",IF(TRIM($AX726&amp;$AY726&amp;$AZ726&amp;$BA726&amp;$BB726&amp;$BC726&amp;$BD726&amp;"")="","","SUBARRENDADO"),IFERROR(IF(VLOOKUP($D726,VEHICULOS!$A$3:$H$202,7,FALSE)="","",VLOOKUP($D726,VEHICULOS!$A$3:$H$202,7,FALSE)),"")))</f>
      </c>
      <c r="BF726" s="82">
        <f>IF($A726="","",IF(TRIM($BC726&amp;"")&lt;&gt;"",$BC726,IF(TRIM($D726&amp;"")="","",IFERROR(IF(VLOOKUP($D726,VEHICULOS!$A$3:$H$202,8,FALSE)="","",VLOOKUP($D726,VEHICULOS!$A$3:$H$202,8,FALSE)),""))))</f>
      </c>
      <c r="BG726" s="106"/>
      <c r="BH726" s="107"/>
      <c r="BI726" s="86">
        <f t="shared" si="165"/>
      </c>
      <c r="BJ726" s="83">
        <f t="shared" si="166"/>
      </c>
      <c r="BK726" s="85">
        <f t="shared" si="167"/>
      </c>
      <c r="BL726" s="85">
        <f t="shared" si="168"/>
      </c>
      <c r="BM726" s="108"/>
      <c r="BN726" s="85">
        <f t="shared" si="169"/>
      </c>
      <c r="BO726" s="108"/>
      <c r="BP726" s="85">
        <f t="shared" si="170"/>
      </c>
      <c r="BQ726" s="85">
        <f t="shared" si="171"/>
      </c>
      <c r="BR726" s="108"/>
      <c r="BS726" s="104"/>
      <c r="BT726" s="87">
        <f t="shared" si="172"/>
      </c>
      <c r="BU726" s="85">
        <f t="shared" si="173"/>
      </c>
      <c r="BV726" s="85">
        <f t="shared" si="174"/>
      </c>
      <c r="BW726" s="87">
        <f t="shared" si="175"/>
      </c>
      <c r="BX726" s="104"/>
      <c r="BY726" s="106"/>
      <c r="BZ726" s="104"/>
      <c r="CA726" s="105"/>
      <c r="CB726" s="77">
        <f>IF($A726="",0,IF($B726='FICHA CLIENTE'!$C$4,1,0))</f>
      </c>
      <c r="CC726" s="77">
        <f t="shared" si="176"/>
      </c>
      <c r="CD726" s="77">
        <f>IF($A726="",0,IF($D726='FICHA VEHICULO'!$C$4,1,0))</f>
      </c>
      <c r="CE726" s="77">
        <f t="shared" si="177"/>
      </c>
      <c r="CF726" s="77">
        <f t="shared" si="178"/>
      </c>
      <c r="CG726" s="77">
        <f t="shared" si="179"/>
      </c>
    </row>
    <row r="727" spans="1:85" ht="19.5" customHeight="1" x14ac:dyDescent="0.2">
      <c r="A727" s="104"/>
      <c r="B727" s="104"/>
      <c r="C727" s="105"/>
      <c r="D727" s="104"/>
      <c r="E727" s="105"/>
      <c r="F727" s="106"/>
      <c r="G727" s="104"/>
      <c r="H727" s="106"/>
      <c r="I727" s="107"/>
      <c r="J727" s="108"/>
      <c r="K727" s="108"/>
      <c r="L727" s="108"/>
      <c r="M727" s="105"/>
      <c r="N727" s="105"/>
      <c r="O727" s="105"/>
      <c r="P727" s="108"/>
      <c r="Q727" s="105"/>
      <c r="R727" s="105"/>
      <c r="S727" s="105"/>
      <c r="T727" s="105"/>
      <c r="U727" s="108"/>
      <c r="V727" s="105"/>
      <c r="W727" s="105"/>
      <c r="X727" s="105"/>
      <c r="Y727" s="105"/>
      <c r="Z727" s="105"/>
      <c r="AA727" s="108"/>
      <c r="AB727" s="108"/>
      <c r="AC727" s="105"/>
      <c r="AD727" s="279"/>
      <c r="AE727" s="105"/>
      <c r="AF727" s="279"/>
      <c r="AG727" s="105"/>
      <c r="AH727" s="108"/>
      <c r="AI727" s="108"/>
      <c r="AJ727" s="108"/>
      <c r="AK727" s="108"/>
      <c r="AL727" s="105"/>
      <c r="AM727" s="108"/>
      <c r="AN727" s="105"/>
      <c r="AO727" s="108"/>
      <c r="AP727" s="108"/>
      <c r="AQ727" s="105"/>
      <c r="AR727" s="108"/>
      <c r="AS727" s="108"/>
      <c r="AT727" s="105"/>
      <c r="AU727" s="105"/>
      <c r="AV727" s="105"/>
      <c r="AW727" s="105"/>
      <c r="AX727" s="105"/>
      <c r="AY727" s="105"/>
      <c r="AZ727" s="105"/>
      <c r="BA727" s="105"/>
      <c r="BB727" s="105"/>
      <c r="BC727" s="105"/>
      <c r="BD727" s="108"/>
      <c r="BE727" s="83">
        <f>IF($A727="","",IF(TRIM($D727&amp;"")="",IF(TRIM($AX727&amp;$AY727&amp;$AZ727&amp;$BA727&amp;$BB727&amp;$BC727&amp;$BD727&amp;"")="","","SUBARRENDADO"),IFERROR(IF(VLOOKUP($D727,VEHICULOS!$A$3:$H$202,7,FALSE)="","",VLOOKUP($D727,VEHICULOS!$A$3:$H$202,7,FALSE)),"")))</f>
      </c>
      <c r="BF727" s="82">
        <f>IF($A727="","",IF(TRIM($BC727&amp;"")&lt;&gt;"",$BC727,IF(TRIM($D727&amp;"")="","",IFERROR(IF(VLOOKUP($D727,VEHICULOS!$A$3:$H$202,8,FALSE)="","",VLOOKUP($D727,VEHICULOS!$A$3:$H$202,8,FALSE)),""))))</f>
      </c>
      <c r="BG727" s="106"/>
      <c r="BH727" s="107"/>
      <c r="BI727" s="86">
        <f t="shared" si="165"/>
      </c>
      <c r="BJ727" s="83">
        <f t="shared" si="166"/>
      </c>
      <c r="BK727" s="85">
        <f t="shared" si="167"/>
      </c>
      <c r="BL727" s="85">
        <f t="shared" si="168"/>
      </c>
      <c r="BM727" s="108"/>
      <c r="BN727" s="85">
        <f t="shared" si="169"/>
      </c>
      <c r="BO727" s="108"/>
      <c r="BP727" s="85">
        <f t="shared" si="170"/>
      </c>
      <c r="BQ727" s="85">
        <f t="shared" si="171"/>
      </c>
      <c r="BR727" s="108"/>
      <c r="BS727" s="104"/>
      <c r="BT727" s="87">
        <f t="shared" si="172"/>
      </c>
      <c r="BU727" s="85">
        <f t="shared" si="173"/>
      </c>
      <c r="BV727" s="85">
        <f t="shared" si="174"/>
      </c>
      <c r="BW727" s="87">
        <f t="shared" si="175"/>
      </c>
      <c r="BX727" s="104"/>
      <c r="BY727" s="106"/>
      <c r="BZ727" s="104"/>
      <c r="CA727" s="105"/>
      <c r="CB727" s="77">
        <f>IF($A727="",0,IF($B727='FICHA CLIENTE'!$C$4,1,0))</f>
      </c>
      <c r="CC727" s="77">
        <f t="shared" si="176"/>
      </c>
      <c r="CD727" s="77">
        <f>IF($A727="",0,IF($D727='FICHA VEHICULO'!$C$4,1,0))</f>
      </c>
      <c r="CE727" s="77">
        <f t="shared" si="177"/>
      </c>
      <c r="CF727" s="77">
        <f t="shared" si="178"/>
      </c>
      <c r="CG727" s="77">
        <f t="shared" si="179"/>
      </c>
    </row>
    <row r="728" spans="1:85" ht="19.5" customHeight="1" x14ac:dyDescent="0.2">
      <c r="A728" s="104"/>
      <c r="B728" s="104"/>
      <c r="C728" s="105"/>
      <c r="D728" s="104"/>
      <c r="E728" s="105"/>
      <c r="F728" s="106"/>
      <c r="G728" s="104"/>
      <c r="H728" s="106"/>
      <c r="I728" s="107"/>
      <c r="J728" s="108"/>
      <c r="K728" s="108"/>
      <c r="L728" s="108"/>
      <c r="M728" s="105"/>
      <c r="N728" s="105"/>
      <c r="O728" s="105"/>
      <c r="P728" s="108"/>
      <c r="Q728" s="105"/>
      <c r="R728" s="105"/>
      <c r="S728" s="105"/>
      <c r="T728" s="105"/>
      <c r="U728" s="108"/>
      <c r="V728" s="105"/>
      <c r="W728" s="105"/>
      <c r="X728" s="105"/>
      <c r="Y728" s="105"/>
      <c r="Z728" s="105"/>
      <c r="AA728" s="108"/>
      <c r="AB728" s="108"/>
      <c r="AC728" s="105"/>
      <c r="AD728" s="279"/>
      <c r="AE728" s="105"/>
      <c r="AF728" s="279"/>
      <c r="AG728" s="105"/>
      <c r="AH728" s="108"/>
      <c r="AI728" s="108"/>
      <c r="AJ728" s="108"/>
      <c r="AK728" s="108"/>
      <c r="AL728" s="105"/>
      <c r="AM728" s="108"/>
      <c r="AN728" s="105"/>
      <c r="AO728" s="108"/>
      <c r="AP728" s="108"/>
      <c r="AQ728" s="105"/>
      <c r="AR728" s="108"/>
      <c r="AS728" s="108"/>
      <c r="AT728" s="105"/>
      <c r="AU728" s="105"/>
      <c r="AV728" s="105"/>
      <c r="AW728" s="105"/>
      <c r="AX728" s="105"/>
      <c r="AY728" s="105"/>
      <c r="AZ728" s="105"/>
      <c r="BA728" s="105"/>
      <c r="BB728" s="105"/>
      <c r="BC728" s="105"/>
      <c r="BD728" s="108"/>
      <c r="BE728" s="83">
        <f>IF($A728="","",IF(TRIM($D728&amp;"")="",IF(TRIM($AX728&amp;$AY728&amp;$AZ728&amp;$BA728&amp;$BB728&amp;$BC728&amp;$BD728&amp;"")="","","SUBARRENDADO"),IFERROR(IF(VLOOKUP($D728,VEHICULOS!$A$3:$H$202,7,FALSE)="","",VLOOKUP($D728,VEHICULOS!$A$3:$H$202,7,FALSE)),"")))</f>
      </c>
      <c r="BF728" s="82">
        <f>IF($A728="","",IF(TRIM($BC728&amp;"")&lt;&gt;"",$BC728,IF(TRIM($D728&amp;"")="","",IFERROR(IF(VLOOKUP($D728,VEHICULOS!$A$3:$H$202,8,FALSE)="","",VLOOKUP($D728,VEHICULOS!$A$3:$H$202,8,FALSE)),""))))</f>
      </c>
      <c r="BG728" s="106"/>
      <c r="BH728" s="107"/>
      <c r="BI728" s="86">
        <f t="shared" si="165"/>
      </c>
      <c r="BJ728" s="83">
        <f t="shared" si="166"/>
      </c>
      <c r="BK728" s="85">
        <f t="shared" si="167"/>
      </c>
      <c r="BL728" s="85">
        <f t="shared" si="168"/>
      </c>
      <c r="BM728" s="108"/>
      <c r="BN728" s="85">
        <f t="shared" si="169"/>
      </c>
      <c r="BO728" s="108"/>
      <c r="BP728" s="85">
        <f t="shared" si="170"/>
      </c>
      <c r="BQ728" s="85">
        <f t="shared" si="171"/>
      </c>
      <c r="BR728" s="108"/>
      <c r="BS728" s="104"/>
      <c r="BT728" s="87">
        <f t="shared" si="172"/>
      </c>
      <c r="BU728" s="85">
        <f t="shared" si="173"/>
      </c>
      <c r="BV728" s="85">
        <f t="shared" si="174"/>
      </c>
      <c r="BW728" s="87">
        <f t="shared" si="175"/>
      </c>
      <c r="BX728" s="104"/>
      <c r="BY728" s="106"/>
      <c r="BZ728" s="104"/>
      <c r="CA728" s="105"/>
      <c r="CB728" s="77">
        <f>IF($A728="",0,IF($B728='FICHA CLIENTE'!$C$4,1,0))</f>
      </c>
      <c r="CC728" s="77">
        <f t="shared" si="176"/>
      </c>
      <c r="CD728" s="77">
        <f>IF($A728="",0,IF($D728='FICHA VEHICULO'!$C$4,1,0))</f>
      </c>
      <c r="CE728" s="77">
        <f t="shared" si="177"/>
      </c>
      <c r="CF728" s="77">
        <f t="shared" si="178"/>
      </c>
      <c r="CG728" s="77">
        <f t="shared" si="179"/>
      </c>
    </row>
    <row r="729" spans="1:85" ht="19.5" customHeight="1" x14ac:dyDescent="0.2">
      <c r="A729" s="104"/>
      <c r="B729" s="104"/>
      <c r="C729" s="105"/>
      <c r="D729" s="104"/>
      <c r="E729" s="105"/>
      <c r="F729" s="106"/>
      <c r="G729" s="104"/>
      <c r="H729" s="106"/>
      <c r="I729" s="107"/>
      <c r="J729" s="108"/>
      <c r="K729" s="108"/>
      <c r="L729" s="108"/>
      <c r="M729" s="105"/>
      <c r="N729" s="105"/>
      <c r="O729" s="105"/>
      <c r="P729" s="108"/>
      <c r="Q729" s="105"/>
      <c r="R729" s="105"/>
      <c r="S729" s="105"/>
      <c r="T729" s="105"/>
      <c r="U729" s="108"/>
      <c r="V729" s="105"/>
      <c r="W729" s="105"/>
      <c r="X729" s="105"/>
      <c r="Y729" s="105"/>
      <c r="Z729" s="105"/>
      <c r="AA729" s="108"/>
      <c r="AB729" s="108"/>
      <c r="AC729" s="105"/>
      <c r="AD729" s="279"/>
      <c r="AE729" s="105"/>
      <c r="AF729" s="279"/>
      <c r="AG729" s="105"/>
      <c r="AH729" s="108"/>
      <c r="AI729" s="108"/>
      <c r="AJ729" s="108"/>
      <c r="AK729" s="108"/>
      <c r="AL729" s="105"/>
      <c r="AM729" s="108"/>
      <c r="AN729" s="105"/>
      <c r="AO729" s="108"/>
      <c r="AP729" s="108"/>
      <c r="AQ729" s="105"/>
      <c r="AR729" s="108"/>
      <c r="AS729" s="108"/>
      <c r="AT729" s="105"/>
      <c r="AU729" s="105"/>
      <c r="AV729" s="105"/>
      <c r="AW729" s="105"/>
      <c r="AX729" s="105"/>
      <c r="AY729" s="105"/>
      <c r="AZ729" s="105"/>
      <c r="BA729" s="105"/>
      <c r="BB729" s="105"/>
      <c r="BC729" s="105"/>
      <c r="BD729" s="108"/>
      <c r="BE729" s="83">
        <f>IF($A729="","",IF(TRIM($D729&amp;"")="",IF(TRIM($AX729&amp;$AY729&amp;$AZ729&amp;$BA729&amp;$BB729&amp;$BC729&amp;$BD729&amp;"")="","","SUBARRENDADO"),IFERROR(IF(VLOOKUP($D729,VEHICULOS!$A$3:$H$202,7,FALSE)="","",VLOOKUP($D729,VEHICULOS!$A$3:$H$202,7,FALSE)),"")))</f>
      </c>
      <c r="BF729" s="82">
        <f>IF($A729="","",IF(TRIM($BC729&amp;"")&lt;&gt;"",$BC729,IF(TRIM($D729&amp;"")="","",IFERROR(IF(VLOOKUP($D729,VEHICULOS!$A$3:$H$202,8,FALSE)="","",VLOOKUP($D729,VEHICULOS!$A$3:$H$202,8,FALSE)),""))))</f>
      </c>
      <c r="BG729" s="106"/>
      <c r="BH729" s="107"/>
      <c r="BI729" s="86">
        <f t="shared" si="165"/>
      </c>
      <c r="BJ729" s="83">
        <f t="shared" si="166"/>
      </c>
      <c r="BK729" s="85">
        <f t="shared" si="167"/>
      </c>
      <c r="BL729" s="85">
        <f t="shared" si="168"/>
      </c>
      <c r="BM729" s="108"/>
      <c r="BN729" s="85">
        <f t="shared" si="169"/>
      </c>
      <c r="BO729" s="108"/>
      <c r="BP729" s="85">
        <f t="shared" si="170"/>
      </c>
      <c r="BQ729" s="85">
        <f t="shared" si="171"/>
      </c>
      <c r="BR729" s="108"/>
      <c r="BS729" s="104"/>
      <c r="BT729" s="87">
        <f t="shared" si="172"/>
      </c>
      <c r="BU729" s="85">
        <f t="shared" si="173"/>
      </c>
      <c r="BV729" s="85">
        <f t="shared" si="174"/>
      </c>
      <c r="BW729" s="87">
        <f t="shared" si="175"/>
      </c>
      <c r="BX729" s="104"/>
      <c r="BY729" s="106"/>
      <c r="BZ729" s="104"/>
      <c r="CA729" s="105"/>
      <c r="CB729" s="77">
        <f>IF($A729="",0,IF($B729='FICHA CLIENTE'!$C$4,1,0))</f>
      </c>
      <c r="CC729" s="77">
        <f t="shared" si="176"/>
      </c>
      <c r="CD729" s="77">
        <f>IF($A729="",0,IF($D729='FICHA VEHICULO'!$C$4,1,0))</f>
      </c>
      <c r="CE729" s="77">
        <f t="shared" si="177"/>
      </c>
      <c r="CF729" s="77">
        <f t="shared" si="178"/>
      </c>
      <c r="CG729" s="77">
        <f t="shared" si="179"/>
      </c>
    </row>
    <row r="730" spans="1:85" ht="19.5" customHeight="1" x14ac:dyDescent="0.2">
      <c r="A730" s="104"/>
      <c r="B730" s="104"/>
      <c r="C730" s="105"/>
      <c r="D730" s="104"/>
      <c r="E730" s="105"/>
      <c r="F730" s="106"/>
      <c r="G730" s="104"/>
      <c r="H730" s="106"/>
      <c r="I730" s="107"/>
      <c r="J730" s="108"/>
      <c r="K730" s="108"/>
      <c r="L730" s="108"/>
      <c r="M730" s="105"/>
      <c r="N730" s="105"/>
      <c r="O730" s="105"/>
      <c r="P730" s="108"/>
      <c r="Q730" s="105"/>
      <c r="R730" s="105"/>
      <c r="S730" s="105"/>
      <c r="T730" s="105"/>
      <c r="U730" s="108"/>
      <c r="V730" s="105"/>
      <c r="W730" s="105"/>
      <c r="X730" s="105"/>
      <c r="Y730" s="105"/>
      <c r="Z730" s="105"/>
      <c r="AA730" s="108"/>
      <c r="AB730" s="108"/>
      <c r="AC730" s="105"/>
      <c r="AD730" s="279"/>
      <c r="AE730" s="105"/>
      <c r="AF730" s="279"/>
      <c r="AG730" s="105"/>
      <c r="AH730" s="108"/>
      <c r="AI730" s="108"/>
      <c r="AJ730" s="108"/>
      <c r="AK730" s="108"/>
      <c r="AL730" s="105"/>
      <c r="AM730" s="108"/>
      <c r="AN730" s="105"/>
      <c r="AO730" s="108"/>
      <c r="AP730" s="108"/>
      <c r="AQ730" s="105"/>
      <c r="AR730" s="108"/>
      <c r="AS730" s="108"/>
      <c r="AT730" s="105"/>
      <c r="AU730" s="105"/>
      <c r="AV730" s="105"/>
      <c r="AW730" s="105"/>
      <c r="AX730" s="105"/>
      <c r="AY730" s="105"/>
      <c r="AZ730" s="105"/>
      <c r="BA730" s="105"/>
      <c r="BB730" s="105"/>
      <c r="BC730" s="105"/>
      <c r="BD730" s="108"/>
      <c r="BE730" s="83">
        <f>IF($A730="","",IF(TRIM($D730&amp;"")="",IF(TRIM($AX730&amp;$AY730&amp;$AZ730&amp;$BA730&amp;$BB730&amp;$BC730&amp;$BD730&amp;"")="","","SUBARRENDADO"),IFERROR(IF(VLOOKUP($D730,VEHICULOS!$A$3:$H$202,7,FALSE)="","",VLOOKUP($D730,VEHICULOS!$A$3:$H$202,7,FALSE)),"")))</f>
      </c>
      <c r="BF730" s="82">
        <f>IF($A730="","",IF(TRIM($BC730&amp;"")&lt;&gt;"",$BC730,IF(TRIM($D730&amp;"")="","",IFERROR(IF(VLOOKUP($D730,VEHICULOS!$A$3:$H$202,8,FALSE)="","",VLOOKUP($D730,VEHICULOS!$A$3:$H$202,8,FALSE)),""))))</f>
      </c>
      <c r="BG730" s="106"/>
      <c r="BH730" s="107"/>
      <c r="BI730" s="86">
        <f t="shared" si="165"/>
      </c>
      <c r="BJ730" s="83">
        <f t="shared" si="166"/>
      </c>
      <c r="BK730" s="85">
        <f t="shared" si="167"/>
      </c>
      <c r="BL730" s="85">
        <f t="shared" si="168"/>
      </c>
      <c r="BM730" s="108"/>
      <c r="BN730" s="85">
        <f t="shared" si="169"/>
      </c>
      <c r="BO730" s="108"/>
      <c r="BP730" s="85">
        <f t="shared" si="170"/>
      </c>
      <c r="BQ730" s="85">
        <f t="shared" si="171"/>
      </c>
      <c r="BR730" s="108"/>
      <c r="BS730" s="104"/>
      <c r="BT730" s="87">
        <f t="shared" si="172"/>
      </c>
      <c r="BU730" s="85">
        <f t="shared" si="173"/>
      </c>
      <c r="BV730" s="85">
        <f t="shared" si="174"/>
      </c>
      <c r="BW730" s="87">
        <f t="shared" si="175"/>
      </c>
      <c r="BX730" s="104"/>
      <c r="BY730" s="106"/>
      <c r="BZ730" s="104"/>
      <c r="CA730" s="105"/>
      <c r="CB730" s="77">
        <f>IF($A730="",0,IF($B730='FICHA CLIENTE'!$C$4,1,0))</f>
      </c>
      <c r="CC730" s="77">
        <f t="shared" si="176"/>
      </c>
      <c r="CD730" s="77">
        <f>IF($A730="",0,IF($D730='FICHA VEHICULO'!$C$4,1,0))</f>
      </c>
      <c r="CE730" s="77">
        <f t="shared" si="177"/>
      </c>
      <c r="CF730" s="77">
        <f t="shared" si="178"/>
      </c>
      <c r="CG730" s="77">
        <f t="shared" si="179"/>
      </c>
    </row>
    <row r="731" spans="1:85" ht="19.5" customHeight="1" x14ac:dyDescent="0.2">
      <c r="A731" s="104"/>
      <c r="B731" s="104"/>
      <c r="C731" s="105"/>
      <c r="D731" s="104"/>
      <c r="E731" s="105"/>
      <c r="F731" s="106"/>
      <c r="G731" s="104"/>
      <c r="H731" s="106"/>
      <c r="I731" s="107"/>
      <c r="J731" s="108"/>
      <c r="K731" s="108"/>
      <c r="L731" s="108"/>
      <c r="M731" s="105"/>
      <c r="N731" s="105"/>
      <c r="O731" s="105"/>
      <c r="P731" s="108"/>
      <c r="Q731" s="105"/>
      <c r="R731" s="105"/>
      <c r="S731" s="105"/>
      <c r="T731" s="105"/>
      <c r="U731" s="108"/>
      <c r="V731" s="105"/>
      <c r="W731" s="105"/>
      <c r="X731" s="105"/>
      <c r="Y731" s="105"/>
      <c r="Z731" s="105"/>
      <c r="AA731" s="108"/>
      <c r="AB731" s="108"/>
      <c r="AC731" s="105"/>
      <c r="AD731" s="279"/>
      <c r="AE731" s="105"/>
      <c r="AF731" s="279"/>
      <c r="AG731" s="105"/>
      <c r="AH731" s="108"/>
      <c r="AI731" s="108"/>
      <c r="AJ731" s="108"/>
      <c r="AK731" s="108"/>
      <c r="AL731" s="105"/>
      <c r="AM731" s="108"/>
      <c r="AN731" s="105"/>
      <c r="AO731" s="108"/>
      <c r="AP731" s="108"/>
      <c r="AQ731" s="105"/>
      <c r="AR731" s="108"/>
      <c r="AS731" s="108"/>
      <c r="AT731" s="105"/>
      <c r="AU731" s="105"/>
      <c r="AV731" s="105"/>
      <c r="AW731" s="105"/>
      <c r="AX731" s="105"/>
      <c r="AY731" s="105"/>
      <c r="AZ731" s="105"/>
      <c r="BA731" s="105"/>
      <c r="BB731" s="105"/>
      <c r="BC731" s="105"/>
      <c r="BD731" s="108"/>
      <c r="BE731" s="83">
        <f>IF($A731="","",IF(TRIM($D731&amp;"")="",IF(TRIM($AX731&amp;$AY731&amp;$AZ731&amp;$BA731&amp;$BB731&amp;$BC731&amp;$BD731&amp;"")="","","SUBARRENDADO"),IFERROR(IF(VLOOKUP($D731,VEHICULOS!$A$3:$H$202,7,FALSE)="","",VLOOKUP($D731,VEHICULOS!$A$3:$H$202,7,FALSE)),"")))</f>
      </c>
      <c r="BF731" s="82">
        <f>IF($A731="","",IF(TRIM($BC731&amp;"")&lt;&gt;"",$BC731,IF(TRIM($D731&amp;"")="","",IFERROR(IF(VLOOKUP($D731,VEHICULOS!$A$3:$H$202,8,FALSE)="","",VLOOKUP($D731,VEHICULOS!$A$3:$H$202,8,FALSE)),""))))</f>
      </c>
      <c r="BG731" s="106"/>
      <c r="BH731" s="107"/>
      <c r="BI731" s="86">
        <f t="shared" si="165"/>
      </c>
      <c r="BJ731" s="83">
        <f t="shared" si="166"/>
      </c>
      <c r="BK731" s="85">
        <f t="shared" si="167"/>
      </c>
      <c r="BL731" s="85">
        <f t="shared" si="168"/>
      </c>
      <c r="BM731" s="108"/>
      <c r="BN731" s="85">
        <f t="shared" si="169"/>
      </c>
      <c r="BO731" s="108"/>
      <c r="BP731" s="85">
        <f t="shared" si="170"/>
      </c>
      <c r="BQ731" s="85">
        <f t="shared" si="171"/>
      </c>
      <c r="BR731" s="108"/>
      <c r="BS731" s="104"/>
      <c r="BT731" s="87">
        <f t="shared" si="172"/>
      </c>
      <c r="BU731" s="85">
        <f t="shared" si="173"/>
      </c>
      <c r="BV731" s="85">
        <f t="shared" si="174"/>
      </c>
      <c r="BW731" s="87">
        <f t="shared" si="175"/>
      </c>
      <c r="BX731" s="104"/>
      <c r="BY731" s="106"/>
      <c r="BZ731" s="104"/>
      <c r="CA731" s="105"/>
      <c r="CB731" s="77">
        <f>IF($A731="",0,IF($B731='FICHA CLIENTE'!$C$4,1,0))</f>
      </c>
      <c r="CC731" s="77">
        <f t="shared" si="176"/>
      </c>
      <c r="CD731" s="77">
        <f>IF($A731="",0,IF($D731='FICHA VEHICULO'!$C$4,1,0))</f>
      </c>
      <c r="CE731" s="77">
        <f t="shared" si="177"/>
      </c>
      <c r="CF731" s="77">
        <f t="shared" si="178"/>
      </c>
      <c r="CG731" s="77">
        <f t="shared" si="179"/>
      </c>
    </row>
    <row r="732" spans="1:85" ht="19.5" customHeight="1" x14ac:dyDescent="0.2">
      <c r="A732" s="104"/>
      <c r="B732" s="104"/>
      <c r="C732" s="105"/>
      <c r="D732" s="104"/>
      <c r="E732" s="105"/>
      <c r="F732" s="106"/>
      <c r="G732" s="104"/>
      <c r="H732" s="106"/>
      <c r="I732" s="107"/>
      <c r="J732" s="108"/>
      <c r="K732" s="108"/>
      <c r="L732" s="108"/>
      <c r="M732" s="105"/>
      <c r="N732" s="105"/>
      <c r="O732" s="105"/>
      <c r="P732" s="108"/>
      <c r="Q732" s="105"/>
      <c r="R732" s="105"/>
      <c r="S732" s="105"/>
      <c r="T732" s="105"/>
      <c r="U732" s="108"/>
      <c r="V732" s="105"/>
      <c r="W732" s="105"/>
      <c r="X732" s="105"/>
      <c r="Y732" s="105"/>
      <c r="Z732" s="105"/>
      <c r="AA732" s="108"/>
      <c r="AB732" s="108"/>
      <c r="AC732" s="105"/>
      <c r="AD732" s="279"/>
      <c r="AE732" s="105"/>
      <c r="AF732" s="279"/>
      <c r="AG732" s="105"/>
      <c r="AH732" s="108"/>
      <c r="AI732" s="108"/>
      <c r="AJ732" s="108"/>
      <c r="AK732" s="108"/>
      <c r="AL732" s="105"/>
      <c r="AM732" s="108"/>
      <c r="AN732" s="105"/>
      <c r="AO732" s="108"/>
      <c r="AP732" s="108"/>
      <c r="AQ732" s="105"/>
      <c r="AR732" s="108"/>
      <c r="AS732" s="108"/>
      <c r="AT732" s="105"/>
      <c r="AU732" s="105"/>
      <c r="AV732" s="105"/>
      <c r="AW732" s="105"/>
      <c r="AX732" s="105"/>
      <c r="AY732" s="105"/>
      <c r="AZ732" s="105"/>
      <c r="BA732" s="105"/>
      <c r="BB732" s="105"/>
      <c r="BC732" s="105"/>
      <c r="BD732" s="108"/>
      <c r="BE732" s="83">
        <f>IF($A732="","",IF(TRIM($D732&amp;"")="",IF(TRIM($AX732&amp;$AY732&amp;$AZ732&amp;$BA732&amp;$BB732&amp;$BC732&amp;$BD732&amp;"")="","","SUBARRENDADO"),IFERROR(IF(VLOOKUP($D732,VEHICULOS!$A$3:$H$202,7,FALSE)="","",VLOOKUP($D732,VEHICULOS!$A$3:$H$202,7,FALSE)),"")))</f>
      </c>
      <c r="BF732" s="82">
        <f>IF($A732="","",IF(TRIM($BC732&amp;"")&lt;&gt;"",$BC732,IF(TRIM($D732&amp;"")="","",IFERROR(IF(VLOOKUP($D732,VEHICULOS!$A$3:$H$202,8,FALSE)="","",VLOOKUP($D732,VEHICULOS!$A$3:$H$202,8,FALSE)),""))))</f>
      </c>
      <c r="BG732" s="106"/>
      <c r="BH732" s="107"/>
      <c r="BI732" s="86">
        <f t="shared" si="165"/>
      </c>
      <c r="BJ732" s="83">
        <f t="shared" si="166"/>
      </c>
      <c r="BK732" s="85">
        <f t="shared" si="167"/>
      </c>
      <c r="BL732" s="85">
        <f t="shared" si="168"/>
      </c>
      <c r="BM732" s="108"/>
      <c r="BN732" s="85">
        <f t="shared" si="169"/>
      </c>
      <c r="BO732" s="108"/>
      <c r="BP732" s="85">
        <f t="shared" si="170"/>
      </c>
      <c r="BQ732" s="85">
        <f t="shared" si="171"/>
      </c>
      <c r="BR732" s="108"/>
      <c r="BS732" s="104"/>
      <c r="BT732" s="87">
        <f t="shared" si="172"/>
      </c>
      <c r="BU732" s="85">
        <f t="shared" si="173"/>
      </c>
      <c r="BV732" s="85">
        <f t="shared" si="174"/>
      </c>
      <c r="BW732" s="87">
        <f t="shared" si="175"/>
      </c>
      <c r="BX732" s="104"/>
      <c r="BY732" s="106"/>
      <c r="BZ732" s="104"/>
      <c r="CA732" s="105"/>
      <c r="CB732" s="77">
        <f>IF($A732="",0,IF($B732='FICHA CLIENTE'!$C$4,1,0))</f>
      </c>
      <c r="CC732" s="77">
        <f t="shared" si="176"/>
      </c>
      <c r="CD732" s="77">
        <f>IF($A732="",0,IF($D732='FICHA VEHICULO'!$C$4,1,0))</f>
      </c>
      <c r="CE732" s="77">
        <f t="shared" si="177"/>
      </c>
      <c r="CF732" s="77">
        <f t="shared" si="178"/>
      </c>
      <c r="CG732" s="77">
        <f t="shared" si="179"/>
      </c>
    </row>
    <row r="733" spans="1:85" ht="19.5" customHeight="1" x14ac:dyDescent="0.2">
      <c r="A733" s="104"/>
      <c r="B733" s="104"/>
      <c r="C733" s="105"/>
      <c r="D733" s="104"/>
      <c r="E733" s="105"/>
      <c r="F733" s="106"/>
      <c r="G733" s="104"/>
      <c r="H733" s="106"/>
      <c r="I733" s="107"/>
      <c r="J733" s="108"/>
      <c r="K733" s="108"/>
      <c r="L733" s="108"/>
      <c r="M733" s="105"/>
      <c r="N733" s="105"/>
      <c r="O733" s="105"/>
      <c r="P733" s="108"/>
      <c r="Q733" s="105"/>
      <c r="R733" s="105"/>
      <c r="S733" s="105"/>
      <c r="T733" s="105"/>
      <c r="U733" s="108"/>
      <c r="V733" s="105"/>
      <c r="W733" s="105"/>
      <c r="X733" s="105"/>
      <c r="Y733" s="105"/>
      <c r="Z733" s="105"/>
      <c r="AA733" s="108"/>
      <c r="AB733" s="108"/>
      <c r="AC733" s="105"/>
      <c r="AD733" s="279"/>
      <c r="AE733" s="105"/>
      <c r="AF733" s="279"/>
      <c r="AG733" s="105"/>
      <c r="AH733" s="108"/>
      <c r="AI733" s="108"/>
      <c r="AJ733" s="108"/>
      <c r="AK733" s="108"/>
      <c r="AL733" s="105"/>
      <c r="AM733" s="108"/>
      <c r="AN733" s="105"/>
      <c r="AO733" s="108"/>
      <c r="AP733" s="108"/>
      <c r="AQ733" s="105"/>
      <c r="AR733" s="108"/>
      <c r="AS733" s="108"/>
      <c r="AT733" s="105"/>
      <c r="AU733" s="105"/>
      <c r="AV733" s="105"/>
      <c r="AW733" s="105"/>
      <c r="AX733" s="105"/>
      <c r="AY733" s="105"/>
      <c r="AZ733" s="105"/>
      <c r="BA733" s="105"/>
      <c r="BB733" s="105"/>
      <c r="BC733" s="105"/>
      <c r="BD733" s="108"/>
      <c r="BE733" s="83">
        <f>IF($A733="","",IF(TRIM($D733&amp;"")="",IF(TRIM($AX733&amp;$AY733&amp;$AZ733&amp;$BA733&amp;$BB733&amp;$BC733&amp;$BD733&amp;"")="","","SUBARRENDADO"),IFERROR(IF(VLOOKUP($D733,VEHICULOS!$A$3:$H$202,7,FALSE)="","",VLOOKUP($D733,VEHICULOS!$A$3:$H$202,7,FALSE)),"")))</f>
      </c>
      <c r="BF733" s="82">
        <f>IF($A733="","",IF(TRIM($BC733&amp;"")&lt;&gt;"",$BC733,IF(TRIM($D733&amp;"")="","",IFERROR(IF(VLOOKUP($D733,VEHICULOS!$A$3:$H$202,8,FALSE)="","",VLOOKUP($D733,VEHICULOS!$A$3:$H$202,8,FALSE)),""))))</f>
      </c>
      <c r="BG733" s="106"/>
      <c r="BH733" s="107"/>
      <c r="BI733" s="86">
        <f t="shared" si="165"/>
      </c>
      <c r="BJ733" s="83">
        <f t="shared" si="166"/>
      </c>
      <c r="BK733" s="85">
        <f t="shared" si="167"/>
      </c>
      <c r="BL733" s="85">
        <f t="shared" si="168"/>
      </c>
      <c r="BM733" s="108"/>
      <c r="BN733" s="85">
        <f t="shared" si="169"/>
      </c>
      <c r="BO733" s="108"/>
      <c r="BP733" s="85">
        <f t="shared" si="170"/>
      </c>
      <c r="BQ733" s="85">
        <f t="shared" si="171"/>
      </c>
      <c r="BR733" s="108"/>
      <c r="BS733" s="104"/>
      <c r="BT733" s="87">
        <f t="shared" si="172"/>
      </c>
      <c r="BU733" s="85">
        <f t="shared" si="173"/>
      </c>
      <c r="BV733" s="85">
        <f t="shared" si="174"/>
      </c>
      <c r="BW733" s="87">
        <f t="shared" si="175"/>
      </c>
      <c r="BX733" s="104"/>
      <c r="BY733" s="106"/>
      <c r="BZ733" s="104"/>
      <c r="CA733" s="105"/>
      <c r="CB733" s="77">
        <f>IF($A733="",0,IF($B733='FICHA CLIENTE'!$C$4,1,0))</f>
      </c>
      <c r="CC733" s="77">
        <f t="shared" si="176"/>
      </c>
      <c r="CD733" s="77">
        <f>IF($A733="",0,IF($D733='FICHA VEHICULO'!$C$4,1,0))</f>
      </c>
      <c r="CE733" s="77">
        <f t="shared" si="177"/>
      </c>
      <c r="CF733" s="77">
        <f t="shared" si="178"/>
      </c>
      <c r="CG733" s="77">
        <f t="shared" si="179"/>
      </c>
    </row>
    <row r="734" spans="1:85" ht="19.5" customHeight="1" x14ac:dyDescent="0.2">
      <c r="A734" s="104"/>
      <c r="B734" s="104"/>
      <c r="C734" s="105"/>
      <c r="D734" s="104"/>
      <c r="E734" s="105"/>
      <c r="F734" s="106"/>
      <c r="G734" s="104"/>
      <c r="H734" s="106"/>
      <c r="I734" s="107"/>
      <c r="J734" s="108"/>
      <c r="K734" s="108"/>
      <c r="L734" s="108"/>
      <c r="M734" s="105"/>
      <c r="N734" s="105"/>
      <c r="O734" s="105"/>
      <c r="P734" s="108"/>
      <c r="Q734" s="105"/>
      <c r="R734" s="105"/>
      <c r="S734" s="105"/>
      <c r="T734" s="105"/>
      <c r="U734" s="108"/>
      <c r="V734" s="105"/>
      <c r="W734" s="105"/>
      <c r="X734" s="105"/>
      <c r="Y734" s="105"/>
      <c r="Z734" s="105"/>
      <c r="AA734" s="108"/>
      <c r="AB734" s="108"/>
      <c r="AC734" s="105"/>
      <c r="AD734" s="279"/>
      <c r="AE734" s="105"/>
      <c r="AF734" s="279"/>
      <c r="AG734" s="105"/>
      <c r="AH734" s="108"/>
      <c r="AI734" s="108"/>
      <c r="AJ734" s="108"/>
      <c r="AK734" s="108"/>
      <c r="AL734" s="105"/>
      <c r="AM734" s="108"/>
      <c r="AN734" s="105"/>
      <c r="AO734" s="108"/>
      <c r="AP734" s="108"/>
      <c r="AQ734" s="105"/>
      <c r="AR734" s="108"/>
      <c r="AS734" s="108"/>
      <c r="AT734" s="105"/>
      <c r="AU734" s="105"/>
      <c r="AV734" s="105"/>
      <c r="AW734" s="105"/>
      <c r="AX734" s="105"/>
      <c r="AY734" s="105"/>
      <c r="AZ734" s="105"/>
      <c r="BA734" s="105"/>
      <c r="BB734" s="105"/>
      <c r="BC734" s="105"/>
      <c r="BD734" s="108"/>
      <c r="BE734" s="83">
        <f>IF($A734="","",IF(TRIM($D734&amp;"")="",IF(TRIM($AX734&amp;$AY734&amp;$AZ734&amp;$BA734&amp;$BB734&amp;$BC734&amp;$BD734&amp;"")="","","SUBARRENDADO"),IFERROR(IF(VLOOKUP($D734,VEHICULOS!$A$3:$H$202,7,FALSE)="","",VLOOKUP($D734,VEHICULOS!$A$3:$H$202,7,FALSE)),"")))</f>
      </c>
      <c r="BF734" s="82">
        <f>IF($A734="","",IF(TRIM($BC734&amp;"")&lt;&gt;"",$BC734,IF(TRIM($D734&amp;"")="","",IFERROR(IF(VLOOKUP($D734,VEHICULOS!$A$3:$H$202,8,FALSE)="","",VLOOKUP($D734,VEHICULOS!$A$3:$H$202,8,FALSE)),""))))</f>
      </c>
      <c r="BG734" s="106"/>
      <c r="BH734" s="107"/>
      <c r="BI734" s="86">
        <f t="shared" si="165"/>
      </c>
      <c r="BJ734" s="83">
        <f t="shared" si="166"/>
      </c>
      <c r="BK734" s="85">
        <f t="shared" si="167"/>
      </c>
      <c r="BL734" s="85">
        <f t="shared" si="168"/>
      </c>
      <c r="BM734" s="108"/>
      <c r="BN734" s="85">
        <f t="shared" si="169"/>
      </c>
      <c r="BO734" s="108"/>
      <c r="BP734" s="85">
        <f t="shared" si="170"/>
      </c>
      <c r="BQ734" s="85">
        <f t="shared" si="171"/>
      </c>
      <c r="BR734" s="108"/>
      <c r="BS734" s="104"/>
      <c r="BT734" s="87">
        <f t="shared" si="172"/>
      </c>
      <c r="BU734" s="85">
        <f t="shared" si="173"/>
      </c>
      <c r="BV734" s="85">
        <f t="shared" si="174"/>
      </c>
      <c r="BW734" s="87">
        <f t="shared" si="175"/>
      </c>
      <c r="BX734" s="104"/>
      <c r="BY734" s="106"/>
      <c r="BZ734" s="104"/>
      <c r="CA734" s="105"/>
      <c r="CB734" s="77">
        <f>IF($A734="",0,IF($B734='FICHA CLIENTE'!$C$4,1,0))</f>
      </c>
      <c r="CC734" s="77">
        <f t="shared" si="176"/>
      </c>
      <c r="CD734" s="77">
        <f>IF($A734="",0,IF($D734='FICHA VEHICULO'!$C$4,1,0))</f>
      </c>
      <c r="CE734" s="77">
        <f t="shared" si="177"/>
      </c>
      <c r="CF734" s="77">
        <f t="shared" si="178"/>
      </c>
      <c r="CG734" s="77">
        <f t="shared" si="179"/>
      </c>
    </row>
    <row r="735" spans="1:85" ht="19.5" customHeight="1" x14ac:dyDescent="0.2">
      <c r="A735" s="104"/>
      <c r="B735" s="104"/>
      <c r="C735" s="105"/>
      <c r="D735" s="104"/>
      <c r="E735" s="105"/>
      <c r="F735" s="106"/>
      <c r="G735" s="104"/>
      <c r="H735" s="106"/>
      <c r="I735" s="107"/>
      <c r="J735" s="108"/>
      <c r="K735" s="108"/>
      <c r="L735" s="108"/>
      <c r="M735" s="105"/>
      <c r="N735" s="105"/>
      <c r="O735" s="105"/>
      <c r="P735" s="108"/>
      <c r="Q735" s="105"/>
      <c r="R735" s="105"/>
      <c r="S735" s="105"/>
      <c r="T735" s="105"/>
      <c r="U735" s="108"/>
      <c r="V735" s="105"/>
      <c r="W735" s="105"/>
      <c r="X735" s="105"/>
      <c r="Y735" s="105"/>
      <c r="Z735" s="105"/>
      <c r="AA735" s="108"/>
      <c r="AB735" s="108"/>
      <c r="AC735" s="105"/>
      <c r="AD735" s="279"/>
      <c r="AE735" s="105"/>
      <c r="AF735" s="279"/>
      <c r="AG735" s="105"/>
      <c r="AH735" s="108"/>
      <c r="AI735" s="108"/>
      <c r="AJ735" s="108"/>
      <c r="AK735" s="108"/>
      <c r="AL735" s="105"/>
      <c r="AM735" s="108"/>
      <c r="AN735" s="105"/>
      <c r="AO735" s="108"/>
      <c r="AP735" s="108"/>
      <c r="AQ735" s="105"/>
      <c r="AR735" s="108"/>
      <c r="AS735" s="108"/>
      <c r="AT735" s="105"/>
      <c r="AU735" s="105"/>
      <c r="AV735" s="105"/>
      <c r="AW735" s="105"/>
      <c r="AX735" s="105"/>
      <c r="AY735" s="105"/>
      <c r="AZ735" s="105"/>
      <c r="BA735" s="105"/>
      <c r="BB735" s="105"/>
      <c r="BC735" s="105"/>
      <c r="BD735" s="108"/>
      <c r="BE735" s="83">
        <f>IF($A735="","",IF(TRIM($D735&amp;"")="",IF(TRIM($AX735&amp;$AY735&amp;$AZ735&amp;$BA735&amp;$BB735&amp;$BC735&amp;$BD735&amp;"")="","","SUBARRENDADO"),IFERROR(IF(VLOOKUP($D735,VEHICULOS!$A$3:$H$202,7,FALSE)="","",VLOOKUP($D735,VEHICULOS!$A$3:$H$202,7,FALSE)),"")))</f>
      </c>
      <c r="BF735" s="82">
        <f>IF($A735="","",IF(TRIM($BC735&amp;"")&lt;&gt;"",$BC735,IF(TRIM($D735&amp;"")="","",IFERROR(IF(VLOOKUP($D735,VEHICULOS!$A$3:$H$202,8,FALSE)="","",VLOOKUP($D735,VEHICULOS!$A$3:$H$202,8,FALSE)),""))))</f>
      </c>
      <c r="BG735" s="106"/>
      <c r="BH735" s="107"/>
      <c r="BI735" s="86">
        <f t="shared" si="165"/>
      </c>
      <c r="BJ735" s="83">
        <f t="shared" si="166"/>
      </c>
      <c r="BK735" s="85">
        <f t="shared" si="167"/>
      </c>
      <c r="BL735" s="85">
        <f t="shared" si="168"/>
      </c>
      <c r="BM735" s="108"/>
      <c r="BN735" s="85">
        <f t="shared" si="169"/>
      </c>
      <c r="BO735" s="108"/>
      <c r="BP735" s="85">
        <f t="shared" si="170"/>
      </c>
      <c r="BQ735" s="85">
        <f t="shared" si="171"/>
      </c>
      <c r="BR735" s="108"/>
      <c r="BS735" s="104"/>
      <c r="BT735" s="87">
        <f t="shared" si="172"/>
      </c>
      <c r="BU735" s="85">
        <f t="shared" si="173"/>
      </c>
      <c r="BV735" s="85">
        <f t="shared" si="174"/>
      </c>
      <c r="BW735" s="87">
        <f t="shared" si="175"/>
      </c>
      <c r="BX735" s="104"/>
      <c r="BY735" s="106"/>
      <c r="BZ735" s="104"/>
      <c r="CA735" s="105"/>
      <c r="CB735" s="77">
        <f>IF($A735="",0,IF($B735='FICHA CLIENTE'!$C$4,1,0))</f>
      </c>
      <c r="CC735" s="77">
        <f t="shared" si="176"/>
      </c>
      <c r="CD735" s="77">
        <f>IF($A735="",0,IF($D735='FICHA VEHICULO'!$C$4,1,0))</f>
      </c>
      <c r="CE735" s="77">
        <f t="shared" si="177"/>
      </c>
      <c r="CF735" s="77">
        <f t="shared" si="178"/>
      </c>
      <c r="CG735" s="77">
        <f t="shared" si="179"/>
      </c>
    </row>
    <row r="736" spans="1:85" ht="19.5" customHeight="1" x14ac:dyDescent="0.2">
      <c r="A736" s="104"/>
      <c r="B736" s="104"/>
      <c r="C736" s="105"/>
      <c r="D736" s="104"/>
      <c r="E736" s="105"/>
      <c r="F736" s="106"/>
      <c r="G736" s="104"/>
      <c r="H736" s="106"/>
      <c r="I736" s="107"/>
      <c r="J736" s="108"/>
      <c r="K736" s="108"/>
      <c r="L736" s="108"/>
      <c r="M736" s="105"/>
      <c r="N736" s="105"/>
      <c r="O736" s="105"/>
      <c r="P736" s="108"/>
      <c r="Q736" s="105"/>
      <c r="R736" s="105"/>
      <c r="S736" s="105"/>
      <c r="T736" s="105"/>
      <c r="U736" s="108"/>
      <c r="V736" s="105"/>
      <c r="W736" s="105"/>
      <c r="X736" s="105"/>
      <c r="Y736" s="105"/>
      <c r="Z736" s="105"/>
      <c r="AA736" s="108"/>
      <c r="AB736" s="108"/>
      <c r="AC736" s="105"/>
      <c r="AD736" s="279"/>
      <c r="AE736" s="105"/>
      <c r="AF736" s="279"/>
      <c r="AG736" s="105"/>
      <c r="AH736" s="108"/>
      <c r="AI736" s="108"/>
      <c r="AJ736" s="108"/>
      <c r="AK736" s="108"/>
      <c r="AL736" s="105"/>
      <c r="AM736" s="108"/>
      <c r="AN736" s="105"/>
      <c r="AO736" s="108"/>
      <c r="AP736" s="108"/>
      <c r="AQ736" s="105"/>
      <c r="AR736" s="108"/>
      <c r="AS736" s="108"/>
      <c r="AT736" s="105"/>
      <c r="AU736" s="105"/>
      <c r="AV736" s="105"/>
      <c r="AW736" s="105"/>
      <c r="AX736" s="105"/>
      <c r="AY736" s="105"/>
      <c r="AZ736" s="105"/>
      <c r="BA736" s="105"/>
      <c r="BB736" s="105"/>
      <c r="BC736" s="105"/>
      <c r="BD736" s="108"/>
      <c r="BE736" s="83">
        <f>IF($A736="","",IF(TRIM($D736&amp;"")="",IF(TRIM($AX736&amp;$AY736&amp;$AZ736&amp;$BA736&amp;$BB736&amp;$BC736&amp;$BD736&amp;"")="","","SUBARRENDADO"),IFERROR(IF(VLOOKUP($D736,VEHICULOS!$A$3:$H$202,7,FALSE)="","",VLOOKUP($D736,VEHICULOS!$A$3:$H$202,7,FALSE)),"")))</f>
      </c>
      <c r="BF736" s="82">
        <f>IF($A736="","",IF(TRIM($BC736&amp;"")&lt;&gt;"",$BC736,IF(TRIM($D736&amp;"")="","",IFERROR(IF(VLOOKUP($D736,VEHICULOS!$A$3:$H$202,8,FALSE)="","",VLOOKUP($D736,VEHICULOS!$A$3:$H$202,8,FALSE)),""))))</f>
      </c>
      <c r="BG736" s="106"/>
      <c r="BH736" s="107"/>
      <c r="BI736" s="86">
        <f t="shared" si="165"/>
      </c>
      <c r="BJ736" s="83">
        <f t="shared" si="166"/>
      </c>
      <c r="BK736" s="85">
        <f t="shared" si="167"/>
      </c>
      <c r="BL736" s="85">
        <f t="shared" si="168"/>
      </c>
      <c r="BM736" s="108"/>
      <c r="BN736" s="85">
        <f t="shared" si="169"/>
      </c>
      <c r="BO736" s="108"/>
      <c r="BP736" s="85">
        <f t="shared" si="170"/>
      </c>
      <c r="BQ736" s="85">
        <f t="shared" si="171"/>
      </c>
      <c r="BR736" s="108"/>
      <c r="BS736" s="104"/>
      <c r="BT736" s="87">
        <f t="shared" si="172"/>
      </c>
      <c r="BU736" s="85">
        <f t="shared" si="173"/>
      </c>
      <c r="BV736" s="85">
        <f t="shared" si="174"/>
      </c>
      <c r="BW736" s="87">
        <f t="shared" si="175"/>
      </c>
      <c r="BX736" s="104"/>
      <c r="BY736" s="106"/>
      <c r="BZ736" s="104"/>
      <c r="CA736" s="105"/>
      <c r="CB736" s="77">
        <f>IF($A736="",0,IF($B736='FICHA CLIENTE'!$C$4,1,0))</f>
      </c>
      <c r="CC736" s="77">
        <f t="shared" si="176"/>
      </c>
      <c r="CD736" s="77">
        <f>IF($A736="",0,IF($D736='FICHA VEHICULO'!$C$4,1,0))</f>
      </c>
      <c r="CE736" s="77">
        <f t="shared" si="177"/>
      </c>
      <c r="CF736" s="77">
        <f t="shared" si="178"/>
      </c>
      <c r="CG736" s="77">
        <f t="shared" si="179"/>
      </c>
    </row>
    <row r="737" spans="1:85" ht="19.5" customHeight="1" x14ac:dyDescent="0.2">
      <c r="A737" s="104"/>
      <c r="B737" s="104"/>
      <c r="C737" s="105"/>
      <c r="D737" s="104"/>
      <c r="E737" s="105"/>
      <c r="F737" s="106"/>
      <c r="G737" s="104"/>
      <c r="H737" s="106"/>
      <c r="I737" s="107"/>
      <c r="J737" s="108"/>
      <c r="K737" s="108"/>
      <c r="L737" s="108"/>
      <c r="M737" s="105"/>
      <c r="N737" s="105"/>
      <c r="O737" s="105"/>
      <c r="P737" s="108"/>
      <c r="Q737" s="105"/>
      <c r="R737" s="105"/>
      <c r="S737" s="105"/>
      <c r="T737" s="105"/>
      <c r="U737" s="108"/>
      <c r="V737" s="105"/>
      <c r="W737" s="105"/>
      <c r="X737" s="105"/>
      <c r="Y737" s="105"/>
      <c r="Z737" s="105"/>
      <c r="AA737" s="108"/>
      <c r="AB737" s="108"/>
      <c r="AC737" s="105"/>
      <c r="AD737" s="279"/>
      <c r="AE737" s="105"/>
      <c r="AF737" s="279"/>
      <c r="AG737" s="105"/>
      <c r="AH737" s="108"/>
      <c r="AI737" s="108"/>
      <c r="AJ737" s="108"/>
      <c r="AK737" s="108"/>
      <c r="AL737" s="105"/>
      <c r="AM737" s="108"/>
      <c r="AN737" s="105"/>
      <c r="AO737" s="108"/>
      <c r="AP737" s="108"/>
      <c r="AQ737" s="105"/>
      <c r="AR737" s="108"/>
      <c r="AS737" s="108"/>
      <c r="AT737" s="105"/>
      <c r="AU737" s="105"/>
      <c r="AV737" s="105"/>
      <c r="AW737" s="105"/>
      <c r="AX737" s="105"/>
      <c r="AY737" s="105"/>
      <c r="AZ737" s="105"/>
      <c r="BA737" s="105"/>
      <c r="BB737" s="105"/>
      <c r="BC737" s="105"/>
      <c r="BD737" s="108"/>
      <c r="BE737" s="83">
        <f>IF($A737="","",IF(TRIM($D737&amp;"")="",IF(TRIM($AX737&amp;$AY737&amp;$AZ737&amp;$BA737&amp;$BB737&amp;$BC737&amp;$BD737&amp;"")="","","SUBARRENDADO"),IFERROR(IF(VLOOKUP($D737,VEHICULOS!$A$3:$H$202,7,FALSE)="","",VLOOKUP($D737,VEHICULOS!$A$3:$H$202,7,FALSE)),"")))</f>
      </c>
      <c r="BF737" s="82">
        <f>IF($A737="","",IF(TRIM($BC737&amp;"")&lt;&gt;"",$BC737,IF(TRIM($D737&amp;"")="","",IFERROR(IF(VLOOKUP($D737,VEHICULOS!$A$3:$H$202,8,FALSE)="","",VLOOKUP($D737,VEHICULOS!$A$3:$H$202,8,FALSE)),""))))</f>
      </c>
      <c r="BG737" s="106"/>
      <c r="BH737" s="107"/>
      <c r="BI737" s="86">
        <f t="shared" si="165"/>
      </c>
      <c r="BJ737" s="83">
        <f t="shared" si="166"/>
      </c>
      <c r="BK737" s="85">
        <f t="shared" si="167"/>
      </c>
      <c r="BL737" s="85">
        <f t="shared" si="168"/>
      </c>
      <c r="BM737" s="108"/>
      <c r="BN737" s="85">
        <f t="shared" si="169"/>
      </c>
      <c r="BO737" s="108"/>
      <c r="BP737" s="85">
        <f t="shared" si="170"/>
      </c>
      <c r="BQ737" s="85">
        <f t="shared" si="171"/>
      </c>
      <c r="BR737" s="108"/>
      <c r="BS737" s="104"/>
      <c r="BT737" s="87">
        <f t="shared" si="172"/>
      </c>
      <c r="BU737" s="85">
        <f t="shared" si="173"/>
      </c>
      <c r="BV737" s="85">
        <f t="shared" si="174"/>
      </c>
      <c r="BW737" s="87">
        <f t="shared" si="175"/>
      </c>
      <c r="BX737" s="104"/>
      <c r="BY737" s="106"/>
      <c r="BZ737" s="104"/>
      <c r="CA737" s="105"/>
      <c r="CB737" s="77">
        <f>IF($A737="",0,IF($B737='FICHA CLIENTE'!$C$4,1,0))</f>
      </c>
      <c r="CC737" s="77">
        <f t="shared" si="176"/>
      </c>
      <c r="CD737" s="77">
        <f>IF($A737="",0,IF($D737='FICHA VEHICULO'!$C$4,1,0))</f>
      </c>
      <c r="CE737" s="77">
        <f t="shared" si="177"/>
      </c>
      <c r="CF737" s="77">
        <f t="shared" si="178"/>
      </c>
      <c r="CG737" s="77">
        <f t="shared" si="179"/>
      </c>
    </row>
    <row r="738" spans="1:85" ht="19.5" customHeight="1" x14ac:dyDescent="0.2">
      <c r="A738" s="104"/>
      <c r="B738" s="104"/>
      <c r="C738" s="105"/>
      <c r="D738" s="104"/>
      <c r="E738" s="105"/>
      <c r="F738" s="106"/>
      <c r="G738" s="104"/>
      <c r="H738" s="106"/>
      <c r="I738" s="107"/>
      <c r="J738" s="108"/>
      <c r="K738" s="108"/>
      <c r="L738" s="108"/>
      <c r="M738" s="105"/>
      <c r="N738" s="105"/>
      <c r="O738" s="105"/>
      <c r="P738" s="108"/>
      <c r="Q738" s="105"/>
      <c r="R738" s="105"/>
      <c r="S738" s="105"/>
      <c r="T738" s="105"/>
      <c r="U738" s="108"/>
      <c r="V738" s="105"/>
      <c r="W738" s="105"/>
      <c r="X738" s="105"/>
      <c r="Y738" s="105"/>
      <c r="Z738" s="105"/>
      <c r="AA738" s="108"/>
      <c r="AB738" s="108"/>
      <c r="AC738" s="105"/>
      <c r="AD738" s="279"/>
      <c r="AE738" s="105"/>
      <c r="AF738" s="279"/>
      <c r="AG738" s="105"/>
      <c r="AH738" s="108"/>
      <c r="AI738" s="108"/>
      <c r="AJ738" s="108"/>
      <c r="AK738" s="108"/>
      <c r="AL738" s="105"/>
      <c r="AM738" s="108"/>
      <c r="AN738" s="105"/>
      <c r="AO738" s="108"/>
      <c r="AP738" s="108"/>
      <c r="AQ738" s="105"/>
      <c r="AR738" s="108"/>
      <c r="AS738" s="108"/>
      <c r="AT738" s="105"/>
      <c r="AU738" s="105"/>
      <c r="AV738" s="105"/>
      <c r="AW738" s="105"/>
      <c r="AX738" s="105"/>
      <c r="AY738" s="105"/>
      <c r="AZ738" s="105"/>
      <c r="BA738" s="105"/>
      <c r="BB738" s="105"/>
      <c r="BC738" s="105"/>
      <c r="BD738" s="108"/>
      <c r="BE738" s="83">
        <f>IF($A738="","",IF(TRIM($D738&amp;"")="",IF(TRIM($AX738&amp;$AY738&amp;$AZ738&amp;$BA738&amp;$BB738&amp;$BC738&amp;$BD738&amp;"")="","","SUBARRENDADO"),IFERROR(IF(VLOOKUP($D738,VEHICULOS!$A$3:$H$202,7,FALSE)="","",VLOOKUP($D738,VEHICULOS!$A$3:$H$202,7,FALSE)),"")))</f>
      </c>
      <c r="BF738" s="82">
        <f>IF($A738="","",IF(TRIM($BC738&amp;"")&lt;&gt;"",$BC738,IF(TRIM($D738&amp;"")="","",IFERROR(IF(VLOOKUP($D738,VEHICULOS!$A$3:$H$202,8,FALSE)="","",VLOOKUP($D738,VEHICULOS!$A$3:$H$202,8,FALSE)),""))))</f>
      </c>
      <c r="BG738" s="106"/>
      <c r="BH738" s="107"/>
      <c r="BI738" s="86">
        <f t="shared" si="165"/>
      </c>
      <c r="BJ738" s="83">
        <f t="shared" si="166"/>
      </c>
      <c r="BK738" s="85">
        <f t="shared" si="167"/>
      </c>
      <c r="BL738" s="85">
        <f t="shared" si="168"/>
      </c>
      <c r="BM738" s="108"/>
      <c r="BN738" s="85">
        <f t="shared" si="169"/>
      </c>
      <c r="BO738" s="108"/>
      <c r="BP738" s="85">
        <f t="shared" si="170"/>
      </c>
      <c r="BQ738" s="85">
        <f t="shared" si="171"/>
      </c>
      <c r="BR738" s="108"/>
      <c r="BS738" s="104"/>
      <c r="BT738" s="87">
        <f t="shared" si="172"/>
      </c>
      <c r="BU738" s="85">
        <f t="shared" si="173"/>
      </c>
      <c r="BV738" s="85">
        <f t="shared" si="174"/>
      </c>
      <c r="BW738" s="87">
        <f t="shared" si="175"/>
      </c>
      <c r="BX738" s="104"/>
      <c r="BY738" s="106"/>
      <c r="BZ738" s="104"/>
      <c r="CA738" s="105"/>
      <c r="CB738" s="77">
        <f>IF($A738="",0,IF($B738='FICHA CLIENTE'!$C$4,1,0))</f>
      </c>
      <c r="CC738" s="77">
        <f t="shared" si="176"/>
      </c>
      <c r="CD738" s="77">
        <f>IF($A738="",0,IF($D738='FICHA VEHICULO'!$C$4,1,0))</f>
      </c>
      <c r="CE738" s="77">
        <f t="shared" si="177"/>
      </c>
      <c r="CF738" s="77">
        <f t="shared" si="178"/>
      </c>
      <c r="CG738" s="77">
        <f t="shared" si="179"/>
      </c>
    </row>
    <row r="739" spans="1:85" ht="19.5" customHeight="1" x14ac:dyDescent="0.2">
      <c r="A739" s="104"/>
      <c r="B739" s="104"/>
      <c r="C739" s="105"/>
      <c r="D739" s="104"/>
      <c r="E739" s="105"/>
      <c r="F739" s="106"/>
      <c r="G739" s="104"/>
      <c r="H739" s="106"/>
      <c r="I739" s="107"/>
      <c r="J739" s="108"/>
      <c r="K739" s="108"/>
      <c r="L739" s="108"/>
      <c r="M739" s="105"/>
      <c r="N739" s="105"/>
      <c r="O739" s="105"/>
      <c r="P739" s="108"/>
      <c r="Q739" s="105"/>
      <c r="R739" s="105"/>
      <c r="S739" s="105"/>
      <c r="T739" s="105"/>
      <c r="U739" s="108"/>
      <c r="V739" s="105"/>
      <c r="W739" s="105"/>
      <c r="X739" s="105"/>
      <c r="Y739" s="105"/>
      <c r="Z739" s="105"/>
      <c r="AA739" s="108"/>
      <c r="AB739" s="108"/>
      <c r="AC739" s="105"/>
      <c r="AD739" s="279"/>
      <c r="AE739" s="105"/>
      <c r="AF739" s="279"/>
      <c r="AG739" s="105"/>
      <c r="AH739" s="108"/>
      <c r="AI739" s="108"/>
      <c r="AJ739" s="108"/>
      <c r="AK739" s="108"/>
      <c r="AL739" s="105"/>
      <c r="AM739" s="108"/>
      <c r="AN739" s="105"/>
      <c r="AO739" s="108"/>
      <c r="AP739" s="108"/>
      <c r="AQ739" s="105"/>
      <c r="AR739" s="108"/>
      <c r="AS739" s="108"/>
      <c r="AT739" s="105"/>
      <c r="AU739" s="105"/>
      <c r="AV739" s="105"/>
      <c r="AW739" s="105"/>
      <c r="AX739" s="105"/>
      <c r="AY739" s="105"/>
      <c r="AZ739" s="105"/>
      <c r="BA739" s="105"/>
      <c r="BB739" s="105"/>
      <c r="BC739" s="105"/>
      <c r="BD739" s="108"/>
      <c r="BE739" s="83">
        <f>IF($A739="","",IF(TRIM($D739&amp;"")="",IF(TRIM($AX739&amp;$AY739&amp;$AZ739&amp;$BA739&amp;$BB739&amp;$BC739&amp;$BD739&amp;"")="","","SUBARRENDADO"),IFERROR(IF(VLOOKUP($D739,VEHICULOS!$A$3:$H$202,7,FALSE)="","",VLOOKUP($D739,VEHICULOS!$A$3:$H$202,7,FALSE)),"")))</f>
      </c>
      <c r="BF739" s="82">
        <f>IF($A739="","",IF(TRIM($BC739&amp;"")&lt;&gt;"",$BC739,IF(TRIM($D739&amp;"")="","",IFERROR(IF(VLOOKUP($D739,VEHICULOS!$A$3:$H$202,8,FALSE)="","",VLOOKUP($D739,VEHICULOS!$A$3:$H$202,8,FALSE)),""))))</f>
      </c>
      <c r="BG739" s="106"/>
      <c r="BH739" s="107"/>
      <c r="BI739" s="86">
        <f t="shared" si="165"/>
      </c>
      <c r="BJ739" s="83">
        <f t="shared" si="166"/>
      </c>
      <c r="BK739" s="85">
        <f t="shared" si="167"/>
      </c>
      <c r="BL739" s="85">
        <f t="shared" si="168"/>
      </c>
      <c r="BM739" s="108"/>
      <c r="BN739" s="85">
        <f t="shared" si="169"/>
      </c>
      <c r="BO739" s="108"/>
      <c r="BP739" s="85">
        <f t="shared" si="170"/>
      </c>
      <c r="BQ739" s="85">
        <f t="shared" si="171"/>
      </c>
      <c r="BR739" s="108"/>
      <c r="BS739" s="104"/>
      <c r="BT739" s="87">
        <f t="shared" si="172"/>
      </c>
      <c r="BU739" s="85">
        <f t="shared" si="173"/>
      </c>
      <c r="BV739" s="85">
        <f t="shared" si="174"/>
      </c>
      <c r="BW739" s="87">
        <f t="shared" si="175"/>
      </c>
      <c r="BX739" s="104"/>
      <c r="BY739" s="106"/>
      <c r="BZ739" s="104"/>
      <c r="CA739" s="105"/>
      <c r="CB739" s="77">
        <f>IF($A739="",0,IF($B739='FICHA CLIENTE'!$C$4,1,0))</f>
      </c>
      <c r="CC739" s="77">
        <f t="shared" si="176"/>
      </c>
      <c r="CD739" s="77">
        <f>IF($A739="",0,IF($D739='FICHA VEHICULO'!$C$4,1,0))</f>
      </c>
      <c r="CE739" s="77">
        <f t="shared" si="177"/>
      </c>
      <c r="CF739" s="77">
        <f t="shared" si="178"/>
      </c>
      <c r="CG739" s="77">
        <f t="shared" si="179"/>
      </c>
    </row>
    <row r="740" spans="1:85" ht="19.5" customHeight="1" x14ac:dyDescent="0.2">
      <c r="A740" s="104"/>
      <c r="B740" s="104"/>
      <c r="C740" s="105"/>
      <c r="D740" s="104"/>
      <c r="E740" s="105"/>
      <c r="F740" s="106"/>
      <c r="G740" s="104"/>
      <c r="H740" s="106"/>
      <c r="I740" s="107"/>
      <c r="J740" s="108"/>
      <c r="K740" s="108"/>
      <c r="L740" s="108"/>
      <c r="M740" s="105"/>
      <c r="N740" s="105"/>
      <c r="O740" s="105"/>
      <c r="P740" s="108"/>
      <c r="Q740" s="105"/>
      <c r="R740" s="105"/>
      <c r="S740" s="105"/>
      <c r="T740" s="105"/>
      <c r="U740" s="108"/>
      <c r="V740" s="105"/>
      <c r="W740" s="105"/>
      <c r="X740" s="105"/>
      <c r="Y740" s="105"/>
      <c r="Z740" s="105"/>
      <c r="AA740" s="108"/>
      <c r="AB740" s="108"/>
      <c r="AC740" s="105"/>
      <c r="AD740" s="279"/>
      <c r="AE740" s="105"/>
      <c r="AF740" s="279"/>
      <c r="AG740" s="105"/>
      <c r="AH740" s="108"/>
      <c r="AI740" s="108"/>
      <c r="AJ740" s="108"/>
      <c r="AK740" s="108"/>
      <c r="AL740" s="105"/>
      <c r="AM740" s="108"/>
      <c r="AN740" s="105"/>
      <c r="AO740" s="108"/>
      <c r="AP740" s="108"/>
      <c r="AQ740" s="105"/>
      <c r="AR740" s="108"/>
      <c r="AS740" s="108"/>
      <c r="AT740" s="105"/>
      <c r="AU740" s="105"/>
      <c r="AV740" s="105"/>
      <c r="AW740" s="105"/>
      <c r="AX740" s="105"/>
      <c r="AY740" s="105"/>
      <c r="AZ740" s="105"/>
      <c r="BA740" s="105"/>
      <c r="BB740" s="105"/>
      <c r="BC740" s="105"/>
      <c r="BD740" s="108"/>
      <c r="BE740" s="83">
        <f>IF($A740="","",IF(TRIM($D740&amp;"")="",IF(TRIM($AX740&amp;$AY740&amp;$AZ740&amp;$BA740&amp;$BB740&amp;$BC740&amp;$BD740&amp;"")="","","SUBARRENDADO"),IFERROR(IF(VLOOKUP($D740,VEHICULOS!$A$3:$H$202,7,FALSE)="","",VLOOKUP($D740,VEHICULOS!$A$3:$H$202,7,FALSE)),"")))</f>
      </c>
      <c r="BF740" s="82">
        <f>IF($A740="","",IF(TRIM($BC740&amp;"")&lt;&gt;"",$BC740,IF(TRIM($D740&amp;"")="","",IFERROR(IF(VLOOKUP($D740,VEHICULOS!$A$3:$H$202,8,FALSE)="","",VLOOKUP($D740,VEHICULOS!$A$3:$H$202,8,FALSE)),""))))</f>
      </c>
      <c r="BG740" s="106"/>
      <c r="BH740" s="107"/>
      <c r="BI740" s="86">
        <f t="shared" si="165"/>
      </c>
      <c r="BJ740" s="83">
        <f t="shared" si="166"/>
      </c>
      <c r="BK740" s="85">
        <f t="shared" si="167"/>
      </c>
      <c r="BL740" s="85">
        <f t="shared" si="168"/>
      </c>
      <c r="BM740" s="108"/>
      <c r="BN740" s="85">
        <f t="shared" si="169"/>
      </c>
      <c r="BO740" s="108"/>
      <c r="BP740" s="85">
        <f t="shared" si="170"/>
      </c>
      <c r="BQ740" s="85">
        <f t="shared" si="171"/>
      </c>
      <c r="BR740" s="108"/>
      <c r="BS740" s="104"/>
      <c r="BT740" s="87">
        <f t="shared" si="172"/>
      </c>
      <c r="BU740" s="85">
        <f t="shared" si="173"/>
      </c>
      <c r="BV740" s="85">
        <f t="shared" si="174"/>
      </c>
      <c r="BW740" s="87">
        <f t="shared" si="175"/>
      </c>
      <c r="BX740" s="104"/>
      <c r="BY740" s="106"/>
      <c r="BZ740" s="104"/>
      <c r="CA740" s="105"/>
      <c r="CB740" s="77">
        <f>IF($A740="",0,IF($B740='FICHA CLIENTE'!$C$4,1,0))</f>
      </c>
      <c r="CC740" s="77">
        <f t="shared" si="176"/>
      </c>
      <c r="CD740" s="77">
        <f>IF($A740="",0,IF($D740='FICHA VEHICULO'!$C$4,1,0))</f>
      </c>
      <c r="CE740" s="77">
        <f t="shared" si="177"/>
      </c>
      <c r="CF740" s="77">
        <f t="shared" si="178"/>
      </c>
      <c r="CG740" s="77">
        <f t="shared" si="179"/>
      </c>
    </row>
    <row r="741" spans="1:85" ht="19.5" customHeight="1" x14ac:dyDescent="0.2">
      <c r="A741" s="104"/>
      <c r="B741" s="104"/>
      <c r="C741" s="105"/>
      <c r="D741" s="104"/>
      <c r="E741" s="105"/>
      <c r="F741" s="106"/>
      <c r="G741" s="104"/>
      <c r="H741" s="106"/>
      <c r="I741" s="107"/>
      <c r="J741" s="108"/>
      <c r="K741" s="108"/>
      <c r="L741" s="108"/>
      <c r="M741" s="105"/>
      <c r="N741" s="105"/>
      <c r="O741" s="105"/>
      <c r="P741" s="108"/>
      <c r="Q741" s="105"/>
      <c r="R741" s="105"/>
      <c r="S741" s="105"/>
      <c r="T741" s="105"/>
      <c r="U741" s="108"/>
      <c r="V741" s="105"/>
      <c r="W741" s="105"/>
      <c r="X741" s="105"/>
      <c r="Y741" s="105"/>
      <c r="Z741" s="105"/>
      <c r="AA741" s="108"/>
      <c r="AB741" s="108"/>
      <c r="AC741" s="105"/>
      <c r="AD741" s="279"/>
      <c r="AE741" s="105"/>
      <c r="AF741" s="279"/>
      <c r="AG741" s="105"/>
      <c r="AH741" s="108"/>
      <c r="AI741" s="108"/>
      <c r="AJ741" s="108"/>
      <c r="AK741" s="108"/>
      <c r="AL741" s="105"/>
      <c r="AM741" s="108"/>
      <c r="AN741" s="105"/>
      <c r="AO741" s="108"/>
      <c r="AP741" s="108"/>
      <c r="AQ741" s="105"/>
      <c r="AR741" s="108"/>
      <c r="AS741" s="108"/>
      <c r="AT741" s="105"/>
      <c r="AU741" s="105"/>
      <c r="AV741" s="105"/>
      <c r="AW741" s="105"/>
      <c r="AX741" s="105"/>
      <c r="AY741" s="105"/>
      <c r="AZ741" s="105"/>
      <c r="BA741" s="105"/>
      <c r="BB741" s="105"/>
      <c r="BC741" s="105"/>
      <c r="BD741" s="108"/>
      <c r="BE741" s="83">
        <f>IF($A741="","",IF(TRIM($D741&amp;"")="",IF(TRIM($AX741&amp;$AY741&amp;$AZ741&amp;$BA741&amp;$BB741&amp;$BC741&amp;$BD741&amp;"")="","","SUBARRENDADO"),IFERROR(IF(VLOOKUP($D741,VEHICULOS!$A$3:$H$202,7,FALSE)="","",VLOOKUP($D741,VEHICULOS!$A$3:$H$202,7,FALSE)),"")))</f>
      </c>
      <c r="BF741" s="82">
        <f>IF($A741="","",IF(TRIM($BC741&amp;"")&lt;&gt;"",$BC741,IF(TRIM($D741&amp;"")="","",IFERROR(IF(VLOOKUP($D741,VEHICULOS!$A$3:$H$202,8,FALSE)="","",VLOOKUP($D741,VEHICULOS!$A$3:$H$202,8,FALSE)),""))))</f>
      </c>
      <c r="BG741" s="106"/>
      <c r="BH741" s="107"/>
      <c r="BI741" s="86">
        <f t="shared" si="165"/>
      </c>
      <c r="BJ741" s="83">
        <f t="shared" si="166"/>
      </c>
      <c r="BK741" s="85">
        <f t="shared" si="167"/>
      </c>
      <c r="BL741" s="85">
        <f t="shared" si="168"/>
      </c>
      <c r="BM741" s="108"/>
      <c r="BN741" s="85">
        <f t="shared" si="169"/>
      </c>
      <c r="BO741" s="108"/>
      <c r="BP741" s="85">
        <f t="shared" si="170"/>
      </c>
      <c r="BQ741" s="85">
        <f t="shared" si="171"/>
      </c>
      <c r="BR741" s="108"/>
      <c r="BS741" s="104"/>
      <c r="BT741" s="87">
        <f t="shared" si="172"/>
      </c>
      <c r="BU741" s="85">
        <f t="shared" si="173"/>
      </c>
      <c r="BV741" s="85">
        <f t="shared" si="174"/>
      </c>
      <c r="BW741" s="87">
        <f t="shared" si="175"/>
      </c>
      <c r="BX741" s="104"/>
      <c r="BY741" s="106"/>
      <c r="BZ741" s="104"/>
      <c r="CA741" s="105"/>
      <c r="CB741" s="77">
        <f>IF($A741="",0,IF($B741='FICHA CLIENTE'!$C$4,1,0))</f>
      </c>
      <c r="CC741" s="77">
        <f t="shared" si="176"/>
      </c>
      <c r="CD741" s="77">
        <f>IF($A741="",0,IF($D741='FICHA VEHICULO'!$C$4,1,0))</f>
      </c>
      <c r="CE741" s="77">
        <f t="shared" si="177"/>
      </c>
      <c r="CF741" s="77">
        <f t="shared" si="178"/>
      </c>
      <c r="CG741" s="77">
        <f t="shared" si="179"/>
      </c>
    </row>
    <row r="742" spans="1:85" ht="19.5" customHeight="1" x14ac:dyDescent="0.2">
      <c r="A742" s="104"/>
      <c r="B742" s="104"/>
      <c r="C742" s="105"/>
      <c r="D742" s="104"/>
      <c r="E742" s="105"/>
      <c r="F742" s="106"/>
      <c r="G742" s="104"/>
      <c r="H742" s="106"/>
      <c r="I742" s="107"/>
      <c r="J742" s="108"/>
      <c r="K742" s="108"/>
      <c r="L742" s="108"/>
      <c r="M742" s="105"/>
      <c r="N742" s="105"/>
      <c r="O742" s="105"/>
      <c r="P742" s="108"/>
      <c r="Q742" s="105"/>
      <c r="R742" s="105"/>
      <c r="S742" s="105"/>
      <c r="T742" s="105"/>
      <c r="U742" s="108"/>
      <c r="V742" s="105"/>
      <c r="W742" s="105"/>
      <c r="X742" s="105"/>
      <c r="Y742" s="105"/>
      <c r="Z742" s="105"/>
      <c r="AA742" s="108"/>
      <c r="AB742" s="108"/>
      <c r="AC742" s="105"/>
      <c r="AD742" s="279"/>
      <c r="AE742" s="105"/>
      <c r="AF742" s="279"/>
      <c r="AG742" s="105"/>
      <c r="AH742" s="108"/>
      <c r="AI742" s="108"/>
      <c r="AJ742" s="108"/>
      <c r="AK742" s="108"/>
      <c r="AL742" s="105"/>
      <c r="AM742" s="108"/>
      <c r="AN742" s="105"/>
      <c r="AO742" s="108"/>
      <c r="AP742" s="108"/>
      <c r="AQ742" s="105"/>
      <c r="AR742" s="108"/>
      <c r="AS742" s="108"/>
      <c r="AT742" s="105"/>
      <c r="AU742" s="105"/>
      <c r="AV742" s="105"/>
      <c r="AW742" s="105"/>
      <c r="AX742" s="105"/>
      <c r="AY742" s="105"/>
      <c r="AZ742" s="105"/>
      <c r="BA742" s="105"/>
      <c r="BB742" s="105"/>
      <c r="BC742" s="105"/>
      <c r="BD742" s="108"/>
      <c r="BE742" s="83">
        <f>IF($A742="","",IF(TRIM($D742&amp;"")="",IF(TRIM($AX742&amp;$AY742&amp;$AZ742&amp;$BA742&amp;$BB742&amp;$BC742&amp;$BD742&amp;"")="","","SUBARRENDADO"),IFERROR(IF(VLOOKUP($D742,VEHICULOS!$A$3:$H$202,7,FALSE)="","",VLOOKUP($D742,VEHICULOS!$A$3:$H$202,7,FALSE)),"")))</f>
      </c>
      <c r="BF742" s="82">
        <f>IF($A742="","",IF(TRIM($BC742&amp;"")&lt;&gt;"",$BC742,IF(TRIM($D742&amp;"")="","",IFERROR(IF(VLOOKUP($D742,VEHICULOS!$A$3:$H$202,8,FALSE)="","",VLOOKUP($D742,VEHICULOS!$A$3:$H$202,8,FALSE)),""))))</f>
      </c>
      <c r="BG742" s="106"/>
      <c r="BH742" s="107"/>
      <c r="BI742" s="86">
        <f t="shared" si="165"/>
      </c>
      <c r="BJ742" s="83">
        <f t="shared" si="166"/>
      </c>
      <c r="BK742" s="85">
        <f t="shared" si="167"/>
      </c>
      <c r="BL742" s="85">
        <f t="shared" si="168"/>
      </c>
      <c r="BM742" s="108"/>
      <c r="BN742" s="85">
        <f t="shared" si="169"/>
      </c>
      <c r="BO742" s="108"/>
      <c r="BP742" s="85">
        <f t="shared" si="170"/>
      </c>
      <c r="BQ742" s="85">
        <f t="shared" si="171"/>
      </c>
      <c r="BR742" s="108"/>
      <c r="BS742" s="104"/>
      <c r="BT742" s="87">
        <f t="shared" si="172"/>
      </c>
      <c r="BU742" s="85">
        <f t="shared" si="173"/>
      </c>
      <c r="BV742" s="85">
        <f t="shared" si="174"/>
      </c>
      <c r="BW742" s="87">
        <f t="shared" si="175"/>
      </c>
      <c r="BX742" s="104"/>
      <c r="BY742" s="106"/>
      <c r="BZ742" s="104"/>
      <c r="CA742" s="105"/>
      <c r="CB742" s="77">
        <f>IF($A742="",0,IF($B742='FICHA CLIENTE'!$C$4,1,0))</f>
      </c>
      <c r="CC742" s="77">
        <f t="shared" si="176"/>
      </c>
      <c r="CD742" s="77">
        <f>IF($A742="",0,IF($D742='FICHA VEHICULO'!$C$4,1,0))</f>
      </c>
      <c r="CE742" s="77">
        <f t="shared" si="177"/>
      </c>
      <c r="CF742" s="77">
        <f t="shared" si="178"/>
      </c>
      <c r="CG742" s="77">
        <f t="shared" si="179"/>
      </c>
    </row>
    <row r="743" spans="1:85" ht="19.5" customHeight="1" x14ac:dyDescent="0.2">
      <c r="A743" s="104"/>
      <c r="B743" s="104"/>
      <c r="C743" s="105"/>
      <c r="D743" s="104"/>
      <c r="E743" s="105"/>
      <c r="F743" s="106"/>
      <c r="G743" s="104"/>
      <c r="H743" s="106"/>
      <c r="I743" s="107"/>
      <c r="J743" s="108"/>
      <c r="K743" s="108"/>
      <c r="L743" s="108"/>
      <c r="M743" s="105"/>
      <c r="N743" s="105"/>
      <c r="O743" s="105"/>
      <c r="P743" s="108"/>
      <c r="Q743" s="105"/>
      <c r="R743" s="105"/>
      <c r="S743" s="105"/>
      <c r="T743" s="105"/>
      <c r="U743" s="108"/>
      <c r="V743" s="105"/>
      <c r="W743" s="105"/>
      <c r="X743" s="105"/>
      <c r="Y743" s="105"/>
      <c r="Z743" s="105"/>
      <c r="AA743" s="108"/>
      <c r="AB743" s="108"/>
      <c r="AC743" s="105"/>
      <c r="AD743" s="279"/>
      <c r="AE743" s="105"/>
      <c r="AF743" s="279"/>
      <c r="AG743" s="105"/>
      <c r="AH743" s="108"/>
      <c r="AI743" s="108"/>
      <c r="AJ743" s="108"/>
      <c r="AK743" s="108"/>
      <c r="AL743" s="105"/>
      <c r="AM743" s="108"/>
      <c r="AN743" s="105"/>
      <c r="AO743" s="108"/>
      <c r="AP743" s="108"/>
      <c r="AQ743" s="105"/>
      <c r="AR743" s="108"/>
      <c r="AS743" s="108"/>
      <c r="AT743" s="105"/>
      <c r="AU743" s="105"/>
      <c r="AV743" s="105"/>
      <c r="AW743" s="105"/>
      <c r="AX743" s="105"/>
      <c r="AY743" s="105"/>
      <c r="AZ743" s="105"/>
      <c r="BA743" s="105"/>
      <c r="BB743" s="105"/>
      <c r="BC743" s="105"/>
      <c r="BD743" s="108"/>
      <c r="BE743" s="83">
        <f>IF($A743="","",IF(TRIM($D743&amp;"")="",IF(TRIM($AX743&amp;$AY743&amp;$AZ743&amp;$BA743&amp;$BB743&amp;$BC743&amp;$BD743&amp;"")="","","SUBARRENDADO"),IFERROR(IF(VLOOKUP($D743,VEHICULOS!$A$3:$H$202,7,FALSE)="","",VLOOKUP($D743,VEHICULOS!$A$3:$H$202,7,FALSE)),"")))</f>
      </c>
      <c r="BF743" s="82">
        <f>IF($A743="","",IF(TRIM($BC743&amp;"")&lt;&gt;"",$BC743,IF(TRIM($D743&amp;"")="","",IFERROR(IF(VLOOKUP($D743,VEHICULOS!$A$3:$H$202,8,FALSE)="","",VLOOKUP($D743,VEHICULOS!$A$3:$H$202,8,FALSE)),""))))</f>
      </c>
      <c r="BG743" s="106"/>
      <c r="BH743" s="107"/>
      <c r="BI743" s="86">
        <f t="shared" si="165"/>
      </c>
      <c r="BJ743" s="83">
        <f t="shared" si="166"/>
      </c>
      <c r="BK743" s="85">
        <f t="shared" si="167"/>
      </c>
      <c r="BL743" s="85">
        <f t="shared" si="168"/>
      </c>
      <c r="BM743" s="108"/>
      <c r="BN743" s="85">
        <f t="shared" si="169"/>
      </c>
      <c r="BO743" s="108"/>
      <c r="BP743" s="85">
        <f t="shared" si="170"/>
      </c>
      <c r="BQ743" s="85">
        <f t="shared" si="171"/>
      </c>
      <c r="BR743" s="108"/>
      <c r="BS743" s="104"/>
      <c r="BT743" s="87">
        <f t="shared" si="172"/>
      </c>
      <c r="BU743" s="85">
        <f t="shared" si="173"/>
      </c>
      <c r="BV743" s="85">
        <f t="shared" si="174"/>
      </c>
      <c r="BW743" s="87">
        <f t="shared" si="175"/>
      </c>
      <c r="BX743" s="104"/>
      <c r="BY743" s="106"/>
      <c r="BZ743" s="104"/>
      <c r="CA743" s="105"/>
      <c r="CB743" s="77">
        <f>IF($A743="",0,IF($B743='FICHA CLIENTE'!$C$4,1,0))</f>
      </c>
      <c r="CC743" s="77">
        <f t="shared" si="176"/>
      </c>
      <c r="CD743" s="77">
        <f>IF($A743="",0,IF($D743='FICHA VEHICULO'!$C$4,1,0))</f>
      </c>
      <c r="CE743" s="77">
        <f t="shared" si="177"/>
      </c>
      <c r="CF743" s="77">
        <f t="shared" si="178"/>
      </c>
      <c r="CG743" s="77">
        <f t="shared" si="179"/>
      </c>
    </row>
    <row r="744" spans="1:85" ht="19.5" customHeight="1" x14ac:dyDescent="0.2">
      <c r="A744" s="104"/>
      <c r="B744" s="104"/>
      <c r="C744" s="105"/>
      <c r="D744" s="104"/>
      <c r="E744" s="105"/>
      <c r="F744" s="106"/>
      <c r="G744" s="104"/>
      <c r="H744" s="106"/>
      <c r="I744" s="107"/>
      <c r="J744" s="108"/>
      <c r="K744" s="108"/>
      <c r="L744" s="108"/>
      <c r="M744" s="105"/>
      <c r="N744" s="105"/>
      <c r="O744" s="105"/>
      <c r="P744" s="108"/>
      <c r="Q744" s="105"/>
      <c r="R744" s="105"/>
      <c r="S744" s="105"/>
      <c r="T744" s="105"/>
      <c r="U744" s="108"/>
      <c r="V744" s="105"/>
      <c r="W744" s="105"/>
      <c r="X744" s="105"/>
      <c r="Y744" s="105"/>
      <c r="Z744" s="105"/>
      <c r="AA744" s="108"/>
      <c r="AB744" s="108"/>
      <c r="AC744" s="105"/>
      <c r="AD744" s="279"/>
      <c r="AE744" s="105"/>
      <c r="AF744" s="279"/>
      <c r="AG744" s="105"/>
      <c r="AH744" s="108"/>
      <c r="AI744" s="108"/>
      <c r="AJ744" s="108"/>
      <c r="AK744" s="108"/>
      <c r="AL744" s="105"/>
      <c r="AM744" s="108"/>
      <c r="AN744" s="105"/>
      <c r="AO744" s="108"/>
      <c r="AP744" s="108"/>
      <c r="AQ744" s="105"/>
      <c r="AR744" s="108"/>
      <c r="AS744" s="108"/>
      <c r="AT744" s="105"/>
      <c r="AU744" s="105"/>
      <c r="AV744" s="105"/>
      <c r="AW744" s="105"/>
      <c r="AX744" s="105"/>
      <c r="AY744" s="105"/>
      <c r="AZ744" s="105"/>
      <c r="BA744" s="105"/>
      <c r="BB744" s="105"/>
      <c r="BC744" s="105"/>
      <c r="BD744" s="108"/>
      <c r="BE744" s="83">
        <f>IF($A744="","",IF(TRIM($D744&amp;"")="",IF(TRIM($AX744&amp;$AY744&amp;$AZ744&amp;$BA744&amp;$BB744&amp;$BC744&amp;$BD744&amp;"")="","","SUBARRENDADO"),IFERROR(IF(VLOOKUP($D744,VEHICULOS!$A$3:$H$202,7,FALSE)="","",VLOOKUP($D744,VEHICULOS!$A$3:$H$202,7,FALSE)),"")))</f>
      </c>
      <c r="BF744" s="82">
        <f>IF($A744="","",IF(TRIM($BC744&amp;"")&lt;&gt;"",$BC744,IF(TRIM($D744&amp;"")="","",IFERROR(IF(VLOOKUP($D744,VEHICULOS!$A$3:$H$202,8,FALSE)="","",VLOOKUP($D744,VEHICULOS!$A$3:$H$202,8,FALSE)),""))))</f>
      </c>
      <c r="BG744" s="106"/>
      <c r="BH744" s="107"/>
      <c r="BI744" s="86">
        <f t="shared" si="165"/>
      </c>
      <c r="BJ744" s="83">
        <f t="shared" si="166"/>
      </c>
      <c r="BK744" s="85">
        <f t="shared" si="167"/>
      </c>
      <c r="BL744" s="85">
        <f t="shared" si="168"/>
      </c>
      <c r="BM744" s="108"/>
      <c r="BN744" s="85">
        <f t="shared" si="169"/>
      </c>
      <c r="BO744" s="108"/>
      <c r="BP744" s="85">
        <f t="shared" si="170"/>
      </c>
      <c r="BQ744" s="85">
        <f t="shared" si="171"/>
      </c>
      <c r="BR744" s="108"/>
      <c r="BS744" s="104"/>
      <c r="BT744" s="87">
        <f t="shared" si="172"/>
      </c>
      <c r="BU744" s="85">
        <f t="shared" si="173"/>
      </c>
      <c r="BV744" s="85">
        <f t="shared" si="174"/>
      </c>
      <c r="BW744" s="87">
        <f t="shared" si="175"/>
      </c>
      <c r="BX744" s="104"/>
      <c r="BY744" s="106"/>
      <c r="BZ744" s="104"/>
      <c r="CA744" s="105"/>
      <c r="CB744" s="77">
        <f>IF($A744="",0,IF($B744='FICHA CLIENTE'!$C$4,1,0))</f>
      </c>
      <c r="CC744" s="77">
        <f t="shared" si="176"/>
      </c>
      <c r="CD744" s="77">
        <f>IF($A744="",0,IF($D744='FICHA VEHICULO'!$C$4,1,0))</f>
      </c>
      <c r="CE744" s="77">
        <f t="shared" si="177"/>
      </c>
      <c r="CF744" s="77">
        <f t="shared" si="178"/>
      </c>
      <c r="CG744" s="77">
        <f t="shared" si="179"/>
      </c>
    </row>
    <row r="745" spans="1:85" ht="19.5" customHeight="1" x14ac:dyDescent="0.2">
      <c r="A745" s="104"/>
      <c r="B745" s="104"/>
      <c r="C745" s="105"/>
      <c r="D745" s="104"/>
      <c r="E745" s="105"/>
      <c r="F745" s="106"/>
      <c r="G745" s="104"/>
      <c r="H745" s="106"/>
      <c r="I745" s="107"/>
      <c r="J745" s="108"/>
      <c r="K745" s="108"/>
      <c r="L745" s="108"/>
      <c r="M745" s="105"/>
      <c r="N745" s="105"/>
      <c r="O745" s="105"/>
      <c r="P745" s="108"/>
      <c r="Q745" s="105"/>
      <c r="R745" s="105"/>
      <c r="S745" s="105"/>
      <c r="T745" s="105"/>
      <c r="U745" s="108"/>
      <c r="V745" s="105"/>
      <c r="W745" s="105"/>
      <c r="X745" s="105"/>
      <c r="Y745" s="105"/>
      <c r="Z745" s="105"/>
      <c r="AA745" s="108"/>
      <c r="AB745" s="108"/>
      <c r="AC745" s="105"/>
      <c r="AD745" s="279"/>
      <c r="AE745" s="105"/>
      <c r="AF745" s="279"/>
      <c r="AG745" s="105"/>
      <c r="AH745" s="108"/>
      <c r="AI745" s="108"/>
      <c r="AJ745" s="108"/>
      <c r="AK745" s="108"/>
      <c r="AL745" s="105"/>
      <c r="AM745" s="108"/>
      <c r="AN745" s="105"/>
      <c r="AO745" s="108"/>
      <c r="AP745" s="108"/>
      <c r="AQ745" s="105"/>
      <c r="AR745" s="108"/>
      <c r="AS745" s="108"/>
      <c r="AT745" s="105"/>
      <c r="AU745" s="105"/>
      <c r="AV745" s="105"/>
      <c r="AW745" s="105"/>
      <c r="AX745" s="105"/>
      <c r="AY745" s="105"/>
      <c r="AZ745" s="105"/>
      <c r="BA745" s="105"/>
      <c r="BB745" s="105"/>
      <c r="BC745" s="105"/>
      <c r="BD745" s="108"/>
      <c r="BE745" s="83">
        <f>IF($A745="","",IF(TRIM($D745&amp;"")="",IF(TRIM($AX745&amp;$AY745&amp;$AZ745&amp;$BA745&amp;$BB745&amp;$BC745&amp;$BD745&amp;"")="","","SUBARRENDADO"),IFERROR(IF(VLOOKUP($D745,VEHICULOS!$A$3:$H$202,7,FALSE)="","",VLOOKUP($D745,VEHICULOS!$A$3:$H$202,7,FALSE)),"")))</f>
      </c>
      <c r="BF745" s="82">
        <f>IF($A745="","",IF(TRIM($BC745&amp;"")&lt;&gt;"",$BC745,IF(TRIM($D745&amp;"")="","",IFERROR(IF(VLOOKUP($D745,VEHICULOS!$A$3:$H$202,8,FALSE)="","",VLOOKUP($D745,VEHICULOS!$A$3:$H$202,8,FALSE)),""))))</f>
      </c>
      <c r="BG745" s="106"/>
      <c r="BH745" s="107"/>
      <c r="BI745" s="86">
        <f t="shared" si="165"/>
      </c>
      <c r="BJ745" s="83">
        <f t="shared" si="166"/>
      </c>
      <c r="BK745" s="85">
        <f t="shared" si="167"/>
      </c>
      <c r="BL745" s="85">
        <f t="shared" si="168"/>
      </c>
      <c r="BM745" s="108"/>
      <c r="BN745" s="85">
        <f t="shared" si="169"/>
      </c>
      <c r="BO745" s="108"/>
      <c r="BP745" s="85">
        <f t="shared" si="170"/>
      </c>
      <c r="BQ745" s="85">
        <f t="shared" si="171"/>
      </c>
      <c r="BR745" s="108"/>
      <c r="BS745" s="104"/>
      <c r="BT745" s="87">
        <f t="shared" si="172"/>
      </c>
      <c r="BU745" s="85">
        <f t="shared" si="173"/>
      </c>
      <c r="BV745" s="85">
        <f t="shared" si="174"/>
      </c>
      <c r="BW745" s="87">
        <f t="shared" si="175"/>
      </c>
      <c r="BX745" s="104"/>
      <c r="BY745" s="106"/>
      <c r="BZ745" s="104"/>
      <c r="CA745" s="105"/>
      <c r="CB745" s="77">
        <f>IF($A745="",0,IF($B745='FICHA CLIENTE'!$C$4,1,0))</f>
      </c>
      <c r="CC745" s="77">
        <f t="shared" si="176"/>
      </c>
      <c r="CD745" s="77">
        <f>IF($A745="",0,IF($D745='FICHA VEHICULO'!$C$4,1,0))</f>
      </c>
      <c r="CE745" s="77">
        <f t="shared" si="177"/>
      </c>
      <c r="CF745" s="77">
        <f t="shared" si="178"/>
      </c>
      <c r="CG745" s="77">
        <f t="shared" si="179"/>
      </c>
    </row>
    <row r="746" spans="1:85" ht="19.5" customHeight="1" x14ac:dyDescent="0.2">
      <c r="A746" s="104"/>
      <c r="B746" s="104"/>
      <c r="C746" s="105"/>
      <c r="D746" s="104"/>
      <c r="E746" s="105"/>
      <c r="F746" s="106"/>
      <c r="G746" s="104"/>
      <c r="H746" s="106"/>
      <c r="I746" s="107"/>
      <c r="J746" s="108"/>
      <c r="K746" s="108"/>
      <c r="L746" s="108"/>
      <c r="M746" s="105"/>
      <c r="N746" s="105"/>
      <c r="O746" s="105"/>
      <c r="P746" s="108"/>
      <c r="Q746" s="105"/>
      <c r="R746" s="105"/>
      <c r="S746" s="105"/>
      <c r="T746" s="105"/>
      <c r="U746" s="108"/>
      <c r="V746" s="105"/>
      <c r="W746" s="105"/>
      <c r="X746" s="105"/>
      <c r="Y746" s="105"/>
      <c r="Z746" s="105"/>
      <c r="AA746" s="108"/>
      <c r="AB746" s="108"/>
      <c r="AC746" s="105"/>
      <c r="AD746" s="279"/>
      <c r="AE746" s="105"/>
      <c r="AF746" s="279"/>
      <c r="AG746" s="105"/>
      <c r="AH746" s="108"/>
      <c r="AI746" s="108"/>
      <c r="AJ746" s="108"/>
      <c r="AK746" s="108"/>
      <c r="AL746" s="105"/>
      <c r="AM746" s="108"/>
      <c r="AN746" s="105"/>
      <c r="AO746" s="108"/>
      <c r="AP746" s="108"/>
      <c r="AQ746" s="105"/>
      <c r="AR746" s="108"/>
      <c r="AS746" s="108"/>
      <c r="AT746" s="105"/>
      <c r="AU746" s="105"/>
      <c r="AV746" s="105"/>
      <c r="AW746" s="105"/>
      <c r="AX746" s="105"/>
      <c r="AY746" s="105"/>
      <c r="AZ746" s="105"/>
      <c r="BA746" s="105"/>
      <c r="BB746" s="105"/>
      <c r="BC746" s="105"/>
      <c r="BD746" s="108"/>
      <c r="BE746" s="83">
        <f>IF($A746="","",IF(TRIM($D746&amp;"")="",IF(TRIM($AX746&amp;$AY746&amp;$AZ746&amp;$BA746&amp;$BB746&amp;$BC746&amp;$BD746&amp;"")="","","SUBARRENDADO"),IFERROR(IF(VLOOKUP($D746,VEHICULOS!$A$3:$H$202,7,FALSE)="","",VLOOKUP($D746,VEHICULOS!$A$3:$H$202,7,FALSE)),"")))</f>
      </c>
      <c r="BF746" s="82">
        <f>IF($A746="","",IF(TRIM($BC746&amp;"")&lt;&gt;"",$BC746,IF(TRIM($D746&amp;"")="","",IFERROR(IF(VLOOKUP($D746,VEHICULOS!$A$3:$H$202,8,FALSE)="","",VLOOKUP($D746,VEHICULOS!$A$3:$H$202,8,FALSE)),""))))</f>
      </c>
      <c r="BG746" s="106"/>
      <c r="BH746" s="107"/>
      <c r="BI746" s="86">
        <f t="shared" si="165"/>
      </c>
      <c r="BJ746" s="83">
        <f t="shared" si="166"/>
      </c>
      <c r="BK746" s="85">
        <f t="shared" si="167"/>
      </c>
      <c r="BL746" s="85">
        <f t="shared" si="168"/>
      </c>
      <c r="BM746" s="108"/>
      <c r="BN746" s="85">
        <f t="shared" si="169"/>
      </c>
      <c r="BO746" s="108"/>
      <c r="BP746" s="85">
        <f t="shared" si="170"/>
      </c>
      <c r="BQ746" s="85">
        <f t="shared" si="171"/>
      </c>
      <c r="BR746" s="108"/>
      <c r="BS746" s="104"/>
      <c r="BT746" s="87">
        <f t="shared" si="172"/>
      </c>
      <c r="BU746" s="85">
        <f t="shared" si="173"/>
      </c>
      <c r="BV746" s="85">
        <f t="shared" si="174"/>
      </c>
      <c r="BW746" s="87">
        <f t="shared" si="175"/>
      </c>
      <c r="BX746" s="104"/>
      <c r="BY746" s="106"/>
      <c r="BZ746" s="104"/>
      <c r="CA746" s="105"/>
      <c r="CB746" s="77">
        <f>IF($A746="",0,IF($B746='FICHA CLIENTE'!$C$4,1,0))</f>
      </c>
      <c r="CC746" s="77">
        <f t="shared" si="176"/>
      </c>
      <c r="CD746" s="77">
        <f>IF($A746="",0,IF($D746='FICHA VEHICULO'!$C$4,1,0))</f>
      </c>
      <c r="CE746" s="77">
        <f t="shared" si="177"/>
      </c>
      <c r="CF746" s="77">
        <f t="shared" si="178"/>
      </c>
      <c r="CG746" s="77">
        <f t="shared" si="179"/>
      </c>
    </row>
    <row r="747" spans="1:85" ht="19.5" customHeight="1" x14ac:dyDescent="0.2">
      <c r="A747" s="104"/>
      <c r="B747" s="104"/>
      <c r="C747" s="105"/>
      <c r="D747" s="104"/>
      <c r="E747" s="105"/>
      <c r="F747" s="106"/>
      <c r="G747" s="104"/>
      <c r="H747" s="106"/>
      <c r="I747" s="107"/>
      <c r="J747" s="108"/>
      <c r="K747" s="108"/>
      <c r="L747" s="108"/>
      <c r="M747" s="105"/>
      <c r="N747" s="105"/>
      <c r="O747" s="105"/>
      <c r="P747" s="108"/>
      <c r="Q747" s="105"/>
      <c r="R747" s="105"/>
      <c r="S747" s="105"/>
      <c r="T747" s="105"/>
      <c r="U747" s="108"/>
      <c r="V747" s="105"/>
      <c r="W747" s="105"/>
      <c r="X747" s="105"/>
      <c r="Y747" s="105"/>
      <c r="Z747" s="105"/>
      <c r="AA747" s="108"/>
      <c r="AB747" s="108"/>
      <c r="AC747" s="105"/>
      <c r="AD747" s="279"/>
      <c r="AE747" s="105"/>
      <c r="AF747" s="279"/>
      <c r="AG747" s="105"/>
      <c r="AH747" s="108"/>
      <c r="AI747" s="108"/>
      <c r="AJ747" s="108"/>
      <c r="AK747" s="108"/>
      <c r="AL747" s="105"/>
      <c r="AM747" s="108"/>
      <c r="AN747" s="105"/>
      <c r="AO747" s="108"/>
      <c r="AP747" s="108"/>
      <c r="AQ747" s="105"/>
      <c r="AR747" s="108"/>
      <c r="AS747" s="108"/>
      <c r="AT747" s="105"/>
      <c r="AU747" s="105"/>
      <c r="AV747" s="105"/>
      <c r="AW747" s="105"/>
      <c r="AX747" s="105"/>
      <c r="AY747" s="105"/>
      <c r="AZ747" s="105"/>
      <c r="BA747" s="105"/>
      <c r="BB747" s="105"/>
      <c r="BC747" s="105"/>
      <c r="BD747" s="108"/>
      <c r="BE747" s="83">
        <f>IF($A747="","",IF(TRIM($D747&amp;"")="",IF(TRIM($AX747&amp;$AY747&amp;$AZ747&amp;$BA747&amp;$BB747&amp;$BC747&amp;$BD747&amp;"")="","","SUBARRENDADO"),IFERROR(IF(VLOOKUP($D747,VEHICULOS!$A$3:$H$202,7,FALSE)="","",VLOOKUP($D747,VEHICULOS!$A$3:$H$202,7,FALSE)),"")))</f>
      </c>
      <c r="BF747" s="82">
        <f>IF($A747="","",IF(TRIM($BC747&amp;"")&lt;&gt;"",$BC747,IF(TRIM($D747&amp;"")="","",IFERROR(IF(VLOOKUP($D747,VEHICULOS!$A$3:$H$202,8,FALSE)="","",VLOOKUP($D747,VEHICULOS!$A$3:$H$202,8,FALSE)),""))))</f>
      </c>
      <c r="BG747" s="106"/>
      <c r="BH747" s="107"/>
      <c r="BI747" s="86">
        <f t="shared" si="165"/>
      </c>
      <c r="BJ747" s="83">
        <f t="shared" si="166"/>
      </c>
      <c r="BK747" s="85">
        <f t="shared" si="167"/>
      </c>
      <c r="BL747" s="85">
        <f t="shared" si="168"/>
      </c>
      <c r="BM747" s="108"/>
      <c r="BN747" s="85">
        <f t="shared" si="169"/>
      </c>
      <c r="BO747" s="108"/>
      <c r="BP747" s="85">
        <f t="shared" si="170"/>
      </c>
      <c r="BQ747" s="85">
        <f t="shared" si="171"/>
      </c>
      <c r="BR747" s="108"/>
      <c r="BS747" s="104"/>
      <c r="BT747" s="87">
        <f t="shared" si="172"/>
      </c>
      <c r="BU747" s="85">
        <f t="shared" si="173"/>
      </c>
      <c r="BV747" s="85">
        <f t="shared" si="174"/>
      </c>
      <c r="BW747" s="87">
        <f t="shared" si="175"/>
      </c>
      <c r="BX747" s="104"/>
      <c r="BY747" s="106"/>
      <c r="BZ747" s="104"/>
      <c r="CA747" s="105"/>
      <c r="CB747" s="77">
        <f>IF($A747="",0,IF($B747='FICHA CLIENTE'!$C$4,1,0))</f>
      </c>
      <c r="CC747" s="77">
        <f t="shared" si="176"/>
      </c>
      <c r="CD747" s="77">
        <f>IF($A747="",0,IF($D747='FICHA VEHICULO'!$C$4,1,0))</f>
      </c>
      <c r="CE747" s="77">
        <f t="shared" si="177"/>
      </c>
      <c r="CF747" s="77">
        <f t="shared" si="178"/>
      </c>
      <c r="CG747" s="77">
        <f t="shared" si="179"/>
      </c>
    </row>
    <row r="748" spans="1:85" ht="19.5" customHeight="1" x14ac:dyDescent="0.2">
      <c r="A748" s="104"/>
      <c r="B748" s="104"/>
      <c r="C748" s="105"/>
      <c r="D748" s="104"/>
      <c r="E748" s="105"/>
      <c r="F748" s="106"/>
      <c r="G748" s="104"/>
      <c r="H748" s="106"/>
      <c r="I748" s="107"/>
      <c r="J748" s="108"/>
      <c r="K748" s="108"/>
      <c r="L748" s="108"/>
      <c r="M748" s="105"/>
      <c r="N748" s="105"/>
      <c r="O748" s="105"/>
      <c r="P748" s="108"/>
      <c r="Q748" s="105"/>
      <c r="R748" s="105"/>
      <c r="S748" s="105"/>
      <c r="T748" s="105"/>
      <c r="U748" s="108"/>
      <c r="V748" s="105"/>
      <c r="W748" s="105"/>
      <c r="X748" s="105"/>
      <c r="Y748" s="105"/>
      <c r="Z748" s="105"/>
      <c r="AA748" s="108"/>
      <c r="AB748" s="108"/>
      <c r="AC748" s="105"/>
      <c r="AD748" s="279"/>
      <c r="AE748" s="105"/>
      <c r="AF748" s="279"/>
      <c r="AG748" s="105"/>
      <c r="AH748" s="108"/>
      <c r="AI748" s="108"/>
      <c r="AJ748" s="108"/>
      <c r="AK748" s="108"/>
      <c r="AL748" s="105"/>
      <c r="AM748" s="108"/>
      <c r="AN748" s="105"/>
      <c r="AO748" s="108"/>
      <c r="AP748" s="108"/>
      <c r="AQ748" s="105"/>
      <c r="AR748" s="108"/>
      <c r="AS748" s="108"/>
      <c r="AT748" s="105"/>
      <c r="AU748" s="105"/>
      <c r="AV748" s="105"/>
      <c r="AW748" s="105"/>
      <c r="AX748" s="105"/>
      <c r="AY748" s="105"/>
      <c r="AZ748" s="105"/>
      <c r="BA748" s="105"/>
      <c r="BB748" s="105"/>
      <c r="BC748" s="105"/>
      <c r="BD748" s="108"/>
      <c r="BE748" s="83">
        <f>IF($A748="","",IF(TRIM($D748&amp;"")="",IF(TRIM($AX748&amp;$AY748&amp;$AZ748&amp;$BA748&amp;$BB748&amp;$BC748&amp;$BD748&amp;"")="","","SUBARRENDADO"),IFERROR(IF(VLOOKUP($D748,VEHICULOS!$A$3:$H$202,7,FALSE)="","",VLOOKUP($D748,VEHICULOS!$A$3:$H$202,7,FALSE)),"")))</f>
      </c>
      <c r="BF748" s="82">
        <f>IF($A748="","",IF(TRIM($BC748&amp;"")&lt;&gt;"",$BC748,IF(TRIM($D748&amp;"")="","",IFERROR(IF(VLOOKUP($D748,VEHICULOS!$A$3:$H$202,8,FALSE)="","",VLOOKUP($D748,VEHICULOS!$A$3:$H$202,8,FALSE)),""))))</f>
      </c>
      <c r="BG748" s="106"/>
      <c r="BH748" s="107"/>
      <c r="BI748" s="86">
        <f t="shared" si="165"/>
      </c>
      <c r="BJ748" s="83">
        <f t="shared" si="166"/>
      </c>
      <c r="BK748" s="85">
        <f t="shared" si="167"/>
      </c>
      <c r="BL748" s="85">
        <f t="shared" si="168"/>
      </c>
      <c r="BM748" s="108"/>
      <c r="BN748" s="85">
        <f t="shared" si="169"/>
      </c>
      <c r="BO748" s="108"/>
      <c r="BP748" s="85">
        <f t="shared" si="170"/>
      </c>
      <c r="BQ748" s="85">
        <f t="shared" si="171"/>
      </c>
      <c r="BR748" s="108"/>
      <c r="BS748" s="104"/>
      <c r="BT748" s="87">
        <f t="shared" si="172"/>
      </c>
      <c r="BU748" s="85">
        <f t="shared" si="173"/>
      </c>
      <c r="BV748" s="85">
        <f t="shared" si="174"/>
      </c>
      <c r="BW748" s="87">
        <f t="shared" si="175"/>
      </c>
      <c r="BX748" s="104"/>
      <c r="BY748" s="106"/>
      <c r="BZ748" s="104"/>
      <c r="CA748" s="105"/>
      <c r="CB748" s="77">
        <f>IF($A748="",0,IF($B748='FICHA CLIENTE'!$C$4,1,0))</f>
      </c>
      <c r="CC748" s="77">
        <f t="shared" si="176"/>
      </c>
      <c r="CD748" s="77">
        <f>IF($A748="",0,IF($D748='FICHA VEHICULO'!$C$4,1,0))</f>
      </c>
      <c r="CE748" s="77">
        <f t="shared" si="177"/>
      </c>
      <c r="CF748" s="77">
        <f t="shared" si="178"/>
      </c>
      <c r="CG748" s="77">
        <f t="shared" si="179"/>
      </c>
    </row>
    <row r="749" spans="1:85" ht="19.5" customHeight="1" x14ac:dyDescent="0.2">
      <c r="A749" s="104"/>
      <c r="B749" s="104"/>
      <c r="C749" s="105"/>
      <c r="D749" s="104"/>
      <c r="E749" s="105"/>
      <c r="F749" s="106"/>
      <c r="G749" s="104"/>
      <c r="H749" s="106"/>
      <c r="I749" s="107"/>
      <c r="J749" s="108"/>
      <c r="K749" s="108"/>
      <c r="L749" s="108"/>
      <c r="M749" s="105"/>
      <c r="N749" s="105"/>
      <c r="O749" s="105"/>
      <c r="P749" s="108"/>
      <c r="Q749" s="105"/>
      <c r="R749" s="105"/>
      <c r="S749" s="105"/>
      <c r="T749" s="105"/>
      <c r="U749" s="108"/>
      <c r="V749" s="105"/>
      <c r="W749" s="105"/>
      <c r="X749" s="105"/>
      <c r="Y749" s="105"/>
      <c r="Z749" s="105"/>
      <c r="AA749" s="108"/>
      <c r="AB749" s="108"/>
      <c r="AC749" s="105"/>
      <c r="AD749" s="279"/>
      <c r="AE749" s="105"/>
      <c r="AF749" s="279"/>
      <c r="AG749" s="105"/>
      <c r="AH749" s="108"/>
      <c r="AI749" s="108"/>
      <c r="AJ749" s="108"/>
      <c r="AK749" s="108"/>
      <c r="AL749" s="105"/>
      <c r="AM749" s="108"/>
      <c r="AN749" s="105"/>
      <c r="AO749" s="108"/>
      <c r="AP749" s="108"/>
      <c r="AQ749" s="105"/>
      <c r="AR749" s="108"/>
      <c r="AS749" s="108"/>
      <c r="AT749" s="105"/>
      <c r="AU749" s="105"/>
      <c r="AV749" s="105"/>
      <c r="AW749" s="105"/>
      <c r="AX749" s="105"/>
      <c r="AY749" s="105"/>
      <c r="AZ749" s="105"/>
      <c r="BA749" s="105"/>
      <c r="BB749" s="105"/>
      <c r="BC749" s="105"/>
      <c r="BD749" s="108"/>
      <c r="BE749" s="83">
        <f>IF($A749="","",IF(TRIM($D749&amp;"")="",IF(TRIM($AX749&amp;$AY749&amp;$AZ749&amp;$BA749&amp;$BB749&amp;$BC749&amp;$BD749&amp;"")="","","SUBARRENDADO"),IFERROR(IF(VLOOKUP($D749,VEHICULOS!$A$3:$H$202,7,FALSE)="","",VLOOKUP($D749,VEHICULOS!$A$3:$H$202,7,FALSE)),"")))</f>
      </c>
      <c r="BF749" s="82">
        <f>IF($A749="","",IF(TRIM($BC749&amp;"")&lt;&gt;"",$BC749,IF(TRIM($D749&amp;"")="","",IFERROR(IF(VLOOKUP($D749,VEHICULOS!$A$3:$H$202,8,FALSE)="","",VLOOKUP($D749,VEHICULOS!$A$3:$H$202,8,FALSE)),""))))</f>
      </c>
      <c r="BG749" s="106"/>
      <c r="BH749" s="107"/>
      <c r="BI749" s="86">
        <f t="shared" si="165"/>
      </c>
      <c r="BJ749" s="83">
        <f t="shared" si="166"/>
      </c>
      <c r="BK749" s="85">
        <f t="shared" si="167"/>
      </c>
      <c r="BL749" s="85">
        <f t="shared" si="168"/>
      </c>
      <c r="BM749" s="108"/>
      <c r="BN749" s="85">
        <f t="shared" si="169"/>
      </c>
      <c r="BO749" s="108"/>
      <c r="BP749" s="85">
        <f t="shared" si="170"/>
      </c>
      <c r="BQ749" s="85">
        <f t="shared" si="171"/>
      </c>
      <c r="BR749" s="108"/>
      <c r="BS749" s="104"/>
      <c r="BT749" s="87">
        <f t="shared" si="172"/>
      </c>
      <c r="BU749" s="85">
        <f t="shared" si="173"/>
      </c>
      <c r="BV749" s="85">
        <f t="shared" si="174"/>
      </c>
      <c r="BW749" s="87">
        <f t="shared" si="175"/>
      </c>
      <c r="BX749" s="104"/>
      <c r="BY749" s="106"/>
      <c r="BZ749" s="104"/>
      <c r="CA749" s="105"/>
      <c r="CB749" s="77">
        <f>IF($A749="",0,IF($B749='FICHA CLIENTE'!$C$4,1,0))</f>
      </c>
      <c r="CC749" s="77">
        <f t="shared" si="176"/>
      </c>
      <c r="CD749" s="77">
        <f>IF($A749="",0,IF($D749='FICHA VEHICULO'!$C$4,1,0))</f>
      </c>
      <c r="CE749" s="77">
        <f t="shared" si="177"/>
      </c>
      <c r="CF749" s="77">
        <f t="shared" si="178"/>
      </c>
      <c r="CG749" s="77">
        <f t="shared" si="179"/>
      </c>
    </row>
    <row r="750" spans="1:85" ht="19.5" customHeight="1" x14ac:dyDescent="0.2">
      <c r="A750" s="104"/>
      <c r="B750" s="104"/>
      <c r="C750" s="105"/>
      <c r="D750" s="104"/>
      <c r="E750" s="105"/>
      <c r="F750" s="106"/>
      <c r="G750" s="104"/>
      <c r="H750" s="106"/>
      <c r="I750" s="107"/>
      <c r="J750" s="108"/>
      <c r="K750" s="108"/>
      <c r="L750" s="108"/>
      <c r="M750" s="105"/>
      <c r="N750" s="105"/>
      <c r="O750" s="105"/>
      <c r="P750" s="108"/>
      <c r="Q750" s="105"/>
      <c r="R750" s="105"/>
      <c r="S750" s="105"/>
      <c r="T750" s="105"/>
      <c r="U750" s="108"/>
      <c r="V750" s="105"/>
      <c r="W750" s="105"/>
      <c r="X750" s="105"/>
      <c r="Y750" s="105"/>
      <c r="Z750" s="105"/>
      <c r="AA750" s="108"/>
      <c r="AB750" s="108"/>
      <c r="AC750" s="105"/>
      <c r="AD750" s="279"/>
      <c r="AE750" s="105"/>
      <c r="AF750" s="279"/>
      <c r="AG750" s="105"/>
      <c r="AH750" s="108"/>
      <c r="AI750" s="108"/>
      <c r="AJ750" s="108"/>
      <c r="AK750" s="108"/>
      <c r="AL750" s="105"/>
      <c r="AM750" s="108"/>
      <c r="AN750" s="105"/>
      <c r="AO750" s="108"/>
      <c r="AP750" s="108"/>
      <c r="AQ750" s="105"/>
      <c r="AR750" s="108"/>
      <c r="AS750" s="108"/>
      <c r="AT750" s="105"/>
      <c r="AU750" s="105"/>
      <c r="AV750" s="105"/>
      <c r="AW750" s="105"/>
      <c r="AX750" s="105"/>
      <c r="AY750" s="105"/>
      <c r="AZ750" s="105"/>
      <c r="BA750" s="105"/>
      <c r="BB750" s="105"/>
      <c r="BC750" s="105"/>
      <c r="BD750" s="108"/>
      <c r="BE750" s="83">
        <f>IF($A750="","",IF(TRIM($D750&amp;"")="",IF(TRIM($AX750&amp;$AY750&amp;$AZ750&amp;$BA750&amp;$BB750&amp;$BC750&amp;$BD750&amp;"")="","","SUBARRENDADO"),IFERROR(IF(VLOOKUP($D750,VEHICULOS!$A$3:$H$202,7,FALSE)="","",VLOOKUP($D750,VEHICULOS!$A$3:$H$202,7,FALSE)),"")))</f>
      </c>
      <c r="BF750" s="82">
        <f>IF($A750="","",IF(TRIM($BC750&amp;"")&lt;&gt;"",$BC750,IF(TRIM($D750&amp;"")="","",IFERROR(IF(VLOOKUP($D750,VEHICULOS!$A$3:$H$202,8,FALSE)="","",VLOOKUP($D750,VEHICULOS!$A$3:$H$202,8,FALSE)),""))))</f>
      </c>
      <c r="BG750" s="106"/>
      <c r="BH750" s="107"/>
      <c r="BI750" s="86">
        <f t="shared" si="165"/>
      </c>
      <c r="BJ750" s="83">
        <f t="shared" si="166"/>
      </c>
      <c r="BK750" s="85">
        <f t="shared" si="167"/>
      </c>
      <c r="BL750" s="85">
        <f t="shared" si="168"/>
      </c>
      <c r="BM750" s="108"/>
      <c r="BN750" s="85">
        <f t="shared" si="169"/>
      </c>
      <c r="BO750" s="108"/>
      <c r="BP750" s="85">
        <f t="shared" si="170"/>
      </c>
      <c r="BQ750" s="85">
        <f t="shared" si="171"/>
      </c>
      <c r="BR750" s="108"/>
      <c r="BS750" s="104"/>
      <c r="BT750" s="87">
        <f t="shared" si="172"/>
      </c>
      <c r="BU750" s="85">
        <f t="shared" si="173"/>
      </c>
      <c r="BV750" s="85">
        <f t="shared" si="174"/>
      </c>
      <c r="BW750" s="87">
        <f t="shared" si="175"/>
      </c>
      <c r="BX750" s="104"/>
      <c r="BY750" s="106"/>
      <c r="BZ750" s="104"/>
      <c r="CA750" s="105"/>
      <c r="CB750" s="77">
        <f>IF($A750="",0,IF($B750='FICHA CLIENTE'!$C$4,1,0))</f>
      </c>
      <c r="CC750" s="77">
        <f t="shared" si="176"/>
      </c>
      <c r="CD750" s="77">
        <f>IF($A750="",0,IF($D750='FICHA VEHICULO'!$C$4,1,0))</f>
      </c>
      <c r="CE750" s="77">
        <f t="shared" si="177"/>
      </c>
      <c r="CF750" s="77">
        <f t="shared" si="178"/>
      </c>
      <c r="CG750" s="77">
        <f t="shared" si="179"/>
      </c>
    </row>
    <row r="751" spans="1:85" ht="19.5" customHeight="1" x14ac:dyDescent="0.2">
      <c r="A751" s="104"/>
      <c r="B751" s="104"/>
      <c r="C751" s="105"/>
      <c r="D751" s="104"/>
      <c r="E751" s="105"/>
      <c r="F751" s="106"/>
      <c r="G751" s="104"/>
      <c r="H751" s="106"/>
      <c r="I751" s="107"/>
      <c r="J751" s="108"/>
      <c r="K751" s="108"/>
      <c r="L751" s="108"/>
      <c r="M751" s="105"/>
      <c r="N751" s="105"/>
      <c r="O751" s="105"/>
      <c r="P751" s="108"/>
      <c r="Q751" s="105"/>
      <c r="R751" s="105"/>
      <c r="S751" s="105"/>
      <c r="T751" s="105"/>
      <c r="U751" s="108"/>
      <c r="V751" s="105"/>
      <c r="W751" s="105"/>
      <c r="X751" s="105"/>
      <c r="Y751" s="105"/>
      <c r="Z751" s="105"/>
      <c r="AA751" s="108"/>
      <c r="AB751" s="108"/>
      <c r="AC751" s="105"/>
      <c r="AD751" s="279"/>
      <c r="AE751" s="105"/>
      <c r="AF751" s="279"/>
      <c r="AG751" s="105"/>
      <c r="AH751" s="108"/>
      <c r="AI751" s="108"/>
      <c r="AJ751" s="108"/>
      <c r="AK751" s="108"/>
      <c r="AL751" s="105"/>
      <c r="AM751" s="108"/>
      <c r="AN751" s="105"/>
      <c r="AO751" s="108"/>
      <c r="AP751" s="108"/>
      <c r="AQ751" s="105"/>
      <c r="AR751" s="108"/>
      <c r="AS751" s="108"/>
      <c r="AT751" s="105"/>
      <c r="AU751" s="105"/>
      <c r="AV751" s="105"/>
      <c r="AW751" s="105"/>
      <c r="AX751" s="105"/>
      <c r="AY751" s="105"/>
      <c r="AZ751" s="105"/>
      <c r="BA751" s="105"/>
      <c r="BB751" s="105"/>
      <c r="BC751" s="105"/>
      <c r="BD751" s="108"/>
      <c r="BE751" s="83">
        <f>IF($A751="","",IF(TRIM($D751&amp;"")="",IF(TRIM($AX751&amp;$AY751&amp;$AZ751&amp;$BA751&amp;$BB751&amp;$BC751&amp;$BD751&amp;"")="","","SUBARRENDADO"),IFERROR(IF(VLOOKUP($D751,VEHICULOS!$A$3:$H$202,7,FALSE)="","",VLOOKUP($D751,VEHICULOS!$A$3:$H$202,7,FALSE)),"")))</f>
      </c>
      <c r="BF751" s="82">
        <f>IF($A751="","",IF(TRIM($BC751&amp;"")&lt;&gt;"",$BC751,IF(TRIM($D751&amp;"")="","",IFERROR(IF(VLOOKUP($D751,VEHICULOS!$A$3:$H$202,8,FALSE)="","",VLOOKUP($D751,VEHICULOS!$A$3:$H$202,8,FALSE)),""))))</f>
      </c>
      <c r="BG751" s="106"/>
      <c r="BH751" s="107"/>
      <c r="BI751" s="86">
        <f t="shared" si="165"/>
      </c>
      <c r="BJ751" s="83">
        <f t="shared" si="166"/>
      </c>
      <c r="BK751" s="85">
        <f t="shared" si="167"/>
      </c>
      <c r="BL751" s="85">
        <f t="shared" si="168"/>
      </c>
      <c r="BM751" s="108"/>
      <c r="BN751" s="85">
        <f t="shared" si="169"/>
      </c>
      <c r="BO751" s="108"/>
      <c r="BP751" s="85">
        <f t="shared" si="170"/>
      </c>
      <c r="BQ751" s="85">
        <f t="shared" si="171"/>
      </c>
      <c r="BR751" s="108"/>
      <c r="BS751" s="104"/>
      <c r="BT751" s="87">
        <f t="shared" si="172"/>
      </c>
      <c r="BU751" s="85">
        <f t="shared" si="173"/>
      </c>
      <c r="BV751" s="85">
        <f t="shared" si="174"/>
      </c>
      <c r="BW751" s="87">
        <f t="shared" si="175"/>
      </c>
      <c r="BX751" s="104"/>
      <c r="BY751" s="106"/>
      <c r="BZ751" s="104"/>
      <c r="CA751" s="105"/>
      <c r="CB751" s="77">
        <f>IF($A751="",0,IF($B751='FICHA CLIENTE'!$C$4,1,0))</f>
      </c>
      <c r="CC751" s="77">
        <f t="shared" si="176"/>
      </c>
      <c r="CD751" s="77">
        <f>IF($A751="",0,IF($D751='FICHA VEHICULO'!$C$4,1,0))</f>
      </c>
      <c r="CE751" s="77">
        <f t="shared" si="177"/>
      </c>
      <c r="CF751" s="77">
        <f t="shared" si="178"/>
      </c>
      <c r="CG751" s="77">
        <f t="shared" si="179"/>
      </c>
    </row>
    <row r="752" spans="1:85" ht="19.5" customHeight="1" x14ac:dyDescent="0.2">
      <c r="A752" s="104"/>
      <c r="B752" s="104"/>
      <c r="C752" s="105"/>
      <c r="D752" s="104"/>
      <c r="E752" s="105"/>
      <c r="F752" s="106"/>
      <c r="G752" s="104"/>
      <c r="H752" s="106"/>
      <c r="I752" s="107"/>
      <c r="J752" s="108"/>
      <c r="K752" s="108"/>
      <c r="L752" s="108"/>
      <c r="M752" s="105"/>
      <c r="N752" s="105"/>
      <c r="O752" s="105"/>
      <c r="P752" s="108"/>
      <c r="Q752" s="105"/>
      <c r="R752" s="105"/>
      <c r="S752" s="105"/>
      <c r="T752" s="105"/>
      <c r="U752" s="108"/>
      <c r="V752" s="105"/>
      <c r="W752" s="105"/>
      <c r="X752" s="105"/>
      <c r="Y752" s="105"/>
      <c r="Z752" s="105"/>
      <c r="AA752" s="108"/>
      <c r="AB752" s="108"/>
      <c r="AC752" s="105"/>
      <c r="AD752" s="279"/>
      <c r="AE752" s="105"/>
      <c r="AF752" s="279"/>
      <c r="AG752" s="105"/>
      <c r="AH752" s="108"/>
      <c r="AI752" s="108"/>
      <c r="AJ752" s="108"/>
      <c r="AK752" s="108"/>
      <c r="AL752" s="105"/>
      <c r="AM752" s="108"/>
      <c r="AN752" s="105"/>
      <c r="AO752" s="108"/>
      <c r="AP752" s="108"/>
      <c r="AQ752" s="105"/>
      <c r="AR752" s="108"/>
      <c r="AS752" s="108"/>
      <c r="AT752" s="105"/>
      <c r="AU752" s="105"/>
      <c r="AV752" s="105"/>
      <c r="AW752" s="105"/>
      <c r="AX752" s="105"/>
      <c r="AY752" s="105"/>
      <c r="AZ752" s="105"/>
      <c r="BA752" s="105"/>
      <c r="BB752" s="105"/>
      <c r="BC752" s="105"/>
      <c r="BD752" s="108"/>
      <c r="BE752" s="83">
        <f>IF($A752="","",IF(TRIM($D752&amp;"")="",IF(TRIM($AX752&amp;$AY752&amp;$AZ752&amp;$BA752&amp;$BB752&amp;$BC752&amp;$BD752&amp;"")="","","SUBARRENDADO"),IFERROR(IF(VLOOKUP($D752,VEHICULOS!$A$3:$H$202,7,FALSE)="","",VLOOKUP($D752,VEHICULOS!$A$3:$H$202,7,FALSE)),"")))</f>
      </c>
      <c r="BF752" s="82">
        <f>IF($A752="","",IF(TRIM($BC752&amp;"")&lt;&gt;"",$BC752,IF(TRIM($D752&amp;"")="","",IFERROR(IF(VLOOKUP($D752,VEHICULOS!$A$3:$H$202,8,FALSE)="","",VLOOKUP($D752,VEHICULOS!$A$3:$H$202,8,FALSE)),""))))</f>
      </c>
      <c r="BG752" s="106"/>
      <c r="BH752" s="107"/>
      <c r="BI752" s="86">
        <f t="shared" si="165"/>
      </c>
      <c r="BJ752" s="83">
        <f t="shared" si="166"/>
      </c>
      <c r="BK752" s="85">
        <f t="shared" si="167"/>
      </c>
      <c r="BL752" s="85">
        <f t="shared" si="168"/>
      </c>
      <c r="BM752" s="108"/>
      <c r="BN752" s="85">
        <f t="shared" si="169"/>
      </c>
      <c r="BO752" s="108"/>
      <c r="BP752" s="85">
        <f t="shared" si="170"/>
      </c>
      <c r="BQ752" s="85">
        <f t="shared" si="171"/>
      </c>
      <c r="BR752" s="108"/>
      <c r="BS752" s="104"/>
      <c r="BT752" s="87">
        <f t="shared" si="172"/>
      </c>
      <c r="BU752" s="85">
        <f t="shared" si="173"/>
      </c>
      <c r="BV752" s="85">
        <f t="shared" si="174"/>
      </c>
      <c r="BW752" s="87">
        <f t="shared" si="175"/>
      </c>
      <c r="BX752" s="104"/>
      <c r="BY752" s="106"/>
      <c r="BZ752" s="104"/>
      <c r="CA752" s="105"/>
      <c r="CB752" s="77">
        <f>IF($A752="",0,IF($B752='FICHA CLIENTE'!$C$4,1,0))</f>
      </c>
      <c r="CC752" s="77">
        <f t="shared" si="176"/>
      </c>
      <c r="CD752" s="77">
        <f>IF($A752="",0,IF($D752='FICHA VEHICULO'!$C$4,1,0))</f>
      </c>
      <c r="CE752" s="77">
        <f t="shared" si="177"/>
      </c>
      <c r="CF752" s="77">
        <f t="shared" si="178"/>
      </c>
      <c r="CG752" s="77">
        <f t="shared" si="179"/>
      </c>
    </row>
    <row r="753" spans="1:85" ht="19.5" customHeight="1" x14ac:dyDescent="0.2">
      <c r="A753" s="104"/>
      <c r="B753" s="104"/>
      <c r="C753" s="105"/>
      <c r="D753" s="104"/>
      <c r="E753" s="105"/>
      <c r="F753" s="106"/>
      <c r="G753" s="104"/>
      <c r="H753" s="106"/>
      <c r="I753" s="107"/>
      <c r="J753" s="108"/>
      <c r="K753" s="108"/>
      <c r="L753" s="108"/>
      <c r="M753" s="105"/>
      <c r="N753" s="105"/>
      <c r="O753" s="105"/>
      <c r="P753" s="108"/>
      <c r="Q753" s="105"/>
      <c r="R753" s="105"/>
      <c r="S753" s="105"/>
      <c r="T753" s="105"/>
      <c r="U753" s="108"/>
      <c r="V753" s="105"/>
      <c r="W753" s="105"/>
      <c r="X753" s="105"/>
      <c r="Y753" s="105"/>
      <c r="Z753" s="105"/>
      <c r="AA753" s="108"/>
      <c r="AB753" s="108"/>
      <c r="AC753" s="105"/>
      <c r="AD753" s="279"/>
      <c r="AE753" s="105"/>
      <c r="AF753" s="279"/>
      <c r="AG753" s="105"/>
      <c r="AH753" s="108"/>
      <c r="AI753" s="108"/>
      <c r="AJ753" s="108"/>
      <c r="AK753" s="108"/>
      <c r="AL753" s="105"/>
      <c r="AM753" s="108"/>
      <c r="AN753" s="105"/>
      <c r="AO753" s="108"/>
      <c r="AP753" s="108"/>
      <c r="AQ753" s="105"/>
      <c r="AR753" s="108"/>
      <c r="AS753" s="108"/>
      <c r="AT753" s="105"/>
      <c r="AU753" s="105"/>
      <c r="AV753" s="105"/>
      <c r="AW753" s="105"/>
      <c r="AX753" s="105"/>
      <c r="AY753" s="105"/>
      <c r="AZ753" s="105"/>
      <c r="BA753" s="105"/>
      <c r="BB753" s="105"/>
      <c r="BC753" s="105"/>
      <c r="BD753" s="108"/>
      <c r="BE753" s="83">
        <f>IF($A753="","",IF(TRIM($D753&amp;"")="",IF(TRIM($AX753&amp;$AY753&amp;$AZ753&amp;$BA753&amp;$BB753&amp;$BC753&amp;$BD753&amp;"")="","","SUBARRENDADO"),IFERROR(IF(VLOOKUP($D753,VEHICULOS!$A$3:$H$202,7,FALSE)="","",VLOOKUP($D753,VEHICULOS!$A$3:$H$202,7,FALSE)),"")))</f>
      </c>
      <c r="BF753" s="82">
        <f>IF($A753="","",IF(TRIM($BC753&amp;"")&lt;&gt;"",$BC753,IF(TRIM($D753&amp;"")="","",IFERROR(IF(VLOOKUP($D753,VEHICULOS!$A$3:$H$202,8,FALSE)="","",VLOOKUP($D753,VEHICULOS!$A$3:$H$202,8,FALSE)),""))))</f>
      </c>
      <c r="BG753" s="106"/>
      <c r="BH753" s="107"/>
      <c r="BI753" s="86">
        <f t="shared" si="165"/>
      </c>
      <c r="BJ753" s="83">
        <f t="shared" si="166"/>
      </c>
      <c r="BK753" s="85">
        <f t="shared" si="167"/>
      </c>
      <c r="BL753" s="85">
        <f t="shared" si="168"/>
      </c>
      <c r="BM753" s="108"/>
      <c r="BN753" s="85">
        <f t="shared" si="169"/>
      </c>
      <c r="BO753" s="108"/>
      <c r="BP753" s="85">
        <f t="shared" si="170"/>
      </c>
      <c r="BQ753" s="85">
        <f t="shared" si="171"/>
      </c>
      <c r="BR753" s="108"/>
      <c r="BS753" s="104"/>
      <c r="BT753" s="87">
        <f t="shared" si="172"/>
      </c>
      <c r="BU753" s="85">
        <f t="shared" si="173"/>
      </c>
      <c r="BV753" s="85">
        <f t="shared" si="174"/>
      </c>
      <c r="BW753" s="87">
        <f t="shared" si="175"/>
      </c>
      <c r="BX753" s="104"/>
      <c r="BY753" s="106"/>
      <c r="BZ753" s="104"/>
      <c r="CA753" s="105"/>
      <c r="CB753" s="77">
        <f>IF($A753="",0,IF($B753='FICHA CLIENTE'!$C$4,1,0))</f>
      </c>
      <c r="CC753" s="77">
        <f t="shared" si="176"/>
      </c>
      <c r="CD753" s="77">
        <f>IF($A753="",0,IF($D753='FICHA VEHICULO'!$C$4,1,0))</f>
      </c>
      <c r="CE753" s="77">
        <f t="shared" si="177"/>
      </c>
      <c r="CF753" s="77">
        <f t="shared" si="178"/>
      </c>
      <c r="CG753" s="77">
        <f t="shared" si="179"/>
      </c>
    </row>
    <row r="754" spans="1:85" ht="19.5" customHeight="1" x14ac:dyDescent="0.2">
      <c r="A754" s="104"/>
      <c r="B754" s="104"/>
      <c r="C754" s="105"/>
      <c r="D754" s="104"/>
      <c r="E754" s="105"/>
      <c r="F754" s="106"/>
      <c r="G754" s="104"/>
      <c r="H754" s="106"/>
      <c r="I754" s="107"/>
      <c r="J754" s="108"/>
      <c r="K754" s="108"/>
      <c r="L754" s="108"/>
      <c r="M754" s="105"/>
      <c r="N754" s="105"/>
      <c r="O754" s="105"/>
      <c r="P754" s="108"/>
      <c r="Q754" s="105"/>
      <c r="R754" s="105"/>
      <c r="S754" s="105"/>
      <c r="T754" s="105"/>
      <c r="U754" s="108"/>
      <c r="V754" s="105"/>
      <c r="W754" s="105"/>
      <c r="X754" s="105"/>
      <c r="Y754" s="105"/>
      <c r="Z754" s="105"/>
      <c r="AA754" s="108"/>
      <c r="AB754" s="108"/>
      <c r="AC754" s="105"/>
      <c r="AD754" s="279"/>
      <c r="AE754" s="105"/>
      <c r="AF754" s="279"/>
      <c r="AG754" s="105"/>
      <c r="AH754" s="108"/>
      <c r="AI754" s="108"/>
      <c r="AJ754" s="108"/>
      <c r="AK754" s="108"/>
      <c r="AL754" s="105"/>
      <c r="AM754" s="108"/>
      <c r="AN754" s="105"/>
      <c r="AO754" s="108"/>
      <c r="AP754" s="108"/>
      <c r="AQ754" s="105"/>
      <c r="AR754" s="108"/>
      <c r="AS754" s="108"/>
      <c r="AT754" s="105"/>
      <c r="AU754" s="105"/>
      <c r="AV754" s="105"/>
      <c r="AW754" s="105"/>
      <c r="AX754" s="105"/>
      <c r="AY754" s="105"/>
      <c r="AZ754" s="105"/>
      <c r="BA754" s="105"/>
      <c r="BB754" s="105"/>
      <c r="BC754" s="105"/>
      <c r="BD754" s="108"/>
      <c r="BE754" s="83">
        <f>IF($A754="","",IF(TRIM($D754&amp;"")="",IF(TRIM($AX754&amp;$AY754&amp;$AZ754&amp;$BA754&amp;$BB754&amp;$BC754&amp;$BD754&amp;"")="","","SUBARRENDADO"),IFERROR(IF(VLOOKUP($D754,VEHICULOS!$A$3:$H$202,7,FALSE)="","",VLOOKUP($D754,VEHICULOS!$A$3:$H$202,7,FALSE)),"")))</f>
      </c>
      <c r="BF754" s="82">
        <f>IF($A754="","",IF(TRIM($BC754&amp;"")&lt;&gt;"",$BC754,IF(TRIM($D754&amp;"")="","",IFERROR(IF(VLOOKUP($D754,VEHICULOS!$A$3:$H$202,8,FALSE)="","",VLOOKUP($D754,VEHICULOS!$A$3:$H$202,8,FALSE)),""))))</f>
      </c>
      <c r="BG754" s="106"/>
      <c r="BH754" s="107"/>
      <c r="BI754" s="86">
        <f t="shared" si="165"/>
      </c>
      <c r="BJ754" s="83">
        <f t="shared" si="166"/>
      </c>
      <c r="BK754" s="85">
        <f t="shared" si="167"/>
      </c>
      <c r="BL754" s="85">
        <f t="shared" si="168"/>
      </c>
      <c r="BM754" s="108"/>
      <c r="BN754" s="85">
        <f t="shared" si="169"/>
      </c>
      <c r="BO754" s="108"/>
      <c r="BP754" s="85">
        <f t="shared" si="170"/>
      </c>
      <c r="BQ754" s="85">
        <f t="shared" si="171"/>
      </c>
      <c r="BR754" s="108"/>
      <c r="BS754" s="104"/>
      <c r="BT754" s="87">
        <f t="shared" si="172"/>
      </c>
      <c r="BU754" s="85">
        <f t="shared" si="173"/>
      </c>
      <c r="BV754" s="85">
        <f t="shared" si="174"/>
      </c>
      <c r="BW754" s="87">
        <f t="shared" si="175"/>
      </c>
      <c r="BX754" s="104"/>
      <c r="BY754" s="106"/>
      <c r="BZ754" s="104"/>
      <c r="CA754" s="105"/>
      <c r="CB754" s="77">
        <f>IF($A754="",0,IF($B754='FICHA CLIENTE'!$C$4,1,0))</f>
      </c>
      <c r="CC754" s="77">
        <f t="shared" si="176"/>
      </c>
      <c r="CD754" s="77">
        <f>IF($A754="",0,IF($D754='FICHA VEHICULO'!$C$4,1,0))</f>
      </c>
      <c r="CE754" s="77">
        <f t="shared" si="177"/>
      </c>
      <c r="CF754" s="77">
        <f t="shared" si="178"/>
      </c>
      <c r="CG754" s="77">
        <f t="shared" si="179"/>
      </c>
    </row>
    <row r="755" spans="1:85" ht="19.5" customHeight="1" x14ac:dyDescent="0.2">
      <c r="A755" s="104"/>
      <c r="B755" s="104"/>
      <c r="C755" s="105"/>
      <c r="D755" s="104"/>
      <c r="E755" s="105"/>
      <c r="F755" s="106"/>
      <c r="G755" s="104"/>
      <c r="H755" s="106"/>
      <c r="I755" s="107"/>
      <c r="J755" s="108"/>
      <c r="K755" s="108"/>
      <c r="L755" s="108"/>
      <c r="M755" s="105"/>
      <c r="N755" s="105"/>
      <c r="O755" s="105"/>
      <c r="P755" s="108"/>
      <c r="Q755" s="105"/>
      <c r="R755" s="105"/>
      <c r="S755" s="105"/>
      <c r="T755" s="105"/>
      <c r="U755" s="108"/>
      <c r="V755" s="105"/>
      <c r="W755" s="105"/>
      <c r="X755" s="105"/>
      <c r="Y755" s="105"/>
      <c r="Z755" s="105"/>
      <c r="AA755" s="108"/>
      <c r="AB755" s="108"/>
      <c r="AC755" s="105"/>
      <c r="AD755" s="279"/>
      <c r="AE755" s="105"/>
      <c r="AF755" s="279"/>
      <c r="AG755" s="105"/>
      <c r="AH755" s="108"/>
      <c r="AI755" s="108"/>
      <c r="AJ755" s="108"/>
      <c r="AK755" s="108"/>
      <c r="AL755" s="105"/>
      <c r="AM755" s="108"/>
      <c r="AN755" s="105"/>
      <c r="AO755" s="108"/>
      <c r="AP755" s="108"/>
      <c r="AQ755" s="105"/>
      <c r="AR755" s="108"/>
      <c r="AS755" s="108"/>
      <c r="AT755" s="105"/>
      <c r="AU755" s="105"/>
      <c r="AV755" s="105"/>
      <c r="AW755" s="105"/>
      <c r="AX755" s="105"/>
      <c r="AY755" s="105"/>
      <c r="AZ755" s="105"/>
      <c r="BA755" s="105"/>
      <c r="BB755" s="105"/>
      <c r="BC755" s="105"/>
      <c r="BD755" s="108"/>
      <c r="BE755" s="83">
        <f>IF($A755="","",IF(TRIM($D755&amp;"")="",IF(TRIM($AX755&amp;$AY755&amp;$AZ755&amp;$BA755&amp;$BB755&amp;$BC755&amp;$BD755&amp;"")="","","SUBARRENDADO"),IFERROR(IF(VLOOKUP($D755,VEHICULOS!$A$3:$H$202,7,FALSE)="","",VLOOKUP($D755,VEHICULOS!$A$3:$H$202,7,FALSE)),"")))</f>
      </c>
      <c r="BF755" s="82">
        <f>IF($A755="","",IF(TRIM($BC755&amp;"")&lt;&gt;"",$BC755,IF(TRIM($D755&amp;"")="","",IFERROR(IF(VLOOKUP($D755,VEHICULOS!$A$3:$H$202,8,FALSE)="","",VLOOKUP($D755,VEHICULOS!$A$3:$H$202,8,FALSE)),""))))</f>
      </c>
      <c r="BG755" s="106"/>
      <c r="BH755" s="107"/>
      <c r="BI755" s="86">
        <f t="shared" si="165"/>
      </c>
      <c r="BJ755" s="83">
        <f t="shared" si="166"/>
      </c>
      <c r="BK755" s="85">
        <f t="shared" si="167"/>
      </c>
      <c r="BL755" s="85">
        <f t="shared" si="168"/>
      </c>
      <c r="BM755" s="108"/>
      <c r="BN755" s="85">
        <f t="shared" si="169"/>
      </c>
      <c r="BO755" s="108"/>
      <c r="BP755" s="85">
        <f t="shared" si="170"/>
      </c>
      <c r="BQ755" s="85">
        <f t="shared" si="171"/>
      </c>
      <c r="BR755" s="108"/>
      <c r="BS755" s="104"/>
      <c r="BT755" s="87">
        <f t="shared" si="172"/>
      </c>
      <c r="BU755" s="85">
        <f t="shared" si="173"/>
      </c>
      <c r="BV755" s="85">
        <f t="shared" si="174"/>
      </c>
      <c r="BW755" s="87">
        <f t="shared" si="175"/>
      </c>
      <c r="BX755" s="104"/>
      <c r="BY755" s="106"/>
      <c r="BZ755" s="104"/>
      <c r="CA755" s="105"/>
      <c r="CB755" s="77">
        <f>IF($A755="",0,IF($B755='FICHA CLIENTE'!$C$4,1,0))</f>
      </c>
      <c r="CC755" s="77">
        <f t="shared" si="176"/>
      </c>
      <c r="CD755" s="77">
        <f>IF($A755="",0,IF($D755='FICHA VEHICULO'!$C$4,1,0))</f>
      </c>
      <c r="CE755" s="77">
        <f t="shared" si="177"/>
      </c>
      <c r="CF755" s="77">
        <f t="shared" si="178"/>
      </c>
      <c r="CG755" s="77">
        <f t="shared" si="179"/>
      </c>
    </row>
    <row r="756" spans="1:85" ht="19.5" customHeight="1" x14ac:dyDescent="0.2">
      <c r="A756" s="104"/>
      <c r="B756" s="104"/>
      <c r="C756" s="105"/>
      <c r="D756" s="104"/>
      <c r="E756" s="105"/>
      <c r="F756" s="106"/>
      <c r="G756" s="104"/>
      <c r="H756" s="106"/>
      <c r="I756" s="107"/>
      <c r="J756" s="108"/>
      <c r="K756" s="108"/>
      <c r="L756" s="108"/>
      <c r="M756" s="105"/>
      <c r="N756" s="105"/>
      <c r="O756" s="105"/>
      <c r="P756" s="108"/>
      <c r="Q756" s="105"/>
      <c r="R756" s="105"/>
      <c r="S756" s="105"/>
      <c r="T756" s="105"/>
      <c r="U756" s="108"/>
      <c r="V756" s="105"/>
      <c r="W756" s="105"/>
      <c r="X756" s="105"/>
      <c r="Y756" s="105"/>
      <c r="Z756" s="105"/>
      <c r="AA756" s="108"/>
      <c r="AB756" s="108"/>
      <c r="AC756" s="105"/>
      <c r="AD756" s="279"/>
      <c r="AE756" s="105"/>
      <c r="AF756" s="279"/>
      <c r="AG756" s="105"/>
      <c r="AH756" s="108"/>
      <c r="AI756" s="108"/>
      <c r="AJ756" s="108"/>
      <c r="AK756" s="108"/>
      <c r="AL756" s="105"/>
      <c r="AM756" s="108"/>
      <c r="AN756" s="105"/>
      <c r="AO756" s="108"/>
      <c r="AP756" s="108"/>
      <c r="AQ756" s="105"/>
      <c r="AR756" s="108"/>
      <c r="AS756" s="108"/>
      <c r="AT756" s="105"/>
      <c r="AU756" s="105"/>
      <c r="AV756" s="105"/>
      <c r="AW756" s="105"/>
      <c r="AX756" s="105"/>
      <c r="AY756" s="105"/>
      <c r="AZ756" s="105"/>
      <c r="BA756" s="105"/>
      <c r="BB756" s="105"/>
      <c r="BC756" s="105"/>
      <c r="BD756" s="108"/>
      <c r="BE756" s="83">
        <f>IF($A756="","",IF(TRIM($D756&amp;"")="",IF(TRIM($AX756&amp;$AY756&amp;$AZ756&amp;$BA756&amp;$BB756&amp;$BC756&amp;$BD756&amp;"")="","","SUBARRENDADO"),IFERROR(IF(VLOOKUP($D756,VEHICULOS!$A$3:$H$202,7,FALSE)="","",VLOOKUP($D756,VEHICULOS!$A$3:$H$202,7,FALSE)),"")))</f>
      </c>
      <c r="BF756" s="82">
        <f>IF($A756="","",IF(TRIM($BC756&amp;"")&lt;&gt;"",$BC756,IF(TRIM($D756&amp;"")="","",IFERROR(IF(VLOOKUP($D756,VEHICULOS!$A$3:$H$202,8,FALSE)="","",VLOOKUP($D756,VEHICULOS!$A$3:$H$202,8,FALSE)),""))))</f>
      </c>
      <c r="BG756" s="106"/>
      <c r="BH756" s="107"/>
      <c r="BI756" s="86">
        <f t="shared" si="165"/>
      </c>
      <c r="BJ756" s="83">
        <f t="shared" si="166"/>
      </c>
      <c r="BK756" s="85">
        <f t="shared" si="167"/>
      </c>
      <c r="BL756" s="85">
        <f t="shared" si="168"/>
      </c>
      <c r="BM756" s="108"/>
      <c r="BN756" s="85">
        <f t="shared" si="169"/>
      </c>
      <c r="BO756" s="108"/>
      <c r="BP756" s="85">
        <f t="shared" si="170"/>
      </c>
      <c r="BQ756" s="85">
        <f t="shared" si="171"/>
      </c>
      <c r="BR756" s="108"/>
      <c r="BS756" s="104"/>
      <c r="BT756" s="87">
        <f t="shared" si="172"/>
      </c>
      <c r="BU756" s="85">
        <f t="shared" si="173"/>
      </c>
      <c r="BV756" s="85">
        <f t="shared" si="174"/>
      </c>
      <c r="BW756" s="87">
        <f t="shared" si="175"/>
      </c>
      <c r="BX756" s="104"/>
      <c r="BY756" s="106"/>
      <c r="BZ756" s="104"/>
      <c r="CA756" s="105"/>
      <c r="CB756" s="77">
        <f>IF($A756="",0,IF($B756='FICHA CLIENTE'!$C$4,1,0))</f>
      </c>
      <c r="CC756" s="77">
        <f t="shared" si="176"/>
      </c>
      <c r="CD756" s="77">
        <f>IF($A756="",0,IF($D756='FICHA VEHICULO'!$C$4,1,0))</f>
      </c>
      <c r="CE756" s="77">
        <f t="shared" si="177"/>
      </c>
      <c r="CF756" s="77">
        <f t="shared" si="178"/>
      </c>
      <c r="CG756" s="77">
        <f t="shared" si="179"/>
      </c>
    </row>
    <row r="757" spans="1:85" ht="19.5" customHeight="1" x14ac:dyDescent="0.2">
      <c r="A757" s="104"/>
      <c r="B757" s="104"/>
      <c r="C757" s="105"/>
      <c r="D757" s="104"/>
      <c r="E757" s="105"/>
      <c r="F757" s="106"/>
      <c r="G757" s="104"/>
      <c r="H757" s="106"/>
      <c r="I757" s="107"/>
      <c r="J757" s="108"/>
      <c r="K757" s="108"/>
      <c r="L757" s="108"/>
      <c r="M757" s="105"/>
      <c r="N757" s="105"/>
      <c r="O757" s="105"/>
      <c r="P757" s="108"/>
      <c r="Q757" s="105"/>
      <c r="R757" s="105"/>
      <c r="S757" s="105"/>
      <c r="T757" s="105"/>
      <c r="U757" s="108"/>
      <c r="V757" s="105"/>
      <c r="W757" s="105"/>
      <c r="X757" s="105"/>
      <c r="Y757" s="105"/>
      <c r="Z757" s="105"/>
      <c r="AA757" s="108"/>
      <c r="AB757" s="108"/>
      <c r="AC757" s="105"/>
      <c r="AD757" s="279"/>
      <c r="AE757" s="105"/>
      <c r="AF757" s="279"/>
      <c r="AG757" s="105"/>
      <c r="AH757" s="108"/>
      <c r="AI757" s="108"/>
      <c r="AJ757" s="108"/>
      <c r="AK757" s="108"/>
      <c r="AL757" s="105"/>
      <c r="AM757" s="108"/>
      <c r="AN757" s="105"/>
      <c r="AO757" s="108"/>
      <c r="AP757" s="108"/>
      <c r="AQ757" s="105"/>
      <c r="AR757" s="108"/>
      <c r="AS757" s="108"/>
      <c r="AT757" s="105"/>
      <c r="AU757" s="105"/>
      <c r="AV757" s="105"/>
      <c r="AW757" s="105"/>
      <c r="AX757" s="105"/>
      <c r="AY757" s="105"/>
      <c r="AZ757" s="105"/>
      <c r="BA757" s="105"/>
      <c r="BB757" s="105"/>
      <c r="BC757" s="105"/>
      <c r="BD757" s="108"/>
      <c r="BE757" s="83">
        <f>IF($A757="","",IF(TRIM($D757&amp;"")="",IF(TRIM($AX757&amp;$AY757&amp;$AZ757&amp;$BA757&amp;$BB757&amp;$BC757&amp;$BD757&amp;"")="","","SUBARRENDADO"),IFERROR(IF(VLOOKUP($D757,VEHICULOS!$A$3:$H$202,7,FALSE)="","",VLOOKUP($D757,VEHICULOS!$A$3:$H$202,7,FALSE)),"")))</f>
      </c>
      <c r="BF757" s="82">
        <f>IF($A757="","",IF(TRIM($BC757&amp;"")&lt;&gt;"",$BC757,IF(TRIM($D757&amp;"")="","",IFERROR(IF(VLOOKUP($D757,VEHICULOS!$A$3:$H$202,8,FALSE)="","",VLOOKUP($D757,VEHICULOS!$A$3:$H$202,8,FALSE)),""))))</f>
      </c>
      <c r="BG757" s="106"/>
      <c r="BH757" s="107"/>
      <c r="BI757" s="86">
        <f t="shared" si="165"/>
      </c>
      <c r="BJ757" s="83">
        <f t="shared" si="166"/>
      </c>
      <c r="BK757" s="85">
        <f t="shared" si="167"/>
      </c>
      <c r="BL757" s="85">
        <f t="shared" si="168"/>
      </c>
      <c r="BM757" s="108"/>
      <c r="BN757" s="85">
        <f t="shared" si="169"/>
      </c>
      <c r="BO757" s="108"/>
      <c r="BP757" s="85">
        <f t="shared" si="170"/>
      </c>
      <c r="BQ757" s="85">
        <f t="shared" si="171"/>
      </c>
      <c r="BR757" s="108"/>
      <c r="BS757" s="104"/>
      <c r="BT757" s="87">
        <f t="shared" si="172"/>
      </c>
      <c r="BU757" s="85">
        <f t="shared" si="173"/>
      </c>
      <c r="BV757" s="85">
        <f t="shared" si="174"/>
      </c>
      <c r="BW757" s="87">
        <f t="shared" si="175"/>
      </c>
      <c r="BX757" s="104"/>
      <c r="BY757" s="106"/>
      <c r="BZ757" s="104"/>
      <c r="CA757" s="105"/>
      <c r="CB757" s="77">
        <f>IF($A757="",0,IF($B757='FICHA CLIENTE'!$C$4,1,0))</f>
      </c>
      <c r="CC757" s="77">
        <f t="shared" si="176"/>
      </c>
      <c r="CD757" s="77">
        <f>IF($A757="",0,IF($D757='FICHA VEHICULO'!$C$4,1,0))</f>
      </c>
      <c r="CE757" s="77">
        <f t="shared" si="177"/>
      </c>
      <c r="CF757" s="77">
        <f t="shared" si="178"/>
      </c>
      <c r="CG757" s="77">
        <f t="shared" si="179"/>
      </c>
    </row>
    <row r="758" spans="1:85" ht="19.5" customHeight="1" x14ac:dyDescent="0.2">
      <c r="A758" s="104"/>
      <c r="B758" s="104"/>
      <c r="C758" s="105"/>
      <c r="D758" s="104"/>
      <c r="E758" s="105"/>
      <c r="F758" s="106"/>
      <c r="G758" s="104"/>
      <c r="H758" s="106"/>
      <c r="I758" s="107"/>
      <c r="J758" s="108"/>
      <c r="K758" s="108"/>
      <c r="L758" s="108"/>
      <c r="M758" s="105"/>
      <c r="N758" s="105"/>
      <c r="O758" s="105"/>
      <c r="P758" s="108"/>
      <c r="Q758" s="105"/>
      <c r="R758" s="105"/>
      <c r="S758" s="105"/>
      <c r="T758" s="105"/>
      <c r="U758" s="108"/>
      <c r="V758" s="105"/>
      <c r="W758" s="105"/>
      <c r="X758" s="105"/>
      <c r="Y758" s="105"/>
      <c r="Z758" s="105"/>
      <c r="AA758" s="108"/>
      <c r="AB758" s="108"/>
      <c r="AC758" s="105"/>
      <c r="AD758" s="279"/>
      <c r="AE758" s="105"/>
      <c r="AF758" s="279"/>
      <c r="AG758" s="105"/>
      <c r="AH758" s="108"/>
      <c r="AI758" s="108"/>
      <c r="AJ758" s="108"/>
      <c r="AK758" s="108"/>
      <c r="AL758" s="105"/>
      <c r="AM758" s="108"/>
      <c r="AN758" s="105"/>
      <c r="AO758" s="108"/>
      <c r="AP758" s="108"/>
      <c r="AQ758" s="105"/>
      <c r="AR758" s="108"/>
      <c r="AS758" s="108"/>
      <c r="AT758" s="105"/>
      <c r="AU758" s="105"/>
      <c r="AV758" s="105"/>
      <c r="AW758" s="105"/>
      <c r="AX758" s="105"/>
      <c r="AY758" s="105"/>
      <c r="AZ758" s="105"/>
      <c r="BA758" s="105"/>
      <c r="BB758" s="105"/>
      <c r="BC758" s="105"/>
      <c r="BD758" s="108"/>
      <c r="BE758" s="83">
        <f>IF($A758="","",IF(TRIM($D758&amp;"")="",IF(TRIM($AX758&amp;$AY758&amp;$AZ758&amp;$BA758&amp;$BB758&amp;$BC758&amp;$BD758&amp;"")="","","SUBARRENDADO"),IFERROR(IF(VLOOKUP($D758,VEHICULOS!$A$3:$H$202,7,FALSE)="","",VLOOKUP($D758,VEHICULOS!$A$3:$H$202,7,FALSE)),"")))</f>
      </c>
      <c r="BF758" s="82">
        <f>IF($A758="","",IF(TRIM($BC758&amp;"")&lt;&gt;"",$BC758,IF(TRIM($D758&amp;"")="","",IFERROR(IF(VLOOKUP($D758,VEHICULOS!$A$3:$H$202,8,FALSE)="","",VLOOKUP($D758,VEHICULOS!$A$3:$H$202,8,FALSE)),""))))</f>
      </c>
      <c r="BG758" s="106"/>
      <c r="BH758" s="107"/>
      <c r="BI758" s="86">
        <f t="shared" si="165"/>
      </c>
      <c r="BJ758" s="83">
        <f t="shared" si="166"/>
      </c>
      <c r="BK758" s="85">
        <f t="shared" si="167"/>
      </c>
      <c r="BL758" s="85">
        <f t="shared" si="168"/>
      </c>
      <c r="BM758" s="108"/>
      <c r="BN758" s="85">
        <f t="shared" si="169"/>
      </c>
      <c r="BO758" s="108"/>
      <c r="BP758" s="85">
        <f t="shared" si="170"/>
      </c>
      <c r="BQ758" s="85">
        <f t="shared" si="171"/>
      </c>
      <c r="BR758" s="108"/>
      <c r="BS758" s="104"/>
      <c r="BT758" s="87">
        <f t="shared" si="172"/>
      </c>
      <c r="BU758" s="85">
        <f t="shared" si="173"/>
      </c>
      <c r="BV758" s="85">
        <f t="shared" si="174"/>
      </c>
      <c r="BW758" s="87">
        <f t="shared" si="175"/>
      </c>
      <c r="BX758" s="104"/>
      <c r="BY758" s="106"/>
      <c r="BZ758" s="104"/>
      <c r="CA758" s="105"/>
      <c r="CB758" s="77">
        <f>IF($A758="",0,IF($B758='FICHA CLIENTE'!$C$4,1,0))</f>
      </c>
      <c r="CC758" s="77">
        <f t="shared" si="176"/>
      </c>
      <c r="CD758" s="77">
        <f>IF($A758="",0,IF($D758='FICHA VEHICULO'!$C$4,1,0))</f>
      </c>
      <c r="CE758" s="77">
        <f t="shared" si="177"/>
      </c>
      <c r="CF758" s="77">
        <f t="shared" si="178"/>
      </c>
      <c r="CG758" s="77">
        <f t="shared" si="179"/>
      </c>
    </row>
    <row r="759" spans="1:85" ht="19.5" customHeight="1" x14ac:dyDescent="0.2">
      <c r="A759" s="104"/>
      <c r="B759" s="104"/>
      <c r="C759" s="105"/>
      <c r="D759" s="104"/>
      <c r="E759" s="105"/>
      <c r="F759" s="106"/>
      <c r="G759" s="104"/>
      <c r="H759" s="106"/>
      <c r="I759" s="107"/>
      <c r="J759" s="108"/>
      <c r="K759" s="108"/>
      <c r="L759" s="108"/>
      <c r="M759" s="105"/>
      <c r="N759" s="105"/>
      <c r="O759" s="105"/>
      <c r="P759" s="108"/>
      <c r="Q759" s="105"/>
      <c r="R759" s="105"/>
      <c r="S759" s="105"/>
      <c r="T759" s="105"/>
      <c r="U759" s="108"/>
      <c r="V759" s="105"/>
      <c r="W759" s="105"/>
      <c r="X759" s="105"/>
      <c r="Y759" s="105"/>
      <c r="Z759" s="105"/>
      <c r="AA759" s="108"/>
      <c r="AB759" s="108"/>
      <c r="AC759" s="105"/>
      <c r="AD759" s="279"/>
      <c r="AE759" s="105"/>
      <c r="AF759" s="279"/>
      <c r="AG759" s="105"/>
      <c r="AH759" s="108"/>
      <c r="AI759" s="108"/>
      <c r="AJ759" s="108"/>
      <c r="AK759" s="108"/>
      <c r="AL759" s="105"/>
      <c r="AM759" s="108"/>
      <c r="AN759" s="105"/>
      <c r="AO759" s="108"/>
      <c r="AP759" s="108"/>
      <c r="AQ759" s="105"/>
      <c r="AR759" s="108"/>
      <c r="AS759" s="108"/>
      <c r="AT759" s="105"/>
      <c r="AU759" s="105"/>
      <c r="AV759" s="105"/>
      <c r="AW759" s="105"/>
      <c r="AX759" s="105"/>
      <c r="AY759" s="105"/>
      <c r="AZ759" s="105"/>
      <c r="BA759" s="105"/>
      <c r="BB759" s="105"/>
      <c r="BC759" s="105"/>
      <c r="BD759" s="108"/>
      <c r="BE759" s="83">
        <f>IF($A759="","",IF(TRIM($D759&amp;"")="",IF(TRIM($AX759&amp;$AY759&amp;$AZ759&amp;$BA759&amp;$BB759&amp;$BC759&amp;$BD759&amp;"")="","","SUBARRENDADO"),IFERROR(IF(VLOOKUP($D759,VEHICULOS!$A$3:$H$202,7,FALSE)="","",VLOOKUP($D759,VEHICULOS!$A$3:$H$202,7,FALSE)),"")))</f>
      </c>
      <c r="BF759" s="82">
        <f>IF($A759="","",IF(TRIM($BC759&amp;"")&lt;&gt;"",$BC759,IF(TRIM($D759&amp;"")="","",IFERROR(IF(VLOOKUP($D759,VEHICULOS!$A$3:$H$202,8,FALSE)="","",VLOOKUP($D759,VEHICULOS!$A$3:$H$202,8,FALSE)),""))))</f>
      </c>
      <c r="BG759" s="106"/>
      <c r="BH759" s="107"/>
      <c r="BI759" s="86">
        <f t="shared" si="165"/>
      </c>
      <c r="BJ759" s="83">
        <f t="shared" si="166"/>
      </c>
      <c r="BK759" s="85">
        <f t="shared" si="167"/>
      </c>
      <c r="BL759" s="85">
        <f t="shared" si="168"/>
      </c>
      <c r="BM759" s="108"/>
      <c r="BN759" s="85">
        <f t="shared" si="169"/>
      </c>
      <c r="BO759" s="108"/>
      <c r="BP759" s="85">
        <f t="shared" si="170"/>
      </c>
      <c r="BQ759" s="85">
        <f t="shared" si="171"/>
      </c>
      <c r="BR759" s="108"/>
      <c r="BS759" s="104"/>
      <c r="BT759" s="87">
        <f t="shared" si="172"/>
      </c>
      <c r="BU759" s="85">
        <f t="shared" si="173"/>
      </c>
      <c r="BV759" s="85">
        <f t="shared" si="174"/>
      </c>
      <c r="BW759" s="87">
        <f t="shared" si="175"/>
      </c>
      <c r="BX759" s="104"/>
      <c r="BY759" s="106"/>
      <c r="BZ759" s="104"/>
      <c r="CA759" s="105"/>
      <c r="CB759" s="77">
        <f>IF($A759="",0,IF($B759='FICHA CLIENTE'!$C$4,1,0))</f>
      </c>
      <c r="CC759" s="77">
        <f t="shared" si="176"/>
      </c>
      <c r="CD759" s="77">
        <f>IF($A759="",0,IF($D759='FICHA VEHICULO'!$C$4,1,0))</f>
      </c>
      <c r="CE759" s="77">
        <f t="shared" si="177"/>
      </c>
      <c r="CF759" s="77">
        <f t="shared" si="178"/>
      </c>
      <c r="CG759" s="77">
        <f t="shared" si="179"/>
      </c>
    </row>
    <row r="760" spans="1:85" ht="19.5" customHeight="1" x14ac:dyDescent="0.2">
      <c r="A760" s="104"/>
      <c r="B760" s="104"/>
      <c r="C760" s="105"/>
      <c r="D760" s="104"/>
      <c r="E760" s="105"/>
      <c r="F760" s="106"/>
      <c r="G760" s="104"/>
      <c r="H760" s="106"/>
      <c r="I760" s="107"/>
      <c r="J760" s="108"/>
      <c r="K760" s="108"/>
      <c r="L760" s="108"/>
      <c r="M760" s="105"/>
      <c r="N760" s="105"/>
      <c r="O760" s="105"/>
      <c r="P760" s="108"/>
      <c r="Q760" s="105"/>
      <c r="R760" s="105"/>
      <c r="S760" s="105"/>
      <c r="T760" s="105"/>
      <c r="U760" s="108"/>
      <c r="V760" s="105"/>
      <c r="W760" s="105"/>
      <c r="X760" s="105"/>
      <c r="Y760" s="105"/>
      <c r="Z760" s="105"/>
      <c r="AA760" s="108"/>
      <c r="AB760" s="108"/>
      <c r="AC760" s="105"/>
      <c r="AD760" s="279"/>
      <c r="AE760" s="105"/>
      <c r="AF760" s="279"/>
      <c r="AG760" s="105"/>
      <c r="AH760" s="108"/>
      <c r="AI760" s="108"/>
      <c r="AJ760" s="108"/>
      <c r="AK760" s="108"/>
      <c r="AL760" s="105"/>
      <c r="AM760" s="108"/>
      <c r="AN760" s="105"/>
      <c r="AO760" s="108"/>
      <c r="AP760" s="108"/>
      <c r="AQ760" s="105"/>
      <c r="AR760" s="108"/>
      <c r="AS760" s="108"/>
      <c r="AT760" s="105"/>
      <c r="AU760" s="105"/>
      <c r="AV760" s="105"/>
      <c r="AW760" s="105"/>
      <c r="AX760" s="105"/>
      <c r="AY760" s="105"/>
      <c r="AZ760" s="105"/>
      <c r="BA760" s="105"/>
      <c r="BB760" s="105"/>
      <c r="BC760" s="105"/>
      <c r="BD760" s="108"/>
      <c r="BE760" s="83">
        <f>IF($A760="","",IF(TRIM($D760&amp;"")="",IF(TRIM($AX760&amp;$AY760&amp;$AZ760&amp;$BA760&amp;$BB760&amp;$BC760&amp;$BD760&amp;"")="","","SUBARRENDADO"),IFERROR(IF(VLOOKUP($D760,VEHICULOS!$A$3:$H$202,7,FALSE)="","",VLOOKUP($D760,VEHICULOS!$A$3:$H$202,7,FALSE)),"")))</f>
      </c>
      <c r="BF760" s="82">
        <f>IF($A760="","",IF(TRIM($BC760&amp;"")&lt;&gt;"",$BC760,IF(TRIM($D760&amp;"")="","",IFERROR(IF(VLOOKUP($D760,VEHICULOS!$A$3:$H$202,8,FALSE)="","",VLOOKUP($D760,VEHICULOS!$A$3:$H$202,8,FALSE)),""))))</f>
      </c>
      <c r="BG760" s="106"/>
      <c r="BH760" s="107"/>
      <c r="BI760" s="86">
        <f t="shared" si="165"/>
      </c>
      <c r="BJ760" s="83">
        <f t="shared" si="166"/>
      </c>
      <c r="BK760" s="85">
        <f t="shared" si="167"/>
      </c>
      <c r="BL760" s="85">
        <f t="shared" si="168"/>
      </c>
      <c r="BM760" s="108"/>
      <c r="BN760" s="85">
        <f t="shared" si="169"/>
      </c>
      <c r="BO760" s="108"/>
      <c r="BP760" s="85">
        <f t="shared" si="170"/>
      </c>
      <c r="BQ760" s="85">
        <f t="shared" si="171"/>
      </c>
      <c r="BR760" s="108"/>
      <c r="BS760" s="104"/>
      <c r="BT760" s="87">
        <f t="shared" si="172"/>
      </c>
      <c r="BU760" s="85">
        <f t="shared" si="173"/>
      </c>
      <c r="BV760" s="85">
        <f t="shared" si="174"/>
      </c>
      <c r="BW760" s="87">
        <f t="shared" si="175"/>
      </c>
      <c r="BX760" s="104"/>
      <c r="BY760" s="106"/>
      <c r="BZ760" s="104"/>
      <c r="CA760" s="105"/>
      <c r="CB760" s="77">
        <f>IF($A760="",0,IF($B760='FICHA CLIENTE'!$C$4,1,0))</f>
      </c>
      <c r="CC760" s="77">
        <f t="shared" si="176"/>
      </c>
      <c r="CD760" s="77">
        <f>IF($A760="",0,IF($D760='FICHA VEHICULO'!$C$4,1,0))</f>
      </c>
      <c r="CE760" s="77">
        <f t="shared" si="177"/>
      </c>
      <c r="CF760" s="77">
        <f t="shared" si="178"/>
      </c>
      <c r="CG760" s="77">
        <f t="shared" si="179"/>
      </c>
    </row>
    <row r="761" spans="1:85" ht="19.5" customHeight="1" x14ac:dyDescent="0.2">
      <c r="A761" s="104"/>
      <c r="B761" s="104"/>
      <c r="C761" s="105"/>
      <c r="D761" s="104"/>
      <c r="E761" s="105"/>
      <c r="F761" s="106"/>
      <c r="G761" s="104"/>
      <c r="H761" s="106"/>
      <c r="I761" s="107"/>
      <c r="J761" s="108"/>
      <c r="K761" s="108"/>
      <c r="L761" s="108"/>
      <c r="M761" s="105"/>
      <c r="N761" s="105"/>
      <c r="O761" s="105"/>
      <c r="P761" s="108"/>
      <c r="Q761" s="105"/>
      <c r="R761" s="105"/>
      <c r="S761" s="105"/>
      <c r="T761" s="105"/>
      <c r="U761" s="108"/>
      <c r="V761" s="105"/>
      <c r="W761" s="105"/>
      <c r="X761" s="105"/>
      <c r="Y761" s="105"/>
      <c r="Z761" s="105"/>
      <c r="AA761" s="108"/>
      <c r="AB761" s="108"/>
      <c r="AC761" s="105"/>
      <c r="AD761" s="279"/>
      <c r="AE761" s="105"/>
      <c r="AF761" s="279"/>
      <c r="AG761" s="105"/>
      <c r="AH761" s="108"/>
      <c r="AI761" s="108"/>
      <c r="AJ761" s="108"/>
      <c r="AK761" s="108"/>
      <c r="AL761" s="105"/>
      <c r="AM761" s="108"/>
      <c r="AN761" s="105"/>
      <c r="AO761" s="108"/>
      <c r="AP761" s="108"/>
      <c r="AQ761" s="105"/>
      <c r="AR761" s="108"/>
      <c r="AS761" s="108"/>
      <c r="AT761" s="105"/>
      <c r="AU761" s="105"/>
      <c r="AV761" s="105"/>
      <c r="AW761" s="105"/>
      <c r="AX761" s="105"/>
      <c r="AY761" s="105"/>
      <c r="AZ761" s="105"/>
      <c r="BA761" s="105"/>
      <c r="BB761" s="105"/>
      <c r="BC761" s="105"/>
      <c r="BD761" s="108"/>
      <c r="BE761" s="83">
        <f>IF($A761="","",IF(TRIM($D761&amp;"")="",IF(TRIM($AX761&amp;$AY761&amp;$AZ761&amp;$BA761&amp;$BB761&amp;$BC761&amp;$BD761&amp;"")="","","SUBARRENDADO"),IFERROR(IF(VLOOKUP($D761,VEHICULOS!$A$3:$H$202,7,FALSE)="","",VLOOKUP($D761,VEHICULOS!$A$3:$H$202,7,FALSE)),"")))</f>
      </c>
      <c r="BF761" s="82">
        <f>IF($A761="","",IF(TRIM($BC761&amp;"")&lt;&gt;"",$BC761,IF(TRIM($D761&amp;"")="","",IFERROR(IF(VLOOKUP($D761,VEHICULOS!$A$3:$H$202,8,FALSE)="","",VLOOKUP($D761,VEHICULOS!$A$3:$H$202,8,FALSE)),""))))</f>
      </c>
      <c r="BG761" s="106"/>
      <c r="BH761" s="107"/>
      <c r="BI761" s="86">
        <f t="shared" si="165"/>
      </c>
      <c r="BJ761" s="83">
        <f t="shared" si="166"/>
      </c>
      <c r="BK761" s="85">
        <f t="shared" si="167"/>
      </c>
      <c r="BL761" s="85">
        <f t="shared" si="168"/>
      </c>
      <c r="BM761" s="108"/>
      <c r="BN761" s="85">
        <f t="shared" si="169"/>
      </c>
      <c r="BO761" s="108"/>
      <c r="BP761" s="85">
        <f t="shared" si="170"/>
      </c>
      <c r="BQ761" s="85">
        <f t="shared" si="171"/>
      </c>
      <c r="BR761" s="108"/>
      <c r="BS761" s="104"/>
      <c r="BT761" s="87">
        <f t="shared" si="172"/>
      </c>
      <c r="BU761" s="85">
        <f t="shared" si="173"/>
      </c>
      <c r="BV761" s="85">
        <f t="shared" si="174"/>
      </c>
      <c r="BW761" s="87">
        <f t="shared" si="175"/>
      </c>
      <c r="BX761" s="104"/>
      <c r="BY761" s="106"/>
      <c r="BZ761" s="104"/>
      <c r="CA761" s="105"/>
      <c r="CB761" s="77">
        <f>IF($A761="",0,IF($B761='FICHA CLIENTE'!$C$4,1,0))</f>
      </c>
      <c r="CC761" s="77">
        <f t="shared" si="176"/>
      </c>
      <c r="CD761" s="77">
        <f>IF($A761="",0,IF($D761='FICHA VEHICULO'!$C$4,1,0))</f>
      </c>
      <c r="CE761" s="77">
        <f t="shared" si="177"/>
      </c>
      <c r="CF761" s="77">
        <f t="shared" si="178"/>
      </c>
      <c r="CG761" s="77">
        <f t="shared" si="179"/>
      </c>
    </row>
    <row r="762" spans="1:85" ht="19.5" customHeight="1" x14ac:dyDescent="0.2">
      <c r="A762" s="104"/>
      <c r="B762" s="104"/>
      <c r="C762" s="105"/>
      <c r="D762" s="104"/>
      <c r="E762" s="105"/>
      <c r="F762" s="106"/>
      <c r="G762" s="104"/>
      <c r="H762" s="106"/>
      <c r="I762" s="107"/>
      <c r="J762" s="108"/>
      <c r="K762" s="108"/>
      <c r="L762" s="108"/>
      <c r="M762" s="105"/>
      <c r="N762" s="105"/>
      <c r="O762" s="105"/>
      <c r="P762" s="108"/>
      <c r="Q762" s="105"/>
      <c r="R762" s="105"/>
      <c r="S762" s="105"/>
      <c r="T762" s="105"/>
      <c r="U762" s="108"/>
      <c r="V762" s="105"/>
      <c r="W762" s="105"/>
      <c r="X762" s="105"/>
      <c r="Y762" s="105"/>
      <c r="Z762" s="105"/>
      <c r="AA762" s="108"/>
      <c r="AB762" s="108"/>
      <c r="AC762" s="105"/>
      <c r="AD762" s="279"/>
      <c r="AE762" s="105"/>
      <c r="AF762" s="279"/>
      <c r="AG762" s="105"/>
      <c r="AH762" s="108"/>
      <c r="AI762" s="108"/>
      <c r="AJ762" s="108"/>
      <c r="AK762" s="108"/>
      <c r="AL762" s="105"/>
      <c r="AM762" s="108"/>
      <c r="AN762" s="105"/>
      <c r="AO762" s="108"/>
      <c r="AP762" s="108"/>
      <c r="AQ762" s="105"/>
      <c r="AR762" s="108"/>
      <c r="AS762" s="108"/>
      <c r="AT762" s="105"/>
      <c r="AU762" s="105"/>
      <c r="AV762" s="105"/>
      <c r="AW762" s="105"/>
      <c r="AX762" s="105"/>
      <c r="AY762" s="105"/>
      <c r="AZ762" s="105"/>
      <c r="BA762" s="105"/>
      <c r="BB762" s="105"/>
      <c r="BC762" s="105"/>
      <c r="BD762" s="108"/>
      <c r="BE762" s="83">
        <f>IF($A762="","",IF(TRIM($D762&amp;"")="",IF(TRIM($AX762&amp;$AY762&amp;$AZ762&amp;$BA762&amp;$BB762&amp;$BC762&amp;$BD762&amp;"")="","","SUBARRENDADO"),IFERROR(IF(VLOOKUP($D762,VEHICULOS!$A$3:$H$202,7,FALSE)="","",VLOOKUP($D762,VEHICULOS!$A$3:$H$202,7,FALSE)),"")))</f>
      </c>
      <c r="BF762" s="82">
        <f>IF($A762="","",IF(TRIM($BC762&amp;"")&lt;&gt;"",$BC762,IF(TRIM($D762&amp;"")="","",IFERROR(IF(VLOOKUP($D762,VEHICULOS!$A$3:$H$202,8,FALSE)="","",VLOOKUP($D762,VEHICULOS!$A$3:$H$202,8,FALSE)),""))))</f>
      </c>
      <c r="BG762" s="106"/>
      <c r="BH762" s="107"/>
      <c r="BI762" s="86">
        <f t="shared" si="165"/>
      </c>
      <c r="BJ762" s="83">
        <f t="shared" si="166"/>
      </c>
      <c r="BK762" s="85">
        <f t="shared" si="167"/>
      </c>
      <c r="BL762" s="85">
        <f t="shared" si="168"/>
      </c>
      <c r="BM762" s="108"/>
      <c r="BN762" s="85">
        <f t="shared" si="169"/>
      </c>
      <c r="BO762" s="108"/>
      <c r="BP762" s="85">
        <f t="shared" si="170"/>
      </c>
      <c r="BQ762" s="85">
        <f t="shared" si="171"/>
      </c>
      <c r="BR762" s="108"/>
      <c r="BS762" s="104"/>
      <c r="BT762" s="87">
        <f t="shared" si="172"/>
      </c>
      <c r="BU762" s="85">
        <f t="shared" si="173"/>
      </c>
      <c r="BV762" s="85">
        <f t="shared" si="174"/>
      </c>
      <c r="BW762" s="87">
        <f t="shared" si="175"/>
      </c>
      <c r="BX762" s="104"/>
      <c r="BY762" s="106"/>
      <c r="BZ762" s="104"/>
      <c r="CA762" s="105"/>
      <c r="CB762" s="77">
        <f>IF($A762="",0,IF($B762='FICHA CLIENTE'!$C$4,1,0))</f>
      </c>
      <c r="CC762" s="77">
        <f t="shared" si="176"/>
      </c>
      <c r="CD762" s="77">
        <f>IF($A762="",0,IF($D762='FICHA VEHICULO'!$C$4,1,0))</f>
      </c>
      <c r="CE762" s="77">
        <f t="shared" si="177"/>
      </c>
      <c r="CF762" s="77">
        <f t="shared" si="178"/>
      </c>
      <c r="CG762" s="77">
        <f t="shared" si="179"/>
      </c>
    </row>
    <row r="763" spans="1:85" ht="19.5" customHeight="1" x14ac:dyDescent="0.2">
      <c r="A763" s="104"/>
      <c r="B763" s="104"/>
      <c r="C763" s="105"/>
      <c r="D763" s="104"/>
      <c r="E763" s="105"/>
      <c r="F763" s="106"/>
      <c r="G763" s="104"/>
      <c r="H763" s="106"/>
      <c r="I763" s="107"/>
      <c r="J763" s="108"/>
      <c r="K763" s="108"/>
      <c r="L763" s="108"/>
      <c r="M763" s="105"/>
      <c r="N763" s="105"/>
      <c r="O763" s="105"/>
      <c r="P763" s="108"/>
      <c r="Q763" s="105"/>
      <c r="R763" s="105"/>
      <c r="S763" s="105"/>
      <c r="T763" s="105"/>
      <c r="U763" s="108"/>
      <c r="V763" s="105"/>
      <c r="W763" s="105"/>
      <c r="X763" s="105"/>
      <c r="Y763" s="105"/>
      <c r="Z763" s="105"/>
      <c r="AA763" s="108"/>
      <c r="AB763" s="108"/>
      <c r="AC763" s="105"/>
      <c r="AD763" s="279"/>
      <c r="AE763" s="105"/>
      <c r="AF763" s="279"/>
      <c r="AG763" s="105"/>
      <c r="AH763" s="108"/>
      <c r="AI763" s="108"/>
      <c r="AJ763" s="108"/>
      <c r="AK763" s="108"/>
      <c r="AL763" s="105"/>
      <c r="AM763" s="108"/>
      <c r="AN763" s="105"/>
      <c r="AO763" s="108"/>
      <c r="AP763" s="108"/>
      <c r="AQ763" s="105"/>
      <c r="AR763" s="108"/>
      <c r="AS763" s="108"/>
      <c r="AT763" s="105"/>
      <c r="AU763" s="105"/>
      <c r="AV763" s="105"/>
      <c r="AW763" s="105"/>
      <c r="AX763" s="105"/>
      <c r="AY763" s="105"/>
      <c r="AZ763" s="105"/>
      <c r="BA763" s="105"/>
      <c r="BB763" s="105"/>
      <c r="BC763" s="105"/>
      <c r="BD763" s="108"/>
      <c r="BE763" s="83">
        <f>IF($A763="","",IF(TRIM($D763&amp;"")="",IF(TRIM($AX763&amp;$AY763&amp;$AZ763&amp;$BA763&amp;$BB763&amp;$BC763&amp;$BD763&amp;"")="","","SUBARRENDADO"),IFERROR(IF(VLOOKUP($D763,VEHICULOS!$A$3:$H$202,7,FALSE)="","",VLOOKUP($D763,VEHICULOS!$A$3:$H$202,7,FALSE)),"")))</f>
      </c>
      <c r="BF763" s="82">
        <f>IF($A763="","",IF(TRIM($BC763&amp;"")&lt;&gt;"",$BC763,IF(TRIM($D763&amp;"")="","",IFERROR(IF(VLOOKUP($D763,VEHICULOS!$A$3:$H$202,8,FALSE)="","",VLOOKUP($D763,VEHICULOS!$A$3:$H$202,8,FALSE)),""))))</f>
      </c>
      <c r="BG763" s="106"/>
      <c r="BH763" s="107"/>
      <c r="BI763" s="86">
        <f t="shared" si="165"/>
      </c>
      <c r="BJ763" s="83">
        <f t="shared" si="166"/>
      </c>
      <c r="BK763" s="85">
        <f t="shared" si="167"/>
      </c>
      <c r="BL763" s="85">
        <f t="shared" si="168"/>
      </c>
      <c r="BM763" s="108"/>
      <c r="BN763" s="85">
        <f t="shared" si="169"/>
      </c>
      <c r="BO763" s="108"/>
      <c r="BP763" s="85">
        <f t="shared" si="170"/>
      </c>
      <c r="BQ763" s="85">
        <f t="shared" si="171"/>
      </c>
      <c r="BR763" s="108"/>
      <c r="BS763" s="104"/>
      <c r="BT763" s="87">
        <f t="shared" si="172"/>
      </c>
      <c r="BU763" s="85">
        <f t="shared" si="173"/>
      </c>
      <c r="BV763" s="85">
        <f t="shared" si="174"/>
      </c>
      <c r="BW763" s="87">
        <f t="shared" si="175"/>
      </c>
      <c r="BX763" s="104"/>
      <c r="BY763" s="106"/>
      <c r="BZ763" s="104"/>
      <c r="CA763" s="105"/>
      <c r="CB763" s="77">
        <f>IF($A763="",0,IF($B763='FICHA CLIENTE'!$C$4,1,0))</f>
      </c>
      <c r="CC763" s="77">
        <f t="shared" si="176"/>
      </c>
      <c r="CD763" s="77">
        <f>IF($A763="",0,IF($D763='FICHA VEHICULO'!$C$4,1,0))</f>
      </c>
      <c r="CE763" s="77">
        <f t="shared" si="177"/>
      </c>
      <c r="CF763" s="77">
        <f t="shared" si="178"/>
      </c>
      <c r="CG763" s="77">
        <f t="shared" si="179"/>
      </c>
    </row>
    <row r="764" spans="1:85" ht="19.5" customHeight="1" x14ac:dyDescent="0.2">
      <c r="A764" s="104"/>
      <c r="B764" s="104"/>
      <c r="C764" s="105"/>
      <c r="D764" s="104"/>
      <c r="E764" s="105"/>
      <c r="F764" s="106"/>
      <c r="G764" s="104"/>
      <c r="H764" s="106"/>
      <c r="I764" s="107"/>
      <c r="J764" s="108"/>
      <c r="K764" s="108"/>
      <c r="L764" s="108"/>
      <c r="M764" s="105"/>
      <c r="N764" s="105"/>
      <c r="O764" s="105"/>
      <c r="P764" s="108"/>
      <c r="Q764" s="105"/>
      <c r="R764" s="105"/>
      <c r="S764" s="105"/>
      <c r="T764" s="105"/>
      <c r="U764" s="108"/>
      <c r="V764" s="105"/>
      <c r="W764" s="105"/>
      <c r="X764" s="105"/>
      <c r="Y764" s="105"/>
      <c r="Z764" s="105"/>
      <c r="AA764" s="108"/>
      <c r="AB764" s="108"/>
      <c r="AC764" s="105"/>
      <c r="AD764" s="279"/>
      <c r="AE764" s="105"/>
      <c r="AF764" s="279"/>
      <c r="AG764" s="105"/>
      <c r="AH764" s="108"/>
      <c r="AI764" s="108"/>
      <c r="AJ764" s="108"/>
      <c r="AK764" s="108"/>
      <c r="AL764" s="105"/>
      <c r="AM764" s="108"/>
      <c r="AN764" s="105"/>
      <c r="AO764" s="108"/>
      <c r="AP764" s="108"/>
      <c r="AQ764" s="105"/>
      <c r="AR764" s="108"/>
      <c r="AS764" s="108"/>
      <c r="AT764" s="105"/>
      <c r="AU764" s="105"/>
      <c r="AV764" s="105"/>
      <c r="AW764" s="105"/>
      <c r="AX764" s="105"/>
      <c r="AY764" s="105"/>
      <c r="AZ764" s="105"/>
      <c r="BA764" s="105"/>
      <c r="BB764" s="105"/>
      <c r="BC764" s="105"/>
      <c r="BD764" s="108"/>
      <c r="BE764" s="83">
        <f>IF($A764="","",IF(TRIM($D764&amp;"")="",IF(TRIM($AX764&amp;$AY764&amp;$AZ764&amp;$BA764&amp;$BB764&amp;$BC764&amp;$BD764&amp;"")="","","SUBARRENDADO"),IFERROR(IF(VLOOKUP($D764,VEHICULOS!$A$3:$H$202,7,FALSE)="","",VLOOKUP($D764,VEHICULOS!$A$3:$H$202,7,FALSE)),"")))</f>
      </c>
      <c r="BF764" s="82">
        <f>IF($A764="","",IF(TRIM($BC764&amp;"")&lt;&gt;"",$BC764,IF(TRIM($D764&amp;"")="","",IFERROR(IF(VLOOKUP($D764,VEHICULOS!$A$3:$H$202,8,FALSE)="","",VLOOKUP($D764,VEHICULOS!$A$3:$H$202,8,FALSE)),""))))</f>
      </c>
      <c r="BG764" s="106"/>
      <c r="BH764" s="107"/>
      <c r="BI764" s="86">
        <f t="shared" si="165"/>
      </c>
      <c r="BJ764" s="83">
        <f t="shared" si="166"/>
      </c>
      <c r="BK764" s="85">
        <f t="shared" si="167"/>
      </c>
      <c r="BL764" s="85">
        <f t="shared" si="168"/>
      </c>
      <c r="BM764" s="108"/>
      <c r="BN764" s="85">
        <f t="shared" si="169"/>
      </c>
      <c r="BO764" s="108"/>
      <c r="BP764" s="85">
        <f t="shared" si="170"/>
      </c>
      <c r="BQ764" s="85">
        <f t="shared" si="171"/>
      </c>
      <c r="BR764" s="108"/>
      <c r="BS764" s="104"/>
      <c r="BT764" s="87">
        <f t="shared" si="172"/>
      </c>
      <c r="BU764" s="85">
        <f t="shared" si="173"/>
      </c>
      <c r="BV764" s="85">
        <f t="shared" si="174"/>
      </c>
      <c r="BW764" s="87">
        <f t="shared" si="175"/>
      </c>
      <c r="BX764" s="104"/>
      <c r="BY764" s="106"/>
      <c r="BZ764" s="104"/>
      <c r="CA764" s="105"/>
      <c r="CB764" s="77">
        <f>IF($A764="",0,IF($B764='FICHA CLIENTE'!$C$4,1,0))</f>
      </c>
      <c r="CC764" s="77">
        <f t="shared" si="176"/>
      </c>
      <c r="CD764" s="77">
        <f>IF($A764="",0,IF($D764='FICHA VEHICULO'!$C$4,1,0))</f>
      </c>
      <c r="CE764" s="77">
        <f t="shared" si="177"/>
      </c>
      <c r="CF764" s="77">
        <f t="shared" si="178"/>
      </c>
      <c r="CG764" s="77">
        <f t="shared" si="179"/>
      </c>
    </row>
    <row r="765" spans="1:85" ht="19.5" customHeight="1" x14ac:dyDescent="0.2">
      <c r="A765" s="104"/>
      <c r="B765" s="104"/>
      <c r="C765" s="105"/>
      <c r="D765" s="104"/>
      <c r="E765" s="105"/>
      <c r="F765" s="106"/>
      <c r="G765" s="104"/>
      <c r="H765" s="106"/>
      <c r="I765" s="107"/>
      <c r="J765" s="108"/>
      <c r="K765" s="108"/>
      <c r="L765" s="108"/>
      <c r="M765" s="105"/>
      <c r="N765" s="105"/>
      <c r="O765" s="105"/>
      <c r="P765" s="108"/>
      <c r="Q765" s="105"/>
      <c r="R765" s="105"/>
      <c r="S765" s="105"/>
      <c r="T765" s="105"/>
      <c r="U765" s="108"/>
      <c r="V765" s="105"/>
      <c r="W765" s="105"/>
      <c r="X765" s="105"/>
      <c r="Y765" s="105"/>
      <c r="Z765" s="105"/>
      <c r="AA765" s="108"/>
      <c r="AB765" s="108"/>
      <c r="AC765" s="105"/>
      <c r="AD765" s="279"/>
      <c r="AE765" s="105"/>
      <c r="AF765" s="279"/>
      <c r="AG765" s="105"/>
      <c r="AH765" s="108"/>
      <c r="AI765" s="108"/>
      <c r="AJ765" s="108"/>
      <c r="AK765" s="108"/>
      <c r="AL765" s="105"/>
      <c r="AM765" s="108"/>
      <c r="AN765" s="105"/>
      <c r="AO765" s="108"/>
      <c r="AP765" s="108"/>
      <c r="AQ765" s="105"/>
      <c r="AR765" s="108"/>
      <c r="AS765" s="108"/>
      <c r="AT765" s="105"/>
      <c r="AU765" s="105"/>
      <c r="AV765" s="105"/>
      <c r="AW765" s="105"/>
      <c r="AX765" s="105"/>
      <c r="AY765" s="105"/>
      <c r="AZ765" s="105"/>
      <c r="BA765" s="105"/>
      <c r="BB765" s="105"/>
      <c r="BC765" s="105"/>
      <c r="BD765" s="108"/>
      <c r="BE765" s="83">
        <f>IF($A765="","",IF(TRIM($D765&amp;"")="",IF(TRIM($AX765&amp;$AY765&amp;$AZ765&amp;$BA765&amp;$BB765&amp;$BC765&amp;$BD765&amp;"")="","","SUBARRENDADO"),IFERROR(IF(VLOOKUP($D765,VEHICULOS!$A$3:$H$202,7,FALSE)="","",VLOOKUP($D765,VEHICULOS!$A$3:$H$202,7,FALSE)),"")))</f>
      </c>
      <c r="BF765" s="82">
        <f>IF($A765="","",IF(TRIM($BC765&amp;"")&lt;&gt;"",$BC765,IF(TRIM($D765&amp;"")="","",IFERROR(IF(VLOOKUP($D765,VEHICULOS!$A$3:$H$202,8,FALSE)="","",VLOOKUP($D765,VEHICULOS!$A$3:$H$202,8,FALSE)),""))))</f>
      </c>
      <c r="BG765" s="106"/>
      <c r="BH765" s="107"/>
      <c r="BI765" s="86">
        <f t="shared" si="165"/>
      </c>
      <c r="BJ765" s="83">
        <f t="shared" si="166"/>
      </c>
      <c r="BK765" s="85">
        <f t="shared" si="167"/>
      </c>
      <c r="BL765" s="85">
        <f t="shared" si="168"/>
      </c>
      <c r="BM765" s="108"/>
      <c r="BN765" s="85">
        <f t="shared" si="169"/>
      </c>
      <c r="BO765" s="108"/>
      <c r="BP765" s="85">
        <f t="shared" si="170"/>
      </c>
      <c r="BQ765" s="85">
        <f t="shared" si="171"/>
      </c>
      <c r="BR765" s="108"/>
      <c r="BS765" s="104"/>
      <c r="BT765" s="87">
        <f t="shared" si="172"/>
      </c>
      <c r="BU765" s="85">
        <f t="shared" si="173"/>
      </c>
      <c r="BV765" s="85">
        <f t="shared" si="174"/>
      </c>
      <c r="BW765" s="87">
        <f t="shared" si="175"/>
      </c>
      <c r="BX765" s="104"/>
      <c r="BY765" s="106"/>
      <c r="BZ765" s="104"/>
      <c r="CA765" s="105"/>
      <c r="CB765" s="77">
        <f>IF($A765="",0,IF($B765='FICHA CLIENTE'!$C$4,1,0))</f>
      </c>
      <c r="CC765" s="77">
        <f t="shared" si="176"/>
      </c>
      <c r="CD765" s="77">
        <f>IF($A765="",0,IF($D765='FICHA VEHICULO'!$C$4,1,0))</f>
      </c>
      <c r="CE765" s="77">
        <f t="shared" si="177"/>
      </c>
      <c r="CF765" s="77">
        <f t="shared" si="178"/>
      </c>
      <c r="CG765" s="77">
        <f t="shared" si="179"/>
      </c>
    </row>
    <row r="766" spans="1:85" ht="19.5" customHeight="1" x14ac:dyDescent="0.2">
      <c r="A766" s="104"/>
      <c r="B766" s="104"/>
      <c r="C766" s="105"/>
      <c r="D766" s="104"/>
      <c r="E766" s="105"/>
      <c r="F766" s="106"/>
      <c r="G766" s="104"/>
      <c r="H766" s="106"/>
      <c r="I766" s="107"/>
      <c r="J766" s="108"/>
      <c r="K766" s="108"/>
      <c r="L766" s="108"/>
      <c r="M766" s="105"/>
      <c r="N766" s="105"/>
      <c r="O766" s="105"/>
      <c r="P766" s="108"/>
      <c r="Q766" s="105"/>
      <c r="R766" s="105"/>
      <c r="S766" s="105"/>
      <c r="T766" s="105"/>
      <c r="U766" s="108"/>
      <c r="V766" s="105"/>
      <c r="W766" s="105"/>
      <c r="X766" s="105"/>
      <c r="Y766" s="105"/>
      <c r="Z766" s="105"/>
      <c r="AA766" s="108"/>
      <c r="AB766" s="108"/>
      <c r="AC766" s="105"/>
      <c r="AD766" s="279"/>
      <c r="AE766" s="105"/>
      <c r="AF766" s="279"/>
      <c r="AG766" s="105"/>
      <c r="AH766" s="108"/>
      <c r="AI766" s="108"/>
      <c r="AJ766" s="108"/>
      <c r="AK766" s="108"/>
      <c r="AL766" s="105"/>
      <c r="AM766" s="108"/>
      <c r="AN766" s="105"/>
      <c r="AO766" s="108"/>
      <c r="AP766" s="108"/>
      <c r="AQ766" s="105"/>
      <c r="AR766" s="108"/>
      <c r="AS766" s="108"/>
      <c r="AT766" s="105"/>
      <c r="AU766" s="105"/>
      <c r="AV766" s="105"/>
      <c r="AW766" s="105"/>
      <c r="AX766" s="105"/>
      <c r="AY766" s="105"/>
      <c r="AZ766" s="105"/>
      <c r="BA766" s="105"/>
      <c r="BB766" s="105"/>
      <c r="BC766" s="105"/>
      <c r="BD766" s="108"/>
      <c r="BE766" s="83">
        <f>IF($A766="","",IF(TRIM($D766&amp;"")="",IF(TRIM($AX766&amp;$AY766&amp;$AZ766&amp;$BA766&amp;$BB766&amp;$BC766&amp;$BD766&amp;"")="","","SUBARRENDADO"),IFERROR(IF(VLOOKUP($D766,VEHICULOS!$A$3:$H$202,7,FALSE)="","",VLOOKUP($D766,VEHICULOS!$A$3:$H$202,7,FALSE)),"")))</f>
      </c>
      <c r="BF766" s="82">
        <f>IF($A766="","",IF(TRIM($BC766&amp;"")&lt;&gt;"",$BC766,IF(TRIM($D766&amp;"")="","",IFERROR(IF(VLOOKUP($D766,VEHICULOS!$A$3:$H$202,8,FALSE)="","",VLOOKUP($D766,VEHICULOS!$A$3:$H$202,8,FALSE)),""))))</f>
      </c>
      <c r="BG766" s="106"/>
      <c r="BH766" s="107"/>
      <c r="BI766" s="86">
        <f t="shared" si="165"/>
      </c>
      <c r="BJ766" s="83">
        <f t="shared" si="166"/>
      </c>
      <c r="BK766" s="85">
        <f t="shared" si="167"/>
      </c>
      <c r="BL766" s="85">
        <f t="shared" si="168"/>
      </c>
      <c r="BM766" s="108"/>
      <c r="BN766" s="85">
        <f t="shared" si="169"/>
      </c>
      <c r="BO766" s="108"/>
      <c r="BP766" s="85">
        <f t="shared" si="170"/>
      </c>
      <c r="BQ766" s="85">
        <f t="shared" si="171"/>
      </c>
      <c r="BR766" s="108"/>
      <c r="BS766" s="104"/>
      <c r="BT766" s="87">
        <f t="shared" si="172"/>
      </c>
      <c r="BU766" s="85">
        <f t="shared" si="173"/>
      </c>
      <c r="BV766" s="85">
        <f t="shared" si="174"/>
      </c>
      <c r="BW766" s="87">
        <f t="shared" si="175"/>
      </c>
      <c r="BX766" s="104"/>
      <c r="BY766" s="106"/>
      <c r="BZ766" s="104"/>
      <c r="CA766" s="105"/>
      <c r="CB766" s="77">
        <f>IF($A766="",0,IF($B766='FICHA CLIENTE'!$C$4,1,0))</f>
      </c>
      <c r="CC766" s="77">
        <f t="shared" si="176"/>
      </c>
      <c r="CD766" s="77">
        <f>IF($A766="",0,IF($D766='FICHA VEHICULO'!$C$4,1,0))</f>
      </c>
      <c r="CE766" s="77">
        <f t="shared" si="177"/>
      </c>
      <c r="CF766" s="77">
        <f t="shared" si="178"/>
      </c>
      <c r="CG766" s="77">
        <f t="shared" si="179"/>
      </c>
    </row>
    <row r="767" spans="1:85" ht="19.5" customHeight="1" x14ac:dyDescent="0.2">
      <c r="A767" s="104"/>
      <c r="B767" s="104"/>
      <c r="C767" s="105"/>
      <c r="D767" s="104"/>
      <c r="E767" s="105"/>
      <c r="F767" s="106"/>
      <c r="G767" s="104"/>
      <c r="H767" s="106"/>
      <c r="I767" s="107"/>
      <c r="J767" s="108"/>
      <c r="K767" s="108"/>
      <c r="L767" s="108"/>
      <c r="M767" s="105"/>
      <c r="N767" s="105"/>
      <c r="O767" s="105"/>
      <c r="P767" s="108"/>
      <c r="Q767" s="105"/>
      <c r="R767" s="105"/>
      <c r="S767" s="105"/>
      <c r="T767" s="105"/>
      <c r="U767" s="108"/>
      <c r="V767" s="105"/>
      <c r="W767" s="105"/>
      <c r="X767" s="105"/>
      <c r="Y767" s="105"/>
      <c r="Z767" s="105"/>
      <c r="AA767" s="108"/>
      <c r="AB767" s="108"/>
      <c r="AC767" s="105"/>
      <c r="AD767" s="279"/>
      <c r="AE767" s="105"/>
      <c r="AF767" s="279"/>
      <c r="AG767" s="105"/>
      <c r="AH767" s="108"/>
      <c r="AI767" s="108"/>
      <c r="AJ767" s="108"/>
      <c r="AK767" s="108"/>
      <c r="AL767" s="105"/>
      <c r="AM767" s="108"/>
      <c r="AN767" s="105"/>
      <c r="AO767" s="108"/>
      <c r="AP767" s="108"/>
      <c r="AQ767" s="105"/>
      <c r="AR767" s="108"/>
      <c r="AS767" s="108"/>
      <c r="AT767" s="105"/>
      <c r="AU767" s="105"/>
      <c r="AV767" s="105"/>
      <c r="AW767" s="105"/>
      <c r="AX767" s="105"/>
      <c r="AY767" s="105"/>
      <c r="AZ767" s="105"/>
      <c r="BA767" s="105"/>
      <c r="BB767" s="105"/>
      <c r="BC767" s="105"/>
      <c r="BD767" s="108"/>
      <c r="BE767" s="83">
        <f>IF($A767="","",IF(TRIM($D767&amp;"")="",IF(TRIM($AX767&amp;$AY767&amp;$AZ767&amp;$BA767&amp;$BB767&amp;$BC767&amp;$BD767&amp;"")="","","SUBARRENDADO"),IFERROR(IF(VLOOKUP($D767,VEHICULOS!$A$3:$H$202,7,FALSE)="","",VLOOKUP($D767,VEHICULOS!$A$3:$H$202,7,FALSE)),"")))</f>
      </c>
      <c r="BF767" s="82">
        <f>IF($A767="","",IF(TRIM($BC767&amp;"")&lt;&gt;"",$BC767,IF(TRIM($D767&amp;"")="","",IFERROR(IF(VLOOKUP($D767,VEHICULOS!$A$3:$H$202,8,FALSE)="","",VLOOKUP($D767,VEHICULOS!$A$3:$H$202,8,FALSE)),""))))</f>
      </c>
      <c r="BG767" s="106"/>
      <c r="BH767" s="107"/>
      <c r="BI767" s="86">
        <f t="shared" si="165"/>
      </c>
      <c r="BJ767" s="83">
        <f t="shared" si="166"/>
      </c>
      <c r="BK767" s="85">
        <f t="shared" si="167"/>
      </c>
      <c r="BL767" s="85">
        <f t="shared" si="168"/>
      </c>
      <c r="BM767" s="108"/>
      <c r="BN767" s="85">
        <f t="shared" si="169"/>
      </c>
      <c r="BO767" s="108"/>
      <c r="BP767" s="85">
        <f t="shared" si="170"/>
      </c>
      <c r="BQ767" s="85">
        <f t="shared" si="171"/>
      </c>
      <c r="BR767" s="108"/>
      <c r="BS767" s="104"/>
      <c r="BT767" s="87">
        <f t="shared" si="172"/>
      </c>
      <c r="BU767" s="85">
        <f t="shared" si="173"/>
      </c>
      <c r="BV767" s="85">
        <f t="shared" si="174"/>
      </c>
      <c r="BW767" s="87">
        <f t="shared" si="175"/>
      </c>
      <c r="BX767" s="104"/>
      <c r="BY767" s="106"/>
      <c r="BZ767" s="104"/>
      <c r="CA767" s="105"/>
      <c r="CB767" s="77">
        <f>IF($A767="",0,IF($B767='FICHA CLIENTE'!$C$4,1,0))</f>
      </c>
      <c r="CC767" s="77">
        <f t="shared" si="176"/>
      </c>
      <c r="CD767" s="77">
        <f>IF($A767="",0,IF($D767='FICHA VEHICULO'!$C$4,1,0))</f>
      </c>
      <c r="CE767" s="77">
        <f t="shared" si="177"/>
      </c>
      <c r="CF767" s="77">
        <f t="shared" si="178"/>
      </c>
      <c r="CG767" s="77">
        <f t="shared" si="179"/>
      </c>
    </row>
    <row r="768" spans="1:85" ht="19.5" customHeight="1" x14ac:dyDescent="0.2">
      <c r="A768" s="104"/>
      <c r="B768" s="104"/>
      <c r="C768" s="105"/>
      <c r="D768" s="104"/>
      <c r="E768" s="105"/>
      <c r="F768" s="106"/>
      <c r="G768" s="104"/>
      <c r="H768" s="106"/>
      <c r="I768" s="107"/>
      <c r="J768" s="108"/>
      <c r="K768" s="108"/>
      <c r="L768" s="108"/>
      <c r="M768" s="105"/>
      <c r="N768" s="105"/>
      <c r="O768" s="105"/>
      <c r="P768" s="108"/>
      <c r="Q768" s="105"/>
      <c r="R768" s="105"/>
      <c r="S768" s="105"/>
      <c r="T768" s="105"/>
      <c r="U768" s="108"/>
      <c r="V768" s="105"/>
      <c r="W768" s="105"/>
      <c r="X768" s="105"/>
      <c r="Y768" s="105"/>
      <c r="Z768" s="105"/>
      <c r="AA768" s="108"/>
      <c r="AB768" s="108"/>
      <c r="AC768" s="105"/>
      <c r="AD768" s="279"/>
      <c r="AE768" s="105"/>
      <c r="AF768" s="279"/>
      <c r="AG768" s="105"/>
      <c r="AH768" s="108"/>
      <c r="AI768" s="108"/>
      <c r="AJ768" s="108"/>
      <c r="AK768" s="108"/>
      <c r="AL768" s="105"/>
      <c r="AM768" s="108"/>
      <c r="AN768" s="105"/>
      <c r="AO768" s="108"/>
      <c r="AP768" s="108"/>
      <c r="AQ768" s="105"/>
      <c r="AR768" s="108"/>
      <c r="AS768" s="108"/>
      <c r="AT768" s="105"/>
      <c r="AU768" s="105"/>
      <c r="AV768" s="105"/>
      <c r="AW768" s="105"/>
      <c r="AX768" s="105"/>
      <c r="AY768" s="105"/>
      <c r="AZ768" s="105"/>
      <c r="BA768" s="105"/>
      <c r="BB768" s="105"/>
      <c r="BC768" s="105"/>
      <c r="BD768" s="108"/>
      <c r="BE768" s="83">
        <f>IF($A768="","",IF(TRIM($D768&amp;"")="",IF(TRIM($AX768&amp;$AY768&amp;$AZ768&amp;$BA768&amp;$BB768&amp;$BC768&amp;$BD768&amp;"")="","","SUBARRENDADO"),IFERROR(IF(VLOOKUP($D768,VEHICULOS!$A$3:$H$202,7,FALSE)="","",VLOOKUP($D768,VEHICULOS!$A$3:$H$202,7,FALSE)),"")))</f>
      </c>
      <c r="BF768" s="82">
        <f>IF($A768="","",IF(TRIM($BC768&amp;"")&lt;&gt;"",$BC768,IF(TRIM($D768&amp;"")="","",IFERROR(IF(VLOOKUP($D768,VEHICULOS!$A$3:$H$202,8,FALSE)="","",VLOOKUP($D768,VEHICULOS!$A$3:$H$202,8,FALSE)),""))))</f>
      </c>
      <c r="BG768" s="106"/>
      <c r="BH768" s="107"/>
      <c r="BI768" s="86">
        <f t="shared" si="165"/>
      </c>
      <c r="BJ768" s="83">
        <f t="shared" si="166"/>
      </c>
      <c r="BK768" s="85">
        <f t="shared" si="167"/>
      </c>
      <c r="BL768" s="85">
        <f t="shared" si="168"/>
      </c>
      <c r="BM768" s="108"/>
      <c r="BN768" s="85">
        <f t="shared" si="169"/>
      </c>
      <c r="BO768" s="108"/>
      <c r="BP768" s="85">
        <f t="shared" si="170"/>
      </c>
      <c r="BQ768" s="85">
        <f t="shared" si="171"/>
      </c>
      <c r="BR768" s="108"/>
      <c r="BS768" s="104"/>
      <c r="BT768" s="87">
        <f t="shared" si="172"/>
      </c>
      <c r="BU768" s="85">
        <f t="shared" si="173"/>
      </c>
      <c r="BV768" s="85">
        <f t="shared" si="174"/>
      </c>
      <c r="BW768" s="87">
        <f t="shared" si="175"/>
      </c>
      <c r="BX768" s="104"/>
      <c r="BY768" s="106"/>
      <c r="BZ768" s="104"/>
      <c r="CA768" s="105"/>
      <c r="CB768" s="77">
        <f>IF($A768="",0,IF($B768='FICHA CLIENTE'!$C$4,1,0))</f>
      </c>
      <c r="CC768" s="77">
        <f t="shared" si="176"/>
      </c>
      <c r="CD768" s="77">
        <f>IF($A768="",0,IF($D768='FICHA VEHICULO'!$C$4,1,0))</f>
      </c>
      <c r="CE768" s="77">
        <f t="shared" si="177"/>
      </c>
      <c r="CF768" s="77">
        <f t="shared" si="178"/>
      </c>
      <c r="CG768" s="77">
        <f t="shared" si="179"/>
      </c>
    </row>
    <row r="769" spans="1:85" ht="19.5" customHeight="1" x14ac:dyDescent="0.2">
      <c r="A769" s="104"/>
      <c r="B769" s="104"/>
      <c r="C769" s="105"/>
      <c r="D769" s="104"/>
      <c r="E769" s="105"/>
      <c r="F769" s="106"/>
      <c r="G769" s="104"/>
      <c r="H769" s="106"/>
      <c r="I769" s="107"/>
      <c r="J769" s="108"/>
      <c r="K769" s="108"/>
      <c r="L769" s="108"/>
      <c r="M769" s="105"/>
      <c r="N769" s="105"/>
      <c r="O769" s="105"/>
      <c r="P769" s="108"/>
      <c r="Q769" s="105"/>
      <c r="R769" s="105"/>
      <c r="S769" s="105"/>
      <c r="T769" s="105"/>
      <c r="U769" s="108"/>
      <c r="V769" s="105"/>
      <c r="W769" s="105"/>
      <c r="X769" s="105"/>
      <c r="Y769" s="105"/>
      <c r="Z769" s="105"/>
      <c r="AA769" s="108"/>
      <c r="AB769" s="108"/>
      <c r="AC769" s="105"/>
      <c r="AD769" s="279"/>
      <c r="AE769" s="105"/>
      <c r="AF769" s="279"/>
      <c r="AG769" s="105"/>
      <c r="AH769" s="108"/>
      <c r="AI769" s="108"/>
      <c r="AJ769" s="108"/>
      <c r="AK769" s="108"/>
      <c r="AL769" s="105"/>
      <c r="AM769" s="108"/>
      <c r="AN769" s="105"/>
      <c r="AO769" s="108"/>
      <c r="AP769" s="108"/>
      <c r="AQ769" s="105"/>
      <c r="AR769" s="108"/>
      <c r="AS769" s="108"/>
      <c r="AT769" s="105"/>
      <c r="AU769" s="105"/>
      <c r="AV769" s="105"/>
      <c r="AW769" s="105"/>
      <c r="AX769" s="105"/>
      <c r="AY769" s="105"/>
      <c r="AZ769" s="105"/>
      <c r="BA769" s="105"/>
      <c r="BB769" s="105"/>
      <c r="BC769" s="105"/>
      <c r="BD769" s="108"/>
      <c r="BE769" s="83">
        <f>IF($A769="","",IF(TRIM($D769&amp;"")="",IF(TRIM($AX769&amp;$AY769&amp;$AZ769&amp;$BA769&amp;$BB769&amp;$BC769&amp;$BD769&amp;"")="","","SUBARRENDADO"),IFERROR(IF(VLOOKUP($D769,VEHICULOS!$A$3:$H$202,7,FALSE)="","",VLOOKUP($D769,VEHICULOS!$A$3:$H$202,7,FALSE)),"")))</f>
      </c>
      <c r="BF769" s="82">
        <f>IF($A769="","",IF(TRIM($BC769&amp;"")&lt;&gt;"",$BC769,IF(TRIM($D769&amp;"")="","",IFERROR(IF(VLOOKUP($D769,VEHICULOS!$A$3:$H$202,8,FALSE)="","",VLOOKUP($D769,VEHICULOS!$A$3:$H$202,8,FALSE)),""))))</f>
      </c>
      <c r="BG769" s="106"/>
      <c r="BH769" s="107"/>
      <c r="BI769" s="86">
        <f t="shared" si="165"/>
      </c>
      <c r="BJ769" s="83">
        <f t="shared" si="166"/>
      </c>
      <c r="BK769" s="85">
        <f t="shared" si="167"/>
      </c>
      <c r="BL769" s="85">
        <f t="shared" si="168"/>
      </c>
      <c r="BM769" s="108"/>
      <c r="BN769" s="85">
        <f t="shared" si="169"/>
      </c>
      <c r="BO769" s="108"/>
      <c r="BP769" s="85">
        <f t="shared" si="170"/>
      </c>
      <c r="BQ769" s="85">
        <f t="shared" si="171"/>
      </c>
      <c r="BR769" s="108"/>
      <c r="BS769" s="104"/>
      <c r="BT769" s="87">
        <f t="shared" si="172"/>
      </c>
      <c r="BU769" s="85">
        <f t="shared" si="173"/>
      </c>
      <c r="BV769" s="85">
        <f t="shared" si="174"/>
      </c>
      <c r="BW769" s="87">
        <f t="shared" si="175"/>
      </c>
      <c r="BX769" s="104"/>
      <c r="BY769" s="106"/>
      <c r="BZ769" s="104"/>
      <c r="CA769" s="105"/>
      <c r="CB769" s="77">
        <f>IF($A769="",0,IF($B769='FICHA CLIENTE'!$C$4,1,0))</f>
      </c>
      <c r="CC769" s="77">
        <f t="shared" si="176"/>
      </c>
      <c r="CD769" s="77">
        <f>IF($A769="",0,IF($D769='FICHA VEHICULO'!$C$4,1,0))</f>
      </c>
      <c r="CE769" s="77">
        <f t="shared" si="177"/>
      </c>
      <c r="CF769" s="77">
        <f t="shared" si="178"/>
      </c>
      <c r="CG769" s="77">
        <f t="shared" si="179"/>
      </c>
    </row>
    <row r="770" spans="1:85" ht="19.5" customHeight="1" x14ac:dyDescent="0.2">
      <c r="A770" s="104"/>
      <c r="B770" s="104"/>
      <c r="C770" s="105"/>
      <c r="D770" s="104"/>
      <c r="E770" s="105"/>
      <c r="F770" s="106"/>
      <c r="G770" s="104"/>
      <c r="H770" s="106"/>
      <c r="I770" s="107"/>
      <c r="J770" s="108"/>
      <c r="K770" s="108"/>
      <c r="L770" s="108"/>
      <c r="M770" s="105"/>
      <c r="N770" s="105"/>
      <c r="O770" s="105"/>
      <c r="P770" s="108"/>
      <c r="Q770" s="105"/>
      <c r="R770" s="105"/>
      <c r="S770" s="105"/>
      <c r="T770" s="105"/>
      <c r="U770" s="108"/>
      <c r="V770" s="105"/>
      <c r="W770" s="105"/>
      <c r="X770" s="105"/>
      <c r="Y770" s="105"/>
      <c r="Z770" s="105"/>
      <c r="AA770" s="108"/>
      <c r="AB770" s="108"/>
      <c r="AC770" s="105"/>
      <c r="AD770" s="279"/>
      <c r="AE770" s="105"/>
      <c r="AF770" s="279"/>
      <c r="AG770" s="105"/>
      <c r="AH770" s="108"/>
      <c r="AI770" s="108"/>
      <c r="AJ770" s="108"/>
      <c r="AK770" s="108"/>
      <c r="AL770" s="105"/>
      <c r="AM770" s="108"/>
      <c r="AN770" s="105"/>
      <c r="AO770" s="108"/>
      <c r="AP770" s="108"/>
      <c r="AQ770" s="105"/>
      <c r="AR770" s="108"/>
      <c r="AS770" s="108"/>
      <c r="AT770" s="105"/>
      <c r="AU770" s="105"/>
      <c r="AV770" s="105"/>
      <c r="AW770" s="105"/>
      <c r="AX770" s="105"/>
      <c r="AY770" s="105"/>
      <c r="AZ770" s="105"/>
      <c r="BA770" s="105"/>
      <c r="BB770" s="105"/>
      <c r="BC770" s="105"/>
      <c r="BD770" s="108"/>
      <c r="BE770" s="83">
        <f>IF($A770="","",IF(TRIM($D770&amp;"")="",IF(TRIM($AX770&amp;$AY770&amp;$AZ770&amp;$BA770&amp;$BB770&amp;$BC770&amp;$BD770&amp;"")="","","SUBARRENDADO"),IFERROR(IF(VLOOKUP($D770,VEHICULOS!$A$3:$H$202,7,FALSE)="","",VLOOKUP($D770,VEHICULOS!$A$3:$H$202,7,FALSE)),"")))</f>
      </c>
      <c r="BF770" s="82">
        <f>IF($A770="","",IF(TRIM($BC770&amp;"")&lt;&gt;"",$BC770,IF(TRIM($D770&amp;"")="","",IFERROR(IF(VLOOKUP($D770,VEHICULOS!$A$3:$H$202,8,FALSE)="","",VLOOKUP($D770,VEHICULOS!$A$3:$H$202,8,FALSE)),""))))</f>
      </c>
      <c r="BG770" s="106"/>
      <c r="BH770" s="107"/>
      <c r="BI770" s="86">
        <f t="shared" si="165"/>
      </c>
      <c r="BJ770" s="83">
        <f t="shared" si="166"/>
      </c>
      <c r="BK770" s="85">
        <f t="shared" si="167"/>
      </c>
      <c r="BL770" s="85">
        <f t="shared" si="168"/>
      </c>
      <c r="BM770" s="108"/>
      <c r="BN770" s="85">
        <f t="shared" si="169"/>
      </c>
      <c r="BO770" s="108"/>
      <c r="BP770" s="85">
        <f t="shared" si="170"/>
      </c>
      <c r="BQ770" s="85">
        <f t="shared" si="171"/>
      </c>
      <c r="BR770" s="108"/>
      <c r="BS770" s="104"/>
      <c r="BT770" s="87">
        <f t="shared" si="172"/>
      </c>
      <c r="BU770" s="85">
        <f t="shared" si="173"/>
      </c>
      <c r="BV770" s="85">
        <f t="shared" si="174"/>
      </c>
      <c r="BW770" s="87">
        <f t="shared" si="175"/>
      </c>
      <c r="BX770" s="104"/>
      <c r="BY770" s="106"/>
      <c r="BZ770" s="104"/>
      <c r="CA770" s="105"/>
      <c r="CB770" s="77">
        <f>IF($A770="",0,IF($B770='FICHA CLIENTE'!$C$4,1,0))</f>
      </c>
      <c r="CC770" s="77">
        <f t="shared" si="176"/>
      </c>
      <c r="CD770" s="77">
        <f>IF($A770="",0,IF($D770='FICHA VEHICULO'!$C$4,1,0))</f>
      </c>
      <c r="CE770" s="77">
        <f t="shared" si="177"/>
      </c>
      <c r="CF770" s="77">
        <f t="shared" si="178"/>
      </c>
      <c r="CG770" s="77">
        <f t="shared" si="179"/>
      </c>
    </row>
    <row r="771" spans="1:85" ht="19.5" customHeight="1" x14ac:dyDescent="0.2">
      <c r="A771" s="104"/>
      <c r="B771" s="104"/>
      <c r="C771" s="105"/>
      <c r="D771" s="104"/>
      <c r="E771" s="105"/>
      <c r="F771" s="106"/>
      <c r="G771" s="104"/>
      <c r="H771" s="106"/>
      <c r="I771" s="107"/>
      <c r="J771" s="108"/>
      <c r="K771" s="108"/>
      <c r="L771" s="108"/>
      <c r="M771" s="105"/>
      <c r="N771" s="105"/>
      <c r="O771" s="105"/>
      <c r="P771" s="108"/>
      <c r="Q771" s="105"/>
      <c r="R771" s="105"/>
      <c r="S771" s="105"/>
      <c r="T771" s="105"/>
      <c r="U771" s="108"/>
      <c r="V771" s="105"/>
      <c r="W771" s="105"/>
      <c r="X771" s="105"/>
      <c r="Y771" s="105"/>
      <c r="Z771" s="105"/>
      <c r="AA771" s="108"/>
      <c r="AB771" s="108"/>
      <c r="AC771" s="105"/>
      <c r="AD771" s="279"/>
      <c r="AE771" s="105"/>
      <c r="AF771" s="279"/>
      <c r="AG771" s="105"/>
      <c r="AH771" s="108"/>
      <c r="AI771" s="108"/>
      <c r="AJ771" s="108"/>
      <c r="AK771" s="108"/>
      <c r="AL771" s="105"/>
      <c r="AM771" s="108"/>
      <c r="AN771" s="105"/>
      <c r="AO771" s="108"/>
      <c r="AP771" s="108"/>
      <c r="AQ771" s="105"/>
      <c r="AR771" s="108"/>
      <c r="AS771" s="108"/>
      <c r="AT771" s="105"/>
      <c r="AU771" s="105"/>
      <c r="AV771" s="105"/>
      <c r="AW771" s="105"/>
      <c r="AX771" s="105"/>
      <c r="AY771" s="105"/>
      <c r="AZ771" s="105"/>
      <c r="BA771" s="105"/>
      <c r="BB771" s="105"/>
      <c r="BC771" s="105"/>
      <c r="BD771" s="108"/>
      <c r="BE771" s="83">
        <f>IF($A771="","",IF(TRIM($D771&amp;"")="",IF(TRIM($AX771&amp;$AY771&amp;$AZ771&amp;$BA771&amp;$BB771&amp;$BC771&amp;$BD771&amp;"")="","","SUBARRENDADO"),IFERROR(IF(VLOOKUP($D771,VEHICULOS!$A$3:$H$202,7,FALSE)="","",VLOOKUP($D771,VEHICULOS!$A$3:$H$202,7,FALSE)),"")))</f>
      </c>
      <c r="BF771" s="82">
        <f>IF($A771="","",IF(TRIM($BC771&amp;"")&lt;&gt;"",$BC771,IF(TRIM($D771&amp;"")="","",IFERROR(IF(VLOOKUP($D771,VEHICULOS!$A$3:$H$202,8,FALSE)="","",VLOOKUP($D771,VEHICULOS!$A$3:$H$202,8,FALSE)),""))))</f>
      </c>
      <c r="BG771" s="106"/>
      <c r="BH771" s="107"/>
      <c r="BI771" s="86">
        <f t="shared" si="165"/>
      </c>
      <c r="BJ771" s="83">
        <f t="shared" si="166"/>
      </c>
      <c r="BK771" s="85">
        <f t="shared" si="167"/>
      </c>
      <c r="BL771" s="85">
        <f t="shared" si="168"/>
      </c>
      <c r="BM771" s="108"/>
      <c r="BN771" s="85">
        <f t="shared" si="169"/>
      </c>
      <c r="BO771" s="108"/>
      <c r="BP771" s="85">
        <f t="shared" si="170"/>
      </c>
      <c r="BQ771" s="85">
        <f t="shared" si="171"/>
      </c>
      <c r="BR771" s="108"/>
      <c r="BS771" s="104"/>
      <c r="BT771" s="87">
        <f t="shared" si="172"/>
      </c>
      <c r="BU771" s="85">
        <f t="shared" si="173"/>
      </c>
      <c r="BV771" s="85">
        <f t="shared" si="174"/>
      </c>
      <c r="BW771" s="87">
        <f t="shared" si="175"/>
      </c>
      <c r="BX771" s="104"/>
      <c r="BY771" s="106"/>
      <c r="BZ771" s="104"/>
      <c r="CA771" s="105"/>
      <c r="CB771" s="77">
        <f>IF($A771="",0,IF($B771='FICHA CLIENTE'!$C$4,1,0))</f>
      </c>
      <c r="CC771" s="77">
        <f t="shared" si="176"/>
      </c>
      <c r="CD771" s="77">
        <f>IF($A771="",0,IF($D771='FICHA VEHICULO'!$C$4,1,0))</f>
      </c>
      <c r="CE771" s="77">
        <f t="shared" si="177"/>
      </c>
      <c r="CF771" s="77">
        <f t="shared" si="178"/>
      </c>
      <c r="CG771" s="77">
        <f t="shared" si="179"/>
      </c>
    </row>
    <row r="772" spans="1:85" ht="19.5" customHeight="1" x14ac:dyDescent="0.2">
      <c r="A772" s="104"/>
      <c r="B772" s="104"/>
      <c r="C772" s="105"/>
      <c r="D772" s="104"/>
      <c r="E772" s="105"/>
      <c r="F772" s="106"/>
      <c r="G772" s="104"/>
      <c r="H772" s="106"/>
      <c r="I772" s="107"/>
      <c r="J772" s="108"/>
      <c r="K772" s="108"/>
      <c r="L772" s="108"/>
      <c r="M772" s="105"/>
      <c r="N772" s="105"/>
      <c r="O772" s="105"/>
      <c r="P772" s="108"/>
      <c r="Q772" s="105"/>
      <c r="R772" s="105"/>
      <c r="S772" s="105"/>
      <c r="T772" s="105"/>
      <c r="U772" s="108"/>
      <c r="V772" s="105"/>
      <c r="W772" s="105"/>
      <c r="X772" s="105"/>
      <c r="Y772" s="105"/>
      <c r="Z772" s="105"/>
      <c r="AA772" s="108"/>
      <c r="AB772" s="108"/>
      <c r="AC772" s="105"/>
      <c r="AD772" s="279"/>
      <c r="AE772" s="105"/>
      <c r="AF772" s="279"/>
      <c r="AG772" s="105"/>
      <c r="AH772" s="108"/>
      <c r="AI772" s="108"/>
      <c r="AJ772" s="108"/>
      <c r="AK772" s="108"/>
      <c r="AL772" s="105"/>
      <c r="AM772" s="108"/>
      <c r="AN772" s="105"/>
      <c r="AO772" s="108"/>
      <c r="AP772" s="108"/>
      <c r="AQ772" s="105"/>
      <c r="AR772" s="108"/>
      <c r="AS772" s="108"/>
      <c r="AT772" s="105"/>
      <c r="AU772" s="105"/>
      <c r="AV772" s="105"/>
      <c r="AW772" s="105"/>
      <c r="AX772" s="105"/>
      <c r="AY772" s="105"/>
      <c r="AZ772" s="105"/>
      <c r="BA772" s="105"/>
      <c r="BB772" s="105"/>
      <c r="BC772" s="105"/>
      <c r="BD772" s="108"/>
      <c r="BE772" s="83">
        <f>IF($A772="","",IF(TRIM($D772&amp;"")="",IF(TRIM($AX772&amp;$AY772&amp;$AZ772&amp;$BA772&amp;$BB772&amp;$BC772&amp;$BD772&amp;"")="","","SUBARRENDADO"),IFERROR(IF(VLOOKUP($D772,VEHICULOS!$A$3:$H$202,7,FALSE)="","",VLOOKUP($D772,VEHICULOS!$A$3:$H$202,7,FALSE)),"")))</f>
      </c>
      <c r="BF772" s="82">
        <f>IF($A772="","",IF(TRIM($BC772&amp;"")&lt;&gt;"",$BC772,IF(TRIM($D772&amp;"")="","",IFERROR(IF(VLOOKUP($D772,VEHICULOS!$A$3:$H$202,8,FALSE)="","",VLOOKUP($D772,VEHICULOS!$A$3:$H$202,8,FALSE)),""))))</f>
      </c>
      <c r="BG772" s="106"/>
      <c r="BH772" s="107"/>
      <c r="BI772" s="86">
        <f t="shared" si="165"/>
      </c>
      <c r="BJ772" s="83">
        <f t="shared" si="166"/>
      </c>
      <c r="BK772" s="85">
        <f t="shared" si="167"/>
      </c>
      <c r="BL772" s="85">
        <f t="shared" si="168"/>
      </c>
      <c r="BM772" s="108"/>
      <c r="BN772" s="85">
        <f t="shared" si="169"/>
      </c>
      <c r="BO772" s="108"/>
      <c r="BP772" s="85">
        <f t="shared" si="170"/>
      </c>
      <c r="BQ772" s="85">
        <f t="shared" si="171"/>
      </c>
      <c r="BR772" s="108"/>
      <c r="BS772" s="104"/>
      <c r="BT772" s="87">
        <f t="shared" si="172"/>
      </c>
      <c r="BU772" s="85">
        <f t="shared" si="173"/>
      </c>
      <c r="BV772" s="85">
        <f t="shared" si="174"/>
      </c>
      <c r="BW772" s="87">
        <f t="shared" si="175"/>
      </c>
      <c r="BX772" s="104"/>
      <c r="BY772" s="106"/>
      <c r="BZ772" s="104"/>
      <c r="CA772" s="105"/>
      <c r="CB772" s="77">
        <f>IF($A772="",0,IF($B772='FICHA CLIENTE'!$C$4,1,0))</f>
      </c>
      <c r="CC772" s="77">
        <f t="shared" si="176"/>
      </c>
      <c r="CD772" s="77">
        <f>IF($A772="",0,IF($D772='FICHA VEHICULO'!$C$4,1,0))</f>
      </c>
      <c r="CE772" s="77">
        <f t="shared" si="177"/>
      </c>
      <c r="CF772" s="77">
        <f t="shared" si="178"/>
      </c>
      <c r="CG772" s="77">
        <f t="shared" si="179"/>
      </c>
    </row>
    <row r="773" spans="1:85" ht="19.5" customHeight="1" x14ac:dyDescent="0.2">
      <c r="A773" s="104"/>
      <c r="B773" s="104"/>
      <c r="C773" s="105"/>
      <c r="D773" s="104"/>
      <c r="E773" s="105"/>
      <c r="F773" s="106"/>
      <c r="G773" s="104"/>
      <c r="H773" s="106"/>
      <c r="I773" s="107"/>
      <c r="J773" s="108"/>
      <c r="K773" s="108"/>
      <c r="L773" s="108"/>
      <c r="M773" s="105"/>
      <c r="N773" s="105"/>
      <c r="O773" s="105"/>
      <c r="P773" s="108"/>
      <c r="Q773" s="105"/>
      <c r="R773" s="105"/>
      <c r="S773" s="105"/>
      <c r="T773" s="105"/>
      <c r="U773" s="108"/>
      <c r="V773" s="105"/>
      <c r="W773" s="105"/>
      <c r="X773" s="105"/>
      <c r="Y773" s="105"/>
      <c r="Z773" s="105"/>
      <c r="AA773" s="108"/>
      <c r="AB773" s="108"/>
      <c r="AC773" s="105"/>
      <c r="AD773" s="279"/>
      <c r="AE773" s="105"/>
      <c r="AF773" s="279"/>
      <c r="AG773" s="105"/>
      <c r="AH773" s="108"/>
      <c r="AI773" s="108"/>
      <c r="AJ773" s="108"/>
      <c r="AK773" s="108"/>
      <c r="AL773" s="105"/>
      <c r="AM773" s="108"/>
      <c r="AN773" s="105"/>
      <c r="AO773" s="108"/>
      <c r="AP773" s="108"/>
      <c r="AQ773" s="105"/>
      <c r="AR773" s="108"/>
      <c r="AS773" s="108"/>
      <c r="AT773" s="105"/>
      <c r="AU773" s="105"/>
      <c r="AV773" s="105"/>
      <c r="AW773" s="105"/>
      <c r="AX773" s="105"/>
      <c r="AY773" s="105"/>
      <c r="AZ773" s="105"/>
      <c r="BA773" s="105"/>
      <c r="BB773" s="105"/>
      <c r="BC773" s="105"/>
      <c r="BD773" s="108"/>
      <c r="BE773" s="83">
        <f>IF($A773="","",IF(TRIM($D773&amp;"")="",IF(TRIM($AX773&amp;$AY773&amp;$AZ773&amp;$BA773&amp;$BB773&amp;$BC773&amp;$BD773&amp;"")="","","SUBARRENDADO"),IFERROR(IF(VLOOKUP($D773,VEHICULOS!$A$3:$H$202,7,FALSE)="","",VLOOKUP($D773,VEHICULOS!$A$3:$H$202,7,FALSE)),"")))</f>
      </c>
      <c r="BF773" s="82">
        <f>IF($A773="","",IF(TRIM($BC773&amp;"")&lt;&gt;"",$BC773,IF(TRIM($D773&amp;"")="","",IFERROR(IF(VLOOKUP($D773,VEHICULOS!$A$3:$H$202,8,FALSE)="","",VLOOKUP($D773,VEHICULOS!$A$3:$H$202,8,FALSE)),""))))</f>
      </c>
      <c r="BG773" s="106"/>
      <c r="BH773" s="107"/>
      <c r="BI773" s="86">
        <f t="shared" si="165"/>
      </c>
      <c r="BJ773" s="83">
        <f t="shared" si="166"/>
      </c>
      <c r="BK773" s="85">
        <f t="shared" si="167"/>
      </c>
      <c r="BL773" s="85">
        <f t="shared" si="168"/>
      </c>
      <c r="BM773" s="108"/>
      <c r="BN773" s="85">
        <f t="shared" si="169"/>
      </c>
      <c r="BO773" s="108"/>
      <c r="BP773" s="85">
        <f t="shared" si="170"/>
      </c>
      <c r="BQ773" s="85">
        <f t="shared" si="171"/>
      </c>
      <c r="BR773" s="108"/>
      <c r="BS773" s="104"/>
      <c r="BT773" s="87">
        <f t="shared" si="172"/>
      </c>
      <c r="BU773" s="85">
        <f t="shared" si="173"/>
      </c>
      <c r="BV773" s="85">
        <f t="shared" si="174"/>
      </c>
      <c r="BW773" s="87">
        <f t="shared" si="175"/>
      </c>
      <c r="BX773" s="104"/>
      <c r="BY773" s="106"/>
      <c r="BZ773" s="104"/>
      <c r="CA773" s="105"/>
      <c r="CB773" s="77">
        <f>IF($A773="",0,IF($B773='FICHA CLIENTE'!$C$4,1,0))</f>
      </c>
      <c r="CC773" s="77">
        <f t="shared" si="176"/>
      </c>
      <c r="CD773" s="77">
        <f>IF($A773="",0,IF($D773='FICHA VEHICULO'!$C$4,1,0))</f>
      </c>
      <c r="CE773" s="77">
        <f t="shared" si="177"/>
      </c>
      <c r="CF773" s="77">
        <f t="shared" si="178"/>
      </c>
      <c r="CG773" s="77">
        <f t="shared" si="179"/>
      </c>
    </row>
    <row r="774" spans="1:85" ht="19.5" customHeight="1" x14ac:dyDescent="0.2">
      <c r="A774" s="104"/>
      <c r="B774" s="104"/>
      <c r="C774" s="105"/>
      <c r="D774" s="104"/>
      <c r="E774" s="105"/>
      <c r="F774" s="106"/>
      <c r="G774" s="104"/>
      <c r="H774" s="106"/>
      <c r="I774" s="107"/>
      <c r="J774" s="108"/>
      <c r="K774" s="108"/>
      <c r="L774" s="108"/>
      <c r="M774" s="105"/>
      <c r="N774" s="105"/>
      <c r="O774" s="105"/>
      <c r="P774" s="108"/>
      <c r="Q774" s="105"/>
      <c r="R774" s="105"/>
      <c r="S774" s="105"/>
      <c r="T774" s="105"/>
      <c r="U774" s="108"/>
      <c r="V774" s="105"/>
      <c r="W774" s="105"/>
      <c r="X774" s="105"/>
      <c r="Y774" s="105"/>
      <c r="Z774" s="105"/>
      <c r="AA774" s="108"/>
      <c r="AB774" s="108"/>
      <c r="AC774" s="105"/>
      <c r="AD774" s="279"/>
      <c r="AE774" s="105"/>
      <c r="AF774" s="279"/>
      <c r="AG774" s="105"/>
      <c r="AH774" s="108"/>
      <c r="AI774" s="108"/>
      <c r="AJ774" s="108"/>
      <c r="AK774" s="108"/>
      <c r="AL774" s="105"/>
      <c r="AM774" s="108"/>
      <c r="AN774" s="105"/>
      <c r="AO774" s="108"/>
      <c r="AP774" s="108"/>
      <c r="AQ774" s="105"/>
      <c r="AR774" s="108"/>
      <c r="AS774" s="108"/>
      <c r="AT774" s="105"/>
      <c r="AU774" s="105"/>
      <c r="AV774" s="105"/>
      <c r="AW774" s="105"/>
      <c r="AX774" s="105"/>
      <c r="AY774" s="105"/>
      <c r="AZ774" s="105"/>
      <c r="BA774" s="105"/>
      <c r="BB774" s="105"/>
      <c r="BC774" s="105"/>
      <c r="BD774" s="108"/>
      <c r="BE774" s="83">
        <f>IF($A774="","",IF(TRIM($D774&amp;"")="",IF(TRIM($AX774&amp;$AY774&amp;$AZ774&amp;$BA774&amp;$BB774&amp;$BC774&amp;$BD774&amp;"")="","","SUBARRENDADO"),IFERROR(IF(VLOOKUP($D774,VEHICULOS!$A$3:$H$202,7,FALSE)="","",VLOOKUP($D774,VEHICULOS!$A$3:$H$202,7,FALSE)),"")))</f>
      </c>
      <c r="BF774" s="82">
        <f>IF($A774="","",IF(TRIM($BC774&amp;"")&lt;&gt;"",$BC774,IF(TRIM($D774&amp;"")="","",IFERROR(IF(VLOOKUP($D774,VEHICULOS!$A$3:$H$202,8,FALSE)="","",VLOOKUP($D774,VEHICULOS!$A$3:$H$202,8,FALSE)),""))))</f>
      </c>
      <c r="BG774" s="106"/>
      <c r="BH774" s="107"/>
      <c r="BI774" s="86">
        <f t="shared" ref="BI774:BI837" si="180">IF(OR($BH774="",$I774=""),"",$BH774-$I774)</f>
      </c>
      <c r="BJ774" s="83">
        <f t="shared" ref="BJ774:BJ837" si="181">IF(OR($BG774="",$H774=""),"",MAX(0,$BG774-$H774))</f>
      </c>
      <c r="BK774" s="85">
        <f t="shared" ref="BK774:BK837" si="182">IF($A774="","",N($BJ774)*N($J774))</f>
      </c>
      <c r="BL774" s="85">
        <f t="shared" ref="BL774:BL837" si="183">IF($A774="","",(N($AM774)+N($AS774))*(N($G774)+N($BJ774))+N($AP774))</f>
      </c>
      <c r="BM774" s="108"/>
      <c r="BN774" s="85">
        <f t="shared" ref="BN774:BN837" si="184">IF($A774="","",N($AO774))</f>
      </c>
      <c r="BO774" s="108"/>
      <c r="BP774" s="85">
        <f t="shared" ref="BP774:BP837" si="185">IF($A774="","",N($AR774))</f>
      </c>
      <c r="BQ774" s="85">
        <f t="shared" ref="BQ774:BQ837" si="186">IF($A774="","",N($K774)+N($BK774)+N($BL774)+N($BM774)+N($BN774)+N($BO774)+N($BP774))</f>
      </c>
      <c r="BR774" s="108"/>
      <c r="BS774" s="104"/>
      <c r="BT774" s="87">
        <f t="shared" ref="BT774:BT837" si="187">IF($A774="","",ROUND((N($BQ774)-N($BR774))*(1+N($BS774)/100),2))</f>
      </c>
      <c r="BU774" s="85">
        <f t="shared" ref="BU774:BU837" si="188">IF($A774="","",N($BD774))</f>
      </c>
      <c r="BV774" s="85">
        <f t="shared" ref="BV774:BV837" si="189">IF($A774="","",N($BU774)*(N($G774)+N($BJ774)))</f>
      </c>
      <c r="BW774" s="87">
        <f t="shared" ref="BW774:BW837" si="190">IF($A774="","",N($BT774)-N($BV774))</f>
      </c>
      <c r="BX774" s="104"/>
      <c r="BY774" s="106"/>
      <c r="BZ774" s="104"/>
      <c r="CA774" s="105"/>
      <c r="CB774" s="77">
        <f>IF($A774="",0,IF($B774='FICHA CLIENTE'!$C$4,1,0))</f>
      </c>
      <c r="CC774" s="77">
        <f t="shared" ref="CC774:CC837" si="191">$CC773+$CB774</f>
      </c>
      <c r="CD774" s="77">
        <f>IF($A774="",0,IF($D774='FICHA VEHICULO'!$C$4,1,0))</f>
      </c>
      <c r="CE774" s="77">
        <f t="shared" ref="CE774:CE837" si="192">$CE773+$CD774</f>
      </c>
      <c r="CF774" s="77">
        <f t="shared" ref="CF774:CF837" si="193">IF($A774="",0,IF($BG774="",1,0))</f>
      </c>
      <c r="CG774" s="77">
        <f t="shared" ref="CG774:CG837" si="194">$CG773+$CF774</f>
      </c>
    </row>
    <row r="775" spans="1:85" ht="19.5" customHeight="1" x14ac:dyDescent="0.2">
      <c r="A775" s="104"/>
      <c r="B775" s="104"/>
      <c r="C775" s="105"/>
      <c r="D775" s="104"/>
      <c r="E775" s="105"/>
      <c r="F775" s="106"/>
      <c r="G775" s="104"/>
      <c r="H775" s="106"/>
      <c r="I775" s="107"/>
      <c r="J775" s="108"/>
      <c r="K775" s="108"/>
      <c r="L775" s="108"/>
      <c r="M775" s="105"/>
      <c r="N775" s="105"/>
      <c r="O775" s="105"/>
      <c r="P775" s="108"/>
      <c r="Q775" s="105"/>
      <c r="R775" s="105"/>
      <c r="S775" s="105"/>
      <c r="T775" s="105"/>
      <c r="U775" s="108"/>
      <c r="V775" s="105"/>
      <c r="W775" s="105"/>
      <c r="X775" s="105"/>
      <c r="Y775" s="105"/>
      <c r="Z775" s="105"/>
      <c r="AA775" s="108"/>
      <c r="AB775" s="108"/>
      <c r="AC775" s="105"/>
      <c r="AD775" s="279"/>
      <c r="AE775" s="105"/>
      <c r="AF775" s="279"/>
      <c r="AG775" s="105"/>
      <c r="AH775" s="108"/>
      <c r="AI775" s="108"/>
      <c r="AJ775" s="108"/>
      <c r="AK775" s="108"/>
      <c r="AL775" s="105"/>
      <c r="AM775" s="108"/>
      <c r="AN775" s="105"/>
      <c r="AO775" s="108"/>
      <c r="AP775" s="108"/>
      <c r="AQ775" s="105"/>
      <c r="AR775" s="108"/>
      <c r="AS775" s="108"/>
      <c r="AT775" s="105"/>
      <c r="AU775" s="105"/>
      <c r="AV775" s="105"/>
      <c r="AW775" s="105"/>
      <c r="AX775" s="105"/>
      <c r="AY775" s="105"/>
      <c r="AZ775" s="105"/>
      <c r="BA775" s="105"/>
      <c r="BB775" s="105"/>
      <c r="BC775" s="105"/>
      <c r="BD775" s="108"/>
      <c r="BE775" s="83">
        <f>IF($A775="","",IF(TRIM($D775&amp;"")="",IF(TRIM($AX775&amp;$AY775&amp;$AZ775&amp;$BA775&amp;$BB775&amp;$BC775&amp;$BD775&amp;"")="","","SUBARRENDADO"),IFERROR(IF(VLOOKUP($D775,VEHICULOS!$A$3:$H$202,7,FALSE)="","",VLOOKUP($D775,VEHICULOS!$A$3:$H$202,7,FALSE)),"")))</f>
      </c>
      <c r="BF775" s="82">
        <f>IF($A775="","",IF(TRIM($BC775&amp;"")&lt;&gt;"",$BC775,IF(TRIM($D775&amp;"")="","",IFERROR(IF(VLOOKUP($D775,VEHICULOS!$A$3:$H$202,8,FALSE)="","",VLOOKUP($D775,VEHICULOS!$A$3:$H$202,8,FALSE)),""))))</f>
      </c>
      <c r="BG775" s="106"/>
      <c r="BH775" s="107"/>
      <c r="BI775" s="86">
        <f t="shared" si="180"/>
      </c>
      <c r="BJ775" s="83">
        <f t="shared" si="181"/>
      </c>
      <c r="BK775" s="85">
        <f t="shared" si="182"/>
      </c>
      <c r="BL775" s="85">
        <f t="shared" si="183"/>
      </c>
      <c r="BM775" s="108"/>
      <c r="BN775" s="85">
        <f t="shared" si="184"/>
      </c>
      <c r="BO775" s="108"/>
      <c r="BP775" s="85">
        <f t="shared" si="185"/>
      </c>
      <c r="BQ775" s="85">
        <f t="shared" si="186"/>
      </c>
      <c r="BR775" s="108"/>
      <c r="BS775" s="104"/>
      <c r="BT775" s="87">
        <f t="shared" si="187"/>
      </c>
      <c r="BU775" s="85">
        <f t="shared" si="188"/>
      </c>
      <c r="BV775" s="85">
        <f t="shared" si="189"/>
      </c>
      <c r="BW775" s="87">
        <f t="shared" si="190"/>
      </c>
      <c r="BX775" s="104"/>
      <c r="BY775" s="106"/>
      <c r="BZ775" s="104"/>
      <c r="CA775" s="105"/>
      <c r="CB775" s="77">
        <f>IF($A775="",0,IF($B775='FICHA CLIENTE'!$C$4,1,0))</f>
      </c>
      <c r="CC775" s="77">
        <f t="shared" si="191"/>
      </c>
      <c r="CD775" s="77">
        <f>IF($A775="",0,IF($D775='FICHA VEHICULO'!$C$4,1,0))</f>
      </c>
      <c r="CE775" s="77">
        <f t="shared" si="192"/>
      </c>
      <c r="CF775" s="77">
        <f t="shared" si="193"/>
      </c>
      <c r="CG775" s="77">
        <f t="shared" si="194"/>
      </c>
    </row>
    <row r="776" spans="1:85" ht="19.5" customHeight="1" x14ac:dyDescent="0.2">
      <c r="A776" s="104"/>
      <c r="B776" s="104"/>
      <c r="C776" s="105"/>
      <c r="D776" s="104"/>
      <c r="E776" s="105"/>
      <c r="F776" s="106"/>
      <c r="G776" s="104"/>
      <c r="H776" s="106"/>
      <c r="I776" s="107"/>
      <c r="J776" s="108"/>
      <c r="K776" s="108"/>
      <c r="L776" s="108"/>
      <c r="M776" s="105"/>
      <c r="N776" s="105"/>
      <c r="O776" s="105"/>
      <c r="P776" s="108"/>
      <c r="Q776" s="105"/>
      <c r="R776" s="105"/>
      <c r="S776" s="105"/>
      <c r="T776" s="105"/>
      <c r="U776" s="108"/>
      <c r="V776" s="105"/>
      <c r="W776" s="105"/>
      <c r="X776" s="105"/>
      <c r="Y776" s="105"/>
      <c r="Z776" s="105"/>
      <c r="AA776" s="108"/>
      <c r="AB776" s="108"/>
      <c r="AC776" s="105"/>
      <c r="AD776" s="279"/>
      <c r="AE776" s="105"/>
      <c r="AF776" s="279"/>
      <c r="AG776" s="105"/>
      <c r="AH776" s="108"/>
      <c r="AI776" s="108"/>
      <c r="AJ776" s="108"/>
      <c r="AK776" s="108"/>
      <c r="AL776" s="105"/>
      <c r="AM776" s="108"/>
      <c r="AN776" s="105"/>
      <c r="AO776" s="108"/>
      <c r="AP776" s="108"/>
      <c r="AQ776" s="105"/>
      <c r="AR776" s="108"/>
      <c r="AS776" s="108"/>
      <c r="AT776" s="105"/>
      <c r="AU776" s="105"/>
      <c r="AV776" s="105"/>
      <c r="AW776" s="105"/>
      <c r="AX776" s="105"/>
      <c r="AY776" s="105"/>
      <c r="AZ776" s="105"/>
      <c r="BA776" s="105"/>
      <c r="BB776" s="105"/>
      <c r="BC776" s="105"/>
      <c r="BD776" s="108"/>
      <c r="BE776" s="83">
        <f>IF($A776="","",IF(TRIM($D776&amp;"")="",IF(TRIM($AX776&amp;$AY776&amp;$AZ776&amp;$BA776&amp;$BB776&amp;$BC776&amp;$BD776&amp;"")="","","SUBARRENDADO"),IFERROR(IF(VLOOKUP($D776,VEHICULOS!$A$3:$H$202,7,FALSE)="","",VLOOKUP($D776,VEHICULOS!$A$3:$H$202,7,FALSE)),"")))</f>
      </c>
      <c r="BF776" s="82">
        <f>IF($A776="","",IF(TRIM($BC776&amp;"")&lt;&gt;"",$BC776,IF(TRIM($D776&amp;"")="","",IFERROR(IF(VLOOKUP($D776,VEHICULOS!$A$3:$H$202,8,FALSE)="","",VLOOKUP($D776,VEHICULOS!$A$3:$H$202,8,FALSE)),""))))</f>
      </c>
      <c r="BG776" s="106"/>
      <c r="BH776" s="107"/>
      <c r="BI776" s="86">
        <f t="shared" si="180"/>
      </c>
      <c r="BJ776" s="83">
        <f t="shared" si="181"/>
      </c>
      <c r="BK776" s="85">
        <f t="shared" si="182"/>
      </c>
      <c r="BL776" s="85">
        <f t="shared" si="183"/>
      </c>
      <c r="BM776" s="108"/>
      <c r="BN776" s="85">
        <f t="shared" si="184"/>
      </c>
      <c r="BO776" s="108"/>
      <c r="BP776" s="85">
        <f t="shared" si="185"/>
      </c>
      <c r="BQ776" s="85">
        <f t="shared" si="186"/>
      </c>
      <c r="BR776" s="108"/>
      <c r="BS776" s="104"/>
      <c r="BT776" s="87">
        <f t="shared" si="187"/>
      </c>
      <c r="BU776" s="85">
        <f t="shared" si="188"/>
      </c>
      <c r="BV776" s="85">
        <f t="shared" si="189"/>
      </c>
      <c r="BW776" s="87">
        <f t="shared" si="190"/>
      </c>
      <c r="BX776" s="104"/>
      <c r="BY776" s="106"/>
      <c r="BZ776" s="104"/>
      <c r="CA776" s="105"/>
      <c r="CB776" s="77">
        <f>IF($A776="",0,IF($B776='FICHA CLIENTE'!$C$4,1,0))</f>
      </c>
      <c r="CC776" s="77">
        <f t="shared" si="191"/>
      </c>
      <c r="CD776" s="77">
        <f>IF($A776="",0,IF($D776='FICHA VEHICULO'!$C$4,1,0))</f>
      </c>
      <c r="CE776" s="77">
        <f t="shared" si="192"/>
      </c>
      <c r="CF776" s="77">
        <f t="shared" si="193"/>
      </c>
      <c r="CG776" s="77">
        <f t="shared" si="194"/>
      </c>
    </row>
    <row r="777" spans="1:85" ht="19.5" customHeight="1" x14ac:dyDescent="0.2">
      <c r="A777" s="104"/>
      <c r="B777" s="104"/>
      <c r="C777" s="105"/>
      <c r="D777" s="104"/>
      <c r="E777" s="105"/>
      <c r="F777" s="106"/>
      <c r="G777" s="104"/>
      <c r="H777" s="106"/>
      <c r="I777" s="107"/>
      <c r="J777" s="108"/>
      <c r="K777" s="108"/>
      <c r="L777" s="108"/>
      <c r="M777" s="105"/>
      <c r="N777" s="105"/>
      <c r="O777" s="105"/>
      <c r="P777" s="108"/>
      <c r="Q777" s="105"/>
      <c r="R777" s="105"/>
      <c r="S777" s="105"/>
      <c r="T777" s="105"/>
      <c r="U777" s="108"/>
      <c r="V777" s="105"/>
      <c r="W777" s="105"/>
      <c r="X777" s="105"/>
      <c r="Y777" s="105"/>
      <c r="Z777" s="105"/>
      <c r="AA777" s="108"/>
      <c r="AB777" s="108"/>
      <c r="AC777" s="105"/>
      <c r="AD777" s="279"/>
      <c r="AE777" s="105"/>
      <c r="AF777" s="279"/>
      <c r="AG777" s="105"/>
      <c r="AH777" s="108"/>
      <c r="AI777" s="108"/>
      <c r="AJ777" s="108"/>
      <c r="AK777" s="108"/>
      <c r="AL777" s="105"/>
      <c r="AM777" s="108"/>
      <c r="AN777" s="105"/>
      <c r="AO777" s="108"/>
      <c r="AP777" s="108"/>
      <c r="AQ777" s="105"/>
      <c r="AR777" s="108"/>
      <c r="AS777" s="108"/>
      <c r="AT777" s="105"/>
      <c r="AU777" s="105"/>
      <c r="AV777" s="105"/>
      <c r="AW777" s="105"/>
      <c r="AX777" s="105"/>
      <c r="AY777" s="105"/>
      <c r="AZ777" s="105"/>
      <c r="BA777" s="105"/>
      <c r="BB777" s="105"/>
      <c r="BC777" s="105"/>
      <c r="BD777" s="108"/>
      <c r="BE777" s="83">
        <f>IF($A777="","",IF(TRIM($D777&amp;"")="",IF(TRIM($AX777&amp;$AY777&amp;$AZ777&amp;$BA777&amp;$BB777&amp;$BC777&amp;$BD777&amp;"")="","","SUBARRENDADO"),IFERROR(IF(VLOOKUP($D777,VEHICULOS!$A$3:$H$202,7,FALSE)="","",VLOOKUP($D777,VEHICULOS!$A$3:$H$202,7,FALSE)),"")))</f>
      </c>
      <c r="BF777" s="82">
        <f>IF($A777="","",IF(TRIM($BC777&amp;"")&lt;&gt;"",$BC777,IF(TRIM($D777&amp;"")="","",IFERROR(IF(VLOOKUP($D777,VEHICULOS!$A$3:$H$202,8,FALSE)="","",VLOOKUP($D777,VEHICULOS!$A$3:$H$202,8,FALSE)),""))))</f>
      </c>
      <c r="BG777" s="106"/>
      <c r="BH777" s="107"/>
      <c r="BI777" s="86">
        <f t="shared" si="180"/>
      </c>
      <c r="BJ777" s="83">
        <f t="shared" si="181"/>
      </c>
      <c r="BK777" s="85">
        <f t="shared" si="182"/>
      </c>
      <c r="BL777" s="85">
        <f t="shared" si="183"/>
      </c>
      <c r="BM777" s="108"/>
      <c r="BN777" s="85">
        <f t="shared" si="184"/>
      </c>
      <c r="BO777" s="108"/>
      <c r="BP777" s="85">
        <f t="shared" si="185"/>
      </c>
      <c r="BQ777" s="85">
        <f t="shared" si="186"/>
      </c>
      <c r="BR777" s="108"/>
      <c r="BS777" s="104"/>
      <c r="BT777" s="87">
        <f t="shared" si="187"/>
      </c>
      <c r="BU777" s="85">
        <f t="shared" si="188"/>
      </c>
      <c r="BV777" s="85">
        <f t="shared" si="189"/>
      </c>
      <c r="BW777" s="87">
        <f t="shared" si="190"/>
      </c>
      <c r="BX777" s="104"/>
      <c r="BY777" s="106"/>
      <c r="BZ777" s="104"/>
      <c r="CA777" s="105"/>
      <c r="CB777" s="77">
        <f>IF($A777="",0,IF($B777='FICHA CLIENTE'!$C$4,1,0))</f>
      </c>
      <c r="CC777" s="77">
        <f t="shared" si="191"/>
      </c>
      <c r="CD777" s="77">
        <f>IF($A777="",0,IF($D777='FICHA VEHICULO'!$C$4,1,0))</f>
      </c>
      <c r="CE777" s="77">
        <f t="shared" si="192"/>
      </c>
      <c r="CF777" s="77">
        <f t="shared" si="193"/>
      </c>
      <c r="CG777" s="77">
        <f t="shared" si="194"/>
      </c>
    </row>
    <row r="778" spans="1:85" ht="19.5" customHeight="1" x14ac:dyDescent="0.2">
      <c r="A778" s="104"/>
      <c r="B778" s="104"/>
      <c r="C778" s="105"/>
      <c r="D778" s="104"/>
      <c r="E778" s="105"/>
      <c r="F778" s="106"/>
      <c r="G778" s="104"/>
      <c r="H778" s="106"/>
      <c r="I778" s="107"/>
      <c r="J778" s="108"/>
      <c r="K778" s="108"/>
      <c r="L778" s="108"/>
      <c r="M778" s="105"/>
      <c r="N778" s="105"/>
      <c r="O778" s="105"/>
      <c r="P778" s="108"/>
      <c r="Q778" s="105"/>
      <c r="R778" s="105"/>
      <c r="S778" s="105"/>
      <c r="T778" s="105"/>
      <c r="U778" s="108"/>
      <c r="V778" s="105"/>
      <c r="W778" s="105"/>
      <c r="X778" s="105"/>
      <c r="Y778" s="105"/>
      <c r="Z778" s="105"/>
      <c r="AA778" s="108"/>
      <c r="AB778" s="108"/>
      <c r="AC778" s="105"/>
      <c r="AD778" s="279"/>
      <c r="AE778" s="105"/>
      <c r="AF778" s="279"/>
      <c r="AG778" s="105"/>
      <c r="AH778" s="108"/>
      <c r="AI778" s="108"/>
      <c r="AJ778" s="108"/>
      <c r="AK778" s="108"/>
      <c r="AL778" s="105"/>
      <c r="AM778" s="108"/>
      <c r="AN778" s="105"/>
      <c r="AO778" s="108"/>
      <c r="AP778" s="108"/>
      <c r="AQ778" s="105"/>
      <c r="AR778" s="108"/>
      <c r="AS778" s="108"/>
      <c r="AT778" s="105"/>
      <c r="AU778" s="105"/>
      <c r="AV778" s="105"/>
      <c r="AW778" s="105"/>
      <c r="AX778" s="105"/>
      <c r="AY778" s="105"/>
      <c r="AZ778" s="105"/>
      <c r="BA778" s="105"/>
      <c r="BB778" s="105"/>
      <c r="BC778" s="105"/>
      <c r="BD778" s="108"/>
      <c r="BE778" s="83">
        <f>IF($A778="","",IF(TRIM($D778&amp;"")="",IF(TRIM($AX778&amp;$AY778&amp;$AZ778&amp;$BA778&amp;$BB778&amp;$BC778&amp;$BD778&amp;"")="","","SUBARRENDADO"),IFERROR(IF(VLOOKUP($D778,VEHICULOS!$A$3:$H$202,7,FALSE)="","",VLOOKUP($D778,VEHICULOS!$A$3:$H$202,7,FALSE)),"")))</f>
      </c>
      <c r="BF778" s="82">
        <f>IF($A778="","",IF(TRIM($BC778&amp;"")&lt;&gt;"",$BC778,IF(TRIM($D778&amp;"")="","",IFERROR(IF(VLOOKUP($D778,VEHICULOS!$A$3:$H$202,8,FALSE)="","",VLOOKUP($D778,VEHICULOS!$A$3:$H$202,8,FALSE)),""))))</f>
      </c>
      <c r="BG778" s="106"/>
      <c r="BH778" s="107"/>
      <c r="BI778" s="86">
        <f t="shared" si="180"/>
      </c>
      <c r="BJ778" s="83">
        <f t="shared" si="181"/>
      </c>
      <c r="BK778" s="85">
        <f t="shared" si="182"/>
      </c>
      <c r="BL778" s="85">
        <f t="shared" si="183"/>
      </c>
      <c r="BM778" s="108"/>
      <c r="BN778" s="85">
        <f t="shared" si="184"/>
      </c>
      <c r="BO778" s="108"/>
      <c r="BP778" s="85">
        <f t="shared" si="185"/>
      </c>
      <c r="BQ778" s="85">
        <f t="shared" si="186"/>
      </c>
      <c r="BR778" s="108"/>
      <c r="BS778" s="104"/>
      <c r="BT778" s="87">
        <f t="shared" si="187"/>
      </c>
      <c r="BU778" s="85">
        <f t="shared" si="188"/>
      </c>
      <c r="BV778" s="85">
        <f t="shared" si="189"/>
      </c>
      <c r="BW778" s="87">
        <f t="shared" si="190"/>
      </c>
      <c r="BX778" s="104"/>
      <c r="BY778" s="106"/>
      <c r="BZ778" s="104"/>
      <c r="CA778" s="105"/>
      <c r="CB778" s="77">
        <f>IF($A778="",0,IF($B778='FICHA CLIENTE'!$C$4,1,0))</f>
      </c>
      <c r="CC778" s="77">
        <f t="shared" si="191"/>
      </c>
      <c r="CD778" s="77">
        <f>IF($A778="",0,IF($D778='FICHA VEHICULO'!$C$4,1,0))</f>
      </c>
      <c r="CE778" s="77">
        <f t="shared" si="192"/>
      </c>
      <c r="CF778" s="77">
        <f t="shared" si="193"/>
      </c>
      <c r="CG778" s="77">
        <f t="shared" si="194"/>
      </c>
    </row>
    <row r="779" spans="1:85" ht="19.5" customHeight="1" x14ac:dyDescent="0.2">
      <c r="A779" s="104"/>
      <c r="B779" s="104"/>
      <c r="C779" s="105"/>
      <c r="D779" s="104"/>
      <c r="E779" s="105"/>
      <c r="F779" s="106"/>
      <c r="G779" s="104"/>
      <c r="H779" s="106"/>
      <c r="I779" s="107"/>
      <c r="J779" s="108"/>
      <c r="K779" s="108"/>
      <c r="L779" s="108"/>
      <c r="M779" s="105"/>
      <c r="N779" s="105"/>
      <c r="O779" s="105"/>
      <c r="P779" s="108"/>
      <c r="Q779" s="105"/>
      <c r="R779" s="105"/>
      <c r="S779" s="105"/>
      <c r="T779" s="105"/>
      <c r="U779" s="108"/>
      <c r="V779" s="105"/>
      <c r="W779" s="105"/>
      <c r="X779" s="105"/>
      <c r="Y779" s="105"/>
      <c r="Z779" s="105"/>
      <c r="AA779" s="108"/>
      <c r="AB779" s="108"/>
      <c r="AC779" s="105"/>
      <c r="AD779" s="279"/>
      <c r="AE779" s="105"/>
      <c r="AF779" s="279"/>
      <c r="AG779" s="105"/>
      <c r="AH779" s="108"/>
      <c r="AI779" s="108"/>
      <c r="AJ779" s="108"/>
      <c r="AK779" s="108"/>
      <c r="AL779" s="105"/>
      <c r="AM779" s="108"/>
      <c r="AN779" s="105"/>
      <c r="AO779" s="108"/>
      <c r="AP779" s="108"/>
      <c r="AQ779" s="105"/>
      <c r="AR779" s="108"/>
      <c r="AS779" s="108"/>
      <c r="AT779" s="105"/>
      <c r="AU779" s="105"/>
      <c r="AV779" s="105"/>
      <c r="AW779" s="105"/>
      <c r="AX779" s="105"/>
      <c r="AY779" s="105"/>
      <c r="AZ779" s="105"/>
      <c r="BA779" s="105"/>
      <c r="BB779" s="105"/>
      <c r="BC779" s="105"/>
      <c r="BD779" s="108"/>
      <c r="BE779" s="83">
        <f>IF($A779="","",IF(TRIM($D779&amp;"")="",IF(TRIM($AX779&amp;$AY779&amp;$AZ779&amp;$BA779&amp;$BB779&amp;$BC779&amp;$BD779&amp;"")="","","SUBARRENDADO"),IFERROR(IF(VLOOKUP($D779,VEHICULOS!$A$3:$H$202,7,FALSE)="","",VLOOKUP($D779,VEHICULOS!$A$3:$H$202,7,FALSE)),"")))</f>
      </c>
      <c r="BF779" s="82">
        <f>IF($A779="","",IF(TRIM($BC779&amp;"")&lt;&gt;"",$BC779,IF(TRIM($D779&amp;"")="","",IFERROR(IF(VLOOKUP($D779,VEHICULOS!$A$3:$H$202,8,FALSE)="","",VLOOKUP($D779,VEHICULOS!$A$3:$H$202,8,FALSE)),""))))</f>
      </c>
      <c r="BG779" s="106"/>
      <c r="BH779" s="107"/>
      <c r="BI779" s="86">
        <f t="shared" si="180"/>
      </c>
      <c r="BJ779" s="83">
        <f t="shared" si="181"/>
      </c>
      <c r="BK779" s="85">
        <f t="shared" si="182"/>
      </c>
      <c r="BL779" s="85">
        <f t="shared" si="183"/>
      </c>
      <c r="BM779" s="108"/>
      <c r="BN779" s="85">
        <f t="shared" si="184"/>
      </c>
      <c r="BO779" s="108"/>
      <c r="BP779" s="85">
        <f t="shared" si="185"/>
      </c>
      <c r="BQ779" s="85">
        <f t="shared" si="186"/>
      </c>
      <c r="BR779" s="108"/>
      <c r="BS779" s="104"/>
      <c r="BT779" s="87">
        <f t="shared" si="187"/>
      </c>
      <c r="BU779" s="85">
        <f t="shared" si="188"/>
      </c>
      <c r="BV779" s="85">
        <f t="shared" si="189"/>
      </c>
      <c r="BW779" s="87">
        <f t="shared" si="190"/>
      </c>
      <c r="BX779" s="104"/>
      <c r="BY779" s="106"/>
      <c r="BZ779" s="104"/>
      <c r="CA779" s="105"/>
      <c r="CB779" s="77">
        <f>IF($A779="",0,IF($B779='FICHA CLIENTE'!$C$4,1,0))</f>
      </c>
      <c r="CC779" s="77">
        <f t="shared" si="191"/>
      </c>
      <c r="CD779" s="77">
        <f>IF($A779="",0,IF($D779='FICHA VEHICULO'!$C$4,1,0))</f>
      </c>
      <c r="CE779" s="77">
        <f t="shared" si="192"/>
      </c>
      <c r="CF779" s="77">
        <f t="shared" si="193"/>
      </c>
      <c r="CG779" s="77">
        <f t="shared" si="194"/>
      </c>
    </row>
    <row r="780" spans="1:85" ht="19.5" customHeight="1" x14ac:dyDescent="0.2">
      <c r="A780" s="104"/>
      <c r="B780" s="104"/>
      <c r="C780" s="105"/>
      <c r="D780" s="104"/>
      <c r="E780" s="105"/>
      <c r="F780" s="106"/>
      <c r="G780" s="104"/>
      <c r="H780" s="106"/>
      <c r="I780" s="107"/>
      <c r="J780" s="108"/>
      <c r="K780" s="108"/>
      <c r="L780" s="108"/>
      <c r="M780" s="105"/>
      <c r="N780" s="105"/>
      <c r="O780" s="105"/>
      <c r="P780" s="108"/>
      <c r="Q780" s="105"/>
      <c r="R780" s="105"/>
      <c r="S780" s="105"/>
      <c r="T780" s="105"/>
      <c r="U780" s="108"/>
      <c r="V780" s="105"/>
      <c r="W780" s="105"/>
      <c r="X780" s="105"/>
      <c r="Y780" s="105"/>
      <c r="Z780" s="105"/>
      <c r="AA780" s="108"/>
      <c r="AB780" s="108"/>
      <c r="AC780" s="105"/>
      <c r="AD780" s="279"/>
      <c r="AE780" s="105"/>
      <c r="AF780" s="279"/>
      <c r="AG780" s="105"/>
      <c r="AH780" s="108"/>
      <c r="AI780" s="108"/>
      <c r="AJ780" s="108"/>
      <c r="AK780" s="108"/>
      <c r="AL780" s="105"/>
      <c r="AM780" s="108"/>
      <c r="AN780" s="105"/>
      <c r="AO780" s="108"/>
      <c r="AP780" s="108"/>
      <c r="AQ780" s="105"/>
      <c r="AR780" s="108"/>
      <c r="AS780" s="108"/>
      <c r="AT780" s="105"/>
      <c r="AU780" s="105"/>
      <c r="AV780" s="105"/>
      <c r="AW780" s="105"/>
      <c r="AX780" s="105"/>
      <c r="AY780" s="105"/>
      <c r="AZ780" s="105"/>
      <c r="BA780" s="105"/>
      <c r="BB780" s="105"/>
      <c r="BC780" s="105"/>
      <c r="BD780" s="108"/>
      <c r="BE780" s="83">
        <f>IF($A780="","",IF(TRIM($D780&amp;"")="",IF(TRIM($AX780&amp;$AY780&amp;$AZ780&amp;$BA780&amp;$BB780&amp;$BC780&amp;$BD780&amp;"")="","","SUBARRENDADO"),IFERROR(IF(VLOOKUP($D780,VEHICULOS!$A$3:$H$202,7,FALSE)="","",VLOOKUP($D780,VEHICULOS!$A$3:$H$202,7,FALSE)),"")))</f>
      </c>
      <c r="BF780" s="82">
        <f>IF($A780="","",IF(TRIM($BC780&amp;"")&lt;&gt;"",$BC780,IF(TRIM($D780&amp;"")="","",IFERROR(IF(VLOOKUP($D780,VEHICULOS!$A$3:$H$202,8,FALSE)="","",VLOOKUP($D780,VEHICULOS!$A$3:$H$202,8,FALSE)),""))))</f>
      </c>
      <c r="BG780" s="106"/>
      <c r="BH780" s="107"/>
      <c r="BI780" s="86">
        <f t="shared" si="180"/>
      </c>
      <c r="BJ780" s="83">
        <f t="shared" si="181"/>
      </c>
      <c r="BK780" s="85">
        <f t="shared" si="182"/>
      </c>
      <c r="BL780" s="85">
        <f t="shared" si="183"/>
      </c>
      <c r="BM780" s="108"/>
      <c r="BN780" s="85">
        <f t="shared" si="184"/>
      </c>
      <c r="BO780" s="108"/>
      <c r="BP780" s="85">
        <f t="shared" si="185"/>
      </c>
      <c r="BQ780" s="85">
        <f t="shared" si="186"/>
      </c>
      <c r="BR780" s="108"/>
      <c r="BS780" s="104"/>
      <c r="BT780" s="87">
        <f t="shared" si="187"/>
      </c>
      <c r="BU780" s="85">
        <f t="shared" si="188"/>
      </c>
      <c r="BV780" s="85">
        <f t="shared" si="189"/>
      </c>
      <c r="BW780" s="87">
        <f t="shared" si="190"/>
      </c>
      <c r="BX780" s="104"/>
      <c r="BY780" s="106"/>
      <c r="BZ780" s="104"/>
      <c r="CA780" s="105"/>
      <c r="CB780" s="77">
        <f>IF($A780="",0,IF($B780='FICHA CLIENTE'!$C$4,1,0))</f>
      </c>
      <c r="CC780" s="77">
        <f t="shared" si="191"/>
      </c>
      <c r="CD780" s="77">
        <f>IF($A780="",0,IF($D780='FICHA VEHICULO'!$C$4,1,0))</f>
      </c>
      <c r="CE780" s="77">
        <f t="shared" si="192"/>
      </c>
      <c r="CF780" s="77">
        <f t="shared" si="193"/>
      </c>
      <c r="CG780" s="77">
        <f t="shared" si="194"/>
      </c>
    </row>
    <row r="781" spans="1:85" ht="19.5" customHeight="1" x14ac:dyDescent="0.2">
      <c r="A781" s="104"/>
      <c r="B781" s="104"/>
      <c r="C781" s="105"/>
      <c r="D781" s="104"/>
      <c r="E781" s="105"/>
      <c r="F781" s="106"/>
      <c r="G781" s="104"/>
      <c r="H781" s="106"/>
      <c r="I781" s="107"/>
      <c r="J781" s="108"/>
      <c r="K781" s="108"/>
      <c r="L781" s="108"/>
      <c r="M781" s="105"/>
      <c r="N781" s="105"/>
      <c r="O781" s="105"/>
      <c r="P781" s="108"/>
      <c r="Q781" s="105"/>
      <c r="R781" s="105"/>
      <c r="S781" s="105"/>
      <c r="T781" s="105"/>
      <c r="U781" s="108"/>
      <c r="V781" s="105"/>
      <c r="W781" s="105"/>
      <c r="X781" s="105"/>
      <c r="Y781" s="105"/>
      <c r="Z781" s="105"/>
      <c r="AA781" s="108"/>
      <c r="AB781" s="108"/>
      <c r="AC781" s="105"/>
      <c r="AD781" s="279"/>
      <c r="AE781" s="105"/>
      <c r="AF781" s="279"/>
      <c r="AG781" s="105"/>
      <c r="AH781" s="108"/>
      <c r="AI781" s="108"/>
      <c r="AJ781" s="108"/>
      <c r="AK781" s="108"/>
      <c r="AL781" s="105"/>
      <c r="AM781" s="108"/>
      <c r="AN781" s="105"/>
      <c r="AO781" s="108"/>
      <c r="AP781" s="108"/>
      <c r="AQ781" s="105"/>
      <c r="AR781" s="108"/>
      <c r="AS781" s="108"/>
      <c r="AT781" s="105"/>
      <c r="AU781" s="105"/>
      <c r="AV781" s="105"/>
      <c r="AW781" s="105"/>
      <c r="AX781" s="105"/>
      <c r="AY781" s="105"/>
      <c r="AZ781" s="105"/>
      <c r="BA781" s="105"/>
      <c r="BB781" s="105"/>
      <c r="BC781" s="105"/>
      <c r="BD781" s="108"/>
      <c r="BE781" s="83">
        <f>IF($A781="","",IF(TRIM($D781&amp;"")="",IF(TRIM($AX781&amp;$AY781&amp;$AZ781&amp;$BA781&amp;$BB781&amp;$BC781&amp;$BD781&amp;"")="","","SUBARRENDADO"),IFERROR(IF(VLOOKUP($D781,VEHICULOS!$A$3:$H$202,7,FALSE)="","",VLOOKUP($D781,VEHICULOS!$A$3:$H$202,7,FALSE)),"")))</f>
      </c>
      <c r="BF781" s="82">
        <f>IF($A781="","",IF(TRIM($BC781&amp;"")&lt;&gt;"",$BC781,IF(TRIM($D781&amp;"")="","",IFERROR(IF(VLOOKUP($D781,VEHICULOS!$A$3:$H$202,8,FALSE)="","",VLOOKUP($D781,VEHICULOS!$A$3:$H$202,8,FALSE)),""))))</f>
      </c>
      <c r="BG781" s="106"/>
      <c r="BH781" s="107"/>
      <c r="BI781" s="86">
        <f t="shared" si="180"/>
      </c>
      <c r="BJ781" s="83">
        <f t="shared" si="181"/>
      </c>
      <c r="BK781" s="85">
        <f t="shared" si="182"/>
      </c>
      <c r="BL781" s="85">
        <f t="shared" si="183"/>
      </c>
      <c r="BM781" s="108"/>
      <c r="BN781" s="85">
        <f t="shared" si="184"/>
      </c>
      <c r="BO781" s="108"/>
      <c r="BP781" s="85">
        <f t="shared" si="185"/>
      </c>
      <c r="BQ781" s="85">
        <f t="shared" si="186"/>
      </c>
      <c r="BR781" s="108"/>
      <c r="BS781" s="104"/>
      <c r="BT781" s="87">
        <f t="shared" si="187"/>
      </c>
      <c r="BU781" s="85">
        <f t="shared" si="188"/>
      </c>
      <c r="BV781" s="85">
        <f t="shared" si="189"/>
      </c>
      <c r="BW781" s="87">
        <f t="shared" si="190"/>
      </c>
      <c r="BX781" s="104"/>
      <c r="BY781" s="106"/>
      <c r="BZ781" s="104"/>
      <c r="CA781" s="105"/>
      <c r="CB781" s="77">
        <f>IF($A781="",0,IF($B781='FICHA CLIENTE'!$C$4,1,0))</f>
      </c>
      <c r="CC781" s="77">
        <f t="shared" si="191"/>
      </c>
      <c r="CD781" s="77">
        <f>IF($A781="",0,IF($D781='FICHA VEHICULO'!$C$4,1,0))</f>
      </c>
      <c r="CE781" s="77">
        <f t="shared" si="192"/>
      </c>
      <c r="CF781" s="77">
        <f t="shared" si="193"/>
      </c>
      <c r="CG781" s="77">
        <f t="shared" si="194"/>
      </c>
    </row>
    <row r="782" spans="1:85" ht="19.5" customHeight="1" x14ac:dyDescent="0.2">
      <c r="A782" s="104"/>
      <c r="B782" s="104"/>
      <c r="C782" s="105"/>
      <c r="D782" s="104"/>
      <c r="E782" s="105"/>
      <c r="F782" s="106"/>
      <c r="G782" s="104"/>
      <c r="H782" s="106"/>
      <c r="I782" s="107"/>
      <c r="J782" s="108"/>
      <c r="K782" s="108"/>
      <c r="L782" s="108"/>
      <c r="M782" s="105"/>
      <c r="N782" s="105"/>
      <c r="O782" s="105"/>
      <c r="P782" s="108"/>
      <c r="Q782" s="105"/>
      <c r="R782" s="105"/>
      <c r="S782" s="105"/>
      <c r="T782" s="105"/>
      <c r="U782" s="108"/>
      <c r="V782" s="105"/>
      <c r="W782" s="105"/>
      <c r="X782" s="105"/>
      <c r="Y782" s="105"/>
      <c r="Z782" s="105"/>
      <c r="AA782" s="108"/>
      <c r="AB782" s="108"/>
      <c r="AC782" s="105"/>
      <c r="AD782" s="279"/>
      <c r="AE782" s="105"/>
      <c r="AF782" s="279"/>
      <c r="AG782" s="105"/>
      <c r="AH782" s="108"/>
      <c r="AI782" s="108"/>
      <c r="AJ782" s="108"/>
      <c r="AK782" s="108"/>
      <c r="AL782" s="105"/>
      <c r="AM782" s="108"/>
      <c r="AN782" s="105"/>
      <c r="AO782" s="108"/>
      <c r="AP782" s="108"/>
      <c r="AQ782" s="105"/>
      <c r="AR782" s="108"/>
      <c r="AS782" s="108"/>
      <c r="AT782" s="105"/>
      <c r="AU782" s="105"/>
      <c r="AV782" s="105"/>
      <c r="AW782" s="105"/>
      <c r="AX782" s="105"/>
      <c r="AY782" s="105"/>
      <c r="AZ782" s="105"/>
      <c r="BA782" s="105"/>
      <c r="BB782" s="105"/>
      <c r="BC782" s="105"/>
      <c r="BD782" s="108"/>
      <c r="BE782" s="83">
        <f>IF($A782="","",IF(TRIM($D782&amp;"")="",IF(TRIM($AX782&amp;$AY782&amp;$AZ782&amp;$BA782&amp;$BB782&amp;$BC782&amp;$BD782&amp;"")="","","SUBARRENDADO"),IFERROR(IF(VLOOKUP($D782,VEHICULOS!$A$3:$H$202,7,FALSE)="","",VLOOKUP($D782,VEHICULOS!$A$3:$H$202,7,FALSE)),"")))</f>
      </c>
      <c r="BF782" s="82">
        <f>IF($A782="","",IF(TRIM($BC782&amp;"")&lt;&gt;"",$BC782,IF(TRIM($D782&amp;"")="","",IFERROR(IF(VLOOKUP($D782,VEHICULOS!$A$3:$H$202,8,FALSE)="","",VLOOKUP($D782,VEHICULOS!$A$3:$H$202,8,FALSE)),""))))</f>
      </c>
      <c r="BG782" s="106"/>
      <c r="BH782" s="107"/>
      <c r="BI782" s="86">
        <f t="shared" si="180"/>
      </c>
      <c r="BJ782" s="83">
        <f t="shared" si="181"/>
      </c>
      <c r="BK782" s="85">
        <f t="shared" si="182"/>
      </c>
      <c r="BL782" s="85">
        <f t="shared" si="183"/>
      </c>
      <c r="BM782" s="108"/>
      <c r="BN782" s="85">
        <f t="shared" si="184"/>
      </c>
      <c r="BO782" s="108"/>
      <c r="BP782" s="85">
        <f t="shared" si="185"/>
      </c>
      <c r="BQ782" s="85">
        <f t="shared" si="186"/>
      </c>
      <c r="BR782" s="108"/>
      <c r="BS782" s="104"/>
      <c r="BT782" s="87">
        <f t="shared" si="187"/>
      </c>
      <c r="BU782" s="85">
        <f t="shared" si="188"/>
      </c>
      <c r="BV782" s="85">
        <f t="shared" si="189"/>
      </c>
      <c r="BW782" s="87">
        <f t="shared" si="190"/>
      </c>
      <c r="BX782" s="104"/>
      <c r="BY782" s="106"/>
      <c r="BZ782" s="104"/>
      <c r="CA782" s="105"/>
      <c r="CB782" s="77">
        <f>IF($A782="",0,IF($B782='FICHA CLIENTE'!$C$4,1,0))</f>
      </c>
      <c r="CC782" s="77">
        <f t="shared" si="191"/>
      </c>
      <c r="CD782" s="77">
        <f>IF($A782="",0,IF($D782='FICHA VEHICULO'!$C$4,1,0))</f>
      </c>
      <c r="CE782" s="77">
        <f t="shared" si="192"/>
      </c>
      <c r="CF782" s="77">
        <f t="shared" si="193"/>
      </c>
      <c r="CG782" s="77">
        <f t="shared" si="194"/>
      </c>
    </row>
    <row r="783" spans="1:85" ht="19.5" customHeight="1" x14ac:dyDescent="0.2">
      <c r="A783" s="104"/>
      <c r="B783" s="104"/>
      <c r="C783" s="105"/>
      <c r="D783" s="104"/>
      <c r="E783" s="105"/>
      <c r="F783" s="106"/>
      <c r="G783" s="104"/>
      <c r="H783" s="106"/>
      <c r="I783" s="107"/>
      <c r="J783" s="108"/>
      <c r="K783" s="108"/>
      <c r="L783" s="108"/>
      <c r="M783" s="105"/>
      <c r="N783" s="105"/>
      <c r="O783" s="105"/>
      <c r="P783" s="108"/>
      <c r="Q783" s="105"/>
      <c r="R783" s="105"/>
      <c r="S783" s="105"/>
      <c r="T783" s="105"/>
      <c r="U783" s="108"/>
      <c r="V783" s="105"/>
      <c r="W783" s="105"/>
      <c r="X783" s="105"/>
      <c r="Y783" s="105"/>
      <c r="Z783" s="105"/>
      <c r="AA783" s="108"/>
      <c r="AB783" s="108"/>
      <c r="AC783" s="105"/>
      <c r="AD783" s="279"/>
      <c r="AE783" s="105"/>
      <c r="AF783" s="279"/>
      <c r="AG783" s="105"/>
      <c r="AH783" s="108"/>
      <c r="AI783" s="108"/>
      <c r="AJ783" s="108"/>
      <c r="AK783" s="108"/>
      <c r="AL783" s="105"/>
      <c r="AM783" s="108"/>
      <c r="AN783" s="105"/>
      <c r="AO783" s="108"/>
      <c r="AP783" s="108"/>
      <c r="AQ783" s="105"/>
      <c r="AR783" s="108"/>
      <c r="AS783" s="108"/>
      <c r="AT783" s="105"/>
      <c r="AU783" s="105"/>
      <c r="AV783" s="105"/>
      <c r="AW783" s="105"/>
      <c r="AX783" s="105"/>
      <c r="AY783" s="105"/>
      <c r="AZ783" s="105"/>
      <c r="BA783" s="105"/>
      <c r="BB783" s="105"/>
      <c r="BC783" s="105"/>
      <c r="BD783" s="108"/>
      <c r="BE783" s="83">
        <f>IF($A783="","",IF(TRIM($D783&amp;"")="",IF(TRIM($AX783&amp;$AY783&amp;$AZ783&amp;$BA783&amp;$BB783&amp;$BC783&amp;$BD783&amp;"")="","","SUBARRENDADO"),IFERROR(IF(VLOOKUP($D783,VEHICULOS!$A$3:$H$202,7,FALSE)="","",VLOOKUP($D783,VEHICULOS!$A$3:$H$202,7,FALSE)),"")))</f>
      </c>
      <c r="BF783" s="82">
        <f>IF($A783="","",IF(TRIM($BC783&amp;"")&lt;&gt;"",$BC783,IF(TRIM($D783&amp;"")="","",IFERROR(IF(VLOOKUP($D783,VEHICULOS!$A$3:$H$202,8,FALSE)="","",VLOOKUP($D783,VEHICULOS!$A$3:$H$202,8,FALSE)),""))))</f>
      </c>
      <c r="BG783" s="106"/>
      <c r="BH783" s="107"/>
      <c r="BI783" s="86">
        <f t="shared" si="180"/>
      </c>
      <c r="BJ783" s="83">
        <f t="shared" si="181"/>
      </c>
      <c r="BK783" s="85">
        <f t="shared" si="182"/>
      </c>
      <c r="BL783" s="85">
        <f t="shared" si="183"/>
      </c>
      <c r="BM783" s="108"/>
      <c r="BN783" s="85">
        <f t="shared" si="184"/>
      </c>
      <c r="BO783" s="108"/>
      <c r="BP783" s="85">
        <f t="shared" si="185"/>
      </c>
      <c r="BQ783" s="85">
        <f t="shared" si="186"/>
      </c>
      <c r="BR783" s="108"/>
      <c r="BS783" s="104"/>
      <c r="BT783" s="87">
        <f t="shared" si="187"/>
      </c>
      <c r="BU783" s="85">
        <f t="shared" si="188"/>
      </c>
      <c r="BV783" s="85">
        <f t="shared" si="189"/>
      </c>
      <c r="BW783" s="87">
        <f t="shared" si="190"/>
      </c>
      <c r="BX783" s="104"/>
      <c r="BY783" s="106"/>
      <c r="BZ783" s="104"/>
      <c r="CA783" s="105"/>
      <c r="CB783" s="77">
        <f>IF($A783="",0,IF($B783='FICHA CLIENTE'!$C$4,1,0))</f>
      </c>
      <c r="CC783" s="77">
        <f t="shared" si="191"/>
      </c>
      <c r="CD783" s="77">
        <f>IF($A783="",0,IF($D783='FICHA VEHICULO'!$C$4,1,0))</f>
      </c>
      <c r="CE783" s="77">
        <f t="shared" si="192"/>
      </c>
      <c r="CF783" s="77">
        <f t="shared" si="193"/>
      </c>
      <c r="CG783" s="77">
        <f t="shared" si="194"/>
      </c>
    </row>
    <row r="784" spans="1:85" ht="19.5" customHeight="1" x14ac:dyDescent="0.2">
      <c r="A784" s="104"/>
      <c r="B784" s="104"/>
      <c r="C784" s="105"/>
      <c r="D784" s="104"/>
      <c r="E784" s="105"/>
      <c r="F784" s="106"/>
      <c r="G784" s="104"/>
      <c r="H784" s="106"/>
      <c r="I784" s="107"/>
      <c r="J784" s="108"/>
      <c r="K784" s="108"/>
      <c r="L784" s="108"/>
      <c r="M784" s="105"/>
      <c r="N784" s="105"/>
      <c r="O784" s="105"/>
      <c r="P784" s="108"/>
      <c r="Q784" s="105"/>
      <c r="R784" s="105"/>
      <c r="S784" s="105"/>
      <c r="T784" s="105"/>
      <c r="U784" s="108"/>
      <c r="V784" s="105"/>
      <c r="W784" s="105"/>
      <c r="X784" s="105"/>
      <c r="Y784" s="105"/>
      <c r="Z784" s="105"/>
      <c r="AA784" s="108"/>
      <c r="AB784" s="108"/>
      <c r="AC784" s="105"/>
      <c r="AD784" s="279"/>
      <c r="AE784" s="105"/>
      <c r="AF784" s="279"/>
      <c r="AG784" s="105"/>
      <c r="AH784" s="108"/>
      <c r="AI784" s="108"/>
      <c r="AJ784" s="108"/>
      <c r="AK784" s="108"/>
      <c r="AL784" s="105"/>
      <c r="AM784" s="108"/>
      <c r="AN784" s="105"/>
      <c r="AO784" s="108"/>
      <c r="AP784" s="108"/>
      <c r="AQ784" s="105"/>
      <c r="AR784" s="108"/>
      <c r="AS784" s="108"/>
      <c r="AT784" s="105"/>
      <c r="AU784" s="105"/>
      <c r="AV784" s="105"/>
      <c r="AW784" s="105"/>
      <c r="AX784" s="105"/>
      <c r="AY784" s="105"/>
      <c r="AZ784" s="105"/>
      <c r="BA784" s="105"/>
      <c r="BB784" s="105"/>
      <c r="BC784" s="105"/>
      <c r="BD784" s="108"/>
      <c r="BE784" s="83">
        <f>IF($A784="","",IF(TRIM($D784&amp;"")="",IF(TRIM($AX784&amp;$AY784&amp;$AZ784&amp;$BA784&amp;$BB784&amp;$BC784&amp;$BD784&amp;"")="","","SUBARRENDADO"),IFERROR(IF(VLOOKUP($D784,VEHICULOS!$A$3:$H$202,7,FALSE)="","",VLOOKUP($D784,VEHICULOS!$A$3:$H$202,7,FALSE)),"")))</f>
      </c>
      <c r="BF784" s="82">
        <f>IF($A784="","",IF(TRIM($BC784&amp;"")&lt;&gt;"",$BC784,IF(TRIM($D784&amp;"")="","",IFERROR(IF(VLOOKUP($D784,VEHICULOS!$A$3:$H$202,8,FALSE)="","",VLOOKUP($D784,VEHICULOS!$A$3:$H$202,8,FALSE)),""))))</f>
      </c>
      <c r="BG784" s="106"/>
      <c r="BH784" s="107"/>
      <c r="BI784" s="86">
        <f t="shared" si="180"/>
      </c>
      <c r="BJ784" s="83">
        <f t="shared" si="181"/>
      </c>
      <c r="BK784" s="85">
        <f t="shared" si="182"/>
      </c>
      <c r="BL784" s="85">
        <f t="shared" si="183"/>
      </c>
      <c r="BM784" s="108"/>
      <c r="BN784" s="85">
        <f t="shared" si="184"/>
      </c>
      <c r="BO784" s="108"/>
      <c r="BP784" s="85">
        <f t="shared" si="185"/>
      </c>
      <c r="BQ784" s="85">
        <f t="shared" si="186"/>
      </c>
      <c r="BR784" s="108"/>
      <c r="BS784" s="104"/>
      <c r="BT784" s="87">
        <f t="shared" si="187"/>
      </c>
      <c r="BU784" s="85">
        <f t="shared" si="188"/>
      </c>
      <c r="BV784" s="85">
        <f t="shared" si="189"/>
      </c>
      <c r="BW784" s="87">
        <f t="shared" si="190"/>
      </c>
      <c r="BX784" s="104"/>
      <c r="BY784" s="106"/>
      <c r="BZ784" s="104"/>
      <c r="CA784" s="105"/>
      <c r="CB784" s="77">
        <f>IF($A784="",0,IF($B784='FICHA CLIENTE'!$C$4,1,0))</f>
      </c>
      <c r="CC784" s="77">
        <f t="shared" si="191"/>
      </c>
      <c r="CD784" s="77">
        <f>IF($A784="",0,IF($D784='FICHA VEHICULO'!$C$4,1,0))</f>
      </c>
      <c r="CE784" s="77">
        <f t="shared" si="192"/>
      </c>
      <c r="CF784" s="77">
        <f t="shared" si="193"/>
      </c>
      <c r="CG784" s="77">
        <f t="shared" si="194"/>
      </c>
    </row>
    <row r="785" spans="1:85" ht="19.5" customHeight="1" x14ac:dyDescent="0.2">
      <c r="A785" s="104"/>
      <c r="B785" s="104"/>
      <c r="C785" s="105"/>
      <c r="D785" s="104"/>
      <c r="E785" s="105"/>
      <c r="F785" s="106"/>
      <c r="G785" s="104"/>
      <c r="H785" s="106"/>
      <c r="I785" s="107"/>
      <c r="J785" s="108"/>
      <c r="K785" s="108"/>
      <c r="L785" s="108"/>
      <c r="M785" s="105"/>
      <c r="N785" s="105"/>
      <c r="O785" s="105"/>
      <c r="P785" s="108"/>
      <c r="Q785" s="105"/>
      <c r="R785" s="105"/>
      <c r="S785" s="105"/>
      <c r="T785" s="105"/>
      <c r="U785" s="108"/>
      <c r="V785" s="105"/>
      <c r="W785" s="105"/>
      <c r="X785" s="105"/>
      <c r="Y785" s="105"/>
      <c r="Z785" s="105"/>
      <c r="AA785" s="108"/>
      <c r="AB785" s="108"/>
      <c r="AC785" s="105"/>
      <c r="AD785" s="279"/>
      <c r="AE785" s="105"/>
      <c r="AF785" s="279"/>
      <c r="AG785" s="105"/>
      <c r="AH785" s="108"/>
      <c r="AI785" s="108"/>
      <c r="AJ785" s="108"/>
      <c r="AK785" s="108"/>
      <c r="AL785" s="105"/>
      <c r="AM785" s="108"/>
      <c r="AN785" s="105"/>
      <c r="AO785" s="108"/>
      <c r="AP785" s="108"/>
      <c r="AQ785" s="105"/>
      <c r="AR785" s="108"/>
      <c r="AS785" s="108"/>
      <c r="AT785" s="105"/>
      <c r="AU785" s="105"/>
      <c r="AV785" s="105"/>
      <c r="AW785" s="105"/>
      <c r="AX785" s="105"/>
      <c r="AY785" s="105"/>
      <c r="AZ785" s="105"/>
      <c r="BA785" s="105"/>
      <c r="BB785" s="105"/>
      <c r="BC785" s="105"/>
      <c r="BD785" s="108"/>
      <c r="BE785" s="83">
        <f>IF($A785="","",IF(TRIM($D785&amp;"")="",IF(TRIM($AX785&amp;$AY785&amp;$AZ785&amp;$BA785&amp;$BB785&amp;$BC785&amp;$BD785&amp;"")="","","SUBARRENDADO"),IFERROR(IF(VLOOKUP($D785,VEHICULOS!$A$3:$H$202,7,FALSE)="","",VLOOKUP($D785,VEHICULOS!$A$3:$H$202,7,FALSE)),"")))</f>
      </c>
      <c r="BF785" s="82">
        <f>IF($A785="","",IF(TRIM($BC785&amp;"")&lt;&gt;"",$BC785,IF(TRIM($D785&amp;"")="","",IFERROR(IF(VLOOKUP($D785,VEHICULOS!$A$3:$H$202,8,FALSE)="","",VLOOKUP($D785,VEHICULOS!$A$3:$H$202,8,FALSE)),""))))</f>
      </c>
      <c r="BG785" s="106"/>
      <c r="BH785" s="107"/>
      <c r="BI785" s="86">
        <f t="shared" si="180"/>
      </c>
      <c r="BJ785" s="83">
        <f t="shared" si="181"/>
      </c>
      <c r="BK785" s="85">
        <f t="shared" si="182"/>
      </c>
      <c r="BL785" s="85">
        <f t="shared" si="183"/>
      </c>
      <c r="BM785" s="108"/>
      <c r="BN785" s="85">
        <f t="shared" si="184"/>
      </c>
      <c r="BO785" s="108"/>
      <c r="BP785" s="85">
        <f t="shared" si="185"/>
      </c>
      <c r="BQ785" s="85">
        <f t="shared" si="186"/>
      </c>
      <c r="BR785" s="108"/>
      <c r="BS785" s="104"/>
      <c r="BT785" s="87">
        <f t="shared" si="187"/>
      </c>
      <c r="BU785" s="85">
        <f t="shared" si="188"/>
      </c>
      <c r="BV785" s="85">
        <f t="shared" si="189"/>
      </c>
      <c r="BW785" s="87">
        <f t="shared" si="190"/>
      </c>
      <c r="BX785" s="104"/>
      <c r="BY785" s="106"/>
      <c r="BZ785" s="104"/>
      <c r="CA785" s="105"/>
      <c r="CB785" s="77">
        <f>IF($A785="",0,IF($B785='FICHA CLIENTE'!$C$4,1,0))</f>
      </c>
      <c r="CC785" s="77">
        <f t="shared" si="191"/>
      </c>
      <c r="CD785" s="77">
        <f>IF($A785="",0,IF($D785='FICHA VEHICULO'!$C$4,1,0))</f>
      </c>
      <c r="CE785" s="77">
        <f t="shared" si="192"/>
      </c>
      <c r="CF785" s="77">
        <f t="shared" si="193"/>
      </c>
      <c r="CG785" s="77">
        <f t="shared" si="194"/>
      </c>
    </row>
    <row r="786" spans="1:85" ht="19.5" customHeight="1" x14ac:dyDescent="0.2">
      <c r="A786" s="104"/>
      <c r="B786" s="104"/>
      <c r="C786" s="105"/>
      <c r="D786" s="104"/>
      <c r="E786" s="105"/>
      <c r="F786" s="106"/>
      <c r="G786" s="104"/>
      <c r="H786" s="106"/>
      <c r="I786" s="107"/>
      <c r="J786" s="108"/>
      <c r="K786" s="108"/>
      <c r="L786" s="108"/>
      <c r="M786" s="105"/>
      <c r="N786" s="105"/>
      <c r="O786" s="105"/>
      <c r="P786" s="108"/>
      <c r="Q786" s="105"/>
      <c r="R786" s="105"/>
      <c r="S786" s="105"/>
      <c r="T786" s="105"/>
      <c r="U786" s="108"/>
      <c r="V786" s="105"/>
      <c r="W786" s="105"/>
      <c r="X786" s="105"/>
      <c r="Y786" s="105"/>
      <c r="Z786" s="105"/>
      <c r="AA786" s="108"/>
      <c r="AB786" s="108"/>
      <c r="AC786" s="105"/>
      <c r="AD786" s="279"/>
      <c r="AE786" s="105"/>
      <c r="AF786" s="279"/>
      <c r="AG786" s="105"/>
      <c r="AH786" s="108"/>
      <c r="AI786" s="108"/>
      <c r="AJ786" s="108"/>
      <c r="AK786" s="108"/>
      <c r="AL786" s="105"/>
      <c r="AM786" s="108"/>
      <c r="AN786" s="105"/>
      <c r="AO786" s="108"/>
      <c r="AP786" s="108"/>
      <c r="AQ786" s="105"/>
      <c r="AR786" s="108"/>
      <c r="AS786" s="108"/>
      <c r="AT786" s="105"/>
      <c r="AU786" s="105"/>
      <c r="AV786" s="105"/>
      <c r="AW786" s="105"/>
      <c r="AX786" s="105"/>
      <c r="AY786" s="105"/>
      <c r="AZ786" s="105"/>
      <c r="BA786" s="105"/>
      <c r="BB786" s="105"/>
      <c r="BC786" s="105"/>
      <c r="BD786" s="108"/>
      <c r="BE786" s="83">
        <f>IF($A786="","",IF(TRIM($D786&amp;"")="",IF(TRIM($AX786&amp;$AY786&amp;$AZ786&amp;$BA786&amp;$BB786&amp;$BC786&amp;$BD786&amp;"")="","","SUBARRENDADO"),IFERROR(IF(VLOOKUP($D786,VEHICULOS!$A$3:$H$202,7,FALSE)="","",VLOOKUP($D786,VEHICULOS!$A$3:$H$202,7,FALSE)),"")))</f>
      </c>
      <c r="BF786" s="82">
        <f>IF($A786="","",IF(TRIM($BC786&amp;"")&lt;&gt;"",$BC786,IF(TRIM($D786&amp;"")="","",IFERROR(IF(VLOOKUP($D786,VEHICULOS!$A$3:$H$202,8,FALSE)="","",VLOOKUP($D786,VEHICULOS!$A$3:$H$202,8,FALSE)),""))))</f>
      </c>
      <c r="BG786" s="106"/>
      <c r="BH786" s="107"/>
      <c r="BI786" s="86">
        <f t="shared" si="180"/>
      </c>
      <c r="BJ786" s="83">
        <f t="shared" si="181"/>
      </c>
      <c r="BK786" s="85">
        <f t="shared" si="182"/>
      </c>
      <c r="BL786" s="85">
        <f t="shared" si="183"/>
      </c>
      <c r="BM786" s="108"/>
      <c r="BN786" s="85">
        <f t="shared" si="184"/>
      </c>
      <c r="BO786" s="108"/>
      <c r="BP786" s="85">
        <f t="shared" si="185"/>
      </c>
      <c r="BQ786" s="85">
        <f t="shared" si="186"/>
      </c>
      <c r="BR786" s="108"/>
      <c r="BS786" s="104"/>
      <c r="BT786" s="87">
        <f t="shared" si="187"/>
      </c>
      <c r="BU786" s="85">
        <f t="shared" si="188"/>
      </c>
      <c r="BV786" s="85">
        <f t="shared" si="189"/>
      </c>
      <c r="BW786" s="87">
        <f t="shared" si="190"/>
      </c>
      <c r="BX786" s="104"/>
      <c r="BY786" s="106"/>
      <c r="BZ786" s="104"/>
      <c r="CA786" s="105"/>
      <c r="CB786" s="77">
        <f>IF($A786="",0,IF($B786='FICHA CLIENTE'!$C$4,1,0))</f>
      </c>
      <c r="CC786" s="77">
        <f t="shared" si="191"/>
      </c>
      <c r="CD786" s="77">
        <f>IF($A786="",0,IF($D786='FICHA VEHICULO'!$C$4,1,0))</f>
      </c>
      <c r="CE786" s="77">
        <f t="shared" si="192"/>
      </c>
      <c r="CF786" s="77">
        <f t="shared" si="193"/>
      </c>
      <c r="CG786" s="77">
        <f t="shared" si="194"/>
      </c>
    </row>
    <row r="787" spans="1:85" ht="19.5" customHeight="1" x14ac:dyDescent="0.2">
      <c r="A787" s="104"/>
      <c r="B787" s="104"/>
      <c r="C787" s="105"/>
      <c r="D787" s="104"/>
      <c r="E787" s="105"/>
      <c r="F787" s="106"/>
      <c r="G787" s="104"/>
      <c r="H787" s="106"/>
      <c r="I787" s="107"/>
      <c r="J787" s="108"/>
      <c r="K787" s="108"/>
      <c r="L787" s="108"/>
      <c r="M787" s="105"/>
      <c r="N787" s="105"/>
      <c r="O787" s="105"/>
      <c r="P787" s="108"/>
      <c r="Q787" s="105"/>
      <c r="R787" s="105"/>
      <c r="S787" s="105"/>
      <c r="T787" s="105"/>
      <c r="U787" s="108"/>
      <c r="V787" s="105"/>
      <c r="W787" s="105"/>
      <c r="X787" s="105"/>
      <c r="Y787" s="105"/>
      <c r="Z787" s="105"/>
      <c r="AA787" s="108"/>
      <c r="AB787" s="108"/>
      <c r="AC787" s="105"/>
      <c r="AD787" s="279"/>
      <c r="AE787" s="105"/>
      <c r="AF787" s="279"/>
      <c r="AG787" s="105"/>
      <c r="AH787" s="108"/>
      <c r="AI787" s="108"/>
      <c r="AJ787" s="108"/>
      <c r="AK787" s="108"/>
      <c r="AL787" s="105"/>
      <c r="AM787" s="108"/>
      <c r="AN787" s="105"/>
      <c r="AO787" s="108"/>
      <c r="AP787" s="108"/>
      <c r="AQ787" s="105"/>
      <c r="AR787" s="108"/>
      <c r="AS787" s="108"/>
      <c r="AT787" s="105"/>
      <c r="AU787" s="105"/>
      <c r="AV787" s="105"/>
      <c r="AW787" s="105"/>
      <c r="AX787" s="105"/>
      <c r="AY787" s="105"/>
      <c r="AZ787" s="105"/>
      <c r="BA787" s="105"/>
      <c r="BB787" s="105"/>
      <c r="BC787" s="105"/>
      <c r="BD787" s="108"/>
      <c r="BE787" s="83">
        <f>IF($A787="","",IF(TRIM($D787&amp;"")="",IF(TRIM($AX787&amp;$AY787&amp;$AZ787&amp;$BA787&amp;$BB787&amp;$BC787&amp;$BD787&amp;"")="","","SUBARRENDADO"),IFERROR(IF(VLOOKUP($D787,VEHICULOS!$A$3:$H$202,7,FALSE)="","",VLOOKUP($D787,VEHICULOS!$A$3:$H$202,7,FALSE)),"")))</f>
      </c>
      <c r="BF787" s="82">
        <f>IF($A787="","",IF(TRIM($BC787&amp;"")&lt;&gt;"",$BC787,IF(TRIM($D787&amp;"")="","",IFERROR(IF(VLOOKUP($D787,VEHICULOS!$A$3:$H$202,8,FALSE)="","",VLOOKUP($D787,VEHICULOS!$A$3:$H$202,8,FALSE)),""))))</f>
      </c>
      <c r="BG787" s="106"/>
      <c r="BH787" s="107"/>
      <c r="BI787" s="86">
        <f t="shared" si="180"/>
      </c>
      <c r="BJ787" s="83">
        <f t="shared" si="181"/>
      </c>
      <c r="BK787" s="85">
        <f t="shared" si="182"/>
      </c>
      <c r="BL787" s="85">
        <f t="shared" si="183"/>
      </c>
      <c r="BM787" s="108"/>
      <c r="BN787" s="85">
        <f t="shared" si="184"/>
      </c>
      <c r="BO787" s="108"/>
      <c r="BP787" s="85">
        <f t="shared" si="185"/>
      </c>
      <c r="BQ787" s="85">
        <f t="shared" si="186"/>
      </c>
      <c r="BR787" s="108"/>
      <c r="BS787" s="104"/>
      <c r="BT787" s="87">
        <f t="shared" si="187"/>
      </c>
      <c r="BU787" s="85">
        <f t="shared" si="188"/>
      </c>
      <c r="BV787" s="85">
        <f t="shared" si="189"/>
      </c>
      <c r="BW787" s="87">
        <f t="shared" si="190"/>
      </c>
      <c r="BX787" s="104"/>
      <c r="BY787" s="106"/>
      <c r="BZ787" s="104"/>
      <c r="CA787" s="105"/>
      <c r="CB787" s="77">
        <f>IF($A787="",0,IF($B787='FICHA CLIENTE'!$C$4,1,0))</f>
      </c>
      <c r="CC787" s="77">
        <f t="shared" si="191"/>
      </c>
      <c r="CD787" s="77">
        <f>IF($A787="",0,IF($D787='FICHA VEHICULO'!$C$4,1,0))</f>
      </c>
      <c r="CE787" s="77">
        <f t="shared" si="192"/>
      </c>
      <c r="CF787" s="77">
        <f t="shared" si="193"/>
      </c>
      <c r="CG787" s="77">
        <f t="shared" si="194"/>
      </c>
    </row>
    <row r="788" spans="1:85" ht="19.5" customHeight="1" x14ac:dyDescent="0.2">
      <c r="A788" s="104"/>
      <c r="B788" s="104"/>
      <c r="C788" s="105"/>
      <c r="D788" s="104"/>
      <c r="E788" s="105"/>
      <c r="F788" s="106"/>
      <c r="G788" s="104"/>
      <c r="H788" s="106"/>
      <c r="I788" s="107"/>
      <c r="J788" s="108"/>
      <c r="K788" s="108"/>
      <c r="L788" s="108"/>
      <c r="M788" s="105"/>
      <c r="N788" s="105"/>
      <c r="O788" s="105"/>
      <c r="P788" s="108"/>
      <c r="Q788" s="105"/>
      <c r="R788" s="105"/>
      <c r="S788" s="105"/>
      <c r="T788" s="105"/>
      <c r="U788" s="108"/>
      <c r="V788" s="105"/>
      <c r="W788" s="105"/>
      <c r="X788" s="105"/>
      <c r="Y788" s="105"/>
      <c r="Z788" s="105"/>
      <c r="AA788" s="108"/>
      <c r="AB788" s="108"/>
      <c r="AC788" s="105"/>
      <c r="AD788" s="279"/>
      <c r="AE788" s="105"/>
      <c r="AF788" s="279"/>
      <c r="AG788" s="105"/>
      <c r="AH788" s="108"/>
      <c r="AI788" s="108"/>
      <c r="AJ788" s="108"/>
      <c r="AK788" s="108"/>
      <c r="AL788" s="105"/>
      <c r="AM788" s="108"/>
      <c r="AN788" s="105"/>
      <c r="AO788" s="108"/>
      <c r="AP788" s="108"/>
      <c r="AQ788" s="105"/>
      <c r="AR788" s="108"/>
      <c r="AS788" s="108"/>
      <c r="AT788" s="105"/>
      <c r="AU788" s="105"/>
      <c r="AV788" s="105"/>
      <c r="AW788" s="105"/>
      <c r="AX788" s="105"/>
      <c r="AY788" s="105"/>
      <c r="AZ788" s="105"/>
      <c r="BA788" s="105"/>
      <c r="BB788" s="105"/>
      <c r="BC788" s="105"/>
      <c r="BD788" s="108"/>
      <c r="BE788" s="83">
        <f>IF($A788="","",IF(TRIM($D788&amp;"")="",IF(TRIM($AX788&amp;$AY788&amp;$AZ788&amp;$BA788&amp;$BB788&amp;$BC788&amp;$BD788&amp;"")="","","SUBARRENDADO"),IFERROR(IF(VLOOKUP($D788,VEHICULOS!$A$3:$H$202,7,FALSE)="","",VLOOKUP($D788,VEHICULOS!$A$3:$H$202,7,FALSE)),"")))</f>
      </c>
      <c r="BF788" s="82">
        <f>IF($A788="","",IF(TRIM($BC788&amp;"")&lt;&gt;"",$BC788,IF(TRIM($D788&amp;"")="","",IFERROR(IF(VLOOKUP($D788,VEHICULOS!$A$3:$H$202,8,FALSE)="","",VLOOKUP($D788,VEHICULOS!$A$3:$H$202,8,FALSE)),""))))</f>
      </c>
      <c r="BG788" s="106"/>
      <c r="BH788" s="107"/>
      <c r="BI788" s="86">
        <f t="shared" si="180"/>
      </c>
      <c r="BJ788" s="83">
        <f t="shared" si="181"/>
      </c>
      <c r="BK788" s="85">
        <f t="shared" si="182"/>
      </c>
      <c r="BL788" s="85">
        <f t="shared" si="183"/>
      </c>
      <c r="BM788" s="108"/>
      <c r="BN788" s="85">
        <f t="shared" si="184"/>
      </c>
      <c r="BO788" s="108"/>
      <c r="BP788" s="85">
        <f t="shared" si="185"/>
      </c>
      <c r="BQ788" s="85">
        <f t="shared" si="186"/>
      </c>
      <c r="BR788" s="108"/>
      <c r="BS788" s="104"/>
      <c r="BT788" s="87">
        <f t="shared" si="187"/>
      </c>
      <c r="BU788" s="85">
        <f t="shared" si="188"/>
      </c>
      <c r="BV788" s="85">
        <f t="shared" si="189"/>
      </c>
      <c r="BW788" s="87">
        <f t="shared" si="190"/>
      </c>
      <c r="BX788" s="104"/>
      <c r="BY788" s="106"/>
      <c r="BZ788" s="104"/>
      <c r="CA788" s="105"/>
      <c r="CB788" s="77">
        <f>IF($A788="",0,IF($B788='FICHA CLIENTE'!$C$4,1,0))</f>
      </c>
      <c r="CC788" s="77">
        <f t="shared" si="191"/>
      </c>
      <c r="CD788" s="77">
        <f>IF($A788="",0,IF($D788='FICHA VEHICULO'!$C$4,1,0))</f>
      </c>
      <c r="CE788" s="77">
        <f t="shared" si="192"/>
      </c>
      <c r="CF788" s="77">
        <f t="shared" si="193"/>
      </c>
      <c r="CG788" s="77">
        <f t="shared" si="194"/>
      </c>
    </row>
    <row r="789" spans="1:85" ht="19.5" customHeight="1" x14ac:dyDescent="0.2">
      <c r="A789" s="104"/>
      <c r="B789" s="104"/>
      <c r="C789" s="105"/>
      <c r="D789" s="104"/>
      <c r="E789" s="105"/>
      <c r="F789" s="106"/>
      <c r="G789" s="104"/>
      <c r="H789" s="106"/>
      <c r="I789" s="107"/>
      <c r="J789" s="108"/>
      <c r="K789" s="108"/>
      <c r="L789" s="108"/>
      <c r="M789" s="105"/>
      <c r="N789" s="105"/>
      <c r="O789" s="105"/>
      <c r="P789" s="108"/>
      <c r="Q789" s="105"/>
      <c r="R789" s="105"/>
      <c r="S789" s="105"/>
      <c r="T789" s="105"/>
      <c r="U789" s="108"/>
      <c r="V789" s="105"/>
      <c r="W789" s="105"/>
      <c r="X789" s="105"/>
      <c r="Y789" s="105"/>
      <c r="Z789" s="105"/>
      <c r="AA789" s="108"/>
      <c r="AB789" s="108"/>
      <c r="AC789" s="105"/>
      <c r="AD789" s="279"/>
      <c r="AE789" s="105"/>
      <c r="AF789" s="279"/>
      <c r="AG789" s="105"/>
      <c r="AH789" s="108"/>
      <c r="AI789" s="108"/>
      <c r="AJ789" s="108"/>
      <c r="AK789" s="108"/>
      <c r="AL789" s="105"/>
      <c r="AM789" s="108"/>
      <c r="AN789" s="105"/>
      <c r="AO789" s="108"/>
      <c r="AP789" s="108"/>
      <c r="AQ789" s="105"/>
      <c r="AR789" s="108"/>
      <c r="AS789" s="108"/>
      <c r="AT789" s="105"/>
      <c r="AU789" s="105"/>
      <c r="AV789" s="105"/>
      <c r="AW789" s="105"/>
      <c r="AX789" s="105"/>
      <c r="AY789" s="105"/>
      <c r="AZ789" s="105"/>
      <c r="BA789" s="105"/>
      <c r="BB789" s="105"/>
      <c r="BC789" s="105"/>
      <c r="BD789" s="108"/>
      <c r="BE789" s="83">
        <f>IF($A789="","",IF(TRIM($D789&amp;"")="",IF(TRIM($AX789&amp;$AY789&amp;$AZ789&amp;$BA789&amp;$BB789&amp;$BC789&amp;$BD789&amp;"")="","","SUBARRENDADO"),IFERROR(IF(VLOOKUP($D789,VEHICULOS!$A$3:$H$202,7,FALSE)="","",VLOOKUP($D789,VEHICULOS!$A$3:$H$202,7,FALSE)),"")))</f>
      </c>
      <c r="BF789" s="82">
        <f>IF($A789="","",IF(TRIM($BC789&amp;"")&lt;&gt;"",$BC789,IF(TRIM($D789&amp;"")="","",IFERROR(IF(VLOOKUP($D789,VEHICULOS!$A$3:$H$202,8,FALSE)="","",VLOOKUP($D789,VEHICULOS!$A$3:$H$202,8,FALSE)),""))))</f>
      </c>
      <c r="BG789" s="106"/>
      <c r="BH789" s="107"/>
      <c r="BI789" s="86">
        <f t="shared" si="180"/>
      </c>
      <c r="BJ789" s="83">
        <f t="shared" si="181"/>
      </c>
      <c r="BK789" s="85">
        <f t="shared" si="182"/>
      </c>
      <c r="BL789" s="85">
        <f t="shared" si="183"/>
      </c>
      <c r="BM789" s="108"/>
      <c r="BN789" s="85">
        <f t="shared" si="184"/>
      </c>
      <c r="BO789" s="108"/>
      <c r="BP789" s="85">
        <f t="shared" si="185"/>
      </c>
      <c r="BQ789" s="85">
        <f t="shared" si="186"/>
      </c>
      <c r="BR789" s="108"/>
      <c r="BS789" s="104"/>
      <c r="BT789" s="87">
        <f t="shared" si="187"/>
      </c>
      <c r="BU789" s="85">
        <f t="shared" si="188"/>
      </c>
      <c r="BV789" s="85">
        <f t="shared" si="189"/>
      </c>
      <c r="BW789" s="87">
        <f t="shared" si="190"/>
      </c>
      <c r="BX789" s="104"/>
      <c r="BY789" s="106"/>
      <c r="BZ789" s="104"/>
      <c r="CA789" s="105"/>
      <c r="CB789" s="77">
        <f>IF($A789="",0,IF($B789='FICHA CLIENTE'!$C$4,1,0))</f>
      </c>
      <c r="CC789" s="77">
        <f t="shared" si="191"/>
      </c>
      <c r="CD789" s="77">
        <f>IF($A789="",0,IF($D789='FICHA VEHICULO'!$C$4,1,0))</f>
      </c>
      <c r="CE789" s="77">
        <f t="shared" si="192"/>
      </c>
      <c r="CF789" s="77">
        <f t="shared" si="193"/>
      </c>
      <c r="CG789" s="77">
        <f t="shared" si="194"/>
      </c>
    </row>
    <row r="790" spans="1:85" ht="19.5" customHeight="1" x14ac:dyDescent="0.2">
      <c r="A790" s="104"/>
      <c r="B790" s="104"/>
      <c r="C790" s="105"/>
      <c r="D790" s="104"/>
      <c r="E790" s="105"/>
      <c r="F790" s="106"/>
      <c r="G790" s="104"/>
      <c r="H790" s="106"/>
      <c r="I790" s="107"/>
      <c r="J790" s="108"/>
      <c r="K790" s="108"/>
      <c r="L790" s="108"/>
      <c r="M790" s="105"/>
      <c r="N790" s="105"/>
      <c r="O790" s="105"/>
      <c r="P790" s="108"/>
      <c r="Q790" s="105"/>
      <c r="R790" s="105"/>
      <c r="S790" s="105"/>
      <c r="T790" s="105"/>
      <c r="U790" s="108"/>
      <c r="V790" s="105"/>
      <c r="W790" s="105"/>
      <c r="X790" s="105"/>
      <c r="Y790" s="105"/>
      <c r="Z790" s="105"/>
      <c r="AA790" s="108"/>
      <c r="AB790" s="108"/>
      <c r="AC790" s="105"/>
      <c r="AD790" s="279"/>
      <c r="AE790" s="105"/>
      <c r="AF790" s="279"/>
      <c r="AG790" s="105"/>
      <c r="AH790" s="108"/>
      <c r="AI790" s="108"/>
      <c r="AJ790" s="108"/>
      <c r="AK790" s="108"/>
      <c r="AL790" s="105"/>
      <c r="AM790" s="108"/>
      <c r="AN790" s="105"/>
      <c r="AO790" s="108"/>
      <c r="AP790" s="108"/>
      <c r="AQ790" s="105"/>
      <c r="AR790" s="108"/>
      <c r="AS790" s="108"/>
      <c r="AT790" s="105"/>
      <c r="AU790" s="105"/>
      <c r="AV790" s="105"/>
      <c r="AW790" s="105"/>
      <c r="AX790" s="105"/>
      <c r="AY790" s="105"/>
      <c r="AZ790" s="105"/>
      <c r="BA790" s="105"/>
      <c r="BB790" s="105"/>
      <c r="BC790" s="105"/>
      <c r="BD790" s="108"/>
      <c r="BE790" s="83">
        <f>IF($A790="","",IF(TRIM($D790&amp;"")="",IF(TRIM($AX790&amp;$AY790&amp;$AZ790&amp;$BA790&amp;$BB790&amp;$BC790&amp;$BD790&amp;"")="","","SUBARRENDADO"),IFERROR(IF(VLOOKUP($D790,VEHICULOS!$A$3:$H$202,7,FALSE)="","",VLOOKUP($D790,VEHICULOS!$A$3:$H$202,7,FALSE)),"")))</f>
      </c>
      <c r="BF790" s="82">
        <f>IF($A790="","",IF(TRIM($BC790&amp;"")&lt;&gt;"",$BC790,IF(TRIM($D790&amp;"")="","",IFERROR(IF(VLOOKUP($D790,VEHICULOS!$A$3:$H$202,8,FALSE)="","",VLOOKUP($D790,VEHICULOS!$A$3:$H$202,8,FALSE)),""))))</f>
      </c>
      <c r="BG790" s="106"/>
      <c r="BH790" s="107"/>
      <c r="BI790" s="86">
        <f t="shared" si="180"/>
      </c>
      <c r="BJ790" s="83">
        <f t="shared" si="181"/>
      </c>
      <c r="BK790" s="85">
        <f t="shared" si="182"/>
      </c>
      <c r="BL790" s="85">
        <f t="shared" si="183"/>
      </c>
      <c r="BM790" s="108"/>
      <c r="BN790" s="85">
        <f t="shared" si="184"/>
      </c>
      <c r="BO790" s="108"/>
      <c r="BP790" s="85">
        <f t="shared" si="185"/>
      </c>
      <c r="BQ790" s="85">
        <f t="shared" si="186"/>
      </c>
      <c r="BR790" s="108"/>
      <c r="BS790" s="104"/>
      <c r="BT790" s="87">
        <f t="shared" si="187"/>
      </c>
      <c r="BU790" s="85">
        <f t="shared" si="188"/>
      </c>
      <c r="BV790" s="85">
        <f t="shared" si="189"/>
      </c>
      <c r="BW790" s="87">
        <f t="shared" si="190"/>
      </c>
      <c r="BX790" s="104"/>
      <c r="BY790" s="106"/>
      <c r="BZ790" s="104"/>
      <c r="CA790" s="105"/>
      <c r="CB790" s="77">
        <f>IF($A790="",0,IF($B790='FICHA CLIENTE'!$C$4,1,0))</f>
      </c>
      <c r="CC790" s="77">
        <f t="shared" si="191"/>
      </c>
      <c r="CD790" s="77">
        <f>IF($A790="",0,IF($D790='FICHA VEHICULO'!$C$4,1,0))</f>
      </c>
      <c r="CE790" s="77">
        <f t="shared" si="192"/>
      </c>
      <c r="CF790" s="77">
        <f t="shared" si="193"/>
      </c>
      <c r="CG790" s="77">
        <f t="shared" si="194"/>
      </c>
    </row>
    <row r="791" spans="1:85" ht="19.5" customHeight="1" x14ac:dyDescent="0.2">
      <c r="A791" s="104"/>
      <c r="B791" s="104"/>
      <c r="C791" s="105"/>
      <c r="D791" s="104"/>
      <c r="E791" s="105"/>
      <c r="F791" s="106"/>
      <c r="G791" s="104"/>
      <c r="H791" s="106"/>
      <c r="I791" s="107"/>
      <c r="J791" s="108"/>
      <c r="K791" s="108"/>
      <c r="L791" s="108"/>
      <c r="M791" s="105"/>
      <c r="N791" s="105"/>
      <c r="O791" s="105"/>
      <c r="P791" s="108"/>
      <c r="Q791" s="105"/>
      <c r="R791" s="105"/>
      <c r="S791" s="105"/>
      <c r="T791" s="105"/>
      <c r="U791" s="108"/>
      <c r="V791" s="105"/>
      <c r="W791" s="105"/>
      <c r="X791" s="105"/>
      <c r="Y791" s="105"/>
      <c r="Z791" s="105"/>
      <c r="AA791" s="108"/>
      <c r="AB791" s="108"/>
      <c r="AC791" s="105"/>
      <c r="AD791" s="279"/>
      <c r="AE791" s="105"/>
      <c r="AF791" s="279"/>
      <c r="AG791" s="105"/>
      <c r="AH791" s="108"/>
      <c r="AI791" s="108"/>
      <c r="AJ791" s="108"/>
      <c r="AK791" s="108"/>
      <c r="AL791" s="105"/>
      <c r="AM791" s="108"/>
      <c r="AN791" s="105"/>
      <c r="AO791" s="108"/>
      <c r="AP791" s="108"/>
      <c r="AQ791" s="105"/>
      <c r="AR791" s="108"/>
      <c r="AS791" s="108"/>
      <c r="AT791" s="105"/>
      <c r="AU791" s="105"/>
      <c r="AV791" s="105"/>
      <c r="AW791" s="105"/>
      <c r="AX791" s="105"/>
      <c r="AY791" s="105"/>
      <c r="AZ791" s="105"/>
      <c r="BA791" s="105"/>
      <c r="BB791" s="105"/>
      <c r="BC791" s="105"/>
      <c r="BD791" s="108"/>
      <c r="BE791" s="83">
        <f>IF($A791="","",IF(TRIM($D791&amp;"")="",IF(TRIM($AX791&amp;$AY791&amp;$AZ791&amp;$BA791&amp;$BB791&amp;$BC791&amp;$BD791&amp;"")="","","SUBARRENDADO"),IFERROR(IF(VLOOKUP($D791,VEHICULOS!$A$3:$H$202,7,FALSE)="","",VLOOKUP($D791,VEHICULOS!$A$3:$H$202,7,FALSE)),"")))</f>
      </c>
      <c r="BF791" s="82">
        <f>IF($A791="","",IF(TRIM($BC791&amp;"")&lt;&gt;"",$BC791,IF(TRIM($D791&amp;"")="","",IFERROR(IF(VLOOKUP($D791,VEHICULOS!$A$3:$H$202,8,FALSE)="","",VLOOKUP($D791,VEHICULOS!$A$3:$H$202,8,FALSE)),""))))</f>
      </c>
      <c r="BG791" s="106"/>
      <c r="BH791" s="107"/>
      <c r="BI791" s="86">
        <f t="shared" si="180"/>
      </c>
      <c r="BJ791" s="83">
        <f t="shared" si="181"/>
      </c>
      <c r="BK791" s="85">
        <f t="shared" si="182"/>
      </c>
      <c r="BL791" s="85">
        <f t="shared" si="183"/>
      </c>
      <c r="BM791" s="108"/>
      <c r="BN791" s="85">
        <f t="shared" si="184"/>
      </c>
      <c r="BO791" s="108"/>
      <c r="BP791" s="85">
        <f t="shared" si="185"/>
      </c>
      <c r="BQ791" s="85">
        <f t="shared" si="186"/>
      </c>
      <c r="BR791" s="108"/>
      <c r="BS791" s="104"/>
      <c r="BT791" s="87">
        <f t="shared" si="187"/>
      </c>
      <c r="BU791" s="85">
        <f t="shared" si="188"/>
      </c>
      <c r="BV791" s="85">
        <f t="shared" si="189"/>
      </c>
      <c r="BW791" s="87">
        <f t="shared" si="190"/>
      </c>
      <c r="BX791" s="104"/>
      <c r="BY791" s="106"/>
      <c r="BZ791" s="104"/>
      <c r="CA791" s="105"/>
      <c r="CB791" s="77">
        <f>IF($A791="",0,IF($B791='FICHA CLIENTE'!$C$4,1,0))</f>
      </c>
      <c r="CC791" s="77">
        <f t="shared" si="191"/>
      </c>
      <c r="CD791" s="77">
        <f>IF($A791="",0,IF($D791='FICHA VEHICULO'!$C$4,1,0))</f>
      </c>
      <c r="CE791" s="77">
        <f t="shared" si="192"/>
      </c>
      <c r="CF791" s="77">
        <f t="shared" si="193"/>
      </c>
      <c r="CG791" s="77">
        <f t="shared" si="194"/>
      </c>
    </row>
    <row r="792" spans="1:85" ht="19.5" customHeight="1" x14ac:dyDescent="0.2">
      <c r="A792" s="104"/>
      <c r="B792" s="104"/>
      <c r="C792" s="105"/>
      <c r="D792" s="104"/>
      <c r="E792" s="105"/>
      <c r="F792" s="106"/>
      <c r="G792" s="104"/>
      <c r="H792" s="106"/>
      <c r="I792" s="107"/>
      <c r="J792" s="108"/>
      <c r="K792" s="108"/>
      <c r="L792" s="108"/>
      <c r="M792" s="105"/>
      <c r="N792" s="105"/>
      <c r="O792" s="105"/>
      <c r="P792" s="108"/>
      <c r="Q792" s="105"/>
      <c r="R792" s="105"/>
      <c r="S792" s="105"/>
      <c r="T792" s="105"/>
      <c r="U792" s="108"/>
      <c r="V792" s="105"/>
      <c r="W792" s="105"/>
      <c r="X792" s="105"/>
      <c r="Y792" s="105"/>
      <c r="Z792" s="105"/>
      <c r="AA792" s="108"/>
      <c r="AB792" s="108"/>
      <c r="AC792" s="105"/>
      <c r="AD792" s="279"/>
      <c r="AE792" s="105"/>
      <c r="AF792" s="279"/>
      <c r="AG792" s="105"/>
      <c r="AH792" s="108"/>
      <c r="AI792" s="108"/>
      <c r="AJ792" s="108"/>
      <c r="AK792" s="108"/>
      <c r="AL792" s="105"/>
      <c r="AM792" s="108"/>
      <c r="AN792" s="105"/>
      <c r="AO792" s="108"/>
      <c r="AP792" s="108"/>
      <c r="AQ792" s="105"/>
      <c r="AR792" s="108"/>
      <c r="AS792" s="108"/>
      <c r="AT792" s="105"/>
      <c r="AU792" s="105"/>
      <c r="AV792" s="105"/>
      <c r="AW792" s="105"/>
      <c r="AX792" s="105"/>
      <c r="AY792" s="105"/>
      <c r="AZ792" s="105"/>
      <c r="BA792" s="105"/>
      <c r="BB792" s="105"/>
      <c r="BC792" s="105"/>
      <c r="BD792" s="108"/>
      <c r="BE792" s="83">
        <f>IF($A792="","",IF(TRIM($D792&amp;"")="",IF(TRIM($AX792&amp;$AY792&amp;$AZ792&amp;$BA792&amp;$BB792&amp;$BC792&amp;$BD792&amp;"")="","","SUBARRENDADO"),IFERROR(IF(VLOOKUP($D792,VEHICULOS!$A$3:$H$202,7,FALSE)="","",VLOOKUP($D792,VEHICULOS!$A$3:$H$202,7,FALSE)),"")))</f>
      </c>
      <c r="BF792" s="82">
        <f>IF($A792="","",IF(TRIM($BC792&amp;"")&lt;&gt;"",$BC792,IF(TRIM($D792&amp;"")="","",IFERROR(IF(VLOOKUP($D792,VEHICULOS!$A$3:$H$202,8,FALSE)="","",VLOOKUP($D792,VEHICULOS!$A$3:$H$202,8,FALSE)),""))))</f>
      </c>
      <c r="BG792" s="106"/>
      <c r="BH792" s="107"/>
      <c r="BI792" s="86">
        <f t="shared" si="180"/>
      </c>
      <c r="BJ792" s="83">
        <f t="shared" si="181"/>
      </c>
      <c r="BK792" s="85">
        <f t="shared" si="182"/>
      </c>
      <c r="BL792" s="85">
        <f t="shared" si="183"/>
      </c>
      <c r="BM792" s="108"/>
      <c r="BN792" s="85">
        <f t="shared" si="184"/>
      </c>
      <c r="BO792" s="108"/>
      <c r="BP792" s="85">
        <f t="shared" si="185"/>
      </c>
      <c r="BQ792" s="85">
        <f t="shared" si="186"/>
      </c>
      <c r="BR792" s="108"/>
      <c r="BS792" s="104"/>
      <c r="BT792" s="87">
        <f t="shared" si="187"/>
      </c>
      <c r="BU792" s="85">
        <f t="shared" si="188"/>
      </c>
      <c r="BV792" s="85">
        <f t="shared" si="189"/>
      </c>
      <c r="BW792" s="87">
        <f t="shared" si="190"/>
      </c>
      <c r="BX792" s="104"/>
      <c r="BY792" s="106"/>
      <c r="BZ792" s="104"/>
      <c r="CA792" s="105"/>
      <c r="CB792" s="77">
        <f>IF($A792="",0,IF($B792='FICHA CLIENTE'!$C$4,1,0))</f>
      </c>
      <c r="CC792" s="77">
        <f t="shared" si="191"/>
      </c>
      <c r="CD792" s="77">
        <f>IF($A792="",0,IF($D792='FICHA VEHICULO'!$C$4,1,0))</f>
      </c>
      <c r="CE792" s="77">
        <f t="shared" si="192"/>
      </c>
      <c r="CF792" s="77">
        <f t="shared" si="193"/>
      </c>
      <c r="CG792" s="77">
        <f t="shared" si="194"/>
      </c>
    </row>
    <row r="793" spans="1:85" ht="19.5" customHeight="1" x14ac:dyDescent="0.2">
      <c r="A793" s="104"/>
      <c r="B793" s="104"/>
      <c r="C793" s="105"/>
      <c r="D793" s="104"/>
      <c r="E793" s="105"/>
      <c r="F793" s="106"/>
      <c r="G793" s="104"/>
      <c r="H793" s="106"/>
      <c r="I793" s="107"/>
      <c r="J793" s="108"/>
      <c r="K793" s="108"/>
      <c r="L793" s="108"/>
      <c r="M793" s="105"/>
      <c r="N793" s="105"/>
      <c r="O793" s="105"/>
      <c r="P793" s="108"/>
      <c r="Q793" s="105"/>
      <c r="R793" s="105"/>
      <c r="S793" s="105"/>
      <c r="T793" s="105"/>
      <c r="U793" s="108"/>
      <c r="V793" s="105"/>
      <c r="W793" s="105"/>
      <c r="X793" s="105"/>
      <c r="Y793" s="105"/>
      <c r="Z793" s="105"/>
      <c r="AA793" s="108"/>
      <c r="AB793" s="108"/>
      <c r="AC793" s="105"/>
      <c r="AD793" s="279"/>
      <c r="AE793" s="105"/>
      <c r="AF793" s="279"/>
      <c r="AG793" s="105"/>
      <c r="AH793" s="108"/>
      <c r="AI793" s="108"/>
      <c r="AJ793" s="108"/>
      <c r="AK793" s="108"/>
      <c r="AL793" s="105"/>
      <c r="AM793" s="108"/>
      <c r="AN793" s="105"/>
      <c r="AO793" s="108"/>
      <c r="AP793" s="108"/>
      <c r="AQ793" s="105"/>
      <c r="AR793" s="108"/>
      <c r="AS793" s="108"/>
      <c r="AT793" s="105"/>
      <c r="AU793" s="105"/>
      <c r="AV793" s="105"/>
      <c r="AW793" s="105"/>
      <c r="AX793" s="105"/>
      <c r="AY793" s="105"/>
      <c r="AZ793" s="105"/>
      <c r="BA793" s="105"/>
      <c r="BB793" s="105"/>
      <c r="BC793" s="105"/>
      <c r="BD793" s="108"/>
      <c r="BE793" s="83">
        <f>IF($A793="","",IF(TRIM($D793&amp;"")="",IF(TRIM($AX793&amp;$AY793&amp;$AZ793&amp;$BA793&amp;$BB793&amp;$BC793&amp;$BD793&amp;"")="","","SUBARRENDADO"),IFERROR(IF(VLOOKUP($D793,VEHICULOS!$A$3:$H$202,7,FALSE)="","",VLOOKUP($D793,VEHICULOS!$A$3:$H$202,7,FALSE)),"")))</f>
      </c>
      <c r="BF793" s="82">
        <f>IF($A793="","",IF(TRIM($BC793&amp;"")&lt;&gt;"",$BC793,IF(TRIM($D793&amp;"")="","",IFERROR(IF(VLOOKUP($D793,VEHICULOS!$A$3:$H$202,8,FALSE)="","",VLOOKUP($D793,VEHICULOS!$A$3:$H$202,8,FALSE)),""))))</f>
      </c>
      <c r="BG793" s="106"/>
      <c r="BH793" s="107"/>
      <c r="BI793" s="86">
        <f t="shared" si="180"/>
      </c>
      <c r="BJ793" s="83">
        <f t="shared" si="181"/>
      </c>
      <c r="BK793" s="85">
        <f t="shared" si="182"/>
      </c>
      <c r="BL793" s="85">
        <f t="shared" si="183"/>
      </c>
      <c r="BM793" s="108"/>
      <c r="BN793" s="85">
        <f t="shared" si="184"/>
      </c>
      <c r="BO793" s="108"/>
      <c r="BP793" s="85">
        <f t="shared" si="185"/>
      </c>
      <c r="BQ793" s="85">
        <f t="shared" si="186"/>
      </c>
      <c r="BR793" s="108"/>
      <c r="BS793" s="104"/>
      <c r="BT793" s="87">
        <f t="shared" si="187"/>
      </c>
      <c r="BU793" s="85">
        <f t="shared" si="188"/>
      </c>
      <c r="BV793" s="85">
        <f t="shared" si="189"/>
      </c>
      <c r="BW793" s="87">
        <f t="shared" si="190"/>
      </c>
      <c r="BX793" s="104"/>
      <c r="BY793" s="106"/>
      <c r="BZ793" s="104"/>
      <c r="CA793" s="105"/>
      <c r="CB793" s="77">
        <f>IF($A793="",0,IF($B793='FICHA CLIENTE'!$C$4,1,0))</f>
      </c>
      <c r="CC793" s="77">
        <f t="shared" si="191"/>
      </c>
      <c r="CD793" s="77">
        <f>IF($A793="",0,IF($D793='FICHA VEHICULO'!$C$4,1,0))</f>
      </c>
      <c r="CE793" s="77">
        <f t="shared" si="192"/>
      </c>
      <c r="CF793" s="77">
        <f t="shared" si="193"/>
      </c>
      <c r="CG793" s="77">
        <f t="shared" si="194"/>
      </c>
    </row>
    <row r="794" spans="1:85" ht="19.5" customHeight="1" x14ac:dyDescent="0.2">
      <c r="A794" s="104"/>
      <c r="B794" s="104"/>
      <c r="C794" s="105"/>
      <c r="D794" s="104"/>
      <c r="E794" s="105"/>
      <c r="F794" s="106"/>
      <c r="G794" s="104"/>
      <c r="H794" s="106"/>
      <c r="I794" s="107"/>
      <c r="J794" s="108"/>
      <c r="K794" s="108"/>
      <c r="L794" s="108"/>
      <c r="M794" s="105"/>
      <c r="N794" s="105"/>
      <c r="O794" s="105"/>
      <c r="P794" s="108"/>
      <c r="Q794" s="105"/>
      <c r="R794" s="105"/>
      <c r="S794" s="105"/>
      <c r="T794" s="105"/>
      <c r="U794" s="108"/>
      <c r="V794" s="105"/>
      <c r="W794" s="105"/>
      <c r="X794" s="105"/>
      <c r="Y794" s="105"/>
      <c r="Z794" s="105"/>
      <c r="AA794" s="108"/>
      <c r="AB794" s="108"/>
      <c r="AC794" s="105"/>
      <c r="AD794" s="279"/>
      <c r="AE794" s="105"/>
      <c r="AF794" s="279"/>
      <c r="AG794" s="105"/>
      <c r="AH794" s="108"/>
      <c r="AI794" s="108"/>
      <c r="AJ794" s="108"/>
      <c r="AK794" s="108"/>
      <c r="AL794" s="105"/>
      <c r="AM794" s="108"/>
      <c r="AN794" s="105"/>
      <c r="AO794" s="108"/>
      <c r="AP794" s="108"/>
      <c r="AQ794" s="105"/>
      <c r="AR794" s="108"/>
      <c r="AS794" s="108"/>
      <c r="AT794" s="105"/>
      <c r="AU794" s="105"/>
      <c r="AV794" s="105"/>
      <c r="AW794" s="105"/>
      <c r="AX794" s="105"/>
      <c r="AY794" s="105"/>
      <c r="AZ794" s="105"/>
      <c r="BA794" s="105"/>
      <c r="BB794" s="105"/>
      <c r="BC794" s="105"/>
      <c r="BD794" s="108"/>
      <c r="BE794" s="83">
        <f>IF($A794="","",IF(TRIM($D794&amp;"")="",IF(TRIM($AX794&amp;$AY794&amp;$AZ794&amp;$BA794&amp;$BB794&amp;$BC794&amp;$BD794&amp;"")="","","SUBARRENDADO"),IFERROR(IF(VLOOKUP($D794,VEHICULOS!$A$3:$H$202,7,FALSE)="","",VLOOKUP($D794,VEHICULOS!$A$3:$H$202,7,FALSE)),"")))</f>
      </c>
      <c r="BF794" s="82">
        <f>IF($A794="","",IF(TRIM($BC794&amp;"")&lt;&gt;"",$BC794,IF(TRIM($D794&amp;"")="","",IFERROR(IF(VLOOKUP($D794,VEHICULOS!$A$3:$H$202,8,FALSE)="","",VLOOKUP($D794,VEHICULOS!$A$3:$H$202,8,FALSE)),""))))</f>
      </c>
      <c r="BG794" s="106"/>
      <c r="BH794" s="107"/>
      <c r="BI794" s="86">
        <f t="shared" si="180"/>
      </c>
      <c r="BJ794" s="83">
        <f t="shared" si="181"/>
      </c>
      <c r="BK794" s="85">
        <f t="shared" si="182"/>
      </c>
      <c r="BL794" s="85">
        <f t="shared" si="183"/>
      </c>
      <c r="BM794" s="108"/>
      <c r="BN794" s="85">
        <f t="shared" si="184"/>
      </c>
      <c r="BO794" s="108"/>
      <c r="BP794" s="85">
        <f t="shared" si="185"/>
      </c>
      <c r="BQ794" s="85">
        <f t="shared" si="186"/>
      </c>
      <c r="BR794" s="108"/>
      <c r="BS794" s="104"/>
      <c r="BT794" s="87">
        <f t="shared" si="187"/>
      </c>
      <c r="BU794" s="85">
        <f t="shared" si="188"/>
      </c>
      <c r="BV794" s="85">
        <f t="shared" si="189"/>
      </c>
      <c r="BW794" s="87">
        <f t="shared" si="190"/>
      </c>
      <c r="BX794" s="104"/>
      <c r="BY794" s="106"/>
      <c r="BZ794" s="104"/>
      <c r="CA794" s="105"/>
      <c r="CB794" s="77">
        <f>IF($A794="",0,IF($B794='FICHA CLIENTE'!$C$4,1,0))</f>
      </c>
      <c r="CC794" s="77">
        <f t="shared" si="191"/>
      </c>
      <c r="CD794" s="77">
        <f>IF($A794="",0,IF($D794='FICHA VEHICULO'!$C$4,1,0))</f>
      </c>
      <c r="CE794" s="77">
        <f t="shared" si="192"/>
      </c>
      <c r="CF794" s="77">
        <f t="shared" si="193"/>
      </c>
      <c r="CG794" s="77">
        <f t="shared" si="194"/>
      </c>
    </row>
    <row r="795" spans="1:85" ht="19.5" customHeight="1" x14ac:dyDescent="0.2">
      <c r="A795" s="104"/>
      <c r="B795" s="104"/>
      <c r="C795" s="105"/>
      <c r="D795" s="104"/>
      <c r="E795" s="105"/>
      <c r="F795" s="106"/>
      <c r="G795" s="104"/>
      <c r="H795" s="106"/>
      <c r="I795" s="107"/>
      <c r="J795" s="108"/>
      <c r="K795" s="108"/>
      <c r="L795" s="108"/>
      <c r="M795" s="105"/>
      <c r="N795" s="105"/>
      <c r="O795" s="105"/>
      <c r="P795" s="108"/>
      <c r="Q795" s="105"/>
      <c r="R795" s="105"/>
      <c r="S795" s="105"/>
      <c r="T795" s="105"/>
      <c r="U795" s="108"/>
      <c r="V795" s="105"/>
      <c r="W795" s="105"/>
      <c r="X795" s="105"/>
      <c r="Y795" s="105"/>
      <c r="Z795" s="105"/>
      <c r="AA795" s="108"/>
      <c r="AB795" s="108"/>
      <c r="AC795" s="105"/>
      <c r="AD795" s="279"/>
      <c r="AE795" s="105"/>
      <c r="AF795" s="279"/>
      <c r="AG795" s="105"/>
      <c r="AH795" s="108"/>
      <c r="AI795" s="108"/>
      <c r="AJ795" s="108"/>
      <c r="AK795" s="108"/>
      <c r="AL795" s="105"/>
      <c r="AM795" s="108"/>
      <c r="AN795" s="105"/>
      <c r="AO795" s="108"/>
      <c r="AP795" s="108"/>
      <c r="AQ795" s="105"/>
      <c r="AR795" s="108"/>
      <c r="AS795" s="108"/>
      <c r="AT795" s="105"/>
      <c r="AU795" s="105"/>
      <c r="AV795" s="105"/>
      <c r="AW795" s="105"/>
      <c r="AX795" s="105"/>
      <c r="AY795" s="105"/>
      <c r="AZ795" s="105"/>
      <c r="BA795" s="105"/>
      <c r="BB795" s="105"/>
      <c r="BC795" s="105"/>
      <c r="BD795" s="108"/>
      <c r="BE795" s="83">
        <f>IF($A795="","",IF(TRIM($D795&amp;"")="",IF(TRIM($AX795&amp;$AY795&amp;$AZ795&amp;$BA795&amp;$BB795&amp;$BC795&amp;$BD795&amp;"")="","","SUBARRENDADO"),IFERROR(IF(VLOOKUP($D795,VEHICULOS!$A$3:$H$202,7,FALSE)="","",VLOOKUP($D795,VEHICULOS!$A$3:$H$202,7,FALSE)),"")))</f>
      </c>
      <c r="BF795" s="82">
        <f>IF($A795="","",IF(TRIM($BC795&amp;"")&lt;&gt;"",$BC795,IF(TRIM($D795&amp;"")="","",IFERROR(IF(VLOOKUP($D795,VEHICULOS!$A$3:$H$202,8,FALSE)="","",VLOOKUP($D795,VEHICULOS!$A$3:$H$202,8,FALSE)),""))))</f>
      </c>
      <c r="BG795" s="106"/>
      <c r="BH795" s="107"/>
      <c r="BI795" s="86">
        <f t="shared" si="180"/>
      </c>
      <c r="BJ795" s="83">
        <f t="shared" si="181"/>
      </c>
      <c r="BK795" s="85">
        <f t="shared" si="182"/>
      </c>
      <c r="BL795" s="85">
        <f t="shared" si="183"/>
      </c>
      <c r="BM795" s="108"/>
      <c r="BN795" s="85">
        <f t="shared" si="184"/>
      </c>
      <c r="BO795" s="108"/>
      <c r="BP795" s="85">
        <f t="shared" si="185"/>
      </c>
      <c r="BQ795" s="85">
        <f t="shared" si="186"/>
      </c>
      <c r="BR795" s="108"/>
      <c r="BS795" s="104"/>
      <c r="BT795" s="87">
        <f t="shared" si="187"/>
      </c>
      <c r="BU795" s="85">
        <f t="shared" si="188"/>
      </c>
      <c r="BV795" s="85">
        <f t="shared" si="189"/>
      </c>
      <c r="BW795" s="87">
        <f t="shared" si="190"/>
      </c>
      <c r="BX795" s="104"/>
      <c r="BY795" s="106"/>
      <c r="BZ795" s="104"/>
      <c r="CA795" s="105"/>
      <c r="CB795" s="77">
        <f>IF($A795="",0,IF($B795='FICHA CLIENTE'!$C$4,1,0))</f>
      </c>
      <c r="CC795" s="77">
        <f t="shared" si="191"/>
      </c>
      <c r="CD795" s="77">
        <f>IF($A795="",0,IF($D795='FICHA VEHICULO'!$C$4,1,0))</f>
      </c>
      <c r="CE795" s="77">
        <f t="shared" si="192"/>
      </c>
      <c r="CF795" s="77">
        <f t="shared" si="193"/>
      </c>
      <c r="CG795" s="77">
        <f t="shared" si="194"/>
      </c>
    </row>
    <row r="796" spans="1:85" ht="19.5" customHeight="1" x14ac:dyDescent="0.2">
      <c r="A796" s="104"/>
      <c r="B796" s="104"/>
      <c r="C796" s="105"/>
      <c r="D796" s="104"/>
      <c r="E796" s="105"/>
      <c r="F796" s="106"/>
      <c r="G796" s="104"/>
      <c r="H796" s="106"/>
      <c r="I796" s="107"/>
      <c r="J796" s="108"/>
      <c r="K796" s="108"/>
      <c r="L796" s="108"/>
      <c r="M796" s="105"/>
      <c r="N796" s="105"/>
      <c r="O796" s="105"/>
      <c r="P796" s="108"/>
      <c r="Q796" s="105"/>
      <c r="R796" s="105"/>
      <c r="S796" s="105"/>
      <c r="T796" s="105"/>
      <c r="U796" s="108"/>
      <c r="V796" s="105"/>
      <c r="W796" s="105"/>
      <c r="X796" s="105"/>
      <c r="Y796" s="105"/>
      <c r="Z796" s="105"/>
      <c r="AA796" s="108"/>
      <c r="AB796" s="108"/>
      <c r="AC796" s="105"/>
      <c r="AD796" s="279"/>
      <c r="AE796" s="105"/>
      <c r="AF796" s="279"/>
      <c r="AG796" s="105"/>
      <c r="AH796" s="108"/>
      <c r="AI796" s="108"/>
      <c r="AJ796" s="108"/>
      <c r="AK796" s="108"/>
      <c r="AL796" s="105"/>
      <c r="AM796" s="108"/>
      <c r="AN796" s="105"/>
      <c r="AO796" s="108"/>
      <c r="AP796" s="108"/>
      <c r="AQ796" s="105"/>
      <c r="AR796" s="108"/>
      <c r="AS796" s="108"/>
      <c r="AT796" s="105"/>
      <c r="AU796" s="105"/>
      <c r="AV796" s="105"/>
      <c r="AW796" s="105"/>
      <c r="AX796" s="105"/>
      <c r="AY796" s="105"/>
      <c r="AZ796" s="105"/>
      <c r="BA796" s="105"/>
      <c r="BB796" s="105"/>
      <c r="BC796" s="105"/>
      <c r="BD796" s="108"/>
      <c r="BE796" s="83">
        <f>IF($A796="","",IF(TRIM($D796&amp;"")="",IF(TRIM($AX796&amp;$AY796&amp;$AZ796&amp;$BA796&amp;$BB796&amp;$BC796&amp;$BD796&amp;"")="","","SUBARRENDADO"),IFERROR(IF(VLOOKUP($D796,VEHICULOS!$A$3:$H$202,7,FALSE)="","",VLOOKUP($D796,VEHICULOS!$A$3:$H$202,7,FALSE)),"")))</f>
      </c>
      <c r="BF796" s="82">
        <f>IF($A796="","",IF(TRIM($BC796&amp;"")&lt;&gt;"",$BC796,IF(TRIM($D796&amp;"")="","",IFERROR(IF(VLOOKUP($D796,VEHICULOS!$A$3:$H$202,8,FALSE)="","",VLOOKUP($D796,VEHICULOS!$A$3:$H$202,8,FALSE)),""))))</f>
      </c>
      <c r="BG796" s="106"/>
      <c r="BH796" s="107"/>
      <c r="BI796" s="86">
        <f t="shared" si="180"/>
      </c>
      <c r="BJ796" s="83">
        <f t="shared" si="181"/>
      </c>
      <c r="BK796" s="85">
        <f t="shared" si="182"/>
      </c>
      <c r="BL796" s="85">
        <f t="shared" si="183"/>
      </c>
      <c r="BM796" s="108"/>
      <c r="BN796" s="85">
        <f t="shared" si="184"/>
      </c>
      <c r="BO796" s="108"/>
      <c r="BP796" s="85">
        <f t="shared" si="185"/>
      </c>
      <c r="BQ796" s="85">
        <f t="shared" si="186"/>
      </c>
      <c r="BR796" s="108"/>
      <c r="BS796" s="104"/>
      <c r="BT796" s="87">
        <f t="shared" si="187"/>
      </c>
      <c r="BU796" s="85">
        <f t="shared" si="188"/>
      </c>
      <c r="BV796" s="85">
        <f t="shared" si="189"/>
      </c>
      <c r="BW796" s="87">
        <f t="shared" si="190"/>
      </c>
      <c r="BX796" s="104"/>
      <c r="BY796" s="106"/>
      <c r="BZ796" s="104"/>
      <c r="CA796" s="105"/>
      <c r="CB796" s="77">
        <f>IF($A796="",0,IF($B796='FICHA CLIENTE'!$C$4,1,0))</f>
      </c>
      <c r="CC796" s="77">
        <f t="shared" si="191"/>
      </c>
      <c r="CD796" s="77">
        <f>IF($A796="",0,IF($D796='FICHA VEHICULO'!$C$4,1,0))</f>
      </c>
      <c r="CE796" s="77">
        <f t="shared" si="192"/>
      </c>
      <c r="CF796" s="77">
        <f t="shared" si="193"/>
      </c>
      <c r="CG796" s="77">
        <f t="shared" si="194"/>
      </c>
    </row>
    <row r="797" spans="1:85" ht="19.5" customHeight="1" x14ac:dyDescent="0.2">
      <c r="A797" s="104"/>
      <c r="B797" s="104"/>
      <c r="C797" s="105"/>
      <c r="D797" s="104"/>
      <c r="E797" s="105"/>
      <c r="F797" s="106"/>
      <c r="G797" s="104"/>
      <c r="H797" s="106"/>
      <c r="I797" s="107"/>
      <c r="J797" s="108"/>
      <c r="K797" s="108"/>
      <c r="L797" s="108"/>
      <c r="M797" s="105"/>
      <c r="N797" s="105"/>
      <c r="O797" s="105"/>
      <c r="P797" s="108"/>
      <c r="Q797" s="105"/>
      <c r="R797" s="105"/>
      <c r="S797" s="105"/>
      <c r="T797" s="105"/>
      <c r="U797" s="108"/>
      <c r="V797" s="105"/>
      <c r="W797" s="105"/>
      <c r="X797" s="105"/>
      <c r="Y797" s="105"/>
      <c r="Z797" s="105"/>
      <c r="AA797" s="108"/>
      <c r="AB797" s="108"/>
      <c r="AC797" s="105"/>
      <c r="AD797" s="279"/>
      <c r="AE797" s="105"/>
      <c r="AF797" s="279"/>
      <c r="AG797" s="105"/>
      <c r="AH797" s="108"/>
      <c r="AI797" s="108"/>
      <c r="AJ797" s="108"/>
      <c r="AK797" s="108"/>
      <c r="AL797" s="105"/>
      <c r="AM797" s="108"/>
      <c r="AN797" s="105"/>
      <c r="AO797" s="108"/>
      <c r="AP797" s="108"/>
      <c r="AQ797" s="105"/>
      <c r="AR797" s="108"/>
      <c r="AS797" s="108"/>
      <c r="AT797" s="105"/>
      <c r="AU797" s="105"/>
      <c r="AV797" s="105"/>
      <c r="AW797" s="105"/>
      <c r="AX797" s="105"/>
      <c r="AY797" s="105"/>
      <c r="AZ797" s="105"/>
      <c r="BA797" s="105"/>
      <c r="BB797" s="105"/>
      <c r="BC797" s="105"/>
      <c r="BD797" s="108"/>
      <c r="BE797" s="83">
        <f>IF($A797="","",IF(TRIM($D797&amp;"")="",IF(TRIM($AX797&amp;$AY797&amp;$AZ797&amp;$BA797&amp;$BB797&amp;$BC797&amp;$BD797&amp;"")="","","SUBARRENDADO"),IFERROR(IF(VLOOKUP($D797,VEHICULOS!$A$3:$H$202,7,FALSE)="","",VLOOKUP($D797,VEHICULOS!$A$3:$H$202,7,FALSE)),"")))</f>
      </c>
      <c r="BF797" s="82">
        <f>IF($A797="","",IF(TRIM($BC797&amp;"")&lt;&gt;"",$BC797,IF(TRIM($D797&amp;"")="","",IFERROR(IF(VLOOKUP($D797,VEHICULOS!$A$3:$H$202,8,FALSE)="","",VLOOKUP($D797,VEHICULOS!$A$3:$H$202,8,FALSE)),""))))</f>
      </c>
      <c r="BG797" s="106"/>
      <c r="BH797" s="107"/>
      <c r="BI797" s="86">
        <f t="shared" si="180"/>
      </c>
      <c r="BJ797" s="83">
        <f t="shared" si="181"/>
      </c>
      <c r="BK797" s="85">
        <f t="shared" si="182"/>
      </c>
      <c r="BL797" s="85">
        <f t="shared" si="183"/>
      </c>
      <c r="BM797" s="108"/>
      <c r="BN797" s="85">
        <f t="shared" si="184"/>
      </c>
      <c r="BO797" s="108"/>
      <c r="BP797" s="85">
        <f t="shared" si="185"/>
      </c>
      <c r="BQ797" s="85">
        <f t="shared" si="186"/>
      </c>
      <c r="BR797" s="108"/>
      <c r="BS797" s="104"/>
      <c r="BT797" s="87">
        <f t="shared" si="187"/>
      </c>
      <c r="BU797" s="85">
        <f t="shared" si="188"/>
      </c>
      <c r="BV797" s="85">
        <f t="shared" si="189"/>
      </c>
      <c r="BW797" s="87">
        <f t="shared" si="190"/>
      </c>
      <c r="BX797" s="104"/>
      <c r="BY797" s="106"/>
      <c r="BZ797" s="104"/>
      <c r="CA797" s="105"/>
      <c r="CB797" s="77">
        <f>IF($A797="",0,IF($B797='FICHA CLIENTE'!$C$4,1,0))</f>
      </c>
      <c r="CC797" s="77">
        <f t="shared" si="191"/>
      </c>
      <c r="CD797" s="77">
        <f>IF($A797="",0,IF($D797='FICHA VEHICULO'!$C$4,1,0))</f>
      </c>
      <c r="CE797" s="77">
        <f t="shared" si="192"/>
      </c>
      <c r="CF797" s="77">
        <f t="shared" si="193"/>
      </c>
      <c r="CG797" s="77">
        <f t="shared" si="194"/>
      </c>
    </row>
    <row r="798" spans="1:85" ht="19.5" customHeight="1" x14ac:dyDescent="0.2">
      <c r="A798" s="104"/>
      <c r="B798" s="104"/>
      <c r="C798" s="105"/>
      <c r="D798" s="104"/>
      <c r="E798" s="105"/>
      <c r="F798" s="106"/>
      <c r="G798" s="104"/>
      <c r="H798" s="106"/>
      <c r="I798" s="107"/>
      <c r="J798" s="108"/>
      <c r="K798" s="108"/>
      <c r="L798" s="108"/>
      <c r="M798" s="105"/>
      <c r="N798" s="105"/>
      <c r="O798" s="105"/>
      <c r="P798" s="108"/>
      <c r="Q798" s="105"/>
      <c r="R798" s="105"/>
      <c r="S798" s="105"/>
      <c r="T798" s="105"/>
      <c r="U798" s="108"/>
      <c r="V798" s="105"/>
      <c r="W798" s="105"/>
      <c r="X798" s="105"/>
      <c r="Y798" s="105"/>
      <c r="Z798" s="105"/>
      <c r="AA798" s="108"/>
      <c r="AB798" s="108"/>
      <c r="AC798" s="105"/>
      <c r="AD798" s="279"/>
      <c r="AE798" s="105"/>
      <c r="AF798" s="279"/>
      <c r="AG798" s="105"/>
      <c r="AH798" s="108"/>
      <c r="AI798" s="108"/>
      <c r="AJ798" s="108"/>
      <c r="AK798" s="108"/>
      <c r="AL798" s="105"/>
      <c r="AM798" s="108"/>
      <c r="AN798" s="105"/>
      <c r="AO798" s="108"/>
      <c r="AP798" s="108"/>
      <c r="AQ798" s="105"/>
      <c r="AR798" s="108"/>
      <c r="AS798" s="108"/>
      <c r="AT798" s="105"/>
      <c r="AU798" s="105"/>
      <c r="AV798" s="105"/>
      <c r="AW798" s="105"/>
      <c r="AX798" s="105"/>
      <c r="AY798" s="105"/>
      <c r="AZ798" s="105"/>
      <c r="BA798" s="105"/>
      <c r="BB798" s="105"/>
      <c r="BC798" s="105"/>
      <c r="BD798" s="108"/>
      <c r="BE798" s="83">
        <f>IF($A798="","",IF(TRIM($D798&amp;"")="",IF(TRIM($AX798&amp;$AY798&amp;$AZ798&amp;$BA798&amp;$BB798&amp;$BC798&amp;$BD798&amp;"")="","","SUBARRENDADO"),IFERROR(IF(VLOOKUP($D798,VEHICULOS!$A$3:$H$202,7,FALSE)="","",VLOOKUP($D798,VEHICULOS!$A$3:$H$202,7,FALSE)),"")))</f>
      </c>
      <c r="BF798" s="82">
        <f>IF($A798="","",IF(TRIM($BC798&amp;"")&lt;&gt;"",$BC798,IF(TRIM($D798&amp;"")="","",IFERROR(IF(VLOOKUP($D798,VEHICULOS!$A$3:$H$202,8,FALSE)="","",VLOOKUP($D798,VEHICULOS!$A$3:$H$202,8,FALSE)),""))))</f>
      </c>
      <c r="BG798" s="106"/>
      <c r="BH798" s="107"/>
      <c r="BI798" s="86">
        <f t="shared" si="180"/>
      </c>
      <c r="BJ798" s="83">
        <f t="shared" si="181"/>
      </c>
      <c r="BK798" s="85">
        <f t="shared" si="182"/>
      </c>
      <c r="BL798" s="85">
        <f t="shared" si="183"/>
      </c>
      <c r="BM798" s="108"/>
      <c r="BN798" s="85">
        <f t="shared" si="184"/>
      </c>
      <c r="BO798" s="108"/>
      <c r="BP798" s="85">
        <f t="shared" si="185"/>
      </c>
      <c r="BQ798" s="85">
        <f t="shared" si="186"/>
      </c>
      <c r="BR798" s="108"/>
      <c r="BS798" s="104"/>
      <c r="BT798" s="87">
        <f t="shared" si="187"/>
      </c>
      <c r="BU798" s="85">
        <f t="shared" si="188"/>
      </c>
      <c r="BV798" s="85">
        <f t="shared" si="189"/>
      </c>
      <c r="BW798" s="87">
        <f t="shared" si="190"/>
      </c>
      <c r="BX798" s="104"/>
      <c r="BY798" s="106"/>
      <c r="BZ798" s="104"/>
      <c r="CA798" s="105"/>
      <c r="CB798" s="77">
        <f>IF($A798="",0,IF($B798='FICHA CLIENTE'!$C$4,1,0))</f>
      </c>
      <c r="CC798" s="77">
        <f t="shared" si="191"/>
      </c>
      <c r="CD798" s="77">
        <f>IF($A798="",0,IF($D798='FICHA VEHICULO'!$C$4,1,0))</f>
      </c>
      <c r="CE798" s="77">
        <f t="shared" si="192"/>
      </c>
      <c r="CF798" s="77">
        <f t="shared" si="193"/>
      </c>
      <c r="CG798" s="77">
        <f t="shared" si="194"/>
      </c>
    </row>
    <row r="799" spans="1:85" ht="19.5" customHeight="1" x14ac:dyDescent="0.2">
      <c r="A799" s="104"/>
      <c r="B799" s="104"/>
      <c r="C799" s="105"/>
      <c r="D799" s="104"/>
      <c r="E799" s="105"/>
      <c r="F799" s="106"/>
      <c r="G799" s="104"/>
      <c r="H799" s="106"/>
      <c r="I799" s="107"/>
      <c r="J799" s="108"/>
      <c r="K799" s="108"/>
      <c r="L799" s="108"/>
      <c r="M799" s="105"/>
      <c r="N799" s="105"/>
      <c r="O799" s="105"/>
      <c r="P799" s="108"/>
      <c r="Q799" s="105"/>
      <c r="R799" s="105"/>
      <c r="S799" s="105"/>
      <c r="T799" s="105"/>
      <c r="U799" s="108"/>
      <c r="V799" s="105"/>
      <c r="W799" s="105"/>
      <c r="X799" s="105"/>
      <c r="Y799" s="105"/>
      <c r="Z799" s="105"/>
      <c r="AA799" s="108"/>
      <c r="AB799" s="108"/>
      <c r="AC799" s="105"/>
      <c r="AD799" s="279"/>
      <c r="AE799" s="105"/>
      <c r="AF799" s="279"/>
      <c r="AG799" s="105"/>
      <c r="AH799" s="108"/>
      <c r="AI799" s="108"/>
      <c r="AJ799" s="108"/>
      <c r="AK799" s="108"/>
      <c r="AL799" s="105"/>
      <c r="AM799" s="108"/>
      <c r="AN799" s="105"/>
      <c r="AO799" s="108"/>
      <c r="AP799" s="108"/>
      <c r="AQ799" s="105"/>
      <c r="AR799" s="108"/>
      <c r="AS799" s="108"/>
      <c r="AT799" s="105"/>
      <c r="AU799" s="105"/>
      <c r="AV799" s="105"/>
      <c r="AW799" s="105"/>
      <c r="AX799" s="105"/>
      <c r="AY799" s="105"/>
      <c r="AZ799" s="105"/>
      <c r="BA799" s="105"/>
      <c r="BB799" s="105"/>
      <c r="BC799" s="105"/>
      <c r="BD799" s="108"/>
      <c r="BE799" s="83">
        <f>IF($A799="","",IF(TRIM($D799&amp;"")="",IF(TRIM($AX799&amp;$AY799&amp;$AZ799&amp;$BA799&amp;$BB799&amp;$BC799&amp;$BD799&amp;"")="","","SUBARRENDADO"),IFERROR(IF(VLOOKUP($D799,VEHICULOS!$A$3:$H$202,7,FALSE)="","",VLOOKUP($D799,VEHICULOS!$A$3:$H$202,7,FALSE)),"")))</f>
      </c>
      <c r="BF799" s="82">
        <f>IF($A799="","",IF(TRIM($BC799&amp;"")&lt;&gt;"",$BC799,IF(TRIM($D799&amp;"")="","",IFERROR(IF(VLOOKUP($D799,VEHICULOS!$A$3:$H$202,8,FALSE)="","",VLOOKUP($D799,VEHICULOS!$A$3:$H$202,8,FALSE)),""))))</f>
      </c>
      <c r="BG799" s="106"/>
      <c r="BH799" s="107"/>
      <c r="BI799" s="86">
        <f t="shared" si="180"/>
      </c>
      <c r="BJ799" s="83">
        <f t="shared" si="181"/>
      </c>
      <c r="BK799" s="85">
        <f t="shared" si="182"/>
      </c>
      <c r="BL799" s="85">
        <f t="shared" si="183"/>
      </c>
      <c r="BM799" s="108"/>
      <c r="BN799" s="85">
        <f t="shared" si="184"/>
      </c>
      <c r="BO799" s="108"/>
      <c r="BP799" s="85">
        <f t="shared" si="185"/>
      </c>
      <c r="BQ799" s="85">
        <f t="shared" si="186"/>
      </c>
      <c r="BR799" s="108"/>
      <c r="BS799" s="104"/>
      <c r="BT799" s="87">
        <f t="shared" si="187"/>
      </c>
      <c r="BU799" s="85">
        <f t="shared" si="188"/>
      </c>
      <c r="BV799" s="85">
        <f t="shared" si="189"/>
      </c>
      <c r="BW799" s="87">
        <f t="shared" si="190"/>
      </c>
      <c r="BX799" s="104"/>
      <c r="BY799" s="106"/>
      <c r="BZ799" s="104"/>
      <c r="CA799" s="105"/>
      <c r="CB799" s="77">
        <f>IF($A799="",0,IF($B799='FICHA CLIENTE'!$C$4,1,0))</f>
      </c>
      <c r="CC799" s="77">
        <f t="shared" si="191"/>
      </c>
      <c r="CD799" s="77">
        <f>IF($A799="",0,IF($D799='FICHA VEHICULO'!$C$4,1,0))</f>
      </c>
      <c r="CE799" s="77">
        <f t="shared" si="192"/>
      </c>
      <c r="CF799" s="77">
        <f t="shared" si="193"/>
      </c>
      <c r="CG799" s="77">
        <f t="shared" si="194"/>
      </c>
    </row>
    <row r="800" spans="1:85" ht="19.5" customHeight="1" x14ac:dyDescent="0.2">
      <c r="A800" s="104"/>
      <c r="B800" s="104"/>
      <c r="C800" s="105"/>
      <c r="D800" s="104"/>
      <c r="E800" s="105"/>
      <c r="F800" s="106"/>
      <c r="G800" s="104"/>
      <c r="H800" s="106"/>
      <c r="I800" s="107"/>
      <c r="J800" s="108"/>
      <c r="K800" s="108"/>
      <c r="L800" s="108"/>
      <c r="M800" s="105"/>
      <c r="N800" s="105"/>
      <c r="O800" s="105"/>
      <c r="P800" s="108"/>
      <c r="Q800" s="105"/>
      <c r="R800" s="105"/>
      <c r="S800" s="105"/>
      <c r="T800" s="105"/>
      <c r="U800" s="108"/>
      <c r="V800" s="105"/>
      <c r="W800" s="105"/>
      <c r="X800" s="105"/>
      <c r="Y800" s="105"/>
      <c r="Z800" s="105"/>
      <c r="AA800" s="108"/>
      <c r="AB800" s="108"/>
      <c r="AC800" s="105"/>
      <c r="AD800" s="279"/>
      <c r="AE800" s="105"/>
      <c r="AF800" s="279"/>
      <c r="AG800" s="105"/>
      <c r="AH800" s="108"/>
      <c r="AI800" s="108"/>
      <c r="AJ800" s="108"/>
      <c r="AK800" s="108"/>
      <c r="AL800" s="105"/>
      <c r="AM800" s="108"/>
      <c r="AN800" s="105"/>
      <c r="AO800" s="108"/>
      <c r="AP800" s="108"/>
      <c r="AQ800" s="105"/>
      <c r="AR800" s="108"/>
      <c r="AS800" s="108"/>
      <c r="AT800" s="105"/>
      <c r="AU800" s="105"/>
      <c r="AV800" s="105"/>
      <c r="AW800" s="105"/>
      <c r="AX800" s="105"/>
      <c r="AY800" s="105"/>
      <c r="AZ800" s="105"/>
      <c r="BA800" s="105"/>
      <c r="BB800" s="105"/>
      <c r="BC800" s="105"/>
      <c r="BD800" s="108"/>
      <c r="BE800" s="83">
        <f>IF($A800="","",IF(TRIM($D800&amp;"")="",IF(TRIM($AX800&amp;$AY800&amp;$AZ800&amp;$BA800&amp;$BB800&amp;$BC800&amp;$BD800&amp;"")="","","SUBARRENDADO"),IFERROR(IF(VLOOKUP($D800,VEHICULOS!$A$3:$H$202,7,FALSE)="","",VLOOKUP($D800,VEHICULOS!$A$3:$H$202,7,FALSE)),"")))</f>
      </c>
      <c r="BF800" s="82">
        <f>IF($A800="","",IF(TRIM($BC800&amp;"")&lt;&gt;"",$BC800,IF(TRIM($D800&amp;"")="","",IFERROR(IF(VLOOKUP($D800,VEHICULOS!$A$3:$H$202,8,FALSE)="","",VLOOKUP($D800,VEHICULOS!$A$3:$H$202,8,FALSE)),""))))</f>
      </c>
      <c r="BG800" s="106"/>
      <c r="BH800" s="107"/>
      <c r="BI800" s="86">
        <f t="shared" si="180"/>
      </c>
      <c r="BJ800" s="83">
        <f t="shared" si="181"/>
      </c>
      <c r="BK800" s="85">
        <f t="shared" si="182"/>
      </c>
      <c r="BL800" s="85">
        <f t="shared" si="183"/>
      </c>
      <c r="BM800" s="108"/>
      <c r="BN800" s="85">
        <f t="shared" si="184"/>
      </c>
      <c r="BO800" s="108"/>
      <c r="BP800" s="85">
        <f t="shared" si="185"/>
      </c>
      <c r="BQ800" s="85">
        <f t="shared" si="186"/>
      </c>
      <c r="BR800" s="108"/>
      <c r="BS800" s="104"/>
      <c r="BT800" s="87">
        <f t="shared" si="187"/>
      </c>
      <c r="BU800" s="85">
        <f t="shared" si="188"/>
      </c>
      <c r="BV800" s="85">
        <f t="shared" si="189"/>
      </c>
      <c r="BW800" s="87">
        <f t="shared" si="190"/>
      </c>
      <c r="BX800" s="104"/>
      <c r="BY800" s="106"/>
      <c r="BZ800" s="104"/>
      <c r="CA800" s="105"/>
      <c r="CB800" s="77">
        <f>IF($A800="",0,IF($B800='FICHA CLIENTE'!$C$4,1,0))</f>
      </c>
      <c r="CC800" s="77">
        <f t="shared" si="191"/>
      </c>
      <c r="CD800" s="77">
        <f>IF($A800="",0,IF($D800='FICHA VEHICULO'!$C$4,1,0))</f>
      </c>
      <c r="CE800" s="77">
        <f t="shared" si="192"/>
      </c>
      <c r="CF800" s="77">
        <f t="shared" si="193"/>
      </c>
      <c r="CG800" s="77">
        <f t="shared" si="194"/>
      </c>
    </row>
    <row r="801" spans="1:85" ht="19.5" customHeight="1" x14ac:dyDescent="0.2">
      <c r="A801" s="104"/>
      <c r="B801" s="104"/>
      <c r="C801" s="105"/>
      <c r="D801" s="104"/>
      <c r="E801" s="105"/>
      <c r="F801" s="106"/>
      <c r="G801" s="104"/>
      <c r="H801" s="106"/>
      <c r="I801" s="107"/>
      <c r="J801" s="108"/>
      <c r="K801" s="108"/>
      <c r="L801" s="108"/>
      <c r="M801" s="105"/>
      <c r="N801" s="105"/>
      <c r="O801" s="105"/>
      <c r="P801" s="108"/>
      <c r="Q801" s="105"/>
      <c r="R801" s="105"/>
      <c r="S801" s="105"/>
      <c r="T801" s="105"/>
      <c r="U801" s="108"/>
      <c r="V801" s="105"/>
      <c r="W801" s="105"/>
      <c r="X801" s="105"/>
      <c r="Y801" s="105"/>
      <c r="Z801" s="105"/>
      <c r="AA801" s="108"/>
      <c r="AB801" s="108"/>
      <c r="AC801" s="105"/>
      <c r="AD801" s="279"/>
      <c r="AE801" s="105"/>
      <c r="AF801" s="279"/>
      <c r="AG801" s="105"/>
      <c r="AH801" s="108"/>
      <c r="AI801" s="108"/>
      <c r="AJ801" s="108"/>
      <c r="AK801" s="108"/>
      <c r="AL801" s="105"/>
      <c r="AM801" s="108"/>
      <c r="AN801" s="105"/>
      <c r="AO801" s="108"/>
      <c r="AP801" s="108"/>
      <c r="AQ801" s="105"/>
      <c r="AR801" s="108"/>
      <c r="AS801" s="108"/>
      <c r="AT801" s="105"/>
      <c r="AU801" s="105"/>
      <c r="AV801" s="105"/>
      <c r="AW801" s="105"/>
      <c r="AX801" s="105"/>
      <c r="AY801" s="105"/>
      <c r="AZ801" s="105"/>
      <c r="BA801" s="105"/>
      <c r="BB801" s="105"/>
      <c r="BC801" s="105"/>
      <c r="BD801" s="108"/>
      <c r="BE801" s="83">
        <f>IF($A801="","",IF(TRIM($D801&amp;"")="",IF(TRIM($AX801&amp;$AY801&amp;$AZ801&amp;$BA801&amp;$BB801&amp;$BC801&amp;$BD801&amp;"")="","","SUBARRENDADO"),IFERROR(IF(VLOOKUP($D801,VEHICULOS!$A$3:$H$202,7,FALSE)="","",VLOOKUP($D801,VEHICULOS!$A$3:$H$202,7,FALSE)),"")))</f>
      </c>
      <c r="BF801" s="82">
        <f>IF($A801="","",IF(TRIM($BC801&amp;"")&lt;&gt;"",$BC801,IF(TRIM($D801&amp;"")="","",IFERROR(IF(VLOOKUP($D801,VEHICULOS!$A$3:$H$202,8,FALSE)="","",VLOOKUP($D801,VEHICULOS!$A$3:$H$202,8,FALSE)),""))))</f>
      </c>
      <c r="BG801" s="106"/>
      <c r="BH801" s="107"/>
      <c r="BI801" s="86">
        <f t="shared" si="180"/>
      </c>
      <c r="BJ801" s="83">
        <f t="shared" si="181"/>
      </c>
      <c r="BK801" s="85">
        <f t="shared" si="182"/>
      </c>
      <c r="BL801" s="85">
        <f t="shared" si="183"/>
      </c>
      <c r="BM801" s="108"/>
      <c r="BN801" s="85">
        <f t="shared" si="184"/>
      </c>
      <c r="BO801" s="108"/>
      <c r="BP801" s="85">
        <f t="shared" si="185"/>
      </c>
      <c r="BQ801" s="85">
        <f t="shared" si="186"/>
      </c>
      <c r="BR801" s="108"/>
      <c r="BS801" s="104"/>
      <c r="BT801" s="87">
        <f t="shared" si="187"/>
      </c>
      <c r="BU801" s="85">
        <f t="shared" si="188"/>
      </c>
      <c r="BV801" s="85">
        <f t="shared" si="189"/>
      </c>
      <c r="BW801" s="87">
        <f t="shared" si="190"/>
      </c>
      <c r="BX801" s="104"/>
      <c r="BY801" s="106"/>
      <c r="BZ801" s="104"/>
      <c r="CA801" s="105"/>
      <c r="CB801" s="77">
        <f>IF($A801="",0,IF($B801='FICHA CLIENTE'!$C$4,1,0))</f>
      </c>
      <c r="CC801" s="77">
        <f t="shared" si="191"/>
      </c>
      <c r="CD801" s="77">
        <f>IF($A801="",0,IF($D801='FICHA VEHICULO'!$C$4,1,0))</f>
      </c>
      <c r="CE801" s="77">
        <f t="shared" si="192"/>
      </c>
      <c r="CF801" s="77">
        <f t="shared" si="193"/>
      </c>
      <c r="CG801" s="77">
        <f t="shared" si="194"/>
      </c>
    </row>
    <row r="802" spans="1:85" ht="19.5" customHeight="1" x14ac:dyDescent="0.2">
      <c r="A802" s="104"/>
      <c r="B802" s="104"/>
      <c r="C802" s="105"/>
      <c r="D802" s="104"/>
      <c r="E802" s="105"/>
      <c r="F802" s="106"/>
      <c r="G802" s="104"/>
      <c r="H802" s="106"/>
      <c r="I802" s="107"/>
      <c r="J802" s="108"/>
      <c r="K802" s="108"/>
      <c r="L802" s="108"/>
      <c r="M802" s="105"/>
      <c r="N802" s="105"/>
      <c r="O802" s="105"/>
      <c r="P802" s="108"/>
      <c r="Q802" s="105"/>
      <c r="R802" s="105"/>
      <c r="S802" s="105"/>
      <c r="T802" s="105"/>
      <c r="U802" s="108"/>
      <c r="V802" s="105"/>
      <c r="W802" s="105"/>
      <c r="X802" s="105"/>
      <c r="Y802" s="105"/>
      <c r="Z802" s="105"/>
      <c r="AA802" s="108"/>
      <c r="AB802" s="108"/>
      <c r="AC802" s="105"/>
      <c r="AD802" s="279"/>
      <c r="AE802" s="105"/>
      <c r="AF802" s="279"/>
      <c r="AG802" s="105"/>
      <c r="AH802" s="108"/>
      <c r="AI802" s="108"/>
      <c r="AJ802" s="108"/>
      <c r="AK802" s="108"/>
      <c r="AL802" s="105"/>
      <c r="AM802" s="108"/>
      <c r="AN802" s="105"/>
      <c r="AO802" s="108"/>
      <c r="AP802" s="108"/>
      <c r="AQ802" s="105"/>
      <c r="AR802" s="108"/>
      <c r="AS802" s="108"/>
      <c r="AT802" s="105"/>
      <c r="AU802" s="105"/>
      <c r="AV802" s="105"/>
      <c r="AW802" s="105"/>
      <c r="AX802" s="105"/>
      <c r="AY802" s="105"/>
      <c r="AZ802" s="105"/>
      <c r="BA802" s="105"/>
      <c r="BB802" s="105"/>
      <c r="BC802" s="105"/>
      <c r="BD802" s="108"/>
      <c r="BE802" s="83">
        <f>IF($A802="","",IF(TRIM($D802&amp;"")="",IF(TRIM($AX802&amp;$AY802&amp;$AZ802&amp;$BA802&amp;$BB802&amp;$BC802&amp;$BD802&amp;"")="","","SUBARRENDADO"),IFERROR(IF(VLOOKUP($D802,VEHICULOS!$A$3:$H$202,7,FALSE)="","",VLOOKUP($D802,VEHICULOS!$A$3:$H$202,7,FALSE)),"")))</f>
      </c>
      <c r="BF802" s="82">
        <f>IF($A802="","",IF(TRIM($BC802&amp;"")&lt;&gt;"",$BC802,IF(TRIM($D802&amp;"")="","",IFERROR(IF(VLOOKUP($D802,VEHICULOS!$A$3:$H$202,8,FALSE)="","",VLOOKUP($D802,VEHICULOS!$A$3:$H$202,8,FALSE)),""))))</f>
      </c>
      <c r="BG802" s="106"/>
      <c r="BH802" s="107"/>
      <c r="BI802" s="86">
        <f t="shared" si="180"/>
      </c>
      <c r="BJ802" s="83">
        <f t="shared" si="181"/>
      </c>
      <c r="BK802" s="85">
        <f t="shared" si="182"/>
      </c>
      <c r="BL802" s="85">
        <f t="shared" si="183"/>
      </c>
      <c r="BM802" s="108"/>
      <c r="BN802" s="85">
        <f t="shared" si="184"/>
      </c>
      <c r="BO802" s="108"/>
      <c r="BP802" s="85">
        <f t="shared" si="185"/>
      </c>
      <c r="BQ802" s="85">
        <f t="shared" si="186"/>
      </c>
      <c r="BR802" s="108"/>
      <c r="BS802" s="104"/>
      <c r="BT802" s="87">
        <f t="shared" si="187"/>
      </c>
      <c r="BU802" s="85">
        <f t="shared" si="188"/>
      </c>
      <c r="BV802" s="85">
        <f t="shared" si="189"/>
      </c>
      <c r="BW802" s="87">
        <f t="shared" si="190"/>
      </c>
      <c r="BX802" s="104"/>
      <c r="BY802" s="106"/>
      <c r="BZ802" s="104"/>
      <c r="CA802" s="105"/>
      <c r="CB802" s="77">
        <f>IF($A802="",0,IF($B802='FICHA CLIENTE'!$C$4,1,0))</f>
      </c>
      <c r="CC802" s="77">
        <f t="shared" si="191"/>
      </c>
      <c r="CD802" s="77">
        <f>IF($A802="",0,IF($D802='FICHA VEHICULO'!$C$4,1,0))</f>
      </c>
      <c r="CE802" s="77">
        <f t="shared" si="192"/>
      </c>
      <c r="CF802" s="77">
        <f t="shared" si="193"/>
      </c>
      <c r="CG802" s="77">
        <f t="shared" si="194"/>
      </c>
    </row>
    <row r="803" spans="1:85" ht="19.5" customHeight="1" x14ac:dyDescent="0.2">
      <c r="A803" s="104"/>
      <c r="B803" s="104"/>
      <c r="C803" s="105"/>
      <c r="D803" s="104"/>
      <c r="E803" s="105"/>
      <c r="F803" s="106"/>
      <c r="G803" s="104"/>
      <c r="H803" s="106"/>
      <c r="I803" s="107"/>
      <c r="J803" s="108"/>
      <c r="K803" s="108"/>
      <c r="L803" s="108"/>
      <c r="M803" s="105"/>
      <c r="N803" s="105"/>
      <c r="O803" s="105"/>
      <c r="P803" s="108"/>
      <c r="Q803" s="105"/>
      <c r="R803" s="105"/>
      <c r="S803" s="105"/>
      <c r="T803" s="105"/>
      <c r="U803" s="108"/>
      <c r="V803" s="105"/>
      <c r="W803" s="105"/>
      <c r="X803" s="105"/>
      <c r="Y803" s="105"/>
      <c r="Z803" s="105"/>
      <c r="AA803" s="108"/>
      <c r="AB803" s="108"/>
      <c r="AC803" s="105"/>
      <c r="AD803" s="279"/>
      <c r="AE803" s="105"/>
      <c r="AF803" s="279"/>
      <c r="AG803" s="105"/>
      <c r="AH803" s="108"/>
      <c r="AI803" s="108"/>
      <c r="AJ803" s="108"/>
      <c r="AK803" s="108"/>
      <c r="AL803" s="105"/>
      <c r="AM803" s="108"/>
      <c r="AN803" s="105"/>
      <c r="AO803" s="108"/>
      <c r="AP803" s="108"/>
      <c r="AQ803" s="105"/>
      <c r="AR803" s="108"/>
      <c r="AS803" s="108"/>
      <c r="AT803" s="105"/>
      <c r="AU803" s="105"/>
      <c r="AV803" s="105"/>
      <c r="AW803" s="105"/>
      <c r="AX803" s="105"/>
      <c r="AY803" s="105"/>
      <c r="AZ803" s="105"/>
      <c r="BA803" s="105"/>
      <c r="BB803" s="105"/>
      <c r="BC803" s="105"/>
      <c r="BD803" s="108"/>
      <c r="BE803" s="83">
        <f>IF($A803="","",IF(TRIM($D803&amp;"")="",IF(TRIM($AX803&amp;$AY803&amp;$AZ803&amp;$BA803&amp;$BB803&amp;$BC803&amp;$BD803&amp;"")="","","SUBARRENDADO"),IFERROR(IF(VLOOKUP($D803,VEHICULOS!$A$3:$H$202,7,FALSE)="","",VLOOKUP($D803,VEHICULOS!$A$3:$H$202,7,FALSE)),"")))</f>
      </c>
      <c r="BF803" s="82">
        <f>IF($A803="","",IF(TRIM($BC803&amp;"")&lt;&gt;"",$BC803,IF(TRIM($D803&amp;"")="","",IFERROR(IF(VLOOKUP($D803,VEHICULOS!$A$3:$H$202,8,FALSE)="","",VLOOKUP($D803,VEHICULOS!$A$3:$H$202,8,FALSE)),""))))</f>
      </c>
      <c r="BG803" s="106"/>
      <c r="BH803" s="107"/>
      <c r="BI803" s="86">
        <f t="shared" si="180"/>
      </c>
      <c r="BJ803" s="83">
        <f t="shared" si="181"/>
      </c>
      <c r="BK803" s="85">
        <f t="shared" si="182"/>
      </c>
      <c r="BL803" s="85">
        <f t="shared" si="183"/>
      </c>
      <c r="BM803" s="108"/>
      <c r="BN803" s="85">
        <f t="shared" si="184"/>
      </c>
      <c r="BO803" s="108"/>
      <c r="BP803" s="85">
        <f t="shared" si="185"/>
      </c>
      <c r="BQ803" s="85">
        <f t="shared" si="186"/>
      </c>
      <c r="BR803" s="108"/>
      <c r="BS803" s="104"/>
      <c r="BT803" s="87">
        <f t="shared" si="187"/>
      </c>
      <c r="BU803" s="85">
        <f t="shared" si="188"/>
      </c>
      <c r="BV803" s="85">
        <f t="shared" si="189"/>
      </c>
      <c r="BW803" s="87">
        <f t="shared" si="190"/>
      </c>
      <c r="BX803" s="104"/>
      <c r="BY803" s="106"/>
      <c r="BZ803" s="104"/>
      <c r="CA803" s="105"/>
      <c r="CB803" s="77">
        <f>IF($A803="",0,IF($B803='FICHA CLIENTE'!$C$4,1,0))</f>
      </c>
      <c r="CC803" s="77">
        <f t="shared" si="191"/>
      </c>
      <c r="CD803" s="77">
        <f>IF($A803="",0,IF($D803='FICHA VEHICULO'!$C$4,1,0))</f>
      </c>
      <c r="CE803" s="77">
        <f t="shared" si="192"/>
      </c>
      <c r="CF803" s="77">
        <f t="shared" si="193"/>
      </c>
      <c r="CG803" s="77">
        <f t="shared" si="194"/>
      </c>
    </row>
    <row r="804" spans="1:85" ht="19.5" customHeight="1" x14ac:dyDescent="0.2">
      <c r="A804" s="104"/>
      <c r="B804" s="104"/>
      <c r="C804" s="105"/>
      <c r="D804" s="104"/>
      <c r="E804" s="105"/>
      <c r="F804" s="106"/>
      <c r="G804" s="104"/>
      <c r="H804" s="106"/>
      <c r="I804" s="107"/>
      <c r="J804" s="108"/>
      <c r="K804" s="108"/>
      <c r="L804" s="108"/>
      <c r="M804" s="105"/>
      <c r="N804" s="105"/>
      <c r="O804" s="105"/>
      <c r="P804" s="108"/>
      <c r="Q804" s="105"/>
      <c r="R804" s="105"/>
      <c r="S804" s="105"/>
      <c r="T804" s="105"/>
      <c r="U804" s="108"/>
      <c r="V804" s="105"/>
      <c r="W804" s="105"/>
      <c r="X804" s="105"/>
      <c r="Y804" s="105"/>
      <c r="Z804" s="105"/>
      <c r="AA804" s="108"/>
      <c r="AB804" s="108"/>
      <c r="AC804" s="105"/>
      <c r="AD804" s="279"/>
      <c r="AE804" s="105"/>
      <c r="AF804" s="279"/>
      <c r="AG804" s="105"/>
      <c r="AH804" s="108"/>
      <c r="AI804" s="108"/>
      <c r="AJ804" s="108"/>
      <c r="AK804" s="108"/>
      <c r="AL804" s="105"/>
      <c r="AM804" s="108"/>
      <c r="AN804" s="105"/>
      <c r="AO804" s="108"/>
      <c r="AP804" s="108"/>
      <c r="AQ804" s="105"/>
      <c r="AR804" s="108"/>
      <c r="AS804" s="108"/>
      <c r="AT804" s="105"/>
      <c r="AU804" s="105"/>
      <c r="AV804" s="105"/>
      <c r="AW804" s="105"/>
      <c r="AX804" s="105"/>
      <c r="AY804" s="105"/>
      <c r="AZ804" s="105"/>
      <c r="BA804" s="105"/>
      <c r="BB804" s="105"/>
      <c r="BC804" s="105"/>
      <c r="BD804" s="108"/>
      <c r="BE804" s="83">
        <f>IF($A804="","",IF(TRIM($D804&amp;"")="",IF(TRIM($AX804&amp;$AY804&amp;$AZ804&amp;$BA804&amp;$BB804&amp;$BC804&amp;$BD804&amp;"")="","","SUBARRENDADO"),IFERROR(IF(VLOOKUP($D804,VEHICULOS!$A$3:$H$202,7,FALSE)="","",VLOOKUP($D804,VEHICULOS!$A$3:$H$202,7,FALSE)),"")))</f>
      </c>
      <c r="BF804" s="82">
        <f>IF($A804="","",IF(TRIM($BC804&amp;"")&lt;&gt;"",$BC804,IF(TRIM($D804&amp;"")="","",IFERROR(IF(VLOOKUP($D804,VEHICULOS!$A$3:$H$202,8,FALSE)="","",VLOOKUP($D804,VEHICULOS!$A$3:$H$202,8,FALSE)),""))))</f>
      </c>
      <c r="BG804" s="106"/>
      <c r="BH804" s="107"/>
      <c r="BI804" s="86">
        <f t="shared" si="180"/>
      </c>
      <c r="BJ804" s="83">
        <f t="shared" si="181"/>
      </c>
      <c r="BK804" s="85">
        <f t="shared" si="182"/>
      </c>
      <c r="BL804" s="85">
        <f t="shared" si="183"/>
      </c>
      <c r="BM804" s="108"/>
      <c r="BN804" s="85">
        <f t="shared" si="184"/>
      </c>
      <c r="BO804" s="108"/>
      <c r="BP804" s="85">
        <f t="shared" si="185"/>
      </c>
      <c r="BQ804" s="85">
        <f t="shared" si="186"/>
      </c>
      <c r="BR804" s="108"/>
      <c r="BS804" s="104"/>
      <c r="BT804" s="87">
        <f t="shared" si="187"/>
      </c>
      <c r="BU804" s="85">
        <f t="shared" si="188"/>
      </c>
      <c r="BV804" s="85">
        <f t="shared" si="189"/>
      </c>
      <c r="BW804" s="87">
        <f t="shared" si="190"/>
      </c>
      <c r="BX804" s="104"/>
      <c r="BY804" s="106"/>
      <c r="BZ804" s="104"/>
      <c r="CA804" s="105"/>
      <c r="CB804" s="77">
        <f>IF($A804="",0,IF($B804='FICHA CLIENTE'!$C$4,1,0))</f>
      </c>
      <c r="CC804" s="77">
        <f t="shared" si="191"/>
      </c>
      <c r="CD804" s="77">
        <f>IF($A804="",0,IF($D804='FICHA VEHICULO'!$C$4,1,0))</f>
      </c>
      <c r="CE804" s="77">
        <f t="shared" si="192"/>
      </c>
      <c r="CF804" s="77">
        <f t="shared" si="193"/>
      </c>
      <c r="CG804" s="77">
        <f t="shared" si="194"/>
      </c>
    </row>
    <row r="805" spans="1:85" ht="19.5" customHeight="1" x14ac:dyDescent="0.2">
      <c r="A805" s="104"/>
      <c r="B805" s="104"/>
      <c r="C805" s="105"/>
      <c r="D805" s="104"/>
      <c r="E805" s="105"/>
      <c r="F805" s="106"/>
      <c r="G805" s="104"/>
      <c r="H805" s="106"/>
      <c r="I805" s="107"/>
      <c r="J805" s="108"/>
      <c r="K805" s="108"/>
      <c r="L805" s="108"/>
      <c r="M805" s="105"/>
      <c r="N805" s="105"/>
      <c r="O805" s="105"/>
      <c r="P805" s="108"/>
      <c r="Q805" s="105"/>
      <c r="R805" s="105"/>
      <c r="S805" s="105"/>
      <c r="T805" s="105"/>
      <c r="U805" s="108"/>
      <c r="V805" s="105"/>
      <c r="W805" s="105"/>
      <c r="X805" s="105"/>
      <c r="Y805" s="105"/>
      <c r="Z805" s="105"/>
      <c r="AA805" s="108"/>
      <c r="AB805" s="108"/>
      <c r="AC805" s="105"/>
      <c r="AD805" s="279"/>
      <c r="AE805" s="105"/>
      <c r="AF805" s="279"/>
      <c r="AG805" s="105"/>
      <c r="AH805" s="108"/>
      <c r="AI805" s="108"/>
      <c r="AJ805" s="108"/>
      <c r="AK805" s="108"/>
      <c r="AL805" s="105"/>
      <c r="AM805" s="108"/>
      <c r="AN805" s="105"/>
      <c r="AO805" s="108"/>
      <c r="AP805" s="108"/>
      <c r="AQ805" s="105"/>
      <c r="AR805" s="108"/>
      <c r="AS805" s="108"/>
      <c r="AT805" s="105"/>
      <c r="AU805" s="105"/>
      <c r="AV805" s="105"/>
      <c r="AW805" s="105"/>
      <c r="AX805" s="105"/>
      <c r="AY805" s="105"/>
      <c r="AZ805" s="105"/>
      <c r="BA805" s="105"/>
      <c r="BB805" s="105"/>
      <c r="BC805" s="105"/>
      <c r="BD805" s="108"/>
      <c r="BE805" s="83">
        <f>IF($A805="","",IF(TRIM($D805&amp;"")="",IF(TRIM($AX805&amp;$AY805&amp;$AZ805&amp;$BA805&amp;$BB805&amp;$BC805&amp;$BD805&amp;"")="","","SUBARRENDADO"),IFERROR(IF(VLOOKUP($D805,VEHICULOS!$A$3:$H$202,7,FALSE)="","",VLOOKUP($D805,VEHICULOS!$A$3:$H$202,7,FALSE)),"")))</f>
      </c>
      <c r="BF805" s="82">
        <f>IF($A805="","",IF(TRIM($BC805&amp;"")&lt;&gt;"",$BC805,IF(TRIM($D805&amp;"")="","",IFERROR(IF(VLOOKUP($D805,VEHICULOS!$A$3:$H$202,8,FALSE)="","",VLOOKUP($D805,VEHICULOS!$A$3:$H$202,8,FALSE)),""))))</f>
      </c>
      <c r="BG805" s="106"/>
      <c r="BH805" s="107"/>
      <c r="BI805" s="86">
        <f t="shared" si="180"/>
      </c>
      <c r="BJ805" s="83">
        <f t="shared" si="181"/>
      </c>
      <c r="BK805" s="85">
        <f t="shared" si="182"/>
      </c>
      <c r="BL805" s="85">
        <f t="shared" si="183"/>
      </c>
      <c r="BM805" s="108"/>
      <c r="BN805" s="85">
        <f t="shared" si="184"/>
      </c>
      <c r="BO805" s="108"/>
      <c r="BP805" s="85">
        <f t="shared" si="185"/>
      </c>
      <c r="BQ805" s="85">
        <f t="shared" si="186"/>
      </c>
      <c r="BR805" s="108"/>
      <c r="BS805" s="104"/>
      <c r="BT805" s="87">
        <f t="shared" si="187"/>
      </c>
      <c r="BU805" s="85">
        <f t="shared" si="188"/>
      </c>
      <c r="BV805" s="85">
        <f t="shared" si="189"/>
      </c>
      <c r="BW805" s="87">
        <f t="shared" si="190"/>
      </c>
      <c r="BX805" s="104"/>
      <c r="BY805" s="106"/>
      <c r="BZ805" s="104"/>
      <c r="CA805" s="105"/>
      <c r="CB805" s="77">
        <f>IF($A805="",0,IF($B805='FICHA CLIENTE'!$C$4,1,0))</f>
      </c>
      <c r="CC805" s="77">
        <f t="shared" si="191"/>
      </c>
      <c r="CD805" s="77">
        <f>IF($A805="",0,IF($D805='FICHA VEHICULO'!$C$4,1,0))</f>
      </c>
      <c r="CE805" s="77">
        <f t="shared" si="192"/>
      </c>
      <c r="CF805" s="77">
        <f t="shared" si="193"/>
      </c>
      <c r="CG805" s="77">
        <f t="shared" si="194"/>
      </c>
    </row>
    <row r="806" spans="1:85" ht="19.5" customHeight="1" x14ac:dyDescent="0.2">
      <c r="A806" s="104"/>
      <c r="B806" s="104"/>
      <c r="C806" s="105"/>
      <c r="D806" s="104"/>
      <c r="E806" s="105"/>
      <c r="F806" s="106"/>
      <c r="G806" s="104"/>
      <c r="H806" s="106"/>
      <c r="I806" s="107"/>
      <c r="J806" s="108"/>
      <c r="K806" s="108"/>
      <c r="L806" s="108"/>
      <c r="M806" s="105"/>
      <c r="N806" s="105"/>
      <c r="O806" s="105"/>
      <c r="P806" s="108"/>
      <c r="Q806" s="105"/>
      <c r="R806" s="105"/>
      <c r="S806" s="105"/>
      <c r="T806" s="105"/>
      <c r="U806" s="108"/>
      <c r="V806" s="105"/>
      <c r="W806" s="105"/>
      <c r="X806" s="105"/>
      <c r="Y806" s="105"/>
      <c r="Z806" s="105"/>
      <c r="AA806" s="108"/>
      <c r="AB806" s="108"/>
      <c r="AC806" s="105"/>
      <c r="AD806" s="279"/>
      <c r="AE806" s="105"/>
      <c r="AF806" s="279"/>
      <c r="AG806" s="105"/>
      <c r="AH806" s="108"/>
      <c r="AI806" s="108"/>
      <c r="AJ806" s="108"/>
      <c r="AK806" s="108"/>
      <c r="AL806" s="105"/>
      <c r="AM806" s="108"/>
      <c r="AN806" s="105"/>
      <c r="AO806" s="108"/>
      <c r="AP806" s="108"/>
      <c r="AQ806" s="105"/>
      <c r="AR806" s="108"/>
      <c r="AS806" s="108"/>
      <c r="AT806" s="105"/>
      <c r="AU806" s="105"/>
      <c r="AV806" s="105"/>
      <c r="AW806" s="105"/>
      <c r="AX806" s="105"/>
      <c r="AY806" s="105"/>
      <c r="AZ806" s="105"/>
      <c r="BA806" s="105"/>
      <c r="BB806" s="105"/>
      <c r="BC806" s="105"/>
      <c r="BD806" s="108"/>
      <c r="BE806" s="83">
        <f>IF($A806="","",IF(TRIM($D806&amp;"")="",IF(TRIM($AX806&amp;$AY806&amp;$AZ806&amp;$BA806&amp;$BB806&amp;$BC806&amp;$BD806&amp;"")="","","SUBARRENDADO"),IFERROR(IF(VLOOKUP($D806,VEHICULOS!$A$3:$H$202,7,FALSE)="","",VLOOKUP($D806,VEHICULOS!$A$3:$H$202,7,FALSE)),"")))</f>
      </c>
      <c r="BF806" s="82">
        <f>IF($A806="","",IF(TRIM($BC806&amp;"")&lt;&gt;"",$BC806,IF(TRIM($D806&amp;"")="","",IFERROR(IF(VLOOKUP($D806,VEHICULOS!$A$3:$H$202,8,FALSE)="","",VLOOKUP($D806,VEHICULOS!$A$3:$H$202,8,FALSE)),""))))</f>
      </c>
      <c r="BG806" s="106"/>
      <c r="BH806" s="107"/>
      <c r="BI806" s="86">
        <f t="shared" si="180"/>
      </c>
      <c r="BJ806" s="83">
        <f t="shared" si="181"/>
      </c>
      <c r="BK806" s="85">
        <f t="shared" si="182"/>
      </c>
      <c r="BL806" s="85">
        <f t="shared" si="183"/>
      </c>
      <c r="BM806" s="108"/>
      <c r="BN806" s="85">
        <f t="shared" si="184"/>
      </c>
      <c r="BO806" s="108"/>
      <c r="BP806" s="85">
        <f t="shared" si="185"/>
      </c>
      <c r="BQ806" s="85">
        <f t="shared" si="186"/>
      </c>
      <c r="BR806" s="108"/>
      <c r="BS806" s="104"/>
      <c r="BT806" s="87">
        <f t="shared" si="187"/>
      </c>
      <c r="BU806" s="85">
        <f t="shared" si="188"/>
      </c>
      <c r="BV806" s="85">
        <f t="shared" si="189"/>
      </c>
      <c r="BW806" s="87">
        <f t="shared" si="190"/>
      </c>
      <c r="BX806" s="104"/>
      <c r="BY806" s="106"/>
      <c r="BZ806" s="104"/>
      <c r="CA806" s="105"/>
      <c r="CB806" s="77">
        <f>IF($A806="",0,IF($B806='FICHA CLIENTE'!$C$4,1,0))</f>
      </c>
      <c r="CC806" s="77">
        <f t="shared" si="191"/>
      </c>
      <c r="CD806" s="77">
        <f>IF($A806="",0,IF($D806='FICHA VEHICULO'!$C$4,1,0))</f>
      </c>
      <c r="CE806" s="77">
        <f t="shared" si="192"/>
      </c>
      <c r="CF806" s="77">
        <f t="shared" si="193"/>
      </c>
      <c r="CG806" s="77">
        <f t="shared" si="194"/>
      </c>
    </row>
    <row r="807" spans="1:85" ht="19.5" customHeight="1" x14ac:dyDescent="0.2">
      <c r="A807" s="104"/>
      <c r="B807" s="104"/>
      <c r="C807" s="105"/>
      <c r="D807" s="104"/>
      <c r="E807" s="105"/>
      <c r="F807" s="106"/>
      <c r="G807" s="104"/>
      <c r="H807" s="106"/>
      <c r="I807" s="107"/>
      <c r="J807" s="108"/>
      <c r="K807" s="108"/>
      <c r="L807" s="108"/>
      <c r="M807" s="105"/>
      <c r="N807" s="105"/>
      <c r="O807" s="105"/>
      <c r="P807" s="108"/>
      <c r="Q807" s="105"/>
      <c r="R807" s="105"/>
      <c r="S807" s="105"/>
      <c r="T807" s="105"/>
      <c r="U807" s="108"/>
      <c r="V807" s="105"/>
      <c r="W807" s="105"/>
      <c r="X807" s="105"/>
      <c r="Y807" s="105"/>
      <c r="Z807" s="105"/>
      <c r="AA807" s="108"/>
      <c r="AB807" s="108"/>
      <c r="AC807" s="105"/>
      <c r="AD807" s="279"/>
      <c r="AE807" s="105"/>
      <c r="AF807" s="279"/>
      <c r="AG807" s="105"/>
      <c r="AH807" s="108"/>
      <c r="AI807" s="108"/>
      <c r="AJ807" s="108"/>
      <c r="AK807" s="108"/>
      <c r="AL807" s="105"/>
      <c r="AM807" s="108"/>
      <c r="AN807" s="105"/>
      <c r="AO807" s="108"/>
      <c r="AP807" s="108"/>
      <c r="AQ807" s="105"/>
      <c r="AR807" s="108"/>
      <c r="AS807" s="108"/>
      <c r="AT807" s="105"/>
      <c r="AU807" s="105"/>
      <c r="AV807" s="105"/>
      <c r="AW807" s="105"/>
      <c r="AX807" s="105"/>
      <c r="AY807" s="105"/>
      <c r="AZ807" s="105"/>
      <c r="BA807" s="105"/>
      <c r="BB807" s="105"/>
      <c r="BC807" s="105"/>
      <c r="BD807" s="108"/>
      <c r="BE807" s="83">
        <f>IF($A807="","",IF(TRIM($D807&amp;"")="",IF(TRIM($AX807&amp;$AY807&amp;$AZ807&amp;$BA807&amp;$BB807&amp;$BC807&amp;$BD807&amp;"")="","","SUBARRENDADO"),IFERROR(IF(VLOOKUP($D807,VEHICULOS!$A$3:$H$202,7,FALSE)="","",VLOOKUP($D807,VEHICULOS!$A$3:$H$202,7,FALSE)),"")))</f>
      </c>
      <c r="BF807" s="82">
        <f>IF($A807="","",IF(TRIM($BC807&amp;"")&lt;&gt;"",$BC807,IF(TRIM($D807&amp;"")="","",IFERROR(IF(VLOOKUP($D807,VEHICULOS!$A$3:$H$202,8,FALSE)="","",VLOOKUP($D807,VEHICULOS!$A$3:$H$202,8,FALSE)),""))))</f>
      </c>
      <c r="BG807" s="106"/>
      <c r="BH807" s="107"/>
      <c r="BI807" s="86">
        <f t="shared" si="180"/>
      </c>
      <c r="BJ807" s="83">
        <f t="shared" si="181"/>
      </c>
      <c r="BK807" s="85">
        <f t="shared" si="182"/>
      </c>
      <c r="BL807" s="85">
        <f t="shared" si="183"/>
      </c>
      <c r="BM807" s="108"/>
      <c r="BN807" s="85">
        <f t="shared" si="184"/>
      </c>
      <c r="BO807" s="108"/>
      <c r="BP807" s="85">
        <f t="shared" si="185"/>
      </c>
      <c r="BQ807" s="85">
        <f t="shared" si="186"/>
      </c>
      <c r="BR807" s="108"/>
      <c r="BS807" s="104"/>
      <c r="BT807" s="87">
        <f t="shared" si="187"/>
      </c>
      <c r="BU807" s="85">
        <f t="shared" si="188"/>
      </c>
      <c r="BV807" s="85">
        <f t="shared" si="189"/>
      </c>
      <c r="BW807" s="87">
        <f t="shared" si="190"/>
      </c>
      <c r="BX807" s="104"/>
      <c r="BY807" s="106"/>
      <c r="BZ807" s="104"/>
      <c r="CA807" s="105"/>
      <c r="CB807" s="77">
        <f>IF($A807="",0,IF($B807='FICHA CLIENTE'!$C$4,1,0))</f>
      </c>
      <c r="CC807" s="77">
        <f t="shared" si="191"/>
      </c>
      <c r="CD807" s="77">
        <f>IF($A807="",0,IF($D807='FICHA VEHICULO'!$C$4,1,0))</f>
      </c>
      <c r="CE807" s="77">
        <f t="shared" si="192"/>
      </c>
      <c r="CF807" s="77">
        <f t="shared" si="193"/>
      </c>
      <c r="CG807" s="77">
        <f t="shared" si="194"/>
      </c>
    </row>
    <row r="808" spans="1:85" ht="19.5" customHeight="1" x14ac:dyDescent="0.2">
      <c r="A808" s="104"/>
      <c r="B808" s="104"/>
      <c r="C808" s="105"/>
      <c r="D808" s="104"/>
      <c r="E808" s="105"/>
      <c r="F808" s="106"/>
      <c r="G808" s="104"/>
      <c r="H808" s="106"/>
      <c r="I808" s="107"/>
      <c r="J808" s="108"/>
      <c r="K808" s="108"/>
      <c r="L808" s="108"/>
      <c r="M808" s="105"/>
      <c r="N808" s="105"/>
      <c r="O808" s="105"/>
      <c r="P808" s="108"/>
      <c r="Q808" s="105"/>
      <c r="R808" s="105"/>
      <c r="S808" s="105"/>
      <c r="T808" s="105"/>
      <c r="U808" s="108"/>
      <c r="V808" s="105"/>
      <c r="W808" s="105"/>
      <c r="X808" s="105"/>
      <c r="Y808" s="105"/>
      <c r="Z808" s="105"/>
      <c r="AA808" s="108"/>
      <c r="AB808" s="108"/>
      <c r="AC808" s="105"/>
      <c r="AD808" s="279"/>
      <c r="AE808" s="105"/>
      <c r="AF808" s="279"/>
      <c r="AG808" s="105"/>
      <c r="AH808" s="108"/>
      <c r="AI808" s="108"/>
      <c r="AJ808" s="108"/>
      <c r="AK808" s="108"/>
      <c r="AL808" s="105"/>
      <c r="AM808" s="108"/>
      <c r="AN808" s="105"/>
      <c r="AO808" s="108"/>
      <c r="AP808" s="108"/>
      <c r="AQ808" s="105"/>
      <c r="AR808" s="108"/>
      <c r="AS808" s="108"/>
      <c r="AT808" s="105"/>
      <c r="AU808" s="105"/>
      <c r="AV808" s="105"/>
      <c r="AW808" s="105"/>
      <c r="AX808" s="105"/>
      <c r="AY808" s="105"/>
      <c r="AZ808" s="105"/>
      <c r="BA808" s="105"/>
      <c r="BB808" s="105"/>
      <c r="BC808" s="105"/>
      <c r="BD808" s="108"/>
      <c r="BE808" s="83">
        <f>IF($A808="","",IF(TRIM($D808&amp;"")="",IF(TRIM($AX808&amp;$AY808&amp;$AZ808&amp;$BA808&amp;$BB808&amp;$BC808&amp;$BD808&amp;"")="","","SUBARRENDADO"),IFERROR(IF(VLOOKUP($D808,VEHICULOS!$A$3:$H$202,7,FALSE)="","",VLOOKUP($D808,VEHICULOS!$A$3:$H$202,7,FALSE)),"")))</f>
      </c>
      <c r="BF808" s="82">
        <f>IF($A808="","",IF(TRIM($BC808&amp;"")&lt;&gt;"",$BC808,IF(TRIM($D808&amp;"")="","",IFERROR(IF(VLOOKUP($D808,VEHICULOS!$A$3:$H$202,8,FALSE)="","",VLOOKUP($D808,VEHICULOS!$A$3:$H$202,8,FALSE)),""))))</f>
      </c>
      <c r="BG808" s="106"/>
      <c r="BH808" s="107"/>
      <c r="BI808" s="86">
        <f t="shared" si="180"/>
      </c>
      <c r="BJ808" s="83">
        <f t="shared" si="181"/>
      </c>
      <c r="BK808" s="85">
        <f t="shared" si="182"/>
      </c>
      <c r="BL808" s="85">
        <f t="shared" si="183"/>
      </c>
      <c r="BM808" s="108"/>
      <c r="BN808" s="85">
        <f t="shared" si="184"/>
      </c>
      <c r="BO808" s="108"/>
      <c r="BP808" s="85">
        <f t="shared" si="185"/>
      </c>
      <c r="BQ808" s="85">
        <f t="shared" si="186"/>
      </c>
      <c r="BR808" s="108"/>
      <c r="BS808" s="104"/>
      <c r="BT808" s="87">
        <f t="shared" si="187"/>
      </c>
      <c r="BU808" s="85">
        <f t="shared" si="188"/>
      </c>
      <c r="BV808" s="85">
        <f t="shared" si="189"/>
      </c>
      <c r="BW808" s="87">
        <f t="shared" si="190"/>
      </c>
      <c r="BX808" s="104"/>
      <c r="BY808" s="106"/>
      <c r="BZ808" s="104"/>
      <c r="CA808" s="105"/>
      <c r="CB808" s="77">
        <f>IF($A808="",0,IF($B808='FICHA CLIENTE'!$C$4,1,0))</f>
      </c>
      <c r="CC808" s="77">
        <f t="shared" si="191"/>
      </c>
      <c r="CD808" s="77">
        <f>IF($A808="",0,IF($D808='FICHA VEHICULO'!$C$4,1,0))</f>
      </c>
      <c r="CE808" s="77">
        <f t="shared" si="192"/>
      </c>
      <c r="CF808" s="77">
        <f t="shared" si="193"/>
      </c>
      <c r="CG808" s="77">
        <f t="shared" si="194"/>
      </c>
    </row>
    <row r="809" spans="1:85" ht="19.5" customHeight="1" x14ac:dyDescent="0.2">
      <c r="A809" s="104"/>
      <c r="B809" s="104"/>
      <c r="C809" s="105"/>
      <c r="D809" s="104"/>
      <c r="E809" s="105"/>
      <c r="F809" s="106"/>
      <c r="G809" s="104"/>
      <c r="H809" s="106"/>
      <c r="I809" s="107"/>
      <c r="J809" s="108"/>
      <c r="K809" s="108"/>
      <c r="L809" s="108"/>
      <c r="M809" s="105"/>
      <c r="N809" s="105"/>
      <c r="O809" s="105"/>
      <c r="P809" s="108"/>
      <c r="Q809" s="105"/>
      <c r="R809" s="105"/>
      <c r="S809" s="105"/>
      <c r="T809" s="105"/>
      <c r="U809" s="108"/>
      <c r="V809" s="105"/>
      <c r="W809" s="105"/>
      <c r="X809" s="105"/>
      <c r="Y809" s="105"/>
      <c r="Z809" s="105"/>
      <c r="AA809" s="108"/>
      <c r="AB809" s="108"/>
      <c r="AC809" s="105"/>
      <c r="AD809" s="279"/>
      <c r="AE809" s="105"/>
      <c r="AF809" s="279"/>
      <c r="AG809" s="105"/>
      <c r="AH809" s="108"/>
      <c r="AI809" s="108"/>
      <c r="AJ809" s="108"/>
      <c r="AK809" s="108"/>
      <c r="AL809" s="105"/>
      <c r="AM809" s="108"/>
      <c r="AN809" s="105"/>
      <c r="AO809" s="108"/>
      <c r="AP809" s="108"/>
      <c r="AQ809" s="105"/>
      <c r="AR809" s="108"/>
      <c r="AS809" s="108"/>
      <c r="AT809" s="105"/>
      <c r="AU809" s="105"/>
      <c r="AV809" s="105"/>
      <c r="AW809" s="105"/>
      <c r="AX809" s="105"/>
      <c r="AY809" s="105"/>
      <c r="AZ809" s="105"/>
      <c r="BA809" s="105"/>
      <c r="BB809" s="105"/>
      <c r="BC809" s="105"/>
      <c r="BD809" s="108"/>
      <c r="BE809" s="83">
        <f>IF($A809="","",IF(TRIM($D809&amp;"")="",IF(TRIM($AX809&amp;$AY809&amp;$AZ809&amp;$BA809&amp;$BB809&amp;$BC809&amp;$BD809&amp;"")="","","SUBARRENDADO"),IFERROR(IF(VLOOKUP($D809,VEHICULOS!$A$3:$H$202,7,FALSE)="","",VLOOKUP($D809,VEHICULOS!$A$3:$H$202,7,FALSE)),"")))</f>
      </c>
      <c r="BF809" s="82">
        <f>IF($A809="","",IF(TRIM($BC809&amp;"")&lt;&gt;"",$BC809,IF(TRIM($D809&amp;"")="","",IFERROR(IF(VLOOKUP($D809,VEHICULOS!$A$3:$H$202,8,FALSE)="","",VLOOKUP($D809,VEHICULOS!$A$3:$H$202,8,FALSE)),""))))</f>
      </c>
      <c r="BG809" s="106"/>
      <c r="BH809" s="107"/>
      <c r="BI809" s="86">
        <f t="shared" si="180"/>
      </c>
      <c r="BJ809" s="83">
        <f t="shared" si="181"/>
      </c>
      <c r="BK809" s="85">
        <f t="shared" si="182"/>
      </c>
      <c r="BL809" s="85">
        <f t="shared" si="183"/>
      </c>
      <c r="BM809" s="108"/>
      <c r="BN809" s="85">
        <f t="shared" si="184"/>
      </c>
      <c r="BO809" s="108"/>
      <c r="BP809" s="85">
        <f t="shared" si="185"/>
      </c>
      <c r="BQ809" s="85">
        <f t="shared" si="186"/>
      </c>
      <c r="BR809" s="108"/>
      <c r="BS809" s="104"/>
      <c r="BT809" s="87">
        <f t="shared" si="187"/>
      </c>
      <c r="BU809" s="85">
        <f t="shared" si="188"/>
      </c>
      <c r="BV809" s="85">
        <f t="shared" si="189"/>
      </c>
      <c r="BW809" s="87">
        <f t="shared" si="190"/>
      </c>
      <c r="BX809" s="104"/>
      <c r="BY809" s="106"/>
      <c r="BZ809" s="104"/>
      <c r="CA809" s="105"/>
      <c r="CB809" s="77">
        <f>IF($A809="",0,IF($B809='FICHA CLIENTE'!$C$4,1,0))</f>
      </c>
      <c r="CC809" s="77">
        <f t="shared" si="191"/>
      </c>
      <c r="CD809" s="77">
        <f>IF($A809="",0,IF($D809='FICHA VEHICULO'!$C$4,1,0))</f>
      </c>
      <c r="CE809" s="77">
        <f t="shared" si="192"/>
      </c>
      <c r="CF809" s="77">
        <f t="shared" si="193"/>
      </c>
      <c r="CG809" s="77">
        <f t="shared" si="194"/>
      </c>
    </row>
    <row r="810" spans="1:85" ht="19.5" customHeight="1" x14ac:dyDescent="0.2">
      <c r="A810" s="104"/>
      <c r="B810" s="104"/>
      <c r="C810" s="105"/>
      <c r="D810" s="104"/>
      <c r="E810" s="105"/>
      <c r="F810" s="106"/>
      <c r="G810" s="104"/>
      <c r="H810" s="106"/>
      <c r="I810" s="107"/>
      <c r="J810" s="108"/>
      <c r="K810" s="108"/>
      <c r="L810" s="108"/>
      <c r="M810" s="105"/>
      <c r="N810" s="105"/>
      <c r="O810" s="105"/>
      <c r="P810" s="108"/>
      <c r="Q810" s="105"/>
      <c r="R810" s="105"/>
      <c r="S810" s="105"/>
      <c r="T810" s="105"/>
      <c r="U810" s="108"/>
      <c r="V810" s="105"/>
      <c r="W810" s="105"/>
      <c r="X810" s="105"/>
      <c r="Y810" s="105"/>
      <c r="Z810" s="105"/>
      <c r="AA810" s="108"/>
      <c r="AB810" s="108"/>
      <c r="AC810" s="105"/>
      <c r="AD810" s="279"/>
      <c r="AE810" s="105"/>
      <c r="AF810" s="279"/>
      <c r="AG810" s="105"/>
      <c r="AH810" s="108"/>
      <c r="AI810" s="108"/>
      <c r="AJ810" s="108"/>
      <c r="AK810" s="108"/>
      <c r="AL810" s="105"/>
      <c r="AM810" s="108"/>
      <c r="AN810" s="105"/>
      <c r="AO810" s="108"/>
      <c r="AP810" s="108"/>
      <c r="AQ810" s="105"/>
      <c r="AR810" s="108"/>
      <c r="AS810" s="108"/>
      <c r="AT810" s="105"/>
      <c r="AU810" s="105"/>
      <c r="AV810" s="105"/>
      <c r="AW810" s="105"/>
      <c r="AX810" s="105"/>
      <c r="AY810" s="105"/>
      <c r="AZ810" s="105"/>
      <c r="BA810" s="105"/>
      <c r="BB810" s="105"/>
      <c r="BC810" s="105"/>
      <c r="BD810" s="108"/>
      <c r="BE810" s="83">
        <f>IF($A810="","",IF(TRIM($D810&amp;"")="",IF(TRIM($AX810&amp;$AY810&amp;$AZ810&amp;$BA810&amp;$BB810&amp;$BC810&amp;$BD810&amp;"")="","","SUBARRENDADO"),IFERROR(IF(VLOOKUP($D810,VEHICULOS!$A$3:$H$202,7,FALSE)="","",VLOOKUP($D810,VEHICULOS!$A$3:$H$202,7,FALSE)),"")))</f>
      </c>
      <c r="BF810" s="82">
        <f>IF($A810="","",IF(TRIM($BC810&amp;"")&lt;&gt;"",$BC810,IF(TRIM($D810&amp;"")="","",IFERROR(IF(VLOOKUP($D810,VEHICULOS!$A$3:$H$202,8,FALSE)="","",VLOOKUP($D810,VEHICULOS!$A$3:$H$202,8,FALSE)),""))))</f>
      </c>
      <c r="BG810" s="106"/>
      <c r="BH810" s="107"/>
      <c r="BI810" s="86">
        <f t="shared" si="180"/>
      </c>
      <c r="BJ810" s="83">
        <f t="shared" si="181"/>
      </c>
      <c r="BK810" s="85">
        <f t="shared" si="182"/>
      </c>
      <c r="BL810" s="85">
        <f t="shared" si="183"/>
      </c>
      <c r="BM810" s="108"/>
      <c r="BN810" s="85">
        <f t="shared" si="184"/>
      </c>
      <c r="BO810" s="108"/>
      <c r="BP810" s="85">
        <f t="shared" si="185"/>
      </c>
      <c r="BQ810" s="85">
        <f t="shared" si="186"/>
      </c>
      <c r="BR810" s="108"/>
      <c r="BS810" s="104"/>
      <c r="BT810" s="87">
        <f t="shared" si="187"/>
      </c>
      <c r="BU810" s="85">
        <f t="shared" si="188"/>
      </c>
      <c r="BV810" s="85">
        <f t="shared" si="189"/>
      </c>
      <c r="BW810" s="87">
        <f t="shared" si="190"/>
      </c>
      <c r="BX810" s="104"/>
      <c r="BY810" s="106"/>
      <c r="BZ810" s="104"/>
      <c r="CA810" s="105"/>
      <c r="CB810" s="77">
        <f>IF($A810="",0,IF($B810='FICHA CLIENTE'!$C$4,1,0))</f>
      </c>
      <c r="CC810" s="77">
        <f t="shared" si="191"/>
      </c>
      <c r="CD810" s="77">
        <f>IF($A810="",0,IF($D810='FICHA VEHICULO'!$C$4,1,0))</f>
      </c>
      <c r="CE810" s="77">
        <f t="shared" si="192"/>
      </c>
      <c r="CF810" s="77">
        <f t="shared" si="193"/>
      </c>
      <c r="CG810" s="77">
        <f t="shared" si="194"/>
      </c>
    </row>
    <row r="811" spans="1:85" ht="19.5" customHeight="1" x14ac:dyDescent="0.2">
      <c r="A811" s="104"/>
      <c r="B811" s="104"/>
      <c r="C811" s="105"/>
      <c r="D811" s="104"/>
      <c r="E811" s="105"/>
      <c r="F811" s="106"/>
      <c r="G811" s="104"/>
      <c r="H811" s="106"/>
      <c r="I811" s="107"/>
      <c r="J811" s="108"/>
      <c r="K811" s="108"/>
      <c r="L811" s="108"/>
      <c r="M811" s="105"/>
      <c r="N811" s="105"/>
      <c r="O811" s="105"/>
      <c r="P811" s="108"/>
      <c r="Q811" s="105"/>
      <c r="R811" s="105"/>
      <c r="S811" s="105"/>
      <c r="T811" s="105"/>
      <c r="U811" s="108"/>
      <c r="V811" s="105"/>
      <c r="W811" s="105"/>
      <c r="X811" s="105"/>
      <c r="Y811" s="105"/>
      <c r="Z811" s="105"/>
      <c r="AA811" s="108"/>
      <c r="AB811" s="108"/>
      <c r="AC811" s="105"/>
      <c r="AD811" s="279"/>
      <c r="AE811" s="105"/>
      <c r="AF811" s="279"/>
      <c r="AG811" s="105"/>
      <c r="AH811" s="108"/>
      <c r="AI811" s="108"/>
      <c r="AJ811" s="108"/>
      <c r="AK811" s="108"/>
      <c r="AL811" s="105"/>
      <c r="AM811" s="108"/>
      <c r="AN811" s="105"/>
      <c r="AO811" s="108"/>
      <c r="AP811" s="108"/>
      <c r="AQ811" s="105"/>
      <c r="AR811" s="108"/>
      <c r="AS811" s="108"/>
      <c r="AT811" s="105"/>
      <c r="AU811" s="105"/>
      <c r="AV811" s="105"/>
      <c r="AW811" s="105"/>
      <c r="AX811" s="105"/>
      <c r="AY811" s="105"/>
      <c r="AZ811" s="105"/>
      <c r="BA811" s="105"/>
      <c r="BB811" s="105"/>
      <c r="BC811" s="105"/>
      <c r="BD811" s="108"/>
      <c r="BE811" s="83">
        <f>IF($A811="","",IF(TRIM($D811&amp;"")="",IF(TRIM($AX811&amp;$AY811&amp;$AZ811&amp;$BA811&amp;$BB811&amp;$BC811&amp;$BD811&amp;"")="","","SUBARRENDADO"),IFERROR(IF(VLOOKUP($D811,VEHICULOS!$A$3:$H$202,7,FALSE)="","",VLOOKUP($D811,VEHICULOS!$A$3:$H$202,7,FALSE)),"")))</f>
      </c>
      <c r="BF811" s="82">
        <f>IF($A811="","",IF(TRIM($BC811&amp;"")&lt;&gt;"",$BC811,IF(TRIM($D811&amp;"")="","",IFERROR(IF(VLOOKUP($D811,VEHICULOS!$A$3:$H$202,8,FALSE)="","",VLOOKUP($D811,VEHICULOS!$A$3:$H$202,8,FALSE)),""))))</f>
      </c>
      <c r="BG811" s="106"/>
      <c r="BH811" s="107"/>
      <c r="BI811" s="86">
        <f t="shared" si="180"/>
      </c>
      <c r="BJ811" s="83">
        <f t="shared" si="181"/>
      </c>
      <c r="BK811" s="85">
        <f t="shared" si="182"/>
      </c>
      <c r="BL811" s="85">
        <f t="shared" si="183"/>
      </c>
      <c r="BM811" s="108"/>
      <c r="BN811" s="85">
        <f t="shared" si="184"/>
      </c>
      <c r="BO811" s="108"/>
      <c r="BP811" s="85">
        <f t="shared" si="185"/>
      </c>
      <c r="BQ811" s="85">
        <f t="shared" si="186"/>
      </c>
      <c r="BR811" s="108"/>
      <c r="BS811" s="104"/>
      <c r="BT811" s="87">
        <f t="shared" si="187"/>
      </c>
      <c r="BU811" s="85">
        <f t="shared" si="188"/>
      </c>
      <c r="BV811" s="85">
        <f t="shared" si="189"/>
      </c>
      <c r="BW811" s="87">
        <f t="shared" si="190"/>
      </c>
      <c r="BX811" s="104"/>
      <c r="BY811" s="106"/>
      <c r="BZ811" s="104"/>
      <c r="CA811" s="105"/>
      <c r="CB811" s="77">
        <f>IF($A811="",0,IF($B811='FICHA CLIENTE'!$C$4,1,0))</f>
      </c>
      <c r="CC811" s="77">
        <f t="shared" si="191"/>
      </c>
      <c r="CD811" s="77">
        <f>IF($A811="",0,IF($D811='FICHA VEHICULO'!$C$4,1,0))</f>
      </c>
      <c r="CE811" s="77">
        <f t="shared" si="192"/>
      </c>
      <c r="CF811" s="77">
        <f t="shared" si="193"/>
      </c>
      <c r="CG811" s="77">
        <f t="shared" si="194"/>
      </c>
    </row>
    <row r="812" spans="1:85" ht="19.5" customHeight="1" x14ac:dyDescent="0.2">
      <c r="A812" s="104"/>
      <c r="B812" s="104"/>
      <c r="C812" s="105"/>
      <c r="D812" s="104"/>
      <c r="E812" s="105"/>
      <c r="F812" s="106"/>
      <c r="G812" s="104"/>
      <c r="H812" s="106"/>
      <c r="I812" s="107"/>
      <c r="J812" s="108"/>
      <c r="K812" s="108"/>
      <c r="L812" s="108"/>
      <c r="M812" s="105"/>
      <c r="N812" s="105"/>
      <c r="O812" s="105"/>
      <c r="P812" s="108"/>
      <c r="Q812" s="105"/>
      <c r="R812" s="105"/>
      <c r="S812" s="105"/>
      <c r="T812" s="105"/>
      <c r="U812" s="108"/>
      <c r="V812" s="105"/>
      <c r="W812" s="105"/>
      <c r="X812" s="105"/>
      <c r="Y812" s="105"/>
      <c r="Z812" s="105"/>
      <c r="AA812" s="108"/>
      <c r="AB812" s="108"/>
      <c r="AC812" s="105"/>
      <c r="AD812" s="279"/>
      <c r="AE812" s="105"/>
      <c r="AF812" s="279"/>
      <c r="AG812" s="105"/>
      <c r="AH812" s="108"/>
      <c r="AI812" s="108"/>
      <c r="AJ812" s="108"/>
      <c r="AK812" s="108"/>
      <c r="AL812" s="105"/>
      <c r="AM812" s="108"/>
      <c r="AN812" s="105"/>
      <c r="AO812" s="108"/>
      <c r="AP812" s="108"/>
      <c r="AQ812" s="105"/>
      <c r="AR812" s="108"/>
      <c r="AS812" s="108"/>
      <c r="AT812" s="105"/>
      <c r="AU812" s="105"/>
      <c r="AV812" s="105"/>
      <c r="AW812" s="105"/>
      <c r="AX812" s="105"/>
      <c r="AY812" s="105"/>
      <c r="AZ812" s="105"/>
      <c r="BA812" s="105"/>
      <c r="BB812" s="105"/>
      <c r="BC812" s="105"/>
      <c r="BD812" s="108"/>
      <c r="BE812" s="83">
        <f>IF($A812="","",IF(TRIM($D812&amp;"")="",IF(TRIM($AX812&amp;$AY812&amp;$AZ812&amp;$BA812&amp;$BB812&amp;$BC812&amp;$BD812&amp;"")="","","SUBARRENDADO"),IFERROR(IF(VLOOKUP($D812,VEHICULOS!$A$3:$H$202,7,FALSE)="","",VLOOKUP($D812,VEHICULOS!$A$3:$H$202,7,FALSE)),"")))</f>
      </c>
      <c r="BF812" s="82">
        <f>IF($A812="","",IF(TRIM($BC812&amp;"")&lt;&gt;"",$BC812,IF(TRIM($D812&amp;"")="","",IFERROR(IF(VLOOKUP($D812,VEHICULOS!$A$3:$H$202,8,FALSE)="","",VLOOKUP($D812,VEHICULOS!$A$3:$H$202,8,FALSE)),""))))</f>
      </c>
      <c r="BG812" s="106"/>
      <c r="BH812" s="107"/>
      <c r="BI812" s="86">
        <f t="shared" si="180"/>
      </c>
      <c r="BJ812" s="83">
        <f t="shared" si="181"/>
      </c>
      <c r="BK812" s="85">
        <f t="shared" si="182"/>
      </c>
      <c r="BL812" s="85">
        <f t="shared" si="183"/>
      </c>
      <c r="BM812" s="108"/>
      <c r="BN812" s="85">
        <f t="shared" si="184"/>
      </c>
      <c r="BO812" s="108"/>
      <c r="BP812" s="85">
        <f t="shared" si="185"/>
      </c>
      <c r="BQ812" s="85">
        <f t="shared" si="186"/>
      </c>
      <c r="BR812" s="108"/>
      <c r="BS812" s="104"/>
      <c r="BT812" s="87">
        <f t="shared" si="187"/>
      </c>
      <c r="BU812" s="85">
        <f t="shared" si="188"/>
      </c>
      <c r="BV812" s="85">
        <f t="shared" si="189"/>
      </c>
      <c r="BW812" s="87">
        <f t="shared" si="190"/>
      </c>
      <c r="BX812" s="104"/>
      <c r="BY812" s="106"/>
      <c r="BZ812" s="104"/>
      <c r="CA812" s="105"/>
      <c r="CB812" s="77">
        <f>IF($A812="",0,IF($B812='FICHA CLIENTE'!$C$4,1,0))</f>
      </c>
      <c r="CC812" s="77">
        <f t="shared" si="191"/>
      </c>
      <c r="CD812" s="77">
        <f>IF($A812="",0,IF($D812='FICHA VEHICULO'!$C$4,1,0))</f>
      </c>
      <c r="CE812" s="77">
        <f t="shared" si="192"/>
      </c>
      <c r="CF812" s="77">
        <f t="shared" si="193"/>
      </c>
      <c r="CG812" s="77">
        <f t="shared" si="194"/>
      </c>
    </row>
    <row r="813" spans="1:85" ht="19.5" customHeight="1" x14ac:dyDescent="0.2">
      <c r="A813" s="104"/>
      <c r="B813" s="104"/>
      <c r="C813" s="105"/>
      <c r="D813" s="104"/>
      <c r="E813" s="105"/>
      <c r="F813" s="106"/>
      <c r="G813" s="104"/>
      <c r="H813" s="106"/>
      <c r="I813" s="107"/>
      <c r="J813" s="108"/>
      <c r="K813" s="108"/>
      <c r="L813" s="108"/>
      <c r="M813" s="105"/>
      <c r="N813" s="105"/>
      <c r="O813" s="105"/>
      <c r="P813" s="108"/>
      <c r="Q813" s="105"/>
      <c r="R813" s="105"/>
      <c r="S813" s="105"/>
      <c r="T813" s="105"/>
      <c r="U813" s="108"/>
      <c r="V813" s="105"/>
      <c r="W813" s="105"/>
      <c r="X813" s="105"/>
      <c r="Y813" s="105"/>
      <c r="Z813" s="105"/>
      <c r="AA813" s="108"/>
      <c r="AB813" s="108"/>
      <c r="AC813" s="105"/>
      <c r="AD813" s="279"/>
      <c r="AE813" s="105"/>
      <c r="AF813" s="279"/>
      <c r="AG813" s="105"/>
      <c r="AH813" s="108"/>
      <c r="AI813" s="108"/>
      <c r="AJ813" s="108"/>
      <c r="AK813" s="108"/>
      <c r="AL813" s="105"/>
      <c r="AM813" s="108"/>
      <c r="AN813" s="105"/>
      <c r="AO813" s="108"/>
      <c r="AP813" s="108"/>
      <c r="AQ813" s="105"/>
      <c r="AR813" s="108"/>
      <c r="AS813" s="108"/>
      <c r="AT813" s="105"/>
      <c r="AU813" s="105"/>
      <c r="AV813" s="105"/>
      <c r="AW813" s="105"/>
      <c r="AX813" s="105"/>
      <c r="AY813" s="105"/>
      <c r="AZ813" s="105"/>
      <c r="BA813" s="105"/>
      <c r="BB813" s="105"/>
      <c r="BC813" s="105"/>
      <c r="BD813" s="108"/>
      <c r="BE813" s="83">
        <f>IF($A813="","",IF(TRIM($D813&amp;"")="",IF(TRIM($AX813&amp;$AY813&amp;$AZ813&amp;$BA813&amp;$BB813&amp;$BC813&amp;$BD813&amp;"")="","","SUBARRENDADO"),IFERROR(IF(VLOOKUP($D813,VEHICULOS!$A$3:$H$202,7,FALSE)="","",VLOOKUP($D813,VEHICULOS!$A$3:$H$202,7,FALSE)),"")))</f>
      </c>
      <c r="BF813" s="82">
        <f>IF($A813="","",IF(TRIM($BC813&amp;"")&lt;&gt;"",$BC813,IF(TRIM($D813&amp;"")="","",IFERROR(IF(VLOOKUP($D813,VEHICULOS!$A$3:$H$202,8,FALSE)="","",VLOOKUP($D813,VEHICULOS!$A$3:$H$202,8,FALSE)),""))))</f>
      </c>
      <c r="BG813" s="106"/>
      <c r="BH813" s="107"/>
      <c r="BI813" s="86">
        <f t="shared" si="180"/>
      </c>
      <c r="BJ813" s="83">
        <f t="shared" si="181"/>
      </c>
      <c r="BK813" s="85">
        <f t="shared" si="182"/>
      </c>
      <c r="BL813" s="85">
        <f t="shared" si="183"/>
      </c>
      <c r="BM813" s="108"/>
      <c r="BN813" s="85">
        <f t="shared" si="184"/>
      </c>
      <c r="BO813" s="108"/>
      <c r="BP813" s="85">
        <f t="shared" si="185"/>
      </c>
      <c r="BQ813" s="85">
        <f t="shared" si="186"/>
      </c>
      <c r="BR813" s="108"/>
      <c r="BS813" s="104"/>
      <c r="BT813" s="87">
        <f t="shared" si="187"/>
      </c>
      <c r="BU813" s="85">
        <f t="shared" si="188"/>
      </c>
      <c r="BV813" s="85">
        <f t="shared" si="189"/>
      </c>
      <c r="BW813" s="87">
        <f t="shared" si="190"/>
      </c>
      <c r="BX813" s="104"/>
      <c r="BY813" s="106"/>
      <c r="BZ813" s="104"/>
      <c r="CA813" s="105"/>
      <c r="CB813" s="77">
        <f>IF($A813="",0,IF($B813='FICHA CLIENTE'!$C$4,1,0))</f>
      </c>
      <c r="CC813" s="77">
        <f t="shared" si="191"/>
      </c>
      <c r="CD813" s="77">
        <f>IF($A813="",0,IF($D813='FICHA VEHICULO'!$C$4,1,0))</f>
      </c>
      <c r="CE813" s="77">
        <f t="shared" si="192"/>
      </c>
      <c r="CF813" s="77">
        <f t="shared" si="193"/>
      </c>
      <c r="CG813" s="77">
        <f t="shared" si="194"/>
      </c>
    </row>
    <row r="814" spans="1:85" ht="19.5" customHeight="1" x14ac:dyDescent="0.2">
      <c r="A814" s="104"/>
      <c r="B814" s="104"/>
      <c r="C814" s="105"/>
      <c r="D814" s="104"/>
      <c r="E814" s="105"/>
      <c r="F814" s="106"/>
      <c r="G814" s="104"/>
      <c r="H814" s="106"/>
      <c r="I814" s="107"/>
      <c r="J814" s="108"/>
      <c r="K814" s="108"/>
      <c r="L814" s="108"/>
      <c r="M814" s="105"/>
      <c r="N814" s="105"/>
      <c r="O814" s="105"/>
      <c r="P814" s="108"/>
      <c r="Q814" s="105"/>
      <c r="R814" s="105"/>
      <c r="S814" s="105"/>
      <c r="T814" s="105"/>
      <c r="U814" s="108"/>
      <c r="V814" s="105"/>
      <c r="W814" s="105"/>
      <c r="X814" s="105"/>
      <c r="Y814" s="105"/>
      <c r="Z814" s="105"/>
      <c r="AA814" s="108"/>
      <c r="AB814" s="108"/>
      <c r="AC814" s="105"/>
      <c r="AD814" s="279"/>
      <c r="AE814" s="105"/>
      <c r="AF814" s="279"/>
      <c r="AG814" s="105"/>
      <c r="AH814" s="108"/>
      <c r="AI814" s="108"/>
      <c r="AJ814" s="108"/>
      <c r="AK814" s="108"/>
      <c r="AL814" s="105"/>
      <c r="AM814" s="108"/>
      <c r="AN814" s="105"/>
      <c r="AO814" s="108"/>
      <c r="AP814" s="108"/>
      <c r="AQ814" s="105"/>
      <c r="AR814" s="108"/>
      <c r="AS814" s="108"/>
      <c r="AT814" s="105"/>
      <c r="AU814" s="105"/>
      <c r="AV814" s="105"/>
      <c r="AW814" s="105"/>
      <c r="AX814" s="105"/>
      <c r="AY814" s="105"/>
      <c r="AZ814" s="105"/>
      <c r="BA814" s="105"/>
      <c r="BB814" s="105"/>
      <c r="BC814" s="105"/>
      <c r="BD814" s="108"/>
      <c r="BE814" s="83">
        <f>IF($A814="","",IF(TRIM($D814&amp;"")="",IF(TRIM($AX814&amp;$AY814&amp;$AZ814&amp;$BA814&amp;$BB814&amp;$BC814&amp;$BD814&amp;"")="","","SUBARRENDADO"),IFERROR(IF(VLOOKUP($D814,VEHICULOS!$A$3:$H$202,7,FALSE)="","",VLOOKUP($D814,VEHICULOS!$A$3:$H$202,7,FALSE)),"")))</f>
      </c>
      <c r="BF814" s="82">
        <f>IF($A814="","",IF(TRIM($BC814&amp;"")&lt;&gt;"",$BC814,IF(TRIM($D814&amp;"")="","",IFERROR(IF(VLOOKUP($D814,VEHICULOS!$A$3:$H$202,8,FALSE)="","",VLOOKUP($D814,VEHICULOS!$A$3:$H$202,8,FALSE)),""))))</f>
      </c>
      <c r="BG814" s="106"/>
      <c r="BH814" s="107"/>
      <c r="BI814" s="86">
        <f t="shared" si="180"/>
      </c>
      <c r="BJ814" s="83">
        <f t="shared" si="181"/>
      </c>
      <c r="BK814" s="85">
        <f t="shared" si="182"/>
      </c>
      <c r="BL814" s="85">
        <f t="shared" si="183"/>
      </c>
      <c r="BM814" s="108"/>
      <c r="BN814" s="85">
        <f t="shared" si="184"/>
      </c>
      <c r="BO814" s="108"/>
      <c r="BP814" s="85">
        <f t="shared" si="185"/>
      </c>
      <c r="BQ814" s="85">
        <f t="shared" si="186"/>
      </c>
      <c r="BR814" s="108"/>
      <c r="BS814" s="104"/>
      <c r="BT814" s="87">
        <f t="shared" si="187"/>
      </c>
      <c r="BU814" s="85">
        <f t="shared" si="188"/>
      </c>
      <c r="BV814" s="85">
        <f t="shared" si="189"/>
      </c>
      <c r="BW814" s="87">
        <f t="shared" si="190"/>
      </c>
      <c r="BX814" s="104"/>
      <c r="BY814" s="106"/>
      <c r="BZ814" s="104"/>
      <c r="CA814" s="105"/>
      <c r="CB814" s="77">
        <f>IF($A814="",0,IF($B814='FICHA CLIENTE'!$C$4,1,0))</f>
      </c>
      <c r="CC814" s="77">
        <f t="shared" si="191"/>
      </c>
      <c r="CD814" s="77">
        <f>IF($A814="",0,IF($D814='FICHA VEHICULO'!$C$4,1,0))</f>
      </c>
      <c r="CE814" s="77">
        <f t="shared" si="192"/>
      </c>
      <c r="CF814" s="77">
        <f t="shared" si="193"/>
      </c>
      <c r="CG814" s="77">
        <f t="shared" si="194"/>
      </c>
    </row>
    <row r="815" spans="1:85" ht="19.5" customHeight="1" x14ac:dyDescent="0.2">
      <c r="A815" s="104"/>
      <c r="B815" s="104"/>
      <c r="C815" s="105"/>
      <c r="D815" s="104"/>
      <c r="E815" s="105"/>
      <c r="F815" s="106"/>
      <c r="G815" s="104"/>
      <c r="H815" s="106"/>
      <c r="I815" s="107"/>
      <c r="J815" s="108"/>
      <c r="K815" s="108"/>
      <c r="L815" s="108"/>
      <c r="M815" s="105"/>
      <c r="N815" s="105"/>
      <c r="O815" s="105"/>
      <c r="P815" s="108"/>
      <c r="Q815" s="105"/>
      <c r="R815" s="105"/>
      <c r="S815" s="105"/>
      <c r="T815" s="105"/>
      <c r="U815" s="108"/>
      <c r="V815" s="105"/>
      <c r="W815" s="105"/>
      <c r="X815" s="105"/>
      <c r="Y815" s="105"/>
      <c r="Z815" s="105"/>
      <c r="AA815" s="108"/>
      <c r="AB815" s="108"/>
      <c r="AC815" s="105"/>
      <c r="AD815" s="279"/>
      <c r="AE815" s="105"/>
      <c r="AF815" s="279"/>
      <c r="AG815" s="105"/>
      <c r="AH815" s="108"/>
      <c r="AI815" s="108"/>
      <c r="AJ815" s="108"/>
      <c r="AK815" s="108"/>
      <c r="AL815" s="105"/>
      <c r="AM815" s="108"/>
      <c r="AN815" s="105"/>
      <c r="AO815" s="108"/>
      <c r="AP815" s="108"/>
      <c r="AQ815" s="105"/>
      <c r="AR815" s="108"/>
      <c r="AS815" s="108"/>
      <c r="AT815" s="105"/>
      <c r="AU815" s="105"/>
      <c r="AV815" s="105"/>
      <c r="AW815" s="105"/>
      <c r="AX815" s="105"/>
      <c r="AY815" s="105"/>
      <c r="AZ815" s="105"/>
      <c r="BA815" s="105"/>
      <c r="BB815" s="105"/>
      <c r="BC815" s="105"/>
      <c r="BD815" s="108"/>
      <c r="BE815" s="83">
        <f>IF($A815="","",IF(TRIM($D815&amp;"")="",IF(TRIM($AX815&amp;$AY815&amp;$AZ815&amp;$BA815&amp;$BB815&amp;$BC815&amp;$BD815&amp;"")="","","SUBARRENDADO"),IFERROR(IF(VLOOKUP($D815,VEHICULOS!$A$3:$H$202,7,FALSE)="","",VLOOKUP($D815,VEHICULOS!$A$3:$H$202,7,FALSE)),"")))</f>
      </c>
      <c r="BF815" s="82">
        <f>IF($A815="","",IF(TRIM($BC815&amp;"")&lt;&gt;"",$BC815,IF(TRIM($D815&amp;"")="","",IFERROR(IF(VLOOKUP($D815,VEHICULOS!$A$3:$H$202,8,FALSE)="","",VLOOKUP($D815,VEHICULOS!$A$3:$H$202,8,FALSE)),""))))</f>
      </c>
      <c r="BG815" s="106"/>
      <c r="BH815" s="107"/>
      <c r="BI815" s="86">
        <f t="shared" si="180"/>
      </c>
      <c r="BJ815" s="83">
        <f t="shared" si="181"/>
      </c>
      <c r="BK815" s="85">
        <f t="shared" si="182"/>
      </c>
      <c r="BL815" s="85">
        <f t="shared" si="183"/>
      </c>
      <c r="BM815" s="108"/>
      <c r="BN815" s="85">
        <f t="shared" si="184"/>
      </c>
      <c r="BO815" s="108"/>
      <c r="BP815" s="85">
        <f t="shared" si="185"/>
      </c>
      <c r="BQ815" s="85">
        <f t="shared" si="186"/>
      </c>
      <c r="BR815" s="108"/>
      <c r="BS815" s="104"/>
      <c r="BT815" s="87">
        <f t="shared" si="187"/>
      </c>
      <c r="BU815" s="85">
        <f t="shared" si="188"/>
      </c>
      <c r="BV815" s="85">
        <f t="shared" si="189"/>
      </c>
      <c r="BW815" s="87">
        <f t="shared" si="190"/>
      </c>
      <c r="BX815" s="104"/>
      <c r="BY815" s="106"/>
      <c r="BZ815" s="104"/>
      <c r="CA815" s="105"/>
      <c r="CB815" s="77">
        <f>IF($A815="",0,IF($B815='FICHA CLIENTE'!$C$4,1,0))</f>
      </c>
      <c r="CC815" s="77">
        <f t="shared" si="191"/>
      </c>
      <c r="CD815" s="77">
        <f>IF($A815="",0,IF($D815='FICHA VEHICULO'!$C$4,1,0))</f>
      </c>
      <c r="CE815" s="77">
        <f t="shared" si="192"/>
      </c>
      <c r="CF815" s="77">
        <f t="shared" si="193"/>
      </c>
      <c r="CG815" s="77">
        <f t="shared" si="194"/>
      </c>
    </row>
    <row r="816" spans="1:85" ht="19.5" customHeight="1" x14ac:dyDescent="0.2">
      <c r="A816" s="104"/>
      <c r="B816" s="104"/>
      <c r="C816" s="105"/>
      <c r="D816" s="104"/>
      <c r="E816" s="105"/>
      <c r="F816" s="106"/>
      <c r="G816" s="104"/>
      <c r="H816" s="106"/>
      <c r="I816" s="107"/>
      <c r="J816" s="108"/>
      <c r="K816" s="108"/>
      <c r="L816" s="108"/>
      <c r="M816" s="105"/>
      <c r="N816" s="105"/>
      <c r="O816" s="105"/>
      <c r="P816" s="108"/>
      <c r="Q816" s="105"/>
      <c r="R816" s="105"/>
      <c r="S816" s="105"/>
      <c r="T816" s="105"/>
      <c r="U816" s="108"/>
      <c r="V816" s="105"/>
      <c r="W816" s="105"/>
      <c r="X816" s="105"/>
      <c r="Y816" s="105"/>
      <c r="Z816" s="105"/>
      <c r="AA816" s="108"/>
      <c r="AB816" s="108"/>
      <c r="AC816" s="105"/>
      <c r="AD816" s="279"/>
      <c r="AE816" s="105"/>
      <c r="AF816" s="279"/>
      <c r="AG816" s="105"/>
      <c r="AH816" s="108"/>
      <c r="AI816" s="108"/>
      <c r="AJ816" s="108"/>
      <c r="AK816" s="108"/>
      <c r="AL816" s="105"/>
      <c r="AM816" s="108"/>
      <c r="AN816" s="105"/>
      <c r="AO816" s="108"/>
      <c r="AP816" s="108"/>
      <c r="AQ816" s="105"/>
      <c r="AR816" s="108"/>
      <c r="AS816" s="108"/>
      <c r="AT816" s="105"/>
      <c r="AU816" s="105"/>
      <c r="AV816" s="105"/>
      <c r="AW816" s="105"/>
      <c r="AX816" s="105"/>
      <c r="AY816" s="105"/>
      <c r="AZ816" s="105"/>
      <c r="BA816" s="105"/>
      <c r="BB816" s="105"/>
      <c r="BC816" s="105"/>
      <c r="BD816" s="108"/>
      <c r="BE816" s="83">
        <f>IF($A816="","",IF(TRIM($D816&amp;"")="",IF(TRIM($AX816&amp;$AY816&amp;$AZ816&amp;$BA816&amp;$BB816&amp;$BC816&amp;$BD816&amp;"")="","","SUBARRENDADO"),IFERROR(IF(VLOOKUP($D816,VEHICULOS!$A$3:$H$202,7,FALSE)="","",VLOOKUP($D816,VEHICULOS!$A$3:$H$202,7,FALSE)),"")))</f>
      </c>
      <c r="BF816" s="82">
        <f>IF($A816="","",IF(TRIM($BC816&amp;"")&lt;&gt;"",$BC816,IF(TRIM($D816&amp;"")="","",IFERROR(IF(VLOOKUP($D816,VEHICULOS!$A$3:$H$202,8,FALSE)="","",VLOOKUP($D816,VEHICULOS!$A$3:$H$202,8,FALSE)),""))))</f>
      </c>
      <c r="BG816" s="106"/>
      <c r="BH816" s="107"/>
      <c r="BI816" s="86">
        <f t="shared" si="180"/>
      </c>
      <c r="BJ816" s="83">
        <f t="shared" si="181"/>
      </c>
      <c r="BK816" s="85">
        <f t="shared" si="182"/>
      </c>
      <c r="BL816" s="85">
        <f t="shared" si="183"/>
      </c>
      <c r="BM816" s="108"/>
      <c r="BN816" s="85">
        <f t="shared" si="184"/>
      </c>
      <c r="BO816" s="108"/>
      <c r="BP816" s="85">
        <f t="shared" si="185"/>
      </c>
      <c r="BQ816" s="85">
        <f t="shared" si="186"/>
      </c>
      <c r="BR816" s="108"/>
      <c r="BS816" s="104"/>
      <c r="BT816" s="87">
        <f t="shared" si="187"/>
      </c>
      <c r="BU816" s="85">
        <f t="shared" si="188"/>
      </c>
      <c r="BV816" s="85">
        <f t="shared" si="189"/>
      </c>
      <c r="BW816" s="87">
        <f t="shared" si="190"/>
      </c>
      <c r="BX816" s="104"/>
      <c r="BY816" s="106"/>
      <c r="BZ816" s="104"/>
      <c r="CA816" s="105"/>
      <c r="CB816" s="77">
        <f>IF($A816="",0,IF($B816='FICHA CLIENTE'!$C$4,1,0))</f>
      </c>
      <c r="CC816" s="77">
        <f t="shared" si="191"/>
      </c>
      <c r="CD816" s="77">
        <f>IF($A816="",0,IF($D816='FICHA VEHICULO'!$C$4,1,0))</f>
      </c>
      <c r="CE816" s="77">
        <f t="shared" si="192"/>
      </c>
      <c r="CF816" s="77">
        <f t="shared" si="193"/>
      </c>
      <c r="CG816" s="77">
        <f t="shared" si="194"/>
      </c>
    </row>
    <row r="817" spans="1:85" ht="19.5" customHeight="1" x14ac:dyDescent="0.2">
      <c r="A817" s="104"/>
      <c r="B817" s="104"/>
      <c r="C817" s="105"/>
      <c r="D817" s="104"/>
      <c r="E817" s="105"/>
      <c r="F817" s="106"/>
      <c r="G817" s="104"/>
      <c r="H817" s="106"/>
      <c r="I817" s="107"/>
      <c r="J817" s="108"/>
      <c r="K817" s="108"/>
      <c r="L817" s="108"/>
      <c r="M817" s="105"/>
      <c r="N817" s="105"/>
      <c r="O817" s="105"/>
      <c r="P817" s="108"/>
      <c r="Q817" s="105"/>
      <c r="R817" s="105"/>
      <c r="S817" s="105"/>
      <c r="T817" s="105"/>
      <c r="U817" s="108"/>
      <c r="V817" s="105"/>
      <c r="W817" s="105"/>
      <c r="X817" s="105"/>
      <c r="Y817" s="105"/>
      <c r="Z817" s="105"/>
      <c r="AA817" s="108"/>
      <c r="AB817" s="108"/>
      <c r="AC817" s="105"/>
      <c r="AD817" s="279"/>
      <c r="AE817" s="105"/>
      <c r="AF817" s="279"/>
      <c r="AG817" s="105"/>
      <c r="AH817" s="108"/>
      <c r="AI817" s="108"/>
      <c r="AJ817" s="108"/>
      <c r="AK817" s="108"/>
      <c r="AL817" s="105"/>
      <c r="AM817" s="108"/>
      <c r="AN817" s="105"/>
      <c r="AO817" s="108"/>
      <c r="AP817" s="108"/>
      <c r="AQ817" s="105"/>
      <c r="AR817" s="108"/>
      <c r="AS817" s="108"/>
      <c r="AT817" s="105"/>
      <c r="AU817" s="105"/>
      <c r="AV817" s="105"/>
      <c r="AW817" s="105"/>
      <c r="AX817" s="105"/>
      <c r="AY817" s="105"/>
      <c r="AZ817" s="105"/>
      <c r="BA817" s="105"/>
      <c r="BB817" s="105"/>
      <c r="BC817" s="105"/>
      <c r="BD817" s="108"/>
      <c r="BE817" s="83">
        <f>IF($A817="","",IF(TRIM($D817&amp;"")="",IF(TRIM($AX817&amp;$AY817&amp;$AZ817&amp;$BA817&amp;$BB817&amp;$BC817&amp;$BD817&amp;"")="","","SUBARRENDADO"),IFERROR(IF(VLOOKUP($D817,VEHICULOS!$A$3:$H$202,7,FALSE)="","",VLOOKUP($D817,VEHICULOS!$A$3:$H$202,7,FALSE)),"")))</f>
      </c>
      <c r="BF817" s="82">
        <f>IF($A817="","",IF(TRIM($BC817&amp;"")&lt;&gt;"",$BC817,IF(TRIM($D817&amp;"")="","",IFERROR(IF(VLOOKUP($D817,VEHICULOS!$A$3:$H$202,8,FALSE)="","",VLOOKUP($D817,VEHICULOS!$A$3:$H$202,8,FALSE)),""))))</f>
      </c>
      <c r="BG817" s="106"/>
      <c r="BH817" s="107"/>
      <c r="BI817" s="86">
        <f t="shared" si="180"/>
      </c>
      <c r="BJ817" s="83">
        <f t="shared" si="181"/>
      </c>
      <c r="BK817" s="85">
        <f t="shared" si="182"/>
      </c>
      <c r="BL817" s="85">
        <f t="shared" si="183"/>
      </c>
      <c r="BM817" s="108"/>
      <c r="BN817" s="85">
        <f t="shared" si="184"/>
      </c>
      <c r="BO817" s="108"/>
      <c r="BP817" s="85">
        <f t="shared" si="185"/>
      </c>
      <c r="BQ817" s="85">
        <f t="shared" si="186"/>
      </c>
      <c r="BR817" s="108"/>
      <c r="BS817" s="104"/>
      <c r="BT817" s="87">
        <f t="shared" si="187"/>
      </c>
      <c r="BU817" s="85">
        <f t="shared" si="188"/>
      </c>
      <c r="BV817" s="85">
        <f t="shared" si="189"/>
      </c>
      <c r="BW817" s="87">
        <f t="shared" si="190"/>
      </c>
      <c r="BX817" s="104"/>
      <c r="BY817" s="106"/>
      <c r="BZ817" s="104"/>
      <c r="CA817" s="105"/>
      <c r="CB817" s="77">
        <f>IF($A817="",0,IF($B817='FICHA CLIENTE'!$C$4,1,0))</f>
      </c>
      <c r="CC817" s="77">
        <f t="shared" si="191"/>
      </c>
      <c r="CD817" s="77">
        <f>IF($A817="",0,IF($D817='FICHA VEHICULO'!$C$4,1,0))</f>
      </c>
      <c r="CE817" s="77">
        <f t="shared" si="192"/>
      </c>
      <c r="CF817" s="77">
        <f t="shared" si="193"/>
      </c>
      <c r="CG817" s="77">
        <f t="shared" si="194"/>
      </c>
    </row>
    <row r="818" spans="1:85" ht="19.5" customHeight="1" x14ac:dyDescent="0.2">
      <c r="A818" s="104"/>
      <c r="B818" s="104"/>
      <c r="C818" s="105"/>
      <c r="D818" s="104"/>
      <c r="E818" s="105"/>
      <c r="F818" s="106"/>
      <c r="G818" s="104"/>
      <c r="H818" s="106"/>
      <c r="I818" s="107"/>
      <c r="J818" s="108"/>
      <c r="K818" s="108"/>
      <c r="L818" s="108"/>
      <c r="M818" s="105"/>
      <c r="N818" s="105"/>
      <c r="O818" s="105"/>
      <c r="P818" s="108"/>
      <c r="Q818" s="105"/>
      <c r="R818" s="105"/>
      <c r="S818" s="105"/>
      <c r="T818" s="105"/>
      <c r="U818" s="108"/>
      <c r="V818" s="105"/>
      <c r="W818" s="105"/>
      <c r="X818" s="105"/>
      <c r="Y818" s="105"/>
      <c r="Z818" s="105"/>
      <c r="AA818" s="108"/>
      <c r="AB818" s="108"/>
      <c r="AC818" s="105"/>
      <c r="AD818" s="279"/>
      <c r="AE818" s="105"/>
      <c r="AF818" s="279"/>
      <c r="AG818" s="105"/>
      <c r="AH818" s="108"/>
      <c r="AI818" s="108"/>
      <c r="AJ818" s="108"/>
      <c r="AK818" s="108"/>
      <c r="AL818" s="105"/>
      <c r="AM818" s="108"/>
      <c r="AN818" s="105"/>
      <c r="AO818" s="108"/>
      <c r="AP818" s="108"/>
      <c r="AQ818" s="105"/>
      <c r="AR818" s="108"/>
      <c r="AS818" s="108"/>
      <c r="AT818" s="105"/>
      <c r="AU818" s="105"/>
      <c r="AV818" s="105"/>
      <c r="AW818" s="105"/>
      <c r="AX818" s="105"/>
      <c r="AY818" s="105"/>
      <c r="AZ818" s="105"/>
      <c r="BA818" s="105"/>
      <c r="BB818" s="105"/>
      <c r="BC818" s="105"/>
      <c r="BD818" s="108"/>
      <c r="BE818" s="83">
        <f>IF($A818="","",IF(TRIM($D818&amp;"")="",IF(TRIM($AX818&amp;$AY818&amp;$AZ818&amp;$BA818&amp;$BB818&amp;$BC818&amp;$BD818&amp;"")="","","SUBARRENDADO"),IFERROR(IF(VLOOKUP($D818,VEHICULOS!$A$3:$H$202,7,FALSE)="","",VLOOKUP($D818,VEHICULOS!$A$3:$H$202,7,FALSE)),"")))</f>
      </c>
      <c r="BF818" s="82">
        <f>IF($A818="","",IF(TRIM($BC818&amp;"")&lt;&gt;"",$BC818,IF(TRIM($D818&amp;"")="","",IFERROR(IF(VLOOKUP($D818,VEHICULOS!$A$3:$H$202,8,FALSE)="","",VLOOKUP($D818,VEHICULOS!$A$3:$H$202,8,FALSE)),""))))</f>
      </c>
      <c r="BG818" s="106"/>
      <c r="BH818" s="107"/>
      <c r="BI818" s="86">
        <f t="shared" si="180"/>
      </c>
      <c r="BJ818" s="83">
        <f t="shared" si="181"/>
      </c>
      <c r="BK818" s="85">
        <f t="shared" si="182"/>
      </c>
      <c r="BL818" s="85">
        <f t="shared" si="183"/>
      </c>
      <c r="BM818" s="108"/>
      <c r="BN818" s="85">
        <f t="shared" si="184"/>
      </c>
      <c r="BO818" s="108"/>
      <c r="BP818" s="85">
        <f t="shared" si="185"/>
      </c>
      <c r="BQ818" s="85">
        <f t="shared" si="186"/>
      </c>
      <c r="BR818" s="108"/>
      <c r="BS818" s="104"/>
      <c r="BT818" s="87">
        <f t="shared" si="187"/>
      </c>
      <c r="BU818" s="85">
        <f t="shared" si="188"/>
      </c>
      <c r="BV818" s="85">
        <f t="shared" si="189"/>
      </c>
      <c r="BW818" s="87">
        <f t="shared" si="190"/>
      </c>
      <c r="BX818" s="104"/>
      <c r="BY818" s="106"/>
      <c r="BZ818" s="104"/>
      <c r="CA818" s="105"/>
      <c r="CB818" s="77">
        <f>IF($A818="",0,IF($B818='FICHA CLIENTE'!$C$4,1,0))</f>
      </c>
      <c r="CC818" s="77">
        <f t="shared" si="191"/>
      </c>
      <c r="CD818" s="77">
        <f>IF($A818="",0,IF($D818='FICHA VEHICULO'!$C$4,1,0))</f>
      </c>
      <c r="CE818" s="77">
        <f t="shared" si="192"/>
      </c>
      <c r="CF818" s="77">
        <f t="shared" si="193"/>
      </c>
      <c r="CG818" s="77">
        <f t="shared" si="194"/>
      </c>
    </row>
    <row r="819" spans="1:85" ht="19.5" customHeight="1" x14ac:dyDescent="0.2">
      <c r="A819" s="104"/>
      <c r="B819" s="104"/>
      <c r="C819" s="105"/>
      <c r="D819" s="104"/>
      <c r="E819" s="105"/>
      <c r="F819" s="106"/>
      <c r="G819" s="104"/>
      <c r="H819" s="106"/>
      <c r="I819" s="107"/>
      <c r="J819" s="108"/>
      <c r="K819" s="108"/>
      <c r="L819" s="108"/>
      <c r="M819" s="105"/>
      <c r="N819" s="105"/>
      <c r="O819" s="105"/>
      <c r="P819" s="108"/>
      <c r="Q819" s="105"/>
      <c r="R819" s="105"/>
      <c r="S819" s="105"/>
      <c r="T819" s="105"/>
      <c r="U819" s="108"/>
      <c r="V819" s="105"/>
      <c r="W819" s="105"/>
      <c r="X819" s="105"/>
      <c r="Y819" s="105"/>
      <c r="Z819" s="105"/>
      <c r="AA819" s="108"/>
      <c r="AB819" s="108"/>
      <c r="AC819" s="105"/>
      <c r="AD819" s="279"/>
      <c r="AE819" s="105"/>
      <c r="AF819" s="279"/>
      <c r="AG819" s="105"/>
      <c r="AH819" s="108"/>
      <c r="AI819" s="108"/>
      <c r="AJ819" s="108"/>
      <c r="AK819" s="108"/>
      <c r="AL819" s="105"/>
      <c r="AM819" s="108"/>
      <c r="AN819" s="105"/>
      <c r="AO819" s="108"/>
      <c r="AP819" s="108"/>
      <c r="AQ819" s="105"/>
      <c r="AR819" s="108"/>
      <c r="AS819" s="108"/>
      <c r="AT819" s="105"/>
      <c r="AU819" s="105"/>
      <c r="AV819" s="105"/>
      <c r="AW819" s="105"/>
      <c r="AX819" s="105"/>
      <c r="AY819" s="105"/>
      <c r="AZ819" s="105"/>
      <c r="BA819" s="105"/>
      <c r="BB819" s="105"/>
      <c r="BC819" s="105"/>
      <c r="BD819" s="108"/>
      <c r="BE819" s="83">
        <f>IF($A819="","",IF(TRIM($D819&amp;"")="",IF(TRIM($AX819&amp;$AY819&amp;$AZ819&amp;$BA819&amp;$BB819&amp;$BC819&amp;$BD819&amp;"")="","","SUBARRENDADO"),IFERROR(IF(VLOOKUP($D819,VEHICULOS!$A$3:$H$202,7,FALSE)="","",VLOOKUP($D819,VEHICULOS!$A$3:$H$202,7,FALSE)),"")))</f>
      </c>
      <c r="BF819" s="82">
        <f>IF($A819="","",IF(TRIM($BC819&amp;"")&lt;&gt;"",$BC819,IF(TRIM($D819&amp;"")="","",IFERROR(IF(VLOOKUP($D819,VEHICULOS!$A$3:$H$202,8,FALSE)="","",VLOOKUP($D819,VEHICULOS!$A$3:$H$202,8,FALSE)),""))))</f>
      </c>
      <c r="BG819" s="106"/>
      <c r="BH819" s="107"/>
      <c r="BI819" s="86">
        <f t="shared" si="180"/>
      </c>
      <c r="BJ819" s="83">
        <f t="shared" si="181"/>
      </c>
      <c r="BK819" s="85">
        <f t="shared" si="182"/>
      </c>
      <c r="BL819" s="85">
        <f t="shared" si="183"/>
      </c>
      <c r="BM819" s="108"/>
      <c r="BN819" s="85">
        <f t="shared" si="184"/>
      </c>
      <c r="BO819" s="108"/>
      <c r="BP819" s="85">
        <f t="shared" si="185"/>
      </c>
      <c r="BQ819" s="85">
        <f t="shared" si="186"/>
      </c>
      <c r="BR819" s="108"/>
      <c r="BS819" s="104"/>
      <c r="BT819" s="87">
        <f t="shared" si="187"/>
      </c>
      <c r="BU819" s="85">
        <f t="shared" si="188"/>
      </c>
      <c r="BV819" s="85">
        <f t="shared" si="189"/>
      </c>
      <c r="BW819" s="87">
        <f t="shared" si="190"/>
      </c>
      <c r="BX819" s="104"/>
      <c r="BY819" s="106"/>
      <c r="BZ819" s="104"/>
      <c r="CA819" s="105"/>
      <c r="CB819" s="77">
        <f>IF($A819="",0,IF($B819='FICHA CLIENTE'!$C$4,1,0))</f>
      </c>
      <c r="CC819" s="77">
        <f t="shared" si="191"/>
      </c>
      <c r="CD819" s="77">
        <f>IF($A819="",0,IF($D819='FICHA VEHICULO'!$C$4,1,0))</f>
      </c>
      <c r="CE819" s="77">
        <f t="shared" si="192"/>
      </c>
      <c r="CF819" s="77">
        <f t="shared" si="193"/>
      </c>
      <c r="CG819" s="77">
        <f t="shared" si="194"/>
      </c>
    </row>
    <row r="820" spans="1:85" ht="19.5" customHeight="1" x14ac:dyDescent="0.2">
      <c r="A820" s="104"/>
      <c r="B820" s="104"/>
      <c r="C820" s="105"/>
      <c r="D820" s="104"/>
      <c r="E820" s="105"/>
      <c r="F820" s="106"/>
      <c r="G820" s="104"/>
      <c r="H820" s="106"/>
      <c r="I820" s="107"/>
      <c r="J820" s="108"/>
      <c r="K820" s="108"/>
      <c r="L820" s="108"/>
      <c r="M820" s="105"/>
      <c r="N820" s="105"/>
      <c r="O820" s="105"/>
      <c r="P820" s="108"/>
      <c r="Q820" s="105"/>
      <c r="R820" s="105"/>
      <c r="S820" s="105"/>
      <c r="T820" s="105"/>
      <c r="U820" s="108"/>
      <c r="V820" s="105"/>
      <c r="W820" s="105"/>
      <c r="X820" s="105"/>
      <c r="Y820" s="105"/>
      <c r="Z820" s="105"/>
      <c r="AA820" s="108"/>
      <c r="AB820" s="108"/>
      <c r="AC820" s="105"/>
      <c r="AD820" s="279"/>
      <c r="AE820" s="105"/>
      <c r="AF820" s="279"/>
      <c r="AG820" s="105"/>
      <c r="AH820" s="108"/>
      <c r="AI820" s="108"/>
      <c r="AJ820" s="108"/>
      <c r="AK820" s="108"/>
      <c r="AL820" s="105"/>
      <c r="AM820" s="108"/>
      <c r="AN820" s="105"/>
      <c r="AO820" s="108"/>
      <c r="AP820" s="108"/>
      <c r="AQ820" s="105"/>
      <c r="AR820" s="108"/>
      <c r="AS820" s="108"/>
      <c r="AT820" s="105"/>
      <c r="AU820" s="105"/>
      <c r="AV820" s="105"/>
      <c r="AW820" s="105"/>
      <c r="AX820" s="105"/>
      <c r="AY820" s="105"/>
      <c r="AZ820" s="105"/>
      <c r="BA820" s="105"/>
      <c r="BB820" s="105"/>
      <c r="BC820" s="105"/>
      <c r="BD820" s="108"/>
      <c r="BE820" s="83">
        <f>IF($A820="","",IF(TRIM($D820&amp;"")="",IF(TRIM($AX820&amp;$AY820&amp;$AZ820&amp;$BA820&amp;$BB820&amp;$BC820&amp;$BD820&amp;"")="","","SUBARRENDADO"),IFERROR(IF(VLOOKUP($D820,VEHICULOS!$A$3:$H$202,7,FALSE)="","",VLOOKUP($D820,VEHICULOS!$A$3:$H$202,7,FALSE)),"")))</f>
      </c>
      <c r="BF820" s="82">
        <f>IF($A820="","",IF(TRIM($BC820&amp;"")&lt;&gt;"",$BC820,IF(TRIM($D820&amp;"")="","",IFERROR(IF(VLOOKUP($D820,VEHICULOS!$A$3:$H$202,8,FALSE)="","",VLOOKUP($D820,VEHICULOS!$A$3:$H$202,8,FALSE)),""))))</f>
      </c>
      <c r="BG820" s="106"/>
      <c r="BH820" s="107"/>
      <c r="BI820" s="86">
        <f t="shared" si="180"/>
      </c>
      <c r="BJ820" s="83">
        <f t="shared" si="181"/>
      </c>
      <c r="BK820" s="85">
        <f t="shared" si="182"/>
      </c>
      <c r="BL820" s="85">
        <f t="shared" si="183"/>
      </c>
      <c r="BM820" s="108"/>
      <c r="BN820" s="85">
        <f t="shared" si="184"/>
      </c>
      <c r="BO820" s="108"/>
      <c r="BP820" s="85">
        <f t="shared" si="185"/>
      </c>
      <c r="BQ820" s="85">
        <f t="shared" si="186"/>
      </c>
      <c r="BR820" s="108"/>
      <c r="BS820" s="104"/>
      <c r="BT820" s="87">
        <f t="shared" si="187"/>
      </c>
      <c r="BU820" s="85">
        <f t="shared" si="188"/>
      </c>
      <c r="BV820" s="85">
        <f t="shared" si="189"/>
      </c>
      <c r="BW820" s="87">
        <f t="shared" si="190"/>
      </c>
      <c r="BX820" s="104"/>
      <c r="BY820" s="106"/>
      <c r="BZ820" s="104"/>
      <c r="CA820" s="105"/>
      <c r="CB820" s="77">
        <f>IF($A820="",0,IF($B820='FICHA CLIENTE'!$C$4,1,0))</f>
      </c>
      <c r="CC820" s="77">
        <f t="shared" si="191"/>
      </c>
      <c r="CD820" s="77">
        <f>IF($A820="",0,IF($D820='FICHA VEHICULO'!$C$4,1,0))</f>
      </c>
      <c r="CE820" s="77">
        <f t="shared" si="192"/>
      </c>
      <c r="CF820" s="77">
        <f t="shared" si="193"/>
      </c>
      <c r="CG820" s="77">
        <f t="shared" si="194"/>
      </c>
    </row>
    <row r="821" spans="1:85" ht="19.5" customHeight="1" x14ac:dyDescent="0.2">
      <c r="A821" s="104"/>
      <c r="B821" s="104"/>
      <c r="C821" s="105"/>
      <c r="D821" s="104"/>
      <c r="E821" s="105"/>
      <c r="F821" s="106"/>
      <c r="G821" s="104"/>
      <c r="H821" s="106"/>
      <c r="I821" s="107"/>
      <c r="J821" s="108"/>
      <c r="K821" s="108"/>
      <c r="L821" s="108"/>
      <c r="M821" s="105"/>
      <c r="N821" s="105"/>
      <c r="O821" s="105"/>
      <c r="P821" s="108"/>
      <c r="Q821" s="105"/>
      <c r="R821" s="105"/>
      <c r="S821" s="105"/>
      <c r="T821" s="105"/>
      <c r="U821" s="108"/>
      <c r="V821" s="105"/>
      <c r="W821" s="105"/>
      <c r="X821" s="105"/>
      <c r="Y821" s="105"/>
      <c r="Z821" s="105"/>
      <c r="AA821" s="108"/>
      <c r="AB821" s="108"/>
      <c r="AC821" s="105"/>
      <c r="AD821" s="279"/>
      <c r="AE821" s="105"/>
      <c r="AF821" s="279"/>
      <c r="AG821" s="105"/>
      <c r="AH821" s="108"/>
      <c r="AI821" s="108"/>
      <c r="AJ821" s="108"/>
      <c r="AK821" s="108"/>
      <c r="AL821" s="105"/>
      <c r="AM821" s="108"/>
      <c r="AN821" s="105"/>
      <c r="AO821" s="108"/>
      <c r="AP821" s="108"/>
      <c r="AQ821" s="105"/>
      <c r="AR821" s="108"/>
      <c r="AS821" s="108"/>
      <c r="AT821" s="105"/>
      <c r="AU821" s="105"/>
      <c r="AV821" s="105"/>
      <c r="AW821" s="105"/>
      <c r="AX821" s="105"/>
      <c r="AY821" s="105"/>
      <c r="AZ821" s="105"/>
      <c r="BA821" s="105"/>
      <c r="BB821" s="105"/>
      <c r="BC821" s="105"/>
      <c r="BD821" s="108"/>
      <c r="BE821" s="83">
        <f>IF($A821="","",IF(TRIM($D821&amp;"")="",IF(TRIM($AX821&amp;$AY821&amp;$AZ821&amp;$BA821&amp;$BB821&amp;$BC821&amp;$BD821&amp;"")="","","SUBARRENDADO"),IFERROR(IF(VLOOKUP($D821,VEHICULOS!$A$3:$H$202,7,FALSE)="","",VLOOKUP($D821,VEHICULOS!$A$3:$H$202,7,FALSE)),"")))</f>
      </c>
      <c r="BF821" s="82">
        <f>IF($A821="","",IF(TRIM($BC821&amp;"")&lt;&gt;"",$BC821,IF(TRIM($D821&amp;"")="","",IFERROR(IF(VLOOKUP($D821,VEHICULOS!$A$3:$H$202,8,FALSE)="","",VLOOKUP($D821,VEHICULOS!$A$3:$H$202,8,FALSE)),""))))</f>
      </c>
      <c r="BG821" s="106"/>
      <c r="BH821" s="107"/>
      <c r="BI821" s="86">
        <f t="shared" si="180"/>
      </c>
      <c r="BJ821" s="83">
        <f t="shared" si="181"/>
      </c>
      <c r="BK821" s="85">
        <f t="shared" si="182"/>
      </c>
      <c r="BL821" s="85">
        <f t="shared" si="183"/>
      </c>
      <c r="BM821" s="108"/>
      <c r="BN821" s="85">
        <f t="shared" si="184"/>
      </c>
      <c r="BO821" s="108"/>
      <c r="BP821" s="85">
        <f t="shared" si="185"/>
      </c>
      <c r="BQ821" s="85">
        <f t="shared" si="186"/>
      </c>
      <c r="BR821" s="108"/>
      <c r="BS821" s="104"/>
      <c r="BT821" s="87">
        <f t="shared" si="187"/>
      </c>
      <c r="BU821" s="85">
        <f t="shared" si="188"/>
      </c>
      <c r="BV821" s="85">
        <f t="shared" si="189"/>
      </c>
      <c r="BW821" s="87">
        <f t="shared" si="190"/>
      </c>
      <c r="BX821" s="104"/>
      <c r="BY821" s="106"/>
      <c r="BZ821" s="104"/>
      <c r="CA821" s="105"/>
      <c r="CB821" s="77">
        <f>IF($A821="",0,IF($B821='FICHA CLIENTE'!$C$4,1,0))</f>
      </c>
      <c r="CC821" s="77">
        <f t="shared" si="191"/>
      </c>
      <c r="CD821" s="77">
        <f>IF($A821="",0,IF($D821='FICHA VEHICULO'!$C$4,1,0))</f>
      </c>
      <c r="CE821" s="77">
        <f t="shared" si="192"/>
      </c>
      <c r="CF821" s="77">
        <f t="shared" si="193"/>
      </c>
      <c r="CG821" s="77">
        <f t="shared" si="194"/>
      </c>
    </row>
    <row r="822" spans="1:85" ht="19.5" customHeight="1" x14ac:dyDescent="0.2">
      <c r="A822" s="104"/>
      <c r="B822" s="104"/>
      <c r="C822" s="105"/>
      <c r="D822" s="104"/>
      <c r="E822" s="105"/>
      <c r="F822" s="106"/>
      <c r="G822" s="104"/>
      <c r="H822" s="106"/>
      <c r="I822" s="107"/>
      <c r="J822" s="108"/>
      <c r="K822" s="108"/>
      <c r="L822" s="108"/>
      <c r="M822" s="105"/>
      <c r="N822" s="105"/>
      <c r="O822" s="105"/>
      <c r="P822" s="108"/>
      <c r="Q822" s="105"/>
      <c r="R822" s="105"/>
      <c r="S822" s="105"/>
      <c r="T822" s="105"/>
      <c r="U822" s="108"/>
      <c r="V822" s="105"/>
      <c r="W822" s="105"/>
      <c r="X822" s="105"/>
      <c r="Y822" s="105"/>
      <c r="Z822" s="105"/>
      <c r="AA822" s="108"/>
      <c r="AB822" s="108"/>
      <c r="AC822" s="105"/>
      <c r="AD822" s="279"/>
      <c r="AE822" s="105"/>
      <c r="AF822" s="279"/>
      <c r="AG822" s="105"/>
      <c r="AH822" s="108"/>
      <c r="AI822" s="108"/>
      <c r="AJ822" s="108"/>
      <c r="AK822" s="108"/>
      <c r="AL822" s="105"/>
      <c r="AM822" s="108"/>
      <c r="AN822" s="105"/>
      <c r="AO822" s="108"/>
      <c r="AP822" s="108"/>
      <c r="AQ822" s="105"/>
      <c r="AR822" s="108"/>
      <c r="AS822" s="108"/>
      <c r="AT822" s="105"/>
      <c r="AU822" s="105"/>
      <c r="AV822" s="105"/>
      <c r="AW822" s="105"/>
      <c r="AX822" s="105"/>
      <c r="AY822" s="105"/>
      <c r="AZ822" s="105"/>
      <c r="BA822" s="105"/>
      <c r="BB822" s="105"/>
      <c r="BC822" s="105"/>
      <c r="BD822" s="108"/>
      <c r="BE822" s="83">
        <f>IF($A822="","",IF(TRIM($D822&amp;"")="",IF(TRIM($AX822&amp;$AY822&amp;$AZ822&amp;$BA822&amp;$BB822&amp;$BC822&amp;$BD822&amp;"")="","","SUBARRENDADO"),IFERROR(IF(VLOOKUP($D822,VEHICULOS!$A$3:$H$202,7,FALSE)="","",VLOOKUP($D822,VEHICULOS!$A$3:$H$202,7,FALSE)),"")))</f>
      </c>
      <c r="BF822" s="82">
        <f>IF($A822="","",IF(TRIM($BC822&amp;"")&lt;&gt;"",$BC822,IF(TRIM($D822&amp;"")="","",IFERROR(IF(VLOOKUP($D822,VEHICULOS!$A$3:$H$202,8,FALSE)="","",VLOOKUP($D822,VEHICULOS!$A$3:$H$202,8,FALSE)),""))))</f>
      </c>
      <c r="BG822" s="106"/>
      <c r="BH822" s="107"/>
      <c r="BI822" s="86">
        <f t="shared" si="180"/>
      </c>
      <c r="BJ822" s="83">
        <f t="shared" si="181"/>
      </c>
      <c r="BK822" s="85">
        <f t="shared" si="182"/>
      </c>
      <c r="BL822" s="85">
        <f t="shared" si="183"/>
      </c>
      <c r="BM822" s="108"/>
      <c r="BN822" s="85">
        <f t="shared" si="184"/>
      </c>
      <c r="BO822" s="108"/>
      <c r="BP822" s="85">
        <f t="shared" si="185"/>
      </c>
      <c r="BQ822" s="85">
        <f t="shared" si="186"/>
      </c>
      <c r="BR822" s="108"/>
      <c r="BS822" s="104"/>
      <c r="BT822" s="87">
        <f t="shared" si="187"/>
      </c>
      <c r="BU822" s="85">
        <f t="shared" si="188"/>
      </c>
      <c r="BV822" s="85">
        <f t="shared" si="189"/>
      </c>
      <c r="BW822" s="87">
        <f t="shared" si="190"/>
      </c>
      <c r="BX822" s="104"/>
      <c r="BY822" s="106"/>
      <c r="BZ822" s="104"/>
      <c r="CA822" s="105"/>
      <c r="CB822" s="77">
        <f>IF($A822="",0,IF($B822='FICHA CLIENTE'!$C$4,1,0))</f>
      </c>
      <c r="CC822" s="77">
        <f t="shared" si="191"/>
      </c>
      <c r="CD822" s="77">
        <f>IF($A822="",0,IF($D822='FICHA VEHICULO'!$C$4,1,0))</f>
      </c>
      <c r="CE822" s="77">
        <f t="shared" si="192"/>
      </c>
      <c r="CF822" s="77">
        <f t="shared" si="193"/>
      </c>
      <c r="CG822" s="77">
        <f t="shared" si="194"/>
      </c>
    </row>
    <row r="823" spans="1:85" ht="19.5" customHeight="1" x14ac:dyDescent="0.2">
      <c r="A823" s="104"/>
      <c r="B823" s="104"/>
      <c r="C823" s="105"/>
      <c r="D823" s="104"/>
      <c r="E823" s="105"/>
      <c r="F823" s="106"/>
      <c r="G823" s="104"/>
      <c r="H823" s="106"/>
      <c r="I823" s="107"/>
      <c r="J823" s="108"/>
      <c r="K823" s="108"/>
      <c r="L823" s="108"/>
      <c r="M823" s="105"/>
      <c r="N823" s="105"/>
      <c r="O823" s="105"/>
      <c r="P823" s="108"/>
      <c r="Q823" s="105"/>
      <c r="R823" s="105"/>
      <c r="S823" s="105"/>
      <c r="T823" s="105"/>
      <c r="U823" s="108"/>
      <c r="V823" s="105"/>
      <c r="W823" s="105"/>
      <c r="X823" s="105"/>
      <c r="Y823" s="105"/>
      <c r="Z823" s="105"/>
      <c r="AA823" s="108"/>
      <c r="AB823" s="108"/>
      <c r="AC823" s="105"/>
      <c r="AD823" s="279"/>
      <c r="AE823" s="105"/>
      <c r="AF823" s="279"/>
      <c r="AG823" s="105"/>
      <c r="AH823" s="108"/>
      <c r="AI823" s="108"/>
      <c r="AJ823" s="108"/>
      <c r="AK823" s="108"/>
      <c r="AL823" s="105"/>
      <c r="AM823" s="108"/>
      <c r="AN823" s="105"/>
      <c r="AO823" s="108"/>
      <c r="AP823" s="108"/>
      <c r="AQ823" s="105"/>
      <c r="AR823" s="108"/>
      <c r="AS823" s="108"/>
      <c r="AT823" s="105"/>
      <c r="AU823" s="105"/>
      <c r="AV823" s="105"/>
      <c r="AW823" s="105"/>
      <c r="AX823" s="105"/>
      <c r="AY823" s="105"/>
      <c r="AZ823" s="105"/>
      <c r="BA823" s="105"/>
      <c r="BB823" s="105"/>
      <c r="BC823" s="105"/>
      <c r="BD823" s="108"/>
      <c r="BE823" s="83">
        <f>IF($A823="","",IF(TRIM($D823&amp;"")="",IF(TRIM($AX823&amp;$AY823&amp;$AZ823&amp;$BA823&amp;$BB823&amp;$BC823&amp;$BD823&amp;"")="","","SUBARRENDADO"),IFERROR(IF(VLOOKUP($D823,VEHICULOS!$A$3:$H$202,7,FALSE)="","",VLOOKUP($D823,VEHICULOS!$A$3:$H$202,7,FALSE)),"")))</f>
      </c>
      <c r="BF823" s="82">
        <f>IF($A823="","",IF(TRIM($BC823&amp;"")&lt;&gt;"",$BC823,IF(TRIM($D823&amp;"")="","",IFERROR(IF(VLOOKUP($D823,VEHICULOS!$A$3:$H$202,8,FALSE)="","",VLOOKUP($D823,VEHICULOS!$A$3:$H$202,8,FALSE)),""))))</f>
      </c>
      <c r="BG823" s="106"/>
      <c r="BH823" s="107"/>
      <c r="BI823" s="86">
        <f t="shared" si="180"/>
      </c>
      <c r="BJ823" s="83">
        <f t="shared" si="181"/>
      </c>
      <c r="BK823" s="85">
        <f t="shared" si="182"/>
      </c>
      <c r="BL823" s="85">
        <f t="shared" si="183"/>
      </c>
      <c r="BM823" s="108"/>
      <c r="BN823" s="85">
        <f t="shared" si="184"/>
      </c>
      <c r="BO823" s="108"/>
      <c r="BP823" s="85">
        <f t="shared" si="185"/>
      </c>
      <c r="BQ823" s="85">
        <f t="shared" si="186"/>
      </c>
      <c r="BR823" s="108"/>
      <c r="BS823" s="104"/>
      <c r="BT823" s="87">
        <f t="shared" si="187"/>
      </c>
      <c r="BU823" s="85">
        <f t="shared" si="188"/>
      </c>
      <c r="BV823" s="85">
        <f t="shared" si="189"/>
      </c>
      <c r="BW823" s="87">
        <f t="shared" si="190"/>
      </c>
      <c r="BX823" s="104"/>
      <c r="BY823" s="106"/>
      <c r="BZ823" s="104"/>
      <c r="CA823" s="105"/>
      <c r="CB823" s="77">
        <f>IF($A823="",0,IF($B823='FICHA CLIENTE'!$C$4,1,0))</f>
      </c>
      <c r="CC823" s="77">
        <f t="shared" si="191"/>
      </c>
      <c r="CD823" s="77">
        <f>IF($A823="",0,IF($D823='FICHA VEHICULO'!$C$4,1,0))</f>
      </c>
      <c r="CE823" s="77">
        <f t="shared" si="192"/>
      </c>
      <c r="CF823" s="77">
        <f t="shared" si="193"/>
      </c>
      <c r="CG823" s="77">
        <f t="shared" si="194"/>
      </c>
    </row>
    <row r="824" spans="1:85" ht="19.5" customHeight="1" x14ac:dyDescent="0.2">
      <c r="A824" s="104"/>
      <c r="B824" s="104"/>
      <c r="C824" s="105"/>
      <c r="D824" s="104"/>
      <c r="E824" s="105"/>
      <c r="F824" s="106"/>
      <c r="G824" s="104"/>
      <c r="H824" s="106"/>
      <c r="I824" s="107"/>
      <c r="J824" s="108"/>
      <c r="K824" s="108"/>
      <c r="L824" s="108"/>
      <c r="M824" s="105"/>
      <c r="N824" s="105"/>
      <c r="O824" s="105"/>
      <c r="P824" s="108"/>
      <c r="Q824" s="105"/>
      <c r="R824" s="105"/>
      <c r="S824" s="105"/>
      <c r="T824" s="105"/>
      <c r="U824" s="108"/>
      <c r="V824" s="105"/>
      <c r="W824" s="105"/>
      <c r="X824" s="105"/>
      <c r="Y824" s="105"/>
      <c r="Z824" s="105"/>
      <c r="AA824" s="108"/>
      <c r="AB824" s="108"/>
      <c r="AC824" s="105"/>
      <c r="AD824" s="279"/>
      <c r="AE824" s="105"/>
      <c r="AF824" s="279"/>
      <c r="AG824" s="105"/>
      <c r="AH824" s="108"/>
      <c r="AI824" s="108"/>
      <c r="AJ824" s="108"/>
      <c r="AK824" s="108"/>
      <c r="AL824" s="105"/>
      <c r="AM824" s="108"/>
      <c r="AN824" s="105"/>
      <c r="AO824" s="108"/>
      <c r="AP824" s="108"/>
      <c r="AQ824" s="105"/>
      <c r="AR824" s="108"/>
      <c r="AS824" s="108"/>
      <c r="AT824" s="105"/>
      <c r="AU824" s="105"/>
      <c r="AV824" s="105"/>
      <c r="AW824" s="105"/>
      <c r="AX824" s="105"/>
      <c r="AY824" s="105"/>
      <c r="AZ824" s="105"/>
      <c r="BA824" s="105"/>
      <c r="BB824" s="105"/>
      <c r="BC824" s="105"/>
      <c r="BD824" s="108"/>
      <c r="BE824" s="83">
        <f>IF($A824="","",IF(TRIM($D824&amp;"")="",IF(TRIM($AX824&amp;$AY824&amp;$AZ824&amp;$BA824&amp;$BB824&amp;$BC824&amp;$BD824&amp;"")="","","SUBARRENDADO"),IFERROR(IF(VLOOKUP($D824,VEHICULOS!$A$3:$H$202,7,FALSE)="","",VLOOKUP($D824,VEHICULOS!$A$3:$H$202,7,FALSE)),"")))</f>
      </c>
      <c r="BF824" s="82">
        <f>IF($A824="","",IF(TRIM($BC824&amp;"")&lt;&gt;"",$BC824,IF(TRIM($D824&amp;"")="","",IFERROR(IF(VLOOKUP($D824,VEHICULOS!$A$3:$H$202,8,FALSE)="","",VLOOKUP($D824,VEHICULOS!$A$3:$H$202,8,FALSE)),""))))</f>
      </c>
      <c r="BG824" s="106"/>
      <c r="BH824" s="107"/>
      <c r="BI824" s="86">
        <f t="shared" si="180"/>
      </c>
      <c r="BJ824" s="83">
        <f t="shared" si="181"/>
      </c>
      <c r="BK824" s="85">
        <f t="shared" si="182"/>
      </c>
      <c r="BL824" s="85">
        <f t="shared" si="183"/>
      </c>
      <c r="BM824" s="108"/>
      <c r="BN824" s="85">
        <f t="shared" si="184"/>
      </c>
      <c r="BO824" s="108"/>
      <c r="BP824" s="85">
        <f t="shared" si="185"/>
      </c>
      <c r="BQ824" s="85">
        <f t="shared" si="186"/>
      </c>
      <c r="BR824" s="108"/>
      <c r="BS824" s="104"/>
      <c r="BT824" s="87">
        <f t="shared" si="187"/>
      </c>
      <c r="BU824" s="85">
        <f t="shared" si="188"/>
      </c>
      <c r="BV824" s="85">
        <f t="shared" si="189"/>
      </c>
      <c r="BW824" s="87">
        <f t="shared" si="190"/>
      </c>
      <c r="BX824" s="104"/>
      <c r="BY824" s="106"/>
      <c r="BZ824" s="104"/>
      <c r="CA824" s="105"/>
      <c r="CB824" s="77">
        <f>IF($A824="",0,IF($B824='FICHA CLIENTE'!$C$4,1,0))</f>
      </c>
      <c r="CC824" s="77">
        <f t="shared" si="191"/>
      </c>
      <c r="CD824" s="77">
        <f>IF($A824="",0,IF($D824='FICHA VEHICULO'!$C$4,1,0))</f>
      </c>
      <c r="CE824" s="77">
        <f t="shared" si="192"/>
      </c>
      <c r="CF824" s="77">
        <f t="shared" si="193"/>
      </c>
      <c r="CG824" s="77">
        <f t="shared" si="194"/>
      </c>
    </row>
    <row r="825" spans="1:85" ht="19.5" customHeight="1" x14ac:dyDescent="0.2">
      <c r="A825" s="104"/>
      <c r="B825" s="104"/>
      <c r="C825" s="105"/>
      <c r="D825" s="104"/>
      <c r="E825" s="105"/>
      <c r="F825" s="106"/>
      <c r="G825" s="104"/>
      <c r="H825" s="106"/>
      <c r="I825" s="107"/>
      <c r="J825" s="108"/>
      <c r="K825" s="108"/>
      <c r="L825" s="108"/>
      <c r="M825" s="105"/>
      <c r="N825" s="105"/>
      <c r="O825" s="105"/>
      <c r="P825" s="108"/>
      <c r="Q825" s="105"/>
      <c r="R825" s="105"/>
      <c r="S825" s="105"/>
      <c r="T825" s="105"/>
      <c r="U825" s="108"/>
      <c r="V825" s="105"/>
      <c r="W825" s="105"/>
      <c r="X825" s="105"/>
      <c r="Y825" s="105"/>
      <c r="Z825" s="105"/>
      <c r="AA825" s="108"/>
      <c r="AB825" s="108"/>
      <c r="AC825" s="105"/>
      <c r="AD825" s="279"/>
      <c r="AE825" s="105"/>
      <c r="AF825" s="279"/>
      <c r="AG825" s="105"/>
      <c r="AH825" s="108"/>
      <c r="AI825" s="108"/>
      <c r="AJ825" s="108"/>
      <c r="AK825" s="108"/>
      <c r="AL825" s="105"/>
      <c r="AM825" s="108"/>
      <c r="AN825" s="105"/>
      <c r="AO825" s="108"/>
      <c r="AP825" s="108"/>
      <c r="AQ825" s="105"/>
      <c r="AR825" s="108"/>
      <c r="AS825" s="108"/>
      <c r="AT825" s="105"/>
      <c r="AU825" s="105"/>
      <c r="AV825" s="105"/>
      <c r="AW825" s="105"/>
      <c r="AX825" s="105"/>
      <c r="AY825" s="105"/>
      <c r="AZ825" s="105"/>
      <c r="BA825" s="105"/>
      <c r="BB825" s="105"/>
      <c r="BC825" s="105"/>
      <c r="BD825" s="108"/>
      <c r="BE825" s="83">
        <f>IF($A825="","",IF(TRIM($D825&amp;"")="",IF(TRIM($AX825&amp;$AY825&amp;$AZ825&amp;$BA825&amp;$BB825&amp;$BC825&amp;$BD825&amp;"")="","","SUBARRENDADO"),IFERROR(IF(VLOOKUP($D825,VEHICULOS!$A$3:$H$202,7,FALSE)="","",VLOOKUP($D825,VEHICULOS!$A$3:$H$202,7,FALSE)),"")))</f>
      </c>
      <c r="BF825" s="82">
        <f>IF($A825="","",IF(TRIM($BC825&amp;"")&lt;&gt;"",$BC825,IF(TRIM($D825&amp;"")="","",IFERROR(IF(VLOOKUP($D825,VEHICULOS!$A$3:$H$202,8,FALSE)="","",VLOOKUP($D825,VEHICULOS!$A$3:$H$202,8,FALSE)),""))))</f>
      </c>
      <c r="BG825" s="106"/>
      <c r="BH825" s="107"/>
      <c r="BI825" s="86">
        <f t="shared" si="180"/>
      </c>
      <c r="BJ825" s="83">
        <f t="shared" si="181"/>
      </c>
      <c r="BK825" s="85">
        <f t="shared" si="182"/>
      </c>
      <c r="BL825" s="85">
        <f t="shared" si="183"/>
      </c>
      <c r="BM825" s="108"/>
      <c r="BN825" s="85">
        <f t="shared" si="184"/>
      </c>
      <c r="BO825" s="108"/>
      <c r="BP825" s="85">
        <f t="shared" si="185"/>
      </c>
      <c r="BQ825" s="85">
        <f t="shared" si="186"/>
      </c>
      <c r="BR825" s="108"/>
      <c r="BS825" s="104"/>
      <c r="BT825" s="87">
        <f t="shared" si="187"/>
      </c>
      <c r="BU825" s="85">
        <f t="shared" si="188"/>
      </c>
      <c r="BV825" s="85">
        <f t="shared" si="189"/>
      </c>
      <c r="BW825" s="87">
        <f t="shared" si="190"/>
      </c>
      <c r="BX825" s="104"/>
      <c r="BY825" s="106"/>
      <c r="BZ825" s="104"/>
      <c r="CA825" s="105"/>
      <c r="CB825" s="77">
        <f>IF($A825="",0,IF($B825='FICHA CLIENTE'!$C$4,1,0))</f>
      </c>
      <c r="CC825" s="77">
        <f t="shared" si="191"/>
      </c>
      <c r="CD825" s="77">
        <f>IF($A825="",0,IF($D825='FICHA VEHICULO'!$C$4,1,0))</f>
      </c>
      <c r="CE825" s="77">
        <f t="shared" si="192"/>
      </c>
      <c r="CF825" s="77">
        <f t="shared" si="193"/>
      </c>
      <c r="CG825" s="77">
        <f t="shared" si="194"/>
      </c>
    </row>
    <row r="826" spans="1:85" ht="19.5" customHeight="1" x14ac:dyDescent="0.2">
      <c r="A826" s="104"/>
      <c r="B826" s="104"/>
      <c r="C826" s="105"/>
      <c r="D826" s="104"/>
      <c r="E826" s="105"/>
      <c r="F826" s="106"/>
      <c r="G826" s="104"/>
      <c r="H826" s="106"/>
      <c r="I826" s="107"/>
      <c r="J826" s="108"/>
      <c r="K826" s="108"/>
      <c r="L826" s="108"/>
      <c r="M826" s="105"/>
      <c r="N826" s="105"/>
      <c r="O826" s="105"/>
      <c r="P826" s="108"/>
      <c r="Q826" s="105"/>
      <c r="R826" s="105"/>
      <c r="S826" s="105"/>
      <c r="T826" s="105"/>
      <c r="U826" s="108"/>
      <c r="V826" s="105"/>
      <c r="W826" s="105"/>
      <c r="X826" s="105"/>
      <c r="Y826" s="105"/>
      <c r="Z826" s="105"/>
      <c r="AA826" s="108"/>
      <c r="AB826" s="108"/>
      <c r="AC826" s="105"/>
      <c r="AD826" s="279"/>
      <c r="AE826" s="105"/>
      <c r="AF826" s="279"/>
      <c r="AG826" s="105"/>
      <c r="AH826" s="108"/>
      <c r="AI826" s="108"/>
      <c r="AJ826" s="108"/>
      <c r="AK826" s="108"/>
      <c r="AL826" s="105"/>
      <c r="AM826" s="108"/>
      <c r="AN826" s="105"/>
      <c r="AO826" s="108"/>
      <c r="AP826" s="108"/>
      <c r="AQ826" s="105"/>
      <c r="AR826" s="108"/>
      <c r="AS826" s="108"/>
      <c r="AT826" s="105"/>
      <c r="AU826" s="105"/>
      <c r="AV826" s="105"/>
      <c r="AW826" s="105"/>
      <c r="AX826" s="105"/>
      <c r="AY826" s="105"/>
      <c r="AZ826" s="105"/>
      <c r="BA826" s="105"/>
      <c r="BB826" s="105"/>
      <c r="BC826" s="105"/>
      <c r="BD826" s="108"/>
      <c r="BE826" s="83">
        <f>IF($A826="","",IF(TRIM($D826&amp;"")="",IF(TRIM($AX826&amp;$AY826&amp;$AZ826&amp;$BA826&amp;$BB826&amp;$BC826&amp;$BD826&amp;"")="","","SUBARRENDADO"),IFERROR(IF(VLOOKUP($D826,VEHICULOS!$A$3:$H$202,7,FALSE)="","",VLOOKUP($D826,VEHICULOS!$A$3:$H$202,7,FALSE)),"")))</f>
      </c>
      <c r="BF826" s="82">
        <f>IF($A826="","",IF(TRIM($BC826&amp;"")&lt;&gt;"",$BC826,IF(TRIM($D826&amp;"")="","",IFERROR(IF(VLOOKUP($D826,VEHICULOS!$A$3:$H$202,8,FALSE)="","",VLOOKUP($D826,VEHICULOS!$A$3:$H$202,8,FALSE)),""))))</f>
      </c>
      <c r="BG826" s="106"/>
      <c r="BH826" s="107"/>
      <c r="BI826" s="86">
        <f t="shared" si="180"/>
      </c>
      <c r="BJ826" s="83">
        <f t="shared" si="181"/>
      </c>
      <c r="BK826" s="85">
        <f t="shared" si="182"/>
      </c>
      <c r="BL826" s="85">
        <f t="shared" si="183"/>
      </c>
      <c r="BM826" s="108"/>
      <c r="BN826" s="85">
        <f t="shared" si="184"/>
      </c>
      <c r="BO826" s="108"/>
      <c r="BP826" s="85">
        <f t="shared" si="185"/>
      </c>
      <c r="BQ826" s="85">
        <f t="shared" si="186"/>
      </c>
      <c r="BR826" s="108"/>
      <c r="BS826" s="104"/>
      <c r="BT826" s="87">
        <f t="shared" si="187"/>
      </c>
      <c r="BU826" s="85">
        <f t="shared" si="188"/>
      </c>
      <c r="BV826" s="85">
        <f t="shared" si="189"/>
      </c>
      <c r="BW826" s="87">
        <f t="shared" si="190"/>
      </c>
      <c r="BX826" s="104"/>
      <c r="BY826" s="106"/>
      <c r="BZ826" s="104"/>
      <c r="CA826" s="105"/>
      <c r="CB826" s="77">
        <f>IF($A826="",0,IF($B826='FICHA CLIENTE'!$C$4,1,0))</f>
      </c>
      <c r="CC826" s="77">
        <f t="shared" si="191"/>
      </c>
      <c r="CD826" s="77">
        <f>IF($A826="",0,IF($D826='FICHA VEHICULO'!$C$4,1,0))</f>
      </c>
      <c r="CE826" s="77">
        <f t="shared" si="192"/>
      </c>
      <c r="CF826" s="77">
        <f t="shared" si="193"/>
      </c>
      <c r="CG826" s="77">
        <f t="shared" si="194"/>
      </c>
    </row>
    <row r="827" spans="1:85" ht="19.5" customHeight="1" x14ac:dyDescent="0.2">
      <c r="A827" s="104"/>
      <c r="B827" s="104"/>
      <c r="C827" s="105"/>
      <c r="D827" s="104"/>
      <c r="E827" s="105"/>
      <c r="F827" s="106"/>
      <c r="G827" s="104"/>
      <c r="H827" s="106"/>
      <c r="I827" s="107"/>
      <c r="J827" s="108"/>
      <c r="K827" s="108"/>
      <c r="L827" s="108"/>
      <c r="M827" s="105"/>
      <c r="N827" s="105"/>
      <c r="O827" s="105"/>
      <c r="P827" s="108"/>
      <c r="Q827" s="105"/>
      <c r="R827" s="105"/>
      <c r="S827" s="105"/>
      <c r="T827" s="105"/>
      <c r="U827" s="108"/>
      <c r="V827" s="105"/>
      <c r="W827" s="105"/>
      <c r="X827" s="105"/>
      <c r="Y827" s="105"/>
      <c r="Z827" s="105"/>
      <c r="AA827" s="108"/>
      <c r="AB827" s="108"/>
      <c r="AC827" s="105"/>
      <c r="AD827" s="279"/>
      <c r="AE827" s="105"/>
      <c r="AF827" s="279"/>
      <c r="AG827" s="105"/>
      <c r="AH827" s="108"/>
      <c r="AI827" s="108"/>
      <c r="AJ827" s="108"/>
      <c r="AK827" s="108"/>
      <c r="AL827" s="105"/>
      <c r="AM827" s="108"/>
      <c r="AN827" s="105"/>
      <c r="AO827" s="108"/>
      <c r="AP827" s="108"/>
      <c r="AQ827" s="105"/>
      <c r="AR827" s="108"/>
      <c r="AS827" s="108"/>
      <c r="AT827" s="105"/>
      <c r="AU827" s="105"/>
      <c r="AV827" s="105"/>
      <c r="AW827" s="105"/>
      <c r="AX827" s="105"/>
      <c r="AY827" s="105"/>
      <c r="AZ827" s="105"/>
      <c r="BA827" s="105"/>
      <c r="BB827" s="105"/>
      <c r="BC827" s="105"/>
      <c r="BD827" s="108"/>
      <c r="BE827" s="83">
        <f>IF($A827="","",IF(TRIM($D827&amp;"")="",IF(TRIM($AX827&amp;$AY827&amp;$AZ827&amp;$BA827&amp;$BB827&amp;$BC827&amp;$BD827&amp;"")="","","SUBARRENDADO"),IFERROR(IF(VLOOKUP($D827,VEHICULOS!$A$3:$H$202,7,FALSE)="","",VLOOKUP($D827,VEHICULOS!$A$3:$H$202,7,FALSE)),"")))</f>
      </c>
      <c r="BF827" s="82">
        <f>IF($A827="","",IF(TRIM($BC827&amp;"")&lt;&gt;"",$BC827,IF(TRIM($D827&amp;"")="","",IFERROR(IF(VLOOKUP($D827,VEHICULOS!$A$3:$H$202,8,FALSE)="","",VLOOKUP($D827,VEHICULOS!$A$3:$H$202,8,FALSE)),""))))</f>
      </c>
      <c r="BG827" s="106"/>
      <c r="BH827" s="107"/>
      <c r="BI827" s="86">
        <f t="shared" si="180"/>
      </c>
      <c r="BJ827" s="83">
        <f t="shared" si="181"/>
      </c>
      <c r="BK827" s="85">
        <f t="shared" si="182"/>
      </c>
      <c r="BL827" s="85">
        <f t="shared" si="183"/>
      </c>
      <c r="BM827" s="108"/>
      <c r="BN827" s="85">
        <f t="shared" si="184"/>
      </c>
      <c r="BO827" s="108"/>
      <c r="BP827" s="85">
        <f t="shared" si="185"/>
      </c>
      <c r="BQ827" s="85">
        <f t="shared" si="186"/>
      </c>
      <c r="BR827" s="108"/>
      <c r="BS827" s="104"/>
      <c r="BT827" s="87">
        <f t="shared" si="187"/>
      </c>
      <c r="BU827" s="85">
        <f t="shared" si="188"/>
      </c>
      <c r="BV827" s="85">
        <f t="shared" si="189"/>
      </c>
      <c r="BW827" s="87">
        <f t="shared" si="190"/>
      </c>
      <c r="BX827" s="104"/>
      <c r="BY827" s="106"/>
      <c r="BZ827" s="104"/>
      <c r="CA827" s="105"/>
      <c r="CB827" s="77">
        <f>IF($A827="",0,IF($B827='FICHA CLIENTE'!$C$4,1,0))</f>
      </c>
      <c r="CC827" s="77">
        <f t="shared" si="191"/>
      </c>
      <c r="CD827" s="77">
        <f>IF($A827="",0,IF($D827='FICHA VEHICULO'!$C$4,1,0))</f>
      </c>
      <c r="CE827" s="77">
        <f t="shared" si="192"/>
      </c>
      <c r="CF827" s="77">
        <f t="shared" si="193"/>
      </c>
      <c r="CG827" s="77">
        <f t="shared" si="194"/>
      </c>
    </row>
    <row r="828" spans="1:85" ht="19.5" customHeight="1" x14ac:dyDescent="0.2">
      <c r="A828" s="104"/>
      <c r="B828" s="104"/>
      <c r="C828" s="105"/>
      <c r="D828" s="104"/>
      <c r="E828" s="105"/>
      <c r="F828" s="106"/>
      <c r="G828" s="104"/>
      <c r="H828" s="106"/>
      <c r="I828" s="107"/>
      <c r="J828" s="108"/>
      <c r="K828" s="108"/>
      <c r="L828" s="108"/>
      <c r="M828" s="105"/>
      <c r="N828" s="105"/>
      <c r="O828" s="105"/>
      <c r="P828" s="108"/>
      <c r="Q828" s="105"/>
      <c r="R828" s="105"/>
      <c r="S828" s="105"/>
      <c r="T828" s="105"/>
      <c r="U828" s="108"/>
      <c r="V828" s="105"/>
      <c r="W828" s="105"/>
      <c r="X828" s="105"/>
      <c r="Y828" s="105"/>
      <c r="Z828" s="105"/>
      <c r="AA828" s="108"/>
      <c r="AB828" s="108"/>
      <c r="AC828" s="105"/>
      <c r="AD828" s="279"/>
      <c r="AE828" s="105"/>
      <c r="AF828" s="279"/>
      <c r="AG828" s="105"/>
      <c r="AH828" s="108"/>
      <c r="AI828" s="108"/>
      <c r="AJ828" s="108"/>
      <c r="AK828" s="108"/>
      <c r="AL828" s="105"/>
      <c r="AM828" s="108"/>
      <c r="AN828" s="105"/>
      <c r="AO828" s="108"/>
      <c r="AP828" s="108"/>
      <c r="AQ828" s="105"/>
      <c r="AR828" s="108"/>
      <c r="AS828" s="108"/>
      <c r="AT828" s="105"/>
      <c r="AU828" s="105"/>
      <c r="AV828" s="105"/>
      <c r="AW828" s="105"/>
      <c r="AX828" s="105"/>
      <c r="AY828" s="105"/>
      <c r="AZ828" s="105"/>
      <c r="BA828" s="105"/>
      <c r="BB828" s="105"/>
      <c r="BC828" s="105"/>
      <c r="BD828" s="108"/>
      <c r="BE828" s="83">
        <f>IF($A828="","",IF(TRIM($D828&amp;"")="",IF(TRIM($AX828&amp;$AY828&amp;$AZ828&amp;$BA828&amp;$BB828&amp;$BC828&amp;$BD828&amp;"")="","","SUBARRENDADO"),IFERROR(IF(VLOOKUP($D828,VEHICULOS!$A$3:$H$202,7,FALSE)="","",VLOOKUP($D828,VEHICULOS!$A$3:$H$202,7,FALSE)),"")))</f>
      </c>
      <c r="BF828" s="82">
        <f>IF($A828="","",IF(TRIM($BC828&amp;"")&lt;&gt;"",$BC828,IF(TRIM($D828&amp;"")="","",IFERROR(IF(VLOOKUP($D828,VEHICULOS!$A$3:$H$202,8,FALSE)="","",VLOOKUP($D828,VEHICULOS!$A$3:$H$202,8,FALSE)),""))))</f>
      </c>
      <c r="BG828" s="106"/>
      <c r="BH828" s="107"/>
      <c r="BI828" s="86">
        <f t="shared" si="180"/>
      </c>
      <c r="BJ828" s="83">
        <f t="shared" si="181"/>
      </c>
      <c r="BK828" s="85">
        <f t="shared" si="182"/>
      </c>
      <c r="BL828" s="85">
        <f t="shared" si="183"/>
      </c>
      <c r="BM828" s="108"/>
      <c r="BN828" s="85">
        <f t="shared" si="184"/>
      </c>
      <c r="BO828" s="108"/>
      <c r="BP828" s="85">
        <f t="shared" si="185"/>
      </c>
      <c r="BQ828" s="85">
        <f t="shared" si="186"/>
      </c>
      <c r="BR828" s="108"/>
      <c r="BS828" s="104"/>
      <c r="BT828" s="87">
        <f t="shared" si="187"/>
      </c>
      <c r="BU828" s="85">
        <f t="shared" si="188"/>
      </c>
      <c r="BV828" s="85">
        <f t="shared" si="189"/>
      </c>
      <c r="BW828" s="87">
        <f t="shared" si="190"/>
      </c>
      <c r="BX828" s="104"/>
      <c r="BY828" s="106"/>
      <c r="BZ828" s="104"/>
      <c r="CA828" s="105"/>
      <c r="CB828" s="77">
        <f>IF($A828="",0,IF($B828='FICHA CLIENTE'!$C$4,1,0))</f>
      </c>
      <c r="CC828" s="77">
        <f t="shared" si="191"/>
      </c>
      <c r="CD828" s="77">
        <f>IF($A828="",0,IF($D828='FICHA VEHICULO'!$C$4,1,0))</f>
      </c>
      <c r="CE828" s="77">
        <f t="shared" si="192"/>
      </c>
      <c r="CF828" s="77">
        <f t="shared" si="193"/>
      </c>
      <c r="CG828" s="77">
        <f t="shared" si="194"/>
      </c>
    </row>
    <row r="829" spans="1:85" ht="19.5" customHeight="1" x14ac:dyDescent="0.2">
      <c r="A829" s="104"/>
      <c r="B829" s="104"/>
      <c r="C829" s="105"/>
      <c r="D829" s="104"/>
      <c r="E829" s="105"/>
      <c r="F829" s="106"/>
      <c r="G829" s="104"/>
      <c r="H829" s="106"/>
      <c r="I829" s="107"/>
      <c r="J829" s="108"/>
      <c r="K829" s="108"/>
      <c r="L829" s="108"/>
      <c r="M829" s="105"/>
      <c r="N829" s="105"/>
      <c r="O829" s="105"/>
      <c r="P829" s="108"/>
      <c r="Q829" s="105"/>
      <c r="R829" s="105"/>
      <c r="S829" s="105"/>
      <c r="T829" s="105"/>
      <c r="U829" s="108"/>
      <c r="V829" s="105"/>
      <c r="W829" s="105"/>
      <c r="X829" s="105"/>
      <c r="Y829" s="105"/>
      <c r="Z829" s="105"/>
      <c r="AA829" s="108"/>
      <c r="AB829" s="108"/>
      <c r="AC829" s="105"/>
      <c r="AD829" s="279"/>
      <c r="AE829" s="105"/>
      <c r="AF829" s="279"/>
      <c r="AG829" s="105"/>
      <c r="AH829" s="108"/>
      <c r="AI829" s="108"/>
      <c r="AJ829" s="108"/>
      <c r="AK829" s="108"/>
      <c r="AL829" s="105"/>
      <c r="AM829" s="108"/>
      <c r="AN829" s="105"/>
      <c r="AO829" s="108"/>
      <c r="AP829" s="108"/>
      <c r="AQ829" s="105"/>
      <c r="AR829" s="108"/>
      <c r="AS829" s="108"/>
      <c r="AT829" s="105"/>
      <c r="AU829" s="105"/>
      <c r="AV829" s="105"/>
      <c r="AW829" s="105"/>
      <c r="AX829" s="105"/>
      <c r="AY829" s="105"/>
      <c r="AZ829" s="105"/>
      <c r="BA829" s="105"/>
      <c r="BB829" s="105"/>
      <c r="BC829" s="105"/>
      <c r="BD829" s="108"/>
      <c r="BE829" s="83">
        <f>IF($A829="","",IF(TRIM($D829&amp;"")="",IF(TRIM($AX829&amp;$AY829&amp;$AZ829&amp;$BA829&amp;$BB829&amp;$BC829&amp;$BD829&amp;"")="","","SUBARRENDADO"),IFERROR(IF(VLOOKUP($D829,VEHICULOS!$A$3:$H$202,7,FALSE)="","",VLOOKUP($D829,VEHICULOS!$A$3:$H$202,7,FALSE)),"")))</f>
      </c>
      <c r="BF829" s="82">
        <f>IF($A829="","",IF(TRIM($BC829&amp;"")&lt;&gt;"",$BC829,IF(TRIM($D829&amp;"")="","",IFERROR(IF(VLOOKUP($D829,VEHICULOS!$A$3:$H$202,8,FALSE)="","",VLOOKUP($D829,VEHICULOS!$A$3:$H$202,8,FALSE)),""))))</f>
      </c>
      <c r="BG829" s="106"/>
      <c r="BH829" s="107"/>
      <c r="BI829" s="86">
        <f t="shared" si="180"/>
      </c>
      <c r="BJ829" s="83">
        <f t="shared" si="181"/>
      </c>
      <c r="BK829" s="85">
        <f t="shared" si="182"/>
      </c>
      <c r="BL829" s="85">
        <f t="shared" si="183"/>
      </c>
      <c r="BM829" s="108"/>
      <c r="BN829" s="85">
        <f t="shared" si="184"/>
      </c>
      <c r="BO829" s="108"/>
      <c r="BP829" s="85">
        <f t="shared" si="185"/>
      </c>
      <c r="BQ829" s="85">
        <f t="shared" si="186"/>
      </c>
      <c r="BR829" s="108"/>
      <c r="BS829" s="104"/>
      <c r="BT829" s="87">
        <f t="shared" si="187"/>
      </c>
      <c r="BU829" s="85">
        <f t="shared" si="188"/>
      </c>
      <c r="BV829" s="85">
        <f t="shared" si="189"/>
      </c>
      <c r="BW829" s="87">
        <f t="shared" si="190"/>
      </c>
      <c r="BX829" s="104"/>
      <c r="BY829" s="106"/>
      <c r="BZ829" s="104"/>
      <c r="CA829" s="105"/>
      <c r="CB829" s="77">
        <f>IF($A829="",0,IF($B829='FICHA CLIENTE'!$C$4,1,0))</f>
      </c>
      <c r="CC829" s="77">
        <f t="shared" si="191"/>
      </c>
      <c r="CD829" s="77">
        <f>IF($A829="",0,IF($D829='FICHA VEHICULO'!$C$4,1,0))</f>
      </c>
      <c r="CE829" s="77">
        <f t="shared" si="192"/>
      </c>
      <c r="CF829" s="77">
        <f t="shared" si="193"/>
      </c>
      <c r="CG829" s="77">
        <f t="shared" si="194"/>
      </c>
    </row>
    <row r="830" spans="1:85" ht="19.5" customHeight="1" x14ac:dyDescent="0.2">
      <c r="A830" s="104"/>
      <c r="B830" s="104"/>
      <c r="C830" s="105"/>
      <c r="D830" s="104"/>
      <c r="E830" s="105"/>
      <c r="F830" s="106"/>
      <c r="G830" s="104"/>
      <c r="H830" s="106"/>
      <c r="I830" s="107"/>
      <c r="J830" s="108"/>
      <c r="K830" s="108"/>
      <c r="L830" s="108"/>
      <c r="M830" s="105"/>
      <c r="N830" s="105"/>
      <c r="O830" s="105"/>
      <c r="P830" s="108"/>
      <c r="Q830" s="105"/>
      <c r="R830" s="105"/>
      <c r="S830" s="105"/>
      <c r="T830" s="105"/>
      <c r="U830" s="108"/>
      <c r="V830" s="105"/>
      <c r="W830" s="105"/>
      <c r="X830" s="105"/>
      <c r="Y830" s="105"/>
      <c r="Z830" s="105"/>
      <c r="AA830" s="108"/>
      <c r="AB830" s="108"/>
      <c r="AC830" s="105"/>
      <c r="AD830" s="279"/>
      <c r="AE830" s="105"/>
      <c r="AF830" s="279"/>
      <c r="AG830" s="105"/>
      <c r="AH830" s="108"/>
      <c r="AI830" s="108"/>
      <c r="AJ830" s="108"/>
      <c r="AK830" s="108"/>
      <c r="AL830" s="105"/>
      <c r="AM830" s="108"/>
      <c r="AN830" s="105"/>
      <c r="AO830" s="108"/>
      <c r="AP830" s="108"/>
      <c r="AQ830" s="105"/>
      <c r="AR830" s="108"/>
      <c r="AS830" s="108"/>
      <c r="AT830" s="105"/>
      <c r="AU830" s="105"/>
      <c r="AV830" s="105"/>
      <c r="AW830" s="105"/>
      <c r="AX830" s="105"/>
      <c r="AY830" s="105"/>
      <c r="AZ830" s="105"/>
      <c r="BA830" s="105"/>
      <c r="BB830" s="105"/>
      <c r="BC830" s="105"/>
      <c r="BD830" s="108"/>
      <c r="BE830" s="83">
        <f>IF($A830="","",IF(TRIM($D830&amp;"")="",IF(TRIM($AX830&amp;$AY830&amp;$AZ830&amp;$BA830&amp;$BB830&amp;$BC830&amp;$BD830&amp;"")="","","SUBARRENDADO"),IFERROR(IF(VLOOKUP($D830,VEHICULOS!$A$3:$H$202,7,FALSE)="","",VLOOKUP($D830,VEHICULOS!$A$3:$H$202,7,FALSE)),"")))</f>
      </c>
      <c r="BF830" s="82">
        <f>IF($A830="","",IF(TRIM($BC830&amp;"")&lt;&gt;"",$BC830,IF(TRIM($D830&amp;"")="","",IFERROR(IF(VLOOKUP($D830,VEHICULOS!$A$3:$H$202,8,FALSE)="","",VLOOKUP($D830,VEHICULOS!$A$3:$H$202,8,FALSE)),""))))</f>
      </c>
      <c r="BG830" s="106"/>
      <c r="BH830" s="107"/>
      <c r="BI830" s="86">
        <f t="shared" si="180"/>
      </c>
      <c r="BJ830" s="83">
        <f t="shared" si="181"/>
      </c>
      <c r="BK830" s="85">
        <f t="shared" si="182"/>
      </c>
      <c r="BL830" s="85">
        <f t="shared" si="183"/>
      </c>
      <c r="BM830" s="108"/>
      <c r="BN830" s="85">
        <f t="shared" si="184"/>
      </c>
      <c r="BO830" s="108"/>
      <c r="BP830" s="85">
        <f t="shared" si="185"/>
      </c>
      <c r="BQ830" s="85">
        <f t="shared" si="186"/>
      </c>
      <c r="BR830" s="108"/>
      <c r="BS830" s="104"/>
      <c r="BT830" s="87">
        <f t="shared" si="187"/>
      </c>
      <c r="BU830" s="85">
        <f t="shared" si="188"/>
      </c>
      <c r="BV830" s="85">
        <f t="shared" si="189"/>
      </c>
      <c r="BW830" s="87">
        <f t="shared" si="190"/>
      </c>
      <c r="BX830" s="104"/>
      <c r="BY830" s="106"/>
      <c r="BZ830" s="104"/>
      <c r="CA830" s="105"/>
      <c r="CB830" s="77">
        <f>IF($A830="",0,IF($B830='FICHA CLIENTE'!$C$4,1,0))</f>
      </c>
      <c r="CC830" s="77">
        <f t="shared" si="191"/>
      </c>
      <c r="CD830" s="77">
        <f>IF($A830="",0,IF($D830='FICHA VEHICULO'!$C$4,1,0))</f>
      </c>
      <c r="CE830" s="77">
        <f t="shared" si="192"/>
      </c>
      <c r="CF830" s="77">
        <f t="shared" si="193"/>
      </c>
      <c r="CG830" s="77">
        <f t="shared" si="194"/>
      </c>
    </row>
    <row r="831" spans="1:85" ht="19.5" customHeight="1" x14ac:dyDescent="0.2">
      <c r="A831" s="104"/>
      <c r="B831" s="104"/>
      <c r="C831" s="105"/>
      <c r="D831" s="104"/>
      <c r="E831" s="105"/>
      <c r="F831" s="106"/>
      <c r="G831" s="104"/>
      <c r="H831" s="106"/>
      <c r="I831" s="107"/>
      <c r="J831" s="108"/>
      <c r="K831" s="108"/>
      <c r="L831" s="108"/>
      <c r="M831" s="105"/>
      <c r="N831" s="105"/>
      <c r="O831" s="105"/>
      <c r="P831" s="108"/>
      <c r="Q831" s="105"/>
      <c r="R831" s="105"/>
      <c r="S831" s="105"/>
      <c r="T831" s="105"/>
      <c r="U831" s="108"/>
      <c r="V831" s="105"/>
      <c r="W831" s="105"/>
      <c r="X831" s="105"/>
      <c r="Y831" s="105"/>
      <c r="Z831" s="105"/>
      <c r="AA831" s="108"/>
      <c r="AB831" s="108"/>
      <c r="AC831" s="105"/>
      <c r="AD831" s="279"/>
      <c r="AE831" s="105"/>
      <c r="AF831" s="279"/>
      <c r="AG831" s="105"/>
      <c r="AH831" s="108"/>
      <c r="AI831" s="108"/>
      <c r="AJ831" s="108"/>
      <c r="AK831" s="108"/>
      <c r="AL831" s="105"/>
      <c r="AM831" s="108"/>
      <c r="AN831" s="105"/>
      <c r="AO831" s="108"/>
      <c r="AP831" s="108"/>
      <c r="AQ831" s="105"/>
      <c r="AR831" s="108"/>
      <c r="AS831" s="108"/>
      <c r="AT831" s="105"/>
      <c r="AU831" s="105"/>
      <c r="AV831" s="105"/>
      <c r="AW831" s="105"/>
      <c r="AX831" s="105"/>
      <c r="AY831" s="105"/>
      <c r="AZ831" s="105"/>
      <c r="BA831" s="105"/>
      <c r="BB831" s="105"/>
      <c r="BC831" s="105"/>
      <c r="BD831" s="108"/>
      <c r="BE831" s="83">
        <f>IF($A831="","",IF(TRIM($D831&amp;"")="",IF(TRIM($AX831&amp;$AY831&amp;$AZ831&amp;$BA831&amp;$BB831&amp;$BC831&amp;$BD831&amp;"")="","","SUBARRENDADO"),IFERROR(IF(VLOOKUP($D831,VEHICULOS!$A$3:$H$202,7,FALSE)="","",VLOOKUP($D831,VEHICULOS!$A$3:$H$202,7,FALSE)),"")))</f>
      </c>
      <c r="BF831" s="82">
        <f>IF($A831="","",IF(TRIM($BC831&amp;"")&lt;&gt;"",$BC831,IF(TRIM($D831&amp;"")="","",IFERROR(IF(VLOOKUP($D831,VEHICULOS!$A$3:$H$202,8,FALSE)="","",VLOOKUP($D831,VEHICULOS!$A$3:$H$202,8,FALSE)),""))))</f>
      </c>
      <c r="BG831" s="106"/>
      <c r="BH831" s="107"/>
      <c r="BI831" s="86">
        <f t="shared" si="180"/>
      </c>
      <c r="BJ831" s="83">
        <f t="shared" si="181"/>
      </c>
      <c r="BK831" s="85">
        <f t="shared" si="182"/>
      </c>
      <c r="BL831" s="85">
        <f t="shared" si="183"/>
      </c>
      <c r="BM831" s="108"/>
      <c r="BN831" s="85">
        <f t="shared" si="184"/>
      </c>
      <c r="BO831" s="108"/>
      <c r="BP831" s="85">
        <f t="shared" si="185"/>
      </c>
      <c r="BQ831" s="85">
        <f t="shared" si="186"/>
      </c>
      <c r="BR831" s="108"/>
      <c r="BS831" s="104"/>
      <c r="BT831" s="87">
        <f t="shared" si="187"/>
      </c>
      <c r="BU831" s="85">
        <f t="shared" si="188"/>
      </c>
      <c r="BV831" s="85">
        <f t="shared" si="189"/>
      </c>
      <c r="BW831" s="87">
        <f t="shared" si="190"/>
      </c>
      <c r="BX831" s="104"/>
      <c r="BY831" s="106"/>
      <c r="BZ831" s="104"/>
      <c r="CA831" s="105"/>
      <c r="CB831" s="77">
        <f>IF($A831="",0,IF($B831='FICHA CLIENTE'!$C$4,1,0))</f>
      </c>
      <c r="CC831" s="77">
        <f t="shared" si="191"/>
      </c>
      <c r="CD831" s="77">
        <f>IF($A831="",0,IF($D831='FICHA VEHICULO'!$C$4,1,0))</f>
      </c>
      <c r="CE831" s="77">
        <f t="shared" si="192"/>
      </c>
      <c r="CF831" s="77">
        <f t="shared" si="193"/>
      </c>
      <c r="CG831" s="77">
        <f t="shared" si="194"/>
      </c>
    </row>
    <row r="832" spans="1:85" ht="19.5" customHeight="1" x14ac:dyDescent="0.2">
      <c r="A832" s="104"/>
      <c r="B832" s="104"/>
      <c r="C832" s="105"/>
      <c r="D832" s="104"/>
      <c r="E832" s="105"/>
      <c r="F832" s="106"/>
      <c r="G832" s="104"/>
      <c r="H832" s="106"/>
      <c r="I832" s="107"/>
      <c r="J832" s="108"/>
      <c r="K832" s="108"/>
      <c r="L832" s="108"/>
      <c r="M832" s="105"/>
      <c r="N832" s="105"/>
      <c r="O832" s="105"/>
      <c r="P832" s="108"/>
      <c r="Q832" s="105"/>
      <c r="R832" s="105"/>
      <c r="S832" s="105"/>
      <c r="T832" s="105"/>
      <c r="U832" s="108"/>
      <c r="V832" s="105"/>
      <c r="W832" s="105"/>
      <c r="X832" s="105"/>
      <c r="Y832" s="105"/>
      <c r="Z832" s="105"/>
      <c r="AA832" s="108"/>
      <c r="AB832" s="108"/>
      <c r="AC832" s="105"/>
      <c r="AD832" s="279"/>
      <c r="AE832" s="105"/>
      <c r="AF832" s="279"/>
      <c r="AG832" s="105"/>
      <c r="AH832" s="108"/>
      <c r="AI832" s="108"/>
      <c r="AJ832" s="108"/>
      <c r="AK832" s="108"/>
      <c r="AL832" s="105"/>
      <c r="AM832" s="108"/>
      <c r="AN832" s="105"/>
      <c r="AO832" s="108"/>
      <c r="AP832" s="108"/>
      <c r="AQ832" s="105"/>
      <c r="AR832" s="108"/>
      <c r="AS832" s="108"/>
      <c r="AT832" s="105"/>
      <c r="AU832" s="105"/>
      <c r="AV832" s="105"/>
      <c r="AW832" s="105"/>
      <c r="AX832" s="105"/>
      <c r="AY832" s="105"/>
      <c r="AZ832" s="105"/>
      <c r="BA832" s="105"/>
      <c r="BB832" s="105"/>
      <c r="BC832" s="105"/>
      <c r="BD832" s="108"/>
      <c r="BE832" s="83">
        <f>IF($A832="","",IF(TRIM($D832&amp;"")="",IF(TRIM($AX832&amp;$AY832&amp;$AZ832&amp;$BA832&amp;$BB832&amp;$BC832&amp;$BD832&amp;"")="","","SUBARRENDADO"),IFERROR(IF(VLOOKUP($D832,VEHICULOS!$A$3:$H$202,7,FALSE)="","",VLOOKUP($D832,VEHICULOS!$A$3:$H$202,7,FALSE)),"")))</f>
      </c>
      <c r="BF832" s="82">
        <f>IF($A832="","",IF(TRIM($BC832&amp;"")&lt;&gt;"",$BC832,IF(TRIM($D832&amp;"")="","",IFERROR(IF(VLOOKUP($D832,VEHICULOS!$A$3:$H$202,8,FALSE)="","",VLOOKUP($D832,VEHICULOS!$A$3:$H$202,8,FALSE)),""))))</f>
      </c>
      <c r="BG832" s="106"/>
      <c r="BH832" s="107"/>
      <c r="BI832" s="86">
        <f t="shared" si="180"/>
      </c>
      <c r="BJ832" s="83">
        <f t="shared" si="181"/>
      </c>
      <c r="BK832" s="85">
        <f t="shared" si="182"/>
      </c>
      <c r="BL832" s="85">
        <f t="shared" si="183"/>
      </c>
      <c r="BM832" s="108"/>
      <c r="BN832" s="85">
        <f t="shared" si="184"/>
      </c>
      <c r="BO832" s="108"/>
      <c r="BP832" s="85">
        <f t="shared" si="185"/>
      </c>
      <c r="BQ832" s="85">
        <f t="shared" si="186"/>
      </c>
      <c r="BR832" s="108"/>
      <c r="BS832" s="104"/>
      <c r="BT832" s="87">
        <f t="shared" si="187"/>
      </c>
      <c r="BU832" s="85">
        <f t="shared" si="188"/>
      </c>
      <c r="BV832" s="85">
        <f t="shared" si="189"/>
      </c>
      <c r="BW832" s="87">
        <f t="shared" si="190"/>
      </c>
      <c r="BX832" s="104"/>
      <c r="BY832" s="106"/>
      <c r="BZ832" s="104"/>
      <c r="CA832" s="105"/>
      <c r="CB832" s="77">
        <f>IF($A832="",0,IF($B832='FICHA CLIENTE'!$C$4,1,0))</f>
      </c>
      <c r="CC832" s="77">
        <f t="shared" si="191"/>
      </c>
      <c r="CD832" s="77">
        <f>IF($A832="",0,IF($D832='FICHA VEHICULO'!$C$4,1,0))</f>
      </c>
      <c r="CE832" s="77">
        <f t="shared" si="192"/>
      </c>
      <c r="CF832" s="77">
        <f t="shared" si="193"/>
      </c>
      <c r="CG832" s="77">
        <f t="shared" si="194"/>
      </c>
    </row>
    <row r="833" spans="1:85" ht="19.5" customHeight="1" x14ac:dyDescent="0.2">
      <c r="A833" s="104"/>
      <c r="B833" s="104"/>
      <c r="C833" s="105"/>
      <c r="D833" s="104"/>
      <c r="E833" s="105"/>
      <c r="F833" s="106"/>
      <c r="G833" s="104"/>
      <c r="H833" s="106"/>
      <c r="I833" s="107"/>
      <c r="J833" s="108"/>
      <c r="K833" s="108"/>
      <c r="L833" s="108"/>
      <c r="M833" s="105"/>
      <c r="N833" s="105"/>
      <c r="O833" s="105"/>
      <c r="P833" s="108"/>
      <c r="Q833" s="105"/>
      <c r="R833" s="105"/>
      <c r="S833" s="105"/>
      <c r="T833" s="105"/>
      <c r="U833" s="108"/>
      <c r="V833" s="105"/>
      <c r="W833" s="105"/>
      <c r="X833" s="105"/>
      <c r="Y833" s="105"/>
      <c r="Z833" s="105"/>
      <c r="AA833" s="108"/>
      <c r="AB833" s="108"/>
      <c r="AC833" s="105"/>
      <c r="AD833" s="279"/>
      <c r="AE833" s="105"/>
      <c r="AF833" s="279"/>
      <c r="AG833" s="105"/>
      <c r="AH833" s="108"/>
      <c r="AI833" s="108"/>
      <c r="AJ833" s="108"/>
      <c r="AK833" s="108"/>
      <c r="AL833" s="105"/>
      <c r="AM833" s="108"/>
      <c r="AN833" s="105"/>
      <c r="AO833" s="108"/>
      <c r="AP833" s="108"/>
      <c r="AQ833" s="105"/>
      <c r="AR833" s="108"/>
      <c r="AS833" s="108"/>
      <c r="AT833" s="105"/>
      <c r="AU833" s="105"/>
      <c r="AV833" s="105"/>
      <c r="AW833" s="105"/>
      <c r="AX833" s="105"/>
      <c r="AY833" s="105"/>
      <c r="AZ833" s="105"/>
      <c r="BA833" s="105"/>
      <c r="BB833" s="105"/>
      <c r="BC833" s="105"/>
      <c r="BD833" s="108"/>
      <c r="BE833" s="83">
        <f>IF($A833="","",IF(TRIM($D833&amp;"")="",IF(TRIM($AX833&amp;$AY833&amp;$AZ833&amp;$BA833&amp;$BB833&amp;$BC833&amp;$BD833&amp;"")="","","SUBARRENDADO"),IFERROR(IF(VLOOKUP($D833,VEHICULOS!$A$3:$H$202,7,FALSE)="","",VLOOKUP($D833,VEHICULOS!$A$3:$H$202,7,FALSE)),"")))</f>
      </c>
      <c r="BF833" s="82">
        <f>IF($A833="","",IF(TRIM($BC833&amp;"")&lt;&gt;"",$BC833,IF(TRIM($D833&amp;"")="","",IFERROR(IF(VLOOKUP($D833,VEHICULOS!$A$3:$H$202,8,FALSE)="","",VLOOKUP($D833,VEHICULOS!$A$3:$H$202,8,FALSE)),""))))</f>
      </c>
      <c r="BG833" s="106"/>
      <c r="BH833" s="107"/>
      <c r="BI833" s="86">
        <f t="shared" si="180"/>
      </c>
      <c r="BJ833" s="83">
        <f t="shared" si="181"/>
      </c>
      <c r="BK833" s="85">
        <f t="shared" si="182"/>
      </c>
      <c r="BL833" s="85">
        <f t="shared" si="183"/>
      </c>
      <c r="BM833" s="108"/>
      <c r="BN833" s="85">
        <f t="shared" si="184"/>
      </c>
      <c r="BO833" s="108"/>
      <c r="BP833" s="85">
        <f t="shared" si="185"/>
      </c>
      <c r="BQ833" s="85">
        <f t="shared" si="186"/>
      </c>
      <c r="BR833" s="108"/>
      <c r="BS833" s="104"/>
      <c r="BT833" s="87">
        <f t="shared" si="187"/>
      </c>
      <c r="BU833" s="85">
        <f t="shared" si="188"/>
      </c>
      <c r="BV833" s="85">
        <f t="shared" si="189"/>
      </c>
      <c r="BW833" s="87">
        <f t="shared" si="190"/>
      </c>
      <c r="BX833" s="104"/>
      <c r="BY833" s="106"/>
      <c r="BZ833" s="104"/>
      <c r="CA833" s="105"/>
      <c r="CB833" s="77">
        <f>IF($A833="",0,IF($B833='FICHA CLIENTE'!$C$4,1,0))</f>
      </c>
      <c r="CC833" s="77">
        <f t="shared" si="191"/>
      </c>
      <c r="CD833" s="77">
        <f>IF($A833="",0,IF($D833='FICHA VEHICULO'!$C$4,1,0))</f>
      </c>
      <c r="CE833" s="77">
        <f t="shared" si="192"/>
      </c>
      <c r="CF833" s="77">
        <f t="shared" si="193"/>
      </c>
      <c r="CG833" s="77">
        <f t="shared" si="194"/>
      </c>
    </row>
    <row r="834" spans="1:85" ht="19.5" customHeight="1" x14ac:dyDescent="0.2">
      <c r="A834" s="104"/>
      <c r="B834" s="104"/>
      <c r="C834" s="105"/>
      <c r="D834" s="104"/>
      <c r="E834" s="105"/>
      <c r="F834" s="106"/>
      <c r="G834" s="104"/>
      <c r="H834" s="106"/>
      <c r="I834" s="107"/>
      <c r="J834" s="108"/>
      <c r="K834" s="108"/>
      <c r="L834" s="108"/>
      <c r="M834" s="105"/>
      <c r="N834" s="105"/>
      <c r="O834" s="105"/>
      <c r="P834" s="108"/>
      <c r="Q834" s="105"/>
      <c r="R834" s="105"/>
      <c r="S834" s="105"/>
      <c r="T834" s="105"/>
      <c r="U834" s="108"/>
      <c r="V834" s="105"/>
      <c r="W834" s="105"/>
      <c r="X834" s="105"/>
      <c r="Y834" s="105"/>
      <c r="Z834" s="105"/>
      <c r="AA834" s="108"/>
      <c r="AB834" s="108"/>
      <c r="AC834" s="105"/>
      <c r="AD834" s="279"/>
      <c r="AE834" s="105"/>
      <c r="AF834" s="279"/>
      <c r="AG834" s="105"/>
      <c r="AH834" s="108"/>
      <c r="AI834" s="108"/>
      <c r="AJ834" s="108"/>
      <c r="AK834" s="108"/>
      <c r="AL834" s="105"/>
      <c r="AM834" s="108"/>
      <c r="AN834" s="105"/>
      <c r="AO834" s="108"/>
      <c r="AP834" s="108"/>
      <c r="AQ834" s="105"/>
      <c r="AR834" s="108"/>
      <c r="AS834" s="108"/>
      <c r="AT834" s="105"/>
      <c r="AU834" s="105"/>
      <c r="AV834" s="105"/>
      <c r="AW834" s="105"/>
      <c r="AX834" s="105"/>
      <c r="AY834" s="105"/>
      <c r="AZ834" s="105"/>
      <c r="BA834" s="105"/>
      <c r="BB834" s="105"/>
      <c r="BC834" s="105"/>
      <c r="BD834" s="108"/>
      <c r="BE834" s="83">
        <f>IF($A834="","",IF(TRIM($D834&amp;"")="",IF(TRIM($AX834&amp;$AY834&amp;$AZ834&amp;$BA834&amp;$BB834&amp;$BC834&amp;$BD834&amp;"")="","","SUBARRENDADO"),IFERROR(IF(VLOOKUP($D834,VEHICULOS!$A$3:$H$202,7,FALSE)="","",VLOOKUP($D834,VEHICULOS!$A$3:$H$202,7,FALSE)),"")))</f>
      </c>
      <c r="BF834" s="82">
        <f>IF($A834="","",IF(TRIM($BC834&amp;"")&lt;&gt;"",$BC834,IF(TRIM($D834&amp;"")="","",IFERROR(IF(VLOOKUP($D834,VEHICULOS!$A$3:$H$202,8,FALSE)="","",VLOOKUP($D834,VEHICULOS!$A$3:$H$202,8,FALSE)),""))))</f>
      </c>
      <c r="BG834" s="106"/>
      <c r="BH834" s="107"/>
      <c r="BI834" s="86">
        <f t="shared" si="180"/>
      </c>
      <c r="BJ834" s="83">
        <f t="shared" si="181"/>
      </c>
      <c r="BK834" s="85">
        <f t="shared" si="182"/>
      </c>
      <c r="BL834" s="85">
        <f t="shared" si="183"/>
      </c>
      <c r="BM834" s="108"/>
      <c r="BN834" s="85">
        <f t="shared" si="184"/>
      </c>
      <c r="BO834" s="108"/>
      <c r="BP834" s="85">
        <f t="shared" si="185"/>
      </c>
      <c r="BQ834" s="85">
        <f t="shared" si="186"/>
      </c>
      <c r="BR834" s="108"/>
      <c r="BS834" s="104"/>
      <c r="BT834" s="87">
        <f t="shared" si="187"/>
      </c>
      <c r="BU834" s="85">
        <f t="shared" si="188"/>
      </c>
      <c r="BV834" s="85">
        <f t="shared" si="189"/>
      </c>
      <c r="BW834" s="87">
        <f t="shared" si="190"/>
      </c>
      <c r="BX834" s="104"/>
      <c r="BY834" s="106"/>
      <c r="BZ834" s="104"/>
      <c r="CA834" s="105"/>
      <c r="CB834" s="77">
        <f>IF($A834="",0,IF($B834='FICHA CLIENTE'!$C$4,1,0))</f>
      </c>
      <c r="CC834" s="77">
        <f t="shared" si="191"/>
      </c>
      <c r="CD834" s="77">
        <f>IF($A834="",0,IF($D834='FICHA VEHICULO'!$C$4,1,0))</f>
      </c>
      <c r="CE834" s="77">
        <f t="shared" si="192"/>
      </c>
      <c r="CF834" s="77">
        <f t="shared" si="193"/>
      </c>
      <c r="CG834" s="77">
        <f t="shared" si="194"/>
      </c>
    </row>
    <row r="835" spans="1:85" ht="19.5" customHeight="1" x14ac:dyDescent="0.2">
      <c r="A835" s="104"/>
      <c r="B835" s="104"/>
      <c r="C835" s="105"/>
      <c r="D835" s="104"/>
      <c r="E835" s="105"/>
      <c r="F835" s="106"/>
      <c r="G835" s="104"/>
      <c r="H835" s="106"/>
      <c r="I835" s="107"/>
      <c r="J835" s="108"/>
      <c r="K835" s="108"/>
      <c r="L835" s="108"/>
      <c r="M835" s="105"/>
      <c r="N835" s="105"/>
      <c r="O835" s="105"/>
      <c r="P835" s="108"/>
      <c r="Q835" s="105"/>
      <c r="R835" s="105"/>
      <c r="S835" s="105"/>
      <c r="T835" s="105"/>
      <c r="U835" s="108"/>
      <c r="V835" s="105"/>
      <c r="W835" s="105"/>
      <c r="X835" s="105"/>
      <c r="Y835" s="105"/>
      <c r="Z835" s="105"/>
      <c r="AA835" s="108"/>
      <c r="AB835" s="108"/>
      <c r="AC835" s="105"/>
      <c r="AD835" s="279"/>
      <c r="AE835" s="105"/>
      <c r="AF835" s="279"/>
      <c r="AG835" s="105"/>
      <c r="AH835" s="108"/>
      <c r="AI835" s="108"/>
      <c r="AJ835" s="108"/>
      <c r="AK835" s="108"/>
      <c r="AL835" s="105"/>
      <c r="AM835" s="108"/>
      <c r="AN835" s="105"/>
      <c r="AO835" s="108"/>
      <c r="AP835" s="108"/>
      <c r="AQ835" s="105"/>
      <c r="AR835" s="108"/>
      <c r="AS835" s="108"/>
      <c r="AT835" s="105"/>
      <c r="AU835" s="105"/>
      <c r="AV835" s="105"/>
      <c r="AW835" s="105"/>
      <c r="AX835" s="105"/>
      <c r="AY835" s="105"/>
      <c r="AZ835" s="105"/>
      <c r="BA835" s="105"/>
      <c r="BB835" s="105"/>
      <c r="BC835" s="105"/>
      <c r="BD835" s="108"/>
      <c r="BE835" s="83">
        <f>IF($A835="","",IF(TRIM($D835&amp;"")="",IF(TRIM($AX835&amp;$AY835&amp;$AZ835&amp;$BA835&amp;$BB835&amp;$BC835&amp;$BD835&amp;"")="","","SUBARRENDADO"),IFERROR(IF(VLOOKUP($D835,VEHICULOS!$A$3:$H$202,7,FALSE)="","",VLOOKUP($D835,VEHICULOS!$A$3:$H$202,7,FALSE)),"")))</f>
      </c>
      <c r="BF835" s="82">
        <f>IF($A835="","",IF(TRIM($BC835&amp;"")&lt;&gt;"",$BC835,IF(TRIM($D835&amp;"")="","",IFERROR(IF(VLOOKUP($D835,VEHICULOS!$A$3:$H$202,8,FALSE)="","",VLOOKUP($D835,VEHICULOS!$A$3:$H$202,8,FALSE)),""))))</f>
      </c>
      <c r="BG835" s="106"/>
      <c r="BH835" s="107"/>
      <c r="BI835" s="86">
        <f t="shared" si="180"/>
      </c>
      <c r="BJ835" s="83">
        <f t="shared" si="181"/>
      </c>
      <c r="BK835" s="85">
        <f t="shared" si="182"/>
      </c>
      <c r="BL835" s="85">
        <f t="shared" si="183"/>
      </c>
      <c r="BM835" s="108"/>
      <c r="BN835" s="85">
        <f t="shared" si="184"/>
      </c>
      <c r="BO835" s="108"/>
      <c r="BP835" s="85">
        <f t="shared" si="185"/>
      </c>
      <c r="BQ835" s="85">
        <f t="shared" si="186"/>
      </c>
      <c r="BR835" s="108"/>
      <c r="BS835" s="104"/>
      <c r="BT835" s="87">
        <f t="shared" si="187"/>
      </c>
      <c r="BU835" s="85">
        <f t="shared" si="188"/>
      </c>
      <c r="BV835" s="85">
        <f t="shared" si="189"/>
      </c>
      <c r="BW835" s="87">
        <f t="shared" si="190"/>
      </c>
      <c r="BX835" s="104"/>
      <c r="BY835" s="106"/>
      <c r="BZ835" s="104"/>
      <c r="CA835" s="105"/>
      <c r="CB835" s="77">
        <f>IF($A835="",0,IF($B835='FICHA CLIENTE'!$C$4,1,0))</f>
      </c>
      <c r="CC835" s="77">
        <f t="shared" si="191"/>
      </c>
      <c r="CD835" s="77">
        <f>IF($A835="",0,IF($D835='FICHA VEHICULO'!$C$4,1,0))</f>
      </c>
      <c r="CE835" s="77">
        <f t="shared" si="192"/>
      </c>
      <c r="CF835" s="77">
        <f t="shared" si="193"/>
      </c>
      <c r="CG835" s="77">
        <f t="shared" si="194"/>
      </c>
    </row>
    <row r="836" spans="1:85" ht="19.5" customHeight="1" x14ac:dyDescent="0.2">
      <c r="A836" s="104"/>
      <c r="B836" s="104"/>
      <c r="C836" s="105"/>
      <c r="D836" s="104"/>
      <c r="E836" s="105"/>
      <c r="F836" s="106"/>
      <c r="G836" s="104"/>
      <c r="H836" s="106"/>
      <c r="I836" s="107"/>
      <c r="J836" s="108"/>
      <c r="K836" s="108"/>
      <c r="L836" s="108"/>
      <c r="M836" s="105"/>
      <c r="N836" s="105"/>
      <c r="O836" s="105"/>
      <c r="P836" s="108"/>
      <c r="Q836" s="105"/>
      <c r="R836" s="105"/>
      <c r="S836" s="105"/>
      <c r="T836" s="105"/>
      <c r="U836" s="108"/>
      <c r="V836" s="105"/>
      <c r="W836" s="105"/>
      <c r="X836" s="105"/>
      <c r="Y836" s="105"/>
      <c r="Z836" s="105"/>
      <c r="AA836" s="108"/>
      <c r="AB836" s="108"/>
      <c r="AC836" s="105"/>
      <c r="AD836" s="279"/>
      <c r="AE836" s="105"/>
      <c r="AF836" s="279"/>
      <c r="AG836" s="105"/>
      <c r="AH836" s="108"/>
      <c r="AI836" s="108"/>
      <c r="AJ836" s="108"/>
      <c r="AK836" s="108"/>
      <c r="AL836" s="105"/>
      <c r="AM836" s="108"/>
      <c r="AN836" s="105"/>
      <c r="AO836" s="108"/>
      <c r="AP836" s="108"/>
      <c r="AQ836" s="105"/>
      <c r="AR836" s="108"/>
      <c r="AS836" s="108"/>
      <c r="AT836" s="105"/>
      <c r="AU836" s="105"/>
      <c r="AV836" s="105"/>
      <c r="AW836" s="105"/>
      <c r="AX836" s="105"/>
      <c r="AY836" s="105"/>
      <c r="AZ836" s="105"/>
      <c r="BA836" s="105"/>
      <c r="BB836" s="105"/>
      <c r="BC836" s="105"/>
      <c r="BD836" s="108"/>
      <c r="BE836" s="83">
        <f>IF($A836="","",IF(TRIM($D836&amp;"")="",IF(TRIM($AX836&amp;$AY836&amp;$AZ836&amp;$BA836&amp;$BB836&amp;$BC836&amp;$BD836&amp;"")="","","SUBARRENDADO"),IFERROR(IF(VLOOKUP($D836,VEHICULOS!$A$3:$H$202,7,FALSE)="","",VLOOKUP($D836,VEHICULOS!$A$3:$H$202,7,FALSE)),"")))</f>
      </c>
      <c r="BF836" s="82">
        <f>IF($A836="","",IF(TRIM($BC836&amp;"")&lt;&gt;"",$BC836,IF(TRIM($D836&amp;"")="","",IFERROR(IF(VLOOKUP($D836,VEHICULOS!$A$3:$H$202,8,FALSE)="","",VLOOKUP($D836,VEHICULOS!$A$3:$H$202,8,FALSE)),""))))</f>
      </c>
      <c r="BG836" s="106"/>
      <c r="BH836" s="107"/>
      <c r="BI836" s="86">
        <f t="shared" si="180"/>
      </c>
      <c r="BJ836" s="83">
        <f t="shared" si="181"/>
      </c>
      <c r="BK836" s="85">
        <f t="shared" si="182"/>
      </c>
      <c r="BL836" s="85">
        <f t="shared" si="183"/>
      </c>
      <c r="BM836" s="108"/>
      <c r="BN836" s="85">
        <f t="shared" si="184"/>
      </c>
      <c r="BO836" s="108"/>
      <c r="BP836" s="85">
        <f t="shared" si="185"/>
      </c>
      <c r="BQ836" s="85">
        <f t="shared" si="186"/>
      </c>
      <c r="BR836" s="108"/>
      <c r="BS836" s="104"/>
      <c r="BT836" s="87">
        <f t="shared" si="187"/>
      </c>
      <c r="BU836" s="85">
        <f t="shared" si="188"/>
      </c>
      <c r="BV836" s="85">
        <f t="shared" si="189"/>
      </c>
      <c r="BW836" s="87">
        <f t="shared" si="190"/>
      </c>
      <c r="BX836" s="104"/>
      <c r="BY836" s="106"/>
      <c r="BZ836" s="104"/>
      <c r="CA836" s="105"/>
      <c r="CB836" s="77">
        <f>IF($A836="",0,IF($B836='FICHA CLIENTE'!$C$4,1,0))</f>
      </c>
      <c r="CC836" s="77">
        <f t="shared" si="191"/>
      </c>
      <c r="CD836" s="77">
        <f>IF($A836="",0,IF($D836='FICHA VEHICULO'!$C$4,1,0))</f>
      </c>
      <c r="CE836" s="77">
        <f t="shared" si="192"/>
      </c>
      <c r="CF836" s="77">
        <f t="shared" si="193"/>
      </c>
      <c r="CG836" s="77">
        <f t="shared" si="194"/>
      </c>
    </row>
    <row r="837" spans="1:85" ht="19.5" customHeight="1" x14ac:dyDescent="0.2">
      <c r="A837" s="104"/>
      <c r="B837" s="104"/>
      <c r="C837" s="105"/>
      <c r="D837" s="104"/>
      <c r="E837" s="105"/>
      <c r="F837" s="106"/>
      <c r="G837" s="104"/>
      <c r="H837" s="106"/>
      <c r="I837" s="107"/>
      <c r="J837" s="108"/>
      <c r="K837" s="108"/>
      <c r="L837" s="108"/>
      <c r="M837" s="105"/>
      <c r="N837" s="105"/>
      <c r="O837" s="105"/>
      <c r="P837" s="108"/>
      <c r="Q837" s="105"/>
      <c r="R837" s="105"/>
      <c r="S837" s="105"/>
      <c r="T837" s="105"/>
      <c r="U837" s="108"/>
      <c r="V837" s="105"/>
      <c r="W837" s="105"/>
      <c r="X837" s="105"/>
      <c r="Y837" s="105"/>
      <c r="Z837" s="105"/>
      <c r="AA837" s="108"/>
      <c r="AB837" s="108"/>
      <c r="AC837" s="105"/>
      <c r="AD837" s="279"/>
      <c r="AE837" s="105"/>
      <c r="AF837" s="279"/>
      <c r="AG837" s="105"/>
      <c r="AH837" s="108"/>
      <c r="AI837" s="108"/>
      <c r="AJ837" s="108"/>
      <c r="AK837" s="108"/>
      <c r="AL837" s="105"/>
      <c r="AM837" s="108"/>
      <c r="AN837" s="105"/>
      <c r="AO837" s="108"/>
      <c r="AP837" s="108"/>
      <c r="AQ837" s="105"/>
      <c r="AR837" s="108"/>
      <c r="AS837" s="108"/>
      <c r="AT837" s="105"/>
      <c r="AU837" s="105"/>
      <c r="AV837" s="105"/>
      <c r="AW837" s="105"/>
      <c r="AX837" s="105"/>
      <c r="AY837" s="105"/>
      <c r="AZ837" s="105"/>
      <c r="BA837" s="105"/>
      <c r="BB837" s="105"/>
      <c r="BC837" s="105"/>
      <c r="BD837" s="108"/>
      <c r="BE837" s="83">
        <f>IF($A837="","",IF(TRIM($D837&amp;"")="",IF(TRIM($AX837&amp;$AY837&amp;$AZ837&amp;$BA837&amp;$BB837&amp;$BC837&amp;$BD837&amp;"")="","","SUBARRENDADO"),IFERROR(IF(VLOOKUP($D837,VEHICULOS!$A$3:$H$202,7,FALSE)="","",VLOOKUP($D837,VEHICULOS!$A$3:$H$202,7,FALSE)),"")))</f>
      </c>
      <c r="BF837" s="82">
        <f>IF($A837="","",IF(TRIM($BC837&amp;"")&lt;&gt;"",$BC837,IF(TRIM($D837&amp;"")="","",IFERROR(IF(VLOOKUP($D837,VEHICULOS!$A$3:$H$202,8,FALSE)="","",VLOOKUP($D837,VEHICULOS!$A$3:$H$202,8,FALSE)),""))))</f>
      </c>
      <c r="BG837" s="106"/>
      <c r="BH837" s="107"/>
      <c r="BI837" s="86">
        <f t="shared" si="180"/>
      </c>
      <c r="BJ837" s="83">
        <f t="shared" si="181"/>
      </c>
      <c r="BK837" s="85">
        <f t="shared" si="182"/>
      </c>
      <c r="BL837" s="85">
        <f t="shared" si="183"/>
      </c>
      <c r="BM837" s="108"/>
      <c r="BN837" s="85">
        <f t="shared" si="184"/>
      </c>
      <c r="BO837" s="108"/>
      <c r="BP837" s="85">
        <f t="shared" si="185"/>
      </c>
      <c r="BQ837" s="85">
        <f t="shared" si="186"/>
      </c>
      <c r="BR837" s="108"/>
      <c r="BS837" s="104"/>
      <c r="BT837" s="87">
        <f t="shared" si="187"/>
      </c>
      <c r="BU837" s="85">
        <f t="shared" si="188"/>
      </c>
      <c r="BV837" s="85">
        <f t="shared" si="189"/>
      </c>
      <c r="BW837" s="87">
        <f t="shared" si="190"/>
      </c>
      <c r="BX837" s="104"/>
      <c r="BY837" s="106"/>
      <c r="BZ837" s="104"/>
      <c r="CA837" s="105"/>
      <c r="CB837" s="77">
        <f>IF($A837="",0,IF($B837='FICHA CLIENTE'!$C$4,1,0))</f>
      </c>
      <c r="CC837" s="77">
        <f t="shared" si="191"/>
      </c>
      <c r="CD837" s="77">
        <f>IF($A837="",0,IF($D837='FICHA VEHICULO'!$C$4,1,0))</f>
      </c>
      <c r="CE837" s="77">
        <f t="shared" si="192"/>
      </c>
      <c r="CF837" s="77">
        <f t="shared" si="193"/>
      </c>
      <c r="CG837" s="77">
        <f t="shared" si="194"/>
      </c>
    </row>
    <row r="838" spans="1:85" ht="19.5" customHeight="1" x14ac:dyDescent="0.2">
      <c r="A838" s="104"/>
      <c r="B838" s="104"/>
      <c r="C838" s="105"/>
      <c r="D838" s="104"/>
      <c r="E838" s="105"/>
      <c r="F838" s="106"/>
      <c r="G838" s="104"/>
      <c r="H838" s="106"/>
      <c r="I838" s="107"/>
      <c r="J838" s="108"/>
      <c r="K838" s="108"/>
      <c r="L838" s="108"/>
      <c r="M838" s="105"/>
      <c r="N838" s="105"/>
      <c r="O838" s="105"/>
      <c r="P838" s="108"/>
      <c r="Q838" s="105"/>
      <c r="R838" s="105"/>
      <c r="S838" s="105"/>
      <c r="T838" s="105"/>
      <c r="U838" s="108"/>
      <c r="V838" s="105"/>
      <c r="W838" s="105"/>
      <c r="X838" s="105"/>
      <c r="Y838" s="105"/>
      <c r="Z838" s="105"/>
      <c r="AA838" s="108"/>
      <c r="AB838" s="108"/>
      <c r="AC838" s="105"/>
      <c r="AD838" s="279"/>
      <c r="AE838" s="105"/>
      <c r="AF838" s="279"/>
      <c r="AG838" s="105"/>
      <c r="AH838" s="108"/>
      <c r="AI838" s="108"/>
      <c r="AJ838" s="108"/>
      <c r="AK838" s="108"/>
      <c r="AL838" s="105"/>
      <c r="AM838" s="108"/>
      <c r="AN838" s="105"/>
      <c r="AO838" s="108"/>
      <c r="AP838" s="108"/>
      <c r="AQ838" s="105"/>
      <c r="AR838" s="108"/>
      <c r="AS838" s="108"/>
      <c r="AT838" s="105"/>
      <c r="AU838" s="105"/>
      <c r="AV838" s="105"/>
      <c r="AW838" s="105"/>
      <c r="AX838" s="105"/>
      <c r="AY838" s="105"/>
      <c r="AZ838" s="105"/>
      <c r="BA838" s="105"/>
      <c r="BB838" s="105"/>
      <c r="BC838" s="105"/>
      <c r="BD838" s="108"/>
      <c r="BE838" s="83">
        <f>IF($A838="","",IF(TRIM($D838&amp;"")="",IF(TRIM($AX838&amp;$AY838&amp;$AZ838&amp;$BA838&amp;$BB838&amp;$BC838&amp;$BD838&amp;"")="","","SUBARRENDADO"),IFERROR(IF(VLOOKUP($D838,VEHICULOS!$A$3:$H$202,7,FALSE)="","",VLOOKUP($D838,VEHICULOS!$A$3:$H$202,7,FALSE)),"")))</f>
      </c>
      <c r="BF838" s="82">
        <f>IF($A838="","",IF(TRIM($BC838&amp;"")&lt;&gt;"",$BC838,IF(TRIM($D838&amp;"")="","",IFERROR(IF(VLOOKUP($D838,VEHICULOS!$A$3:$H$202,8,FALSE)="","",VLOOKUP($D838,VEHICULOS!$A$3:$H$202,8,FALSE)),""))))</f>
      </c>
      <c r="BG838" s="106"/>
      <c r="BH838" s="107"/>
      <c r="BI838" s="86">
        <f t="shared" ref="BI838:BI901" si="195">IF(OR($BH838="",$I838=""),"",$BH838-$I838)</f>
      </c>
      <c r="BJ838" s="83">
        <f t="shared" ref="BJ838:BJ901" si="196">IF(OR($BG838="",$H838=""),"",MAX(0,$BG838-$H838))</f>
      </c>
      <c r="BK838" s="85">
        <f t="shared" ref="BK838:BK901" si="197">IF($A838="","",N($BJ838)*N($J838))</f>
      </c>
      <c r="BL838" s="85">
        <f t="shared" ref="BL838:BL901" si="198">IF($A838="","",(N($AM838)+N($AS838))*(N($G838)+N($BJ838))+N($AP838))</f>
      </c>
      <c r="BM838" s="108"/>
      <c r="BN838" s="85">
        <f t="shared" ref="BN838:BN901" si="199">IF($A838="","",N($AO838))</f>
      </c>
      <c r="BO838" s="108"/>
      <c r="BP838" s="85">
        <f t="shared" ref="BP838:BP901" si="200">IF($A838="","",N($AR838))</f>
      </c>
      <c r="BQ838" s="85">
        <f t="shared" ref="BQ838:BQ901" si="201">IF($A838="","",N($K838)+N($BK838)+N($BL838)+N($BM838)+N($BN838)+N($BO838)+N($BP838))</f>
      </c>
      <c r="BR838" s="108"/>
      <c r="BS838" s="104"/>
      <c r="BT838" s="87">
        <f t="shared" ref="BT838:BT901" si="202">IF($A838="","",ROUND((N($BQ838)-N($BR838))*(1+N($BS838)/100),2))</f>
      </c>
      <c r="BU838" s="85">
        <f t="shared" ref="BU838:BU901" si="203">IF($A838="","",N($BD838))</f>
      </c>
      <c r="BV838" s="85">
        <f t="shared" ref="BV838:BV901" si="204">IF($A838="","",N($BU838)*(N($G838)+N($BJ838)))</f>
      </c>
      <c r="BW838" s="87">
        <f t="shared" ref="BW838:BW901" si="205">IF($A838="","",N($BT838)-N($BV838))</f>
      </c>
      <c r="BX838" s="104"/>
      <c r="BY838" s="106"/>
      <c r="BZ838" s="104"/>
      <c r="CA838" s="105"/>
      <c r="CB838" s="77">
        <f>IF($A838="",0,IF($B838='FICHA CLIENTE'!$C$4,1,0))</f>
      </c>
      <c r="CC838" s="77">
        <f t="shared" ref="CC838:CC901" si="206">$CC837+$CB838</f>
      </c>
      <c r="CD838" s="77">
        <f>IF($A838="",0,IF($D838='FICHA VEHICULO'!$C$4,1,0))</f>
      </c>
      <c r="CE838" s="77">
        <f t="shared" ref="CE838:CE901" si="207">$CE837+$CD838</f>
      </c>
      <c r="CF838" s="77">
        <f t="shared" ref="CF838:CF901" si="208">IF($A838="",0,IF($BG838="",1,0))</f>
      </c>
      <c r="CG838" s="77">
        <f t="shared" ref="CG838:CG901" si="209">$CG837+$CF838</f>
      </c>
    </row>
    <row r="839" spans="1:85" ht="19.5" customHeight="1" x14ac:dyDescent="0.2">
      <c r="A839" s="104"/>
      <c r="B839" s="104"/>
      <c r="C839" s="105"/>
      <c r="D839" s="104"/>
      <c r="E839" s="105"/>
      <c r="F839" s="106"/>
      <c r="G839" s="104"/>
      <c r="H839" s="106"/>
      <c r="I839" s="107"/>
      <c r="J839" s="108"/>
      <c r="K839" s="108"/>
      <c r="L839" s="108"/>
      <c r="M839" s="105"/>
      <c r="N839" s="105"/>
      <c r="O839" s="105"/>
      <c r="P839" s="108"/>
      <c r="Q839" s="105"/>
      <c r="R839" s="105"/>
      <c r="S839" s="105"/>
      <c r="T839" s="105"/>
      <c r="U839" s="108"/>
      <c r="V839" s="105"/>
      <c r="W839" s="105"/>
      <c r="X839" s="105"/>
      <c r="Y839" s="105"/>
      <c r="Z839" s="105"/>
      <c r="AA839" s="108"/>
      <c r="AB839" s="108"/>
      <c r="AC839" s="105"/>
      <c r="AD839" s="279"/>
      <c r="AE839" s="105"/>
      <c r="AF839" s="279"/>
      <c r="AG839" s="105"/>
      <c r="AH839" s="108"/>
      <c r="AI839" s="108"/>
      <c r="AJ839" s="108"/>
      <c r="AK839" s="108"/>
      <c r="AL839" s="105"/>
      <c r="AM839" s="108"/>
      <c r="AN839" s="105"/>
      <c r="AO839" s="108"/>
      <c r="AP839" s="108"/>
      <c r="AQ839" s="105"/>
      <c r="AR839" s="108"/>
      <c r="AS839" s="108"/>
      <c r="AT839" s="105"/>
      <c r="AU839" s="105"/>
      <c r="AV839" s="105"/>
      <c r="AW839" s="105"/>
      <c r="AX839" s="105"/>
      <c r="AY839" s="105"/>
      <c r="AZ839" s="105"/>
      <c r="BA839" s="105"/>
      <c r="BB839" s="105"/>
      <c r="BC839" s="105"/>
      <c r="BD839" s="108"/>
      <c r="BE839" s="83">
        <f>IF($A839="","",IF(TRIM($D839&amp;"")="",IF(TRIM($AX839&amp;$AY839&amp;$AZ839&amp;$BA839&amp;$BB839&amp;$BC839&amp;$BD839&amp;"")="","","SUBARRENDADO"),IFERROR(IF(VLOOKUP($D839,VEHICULOS!$A$3:$H$202,7,FALSE)="","",VLOOKUP($D839,VEHICULOS!$A$3:$H$202,7,FALSE)),"")))</f>
      </c>
      <c r="BF839" s="82">
        <f>IF($A839="","",IF(TRIM($BC839&amp;"")&lt;&gt;"",$BC839,IF(TRIM($D839&amp;"")="","",IFERROR(IF(VLOOKUP($D839,VEHICULOS!$A$3:$H$202,8,FALSE)="","",VLOOKUP($D839,VEHICULOS!$A$3:$H$202,8,FALSE)),""))))</f>
      </c>
      <c r="BG839" s="106"/>
      <c r="BH839" s="107"/>
      <c r="BI839" s="86">
        <f t="shared" si="195"/>
      </c>
      <c r="BJ839" s="83">
        <f t="shared" si="196"/>
      </c>
      <c r="BK839" s="85">
        <f t="shared" si="197"/>
      </c>
      <c r="BL839" s="85">
        <f t="shared" si="198"/>
      </c>
      <c r="BM839" s="108"/>
      <c r="BN839" s="85">
        <f t="shared" si="199"/>
      </c>
      <c r="BO839" s="108"/>
      <c r="BP839" s="85">
        <f t="shared" si="200"/>
      </c>
      <c r="BQ839" s="85">
        <f t="shared" si="201"/>
      </c>
      <c r="BR839" s="108"/>
      <c r="BS839" s="104"/>
      <c r="BT839" s="87">
        <f t="shared" si="202"/>
      </c>
      <c r="BU839" s="85">
        <f t="shared" si="203"/>
      </c>
      <c r="BV839" s="85">
        <f t="shared" si="204"/>
      </c>
      <c r="BW839" s="87">
        <f t="shared" si="205"/>
      </c>
      <c r="BX839" s="104"/>
      <c r="BY839" s="106"/>
      <c r="BZ839" s="104"/>
      <c r="CA839" s="105"/>
      <c r="CB839" s="77">
        <f>IF($A839="",0,IF($B839='FICHA CLIENTE'!$C$4,1,0))</f>
      </c>
      <c r="CC839" s="77">
        <f t="shared" si="206"/>
      </c>
      <c r="CD839" s="77">
        <f>IF($A839="",0,IF($D839='FICHA VEHICULO'!$C$4,1,0))</f>
      </c>
      <c r="CE839" s="77">
        <f t="shared" si="207"/>
      </c>
      <c r="CF839" s="77">
        <f t="shared" si="208"/>
      </c>
      <c r="CG839" s="77">
        <f t="shared" si="209"/>
      </c>
    </row>
    <row r="840" spans="1:85" ht="19.5" customHeight="1" x14ac:dyDescent="0.2">
      <c r="A840" s="104"/>
      <c r="B840" s="104"/>
      <c r="C840" s="105"/>
      <c r="D840" s="104"/>
      <c r="E840" s="105"/>
      <c r="F840" s="106"/>
      <c r="G840" s="104"/>
      <c r="H840" s="106"/>
      <c r="I840" s="107"/>
      <c r="J840" s="108"/>
      <c r="K840" s="108"/>
      <c r="L840" s="108"/>
      <c r="M840" s="105"/>
      <c r="N840" s="105"/>
      <c r="O840" s="105"/>
      <c r="P840" s="108"/>
      <c r="Q840" s="105"/>
      <c r="R840" s="105"/>
      <c r="S840" s="105"/>
      <c r="T840" s="105"/>
      <c r="U840" s="108"/>
      <c r="V840" s="105"/>
      <c r="W840" s="105"/>
      <c r="X840" s="105"/>
      <c r="Y840" s="105"/>
      <c r="Z840" s="105"/>
      <c r="AA840" s="108"/>
      <c r="AB840" s="108"/>
      <c r="AC840" s="105"/>
      <c r="AD840" s="279"/>
      <c r="AE840" s="105"/>
      <c r="AF840" s="279"/>
      <c r="AG840" s="105"/>
      <c r="AH840" s="108"/>
      <c r="AI840" s="108"/>
      <c r="AJ840" s="108"/>
      <c r="AK840" s="108"/>
      <c r="AL840" s="105"/>
      <c r="AM840" s="108"/>
      <c r="AN840" s="105"/>
      <c r="AO840" s="108"/>
      <c r="AP840" s="108"/>
      <c r="AQ840" s="105"/>
      <c r="AR840" s="108"/>
      <c r="AS840" s="108"/>
      <c r="AT840" s="105"/>
      <c r="AU840" s="105"/>
      <c r="AV840" s="105"/>
      <c r="AW840" s="105"/>
      <c r="AX840" s="105"/>
      <c r="AY840" s="105"/>
      <c r="AZ840" s="105"/>
      <c r="BA840" s="105"/>
      <c r="BB840" s="105"/>
      <c r="BC840" s="105"/>
      <c r="BD840" s="108"/>
      <c r="BE840" s="83">
        <f>IF($A840="","",IF(TRIM($D840&amp;"")="",IF(TRIM($AX840&amp;$AY840&amp;$AZ840&amp;$BA840&amp;$BB840&amp;$BC840&amp;$BD840&amp;"")="","","SUBARRENDADO"),IFERROR(IF(VLOOKUP($D840,VEHICULOS!$A$3:$H$202,7,FALSE)="","",VLOOKUP($D840,VEHICULOS!$A$3:$H$202,7,FALSE)),"")))</f>
      </c>
      <c r="BF840" s="82">
        <f>IF($A840="","",IF(TRIM($BC840&amp;"")&lt;&gt;"",$BC840,IF(TRIM($D840&amp;"")="","",IFERROR(IF(VLOOKUP($D840,VEHICULOS!$A$3:$H$202,8,FALSE)="","",VLOOKUP($D840,VEHICULOS!$A$3:$H$202,8,FALSE)),""))))</f>
      </c>
      <c r="BG840" s="106"/>
      <c r="BH840" s="107"/>
      <c r="BI840" s="86">
        <f t="shared" si="195"/>
      </c>
      <c r="BJ840" s="83">
        <f t="shared" si="196"/>
      </c>
      <c r="BK840" s="85">
        <f t="shared" si="197"/>
      </c>
      <c r="BL840" s="85">
        <f t="shared" si="198"/>
      </c>
      <c r="BM840" s="108"/>
      <c r="BN840" s="85">
        <f t="shared" si="199"/>
      </c>
      <c r="BO840" s="108"/>
      <c r="BP840" s="85">
        <f t="shared" si="200"/>
      </c>
      <c r="BQ840" s="85">
        <f t="shared" si="201"/>
      </c>
      <c r="BR840" s="108"/>
      <c r="BS840" s="104"/>
      <c r="BT840" s="87">
        <f t="shared" si="202"/>
      </c>
      <c r="BU840" s="85">
        <f t="shared" si="203"/>
      </c>
      <c r="BV840" s="85">
        <f t="shared" si="204"/>
      </c>
      <c r="BW840" s="87">
        <f t="shared" si="205"/>
      </c>
      <c r="BX840" s="104"/>
      <c r="BY840" s="106"/>
      <c r="BZ840" s="104"/>
      <c r="CA840" s="105"/>
      <c r="CB840" s="77">
        <f>IF($A840="",0,IF($B840='FICHA CLIENTE'!$C$4,1,0))</f>
      </c>
      <c r="CC840" s="77">
        <f t="shared" si="206"/>
      </c>
      <c r="CD840" s="77">
        <f>IF($A840="",0,IF($D840='FICHA VEHICULO'!$C$4,1,0))</f>
      </c>
      <c r="CE840" s="77">
        <f t="shared" si="207"/>
      </c>
      <c r="CF840" s="77">
        <f t="shared" si="208"/>
      </c>
      <c r="CG840" s="77">
        <f t="shared" si="209"/>
      </c>
    </row>
    <row r="841" spans="1:85" ht="19.5" customHeight="1" x14ac:dyDescent="0.2">
      <c r="A841" s="104"/>
      <c r="B841" s="104"/>
      <c r="C841" s="105"/>
      <c r="D841" s="104"/>
      <c r="E841" s="105"/>
      <c r="F841" s="106"/>
      <c r="G841" s="104"/>
      <c r="H841" s="106"/>
      <c r="I841" s="107"/>
      <c r="J841" s="108"/>
      <c r="K841" s="108"/>
      <c r="L841" s="108"/>
      <c r="M841" s="105"/>
      <c r="N841" s="105"/>
      <c r="O841" s="105"/>
      <c r="P841" s="108"/>
      <c r="Q841" s="105"/>
      <c r="R841" s="105"/>
      <c r="S841" s="105"/>
      <c r="T841" s="105"/>
      <c r="U841" s="108"/>
      <c r="V841" s="105"/>
      <c r="W841" s="105"/>
      <c r="X841" s="105"/>
      <c r="Y841" s="105"/>
      <c r="Z841" s="105"/>
      <c r="AA841" s="108"/>
      <c r="AB841" s="108"/>
      <c r="AC841" s="105"/>
      <c r="AD841" s="279"/>
      <c r="AE841" s="105"/>
      <c r="AF841" s="279"/>
      <c r="AG841" s="105"/>
      <c r="AH841" s="108"/>
      <c r="AI841" s="108"/>
      <c r="AJ841" s="108"/>
      <c r="AK841" s="108"/>
      <c r="AL841" s="105"/>
      <c r="AM841" s="108"/>
      <c r="AN841" s="105"/>
      <c r="AO841" s="108"/>
      <c r="AP841" s="108"/>
      <c r="AQ841" s="105"/>
      <c r="AR841" s="108"/>
      <c r="AS841" s="108"/>
      <c r="AT841" s="105"/>
      <c r="AU841" s="105"/>
      <c r="AV841" s="105"/>
      <c r="AW841" s="105"/>
      <c r="AX841" s="105"/>
      <c r="AY841" s="105"/>
      <c r="AZ841" s="105"/>
      <c r="BA841" s="105"/>
      <c r="BB841" s="105"/>
      <c r="BC841" s="105"/>
      <c r="BD841" s="108"/>
      <c r="BE841" s="83">
        <f>IF($A841="","",IF(TRIM($D841&amp;"")="",IF(TRIM($AX841&amp;$AY841&amp;$AZ841&amp;$BA841&amp;$BB841&amp;$BC841&amp;$BD841&amp;"")="","","SUBARRENDADO"),IFERROR(IF(VLOOKUP($D841,VEHICULOS!$A$3:$H$202,7,FALSE)="","",VLOOKUP($D841,VEHICULOS!$A$3:$H$202,7,FALSE)),"")))</f>
      </c>
      <c r="BF841" s="82">
        <f>IF($A841="","",IF(TRIM($BC841&amp;"")&lt;&gt;"",$BC841,IF(TRIM($D841&amp;"")="","",IFERROR(IF(VLOOKUP($D841,VEHICULOS!$A$3:$H$202,8,FALSE)="","",VLOOKUP($D841,VEHICULOS!$A$3:$H$202,8,FALSE)),""))))</f>
      </c>
      <c r="BG841" s="106"/>
      <c r="BH841" s="107"/>
      <c r="BI841" s="86">
        <f t="shared" si="195"/>
      </c>
      <c r="BJ841" s="83">
        <f t="shared" si="196"/>
      </c>
      <c r="BK841" s="85">
        <f t="shared" si="197"/>
      </c>
      <c r="BL841" s="85">
        <f t="shared" si="198"/>
      </c>
      <c r="BM841" s="108"/>
      <c r="BN841" s="85">
        <f t="shared" si="199"/>
      </c>
      <c r="BO841" s="108"/>
      <c r="BP841" s="85">
        <f t="shared" si="200"/>
      </c>
      <c r="BQ841" s="85">
        <f t="shared" si="201"/>
      </c>
      <c r="BR841" s="108"/>
      <c r="BS841" s="104"/>
      <c r="BT841" s="87">
        <f t="shared" si="202"/>
      </c>
      <c r="BU841" s="85">
        <f t="shared" si="203"/>
      </c>
      <c r="BV841" s="85">
        <f t="shared" si="204"/>
      </c>
      <c r="BW841" s="87">
        <f t="shared" si="205"/>
      </c>
      <c r="BX841" s="104"/>
      <c r="BY841" s="106"/>
      <c r="BZ841" s="104"/>
      <c r="CA841" s="105"/>
      <c r="CB841" s="77">
        <f>IF($A841="",0,IF($B841='FICHA CLIENTE'!$C$4,1,0))</f>
      </c>
      <c r="CC841" s="77">
        <f t="shared" si="206"/>
      </c>
      <c r="CD841" s="77">
        <f>IF($A841="",0,IF($D841='FICHA VEHICULO'!$C$4,1,0))</f>
      </c>
      <c r="CE841" s="77">
        <f t="shared" si="207"/>
      </c>
      <c r="CF841" s="77">
        <f t="shared" si="208"/>
      </c>
      <c r="CG841" s="77">
        <f t="shared" si="209"/>
      </c>
    </row>
    <row r="842" spans="1:85" ht="19.5" customHeight="1" x14ac:dyDescent="0.2">
      <c r="A842" s="104"/>
      <c r="B842" s="104"/>
      <c r="C842" s="105"/>
      <c r="D842" s="104"/>
      <c r="E842" s="105"/>
      <c r="F842" s="106"/>
      <c r="G842" s="104"/>
      <c r="H842" s="106"/>
      <c r="I842" s="107"/>
      <c r="J842" s="108"/>
      <c r="K842" s="108"/>
      <c r="L842" s="108"/>
      <c r="M842" s="105"/>
      <c r="N842" s="105"/>
      <c r="O842" s="105"/>
      <c r="P842" s="108"/>
      <c r="Q842" s="105"/>
      <c r="R842" s="105"/>
      <c r="S842" s="105"/>
      <c r="T842" s="105"/>
      <c r="U842" s="108"/>
      <c r="V842" s="105"/>
      <c r="W842" s="105"/>
      <c r="X842" s="105"/>
      <c r="Y842" s="105"/>
      <c r="Z842" s="105"/>
      <c r="AA842" s="108"/>
      <c r="AB842" s="108"/>
      <c r="AC842" s="105"/>
      <c r="AD842" s="279"/>
      <c r="AE842" s="105"/>
      <c r="AF842" s="279"/>
      <c r="AG842" s="105"/>
      <c r="AH842" s="108"/>
      <c r="AI842" s="108"/>
      <c r="AJ842" s="108"/>
      <c r="AK842" s="108"/>
      <c r="AL842" s="105"/>
      <c r="AM842" s="108"/>
      <c r="AN842" s="105"/>
      <c r="AO842" s="108"/>
      <c r="AP842" s="108"/>
      <c r="AQ842" s="105"/>
      <c r="AR842" s="108"/>
      <c r="AS842" s="108"/>
      <c r="AT842" s="105"/>
      <c r="AU842" s="105"/>
      <c r="AV842" s="105"/>
      <c r="AW842" s="105"/>
      <c r="AX842" s="105"/>
      <c r="AY842" s="105"/>
      <c r="AZ842" s="105"/>
      <c r="BA842" s="105"/>
      <c r="BB842" s="105"/>
      <c r="BC842" s="105"/>
      <c r="BD842" s="108"/>
      <c r="BE842" s="83">
        <f>IF($A842="","",IF(TRIM($D842&amp;"")="",IF(TRIM($AX842&amp;$AY842&amp;$AZ842&amp;$BA842&amp;$BB842&amp;$BC842&amp;$BD842&amp;"")="","","SUBARRENDADO"),IFERROR(IF(VLOOKUP($D842,VEHICULOS!$A$3:$H$202,7,FALSE)="","",VLOOKUP($D842,VEHICULOS!$A$3:$H$202,7,FALSE)),"")))</f>
      </c>
      <c r="BF842" s="82">
        <f>IF($A842="","",IF(TRIM($BC842&amp;"")&lt;&gt;"",$BC842,IF(TRIM($D842&amp;"")="","",IFERROR(IF(VLOOKUP($D842,VEHICULOS!$A$3:$H$202,8,FALSE)="","",VLOOKUP($D842,VEHICULOS!$A$3:$H$202,8,FALSE)),""))))</f>
      </c>
      <c r="BG842" s="106"/>
      <c r="BH842" s="107"/>
      <c r="BI842" s="86">
        <f t="shared" si="195"/>
      </c>
      <c r="BJ842" s="83">
        <f t="shared" si="196"/>
      </c>
      <c r="BK842" s="85">
        <f t="shared" si="197"/>
      </c>
      <c r="BL842" s="85">
        <f t="shared" si="198"/>
      </c>
      <c r="BM842" s="108"/>
      <c r="BN842" s="85">
        <f t="shared" si="199"/>
      </c>
      <c r="BO842" s="108"/>
      <c r="BP842" s="85">
        <f t="shared" si="200"/>
      </c>
      <c r="BQ842" s="85">
        <f t="shared" si="201"/>
      </c>
      <c r="BR842" s="108"/>
      <c r="BS842" s="104"/>
      <c r="BT842" s="87">
        <f t="shared" si="202"/>
      </c>
      <c r="BU842" s="85">
        <f t="shared" si="203"/>
      </c>
      <c r="BV842" s="85">
        <f t="shared" si="204"/>
      </c>
      <c r="BW842" s="87">
        <f t="shared" si="205"/>
      </c>
      <c r="BX842" s="104"/>
      <c r="BY842" s="106"/>
      <c r="BZ842" s="104"/>
      <c r="CA842" s="105"/>
      <c r="CB842" s="77">
        <f>IF($A842="",0,IF($B842='FICHA CLIENTE'!$C$4,1,0))</f>
      </c>
      <c r="CC842" s="77">
        <f t="shared" si="206"/>
      </c>
      <c r="CD842" s="77">
        <f>IF($A842="",0,IF($D842='FICHA VEHICULO'!$C$4,1,0))</f>
      </c>
      <c r="CE842" s="77">
        <f t="shared" si="207"/>
      </c>
      <c r="CF842" s="77">
        <f t="shared" si="208"/>
      </c>
      <c r="CG842" s="77">
        <f t="shared" si="209"/>
      </c>
    </row>
    <row r="843" spans="1:85" ht="19.5" customHeight="1" x14ac:dyDescent="0.2">
      <c r="A843" s="104"/>
      <c r="B843" s="104"/>
      <c r="C843" s="105"/>
      <c r="D843" s="104"/>
      <c r="E843" s="105"/>
      <c r="F843" s="106"/>
      <c r="G843" s="104"/>
      <c r="H843" s="106"/>
      <c r="I843" s="107"/>
      <c r="J843" s="108"/>
      <c r="K843" s="108"/>
      <c r="L843" s="108"/>
      <c r="M843" s="105"/>
      <c r="N843" s="105"/>
      <c r="O843" s="105"/>
      <c r="P843" s="108"/>
      <c r="Q843" s="105"/>
      <c r="R843" s="105"/>
      <c r="S843" s="105"/>
      <c r="T843" s="105"/>
      <c r="U843" s="108"/>
      <c r="V843" s="105"/>
      <c r="W843" s="105"/>
      <c r="X843" s="105"/>
      <c r="Y843" s="105"/>
      <c r="Z843" s="105"/>
      <c r="AA843" s="108"/>
      <c r="AB843" s="108"/>
      <c r="AC843" s="105"/>
      <c r="AD843" s="279"/>
      <c r="AE843" s="105"/>
      <c r="AF843" s="279"/>
      <c r="AG843" s="105"/>
      <c r="AH843" s="108"/>
      <c r="AI843" s="108"/>
      <c r="AJ843" s="108"/>
      <c r="AK843" s="108"/>
      <c r="AL843" s="105"/>
      <c r="AM843" s="108"/>
      <c r="AN843" s="105"/>
      <c r="AO843" s="108"/>
      <c r="AP843" s="108"/>
      <c r="AQ843" s="105"/>
      <c r="AR843" s="108"/>
      <c r="AS843" s="108"/>
      <c r="AT843" s="105"/>
      <c r="AU843" s="105"/>
      <c r="AV843" s="105"/>
      <c r="AW843" s="105"/>
      <c r="AX843" s="105"/>
      <c r="AY843" s="105"/>
      <c r="AZ843" s="105"/>
      <c r="BA843" s="105"/>
      <c r="BB843" s="105"/>
      <c r="BC843" s="105"/>
      <c r="BD843" s="108"/>
      <c r="BE843" s="83">
        <f>IF($A843="","",IF(TRIM($D843&amp;"")="",IF(TRIM($AX843&amp;$AY843&amp;$AZ843&amp;$BA843&amp;$BB843&amp;$BC843&amp;$BD843&amp;"")="","","SUBARRENDADO"),IFERROR(IF(VLOOKUP($D843,VEHICULOS!$A$3:$H$202,7,FALSE)="","",VLOOKUP($D843,VEHICULOS!$A$3:$H$202,7,FALSE)),"")))</f>
      </c>
      <c r="BF843" s="82">
        <f>IF($A843="","",IF(TRIM($BC843&amp;"")&lt;&gt;"",$BC843,IF(TRIM($D843&amp;"")="","",IFERROR(IF(VLOOKUP($D843,VEHICULOS!$A$3:$H$202,8,FALSE)="","",VLOOKUP($D843,VEHICULOS!$A$3:$H$202,8,FALSE)),""))))</f>
      </c>
      <c r="BG843" s="106"/>
      <c r="BH843" s="107"/>
      <c r="BI843" s="86">
        <f t="shared" si="195"/>
      </c>
      <c r="BJ843" s="83">
        <f t="shared" si="196"/>
      </c>
      <c r="BK843" s="85">
        <f t="shared" si="197"/>
      </c>
      <c r="BL843" s="85">
        <f t="shared" si="198"/>
      </c>
      <c r="BM843" s="108"/>
      <c r="BN843" s="85">
        <f t="shared" si="199"/>
      </c>
      <c r="BO843" s="108"/>
      <c r="BP843" s="85">
        <f t="shared" si="200"/>
      </c>
      <c r="BQ843" s="85">
        <f t="shared" si="201"/>
      </c>
      <c r="BR843" s="108"/>
      <c r="BS843" s="104"/>
      <c r="BT843" s="87">
        <f t="shared" si="202"/>
      </c>
      <c r="BU843" s="85">
        <f t="shared" si="203"/>
      </c>
      <c r="BV843" s="85">
        <f t="shared" si="204"/>
      </c>
      <c r="BW843" s="87">
        <f t="shared" si="205"/>
      </c>
      <c r="BX843" s="104"/>
      <c r="BY843" s="106"/>
      <c r="BZ843" s="104"/>
      <c r="CA843" s="105"/>
      <c r="CB843" s="77">
        <f>IF($A843="",0,IF($B843='FICHA CLIENTE'!$C$4,1,0))</f>
      </c>
      <c r="CC843" s="77">
        <f t="shared" si="206"/>
      </c>
      <c r="CD843" s="77">
        <f>IF($A843="",0,IF($D843='FICHA VEHICULO'!$C$4,1,0))</f>
      </c>
      <c r="CE843" s="77">
        <f t="shared" si="207"/>
      </c>
      <c r="CF843" s="77">
        <f t="shared" si="208"/>
      </c>
      <c r="CG843" s="77">
        <f t="shared" si="209"/>
      </c>
    </row>
    <row r="844" spans="1:85" ht="19.5" customHeight="1" x14ac:dyDescent="0.2">
      <c r="A844" s="104"/>
      <c r="B844" s="104"/>
      <c r="C844" s="105"/>
      <c r="D844" s="104"/>
      <c r="E844" s="105"/>
      <c r="F844" s="106"/>
      <c r="G844" s="104"/>
      <c r="H844" s="106"/>
      <c r="I844" s="107"/>
      <c r="J844" s="108"/>
      <c r="K844" s="108"/>
      <c r="L844" s="108"/>
      <c r="M844" s="105"/>
      <c r="N844" s="105"/>
      <c r="O844" s="105"/>
      <c r="P844" s="108"/>
      <c r="Q844" s="105"/>
      <c r="R844" s="105"/>
      <c r="S844" s="105"/>
      <c r="T844" s="105"/>
      <c r="U844" s="108"/>
      <c r="V844" s="105"/>
      <c r="W844" s="105"/>
      <c r="X844" s="105"/>
      <c r="Y844" s="105"/>
      <c r="Z844" s="105"/>
      <c r="AA844" s="108"/>
      <c r="AB844" s="108"/>
      <c r="AC844" s="105"/>
      <c r="AD844" s="279"/>
      <c r="AE844" s="105"/>
      <c r="AF844" s="279"/>
      <c r="AG844" s="105"/>
      <c r="AH844" s="108"/>
      <c r="AI844" s="108"/>
      <c r="AJ844" s="108"/>
      <c r="AK844" s="108"/>
      <c r="AL844" s="105"/>
      <c r="AM844" s="108"/>
      <c r="AN844" s="105"/>
      <c r="AO844" s="108"/>
      <c r="AP844" s="108"/>
      <c r="AQ844" s="105"/>
      <c r="AR844" s="108"/>
      <c r="AS844" s="108"/>
      <c r="AT844" s="105"/>
      <c r="AU844" s="105"/>
      <c r="AV844" s="105"/>
      <c r="AW844" s="105"/>
      <c r="AX844" s="105"/>
      <c r="AY844" s="105"/>
      <c r="AZ844" s="105"/>
      <c r="BA844" s="105"/>
      <c r="BB844" s="105"/>
      <c r="BC844" s="105"/>
      <c r="BD844" s="108"/>
      <c r="BE844" s="83">
        <f>IF($A844="","",IF(TRIM($D844&amp;"")="",IF(TRIM($AX844&amp;$AY844&amp;$AZ844&amp;$BA844&amp;$BB844&amp;$BC844&amp;$BD844&amp;"")="","","SUBARRENDADO"),IFERROR(IF(VLOOKUP($D844,VEHICULOS!$A$3:$H$202,7,FALSE)="","",VLOOKUP($D844,VEHICULOS!$A$3:$H$202,7,FALSE)),"")))</f>
      </c>
      <c r="BF844" s="82">
        <f>IF($A844="","",IF(TRIM($BC844&amp;"")&lt;&gt;"",$BC844,IF(TRIM($D844&amp;"")="","",IFERROR(IF(VLOOKUP($D844,VEHICULOS!$A$3:$H$202,8,FALSE)="","",VLOOKUP($D844,VEHICULOS!$A$3:$H$202,8,FALSE)),""))))</f>
      </c>
      <c r="BG844" s="106"/>
      <c r="BH844" s="107"/>
      <c r="BI844" s="86">
        <f t="shared" si="195"/>
      </c>
      <c r="BJ844" s="83">
        <f t="shared" si="196"/>
      </c>
      <c r="BK844" s="85">
        <f t="shared" si="197"/>
      </c>
      <c r="BL844" s="85">
        <f t="shared" si="198"/>
      </c>
      <c r="BM844" s="108"/>
      <c r="BN844" s="85">
        <f t="shared" si="199"/>
      </c>
      <c r="BO844" s="108"/>
      <c r="BP844" s="85">
        <f t="shared" si="200"/>
      </c>
      <c r="BQ844" s="85">
        <f t="shared" si="201"/>
      </c>
      <c r="BR844" s="108"/>
      <c r="BS844" s="104"/>
      <c r="BT844" s="87">
        <f t="shared" si="202"/>
      </c>
      <c r="BU844" s="85">
        <f t="shared" si="203"/>
      </c>
      <c r="BV844" s="85">
        <f t="shared" si="204"/>
      </c>
      <c r="BW844" s="87">
        <f t="shared" si="205"/>
      </c>
      <c r="BX844" s="104"/>
      <c r="BY844" s="106"/>
      <c r="BZ844" s="104"/>
      <c r="CA844" s="105"/>
      <c r="CB844" s="77">
        <f>IF($A844="",0,IF($B844='FICHA CLIENTE'!$C$4,1,0))</f>
      </c>
      <c r="CC844" s="77">
        <f t="shared" si="206"/>
      </c>
      <c r="CD844" s="77">
        <f>IF($A844="",0,IF($D844='FICHA VEHICULO'!$C$4,1,0))</f>
      </c>
      <c r="CE844" s="77">
        <f t="shared" si="207"/>
      </c>
      <c r="CF844" s="77">
        <f t="shared" si="208"/>
      </c>
      <c r="CG844" s="77">
        <f t="shared" si="209"/>
      </c>
    </row>
    <row r="845" spans="1:85" ht="19.5" customHeight="1" x14ac:dyDescent="0.2">
      <c r="A845" s="104"/>
      <c r="B845" s="104"/>
      <c r="C845" s="105"/>
      <c r="D845" s="104"/>
      <c r="E845" s="105"/>
      <c r="F845" s="106"/>
      <c r="G845" s="104"/>
      <c r="H845" s="106"/>
      <c r="I845" s="107"/>
      <c r="J845" s="108"/>
      <c r="K845" s="108"/>
      <c r="L845" s="108"/>
      <c r="M845" s="105"/>
      <c r="N845" s="105"/>
      <c r="O845" s="105"/>
      <c r="P845" s="108"/>
      <c r="Q845" s="105"/>
      <c r="R845" s="105"/>
      <c r="S845" s="105"/>
      <c r="T845" s="105"/>
      <c r="U845" s="108"/>
      <c r="V845" s="105"/>
      <c r="W845" s="105"/>
      <c r="X845" s="105"/>
      <c r="Y845" s="105"/>
      <c r="Z845" s="105"/>
      <c r="AA845" s="108"/>
      <c r="AB845" s="108"/>
      <c r="AC845" s="105"/>
      <c r="AD845" s="279"/>
      <c r="AE845" s="105"/>
      <c r="AF845" s="279"/>
      <c r="AG845" s="105"/>
      <c r="AH845" s="108"/>
      <c r="AI845" s="108"/>
      <c r="AJ845" s="108"/>
      <c r="AK845" s="108"/>
      <c r="AL845" s="105"/>
      <c r="AM845" s="108"/>
      <c r="AN845" s="105"/>
      <c r="AO845" s="108"/>
      <c r="AP845" s="108"/>
      <c r="AQ845" s="105"/>
      <c r="AR845" s="108"/>
      <c r="AS845" s="108"/>
      <c r="AT845" s="105"/>
      <c r="AU845" s="105"/>
      <c r="AV845" s="105"/>
      <c r="AW845" s="105"/>
      <c r="AX845" s="105"/>
      <c r="AY845" s="105"/>
      <c r="AZ845" s="105"/>
      <c r="BA845" s="105"/>
      <c r="BB845" s="105"/>
      <c r="BC845" s="105"/>
      <c r="BD845" s="108"/>
      <c r="BE845" s="83">
        <f>IF($A845="","",IF(TRIM($D845&amp;"")="",IF(TRIM($AX845&amp;$AY845&amp;$AZ845&amp;$BA845&amp;$BB845&amp;$BC845&amp;$BD845&amp;"")="","","SUBARRENDADO"),IFERROR(IF(VLOOKUP($D845,VEHICULOS!$A$3:$H$202,7,FALSE)="","",VLOOKUP($D845,VEHICULOS!$A$3:$H$202,7,FALSE)),"")))</f>
      </c>
      <c r="BF845" s="82">
        <f>IF($A845="","",IF(TRIM($BC845&amp;"")&lt;&gt;"",$BC845,IF(TRIM($D845&amp;"")="","",IFERROR(IF(VLOOKUP($D845,VEHICULOS!$A$3:$H$202,8,FALSE)="","",VLOOKUP($D845,VEHICULOS!$A$3:$H$202,8,FALSE)),""))))</f>
      </c>
      <c r="BG845" s="106"/>
      <c r="BH845" s="107"/>
      <c r="BI845" s="86">
        <f t="shared" si="195"/>
      </c>
      <c r="BJ845" s="83">
        <f t="shared" si="196"/>
      </c>
      <c r="BK845" s="85">
        <f t="shared" si="197"/>
      </c>
      <c r="BL845" s="85">
        <f t="shared" si="198"/>
      </c>
      <c r="BM845" s="108"/>
      <c r="BN845" s="85">
        <f t="shared" si="199"/>
      </c>
      <c r="BO845" s="108"/>
      <c r="BP845" s="85">
        <f t="shared" si="200"/>
      </c>
      <c r="BQ845" s="85">
        <f t="shared" si="201"/>
      </c>
      <c r="BR845" s="108"/>
      <c r="BS845" s="104"/>
      <c r="BT845" s="87">
        <f t="shared" si="202"/>
      </c>
      <c r="BU845" s="85">
        <f t="shared" si="203"/>
      </c>
      <c r="BV845" s="85">
        <f t="shared" si="204"/>
      </c>
      <c r="BW845" s="87">
        <f t="shared" si="205"/>
      </c>
      <c r="BX845" s="104"/>
      <c r="BY845" s="106"/>
      <c r="BZ845" s="104"/>
      <c r="CA845" s="105"/>
      <c r="CB845" s="77">
        <f>IF($A845="",0,IF($B845='FICHA CLIENTE'!$C$4,1,0))</f>
      </c>
      <c r="CC845" s="77">
        <f t="shared" si="206"/>
      </c>
      <c r="CD845" s="77">
        <f>IF($A845="",0,IF($D845='FICHA VEHICULO'!$C$4,1,0))</f>
      </c>
      <c r="CE845" s="77">
        <f t="shared" si="207"/>
      </c>
      <c r="CF845" s="77">
        <f t="shared" si="208"/>
      </c>
      <c r="CG845" s="77">
        <f t="shared" si="209"/>
      </c>
    </row>
    <row r="846" spans="1:85" ht="19.5" customHeight="1" x14ac:dyDescent="0.2">
      <c r="A846" s="104"/>
      <c r="B846" s="104"/>
      <c r="C846" s="105"/>
      <c r="D846" s="104"/>
      <c r="E846" s="105"/>
      <c r="F846" s="106"/>
      <c r="G846" s="104"/>
      <c r="H846" s="106"/>
      <c r="I846" s="107"/>
      <c r="J846" s="108"/>
      <c r="K846" s="108"/>
      <c r="L846" s="108"/>
      <c r="M846" s="105"/>
      <c r="N846" s="105"/>
      <c r="O846" s="105"/>
      <c r="P846" s="108"/>
      <c r="Q846" s="105"/>
      <c r="R846" s="105"/>
      <c r="S846" s="105"/>
      <c r="T846" s="105"/>
      <c r="U846" s="108"/>
      <c r="V846" s="105"/>
      <c r="W846" s="105"/>
      <c r="X846" s="105"/>
      <c r="Y846" s="105"/>
      <c r="Z846" s="105"/>
      <c r="AA846" s="108"/>
      <c r="AB846" s="108"/>
      <c r="AC846" s="105"/>
      <c r="AD846" s="279"/>
      <c r="AE846" s="105"/>
      <c r="AF846" s="279"/>
      <c r="AG846" s="105"/>
      <c r="AH846" s="108"/>
      <c r="AI846" s="108"/>
      <c r="AJ846" s="108"/>
      <c r="AK846" s="108"/>
      <c r="AL846" s="105"/>
      <c r="AM846" s="108"/>
      <c r="AN846" s="105"/>
      <c r="AO846" s="108"/>
      <c r="AP846" s="108"/>
      <c r="AQ846" s="105"/>
      <c r="AR846" s="108"/>
      <c r="AS846" s="108"/>
      <c r="AT846" s="105"/>
      <c r="AU846" s="105"/>
      <c r="AV846" s="105"/>
      <c r="AW846" s="105"/>
      <c r="AX846" s="105"/>
      <c r="AY846" s="105"/>
      <c r="AZ846" s="105"/>
      <c r="BA846" s="105"/>
      <c r="BB846" s="105"/>
      <c r="BC846" s="105"/>
      <c r="BD846" s="108"/>
      <c r="BE846" s="83">
        <f>IF($A846="","",IF(TRIM($D846&amp;"")="",IF(TRIM($AX846&amp;$AY846&amp;$AZ846&amp;$BA846&amp;$BB846&amp;$BC846&amp;$BD846&amp;"")="","","SUBARRENDADO"),IFERROR(IF(VLOOKUP($D846,VEHICULOS!$A$3:$H$202,7,FALSE)="","",VLOOKUP($D846,VEHICULOS!$A$3:$H$202,7,FALSE)),"")))</f>
      </c>
      <c r="BF846" s="82">
        <f>IF($A846="","",IF(TRIM($BC846&amp;"")&lt;&gt;"",$BC846,IF(TRIM($D846&amp;"")="","",IFERROR(IF(VLOOKUP($D846,VEHICULOS!$A$3:$H$202,8,FALSE)="","",VLOOKUP($D846,VEHICULOS!$A$3:$H$202,8,FALSE)),""))))</f>
      </c>
      <c r="BG846" s="106"/>
      <c r="BH846" s="107"/>
      <c r="BI846" s="86">
        <f t="shared" si="195"/>
      </c>
      <c r="BJ846" s="83">
        <f t="shared" si="196"/>
      </c>
      <c r="BK846" s="85">
        <f t="shared" si="197"/>
      </c>
      <c r="BL846" s="85">
        <f t="shared" si="198"/>
      </c>
      <c r="BM846" s="108"/>
      <c r="BN846" s="85">
        <f t="shared" si="199"/>
      </c>
      <c r="BO846" s="108"/>
      <c r="BP846" s="85">
        <f t="shared" si="200"/>
      </c>
      <c r="BQ846" s="85">
        <f t="shared" si="201"/>
      </c>
      <c r="BR846" s="108"/>
      <c r="BS846" s="104"/>
      <c r="BT846" s="87">
        <f t="shared" si="202"/>
      </c>
      <c r="BU846" s="85">
        <f t="shared" si="203"/>
      </c>
      <c r="BV846" s="85">
        <f t="shared" si="204"/>
      </c>
      <c r="BW846" s="87">
        <f t="shared" si="205"/>
      </c>
      <c r="BX846" s="104"/>
      <c r="BY846" s="106"/>
      <c r="BZ846" s="104"/>
      <c r="CA846" s="105"/>
      <c r="CB846" s="77">
        <f>IF($A846="",0,IF($B846='FICHA CLIENTE'!$C$4,1,0))</f>
      </c>
      <c r="CC846" s="77">
        <f t="shared" si="206"/>
      </c>
      <c r="CD846" s="77">
        <f>IF($A846="",0,IF($D846='FICHA VEHICULO'!$C$4,1,0))</f>
      </c>
      <c r="CE846" s="77">
        <f t="shared" si="207"/>
      </c>
      <c r="CF846" s="77">
        <f t="shared" si="208"/>
      </c>
      <c r="CG846" s="77">
        <f t="shared" si="209"/>
      </c>
    </row>
    <row r="847" spans="1:85" ht="19.5" customHeight="1" x14ac:dyDescent="0.2">
      <c r="A847" s="104"/>
      <c r="B847" s="104"/>
      <c r="C847" s="105"/>
      <c r="D847" s="104"/>
      <c r="E847" s="105"/>
      <c r="F847" s="106"/>
      <c r="G847" s="104"/>
      <c r="H847" s="106"/>
      <c r="I847" s="107"/>
      <c r="J847" s="108"/>
      <c r="K847" s="108"/>
      <c r="L847" s="108"/>
      <c r="M847" s="105"/>
      <c r="N847" s="105"/>
      <c r="O847" s="105"/>
      <c r="P847" s="108"/>
      <c r="Q847" s="105"/>
      <c r="R847" s="105"/>
      <c r="S847" s="105"/>
      <c r="T847" s="105"/>
      <c r="U847" s="108"/>
      <c r="V847" s="105"/>
      <c r="W847" s="105"/>
      <c r="X847" s="105"/>
      <c r="Y847" s="105"/>
      <c r="Z847" s="105"/>
      <c r="AA847" s="108"/>
      <c r="AB847" s="108"/>
      <c r="AC847" s="105"/>
      <c r="AD847" s="279"/>
      <c r="AE847" s="105"/>
      <c r="AF847" s="279"/>
      <c r="AG847" s="105"/>
      <c r="AH847" s="108"/>
      <c r="AI847" s="108"/>
      <c r="AJ847" s="108"/>
      <c r="AK847" s="108"/>
      <c r="AL847" s="105"/>
      <c r="AM847" s="108"/>
      <c r="AN847" s="105"/>
      <c r="AO847" s="108"/>
      <c r="AP847" s="108"/>
      <c r="AQ847" s="105"/>
      <c r="AR847" s="108"/>
      <c r="AS847" s="108"/>
      <c r="AT847" s="105"/>
      <c r="AU847" s="105"/>
      <c r="AV847" s="105"/>
      <c r="AW847" s="105"/>
      <c r="AX847" s="105"/>
      <c r="AY847" s="105"/>
      <c r="AZ847" s="105"/>
      <c r="BA847" s="105"/>
      <c r="BB847" s="105"/>
      <c r="BC847" s="105"/>
      <c r="BD847" s="108"/>
      <c r="BE847" s="83">
        <f>IF($A847="","",IF(TRIM($D847&amp;"")="",IF(TRIM($AX847&amp;$AY847&amp;$AZ847&amp;$BA847&amp;$BB847&amp;$BC847&amp;$BD847&amp;"")="","","SUBARRENDADO"),IFERROR(IF(VLOOKUP($D847,VEHICULOS!$A$3:$H$202,7,FALSE)="","",VLOOKUP($D847,VEHICULOS!$A$3:$H$202,7,FALSE)),"")))</f>
      </c>
      <c r="BF847" s="82">
        <f>IF($A847="","",IF(TRIM($BC847&amp;"")&lt;&gt;"",$BC847,IF(TRIM($D847&amp;"")="","",IFERROR(IF(VLOOKUP($D847,VEHICULOS!$A$3:$H$202,8,FALSE)="","",VLOOKUP($D847,VEHICULOS!$A$3:$H$202,8,FALSE)),""))))</f>
      </c>
      <c r="BG847" s="106"/>
      <c r="BH847" s="107"/>
      <c r="BI847" s="86">
        <f t="shared" si="195"/>
      </c>
      <c r="BJ847" s="83">
        <f t="shared" si="196"/>
      </c>
      <c r="BK847" s="85">
        <f t="shared" si="197"/>
      </c>
      <c r="BL847" s="85">
        <f t="shared" si="198"/>
      </c>
      <c r="BM847" s="108"/>
      <c r="BN847" s="85">
        <f t="shared" si="199"/>
      </c>
      <c r="BO847" s="108"/>
      <c r="BP847" s="85">
        <f t="shared" si="200"/>
      </c>
      <c r="BQ847" s="85">
        <f t="shared" si="201"/>
      </c>
      <c r="BR847" s="108"/>
      <c r="BS847" s="104"/>
      <c r="BT847" s="87">
        <f t="shared" si="202"/>
      </c>
      <c r="BU847" s="85">
        <f t="shared" si="203"/>
      </c>
      <c r="BV847" s="85">
        <f t="shared" si="204"/>
      </c>
      <c r="BW847" s="87">
        <f t="shared" si="205"/>
      </c>
      <c r="BX847" s="104"/>
      <c r="BY847" s="106"/>
      <c r="BZ847" s="104"/>
      <c r="CA847" s="105"/>
      <c r="CB847" s="77">
        <f>IF($A847="",0,IF($B847='FICHA CLIENTE'!$C$4,1,0))</f>
      </c>
      <c r="CC847" s="77">
        <f t="shared" si="206"/>
      </c>
      <c r="CD847" s="77">
        <f>IF($A847="",0,IF($D847='FICHA VEHICULO'!$C$4,1,0))</f>
      </c>
      <c r="CE847" s="77">
        <f t="shared" si="207"/>
      </c>
      <c r="CF847" s="77">
        <f t="shared" si="208"/>
      </c>
      <c r="CG847" s="77">
        <f t="shared" si="209"/>
      </c>
    </row>
    <row r="848" spans="1:85" ht="19.5" customHeight="1" x14ac:dyDescent="0.2">
      <c r="A848" s="104"/>
      <c r="B848" s="104"/>
      <c r="C848" s="105"/>
      <c r="D848" s="104"/>
      <c r="E848" s="105"/>
      <c r="F848" s="106"/>
      <c r="G848" s="104"/>
      <c r="H848" s="106"/>
      <c r="I848" s="107"/>
      <c r="J848" s="108"/>
      <c r="K848" s="108"/>
      <c r="L848" s="108"/>
      <c r="M848" s="105"/>
      <c r="N848" s="105"/>
      <c r="O848" s="105"/>
      <c r="P848" s="108"/>
      <c r="Q848" s="105"/>
      <c r="R848" s="105"/>
      <c r="S848" s="105"/>
      <c r="T848" s="105"/>
      <c r="U848" s="108"/>
      <c r="V848" s="105"/>
      <c r="W848" s="105"/>
      <c r="X848" s="105"/>
      <c r="Y848" s="105"/>
      <c r="Z848" s="105"/>
      <c r="AA848" s="108"/>
      <c r="AB848" s="108"/>
      <c r="AC848" s="105"/>
      <c r="AD848" s="279"/>
      <c r="AE848" s="105"/>
      <c r="AF848" s="279"/>
      <c r="AG848" s="105"/>
      <c r="AH848" s="108"/>
      <c r="AI848" s="108"/>
      <c r="AJ848" s="108"/>
      <c r="AK848" s="108"/>
      <c r="AL848" s="105"/>
      <c r="AM848" s="108"/>
      <c r="AN848" s="105"/>
      <c r="AO848" s="108"/>
      <c r="AP848" s="108"/>
      <c r="AQ848" s="105"/>
      <c r="AR848" s="108"/>
      <c r="AS848" s="108"/>
      <c r="AT848" s="105"/>
      <c r="AU848" s="105"/>
      <c r="AV848" s="105"/>
      <c r="AW848" s="105"/>
      <c r="AX848" s="105"/>
      <c r="AY848" s="105"/>
      <c r="AZ848" s="105"/>
      <c r="BA848" s="105"/>
      <c r="BB848" s="105"/>
      <c r="BC848" s="105"/>
      <c r="BD848" s="108"/>
      <c r="BE848" s="83">
        <f>IF($A848="","",IF(TRIM($D848&amp;"")="",IF(TRIM($AX848&amp;$AY848&amp;$AZ848&amp;$BA848&amp;$BB848&amp;$BC848&amp;$BD848&amp;"")="","","SUBARRENDADO"),IFERROR(IF(VLOOKUP($D848,VEHICULOS!$A$3:$H$202,7,FALSE)="","",VLOOKUP($D848,VEHICULOS!$A$3:$H$202,7,FALSE)),"")))</f>
      </c>
      <c r="BF848" s="82">
        <f>IF($A848="","",IF(TRIM($BC848&amp;"")&lt;&gt;"",$BC848,IF(TRIM($D848&amp;"")="","",IFERROR(IF(VLOOKUP($D848,VEHICULOS!$A$3:$H$202,8,FALSE)="","",VLOOKUP($D848,VEHICULOS!$A$3:$H$202,8,FALSE)),""))))</f>
      </c>
      <c r="BG848" s="106"/>
      <c r="BH848" s="107"/>
      <c r="BI848" s="86">
        <f t="shared" si="195"/>
      </c>
      <c r="BJ848" s="83">
        <f t="shared" si="196"/>
      </c>
      <c r="BK848" s="85">
        <f t="shared" si="197"/>
      </c>
      <c r="BL848" s="85">
        <f t="shared" si="198"/>
      </c>
      <c r="BM848" s="108"/>
      <c r="BN848" s="85">
        <f t="shared" si="199"/>
      </c>
      <c r="BO848" s="108"/>
      <c r="BP848" s="85">
        <f t="shared" si="200"/>
      </c>
      <c r="BQ848" s="85">
        <f t="shared" si="201"/>
      </c>
      <c r="BR848" s="108"/>
      <c r="BS848" s="104"/>
      <c r="BT848" s="87">
        <f t="shared" si="202"/>
      </c>
      <c r="BU848" s="85">
        <f t="shared" si="203"/>
      </c>
      <c r="BV848" s="85">
        <f t="shared" si="204"/>
      </c>
      <c r="BW848" s="87">
        <f t="shared" si="205"/>
      </c>
      <c r="BX848" s="104"/>
      <c r="BY848" s="106"/>
      <c r="BZ848" s="104"/>
      <c r="CA848" s="105"/>
      <c r="CB848" s="77">
        <f>IF($A848="",0,IF($B848='FICHA CLIENTE'!$C$4,1,0))</f>
      </c>
      <c r="CC848" s="77">
        <f t="shared" si="206"/>
      </c>
      <c r="CD848" s="77">
        <f>IF($A848="",0,IF($D848='FICHA VEHICULO'!$C$4,1,0))</f>
      </c>
      <c r="CE848" s="77">
        <f t="shared" si="207"/>
      </c>
      <c r="CF848" s="77">
        <f t="shared" si="208"/>
      </c>
      <c r="CG848" s="77">
        <f t="shared" si="209"/>
      </c>
    </row>
    <row r="849" spans="1:85" ht="19.5" customHeight="1" x14ac:dyDescent="0.2">
      <c r="A849" s="104"/>
      <c r="B849" s="104"/>
      <c r="C849" s="105"/>
      <c r="D849" s="104"/>
      <c r="E849" s="105"/>
      <c r="F849" s="106"/>
      <c r="G849" s="104"/>
      <c r="H849" s="106"/>
      <c r="I849" s="107"/>
      <c r="J849" s="108"/>
      <c r="K849" s="108"/>
      <c r="L849" s="108"/>
      <c r="M849" s="105"/>
      <c r="N849" s="105"/>
      <c r="O849" s="105"/>
      <c r="P849" s="108"/>
      <c r="Q849" s="105"/>
      <c r="R849" s="105"/>
      <c r="S849" s="105"/>
      <c r="T849" s="105"/>
      <c r="U849" s="108"/>
      <c r="V849" s="105"/>
      <c r="W849" s="105"/>
      <c r="X849" s="105"/>
      <c r="Y849" s="105"/>
      <c r="Z849" s="105"/>
      <c r="AA849" s="108"/>
      <c r="AB849" s="108"/>
      <c r="AC849" s="105"/>
      <c r="AD849" s="279"/>
      <c r="AE849" s="105"/>
      <c r="AF849" s="279"/>
      <c r="AG849" s="105"/>
      <c r="AH849" s="108"/>
      <c r="AI849" s="108"/>
      <c r="AJ849" s="108"/>
      <c r="AK849" s="108"/>
      <c r="AL849" s="105"/>
      <c r="AM849" s="108"/>
      <c r="AN849" s="105"/>
      <c r="AO849" s="108"/>
      <c r="AP849" s="108"/>
      <c r="AQ849" s="105"/>
      <c r="AR849" s="108"/>
      <c r="AS849" s="108"/>
      <c r="AT849" s="105"/>
      <c r="AU849" s="105"/>
      <c r="AV849" s="105"/>
      <c r="AW849" s="105"/>
      <c r="AX849" s="105"/>
      <c r="AY849" s="105"/>
      <c r="AZ849" s="105"/>
      <c r="BA849" s="105"/>
      <c r="BB849" s="105"/>
      <c r="BC849" s="105"/>
      <c r="BD849" s="108"/>
      <c r="BE849" s="83">
        <f>IF($A849="","",IF(TRIM($D849&amp;"")="",IF(TRIM($AX849&amp;$AY849&amp;$AZ849&amp;$BA849&amp;$BB849&amp;$BC849&amp;$BD849&amp;"")="","","SUBARRENDADO"),IFERROR(IF(VLOOKUP($D849,VEHICULOS!$A$3:$H$202,7,FALSE)="","",VLOOKUP($D849,VEHICULOS!$A$3:$H$202,7,FALSE)),"")))</f>
      </c>
      <c r="BF849" s="82">
        <f>IF($A849="","",IF(TRIM($BC849&amp;"")&lt;&gt;"",$BC849,IF(TRIM($D849&amp;"")="","",IFERROR(IF(VLOOKUP($D849,VEHICULOS!$A$3:$H$202,8,FALSE)="","",VLOOKUP($D849,VEHICULOS!$A$3:$H$202,8,FALSE)),""))))</f>
      </c>
      <c r="BG849" s="106"/>
      <c r="BH849" s="107"/>
      <c r="BI849" s="86">
        <f t="shared" si="195"/>
      </c>
      <c r="BJ849" s="83">
        <f t="shared" si="196"/>
      </c>
      <c r="BK849" s="85">
        <f t="shared" si="197"/>
      </c>
      <c r="BL849" s="85">
        <f t="shared" si="198"/>
      </c>
      <c r="BM849" s="108"/>
      <c r="BN849" s="85">
        <f t="shared" si="199"/>
      </c>
      <c r="BO849" s="108"/>
      <c r="BP849" s="85">
        <f t="shared" si="200"/>
      </c>
      <c r="BQ849" s="85">
        <f t="shared" si="201"/>
      </c>
      <c r="BR849" s="108"/>
      <c r="BS849" s="104"/>
      <c r="BT849" s="87">
        <f t="shared" si="202"/>
      </c>
      <c r="BU849" s="85">
        <f t="shared" si="203"/>
      </c>
      <c r="BV849" s="85">
        <f t="shared" si="204"/>
      </c>
      <c r="BW849" s="87">
        <f t="shared" si="205"/>
      </c>
      <c r="BX849" s="104"/>
      <c r="BY849" s="106"/>
      <c r="BZ849" s="104"/>
      <c r="CA849" s="105"/>
      <c r="CB849" s="77">
        <f>IF($A849="",0,IF($B849='FICHA CLIENTE'!$C$4,1,0))</f>
      </c>
      <c r="CC849" s="77">
        <f t="shared" si="206"/>
      </c>
      <c r="CD849" s="77">
        <f>IF($A849="",0,IF($D849='FICHA VEHICULO'!$C$4,1,0))</f>
      </c>
      <c r="CE849" s="77">
        <f t="shared" si="207"/>
      </c>
      <c r="CF849" s="77">
        <f t="shared" si="208"/>
      </c>
      <c r="CG849" s="77">
        <f t="shared" si="209"/>
      </c>
    </row>
    <row r="850" spans="1:85" ht="19.5" customHeight="1" x14ac:dyDescent="0.2">
      <c r="A850" s="104"/>
      <c r="B850" s="104"/>
      <c r="C850" s="105"/>
      <c r="D850" s="104"/>
      <c r="E850" s="105"/>
      <c r="F850" s="106"/>
      <c r="G850" s="104"/>
      <c r="H850" s="106"/>
      <c r="I850" s="107"/>
      <c r="J850" s="108"/>
      <c r="K850" s="108"/>
      <c r="L850" s="108"/>
      <c r="M850" s="105"/>
      <c r="N850" s="105"/>
      <c r="O850" s="105"/>
      <c r="P850" s="108"/>
      <c r="Q850" s="105"/>
      <c r="R850" s="105"/>
      <c r="S850" s="105"/>
      <c r="T850" s="105"/>
      <c r="U850" s="108"/>
      <c r="V850" s="105"/>
      <c r="W850" s="105"/>
      <c r="X850" s="105"/>
      <c r="Y850" s="105"/>
      <c r="Z850" s="105"/>
      <c r="AA850" s="108"/>
      <c r="AB850" s="108"/>
      <c r="AC850" s="105"/>
      <c r="AD850" s="279"/>
      <c r="AE850" s="105"/>
      <c r="AF850" s="279"/>
      <c r="AG850" s="105"/>
      <c r="AH850" s="108"/>
      <c r="AI850" s="108"/>
      <c r="AJ850" s="108"/>
      <c r="AK850" s="108"/>
      <c r="AL850" s="105"/>
      <c r="AM850" s="108"/>
      <c r="AN850" s="105"/>
      <c r="AO850" s="108"/>
      <c r="AP850" s="108"/>
      <c r="AQ850" s="105"/>
      <c r="AR850" s="108"/>
      <c r="AS850" s="108"/>
      <c r="AT850" s="105"/>
      <c r="AU850" s="105"/>
      <c r="AV850" s="105"/>
      <c r="AW850" s="105"/>
      <c r="AX850" s="105"/>
      <c r="AY850" s="105"/>
      <c r="AZ850" s="105"/>
      <c r="BA850" s="105"/>
      <c r="BB850" s="105"/>
      <c r="BC850" s="105"/>
      <c r="BD850" s="108"/>
      <c r="BE850" s="83">
        <f>IF($A850="","",IF(TRIM($D850&amp;"")="",IF(TRIM($AX850&amp;$AY850&amp;$AZ850&amp;$BA850&amp;$BB850&amp;$BC850&amp;$BD850&amp;"")="","","SUBARRENDADO"),IFERROR(IF(VLOOKUP($D850,VEHICULOS!$A$3:$H$202,7,FALSE)="","",VLOOKUP($D850,VEHICULOS!$A$3:$H$202,7,FALSE)),"")))</f>
      </c>
      <c r="BF850" s="82">
        <f>IF($A850="","",IF(TRIM($BC850&amp;"")&lt;&gt;"",$BC850,IF(TRIM($D850&amp;"")="","",IFERROR(IF(VLOOKUP($D850,VEHICULOS!$A$3:$H$202,8,FALSE)="","",VLOOKUP($D850,VEHICULOS!$A$3:$H$202,8,FALSE)),""))))</f>
      </c>
      <c r="BG850" s="106"/>
      <c r="BH850" s="107"/>
      <c r="BI850" s="86">
        <f t="shared" si="195"/>
      </c>
      <c r="BJ850" s="83">
        <f t="shared" si="196"/>
      </c>
      <c r="BK850" s="85">
        <f t="shared" si="197"/>
      </c>
      <c r="BL850" s="85">
        <f t="shared" si="198"/>
      </c>
      <c r="BM850" s="108"/>
      <c r="BN850" s="85">
        <f t="shared" si="199"/>
      </c>
      <c r="BO850" s="108"/>
      <c r="BP850" s="85">
        <f t="shared" si="200"/>
      </c>
      <c r="BQ850" s="85">
        <f t="shared" si="201"/>
      </c>
      <c r="BR850" s="108"/>
      <c r="BS850" s="104"/>
      <c r="BT850" s="87">
        <f t="shared" si="202"/>
      </c>
      <c r="BU850" s="85">
        <f t="shared" si="203"/>
      </c>
      <c r="BV850" s="85">
        <f t="shared" si="204"/>
      </c>
      <c r="BW850" s="87">
        <f t="shared" si="205"/>
      </c>
      <c r="BX850" s="104"/>
      <c r="BY850" s="106"/>
      <c r="BZ850" s="104"/>
      <c r="CA850" s="105"/>
      <c r="CB850" s="77">
        <f>IF($A850="",0,IF($B850='FICHA CLIENTE'!$C$4,1,0))</f>
      </c>
      <c r="CC850" s="77">
        <f t="shared" si="206"/>
      </c>
      <c r="CD850" s="77">
        <f>IF($A850="",0,IF($D850='FICHA VEHICULO'!$C$4,1,0))</f>
      </c>
      <c r="CE850" s="77">
        <f t="shared" si="207"/>
      </c>
      <c r="CF850" s="77">
        <f t="shared" si="208"/>
      </c>
      <c r="CG850" s="77">
        <f t="shared" si="209"/>
      </c>
    </row>
    <row r="851" spans="1:85" ht="19.5" customHeight="1" x14ac:dyDescent="0.2">
      <c r="A851" s="104"/>
      <c r="B851" s="104"/>
      <c r="C851" s="105"/>
      <c r="D851" s="104"/>
      <c r="E851" s="105"/>
      <c r="F851" s="106"/>
      <c r="G851" s="104"/>
      <c r="H851" s="106"/>
      <c r="I851" s="107"/>
      <c r="J851" s="108"/>
      <c r="K851" s="108"/>
      <c r="L851" s="108"/>
      <c r="M851" s="105"/>
      <c r="N851" s="105"/>
      <c r="O851" s="105"/>
      <c r="P851" s="108"/>
      <c r="Q851" s="105"/>
      <c r="R851" s="105"/>
      <c r="S851" s="105"/>
      <c r="T851" s="105"/>
      <c r="U851" s="108"/>
      <c r="V851" s="105"/>
      <c r="W851" s="105"/>
      <c r="X851" s="105"/>
      <c r="Y851" s="105"/>
      <c r="Z851" s="105"/>
      <c r="AA851" s="108"/>
      <c r="AB851" s="108"/>
      <c r="AC851" s="105"/>
      <c r="AD851" s="279"/>
      <c r="AE851" s="105"/>
      <c r="AF851" s="279"/>
      <c r="AG851" s="105"/>
      <c r="AH851" s="108"/>
      <c r="AI851" s="108"/>
      <c r="AJ851" s="108"/>
      <c r="AK851" s="108"/>
      <c r="AL851" s="105"/>
      <c r="AM851" s="108"/>
      <c r="AN851" s="105"/>
      <c r="AO851" s="108"/>
      <c r="AP851" s="108"/>
      <c r="AQ851" s="105"/>
      <c r="AR851" s="108"/>
      <c r="AS851" s="108"/>
      <c r="AT851" s="105"/>
      <c r="AU851" s="105"/>
      <c r="AV851" s="105"/>
      <c r="AW851" s="105"/>
      <c r="AX851" s="105"/>
      <c r="AY851" s="105"/>
      <c r="AZ851" s="105"/>
      <c r="BA851" s="105"/>
      <c r="BB851" s="105"/>
      <c r="BC851" s="105"/>
      <c r="BD851" s="108"/>
      <c r="BE851" s="83">
        <f>IF($A851="","",IF(TRIM($D851&amp;"")="",IF(TRIM($AX851&amp;$AY851&amp;$AZ851&amp;$BA851&amp;$BB851&amp;$BC851&amp;$BD851&amp;"")="","","SUBARRENDADO"),IFERROR(IF(VLOOKUP($D851,VEHICULOS!$A$3:$H$202,7,FALSE)="","",VLOOKUP($D851,VEHICULOS!$A$3:$H$202,7,FALSE)),"")))</f>
      </c>
      <c r="BF851" s="82">
        <f>IF($A851="","",IF(TRIM($BC851&amp;"")&lt;&gt;"",$BC851,IF(TRIM($D851&amp;"")="","",IFERROR(IF(VLOOKUP($D851,VEHICULOS!$A$3:$H$202,8,FALSE)="","",VLOOKUP($D851,VEHICULOS!$A$3:$H$202,8,FALSE)),""))))</f>
      </c>
      <c r="BG851" s="106"/>
      <c r="BH851" s="107"/>
      <c r="BI851" s="86">
        <f t="shared" si="195"/>
      </c>
      <c r="BJ851" s="83">
        <f t="shared" si="196"/>
      </c>
      <c r="BK851" s="85">
        <f t="shared" si="197"/>
      </c>
      <c r="BL851" s="85">
        <f t="shared" si="198"/>
      </c>
      <c r="BM851" s="108"/>
      <c r="BN851" s="85">
        <f t="shared" si="199"/>
      </c>
      <c r="BO851" s="108"/>
      <c r="BP851" s="85">
        <f t="shared" si="200"/>
      </c>
      <c r="BQ851" s="85">
        <f t="shared" si="201"/>
      </c>
      <c r="BR851" s="108"/>
      <c r="BS851" s="104"/>
      <c r="BT851" s="87">
        <f t="shared" si="202"/>
      </c>
      <c r="BU851" s="85">
        <f t="shared" si="203"/>
      </c>
      <c r="BV851" s="85">
        <f t="shared" si="204"/>
      </c>
      <c r="BW851" s="87">
        <f t="shared" si="205"/>
      </c>
      <c r="BX851" s="104"/>
      <c r="BY851" s="106"/>
      <c r="BZ851" s="104"/>
      <c r="CA851" s="105"/>
      <c r="CB851" s="77">
        <f>IF($A851="",0,IF($B851='FICHA CLIENTE'!$C$4,1,0))</f>
      </c>
      <c r="CC851" s="77">
        <f t="shared" si="206"/>
      </c>
      <c r="CD851" s="77">
        <f>IF($A851="",0,IF($D851='FICHA VEHICULO'!$C$4,1,0))</f>
      </c>
      <c r="CE851" s="77">
        <f t="shared" si="207"/>
      </c>
      <c r="CF851" s="77">
        <f t="shared" si="208"/>
      </c>
      <c r="CG851" s="77">
        <f t="shared" si="209"/>
      </c>
    </row>
    <row r="852" spans="1:85" ht="19.5" customHeight="1" x14ac:dyDescent="0.2">
      <c r="A852" s="104"/>
      <c r="B852" s="104"/>
      <c r="C852" s="105"/>
      <c r="D852" s="104"/>
      <c r="E852" s="105"/>
      <c r="F852" s="106"/>
      <c r="G852" s="104"/>
      <c r="H852" s="106"/>
      <c r="I852" s="107"/>
      <c r="J852" s="108"/>
      <c r="K852" s="108"/>
      <c r="L852" s="108"/>
      <c r="M852" s="105"/>
      <c r="N852" s="105"/>
      <c r="O852" s="105"/>
      <c r="P852" s="108"/>
      <c r="Q852" s="105"/>
      <c r="R852" s="105"/>
      <c r="S852" s="105"/>
      <c r="T852" s="105"/>
      <c r="U852" s="108"/>
      <c r="V852" s="105"/>
      <c r="W852" s="105"/>
      <c r="X852" s="105"/>
      <c r="Y852" s="105"/>
      <c r="Z852" s="105"/>
      <c r="AA852" s="108"/>
      <c r="AB852" s="108"/>
      <c r="AC852" s="105"/>
      <c r="AD852" s="279"/>
      <c r="AE852" s="105"/>
      <c r="AF852" s="279"/>
      <c r="AG852" s="105"/>
      <c r="AH852" s="108"/>
      <c r="AI852" s="108"/>
      <c r="AJ852" s="108"/>
      <c r="AK852" s="108"/>
      <c r="AL852" s="105"/>
      <c r="AM852" s="108"/>
      <c r="AN852" s="105"/>
      <c r="AO852" s="108"/>
      <c r="AP852" s="108"/>
      <c r="AQ852" s="105"/>
      <c r="AR852" s="108"/>
      <c r="AS852" s="108"/>
      <c r="AT852" s="105"/>
      <c r="AU852" s="105"/>
      <c r="AV852" s="105"/>
      <c r="AW852" s="105"/>
      <c r="AX852" s="105"/>
      <c r="AY852" s="105"/>
      <c r="AZ852" s="105"/>
      <c r="BA852" s="105"/>
      <c r="BB852" s="105"/>
      <c r="BC852" s="105"/>
      <c r="BD852" s="108"/>
      <c r="BE852" s="83">
        <f>IF($A852="","",IF(TRIM($D852&amp;"")="",IF(TRIM($AX852&amp;$AY852&amp;$AZ852&amp;$BA852&amp;$BB852&amp;$BC852&amp;$BD852&amp;"")="","","SUBARRENDADO"),IFERROR(IF(VLOOKUP($D852,VEHICULOS!$A$3:$H$202,7,FALSE)="","",VLOOKUP($D852,VEHICULOS!$A$3:$H$202,7,FALSE)),"")))</f>
      </c>
      <c r="BF852" s="82">
        <f>IF($A852="","",IF(TRIM($BC852&amp;"")&lt;&gt;"",$BC852,IF(TRIM($D852&amp;"")="","",IFERROR(IF(VLOOKUP($D852,VEHICULOS!$A$3:$H$202,8,FALSE)="","",VLOOKUP($D852,VEHICULOS!$A$3:$H$202,8,FALSE)),""))))</f>
      </c>
      <c r="BG852" s="106"/>
      <c r="BH852" s="107"/>
      <c r="BI852" s="86">
        <f t="shared" si="195"/>
      </c>
      <c r="BJ852" s="83">
        <f t="shared" si="196"/>
      </c>
      <c r="BK852" s="85">
        <f t="shared" si="197"/>
      </c>
      <c r="BL852" s="85">
        <f t="shared" si="198"/>
      </c>
      <c r="BM852" s="108"/>
      <c r="BN852" s="85">
        <f t="shared" si="199"/>
      </c>
      <c r="BO852" s="108"/>
      <c r="BP852" s="85">
        <f t="shared" si="200"/>
      </c>
      <c r="BQ852" s="85">
        <f t="shared" si="201"/>
      </c>
      <c r="BR852" s="108"/>
      <c r="BS852" s="104"/>
      <c r="BT852" s="87">
        <f t="shared" si="202"/>
      </c>
      <c r="BU852" s="85">
        <f t="shared" si="203"/>
      </c>
      <c r="BV852" s="85">
        <f t="shared" si="204"/>
      </c>
      <c r="BW852" s="87">
        <f t="shared" si="205"/>
      </c>
      <c r="BX852" s="104"/>
      <c r="BY852" s="106"/>
      <c r="BZ852" s="104"/>
      <c r="CA852" s="105"/>
      <c r="CB852" s="77">
        <f>IF($A852="",0,IF($B852='FICHA CLIENTE'!$C$4,1,0))</f>
      </c>
      <c r="CC852" s="77">
        <f t="shared" si="206"/>
      </c>
      <c r="CD852" s="77">
        <f>IF($A852="",0,IF($D852='FICHA VEHICULO'!$C$4,1,0))</f>
      </c>
      <c r="CE852" s="77">
        <f t="shared" si="207"/>
      </c>
      <c r="CF852" s="77">
        <f t="shared" si="208"/>
      </c>
      <c r="CG852" s="77">
        <f t="shared" si="209"/>
      </c>
    </row>
    <row r="853" spans="1:85" ht="19.5" customHeight="1" x14ac:dyDescent="0.2">
      <c r="A853" s="104"/>
      <c r="B853" s="104"/>
      <c r="C853" s="105"/>
      <c r="D853" s="104"/>
      <c r="E853" s="105"/>
      <c r="F853" s="106"/>
      <c r="G853" s="104"/>
      <c r="H853" s="106"/>
      <c r="I853" s="107"/>
      <c r="J853" s="108"/>
      <c r="K853" s="108"/>
      <c r="L853" s="108"/>
      <c r="M853" s="105"/>
      <c r="N853" s="105"/>
      <c r="O853" s="105"/>
      <c r="P853" s="108"/>
      <c r="Q853" s="105"/>
      <c r="R853" s="105"/>
      <c r="S853" s="105"/>
      <c r="T853" s="105"/>
      <c r="U853" s="108"/>
      <c r="V853" s="105"/>
      <c r="W853" s="105"/>
      <c r="X853" s="105"/>
      <c r="Y853" s="105"/>
      <c r="Z853" s="105"/>
      <c r="AA853" s="108"/>
      <c r="AB853" s="108"/>
      <c r="AC853" s="105"/>
      <c r="AD853" s="279"/>
      <c r="AE853" s="105"/>
      <c r="AF853" s="279"/>
      <c r="AG853" s="105"/>
      <c r="AH853" s="108"/>
      <c r="AI853" s="108"/>
      <c r="AJ853" s="108"/>
      <c r="AK853" s="108"/>
      <c r="AL853" s="105"/>
      <c r="AM853" s="108"/>
      <c r="AN853" s="105"/>
      <c r="AO853" s="108"/>
      <c r="AP853" s="108"/>
      <c r="AQ853" s="105"/>
      <c r="AR853" s="108"/>
      <c r="AS853" s="108"/>
      <c r="AT853" s="105"/>
      <c r="AU853" s="105"/>
      <c r="AV853" s="105"/>
      <c r="AW853" s="105"/>
      <c r="AX853" s="105"/>
      <c r="AY853" s="105"/>
      <c r="AZ853" s="105"/>
      <c r="BA853" s="105"/>
      <c r="BB853" s="105"/>
      <c r="BC853" s="105"/>
      <c r="BD853" s="108"/>
      <c r="BE853" s="83">
        <f>IF($A853="","",IF(TRIM($D853&amp;"")="",IF(TRIM($AX853&amp;$AY853&amp;$AZ853&amp;$BA853&amp;$BB853&amp;$BC853&amp;$BD853&amp;"")="","","SUBARRENDADO"),IFERROR(IF(VLOOKUP($D853,VEHICULOS!$A$3:$H$202,7,FALSE)="","",VLOOKUP($D853,VEHICULOS!$A$3:$H$202,7,FALSE)),"")))</f>
      </c>
      <c r="BF853" s="82">
        <f>IF($A853="","",IF(TRIM($BC853&amp;"")&lt;&gt;"",$BC853,IF(TRIM($D853&amp;"")="","",IFERROR(IF(VLOOKUP($D853,VEHICULOS!$A$3:$H$202,8,FALSE)="","",VLOOKUP($D853,VEHICULOS!$A$3:$H$202,8,FALSE)),""))))</f>
      </c>
      <c r="BG853" s="106"/>
      <c r="BH853" s="107"/>
      <c r="BI853" s="86">
        <f t="shared" si="195"/>
      </c>
      <c r="BJ853" s="83">
        <f t="shared" si="196"/>
      </c>
      <c r="BK853" s="85">
        <f t="shared" si="197"/>
      </c>
      <c r="BL853" s="85">
        <f t="shared" si="198"/>
      </c>
      <c r="BM853" s="108"/>
      <c r="BN853" s="85">
        <f t="shared" si="199"/>
      </c>
      <c r="BO853" s="108"/>
      <c r="BP853" s="85">
        <f t="shared" si="200"/>
      </c>
      <c r="BQ853" s="85">
        <f t="shared" si="201"/>
      </c>
      <c r="BR853" s="108"/>
      <c r="BS853" s="104"/>
      <c r="BT853" s="87">
        <f t="shared" si="202"/>
      </c>
      <c r="BU853" s="85">
        <f t="shared" si="203"/>
      </c>
      <c r="BV853" s="85">
        <f t="shared" si="204"/>
      </c>
      <c r="BW853" s="87">
        <f t="shared" si="205"/>
      </c>
      <c r="BX853" s="104"/>
      <c r="BY853" s="106"/>
      <c r="BZ853" s="104"/>
      <c r="CA853" s="105"/>
      <c r="CB853" s="77">
        <f>IF($A853="",0,IF($B853='FICHA CLIENTE'!$C$4,1,0))</f>
      </c>
      <c r="CC853" s="77">
        <f t="shared" si="206"/>
      </c>
      <c r="CD853" s="77">
        <f>IF($A853="",0,IF($D853='FICHA VEHICULO'!$C$4,1,0))</f>
      </c>
      <c r="CE853" s="77">
        <f t="shared" si="207"/>
      </c>
      <c r="CF853" s="77">
        <f t="shared" si="208"/>
      </c>
      <c r="CG853" s="77">
        <f t="shared" si="209"/>
      </c>
    </row>
    <row r="854" spans="1:85" ht="19.5" customHeight="1" x14ac:dyDescent="0.2">
      <c r="A854" s="104"/>
      <c r="B854" s="104"/>
      <c r="C854" s="105"/>
      <c r="D854" s="104"/>
      <c r="E854" s="105"/>
      <c r="F854" s="106"/>
      <c r="G854" s="104"/>
      <c r="H854" s="106"/>
      <c r="I854" s="107"/>
      <c r="J854" s="108"/>
      <c r="K854" s="108"/>
      <c r="L854" s="108"/>
      <c r="M854" s="105"/>
      <c r="N854" s="105"/>
      <c r="O854" s="105"/>
      <c r="P854" s="108"/>
      <c r="Q854" s="105"/>
      <c r="R854" s="105"/>
      <c r="S854" s="105"/>
      <c r="T854" s="105"/>
      <c r="U854" s="108"/>
      <c r="V854" s="105"/>
      <c r="W854" s="105"/>
      <c r="X854" s="105"/>
      <c r="Y854" s="105"/>
      <c r="Z854" s="105"/>
      <c r="AA854" s="108"/>
      <c r="AB854" s="108"/>
      <c r="AC854" s="105"/>
      <c r="AD854" s="279"/>
      <c r="AE854" s="105"/>
      <c r="AF854" s="279"/>
      <c r="AG854" s="105"/>
      <c r="AH854" s="108"/>
      <c r="AI854" s="108"/>
      <c r="AJ854" s="108"/>
      <c r="AK854" s="108"/>
      <c r="AL854" s="105"/>
      <c r="AM854" s="108"/>
      <c r="AN854" s="105"/>
      <c r="AO854" s="108"/>
      <c r="AP854" s="108"/>
      <c r="AQ854" s="105"/>
      <c r="AR854" s="108"/>
      <c r="AS854" s="108"/>
      <c r="AT854" s="105"/>
      <c r="AU854" s="105"/>
      <c r="AV854" s="105"/>
      <c r="AW854" s="105"/>
      <c r="AX854" s="105"/>
      <c r="AY854" s="105"/>
      <c r="AZ854" s="105"/>
      <c r="BA854" s="105"/>
      <c r="BB854" s="105"/>
      <c r="BC854" s="105"/>
      <c r="BD854" s="108"/>
      <c r="BE854" s="83">
        <f>IF($A854="","",IF(TRIM($D854&amp;"")="",IF(TRIM($AX854&amp;$AY854&amp;$AZ854&amp;$BA854&amp;$BB854&amp;$BC854&amp;$BD854&amp;"")="","","SUBARRENDADO"),IFERROR(IF(VLOOKUP($D854,VEHICULOS!$A$3:$H$202,7,FALSE)="","",VLOOKUP($D854,VEHICULOS!$A$3:$H$202,7,FALSE)),"")))</f>
      </c>
      <c r="BF854" s="82">
        <f>IF($A854="","",IF(TRIM($BC854&amp;"")&lt;&gt;"",$BC854,IF(TRIM($D854&amp;"")="","",IFERROR(IF(VLOOKUP($D854,VEHICULOS!$A$3:$H$202,8,FALSE)="","",VLOOKUP($D854,VEHICULOS!$A$3:$H$202,8,FALSE)),""))))</f>
      </c>
      <c r="BG854" s="106"/>
      <c r="BH854" s="107"/>
      <c r="BI854" s="86">
        <f t="shared" si="195"/>
      </c>
      <c r="BJ854" s="83">
        <f t="shared" si="196"/>
      </c>
      <c r="BK854" s="85">
        <f t="shared" si="197"/>
      </c>
      <c r="BL854" s="85">
        <f t="shared" si="198"/>
      </c>
      <c r="BM854" s="108"/>
      <c r="BN854" s="85">
        <f t="shared" si="199"/>
      </c>
      <c r="BO854" s="108"/>
      <c r="BP854" s="85">
        <f t="shared" si="200"/>
      </c>
      <c r="BQ854" s="85">
        <f t="shared" si="201"/>
      </c>
      <c r="BR854" s="108"/>
      <c r="BS854" s="104"/>
      <c r="BT854" s="87">
        <f t="shared" si="202"/>
      </c>
      <c r="BU854" s="85">
        <f t="shared" si="203"/>
      </c>
      <c r="BV854" s="85">
        <f t="shared" si="204"/>
      </c>
      <c r="BW854" s="87">
        <f t="shared" si="205"/>
      </c>
      <c r="BX854" s="104"/>
      <c r="BY854" s="106"/>
      <c r="BZ854" s="104"/>
      <c r="CA854" s="105"/>
      <c r="CB854" s="77">
        <f>IF($A854="",0,IF($B854='FICHA CLIENTE'!$C$4,1,0))</f>
      </c>
      <c r="CC854" s="77">
        <f t="shared" si="206"/>
      </c>
      <c r="CD854" s="77">
        <f>IF($A854="",0,IF($D854='FICHA VEHICULO'!$C$4,1,0))</f>
      </c>
      <c r="CE854" s="77">
        <f t="shared" si="207"/>
      </c>
      <c r="CF854" s="77">
        <f t="shared" si="208"/>
      </c>
      <c r="CG854" s="77">
        <f t="shared" si="209"/>
      </c>
    </row>
    <row r="855" spans="1:85" ht="19.5" customHeight="1" x14ac:dyDescent="0.2">
      <c r="A855" s="104"/>
      <c r="B855" s="104"/>
      <c r="C855" s="105"/>
      <c r="D855" s="104"/>
      <c r="E855" s="105"/>
      <c r="F855" s="106"/>
      <c r="G855" s="104"/>
      <c r="H855" s="106"/>
      <c r="I855" s="107"/>
      <c r="J855" s="108"/>
      <c r="K855" s="108"/>
      <c r="L855" s="108"/>
      <c r="M855" s="105"/>
      <c r="N855" s="105"/>
      <c r="O855" s="105"/>
      <c r="P855" s="108"/>
      <c r="Q855" s="105"/>
      <c r="R855" s="105"/>
      <c r="S855" s="105"/>
      <c r="T855" s="105"/>
      <c r="U855" s="108"/>
      <c r="V855" s="105"/>
      <c r="W855" s="105"/>
      <c r="X855" s="105"/>
      <c r="Y855" s="105"/>
      <c r="Z855" s="105"/>
      <c r="AA855" s="108"/>
      <c r="AB855" s="108"/>
      <c r="AC855" s="105"/>
      <c r="AD855" s="279"/>
      <c r="AE855" s="105"/>
      <c r="AF855" s="279"/>
      <c r="AG855" s="105"/>
      <c r="AH855" s="108"/>
      <c r="AI855" s="108"/>
      <c r="AJ855" s="108"/>
      <c r="AK855" s="108"/>
      <c r="AL855" s="105"/>
      <c r="AM855" s="108"/>
      <c r="AN855" s="105"/>
      <c r="AO855" s="108"/>
      <c r="AP855" s="108"/>
      <c r="AQ855" s="105"/>
      <c r="AR855" s="108"/>
      <c r="AS855" s="108"/>
      <c r="AT855" s="105"/>
      <c r="AU855" s="105"/>
      <c r="AV855" s="105"/>
      <c r="AW855" s="105"/>
      <c r="AX855" s="105"/>
      <c r="AY855" s="105"/>
      <c r="AZ855" s="105"/>
      <c r="BA855" s="105"/>
      <c r="BB855" s="105"/>
      <c r="BC855" s="105"/>
      <c r="BD855" s="108"/>
      <c r="BE855" s="83">
        <f>IF($A855="","",IF(TRIM($D855&amp;"")="",IF(TRIM($AX855&amp;$AY855&amp;$AZ855&amp;$BA855&amp;$BB855&amp;$BC855&amp;$BD855&amp;"")="","","SUBARRENDADO"),IFERROR(IF(VLOOKUP($D855,VEHICULOS!$A$3:$H$202,7,FALSE)="","",VLOOKUP($D855,VEHICULOS!$A$3:$H$202,7,FALSE)),"")))</f>
      </c>
      <c r="BF855" s="82">
        <f>IF($A855="","",IF(TRIM($BC855&amp;"")&lt;&gt;"",$BC855,IF(TRIM($D855&amp;"")="","",IFERROR(IF(VLOOKUP($D855,VEHICULOS!$A$3:$H$202,8,FALSE)="","",VLOOKUP($D855,VEHICULOS!$A$3:$H$202,8,FALSE)),""))))</f>
      </c>
      <c r="BG855" s="106"/>
      <c r="BH855" s="107"/>
      <c r="BI855" s="86">
        <f t="shared" si="195"/>
      </c>
      <c r="BJ855" s="83">
        <f t="shared" si="196"/>
      </c>
      <c r="BK855" s="85">
        <f t="shared" si="197"/>
      </c>
      <c r="BL855" s="85">
        <f t="shared" si="198"/>
      </c>
      <c r="BM855" s="108"/>
      <c r="BN855" s="85">
        <f t="shared" si="199"/>
      </c>
      <c r="BO855" s="108"/>
      <c r="BP855" s="85">
        <f t="shared" si="200"/>
      </c>
      <c r="BQ855" s="85">
        <f t="shared" si="201"/>
      </c>
      <c r="BR855" s="108"/>
      <c r="BS855" s="104"/>
      <c r="BT855" s="87">
        <f t="shared" si="202"/>
      </c>
      <c r="BU855" s="85">
        <f t="shared" si="203"/>
      </c>
      <c r="BV855" s="85">
        <f t="shared" si="204"/>
      </c>
      <c r="BW855" s="87">
        <f t="shared" si="205"/>
      </c>
      <c r="BX855" s="104"/>
      <c r="BY855" s="106"/>
      <c r="BZ855" s="104"/>
      <c r="CA855" s="105"/>
      <c r="CB855" s="77">
        <f>IF($A855="",0,IF($B855='FICHA CLIENTE'!$C$4,1,0))</f>
      </c>
      <c r="CC855" s="77">
        <f t="shared" si="206"/>
      </c>
      <c r="CD855" s="77">
        <f>IF($A855="",0,IF($D855='FICHA VEHICULO'!$C$4,1,0))</f>
      </c>
      <c r="CE855" s="77">
        <f t="shared" si="207"/>
      </c>
      <c r="CF855" s="77">
        <f t="shared" si="208"/>
      </c>
      <c r="CG855" s="77">
        <f t="shared" si="209"/>
      </c>
    </row>
    <row r="856" spans="1:85" ht="19.5" customHeight="1" x14ac:dyDescent="0.2">
      <c r="A856" s="104"/>
      <c r="B856" s="104"/>
      <c r="C856" s="105"/>
      <c r="D856" s="104"/>
      <c r="E856" s="105"/>
      <c r="F856" s="106"/>
      <c r="G856" s="104"/>
      <c r="H856" s="106"/>
      <c r="I856" s="107"/>
      <c r="J856" s="108"/>
      <c r="K856" s="108"/>
      <c r="L856" s="108"/>
      <c r="M856" s="105"/>
      <c r="N856" s="105"/>
      <c r="O856" s="105"/>
      <c r="P856" s="108"/>
      <c r="Q856" s="105"/>
      <c r="R856" s="105"/>
      <c r="S856" s="105"/>
      <c r="T856" s="105"/>
      <c r="U856" s="108"/>
      <c r="V856" s="105"/>
      <c r="W856" s="105"/>
      <c r="X856" s="105"/>
      <c r="Y856" s="105"/>
      <c r="Z856" s="105"/>
      <c r="AA856" s="108"/>
      <c r="AB856" s="108"/>
      <c r="AC856" s="105"/>
      <c r="AD856" s="279"/>
      <c r="AE856" s="105"/>
      <c r="AF856" s="279"/>
      <c r="AG856" s="105"/>
      <c r="AH856" s="108"/>
      <c r="AI856" s="108"/>
      <c r="AJ856" s="108"/>
      <c r="AK856" s="108"/>
      <c r="AL856" s="105"/>
      <c r="AM856" s="108"/>
      <c r="AN856" s="105"/>
      <c r="AO856" s="108"/>
      <c r="AP856" s="108"/>
      <c r="AQ856" s="105"/>
      <c r="AR856" s="108"/>
      <c r="AS856" s="108"/>
      <c r="AT856" s="105"/>
      <c r="AU856" s="105"/>
      <c r="AV856" s="105"/>
      <c r="AW856" s="105"/>
      <c r="AX856" s="105"/>
      <c r="AY856" s="105"/>
      <c r="AZ856" s="105"/>
      <c r="BA856" s="105"/>
      <c r="BB856" s="105"/>
      <c r="BC856" s="105"/>
      <c r="BD856" s="108"/>
      <c r="BE856" s="83">
        <f>IF($A856="","",IF(TRIM($D856&amp;"")="",IF(TRIM($AX856&amp;$AY856&amp;$AZ856&amp;$BA856&amp;$BB856&amp;$BC856&amp;$BD856&amp;"")="","","SUBARRENDADO"),IFERROR(IF(VLOOKUP($D856,VEHICULOS!$A$3:$H$202,7,FALSE)="","",VLOOKUP($D856,VEHICULOS!$A$3:$H$202,7,FALSE)),"")))</f>
      </c>
      <c r="BF856" s="82">
        <f>IF($A856="","",IF(TRIM($BC856&amp;"")&lt;&gt;"",$BC856,IF(TRIM($D856&amp;"")="","",IFERROR(IF(VLOOKUP($D856,VEHICULOS!$A$3:$H$202,8,FALSE)="","",VLOOKUP($D856,VEHICULOS!$A$3:$H$202,8,FALSE)),""))))</f>
      </c>
      <c r="BG856" s="106"/>
      <c r="BH856" s="107"/>
      <c r="BI856" s="86">
        <f t="shared" si="195"/>
      </c>
      <c r="BJ856" s="83">
        <f t="shared" si="196"/>
      </c>
      <c r="BK856" s="85">
        <f t="shared" si="197"/>
      </c>
      <c r="BL856" s="85">
        <f t="shared" si="198"/>
      </c>
      <c r="BM856" s="108"/>
      <c r="BN856" s="85">
        <f t="shared" si="199"/>
      </c>
      <c r="BO856" s="108"/>
      <c r="BP856" s="85">
        <f t="shared" si="200"/>
      </c>
      <c r="BQ856" s="85">
        <f t="shared" si="201"/>
      </c>
      <c r="BR856" s="108"/>
      <c r="BS856" s="104"/>
      <c r="BT856" s="87">
        <f t="shared" si="202"/>
      </c>
      <c r="BU856" s="85">
        <f t="shared" si="203"/>
      </c>
      <c r="BV856" s="85">
        <f t="shared" si="204"/>
      </c>
      <c r="BW856" s="87">
        <f t="shared" si="205"/>
      </c>
      <c r="BX856" s="104"/>
      <c r="BY856" s="106"/>
      <c r="BZ856" s="104"/>
      <c r="CA856" s="105"/>
      <c r="CB856" s="77">
        <f>IF($A856="",0,IF($B856='FICHA CLIENTE'!$C$4,1,0))</f>
      </c>
      <c r="CC856" s="77">
        <f t="shared" si="206"/>
      </c>
      <c r="CD856" s="77">
        <f>IF($A856="",0,IF($D856='FICHA VEHICULO'!$C$4,1,0))</f>
      </c>
      <c r="CE856" s="77">
        <f t="shared" si="207"/>
      </c>
      <c r="CF856" s="77">
        <f t="shared" si="208"/>
      </c>
      <c r="CG856" s="77">
        <f t="shared" si="209"/>
      </c>
    </row>
    <row r="857" spans="1:85" ht="19.5" customHeight="1" x14ac:dyDescent="0.2">
      <c r="A857" s="104"/>
      <c r="B857" s="104"/>
      <c r="C857" s="105"/>
      <c r="D857" s="104"/>
      <c r="E857" s="105"/>
      <c r="F857" s="106"/>
      <c r="G857" s="104"/>
      <c r="H857" s="106"/>
      <c r="I857" s="107"/>
      <c r="J857" s="108"/>
      <c r="K857" s="108"/>
      <c r="L857" s="108"/>
      <c r="M857" s="105"/>
      <c r="N857" s="105"/>
      <c r="O857" s="105"/>
      <c r="P857" s="108"/>
      <c r="Q857" s="105"/>
      <c r="R857" s="105"/>
      <c r="S857" s="105"/>
      <c r="T857" s="105"/>
      <c r="U857" s="108"/>
      <c r="V857" s="105"/>
      <c r="W857" s="105"/>
      <c r="X857" s="105"/>
      <c r="Y857" s="105"/>
      <c r="Z857" s="105"/>
      <c r="AA857" s="108"/>
      <c r="AB857" s="108"/>
      <c r="AC857" s="105"/>
      <c r="AD857" s="279"/>
      <c r="AE857" s="105"/>
      <c r="AF857" s="279"/>
      <c r="AG857" s="105"/>
      <c r="AH857" s="108"/>
      <c r="AI857" s="108"/>
      <c r="AJ857" s="108"/>
      <c r="AK857" s="108"/>
      <c r="AL857" s="105"/>
      <c r="AM857" s="108"/>
      <c r="AN857" s="105"/>
      <c r="AO857" s="108"/>
      <c r="AP857" s="108"/>
      <c r="AQ857" s="105"/>
      <c r="AR857" s="108"/>
      <c r="AS857" s="108"/>
      <c r="AT857" s="105"/>
      <c r="AU857" s="105"/>
      <c r="AV857" s="105"/>
      <c r="AW857" s="105"/>
      <c r="AX857" s="105"/>
      <c r="AY857" s="105"/>
      <c r="AZ857" s="105"/>
      <c r="BA857" s="105"/>
      <c r="BB857" s="105"/>
      <c r="BC857" s="105"/>
      <c r="BD857" s="108"/>
      <c r="BE857" s="83">
        <f>IF($A857="","",IF(TRIM($D857&amp;"")="",IF(TRIM($AX857&amp;$AY857&amp;$AZ857&amp;$BA857&amp;$BB857&amp;$BC857&amp;$BD857&amp;"")="","","SUBARRENDADO"),IFERROR(IF(VLOOKUP($D857,VEHICULOS!$A$3:$H$202,7,FALSE)="","",VLOOKUP($D857,VEHICULOS!$A$3:$H$202,7,FALSE)),"")))</f>
      </c>
      <c r="BF857" s="82">
        <f>IF($A857="","",IF(TRIM($BC857&amp;"")&lt;&gt;"",$BC857,IF(TRIM($D857&amp;"")="","",IFERROR(IF(VLOOKUP($D857,VEHICULOS!$A$3:$H$202,8,FALSE)="","",VLOOKUP($D857,VEHICULOS!$A$3:$H$202,8,FALSE)),""))))</f>
      </c>
      <c r="BG857" s="106"/>
      <c r="BH857" s="107"/>
      <c r="BI857" s="86">
        <f t="shared" si="195"/>
      </c>
      <c r="BJ857" s="83">
        <f t="shared" si="196"/>
      </c>
      <c r="BK857" s="85">
        <f t="shared" si="197"/>
      </c>
      <c r="BL857" s="85">
        <f t="shared" si="198"/>
      </c>
      <c r="BM857" s="108"/>
      <c r="BN857" s="85">
        <f t="shared" si="199"/>
      </c>
      <c r="BO857" s="108"/>
      <c r="BP857" s="85">
        <f t="shared" si="200"/>
      </c>
      <c r="BQ857" s="85">
        <f t="shared" si="201"/>
      </c>
      <c r="BR857" s="108"/>
      <c r="BS857" s="104"/>
      <c r="BT857" s="87">
        <f t="shared" si="202"/>
      </c>
      <c r="BU857" s="85">
        <f t="shared" si="203"/>
      </c>
      <c r="BV857" s="85">
        <f t="shared" si="204"/>
      </c>
      <c r="BW857" s="87">
        <f t="shared" si="205"/>
      </c>
      <c r="BX857" s="104"/>
      <c r="BY857" s="106"/>
      <c r="BZ857" s="104"/>
      <c r="CA857" s="105"/>
      <c r="CB857" s="77">
        <f>IF($A857="",0,IF($B857='FICHA CLIENTE'!$C$4,1,0))</f>
      </c>
      <c r="CC857" s="77">
        <f t="shared" si="206"/>
      </c>
      <c r="CD857" s="77">
        <f>IF($A857="",0,IF($D857='FICHA VEHICULO'!$C$4,1,0))</f>
      </c>
      <c r="CE857" s="77">
        <f t="shared" si="207"/>
      </c>
      <c r="CF857" s="77">
        <f t="shared" si="208"/>
      </c>
      <c r="CG857" s="77">
        <f t="shared" si="209"/>
      </c>
    </row>
    <row r="858" spans="1:85" ht="19.5" customHeight="1" x14ac:dyDescent="0.2">
      <c r="A858" s="104"/>
      <c r="B858" s="104"/>
      <c r="C858" s="105"/>
      <c r="D858" s="104"/>
      <c r="E858" s="105"/>
      <c r="F858" s="106"/>
      <c r="G858" s="104"/>
      <c r="H858" s="106"/>
      <c r="I858" s="107"/>
      <c r="J858" s="108"/>
      <c r="K858" s="108"/>
      <c r="L858" s="108"/>
      <c r="M858" s="105"/>
      <c r="N858" s="105"/>
      <c r="O858" s="105"/>
      <c r="P858" s="108"/>
      <c r="Q858" s="105"/>
      <c r="R858" s="105"/>
      <c r="S858" s="105"/>
      <c r="T858" s="105"/>
      <c r="U858" s="108"/>
      <c r="V858" s="105"/>
      <c r="W858" s="105"/>
      <c r="X858" s="105"/>
      <c r="Y858" s="105"/>
      <c r="Z858" s="105"/>
      <c r="AA858" s="108"/>
      <c r="AB858" s="108"/>
      <c r="AC858" s="105"/>
      <c r="AD858" s="279"/>
      <c r="AE858" s="105"/>
      <c r="AF858" s="279"/>
      <c r="AG858" s="105"/>
      <c r="AH858" s="108"/>
      <c r="AI858" s="108"/>
      <c r="AJ858" s="108"/>
      <c r="AK858" s="108"/>
      <c r="AL858" s="105"/>
      <c r="AM858" s="108"/>
      <c r="AN858" s="105"/>
      <c r="AO858" s="108"/>
      <c r="AP858" s="108"/>
      <c r="AQ858" s="105"/>
      <c r="AR858" s="108"/>
      <c r="AS858" s="108"/>
      <c r="AT858" s="105"/>
      <c r="AU858" s="105"/>
      <c r="AV858" s="105"/>
      <c r="AW858" s="105"/>
      <c r="AX858" s="105"/>
      <c r="AY858" s="105"/>
      <c r="AZ858" s="105"/>
      <c r="BA858" s="105"/>
      <c r="BB858" s="105"/>
      <c r="BC858" s="105"/>
      <c r="BD858" s="108"/>
      <c r="BE858" s="83">
        <f>IF($A858="","",IF(TRIM($D858&amp;"")="",IF(TRIM($AX858&amp;$AY858&amp;$AZ858&amp;$BA858&amp;$BB858&amp;$BC858&amp;$BD858&amp;"")="","","SUBARRENDADO"),IFERROR(IF(VLOOKUP($D858,VEHICULOS!$A$3:$H$202,7,FALSE)="","",VLOOKUP($D858,VEHICULOS!$A$3:$H$202,7,FALSE)),"")))</f>
      </c>
      <c r="BF858" s="82">
        <f>IF($A858="","",IF(TRIM($BC858&amp;"")&lt;&gt;"",$BC858,IF(TRIM($D858&amp;"")="","",IFERROR(IF(VLOOKUP($D858,VEHICULOS!$A$3:$H$202,8,FALSE)="","",VLOOKUP($D858,VEHICULOS!$A$3:$H$202,8,FALSE)),""))))</f>
      </c>
      <c r="BG858" s="106"/>
      <c r="BH858" s="107"/>
      <c r="BI858" s="86">
        <f t="shared" si="195"/>
      </c>
      <c r="BJ858" s="83">
        <f t="shared" si="196"/>
      </c>
      <c r="BK858" s="85">
        <f t="shared" si="197"/>
      </c>
      <c r="BL858" s="85">
        <f t="shared" si="198"/>
      </c>
      <c r="BM858" s="108"/>
      <c r="BN858" s="85">
        <f t="shared" si="199"/>
      </c>
      <c r="BO858" s="108"/>
      <c r="BP858" s="85">
        <f t="shared" si="200"/>
      </c>
      <c r="BQ858" s="85">
        <f t="shared" si="201"/>
      </c>
      <c r="BR858" s="108"/>
      <c r="BS858" s="104"/>
      <c r="BT858" s="87">
        <f t="shared" si="202"/>
      </c>
      <c r="BU858" s="85">
        <f t="shared" si="203"/>
      </c>
      <c r="BV858" s="85">
        <f t="shared" si="204"/>
      </c>
      <c r="BW858" s="87">
        <f t="shared" si="205"/>
      </c>
      <c r="BX858" s="104"/>
      <c r="BY858" s="106"/>
      <c r="BZ858" s="104"/>
      <c r="CA858" s="105"/>
      <c r="CB858" s="77">
        <f>IF($A858="",0,IF($B858='FICHA CLIENTE'!$C$4,1,0))</f>
      </c>
      <c r="CC858" s="77">
        <f t="shared" si="206"/>
      </c>
      <c r="CD858" s="77">
        <f>IF($A858="",0,IF($D858='FICHA VEHICULO'!$C$4,1,0))</f>
      </c>
      <c r="CE858" s="77">
        <f t="shared" si="207"/>
      </c>
      <c r="CF858" s="77">
        <f t="shared" si="208"/>
      </c>
      <c r="CG858" s="77">
        <f t="shared" si="209"/>
      </c>
    </row>
    <row r="859" spans="1:85" ht="19.5" customHeight="1" x14ac:dyDescent="0.2">
      <c r="A859" s="104"/>
      <c r="B859" s="104"/>
      <c r="C859" s="105"/>
      <c r="D859" s="104"/>
      <c r="E859" s="105"/>
      <c r="F859" s="106"/>
      <c r="G859" s="104"/>
      <c r="H859" s="106"/>
      <c r="I859" s="107"/>
      <c r="J859" s="108"/>
      <c r="K859" s="108"/>
      <c r="L859" s="108"/>
      <c r="M859" s="105"/>
      <c r="N859" s="105"/>
      <c r="O859" s="105"/>
      <c r="P859" s="108"/>
      <c r="Q859" s="105"/>
      <c r="R859" s="105"/>
      <c r="S859" s="105"/>
      <c r="T859" s="105"/>
      <c r="U859" s="108"/>
      <c r="V859" s="105"/>
      <c r="W859" s="105"/>
      <c r="X859" s="105"/>
      <c r="Y859" s="105"/>
      <c r="Z859" s="105"/>
      <c r="AA859" s="108"/>
      <c r="AB859" s="108"/>
      <c r="AC859" s="105"/>
      <c r="AD859" s="279"/>
      <c r="AE859" s="105"/>
      <c r="AF859" s="279"/>
      <c r="AG859" s="105"/>
      <c r="AH859" s="108"/>
      <c r="AI859" s="108"/>
      <c r="AJ859" s="108"/>
      <c r="AK859" s="108"/>
      <c r="AL859" s="105"/>
      <c r="AM859" s="108"/>
      <c r="AN859" s="105"/>
      <c r="AO859" s="108"/>
      <c r="AP859" s="108"/>
      <c r="AQ859" s="105"/>
      <c r="AR859" s="108"/>
      <c r="AS859" s="108"/>
      <c r="AT859" s="105"/>
      <c r="AU859" s="105"/>
      <c r="AV859" s="105"/>
      <c r="AW859" s="105"/>
      <c r="AX859" s="105"/>
      <c r="AY859" s="105"/>
      <c r="AZ859" s="105"/>
      <c r="BA859" s="105"/>
      <c r="BB859" s="105"/>
      <c r="BC859" s="105"/>
      <c r="BD859" s="108"/>
      <c r="BE859" s="83">
        <f>IF($A859="","",IF(TRIM($D859&amp;"")="",IF(TRIM($AX859&amp;$AY859&amp;$AZ859&amp;$BA859&amp;$BB859&amp;$BC859&amp;$BD859&amp;"")="","","SUBARRENDADO"),IFERROR(IF(VLOOKUP($D859,VEHICULOS!$A$3:$H$202,7,FALSE)="","",VLOOKUP($D859,VEHICULOS!$A$3:$H$202,7,FALSE)),"")))</f>
      </c>
      <c r="BF859" s="82">
        <f>IF($A859="","",IF(TRIM($BC859&amp;"")&lt;&gt;"",$BC859,IF(TRIM($D859&amp;"")="","",IFERROR(IF(VLOOKUP($D859,VEHICULOS!$A$3:$H$202,8,FALSE)="","",VLOOKUP($D859,VEHICULOS!$A$3:$H$202,8,FALSE)),""))))</f>
      </c>
      <c r="BG859" s="106"/>
      <c r="BH859" s="107"/>
      <c r="BI859" s="86">
        <f t="shared" si="195"/>
      </c>
      <c r="BJ859" s="83">
        <f t="shared" si="196"/>
      </c>
      <c r="BK859" s="85">
        <f t="shared" si="197"/>
      </c>
      <c r="BL859" s="85">
        <f t="shared" si="198"/>
      </c>
      <c r="BM859" s="108"/>
      <c r="BN859" s="85">
        <f t="shared" si="199"/>
      </c>
      <c r="BO859" s="108"/>
      <c r="BP859" s="85">
        <f t="shared" si="200"/>
      </c>
      <c r="BQ859" s="85">
        <f t="shared" si="201"/>
      </c>
      <c r="BR859" s="108"/>
      <c r="BS859" s="104"/>
      <c r="BT859" s="87">
        <f t="shared" si="202"/>
      </c>
      <c r="BU859" s="85">
        <f t="shared" si="203"/>
      </c>
      <c r="BV859" s="85">
        <f t="shared" si="204"/>
      </c>
      <c r="BW859" s="87">
        <f t="shared" si="205"/>
      </c>
      <c r="BX859" s="104"/>
      <c r="BY859" s="106"/>
      <c r="BZ859" s="104"/>
      <c r="CA859" s="105"/>
      <c r="CB859" s="77">
        <f>IF($A859="",0,IF($B859='FICHA CLIENTE'!$C$4,1,0))</f>
      </c>
      <c r="CC859" s="77">
        <f t="shared" si="206"/>
      </c>
      <c r="CD859" s="77">
        <f>IF($A859="",0,IF($D859='FICHA VEHICULO'!$C$4,1,0))</f>
      </c>
      <c r="CE859" s="77">
        <f t="shared" si="207"/>
      </c>
      <c r="CF859" s="77">
        <f t="shared" si="208"/>
      </c>
      <c r="CG859" s="77">
        <f t="shared" si="209"/>
      </c>
    </row>
    <row r="860" spans="1:85" ht="19.5" customHeight="1" x14ac:dyDescent="0.2">
      <c r="A860" s="104"/>
      <c r="B860" s="104"/>
      <c r="C860" s="105"/>
      <c r="D860" s="104"/>
      <c r="E860" s="105"/>
      <c r="F860" s="106"/>
      <c r="G860" s="104"/>
      <c r="H860" s="106"/>
      <c r="I860" s="107"/>
      <c r="J860" s="108"/>
      <c r="K860" s="108"/>
      <c r="L860" s="108"/>
      <c r="M860" s="105"/>
      <c r="N860" s="105"/>
      <c r="O860" s="105"/>
      <c r="P860" s="108"/>
      <c r="Q860" s="105"/>
      <c r="R860" s="105"/>
      <c r="S860" s="105"/>
      <c r="T860" s="105"/>
      <c r="U860" s="108"/>
      <c r="V860" s="105"/>
      <c r="W860" s="105"/>
      <c r="X860" s="105"/>
      <c r="Y860" s="105"/>
      <c r="Z860" s="105"/>
      <c r="AA860" s="108"/>
      <c r="AB860" s="108"/>
      <c r="AC860" s="105"/>
      <c r="AD860" s="279"/>
      <c r="AE860" s="105"/>
      <c r="AF860" s="279"/>
      <c r="AG860" s="105"/>
      <c r="AH860" s="108"/>
      <c r="AI860" s="108"/>
      <c r="AJ860" s="108"/>
      <c r="AK860" s="108"/>
      <c r="AL860" s="105"/>
      <c r="AM860" s="108"/>
      <c r="AN860" s="105"/>
      <c r="AO860" s="108"/>
      <c r="AP860" s="108"/>
      <c r="AQ860" s="105"/>
      <c r="AR860" s="108"/>
      <c r="AS860" s="108"/>
      <c r="AT860" s="105"/>
      <c r="AU860" s="105"/>
      <c r="AV860" s="105"/>
      <c r="AW860" s="105"/>
      <c r="AX860" s="105"/>
      <c r="AY860" s="105"/>
      <c r="AZ860" s="105"/>
      <c r="BA860" s="105"/>
      <c r="BB860" s="105"/>
      <c r="BC860" s="105"/>
      <c r="BD860" s="108"/>
      <c r="BE860" s="83">
        <f>IF($A860="","",IF(TRIM($D860&amp;"")="",IF(TRIM($AX860&amp;$AY860&amp;$AZ860&amp;$BA860&amp;$BB860&amp;$BC860&amp;$BD860&amp;"")="","","SUBARRENDADO"),IFERROR(IF(VLOOKUP($D860,VEHICULOS!$A$3:$H$202,7,FALSE)="","",VLOOKUP($D860,VEHICULOS!$A$3:$H$202,7,FALSE)),"")))</f>
      </c>
      <c r="BF860" s="82">
        <f>IF($A860="","",IF(TRIM($BC860&amp;"")&lt;&gt;"",$BC860,IF(TRIM($D860&amp;"")="","",IFERROR(IF(VLOOKUP($D860,VEHICULOS!$A$3:$H$202,8,FALSE)="","",VLOOKUP($D860,VEHICULOS!$A$3:$H$202,8,FALSE)),""))))</f>
      </c>
      <c r="BG860" s="106"/>
      <c r="BH860" s="107"/>
      <c r="BI860" s="86">
        <f t="shared" si="195"/>
      </c>
      <c r="BJ860" s="83">
        <f t="shared" si="196"/>
      </c>
      <c r="BK860" s="85">
        <f t="shared" si="197"/>
      </c>
      <c r="BL860" s="85">
        <f t="shared" si="198"/>
      </c>
      <c r="BM860" s="108"/>
      <c r="BN860" s="85">
        <f t="shared" si="199"/>
      </c>
      <c r="BO860" s="108"/>
      <c r="BP860" s="85">
        <f t="shared" si="200"/>
      </c>
      <c r="BQ860" s="85">
        <f t="shared" si="201"/>
      </c>
      <c r="BR860" s="108"/>
      <c r="BS860" s="104"/>
      <c r="BT860" s="87">
        <f t="shared" si="202"/>
      </c>
      <c r="BU860" s="85">
        <f t="shared" si="203"/>
      </c>
      <c r="BV860" s="85">
        <f t="shared" si="204"/>
      </c>
      <c r="BW860" s="87">
        <f t="shared" si="205"/>
      </c>
      <c r="BX860" s="104"/>
      <c r="BY860" s="106"/>
      <c r="BZ860" s="104"/>
      <c r="CA860" s="105"/>
      <c r="CB860" s="77">
        <f>IF($A860="",0,IF($B860='FICHA CLIENTE'!$C$4,1,0))</f>
      </c>
      <c r="CC860" s="77">
        <f t="shared" si="206"/>
      </c>
      <c r="CD860" s="77">
        <f>IF($A860="",0,IF($D860='FICHA VEHICULO'!$C$4,1,0))</f>
      </c>
      <c r="CE860" s="77">
        <f t="shared" si="207"/>
      </c>
      <c r="CF860" s="77">
        <f t="shared" si="208"/>
      </c>
      <c r="CG860" s="77">
        <f t="shared" si="209"/>
      </c>
    </row>
    <row r="861" spans="1:85" ht="19.5" customHeight="1" x14ac:dyDescent="0.2">
      <c r="A861" s="104"/>
      <c r="B861" s="104"/>
      <c r="C861" s="105"/>
      <c r="D861" s="104"/>
      <c r="E861" s="105"/>
      <c r="F861" s="106"/>
      <c r="G861" s="104"/>
      <c r="H861" s="106"/>
      <c r="I861" s="107"/>
      <c r="J861" s="108"/>
      <c r="K861" s="108"/>
      <c r="L861" s="108"/>
      <c r="M861" s="105"/>
      <c r="N861" s="105"/>
      <c r="O861" s="105"/>
      <c r="P861" s="108"/>
      <c r="Q861" s="105"/>
      <c r="R861" s="105"/>
      <c r="S861" s="105"/>
      <c r="T861" s="105"/>
      <c r="U861" s="108"/>
      <c r="V861" s="105"/>
      <c r="W861" s="105"/>
      <c r="X861" s="105"/>
      <c r="Y861" s="105"/>
      <c r="Z861" s="105"/>
      <c r="AA861" s="108"/>
      <c r="AB861" s="108"/>
      <c r="AC861" s="105"/>
      <c r="AD861" s="279"/>
      <c r="AE861" s="105"/>
      <c r="AF861" s="279"/>
      <c r="AG861" s="105"/>
      <c r="AH861" s="108"/>
      <c r="AI861" s="108"/>
      <c r="AJ861" s="108"/>
      <c r="AK861" s="108"/>
      <c r="AL861" s="105"/>
      <c r="AM861" s="108"/>
      <c r="AN861" s="105"/>
      <c r="AO861" s="108"/>
      <c r="AP861" s="108"/>
      <c r="AQ861" s="105"/>
      <c r="AR861" s="108"/>
      <c r="AS861" s="108"/>
      <c r="AT861" s="105"/>
      <c r="AU861" s="105"/>
      <c r="AV861" s="105"/>
      <c r="AW861" s="105"/>
      <c r="AX861" s="105"/>
      <c r="AY861" s="105"/>
      <c r="AZ861" s="105"/>
      <c r="BA861" s="105"/>
      <c r="BB861" s="105"/>
      <c r="BC861" s="105"/>
      <c r="BD861" s="108"/>
      <c r="BE861" s="83">
        <f>IF($A861="","",IF(TRIM($D861&amp;"")="",IF(TRIM($AX861&amp;$AY861&amp;$AZ861&amp;$BA861&amp;$BB861&amp;$BC861&amp;$BD861&amp;"")="","","SUBARRENDADO"),IFERROR(IF(VLOOKUP($D861,VEHICULOS!$A$3:$H$202,7,FALSE)="","",VLOOKUP($D861,VEHICULOS!$A$3:$H$202,7,FALSE)),"")))</f>
      </c>
      <c r="BF861" s="82">
        <f>IF($A861="","",IF(TRIM($BC861&amp;"")&lt;&gt;"",$BC861,IF(TRIM($D861&amp;"")="","",IFERROR(IF(VLOOKUP($D861,VEHICULOS!$A$3:$H$202,8,FALSE)="","",VLOOKUP($D861,VEHICULOS!$A$3:$H$202,8,FALSE)),""))))</f>
      </c>
      <c r="BG861" s="106"/>
      <c r="BH861" s="107"/>
      <c r="BI861" s="86">
        <f t="shared" si="195"/>
      </c>
      <c r="BJ861" s="83">
        <f t="shared" si="196"/>
      </c>
      <c r="BK861" s="85">
        <f t="shared" si="197"/>
      </c>
      <c r="BL861" s="85">
        <f t="shared" si="198"/>
      </c>
      <c r="BM861" s="108"/>
      <c r="BN861" s="85">
        <f t="shared" si="199"/>
      </c>
      <c r="BO861" s="108"/>
      <c r="BP861" s="85">
        <f t="shared" si="200"/>
      </c>
      <c r="BQ861" s="85">
        <f t="shared" si="201"/>
      </c>
      <c r="BR861" s="108"/>
      <c r="BS861" s="104"/>
      <c r="BT861" s="87">
        <f t="shared" si="202"/>
      </c>
      <c r="BU861" s="85">
        <f t="shared" si="203"/>
      </c>
      <c r="BV861" s="85">
        <f t="shared" si="204"/>
      </c>
      <c r="BW861" s="87">
        <f t="shared" si="205"/>
      </c>
      <c r="BX861" s="104"/>
      <c r="BY861" s="106"/>
      <c r="BZ861" s="104"/>
      <c r="CA861" s="105"/>
      <c r="CB861" s="77">
        <f>IF($A861="",0,IF($B861='FICHA CLIENTE'!$C$4,1,0))</f>
      </c>
      <c r="CC861" s="77">
        <f t="shared" si="206"/>
      </c>
      <c r="CD861" s="77">
        <f>IF($A861="",0,IF($D861='FICHA VEHICULO'!$C$4,1,0))</f>
      </c>
      <c r="CE861" s="77">
        <f t="shared" si="207"/>
      </c>
      <c r="CF861" s="77">
        <f t="shared" si="208"/>
      </c>
      <c r="CG861" s="77">
        <f t="shared" si="209"/>
      </c>
    </row>
    <row r="862" spans="1:85" ht="19.5" customHeight="1" x14ac:dyDescent="0.2">
      <c r="A862" s="104"/>
      <c r="B862" s="104"/>
      <c r="C862" s="105"/>
      <c r="D862" s="104"/>
      <c r="E862" s="105"/>
      <c r="F862" s="106"/>
      <c r="G862" s="104"/>
      <c r="H862" s="106"/>
      <c r="I862" s="107"/>
      <c r="J862" s="108"/>
      <c r="K862" s="108"/>
      <c r="L862" s="108"/>
      <c r="M862" s="105"/>
      <c r="N862" s="105"/>
      <c r="O862" s="105"/>
      <c r="P862" s="108"/>
      <c r="Q862" s="105"/>
      <c r="R862" s="105"/>
      <c r="S862" s="105"/>
      <c r="T862" s="105"/>
      <c r="U862" s="108"/>
      <c r="V862" s="105"/>
      <c r="W862" s="105"/>
      <c r="X862" s="105"/>
      <c r="Y862" s="105"/>
      <c r="Z862" s="105"/>
      <c r="AA862" s="108"/>
      <c r="AB862" s="108"/>
      <c r="AC862" s="105"/>
      <c r="AD862" s="279"/>
      <c r="AE862" s="105"/>
      <c r="AF862" s="279"/>
      <c r="AG862" s="105"/>
      <c r="AH862" s="108"/>
      <c r="AI862" s="108"/>
      <c r="AJ862" s="108"/>
      <c r="AK862" s="108"/>
      <c r="AL862" s="105"/>
      <c r="AM862" s="108"/>
      <c r="AN862" s="105"/>
      <c r="AO862" s="108"/>
      <c r="AP862" s="108"/>
      <c r="AQ862" s="105"/>
      <c r="AR862" s="108"/>
      <c r="AS862" s="108"/>
      <c r="AT862" s="105"/>
      <c r="AU862" s="105"/>
      <c r="AV862" s="105"/>
      <c r="AW862" s="105"/>
      <c r="AX862" s="105"/>
      <c r="AY862" s="105"/>
      <c r="AZ862" s="105"/>
      <c r="BA862" s="105"/>
      <c r="BB862" s="105"/>
      <c r="BC862" s="105"/>
      <c r="BD862" s="108"/>
      <c r="BE862" s="83">
        <f>IF($A862="","",IF(TRIM($D862&amp;"")="",IF(TRIM($AX862&amp;$AY862&amp;$AZ862&amp;$BA862&amp;$BB862&amp;$BC862&amp;$BD862&amp;"")="","","SUBARRENDADO"),IFERROR(IF(VLOOKUP($D862,VEHICULOS!$A$3:$H$202,7,FALSE)="","",VLOOKUP($D862,VEHICULOS!$A$3:$H$202,7,FALSE)),"")))</f>
      </c>
      <c r="BF862" s="82">
        <f>IF($A862="","",IF(TRIM($BC862&amp;"")&lt;&gt;"",$BC862,IF(TRIM($D862&amp;"")="","",IFERROR(IF(VLOOKUP($D862,VEHICULOS!$A$3:$H$202,8,FALSE)="","",VLOOKUP($D862,VEHICULOS!$A$3:$H$202,8,FALSE)),""))))</f>
      </c>
      <c r="BG862" s="106"/>
      <c r="BH862" s="107"/>
      <c r="BI862" s="86">
        <f t="shared" si="195"/>
      </c>
      <c r="BJ862" s="83">
        <f t="shared" si="196"/>
      </c>
      <c r="BK862" s="85">
        <f t="shared" si="197"/>
      </c>
      <c r="BL862" s="85">
        <f t="shared" si="198"/>
      </c>
      <c r="BM862" s="108"/>
      <c r="BN862" s="85">
        <f t="shared" si="199"/>
      </c>
      <c r="BO862" s="108"/>
      <c r="BP862" s="85">
        <f t="shared" si="200"/>
      </c>
      <c r="BQ862" s="85">
        <f t="shared" si="201"/>
      </c>
      <c r="BR862" s="108"/>
      <c r="BS862" s="104"/>
      <c r="BT862" s="87">
        <f t="shared" si="202"/>
      </c>
      <c r="BU862" s="85">
        <f t="shared" si="203"/>
      </c>
      <c r="BV862" s="85">
        <f t="shared" si="204"/>
      </c>
      <c r="BW862" s="87">
        <f t="shared" si="205"/>
      </c>
      <c r="BX862" s="104"/>
      <c r="BY862" s="106"/>
      <c r="BZ862" s="104"/>
      <c r="CA862" s="105"/>
      <c r="CB862" s="77">
        <f>IF($A862="",0,IF($B862='FICHA CLIENTE'!$C$4,1,0))</f>
      </c>
      <c r="CC862" s="77">
        <f t="shared" si="206"/>
      </c>
      <c r="CD862" s="77">
        <f>IF($A862="",0,IF($D862='FICHA VEHICULO'!$C$4,1,0))</f>
      </c>
      <c r="CE862" s="77">
        <f t="shared" si="207"/>
      </c>
      <c r="CF862" s="77">
        <f t="shared" si="208"/>
      </c>
      <c r="CG862" s="77">
        <f t="shared" si="209"/>
      </c>
    </row>
    <row r="863" spans="1:85" ht="19.5" customHeight="1" x14ac:dyDescent="0.2">
      <c r="A863" s="104"/>
      <c r="B863" s="104"/>
      <c r="C863" s="105"/>
      <c r="D863" s="104"/>
      <c r="E863" s="105"/>
      <c r="F863" s="106"/>
      <c r="G863" s="104"/>
      <c r="H863" s="106"/>
      <c r="I863" s="107"/>
      <c r="J863" s="108"/>
      <c r="K863" s="108"/>
      <c r="L863" s="108"/>
      <c r="M863" s="105"/>
      <c r="N863" s="105"/>
      <c r="O863" s="105"/>
      <c r="P863" s="108"/>
      <c r="Q863" s="105"/>
      <c r="R863" s="105"/>
      <c r="S863" s="105"/>
      <c r="T863" s="105"/>
      <c r="U863" s="108"/>
      <c r="V863" s="105"/>
      <c r="W863" s="105"/>
      <c r="X863" s="105"/>
      <c r="Y863" s="105"/>
      <c r="Z863" s="105"/>
      <c r="AA863" s="108"/>
      <c r="AB863" s="108"/>
      <c r="AC863" s="105"/>
      <c r="AD863" s="279"/>
      <c r="AE863" s="105"/>
      <c r="AF863" s="279"/>
      <c r="AG863" s="105"/>
      <c r="AH863" s="108"/>
      <c r="AI863" s="108"/>
      <c r="AJ863" s="108"/>
      <c r="AK863" s="108"/>
      <c r="AL863" s="105"/>
      <c r="AM863" s="108"/>
      <c r="AN863" s="105"/>
      <c r="AO863" s="108"/>
      <c r="AP863" s="108"/>
      <c r="AQ863" s="105"/>
      <c r="AR863" s="108"/>
      <c r="AS863" s="108"/>
      <c r="AT863" s="105"/>
      <c r="AU863" s="105"/>
      <c r="AV863" s="105"/>
      <c r="AW863" s="105"/>
      <c r="AX863" s="105"/>
      <c r="AY863" s="105"/>
      <c r="AZ863" s="105"/>
      <c r="BA863" s="105"/>
      <c r="BB863" s="105"/>
      <c r="BC863" s="105"/>
      <c r="BD863" s="108"/>
      <c r="BE863" s="83">
        <f>IF($A863="","",IF(TRIM($D863&amp;"")="",IF(TRIM($AX863&amp;$AY863&amp;$AZ863&amp;$BA863&amp;$BB863&amp;$BC863&amp;$BD863&amp;"")="","","SUBARRENDADO"),IFERROR(IF(VLOOKUP($D863,VEHICULOS!$A$3:$H$202,7,FALSE)="","",VLOOKUP($D863,VEHICULOS!$A$3:$H$202,7,FALSE)),"")))</f>
      </c>
      <c r="BF863" s="82">
        <f>IF($A863="","",IF(TRIM($BC863&amp;"")&lt;&gt;"",$BC863,IF(TRIM($D863&amp;"")="","",IFERROR(IF(VLOOKUP($D863,VEHICULOS!$A$3:$H$202,8,FALSE)="","",VLOOKUP($D863,VEHICULOS!$A$3:$H$202,8,FALSE)),""))))</f>
      </c>
      <c r="BG863" s="106"/>
      <c r="BH863" s="107"/>
      <c r="BI863" s="86">
        <f t="shared" si="195"/>
      </c>
      <c r="BJ863" s="83">
        <f t="shared" si="196"/>
      </c>
      <c r="BK863" s="85">
        <f t="shared" si="197"/>
      </c>
      <c r="BL863" s="85">
        <f t="shared" si="198"/>
      </c>
      <c r="BM863" s="108"/>
      <c r="BN863" s="85">
        <f t="shared" si="199"/>
      </c>
      <c r="BO863" s="108"/>
      <c r="BP863" s="85">
        <f t="shared" si="200"/>
      </c>
      <c r="BQ863" s="85">
        <f t="shared" si="201"/>
      </c>
      <c r="BR863" s="108"/>
      <c r="BS863" s="104"/>
      <c r="BT863" s="87">
        <f t="shared" si="202"/>
      </c>
      <c r="BU863" s="85">
        <f t="shared" si="203"/>
      </c>
      <c r="BV863" s="85">
        <f t="shared" si="204"/>
      </c>
      <c r="BW863" s="87">
        <f t="shared" si="205"/>
      </c>
      <c r="BX863" s="104"/>
      <c r="BY863" s="106"/>
      <c r="BZ863" s="104"/>
      <c r="CA863" s="105"/>
      <c r="CB863" s="77">
        <f>IF($A863="",0,IF($B863='FICHA CLIENTE'!$C$4,1,0))</f>
      </c>
      <c r="CC863" s="77">
        <f t="shared" si="206"/>
      </c>
      <c r="CD863" s="77">
        <f>IF($A863="",0,IF($D863='FICHA VEHICULO'!$C$4,1,0))</f>
      </c>
      <c r="CE863" s="77">
        <f t="shared" si="207"/>
      </c>
      <c r="CF863" s="77">
        <f t="shared" si="208"/>
      </c>
      <c r="CG863" s="77">
        <f t="shared" si="209"/>
      </c>
    </row>
    <row r="864" spans="1:85" ht="19.5" customHeight="1" x14ac:dyDescent="0.2">
      <c r="A864" s="104"/>
      <c r="B864" s="104"/>
      <c r="C864" s="105"/>
      <c r="D864" s="104"/>
      <c r="E864" s="105"/>
      <c r="F864" s="106"/>
      <c r="G864" s="104"/>
      <c r="H864" s="106"/>
      <c r="I864" s="107"/>
      <c r="J864" s="108"/>
      <c r="K864" s="108"/>
      <c r="L864" s="108"/>
      <c r="M864" s="105"/>
      <c r="N864" s="105"/>
      <c r="O864" s="105"/>
      <c r="P864" s="108"/>
      <c r="Q864" s="105"/>
      <c r="R864" s="105"/>
      <c r="S864" s="105"/>
      <c r="T864" s="105"/>
      <c r="U864" s="108"/>
      <c r="V864" s="105"/>
      <c r="W864" s="105"/>
      <c r="X864" s="105"/>
      <c r="Y864" s="105"/>
      <c r="Z864" s="105"/>
      <c r="AA864" s="108"/>
      <c r="AB864" s="108"/>
      <c r="AC864" s="105"/>
      <c r="AD864" s="279"/>
      <c r="AE864" s="105"/>
      <c r="AF864" s="279"/>
      <c r="AG864" s="105"/>
      <c r="AH864" s="108"/>
      <c r="AI864" s="108"/>
      <c r="AJ864" s="108"/>
      <c r="AK864" s="108"/>
      <c r="AL864" s="105"/>
      <c r="AM864" s="108"/>
      <c r="AN864" s="105"/>
      <c r="AO864" s="108"/>
      <c r="AP864" s="108"/>
      <c r="AQ864" s="105"/>
      <c r="AR864" s="108"/>
      <c r="AS864" s="108"/>
      <c r="AT864" s="105"/>
      <c r="AU864" s="105"/>
      <c r="AV864" s="105"/>
      <c r="AW864" s="105"/>
      <c r="AX864" s="105"/>
      <c r="AY864" s="105"/>
      <c r="AZ864" s="105"/>
      <c r="BA864" s="105"/>
      <c r="BB864" s="105"/>
      <c r="BC864" s="105"/>
      <c r="BD864" s="108"/>
      <c r="BE864" s="83">
        <f>IF($A864="","",IF(TRIM($D864&amp;"")="",IF(TRIM($AX864&amp;$AY864&amp;$AZ864&amp;$BA864&amp;$BB864&amp;$BC864&amp;$BD864&amp;"")="","","SUBARRENDADO"),IFERROR(IF(VLOOKUP($D864,VEHICULOS!$A$3:$H$202,7,FALSE)="","",VLOOKUP($D864,VEHICULOS!$A$3:$H$202,7,FALSE)),"")))</f>
      </c>
      <c r="BF864" s="82">
        <f>IF($A864="","",IF(TRIM($BC864&amp;"")&lt;&gt;"",$BC864,IF(TRIM($D864&amp;"")="","",IFERROR(IF(VLOOKUP($D864,VEHICULOS!$A$3:$H$202,8,FALSE)="","",VLOOKUP($D864,VEHICULOS!$A$3:$H$202,8,FALSE)),""))))</f>
      </c>
      <c r="BG864" s="106"/>
      <c r="BH864" s="107"/>
      <c r="BI864" s="86">
        <f t="shared" si="195"/>
      </c>
      <c r="BJ864" s="83">
        <f t="shared" si="196"/>
      </c>
      <c r="BK864" s="85">
        <f t="shared" si="197"/>
      </c>
      <c r="BL864" s="85">
        <f t="shared" si="198"/>
      </c>
      <c r="BM864" s="108"/>
      <c r="BN864" s="85">
        <f t="shared" si="199"/>
      </c>
      <c r="BO864" s="108"/>
      <c r="BP864" s="85">
        <f t="shared" si="200"/>
      </c>
      <c r="BQ864" s="85">
        <f t="shared" si="201"/>
      </c>
      <c r="BR864" s="108"/>
      <c r="BS864" s="104"/>
      <c r="BT864" s="87">
        <f t="shared" si="202"/>
      </c>
      <c r="BU864" s="85">
        <f t="shared" si="203"/>
      </c>
      <c r="BV864" s="85">
        <f t="shared" si="204"/>
      </c>
      <c r="BW864" s="87">
        <f t="shared" si="205"/>
      </c>
      <c r="BX864" s="104"/>
      <c r="BY864" s="106"/>
      <c r="BZ864" s="104"/>
      <c r="CA864" s="105"/>
      <c r="CB864" s="77">
        <f>IF($A864="",0,IF($B864='FICHA CLIENTE'!$C$4,1,0))</f>
      </c>
      <c r="CC864" s="77">
        <f t="shared" si="206"/>
      </c>
      <c r="CD864" s="77">
        <f>IF($A864="",0,IF($D864='FICHA VEHICULO'!$C$4,1,0))</f>
      </c>
      <c r="CE864" s="77">
        <f t="shared" si="207"/>
      </c>
      <c r="CF864" s="77">
        <f t="shared" si="208"/>
      </c>
      <c r="CG864" s="77">
        <f t="shared" si="209"/>
      </c>
    </row>
    <row r="865" spans="1:85" ht="19.5" customHeight="1" x14ac:dyDescent="0.2">
      <c r="A865" s="104"/>
      <c r="B865" s="104"/>
      <c r="C865" s="105"/>
      <c r="D865" s="104"/>
      <c r="E865" s="105"/>
      <c r="F865" s="106"/>
      <c r="G865" s="104"/>
      <c r="H865" s="106"/>
      <c r="I865" s="107"/>
      <c r="J865" s="108"/>
      <c r="K865" s="108"/>
      <c r="L865" s="108"/>
      <c r="M865" s="105"/>
      <c r="N865" s="105"/>
      <c r="O865" s="105"/>
      <c r="P865" s="108"/>
      <c r="Q865" s="105"/>
      <c r="R865" s="105"/>
      <c r="S865" s="105"/>
      <c r="T865" s="105"/>
      <c r="U865" s="108"/>
      <c r="V865" s="105"/>
      <c r="W865" s="105"/>
      <c r="X865" s="105"/>
      <c r="Y865" s="105"/>
      <c r="Z865" s="105"/>
      <c r="AA865" s="108"/>
      <c r="AB865" s="108"/>
      <c r="AC865" s="105"/>
      <c r="AD865" s="279"/>
      <c r="AE865" s="105"/>
      <c r="AF865" s="279"/>
      <c r="AG865" s="105"/>
      <c r="AH865" s="108"/>
      <c r="AI865" s="108"/>
      <c r="AJ865" s="108"/>
      <c r="AK865" s="108"/>
      <c r="AL865" s="105"/>
      <c r="AM865" s="108"/>
      <c r="AN865" s="105"/>
      <c r="AO865" s="108"/>
      <c r="AP865" s="108"/>
      <c r="AQ865" s="105"/>
      <c r="AR865" s="108"/>
      <c r="AS865" s="108"/>
      <c r="AT865" s="105"/>
      <c r="AU865" s="105"/>
      <c r="AV865" s="105"/>
      <c r="AW865" s="105"/>
      <c r="AX865" s="105"/>
      <c r="AY865" s="105"/>
      <c r="AZ865" s="105"/>
      <c r="BA865" s="105"/>
      <c r="BB865" s="105"/>
      <c r="BC865" s="105"/>
      <c r="BD865" s="108"/>
      <c r="BE865" s="83">
        <f>IF($A865="","",IF(TRIM($D865&amp;"")="",IF(TRIM($AX865&amp;$AY865&amp;$AZ865&amp;$BA865&amp;$BB865&amp;$BC865&amp;$BD865&amp;"")="","","SUBARRENDADO"),IFERROR(IF(VLOOKUP($D865,VEHICULOS!$A$3:$H$202,7,FALSE)="","",VLOOKUP($D865,VEHICULOS!$A$3:$H$202,7,FALSE)),"")))</f>
      </c>
      <c r="BF865" s="82">
        <f>IF($A865="","",IF(TRIM($BC865&amp;"")&lt;&gt;"",$BC865,IF(TRIM($D865&amp;"")="","",IFERROR(IF(VLOOKUP($D865,VEHICULOS!$A$3:$H$202,8,FALSE)="","",VLOOKUP($D865,VEHICULOS!$A$3:$H$202,8,FALSE)),""))))</f>
      </c>
      <c r="BG865" s="106"/>
      <c r="BH865" s="107"/>
      <c r="BI865" s="86">
        <f t="shared" si="195"/>
      </c>
      <c r="BJ865" s="83">
        <f t="shared" si="196"/>
      </c>
      <c r="BK865" s="85">
        <f t="shared" si="197"/>
      </c>
      <c r="BL865" s="85">
        <f t="shared" si="198"/>
      </c>
      <c r="BM865" s="108"/>
      <c r="BN865" s="85">
        <f t="shared" si="199"/>
      </c>
      <c r="BO865" s="108"/>
      <c r="BP865" s="85">
        <f t="shared" si="200"/>
      </c>
      <c r="BQ865" s="85">
        <f t="shared" si="201"/>
      </c>
      <c r="BR865" s="108"/>
      <c r="BS865" s="104"/>
      <c r="BT865" s="87">
        <f t="shared" si="202"/>
      </c>
      <c r="BU865" s="85">
        <f t="shared" si="203"/>
      </c>
      <c r="BV865" s="85">
        <f t="shared" si="204"/>
      </c>
      <c r="BW865" s="87">
        <f t="shared" si="205"/>
      </c>
      <c r="BX865" s="104"/>
      <c r="BY865" s="106"/>
      <c r="BZ865" s="104"/>
      <c r="CA865" s="105"/>
      <c r="CB865" s="77">
        <f>IF($A865="",0,IF($B865='FICHA CLIENTE'!$C$4,1,0))</f>
      </c>
      <c r="CC865" s="77">
        <f t="shared" si="206"/>
      </c>
      <c r="CD865" s="77">
        <f>IF($A865="",0,IF($D865='FICHA VEHICULO'!$C$4,1,0))</f>
      </c>
      <c r="CE865" s="77">
        <f t="shared" si="207"/>
      </c>
      <c r="CF865" s="77">
        <f t="shared" si="208"/>
      </c>
      <c r="CG865" s="77">
        <f t="shared" si="209"/>
      </c>
    </row>
    <row r="866" spans="1:85" ht="19.5" customHeight="1" x14ac:dyDescent="0.2">
      <c r="A866" s="104"/>
      <c r="B866" s="104"/>
      <c r="C866" s="105"/>
      <c r="D866" s="104"/>
      <c r="E866" s="105"/>
      <c r="F866" s="106"/>
      <c r="G866" s="104"/>
      <c r="H866" s="106"/>
      <c r="I866" s="107"/>
      <c r="J866" s="108"/>
      <c r="K866" s="108"/>
      <c r="L866" s="108"/>
      <c r="M866" s="105"/>
      <c r="N866" s="105"/>
      <c r="O866" s="105"/>
      <c r="P866" s="108"/>
      <c r="Q866" s="105"/>
      <c r="R866" s="105"/>
      <c r="S866" s="105"/>
      <c r="T866" s="105"/>
      <c r="U866" s="108"/>
      <c r="V866" s="105"/>
      <c r="W866" s="105"/>
      <c r="X866" s="105"/>
      <c r="Y866" s="105"/>
      <c r="Z866" s="105"/>
      <c r="AA866" s="108"/>
      <c r="AB866" s="108"/>
      <c r="AC866" s="105"/>
      <c r="AD866" s="279"/>
      <c r="AE866" s="105"/>
      <c r="AF866" s="279"/>
      <c r="AG866" s="105"/>
      <c r="AH866" s="108"/>
      <c r="AI866" s="108"/>
      <c r="AJ866" s="108"/>
      <c r="AK866" s="108"/>
      <c r="AL866" s="105"/>
      <c r="AM866" s="108"/>
      <c r="AN866" s="105"/>
      <c r="AO866" s="108"/>
      <c r="AP866" s="108"/>
      <c r="AQ866" s="105"/>
      <c r="AR866" s="108"/>
      <c r="AS866" s="108"/>
      <c r="AT866" s="105"/>
      <c r="AU866" s="105"/>
      <c r="AV866" s="105"/>
      <c r="AW866" s="105"/>
      <c r="AX866" s="105"/>
      <c r="AY866" s="105"/>
      <c r="AZ866" s="105"/>
      <c r="BA866" s="105"/>
      <c r="BB866" s="105"/>
      <c r="BC866" s="105"/>
      <c r="BD866" s="108"/>
      <c r="BE866" s="83">
        <f>IF($A866="","",IF(TRIM($D866&amp;"")="",IF(TRIM($AX866&amp;$AY866&amp;$AZ866&amp;$BA866&amp;$BB866&amp;$BC866&amp;$BD866&amp;"")="","","SUBARRENDADO"),IFERROR(IF(VLOOKUP($D866,VEHICULOS!$A$3:$H$202,7,FALSE)="","",VLOOKUP($D866,VEHICULOS!$A$3:$H$202,7,FALSE)),"")))</f>
      </c>
      <c r="BF866" s="82">
        <f>IF($A866="","",IF(TRIM($BC866&amp;"")&lt;&gt;"",$BC866,IF(TRIM($D866&amp;"")="","",IFERROR(IF(VLOOKUP($D866,VEHICULOS!$A$3:$H$202,8,FALSE)="","",VLOOKUP($D866,VEHICULOS!$A$3:$H$202,8,FALSE)),""))))</f>
      </c>
      <c r="BG866" s="106"/>
      <c r="BH866" s="107"/>
      <c r="BI866" s="86">
        <f t="shared" si="195"/>
      </c>
      <c r="BJ866" s="83">
        <f t="shared" si="196"/>
      </c>
      <c r="BK866" s="85">
        <f t="shared" si="197"/>
      </c>
      <c r="BL866" s="85">
        <f t="shared" si="198"/>
      </c>
      <c r="BM866" s="108"/>
      <c r="BN866" s="85">
        <f t="shared" si="199"/>
      </c>
      <c r="BO866" s="108"/>
      <c r="BP866" s="85">
        <f t="shared" si="200"/>
      </c>
      <c r="BQ866" s="85">
        <f t="shared" si="201"/>
      </c>
      <c r="BR866" s="108"/>
      <c r="BS866" s="104"/>
      <c r="BT866" s="87">
        <f t="shared" si="202"/>
      </c>
      <c r="BU866" s="85">
        <f t="shared" si="203"/>
      </c>
      <c r="BV866" s="85">
        <f t="shared" si="204"/>
      </c>
      <c r="BW866" s="87">
        <f t="shared" si="205"/>
      </c>
      <c r="BX866" s="104"/>
      <c r="BY866" s="106"/>
      <c r="BZ866" s="104"/>
      <c r="CA866" s="105"/>
      <c r="CB866" s="77">
        <f>IF($A866="",0,IF($B866='FICHA CLIENTE'!$C$4,1,0))</f>
      </c>
      <c r="CC866" s="77">
        <f t="shared" si="206"/>
      </c>
      <c r="CD866" s="77">
        <f>IF($A866="",0,IF($D866='FICHA VEHICULO'!$C$4,1,0))</f>
      </c>
      <c r="CE866" s="77">
        <f t="shared" si="207"/>
      </c>
      <c r="CF866" s="77">
        <f t="shared" si="208"/>
      </c>
      <c r="CG866" s="77">
        <f t="shared" si="209"/>
      </c>
    </row>
    <row r="867" spans="1:85" ht="19.5" customHeight="1" x14ac:dyDescent="0.2">
      <c r="A867" s="104"/>
      <c r="B867" s="104"/>
      <c r="C867" s="105"/>
      <c r="D867" s="104"/>
      <c r="E867" s="105"/>
      <c r="F867" s="106"/>
      <c r="G867" s="104"/>
      <c r="H867" s="106"/>
      <c r="I867" s="107"/>
      <c r="J867" s="108"/>
      <c r="K867" s="108"/>
      <c r="L867" s="108"/>
      <c r="M867" s="105"/>
      <c r="N867" s="105"/>
      <c r="O867" s="105"/>
      <c r="P867" s="108"/>
      <c r="Q867" s="105"/>
      <c r="R867" s="105"/>
      <c r="S867" s="105"/>
      <c r="T867" s="105"/>
      <c r="U867" s="108"/>
      <c r="V867" s="105"/>
      <c r="W867" s="105"/>
      <c r="X867" s="105"/>
      <c r="Y867" s="105"/>
      <c r="Z867" s="105"/>
      <c r="AA867" s="108"/>
      <c r="AB867" s="108"/>
      <c r="AC867" s="105"/>
      <c r="AD867" s="279"/>
      <c r="AE867" s="105"/>
      <c r="AF867" s="279"/>
      <c r="AG867" s="105"/>
      <c r="AH867" s="108"/>
      <c r="AI867" s="108"/>
      <c r="AJ867" s="108"/>
      <c r="AK867" s="108"/>
      <c r="AL867" s="105"/>
      <c r="AM867" s="108"/>
      <c r="AN867" s="105"/>
      <c r="AO867" s="108"/>
      <c r="AP867" s="108"/>
      <c r="AQ867" s="105"/>
      <c r="AR867" s="108"/>
      <c r="AS867" s="108"/>
      <c r="AT867" s="105"/>
      <c r="AU867" s="105"/>
      <c r="AV867" s="105"/>
      <c r="AW867" s="105"/>
      <c r="AX867" s="105"/>
      <c r="AY867" s="105"/>
      <c r="AZ867" s="105"/>
      <c r="BA867" s="105"/>
      <c r="BB867" s="105"/>
      <c r="BC867" s="105"/>
      <c r="BD867" s="108"/>
      <c r="BE867" s="83">
        <f>IF($A867="","",IF(TRIM($D867&amp;"")="",IF(TRIM($AX867&amp;$AY867&amp;$AZ867&amp;$BA867&amp;$BB867&amp;$BC867&amp;$BD867&amp;"")="","","SUBARRENDADO"),IFERROR(IF(VLOOKUP($D867,VEHICULOS!$A$3:$H$202,7,FALSE)="","",VLOOKUP($D867,VEHICULOS!$A$3:$H$202,7,FALSE)),"")))</f>
      </c>
      <c r="BF867" s="82">
        <f>IF($A867="","",IF(TRIM($BC867&amp;"")&lt;&gt;"",$BC867,IF(TRIM($D867&amp;"")="","",IFERROR(IF(VLOOKUP($D867,VEHICULOS!$A$3:$H$202,8,FALSE)="","",VLOOKUP($D867,VEHICULOS!$A$3:$H$202,8,FALSE)),""))))</f>
      </c>
      <c r="BG867" s="106"/>
      <c r="BH867" s="107"/>
      <c r="BI867" s="86">
        <f t="shared" si="195"/>
      </c>
      <c r="BJ867" s="83">
        <f t="shared" si="196"/>
      </c>
      <c r="BK867" s="85">
        <f t="shared" si="197"/>
      </c>
      <c r="BL867" s="85">
        <f t="shared" si="198"/>
      </c>
      <c r="BM867" s="108"/>
      <c r="BN867" s="85">
        <f t="shared" si="199"/>
      </c>
      <c r="BO867" s="108"/>
      <c r="BP867" s="85">
        <f t="shared" si="200"/>
      </c>
      <c r="BQ867" s="85">
        <f t="shared" si="201"/>
      </c>
      <c r="BR867" s="108"/>
      <c r="BS867" s="104"/>
      <c r="BT867" s="87">
        <f t="shared" si="202"/>
      </c>
      <c r="BU867" s="85">
        <f t="shared" si="203"/>
      </c>
      <c r="BV867" s="85">
        <f t="shared" si="204"/>
      </c>
      <c r="BW867" s="87">
        <f t="shared" si="205"/>
      </c>
      <c r="BX867" s="104"/>
      <c r="BY867" s="106"/>
      <c r="BZ867" s="104"/>
      <c r="CA867" s="105"/>
      <c r="CB867" s="77">
        <f>IF($A867="",0,IF($B867='FICHA CLIENTE'!$C$4,1,0))</f>
      </c>
      <c r="CC867" s="77">
        <f t="shared" si="206"/>
      </c>
      <c r="CD867" s="77">
        <f>IF($A867="",0,IF($D867='FICHA VEHICULO'!$C$4,1,0))</f>
      </c>
      <c r="CE867" s="77">
        <f t="shared" si="207"/>
      </c>
      <c r="CF867" s="77">
        <f t="shared" si="208"/>
      </c>
      <c r="CG867" s="77">
        <f t="shared" si="209"/>
      </c>
    </row>
    <row r="868" spans="1:85" ht="19.5" customHeight="1" x14ac:dyDescent="0.2">
      <c r="A868" s="104"/>
      <c r="B868" s="104"/>
      <c r="C868" s="105"/>
      <c r="D868" s="104"/>
      <c r="E868" s="105"/>
      <c r="F868" s="106"/>
      <c r="G868" s="104"/>
      <c r="H868" s="106"/>
      <c r="I868" s="107"/>
      <c r="J868" s="108"/>
      <c r="K868" s="108"/>
      <c r="L868" s="108"/>
      <c r="M868" s="105"/>
      <c r="N868" s="105"/>
      <c r="O868" s="105"/>
      <c r="P868" s="108"/>
      <c r="Q868" s="105"/>
      <c r="R868" s="105"/>
      <c r="S868" s="105"/>
      <c r="T868" s="105"/>
      <c r="U868" s="108"/>
      <c r="V868" s="105"/>
      <c r="W868" s="105"/>
      <c r="X868" s="105"/>
      <c r="Y868" s="105"/>
      <c r="Z868" s="105"/>
      <c r="AA868" s="108"/>
      <c r="AB868" s="108"/>
      <c r="AC868" s="105"/>
      <c r="AD868" s="279"/>
      <c r="AE868" s="105"/>
      <c r="AF868" s="279"/>
      <c r="AG868" s="105"/>
      <c r="AH868" s="108"/>
      <c r="AI868" s="108"/>
      <c r="AJ868" s="108"/>
      <c r="AK868" s="108"/>
      <c r="AL868" s="105"/>
      <c r="AM868" s="108"/>
      <c r="AN868" s="105"/>
      <c r="AO868" s="108"/>
      <c r="AP868" s="108"/>
      <c r="AQ868" s="105"/>
      <c r="AR868" s="108"/>
      <c r="AS868" s="108"/>
      <c r="AT868" s="105"/>
      <c r="AU868" s="105"/>
      <c r="AV868" s="105"/>
      <c r="AW868" s="105"/>
      <c r="AX868" s="105"/>
      <c r="AY868" s="105"/>
      <c r="AZ868" s="105"/>
      <c r="BA868" s="105"/>
      <c r="BB868" s="105"/>
      <c r="BC868" s="105"/>
      <c r="BD868" s="108"/>
      <c r="BE868" s="83">
        <f>IF($A868="","",IF(TRIM($D868&amp;"")="",IF(TRIM($AX868&amp;$AY868&amp;$AZ868&amp;$BA868&amp;$BB868&amp;$BC868&amp;$BD868&amp;"")="","","SUBARRENDADO"),IFERROR(IF(VLOOKUP($D868,VEHICULOS!$A$3:$H$202,7,FALSE)="","",VLOOKUP($D868,VEHICULOS!$A$3:$H$202,7,FALSE)),"")))</f>
      </c>
      <c r="BF868" s="82">
        <f>IF($A868="","",IF(TRIM($BC868&amp;"")&lt;&gt;"",$BC868,IF(TRIM($D868&amp;"")="","",IFERROR(IF(VLOOKUP($D868,VEHICULOS!$A$3:$H$202,8,FALSE)="","",VLOOKUP($D868,VEHICULOS!$A$3:$H$202,8,FALSE)),""))))</f>
      </c>
      <c r="BG868" s="106"/>
      <c r="BH868" s="107"/>
      <c r="BI868" s="86">
        <f t="shared" si="195"/>
      </c>
      <c r="BJ868" s="83">
        <f t="shared" si="196"/>
      </c>
      <c r="BK868" s="85">
        <f t="shared" si="197"/>
      </c>
      <c r="BL868" s="85">
        <f t="shared" si="198"/>
      </c>
      <c r="BM868" s="108"/>
      <c r="BN868" s="85">
        <f t="shared" si="199"/>
      </c>
      <c r="BO868" s="108"/>
      <c r="BP868" s="85">
        <f t="shared" si="200"/>
      </c>
      <c r="BQ868" s="85">
        <f t="shared" si="201"/>
      </c>
      <c r="BR868" s="108"/>
      <c r="BS868" s="104"/>
      <c r="BT868" s="87">
        <f t="shared" si="202"/>
      </c>
      <c r="BU868" s="85">
        <f t="shared" si="203"/>
      </c>
      <c r="BV868" s="85">
        <f t="shared" si="204"/>
      </c>
      <c r="BW868" s="87">
        <f t="shared" si="205"/>
      </c>
      <c r="BX868" s="104"/>
      <c r="BY868" s="106"/>
      <c r="BZ868" s="104"/>
      <c r="CA868" s="105"/>
      <c r="CB868" s="77">
        <f>IF($A868="",0,IF($B868='FICHA CLIENTE'!$C$4,1,0))</f>
      </c>
      <c r="CC868" s="77">
        <f t="shared" si="206"/>
      </c>
      <c r="CD868" s="77">
        <f>IF($A868="",0,IF($D868='FICHA VEHICULO'!$C$4,1,0))</f>
      </c>
      <c r="CE868" s="77">
        <f t="shared" si="207"/>
      </c>
      <c r="CF868" s="77">
        <f t="shared" si="208"/>
      </c>
      <c r="CG868" s="77">
        <f t="shared" si="209"/>
      </c>
    </row>
    <row r="869" spans="1:85" ht="19.5" customHeight="1" x14ac:dyDescent="0.2">
      <c r="A869" s="104"/>
      <c r="B869" s="104"/>
      <c r="C869" s="105"/>
      <c r="D869" s="104"/>
      <c r="E869" s="105"/>
      <c r="F869" s="106"/>
      <c r="G869" s="104"/>
      <c r="H869" s="106"/>
      <c r="I869" s="107"/>
      <c r="J869" s="108"/>
      <c r="K869" s="108"/>
      <c r="L869" s="108"/>
      <c r="M869" s="105"/>
      <c r="N869" s="105"/>
      <c r="O869" s="105"/>
      <c r="P869" s="108"/>
      <c r="Q869" s="105"/>
      <c r="R869" s="105"/>
      <c r="S869" s="105"/>
      <c r="T869" s="105"/>
      <c r="U869" s="108"/>
      <c r="V869" s="105"/>
      <c r="W869" s="105"/>
      <c r="X869" s="105"/>
      <c r="Y869" s="105"/>
      <c r="Z869" s="105"/>
      <c r="AA869" s="108"/>
      <c r="AB869" s="108"/>
      <c r="AC869" s="105"/>
      <c r="AD869" s="279"/>
      <c r="AE869" s="105"/>
      <c r="AF869" s="279"/>
      <c r="AG869" s="105"/>
      <c r="AH869" s="108"/>
      <c r="AI869" s="108"/>
      <c r="AJ869" s="108"/>
      <c r="AK869" s="108"/>
      <c r="AL869" s="105"/>
      <c r="AM869" s="108"/>
      <c r="AN869" s="105"/>
      <c r="AO869" s="108"/>
      <c r="AP869" s="108"/>
      <c r="AQ869" s="105"/>
      <c r="AR869" s="108"/>
      <c r="AS869" s="108"/>
      <c r="AT869" s="105"/>
      <c r="AU869" s="105"/>
      <c r="AV869" s="105"/>
      <c r="AW869" s="105"/>
      <c r="AX869" s="105"/>
      <c r="AY869" s="105"/>
      <c r="AZ869" s="105"/>
      <c r="BA869" s="105"/>
      <c r="BB869" s="105"/>
      <c r="BC869" s="105"/>
      <c r="BD869" s="108"/>
      <c r="BE869" s="83">
        <f>IF($A869="","",IF(TRIM($D869&amp;"")="",IF(TRIM($AX869&amp;$AY869&amp;$AZ869&amp;$BA869&amp;$BB869&amp;$BC869&amp;$BD869&amp;"")="","","SUBARRENDADO"),IFERROR(IF(VLOOKUP($D869,VEHICULOS!$A$3:$H$202,7,FALSE)="","",VLOOKUP($D869,VEHICULOS!$A$3:$H$202,7,FALSE)),"")))</f>
      </c>
      <c r="BF869" s="82">
        <f>IF($A869="","",IF(TRIM($BC869&amp;"")&lt;&gt;"",$BC869,IF(TRIM($D869&amp;"")="","",IFERROR(IF(VLOOKUP($D869,VEHICULOS!$A$3:$H$202,8,FALSE)="","",VLOOKUP($D869,VEHICULOS!$A$3:$H$202,8,FALSE)),""))))</f>
      </c>
      <c r="BG869" s="106"/>
      <c r="BH869" s="107"/>
      <c r="BI869" s="86">
        <f t="shared" si="195"/>
      </c>
      <c r="BJ869" s="83">
        <f t="shared" si="196"/>
      </c>
      <c r="BK869" s="85">
        <f t="shared" si="197"/>
      </c>
      <c r="BL869" s="85">
        <f t="shared" si="198"/>
      </c>
      <c r="BM869" s="108"/>
      <c r="BN869" s="85">
        <f t="shared" si="199"/>
      </c>
      <c r="BO869" s="108"/>
      <c r="BP869" s="85">
        <f t="shared" si="200"/>
      </c>
      <c r="BQ869" s="85">
        <f t="shared" si="201"/>
      </c>
      <c r="BR869" s="108"/>
      <c r="BS869" s="104"/>
      <c r="BT869" s="87">
        <f t="shared" si="202"/>
      </c>
      <c r="BU869" s="85">
        <f t="shared" si="203"/>
      </c>
      <c r="BV869" s="85">
        <f t="shared" si="204"/>
      </c>
      <c r="BW869" s="87">
        <f t="shared" si="205"/>
      </c>
      <c r="BX869" s="104"/>
      <c r="BY869" s="106"/>
      <c r="BZ869" s="104"/>
      <c r="CA869" s="105"/>
      <c r="CB869" s="77">
        <f>IF($A869="",0,IF($B869='FICHA CLIENTE'!$C$4,1,0))</f>
      </c>
      <c r="CC869" s="77">
        <f t="shared" si="206"/>
      </c>
      <c r="CD869" s="77">
        <f>IF($A869="",0,IF($D869='FICHA VEHICULO'!$C$4,1,0))</f>
      </c>
      <c r="CE869" s="77">
        <f t="shared" si="207"/>
      </c>
      <c r="CF869" s="77">
        <f t="shared" si="208"/>
      </c>
      <c r="CG869" s="77">
        <f t="shared" si="209"/>
      </c>
    </row>
    <row r="870" spans="1:85" ht="19.5" customHeight="1" x14ac:dyDescent="0.2">
      <c r="A870" s="104"/>
      <c r="B870" s="104"/>
      <c r="C870" s="105"/>
      <c r="D870" s="104"/>
      <c r="E870" s="105"/>
      <c r="F870" s="106"/>
      <c r="G870" s="104"/>
      <c r="H870" s="106"/>
      <c r="I870" s="107"/>
      <c r="J870" s="108"/>
      <c r="K870" s="108"/>
      <c r="L870" s="108"/>
      <c r="M870" s="105"/>
      <c r="N870" s="105"/>
      <c r="O870" s="105"/>
      <c r="P870" s="108"/>
      <c r="Q870" s="105"/>
      <c r="R870" s="105"/>
      <c r="S870" s="105"/>
      <c r="T870" s="105"/>
      <c r="U870" s="108"/>
      <c r="V870" s="105"/>
      <c r="W870" s="105"/>
      <c r="X870" s="105"/>
      <c r="Y870" s="105"/>
      <c r="Z870" s="105"/>
      <c r="AA870" s="108"/>
      <c r="AB870" s="108"/>
      <c r="AC870" s="105"/>
      <c r="AD870" s="279"/>
      <c r="AE870" s="105"/>
      <c r="AF870" s="279"/>
      <c r="AG870" s="105"/>
      <c r="AH870" s="108"/>
      <c r="AI870" s="108"/>
      <c r="AJ870" s="108"/>
      <c r="AK870" s="108"/>
      <c r="AL870" s="105"/>
      <c r="AM870" s="108"/>
      <c r="AN870" s="105"/>
      <c r="AO870" s="108"/>
      <c r="AP870" s="108"/>
      <c r="AQ870" s="105"/>
      <c r="AR870" s="108"/>
      <c r="AS870" s="108"/>
      <c r="AT870" s="105"/>
      <c r="AU870" s="105"/>
      <c r="AV870" s="105"/>
      <c r="AW870" s="105"/>
      <c r="AX870" s="105"/>
      <c r="AY870" s="105"/>
      <c r="AZ870" s="105"/>
      <c r="BA870" s="105"/>
      <c r="BB870" s="105"/>
      <c r="BC870" s="105"/>
      <c r="BD870" s="108"/>
      <c r="BE870" s="83">
        <f>IF($A870="","",IF(TRIM($D870&amp;"")="",IF(TRIM($AX870&amp;$AY870&amp;$AZ870&amp;$BA870&amp;$BB870&amp;$BC870&amp;$BD870&amp;"")="","","SUBARRENDADO"),IFERROR(IF(VLOOKUP($D870,VEHICULOS!$A$3:$H$202,7,FALSE)="","",VLOOKUP($D870,VEHICULOS!$A$3:$H$202,7,FALSE)),"")))</f>
      </c>
      <c r="BF870" s="82">
        <f>IF($A870="","",IF(TRIM($BC870&amp;"")&lt;&gt;"",$BC870,IF(TRIM($D870&amp;"")="","",IFERROR(IF(VLOOKUP($D870,VEHICULOS!$A$3:$H$202,8,FALSE)="","",VLOOKUP($D870,VEHICULOS!$A$3:$H$202,8,FALSE)),""))))</f>
      </c>
      <c r="BG870" s="106"/>
      <c r="BH870" s="107"/>
      <c r="BI870" s="86">
        <f t="shared" si="195"/>
      </c>
      <c r="BJ870" s="83">
        <f t="shared" si="196"/>
      </c>
      <c r="BK870" s="85">
        <f t="shared" si="197"/>
      </c>
      <c r="BL870" s="85">
        <f t="shared" si="198"/>
      </c>
      <c r="BM870" s="108"/>
      <c r="BN870" s="85">
        <f t="shared" si="199"/>
      </c>
      <c r="BO870" s="108"/>
      <c r="BP870" s="85">
        <f t="shared" si="200"/>
      </c>
      <c r="BQ870" s="85">
        <f t="shared" si="201"/>
      </c>
      <c r="BR870" s="108"/>
      <c r="BS870" s="104"/>
      <c r="BT870" s="87">
        <f t="shared" si="202"/>
      </c>
      <c r="BU870" s="85">
        <f t="shared" si="203"/>
      </c>
      <c r="BV870" s="85">
        <f t="shared" si="204"/>
      </c>
      <c r="BW870" s="87">
        <f t="shared" si="205"/>
      </c>
      <c r="BX870" s="104"/>
      <c r="BY870" s="106"/>
      <c r="BZ870" s="104"/>
      <c r="CA870" s="105"/>
      <c r="CB870" s="77">
        <f>IF($A870="",0,IF($B870='FICHA CLIENTE'!$C$4,1,0))</f>
      </c>
      <c r="CC870" s="77">
        <f t="shared" si="206"/>
      </c>
      <c r="CD870" s="77">
        <f>IF($A870="",0,IF($D870='FICHA VEHICULO'!$C$4,1,0))</f>
      </c>
      <c r="CE870" s="77">
        <f t="shared" si="207"/>
      </c>
      <c r="CF870" s="77">
        <f t="shared" si="208"/>
      </c>
      <c r="CG870" s="77">
        <f t="shared" si="209"/>
      </c>
    </row>
    <row r="871" spans="1:85" ht="19.5" customHeight="1" x14ac:dyDescent="0.2">
      <c r="A871" s="104"/>
      <c r="B871" s="104"/>
      <c r="C871" s="105"/>
      <c r="D871" s="104"/>
      <c r="E871" s="105"/>
      <c r="F871" s="106"/>
      <c r="G871" s="104"/>
      <c r="H871" s="106"/>
      <c r="I871" s="107"/>
      <c r="J871" s="108"/>
      <c r="K871" s="108"/>
      <c r="L871" s="108"/>
      <c r="M871" s="105"/>
      <c r="N871" s="105"/>
      <c r="O871" s="105"/>
      <c r="P871" s="108"/>
      <c r="Q871" s="105"/>
      <c r="R871" s="105"/>
      <c r="S871" s="105"/>
      <c r="T871" s="105"/>
      <c r="U871" s="108"/>
      <c r="V871" s="105"/>
      <c r="W871" s="105"/>
      <c r="X871" s="105"/>
      <c r="Y871" s="105"/>
      <c r="Z871" s="105"/>
      <c r="AA871" s="108"/>
      <c r="AB871" s="108"/>
      <c r="AC871" s="105"/>
      <c r="AD871" s="279"/>
      <c r="AE871" s="105"/>
      <c r="AF871" s="279"/>
      <c r="AG871" s="105"/>
      <c r="AH871" s="108"/>
      <c r="AI871" s="108"/>
      <c r="AJ871" s="108"/>
      <c r="AK871" s="108"/>
      <c r="AL871" s="105"/>
      <c r="AM871" s="108"/>
      <c r="AN871" s="105"/>
      <c r="AO871" s="108"/>
      <c r="AP871" s="108"/>
      <c r="AQ871" s="105"/>
      <c r="AR871" s="108"/>
      <c r="AS871" s="108"/>
      <c r="AT871" s="105"/>
      <c r="AU871" s="105"/>
      <c r="AV871" s="105"/>
      <c r="AW871" s="105"/>
      <c r="AX871" s="105"/>
      <c r="AY871" s="105"/>
      <c r="AZ871" s="105"/>
      <c r="BA871" s="105"/>
      <c r="BB871" s="105"/>
      <c r="BC871" s="105"/>
      <c r="BD871" s="108"/>
      <c r="BE871" s="83">
        <f>IF($A871="","",IF(TRIM($D871&amp;"")="",IF(TRIM($AX871&amp;$AY871&amp;$AZ871&amp;$BA871&amp;$BB871&amp;$BC871&amp;$BD871&amp;"")="","","SUBARRENDADO"),IFERROR(IF(VLOOKUP($D871,VEHICULOS!$A$3:$H$202,7,FALSE)="","",VLOOKUP($D871,VEHICULOS!$A$3:$H$202,7,FALSE)),"")))</f>
      </c>
      <c r="BF871" s="82">
        <f>IF($A871="","",IF(TRIM($BC871&amp;"")&lt;&gt;"",$BC871,IF(TRIM($D871&amp;"")="","",IFERROR(IF(VLOOKUP($D871,VEHICULOS!$A$3:$H$202,8,FALSE)="","",VLOOKUP($D871,VEHICULOS!$A$3:$H$202,8,FALSE)),""))))</f>
      </c>
      <c r="BG871" s="106"/>
      <c r="BH871" s="107"/>
      <c r="BI871" s="86">
        <f t="shared" si="195"/>
      </c>
      <c r="BJ871" s="83">
        <f t="shared" si="196"/>
      </c>
      <c r="BK871" s="85">
        <f t="shared" si="197"/>
      </c>
      <c r="BL871" s="85">
        <f t="shared" si="198"/>
      </c>
      <c r="BM871" s="108"/>
      <c r="BN871" s="85">
        <f t="shared" si="199"/>
      </c>
      <c r="BO871" s="108"/>
      <c r="BP871" s="85">
        <f t="shared" si="200"/>
      </c>
      <c r="BQ871" s="85">
        <f t="shared" si="201"/>
      </c>
      <c r="BR871" s="108"/>
      <c r="BS871" s="104"/>
      <c r="BT871" s="87">
        <f t="shared" si="202"/>
      </c>
      <c r="BU871" s="85">
        <f t="shared" si="203"/>
      </c>
      <c r="BV871" s="85">
        <f t="shared" si="204"/>
      </c>
      <c r="BW871" s="87">
        <f t="shared" si="205"/>
      </c>
      <c r="BX871" s="104"/>
      <c r="BY871" s="106"/>
      <c r="BZ871" s="104"/>
      <c r="CA871" s="105"/>
      <c r="CB871" s="77">
        <f>IF($A871="",0,IF($B871='FICHA CLIENTE'!$C$4,1,0))</f>
      </c>
      <c r="CC871" s="77">
        <f t="shared" si="206"/>
      </c>
      <c r="CD871" s="77">
        <f>IF($A871="",0,IF($D871='FICHA VEHICULO'!$C$4,1,0))</f>
      </c>
      <c r="CE871" s="77">
        <f t="shared" si="207"/>
      </c>
      <c r="CF871" s="77">
        <f t="shared" si="208"/>
      </c>
      <c r="CG871" s="77">
        <f t="shared" si="209"/>
      </c>
    </row>
    <row r="872" spans="1:85" ht="19.5" customHeight="1" x14ac:dyDescent="0.2">
      <c r="A872" s="104"/>
      <c r="B872" s="104"/>
      <c r="C872" s="105"/>
      <c r="D872" s="104"/>
      <c r="E872" s="105"/>
      <c r="F872" s="106"/>
      <c r="G872" s="104"/>
      <c r="H872" s="106"/>
      <c r="I872" s="107"/>
      <c r="J872" s="108"/>
      <c r="K872" s="108"/>
      <c r="L872" s="108"/>
      <c r="M872" s="105"/>
      <c r="N872" s="105"/>
      <c r="O872" s="105"/>
      <c r="P872" s="108"/>
      <c r="Q872" s="105"/>
      <c r="R872" s="105"/>
      <c r="S872" s="105"/>
      <c r="T872" s="105"/>
      <c r="U872" s="108"/>
      <c r="V872" s="105"/>
      <c r="W872" s="105"/>
      <c r="X872" s="105"/>
      <c r="Y872" s="105"/>
      <c r="Z872" s="105"/>
      <c r="AA872" s="108"/>
      <c r="AB872" s="108"/>
      <c r="AC872" s="105"/>
      <c r="AD872" s="279"/>
      <c r="AE872" s="105"/>
      <c r="AF872" s="279"/>
      <c r="AG872" s="105"/>
      <c r="AH872" s="108"/>
      <c r="AI872" s="108"/>
      <c r="AJ872" s="108"/>
      <c r="AK872" s="108"/>
      <c r="AL872" s="105"/>
      <c r="AM872" s="108"/>
      <c r="AN872" s="105"/>
      <c r="AO872" s="108"/>
      <c r="AP872" s="108"/>
      <c r="AQ872" s="105"/>
      <c r="AR872" s="108"/>
      <c r="AS872" s="108"/>
      <c r="AT872" s="105"/>
      <c r="AU872" s="105"/>
      <c r="AV872" s="105"/>
      <c r="AW872" s="105"/>
      <c r="AX872" s="105"/>
      <c r="AY872" s="105"/>
      <c r="AZ872" s="105"/>
      <c r="BA872" s="105"/>
      <c r="BB872" s="105"/>
      <c r="BC872" s="105"/>
      <c r="BD872" s="108"/>
      <c r="BE872" s="83">
        <f>IF($A872="","",IF(TRIM($D872&amp;"")="",IF(TRIM($AX872&amp;$AY872&amp;$AZ872&amp;$BA872&amp;$BB872&amp;$BC872&amp;$BD872&amp;"")="","","SUBARRENDADO"),IFERROR(IF(VLOOKUP($D872,VEHICULOS!$A$3:$H$202,7,FALSE)="","",VLOOKUP($D872,VEHICULOS!$A$3:$H$202,7,FALSE)),"")))</f>
      </c>
      <c r="BF872" s="82">
        <f>IF($A872="","",IF(TRIM($BC872&amp;"")&lt;&gt;"",$BC872,IF(TRIM($D872&amp;"")="","",IFERROR(IF(VLOOKUP($D872,VEHICULOS!$A$3:$H$202,8,FALSE)="","",VLOOKUP($D872,VEHICULOS!$A$3:$H$202,8,FALSE)),""))))</f>
      </c>
      <c r="BG872" s="106"/>
      <c r="BH872" s="107"/>
      <c r="BI872" s="86">
        <f t="shared" si="195"/>
      </c>
      <c r="BJ872" s="83">
        <f t="shared" si="196"/>
      </c>
      <c r="BK872" s="85">
        <f t="shared" si="197"/>
      </c>
      <c r="BL872" s="85">
        <f t="shared" si="198"/>
      </c>
      <c r="BM872" s="108"/>
      <c r="BN872" s="85">
        <f t="shared" si="199"/>
      </c>
      <c r="BO872" s="108"/>
      <c r="BP872" s="85">
        <f t="shared" si="200"/>
      </c>
      <c r="BQ872" s="85">
        <f t="shared" si="201"/>
      </c>
      <c r="BR872" s="108"/>
      <c r="BS872" s="104"/>
      <c r="BT872" s="87">
        <f t="shared" si="202"/>
      </c>
      <c r="BU872" s="85">
        <f t="shared" si="203"/>
      </c>
      <c r="BV872" s="85">
        <f t="shared" si="204"/>
      </c>
      <c r="BW872" s="87">
        <f t="shared" si="205"/>
      </c>
      <c r="BX872" s="104"/>
      <c r="BY872" s="106"/>
      <c r="BZ872" s="104"/>
      <c r="CA872" s="105"/>
      <c r="CB872" s="77">
        <f>IF($A872="",0,IF($B872='FICHA CLIENTE'!$C$4,1,0))</f>
      </c>
      <c r="CC872" s="77">
        <f t="shared" si="206"/>
      </c>
      <c r="CD872" s="77">
        <f>IF($A872="",0,IF($D872='FICHA VEHICULO'!$C$4,1,0))</f>
      </c>
      <c r="CE872" s="77">
        <f t="shared" si="207"/>
      </c>
      <c r="CF872" s="77">
        <f t="shared" si="208"/>
      </c>
      <c r="CG872" s="77">
        <f t="shared" si="209"/>
      </c>
    </row>
    <row r="873" spans="1:85" ht="19.5" customHeight="1" x14ac:dyDescent="0.2">
      <c r="A873" s="104"/>
      <c r="B873" s="104"/>
      <c r="C873" s="105"/>
      <c r="D873" s="104"/>
      <c r="E873" s="105"/>
      <c r="F873" s="106"/>
      <c r="G873" s="104"/>
      <c r="H873" s="106"/>
      <c r="I873" s="107"/>
      <c r="J873" s="108"/>
      <c r="K873" s="108"/>
      <c r="L873" s="108"/>
      <c r="M873" s="105"/>
      <c r="N873" s="105"/>
      <c r="O873" s="105"/>
      <c r="P873" s="108"/>
      <c r="Q873" s="105"/>
      <c r="R873" s="105"/>
      <c r="S873" s="105"/>
      <c r="T873" s="105"/>
      <c r="U873" s="108"/>
      <c r="V873" s="105"/>
      <c r="W873" s="105"/>
      <c r="X873" s="105"/>
      <c r="Y873" s="105"/>
      <c r="Z873" s="105"/>
      <c r="AA873" s="108"/>
      <c r="AB873" s="108"/>
      <c r="AC873" s="105"/>
      <c r="AD873" s="279"/>
      <c r="AE873" s="105"/>
      <c r="AF873" s="279"/>
      <c r="AG873" s="105"/>
      <c r="AH873" s="108"/>
      <c r="AI873" s="108"/>
      <c r="AJ873" s="108"/>
      <c r="AK873" s="108"/>
      <c r="AL873" s="105"/>
      <c r="AM873" s="108"/>
      <c r="AN873" s="105"/>
      <c r="AO873" s="108"/>
      <c r="AP873" s="108"/>
      <c r="AQ873" s="105"/>
      <c r="AR873" s="108"/>
      <c r="AS873" s="108"/>
      <c r="AT873" s="105"/>
      <c r="AU873" s="105"/>
      <c r="AV873" s="105"/>
      <c r="AW873" s="105"/>
      <c r="AX873" s="105"/>
      <c r="AY873" s="105"/>
      <c r="AZ873" s="105"/>
      <c r="BA873" s="105"/>
      <c r="BB873" s="105"/>
      <c r="BC873" s="105"/>
      <c r="BD873" s="108"/>
      <c r="BE873" s="83">
        <f>IF($A873="","",IF(TRIM($D873&amp;"")="",IF(TRIM($AX873&amp;$AY873&amp;$AZ873&amp;$BA873&amp;$BB873&amp;$BC873&amp;$BD873&amp;"")="","","SUBARRENDADO"),IFERROR(IF(VLOOKUP($D873,VEHICULOS!$A$3:$H$202,7,FALSE)="","",VLOOKUP($D873,VEHICULOS!$A$3:$H$202,7,FALSE)),"")))</f>
      </c>
      <c r="BF873" s="82">
        <f>IF($A873="","",IF(TRIM($BC873&amp;"")&lt;&gt;"",$BC873,IF(TRIM($D873&amp;"")="","",IFERROR(IF(VLOOKUP($D873,VEHICULOS!$A$3:$H$202,8,FALSE)="","",VLOOKUP($D873,VEHICULOS!$A$3:$H$202,8,FALSE)),""))))</f>
      </c>
      <c r="BG873" s="106"/>
      <c r="BH873" s="107"/>
      <c r="BI873" s="86">
        <f t="shared" si="195"/>
      </c>
      <c r="BJ873" s="83">
        <f t="shared" si="196"/>
      </c>
      <c r="BK873" s="85">
        <f t="shared" si="197"/>
      </c>
      <c r="BL873" s="85">
        <f t="shared" si="198"/>
      </c>
      <c r="BM873" s="108"/>
      <c r="BN873" s="85">
        <f t="shared" si="199"/>
      </c>
      <c r="BO873" s="108"/>
      <c r="BP873" s="85">
        <f t="shared" si="200"/>
      </c>
      <c r="BQ873" s="85">
        <f t="shared" si="201"/>
      </c>
      <c r="BR873" s="108"/>
      <c r="BS873" s="104"/>
      <c r="BT873" s="87">
        <f t="shared" si="202"/>
      </c>
      <c r="BU873" s="85">
        <f t="shared" si="203"/>
      </c>
      <c r="BV873" s="85">
        <f t="shared" si="204"/>
      </c>
      <c r="BW873" s="87">
        <f t="shared" si="205"/>
      </c>
      <c r="BX873" s="104"/>
      <c r="BY873" s="106"/>
      <c r="BZ873" s="104"/>
      <c r="CA873" s="105"/>
      <c r="CB873" s="77">
        <f>IF($A873="",0,IF($B873='FICHA CLIENTE'!$C$4,1,0))</f>
      </c>
      <c r="CC873" s="77">
        <f t="shared" si="206"/>
      </c>
      <c r="CD873" s="77">
        <f>IF($A873="",0,IF($D873='FICHA VEHICULO'!$C$4,1,0))</f>
      </c>
      <c r="CE873" s="77">
        <f t="shared" si="207"/>
      </c>
      <c r="CF873" s="77">
        <f t="shared" si="208"/>
      </c>
      <c r="CG873" s="77">
        <f t="shared" si="209"/>
      </c>
    </row>
    <row r="874" spans="1:85" ht="19.5" customHeight="1" x14ac:dyDescent="0.2">
      <c r="A874" s="104"/>
      <c r="B874" s="104"/>
      <c r="C874" s="105"/>
      <c r="D874" s="104"/>
      <c r="E874" s="105"/>
      <c r="F874" s="106"/>
      <c r="G874" s="104"/>
      <c r="H874" s="106"/>
      <c r="I874" s="107"/>
      <c r="J874" s="108"/>
      <c r="K874" s="108"/>
      <c r="L874" s="108"/>
      <c r="M874" s="105"/>
      <c r="N874" s="105"/>
      <c r="O874" s="105"/>
      <c r="P874" s="108"/>
      <c r="Q874" s="105"/>
      <c r="R874" s="105"/>
      <c r="S874" s="105"/>
      <c r="T874" s="105"/>
      <c r="U874" s="108"/>
      <c r="V874" s="105"/>
      <c r="W874" s="105"/>
      <c r="X874" s="105"/>
      <c r="Y874" s="105"/>
      <c r="Z874" s="105"/>
      <c r="AA874" s="108"/>
      <c r="AB874" s="108"/>
      <c r="AC874" s="105"/>
      <c r="AD874" s="279"/>
      <c r="AE874" s="105"/>
      <c r="AF874" s="279"/>
      <c r="AG874" s="105"/>
      <c r="AH874" s="108"/>
      <c r="AI874" s="108"/>
      <c r="AJ874" s="108"/>
      <c r="AK874" s="108"/>
      <c r="AL874" s="105"/>
      <c r="AM874" s="108"/>
      <c r="AN874" s="105"/>
      <c r="AO874" s="108"/>
      <c r="AP874" s="108"/>
      <c r="AQ874" s="105"/>
      <c r="AR874" s="108"/>
      <c r="AS874" s="108"/>
      <c r="AT874" s="105"/>
      <c r="AU874" s="105"/>
      <c r="AV874" s="105"/>
      <c r="AW874" s="105"/>
      <c r="AX874" s="105"/>
      <c r="AY874" s="105"/>
      <c r="AZ874" s="105"/>
      <c r="BA874" s="105"/>
      <c r="BB874" s="105"/>
      <c r="BC874" s="105"/>
      <c r="BD874" s="108"/>
      <c r="BE874" s="83">
        <f>IF($A874="","",IF(TRIM($D874&amp;"")="",IF(TRIM($AX874&amp;$AY874&amp;$AZ874&amp;$BA874&amp;$BB874&amp;$BC874&amp;$BD874&amp;"")="","","SUBARRENDADO"),IFERROR(IF(VLOOKUP($D874,VEHICULOS!$A$3:$H$202,7,FALSE)="","",VLOOKUP($D874,VEHICULOS!$A$3:$H$202,7,FALSE)),"")))</f>
      </c>
      <c r="BF874" s="82">
        <f>IF($A874="","",IF(TRIM($BC874&amp;"")&lt;&gt;"",$BC874,IF(TRIM($D874&amp;"")="","",IFERROR(IF(VLOOKUP($D874,VEHICULOS!$A$3:$H$202,8,FALSE)="","",VLOOKUP($D874,VEHICULOS!$A$3:$H$202,8,FALSE)),""))))</f>
      </c>
      <c r="BG874" s="106"/>
      <c r="BH874" s="107"/>
      <c r="BI874" s="86">
        <f t="shared" si="195"/>
      </c>
      <c r="BJ874" s="83">
        <f t="shared" si="196"/>
      </c>
      <c r="BK874" s="85">
        <f t="shared" si="197"/>
      </c>
      <c r="BL874" s="85">
        <f t="shared" si="198"/>
      </c>
      <c r="BM874" s="108"/>
      <c r="BN874" s="85">
        <f t="shared" si="199"/>
      </c>
      <c r="BO874" s="108"/>
      <c r="BP874" s="85">
        <f t="shared" si="200"/>
      </c>
      <c r="BQ874" s="85">
        <f t="shared" si="201"/>
      </c>
      <c r="BR874" s="108"/>
      <c r="BS874" s="104"/>
      <c r="BT874" s="87">
        <f t="shared" si="202"/>
      </c>
      <c r="BU874" s="85">
        <f t="shared" si="203"/>
      </c>
      <c r="BV874" s="85">
        <f t="shared" si="204"/>
      </c>
      <c r="BW874" s="87">
        <f t="shared" si="205"/>
      </c>
      <c r="BX874" s="104"/>
      <c r="BY874" s="106"/>
      <c r="BZ874" s="104"/>
      <c r="CA874" s="105"/>
      <c r="CB874" s="77">
        <f>IF($A874="",0,IF($B874='FICHA CLIENTE'!$C$4,1,0))</f>
      </c>
      <c r="CC874" s="77">
        <f t="shared" si="206"/>
      </c>
      <c r="CD874" s="77">
        <f>IF($A874="",0,IF($D874='FICHA VEHICULO'!$C$4,1,0))</f>
      </c>
      <c r="CE874" s="77">
        <f t="shared" si="207"/>
      </c>
      <c r="CF874" s="77">
        <f t="shared" si="208"/>
      </c>
      <c r="CG874" s="77">
        <f t="shared" si="209"/>
      </c>
    </row>
    <row r="875" spans="1:85" ht="19.5" customHeight="1" x14ac:dyDescent="0.2">
      <c r="A875" s="104"/>
      <c r="B875" s="104"/>
      <c r="C875" s="105"/>
      <c r="D875" s="104"/>
      <c r="E875" s="105"/>
      <c r="F875" s="106"/>
      <c r="G875" s="104"/>
      <c r="H875" s="106"/>
      <c r="I875" s="107"/>
      <c r="J875" s="108"/>
      <c r="K875" s="108"/>
      <c r="L875" s="108"/>
      <c r="M875" s="105"/>
      <c r="N875" s="105"/>
      <c r="O875" s="105"/>
      <c r="P875" s="108"/>
      <c r="Q875" s="105"/>
      <c r="R875" s="105"/>
      <c r="S875" s="105"/>
      <c r="T875" s="105"/>
      <c r="U875" s="108"/>
      <c r="V875" s="105"/>
      <c r="W875" s="105"/>
      <c r="X875" s="105"/>
      <c r="Y875" s="105"/>
      <c r="Z875" s="105"/>
      <c r="AA875" s="108"/>
      <c r="AB875" s="108"/>
      <c r="AC875" s="105"/>
      <c r="AD875" s="279"/>
      <c r="AE875" s="105"/>
      <c r="AF875" s="279"/>
      <c r="AG875" s="105"/>
      <c r="AH875" s="108"/>
      <c r="AI875" s="108"/>
      <c r="AJ875" s="108"/>
      <c r="AK875" s="108"/>
      <c r="AL875" s="105"/>
      <c r="AM875" s="108"/>
      <c r="AN875" s="105"/>
      <c r="AO875" s="108"/>
      <c r="AP875" s="108"/>
      <c r="AQ875" s="105"/>
      <c r="AR875" s="108"/>
      <c r="AS875" s="108"/>
      <c r="AT875" s="105"/>
      <c r="AU875" s="105"/>
      <c r="AV875" s="105"/>
      <c r="AW875" s="105"/>
      <c r="AX875" s="105"/>
      <c r="AY875" s="105"/>
      <c r="AZ875" s="105"/>
      <c r="BA875" s="105"/>
      <c r="BB875" s="105"/>
      <c r="BC875" s="105"/>
      <c r="BD875" s="108"/>
      <c r="BE875" s="83">
        <f>IF($A875="","",IF(TRIM($D875&amp;"")="",IF(TRIM($AX875&amp;$AY875&amp;$AZ875&amp;$BA875&amp;$BB875&amp;$BC875&amp;$BD875&amp;"")="","","SUBARRENDADO"),IFERROR(IF(VLOOKUP($D875,VEHICULOS!$A$3:$H$202,7,FALSE)="","",VLOOKUP($D875,VEHICULOS!$A$3:$H$202,7,FALSE)),"")))</f>
      </c>
      <c r="BF875" s="82">
        <f>IF($A875="","",IF(TRIM($BC875&amp;"")&lt;&gt;"",$BC875,IF(TRIM($D875&amp;"")="","",IFERROR(IF(VLOOKUP($D875,VEHICULOS!$A$3:$H$202,8,FALSE)="","",VLOOKUP($D875,VEHICULOS!$A$3:$H$202,8,FALSE)),""))))</f>
      </c>
      <c r="BG875" s="106"/>
      <c r="BH875" s="107"/>
      <c r="BI875" s="86">
        <f t="shared" si="195"/>
      </c>
      <c r="BJ875" s="83">
        <f t="shared" si="196"/>
      </c>
      <c r="BK875" s="85">
        <f t="shared" si="197"/>
      </c>
      <c r="BL875" s="85">
        <f t="shared" si="198"/>
      </c>
      <c r="BM875" s="108"/>
      <c r="BN875" s="85">
        <f t="shared" si="199"/>
      </c>
      <c r="BO875" s="108"/>
      <c r="BP875" s="85">
        <f t="shared" si="200"/>
      </c>
      <c r="BQ875" s="85">
        <f t="shared" si="201"/>
      </c>
      <c r="BR875" s="108"/>
      <c r="BS875" s="104"/>
      <c r="BT875" s="87">
        <f t="shared" si="202"/>
      </c>
      <c r="BU875" s="85">
        <f t="shared" si="203"/>
      </c>
      <c r="BV875" s="85">
        <f t="shared" si="204"/>
      </c>
      <c r="BW875" s="87">
        <f t="shared" si="205"/>
      </c>
      <c r="BX875" s="104"/>
      <c r="BY875" s="106"/>
      <c r="BZ875" s="104"/>
      <c r="CA875" s="105"/>
      <c r="CB875" s="77">
        <f>IF($A875="",0,IF($B875='FICHA CLIENTE'!$C$4,1,0))</f>
      </c>
      <c r="CC875" s="77">
        <f t="shared" si="206"/>
      </c>
      <c r="CD875" s="77">
        <f>IF($A875="",0,IF($D875='FICHA VEHICULO'!$C$4,1,0))</f>
      </c>
      <c r="CE875" s="77">
        <f t="shared" si="207"/>
      </c>
      <c r="CF875" s="77">
        <f t="shared" si="208"/>
      </c>
      <c r="CG875" s="77">
        <f t="shared" si="209"/>
      </c>
    </row>
    <row r="876" spans="1:85" ht="19.5" customHeight="1" x14ac:dyDescent="0.2">
      <c r="A876" s="104"/>
      <c r="B876" s="104"/>
      <c r="C876" s="105"/>
      <c r="D876" s="104"/>
      <c r="E876" s="105"/>
      <c r="F876" s="106"/>
      <c r="G876" s="104"/>
      <c r="H876" s="106"/>
      <c r="I876" s="107"/>
      <c r="J876" s="108"/>
      <c r="K876" s="108"/>
      <c r="L876" s="108"/>
      <c r="M876" s="105"/>
      <c r="N876" s="105"/>
      <c r="O876" s="105"/>
      <c r="P876" s="108"/>
      <c r="Q876" s="105"/>
      <c r="R876" s="105"/>
      <c r="S876" s="105"/>
      <c r="T876" s="105"/>
      <c r="U876" s="108"/>
      <c r="V876" s="105"/>
      <c r="W876" s="105"/>
      <c r="X876" s="105"/>
      <c r="Y876" s="105"/>
      <c r="Z876" s="105"/>
      <c r="AA876" s="108"/>
      <c r="AB876" s="108"/>
      <c r="AC876" s="105"/>
      <c r="AD876" s="279"/>
      <c r="AE876" s="105"/>
      <c r="AF876" s="279"/>
      <c r="AG876" s="105"/>
      <c r="AH876" s="108"/>
      <c r="AI876" s="108"/>
      <c r="AJ876" s="108"/>
      <c r="AK876" s="108"/>
      <c r="AL876" s="105"/>
      <c r="AM876" s="108"/>
      <c r="AN876" s="105"/>
      <c r="AO876" s="108"/>
      <c r="AP876" s="108"/>
      <c r="AQ876" s="105"/>
      <c r="AR876" s="108"/>
      <c r="AS876" s="108"/>
      <c r="AT876" s="105"/>
      <c r="AU876" s="105"/>
      <c r="AV876" s="105"/>
      <c r="AW876" s="105"/>
      <c r="AX876" s="105"/>
      <c r="AY876" s="105"/>
      <c r="AZ876" s="105"/>
      <c r="BA876" s="105"/>
      <c r="BB876" s="105"/>
      <c r="BC876" s="105"/>
      <c r="BD876" s="108"/>
      <c r="BE876" s="83">
        <f>IF($A876="","",IF(TRIM($D876&amp;"")="",IF(TRIM($AX876&amp;$AY876&amp;$AZ876&amp;$BA876&amp;$BB876&amp;$BC876&amp;$BD876&amp;"")="","","SUBARRENDADO"),IFERROR(IF(VLOOKUP($D876,VEHICULOS!$A$3:$H$202,7,FALSE)="","",VLOOKUP($D876,VEHICULOS!$A$3:$H$202,7,FALSE)),"")))</f>
      </c>
      <c r="BF876" s="82">
        <f>IF($A876="","",IF(TRIM($BC876&amp;"")&lt;&gt;"",$BC876,IF(TRIM($D876&amp;"")="","",IFERROR(IF(VLOOKUP($D876,VEHICULOS!$A$3:$H$202,8,FALSE)="","",VLOOKUP($D876,VEHICULOS!$A$3:$H$202,8,FALSE)),""))))</f>
      </c>
      <c r="BG876" s="106"/>
      <c r="BH876" s="107"/>
      <c r="BI876" s="86">
        <f t="shared" si="195"/>
      </c>
      <c r="BJ876" s="83">
        <f t="shared" si="196"/>
      </c>
      <c r="BK876" s="85">
        <f t="shared" si="197"/>
      </c>
      <c r="BL876" s="85">
        <f t="shared" si="198"/>
      </c>
      <c r="BM876" s="108"/>
      <c r="BN876" s="85">
        <f t="shared" si="199"/>
      </c>
      <c r="BO876" s="108"/>
      <c r="BP876" s="85">
        <f t="shared" si="200"/>
      </c>
      <c r="BQ876" s="85">
        <f t="shared" si="201"/>
      </c>
      <c r="BR876" s="108"/>
      <c r="BS876" s="104"/>
      <c r="BT876" s="87">
        <f t="shared" si="202"/>
      </c>
      <c r="BU876" s="85">
        <f t="shared" si="203"/>
      </c>
      <c r="BV876" s="85">
        <f t="shared" si="204"/>
      </c>
      <c r="BW876" s="87">
        <f t="shared" si="205"/>
      </c>
      <c r="BX876" s="104"/>
      <c r="BY876" s="106"/>
      <c r="BZ876" s="104"/>
      <c r="CA876" s="105"/>
      <c r="CB876" s="77">
        <f>IF($A876="",0,IF($B876='FICHA CLIENTE'!$C$4,1,0))</f>
      </c>
      <c r="CC876" s="77">
        <f t="shared" si="206"/>
      </c>
      <c r="CD876" s="77">
        <f>IF($A876="",0,IF($D876='FICHA VEHICULO'!$C$4,1,0))</f>
      </c>
      <c r="CE876" s="77">
        <f t="shared" si="207"/>
      </c>
      <c r="CF876" s="77">
        <f t="shared" si="208"/>
      </c>
      <c r="CG876" s="77">
        <f t="shared" si="209"/>
      </c>
    </row>
    <row r="877" spans="1:85" ht="19.5" customHeight="1" x14ac:dyDescent="0.2">
      <c r="A877" s="104"/>
      <c r="B877" s="104"/>
      <c r="C877" s="105"/>
      <c r="D877" s="104"/>
      <c r="E877" s="105"/>
      <c r="F877" s="106"/>
      <c r="G877" s="104"/>
      <c r="H877" s="106"/>
      <c r="I877" s="107"/>
      <c r="J877" s="108"/>
      <c r="K877" s="108"/>
      <c r="L877" s="108"/>
      <c r="M877" s="105"/>
      <c r="N877" s="105"/>
      <c r="O877" s="105"/>
      <c r="P877" s="108"/>
      <c r="Q877" s="105"/>
      <c r="R877" s="105"/>
      <c r="S877" s="105"/>
      <c r="T877" s="105"/>
      <c r="U877" s="108"/>
      <c r="V877" s="105"/>
      <c r="W877" s="105"/>
      <c r="X877" s="105"/>
      <c r="Y877" s="105"/>
      <c r="Z877" s="105"/>
      <c r="AA877" s="108"/>
      <c r="AB877" s="108"/>
      <c r="AC877" s="105"/>
      <c r="AD877" s="279"/>
      <c r="AE877" s="105"/>
      <c r="AF877" s="279"/>
      <c r="AG877" s="105"/>
      <c r="AH877" s="108"/>
      <c r="AI877" s="108"/>
      <c r="AJ877" s="108"/>
      <c r="AK877" s="108"/>
      <c r="AL877" s="105"/>
      <c r="AM877" s="108"/>
      <c r="AN877" s="105"/>
      <c r="AO877" s="108"/>
      <c r="AP877" s="108"/>
      <c r="AQ877" s="105"/>
      <c r="AR877" s="108"/>
      <c r="AS877" s="108"/>
      <c r="AT877" s="105"/>
      <c r="AU877" s="105"/>
      <c r="AV877" s="105"/>
      <c r="AW877" s="105"/>
      <c r="AX877" s="105"/>
      <c r="AY877" s="105"/>
      <c r="AZ877" s="105"/>
      <c r="BA877" s="105"/>
      <c r="BB877" s="105"/>
      <c r="BC877" s="105"/>
      <c r="BD877" s="108"/>
      <c r="BE877" s="83">
        <f>IF($A877="","",IF(TRIM($D877&amp;"")="",IF(TRIM($AX877&amp;$AY877&amp;$AZ877&amp;$BA877&amp;$BB877&amp;$BC877&amp;$BD877&amp;"")="","","SUBARRENDADO"),IFERROR(IF(VLOOKUP($D877,VEHICULOS!$A$3:$H$202,7,FALSE)="","",VLOOKUP($D877,VEHICULOS!$A$3:$H$202,7,FALSE)),"")))</f>
      </c>
      <c r="BF877" s="82">
        <f>IF($A877="","",IF(TRIM($BC877&amp;"")&lt;&gt;"",$BC877,IF(TRIM($D877&amp;"")="","",IFERROR(IF(VLOOKUP($D877,VEHICULOS!$A$3:$H$202,8,FALSE)="","",VLOOKUP($D877,VEHICULOS!$A$3:$H$202,8,FALSE)),""))))</f>
      </c>
      <c r="BG877" s="106"/>
      <c r="BH877" s="107"/>
      <c r="BI877" s="86">
        <f t="shared" si="195"/>
      </c>
      <c r="BJ877" s="83">
        <f t="shared" si="196"/>
      </c>
      <c r="BK877" s="85">
        <f t="shared" si="197"/>
      </c>
      <c r="BL877" s="85">
        <f t="shared" si="198"/>
      </c>
      <c r="BM877" s="108"/>
      <c r="BN877" s="85">
        <f t="shared" si="199"/>
      </c>
      <c r="BO877" s="108"/>
      <c r="BP877" s="85">
        <f t="shared" si="200"/>
      </c>
      <c r="BQ877" s="85">
        <f t="shared" si="201"/>
      </c>
      <c r="BR877" s="108"/>
      <c r="BS877" s="104"/>
      <c r="BT877" s="87">
        <f t="shared" si="202"/>
      </c>
      <c r="BU877" s="85">
        <f t="shared" si="203"/>
      </c>
      <c r="BV877" s="85">
        <f t="shared" si="204"/>
      </c>
      <c r="BW877" s="87">
        <f t="shared" si="205"/>
      </c>
      <c r="BX877" s="104"/>
      <c r="BY877" s="106"/>
      <c r="BZ877" s="104"/>
      <c r="CA877" s="105"/>
      <c r="CB877" s="77">
        <f>IF($A877="",0,IF($B877='FICHA CLIENTE'!$C$4,1,0))</f>
      </c>
      <c r="CC877" s="77">
        <f t="shared" si="206"/>
      </c>
      <c r="CD877" s="77">
        <f>IF($A877="",0,IF($D877='FICHA VEHICULO'!$C$4,1,0))</f>
      </c>
      <c r="CE877" s="77">
        <f t="shared" si="207"/>
      </c>
      <c r="CF877" s="77">
        <f t="shared" si="208"/>
      </c>
      <c r="CG877" s="77">
        <f t="shared" si="209"/>
      </c>
    </row>
    <row r="878" spans="1:85" ht="19.5" customHeight="1" x14ac:dyDescent="0.2">
      <c r="A878" s="104"/>
      <c r="B878" s="104"/>
      <c r="C878" s="105"/>
      <c r="D878" s="104"/>
      <c r="E878" s="105"/>
      <c r="F878" s="106"/>
      <c r="G878" s="104"/>
      <c r="H878" s="106"/>
      <c r="I878" s="107"/>
      <c r="J878" s="108"/>
      <c r="K878" s="108"/>
      <c r="L878" s="108"/>
      <c r="M878" s="105"/>
      <c r="N878" s="105"/>
      <c r="O878" s="105"/>
      <c r="P878" s="108"/>
      <c r="Q878" s="105"/>
      <c r="R878" s="105"/>
      <c r="S878" s="105"/>
      <c r="T878" s="105"/>
      <c r="U878" s="108"/>
      <c r="V878" s="105"/>
      <c r="W878" s="105"/>
      <c r="X878" s="105"/>
      <c r="Y878" s="105"/>
      <c r="Z878" s="105"/>
      <c r="AA878" s="108"/>
      <c r="AB878" s="108"/>
      <c r="AC878" s="105"/>
      <c r="AD878" s="279"/>
      <c r="AE878" s="105"/>
      <c r="AF878" s="279"/>
      <c r="AG878" s="105"/>
      <c r="AH878" s="108"/>
      <c r="AI878" s="108"/>
      <c r="AJ878" s="108"/>
      <c r="AK878" s="108"/>
      <c r="AL878" s="105"/>
      <c r="AM878" s="108"/>
      <c r="AN878" s="105"/>
      <c r="AO878" s="108"/>
      <c r="AP878" s="108"/>
      <c r="AQ878" s="105"/>
      <c r="AR878" s="108"/>
      <c r="AS878" s="108"/>
      <c r="AT878" s="105"/>
      <c r="AU878" s="105"/>
      <c r="AV878" s="105"/>
      <c r="AW878" s="105"/>
      <c r="AX878" s="105"/>
      <c r="AY878" s="105"/>
      <c r="AZ878" s="105"/>
      <c r="BA878" s="105"/>
      <c r="BB878" s="105"/>
      <c r="BC878" s="105"/>
      <c r="BD878" s="108"/>
      <c r="BE878" s="83">
        <f>IF($A878="","",IF(TRIM($D878&amp;"")="",IF(TRIM($AX878&amp;$AY878&amp;$AZ878&amp;$BA878&amp;$BB878&amp;$BC878&amp;$BD878&amp;"")="","","SUBARRENDADO"),IFERROR(IF(VLOOKUP($D878,VEHICULOS!$A$3:$H$202,7,FALSE)="","",VLOOKUP($D878,VEHICULOS!$A$3:$H$202,7,FALSE)),"")))</f>
      </c>
      <c r="BF878" s="82">
        <f>IF($A878="","",IF(TRIM($BC878&amp;"")&lt;&gt;"",$BC878,IF(TRIM($D878&amp;"")="","",IFERROR(IF(VLOOKUP($D878,VEHICULOS!$A$3:$H$202,8,FALSE)="","",VLOOKUP($D878,VEHICULOS!$A$3:$H$202,8,FALSE)),""))))</f>
      </c>
      <c r="BG878" s="106"/>
      <c r="BH878" s="107"/>
      <c r="BI878" s="86">
        <f t="shared" si="195"/>
      </c>
      <c r="BJ878" s="83">
        <f t="shared" si="196"/>
      </c>
      <c r="BK878" s="85">
        <f t="shared" si="197"/>
      </c>
      <c r="BL878" s="85">
        <f t="shared" si="198"/>
      </c>
      <c r="BM878" s="108"/>
      <c r="BN878" s="85">
        <f t="shared" si="199"/>
      </c>
      <c r="BO878" s="108"/>
      <c r="BP878" s="85">
        <f t="shared" si="200"/>
      </c>
      <c r="BQ878" s="85">
        <f t="shared" si="201"/>
      </c>
      <c r="BR878" s="108"/>
      <c r="BS878" s="104"/>
      <c r="BT878" s="87">
        <f t="shared" si="202"/>
      </c>
      <c r="BU878" s="85">
        <f t="shared" si="203"/>
      </c>
      <c r="BV878" s="85">
        <f t="shared" si="204"/>
      </c>
      <c r="BW878" s="87">
        <f t="shared" si="205"/>
      </c>
      <c r="BX878" s="104"/>
      <c r="BY878" s="106"/>
      <c r="BZ878" s="104"/>
      <c r="CA878" s="105"/>
      <c r="CB878" s="77">
        <f>IF($A878="",0,IF($B878='FICHA CLIENTE'!$C$4,1,0))</f>
      </c>
      <c r="CC878" s="77">
        <f t="shared" si="206"/>
      </c>
      <c r="CD878" s="77">
        <f>IF($A878="",0,IF($D878='FICHA VEHICULO'!$C$4,1,0))</f>
      </c>
      <c r="CE878" s="77">
        <f t="shared" si="207"/>
      </c>
      <c r="CF878" s="77">
        <f t="shared" si="208"/>
      </c>
      <c r="CG878" s="77">
        <f t="shared" si="209"/>
      </c>
    </row>
    <row r="879" spans="1:85" ht="19.5" customHeight="1" x14ac:dyDescent="0.2">
      <c r="A879" s="104"/>
      <c r="B879" s="104"/>
      <c r="C879" s="105"/>
      <c r="D879" s="104"/>
      <c r="E879" s="105"/>
      <c r="F879" s="106"/>
      <c r="G879" s="104"/>
      <c r="H879" s="106"/>
      <c r="I879" s="107"/>
      <c r="J879" s="108"/>
      <c r="K879" s="108"/>
      <c r="L879" s="108"/>
      <c r="M879" s="105"/>
      <c r="N879" s="105"/>
      <c r="O879" s="105"/>
      <c r="P879" s="108"/>
      <c r="Q879" s="105"/>
      <c r="R879" s="105"/>
      <c r="S879" s="105"/>
      <c r="T879" s="105"/>
      <c r="U879" s="108"/>
      <c r="V879" s="105"/>
      <c r="W879" s="105"/>
      <c r="X879" s="105"/>
      <c r="Y879" s="105"/>
      <c r="Z879" s="105"/>
      <c r="AA879" s="108"/>
      <c r="AB879" s="108"/>
      <c r="AC879" s="105"/>
      <c r="AD879" s="279"/>
      <c r="AE879" s="105"/>
      <c r="AF879" s="279"/>
      <c r="AG879" s="105"/>
      <c r="AH879" s="108"/>
      <c r="AI879" s="108"/>
      <c r="AJ879" s="108"/>
      <c r="AK879" s="108"/>
      <c r="AL879" s="105"/>
      <c r="AM879" s="108"/>
      <c r="AN879" s="105"/>
      <c r="AO879" s="108"/>
      <c r="AP879" s="108"/>
      <c r="AQ879" s="105"/>
      <c r="AR879" s="108"/>
      <c r="AS879" s="108"/>
      <c r="AT879" s="105"/>
      <c r="AU879" s="105"/>
      <c r="AV879" s="105"/>
      <c r="AW879" s="105"/>
      <c r="AX879" s="105"/>
      <c r="AY879" s="105"/>
      <c r="AZ879" s="105"/>
      <c r="BA879" s="105"/>
      <c r="BB879" s="105"/>
      <c r="BC879" s="105"/>
      <c r="BD879" s="108"/>
      <c r="BE879" s="83">
        <f>IF($A879="","",IF(TRIM($D879&amp;"")="",IF(TRIM($AX879&amp;$AY879&amp;$AZ879&amp;$BA879&amp;$BB879&amp;$BC879&amp;$BD879&amp;"")="","","SUBARRENDADO"),IFERROR(IF(VLOOKUP($D879,VEHICULOS!$A$3:$H$202,7,FALSE)="","",VLOOKUP($D879,VEHICULOS!$A$3:$H$202,7,FALSE)),"")))</f>
      </c>
      <c r="BF879" s="82">
        <f>IF($A879="","",IF(TRIM($BC879&amp;"")&lt;&gt;"",$BC879,IF(TRIM($D879&amp;"")="","",IFERROR(IF(VLOOKUP($D879,VEHICULOS!$A$3:$H$202,8,FALSE)="","",VLOOKUP($D879,VEHICULOS!$A$3:$H$202,8,FALSE)),""))))</f>
      </c>
      <c r="BG879" s="106"/>
      <c r="BH879" s="107"/>
      <c r="BI879" s="86">
        <f t="shared" si="195"/>
      </c>
      <c r="BJ879" s="83">
        <f t="shared" si="196"/>
      </c>
      <c r="BK879" s="85">
        <f t="shared" si="197"/>
      </c>
      <c r="BL879" s="85">
        <f t="shared" si="198"/>
      </c>
      <c r="BM879" s="108"/>
      <c r="BN879" s="85">
        <f t="shared" si="199"/>
      </c>
      <c r="BO879" s="108"/>
      <c r="BP879" s="85">
        <f t="shared" si="200"/>
      </c>
      <c r="BQ879" s="85">
        <f t="shared" si="201"/>
      </c>
      <c r="BR879" s="108"/>
      <c r="BS879" s="104"/>
      <c r="BT879" s="87">
        <f t="shared" si="202"/>
      </c>
      <c r="BU879" s="85">
        <f t="shared" si="203"/>
      </c>
      <c r="BV879" s="85">
        <f t="shared" si="204"/>
      </c>
      <c r="BW879" s="87">
        <f t="shared" si="205"/>
      </c>
      <c r="BX879" s="104"/>
      <c r="BY879" s="106"/>
      <c r="BZ879" s="104"/>
      <c r="CA879" s="105"/>
      <c r="CB879" s="77">
        <f>IF($A879="",0,IF($B879='FICHA CLIENTE'!$C$4,1,0))</f>
      </c>
      <c r="CC879" s="77">
        <f t="shared" si="206"/>
      </c>
      <c r="CD879" s="77">
        <f>IF($A879="",0,IF($D879='FICHA VEHICULO'!$C$4,1,0))</f>
      </c>
      <c r="CE879" s="77">
        <f t="shared" si="207"/>
      </c>
      <c r="CF879" s="77">
        <f t="shared" si="208"/>
      </c>
      <c r="CG879" s="77">
        <f t="shared" si="209"/>
      </c>
    </row>
    <row r="880" spans="1:85" ht="19.5" customHeight="1" x14ac:dyDescent="0.2">
      <c r="A880" s="104"/>
      <c r="B880" s="104"/>
      <c r="C880" s="105"/>
      <c r="D880" s="104"/>
      <c r="E880" s="105"/>
      <c r="F880" s="106"/>
      <c r="G880" s="104"/>
      <c r="H880" s="106"/>
      <c r="I880" s="107"/>
      <c r="J880" s="108"/>
      <c r="K880" s="108"/>
      <c r="L880" s="108"/>
      <c r="M880" s="105"/>
      <c r="N880" s="105"/>
      <c r="O880" s="105"/>
      <c r="P880" s="108"/>
      <c r="Q880" s="105"/>
      <c r="R880" s="105"/>
      <c r="S880" s="105"/>
      <c r="T880" s="105"/>
      <c r="U880" s="108"/>
      <c r="V880" s="105"/>
      <c r="W880" s="105"/>
      <c r="X880" s="105"/>
      <c r="Y880" s="105"/>
      <c r="Z880" s="105"/>
      <c r="AA880" s="108"/>
      <c r="AB880" s="108"/>
      <c r="AC880" s="105"/>
      <c r="AD880" s="279"/>
      <c r="AE880" s="105"/>
      <c r="AF880" s="279"/>
      <c r="AG880" s="105"/>
      <c r="AH880" s="108"/>
      <c r="AI880" s="108"/>
      <c r="AJ880" s="108"/>
      <c r="AK880" s="108"/>
      <c r="AL880" s="105"/>
      <c r="AM880" s="108"/>
      <c r="AN880" s="105"/>
      <c r="AO880" s="108"/>
      <c r="AP880" s="108"/>
      <c r="AQ880" s="105"/>
      <c r="AR880" s="108"/>
      <c r="AS880" s="108"/>
      <c r="AT880" s="105"/>
      <c r="AU880" s="105"/>
      <c r="AV880" s="105"/>
      <c r="AW880" s="105"/>
      <c r="AX880" s="105"/>
      <c r="AY880" s="105"/>
      <c r="AZ880" s="105"/>
      <c r="BA880" s="105"/>
      <c r="BB880" s="105"/>
      <c r="BC880" s="105"/>
      <c r="BD880" s="108"/>
      <c r="BE880" s="83">
        <f>IF($A880="","",IF(TRIM($D880&amp;"")="",IF(TRIM($AX880&amp;$AY880&amp;$AZ880&amp;$BA880&amp;$BB880&amp;$BC880&amp;$BD880&amp;"")="","","SUBARRENDADO"),IFERROR(IF(VLOOKUP($D880,VEHICULOS!$A$3:$H$202,7,FALSE)="","",VLOOKUP($D880,VEHICULOS!$A$3:$H$202,7,FALSE)),"")))</f>
      </c>
      <c r="BF880" s="82">
        <f>IF($A880="","",IF(TRIM($BC880&amp;"")&lt;&gt;"",$BC880,IF(TRIM($D880&amp;"")="","",IFERROR(IF(VLOOKUP($D880,VEHICULOS!$A$3:$H$202,8,FALSE)="","",VLOOKUP($D880,VEHICULOS!$A$3:$H$202,8,FALSE)),""))))</f>
      </c>
      <c r="BG880" s="106"/>
      <c r="BH880" s="107"/>
      <c r="BI880" s="86">
        <f t="shared" si="195"/>
      </c>
      <c r="BJ880" s="83">
        <f t="shared" si="196"/>
      </c>
      <c r="BK880" s="85">
        <f t="shared" si="197"/>
      </c>
      <c r="BL880" s="85">
        <f t="shared" si="198"/>
      </c>
      <c r="BM880" s="108"/>
      <c r="BN880" s="85">
        <f t="shared" si="199"/>
      </c>
      <c r="BO880" s="108"/>
      <c r="BP880" s="85">
        <f t="shared" si="200"/>
      </c>
      <c r="BQ880" s="85">
        <f t="shared" si="201"/>
      </c>
      <c r="BR880" s="108"/>
      <c r="BS880" s="104"/>
      <c r="BT880" s="87">
        <f t="shared" si="202"/>
      </c>
      <c r="BU880" s="85">
        <f t="shared" si="203"/>
      </c>
      <c r="BV880" s="85">
        <f t="shared" si="204"/>
      </c>
      <c r="BW880" s="87">
        <f t="shared" si="205"/>
      </c>
      <c r="BX880" s="104"/>
      <c r="BY880" s="106"/>
      <c r="BZ880" s="104"/>
      <c r="CA880" s="105"/>
      <c r="CB880" s="77">
        <f>IF($A880="",0,IF($B880='FICHA CLIENTE'!$C$4,1,0))</f>
      </c>
      <c r="CC880" s="77">
        <f t="shared" si="206"/>
      </c>
      <c r="CD880" s="77">
        <f>IF($A880="",0,IF($D880='FICHA VEHICULO'!$C$4,1,0))</f>
      </c>
      <c r="CE880" s="77">
        <f t="shared" si="207"/>
      </c>
      <c r="CF880" s="77">
        <f t="shared" si="208"/>
      </c>
      <c r="CG880" s="77">
        <f t="shared" si="209"/>
      </c>
    </row>
    <row r="881" spans="1:85" ht="19.5" customHeight="1" x14ac:dyDescent="0.2">
      <c r="A881" s="104"/>
      <c r="B881" s="104"/>
      <c r="C881" s="105"/>
      <c r="D881" s="104"/>
      <c r="E881" s="105"/>
      <c r="F881" s="106"/>
      <c r="G881" s="104"/>
      <c r="H881" s="106"/>
      <c r="I881" s="107"/>
      <c r="J881" s="108"/>
      <c r="K881" s="108"/>
      <c r="L881" s="108"/>
      <c r="M881" s="105"/>
      <c r="N881" s="105"/>
      <c r="O881" s="105"/>
      <c r="P881" s="108"/>
      <c r="Q881" s="105"/>
      <c r="R881" s="105"/>
      <c r="S881" s="105"/>
      <c r="T881" s="105"/>
      <c r="U881" s="108"/>
      <c r="V881" s="105"/>
      <c r="W881" s="105"/>
      <c r="X881" s="105"/>
      <c r="Y881" s="105"/>
      <c r="Z881" s="105"/>
      <c r="AA881" s="108"/>
      <c r="AB881" s="108"/>
      <c r="AC881" s="105"/>
      <c r="AD881" s="279"/>
      <c r="AE881" s="105"/>
      <c r="AF881" s="279"/>
      <c r="AG881" s="105"/>
      <c r="AH881" s="108"/>
      <c r="AI881" s="108"/>
      <c r="AJ881" s="108"/>
      <c r="AK881" s="108"/>
      <c r="AL881" s="105"/>
      <c r="AM881" s="108"/>
      <c r="AN881" s="105"/>
      <c r="AO881" s="108"/>
      <c r="AP881" s="108"/>
      <c r="AQ881" s="105"/>
      <c r="AR881" s="108"/>
      <c r="AS881" s="108"/>
      <c r="AT881" s="105"/>
      <c r="AU881" s="105"/>
      <c r="AV881" s="105"/>
      <c r="AW881" s="105"/>
      <c r="AX881" s="105"/>
      <c r="AY881" s="105"/>
      <c r="AZ881" s="105"/>
      <c r="BA881" s="105"/>
      <c r="BB881" s="105"/>
      <c r="BC881" s="105"/>
      <c r="BD881" s="108"/>
      <c r="BE881" s="83">
        <f>IF($A881="","",IF(TRIM($D881&amp;"")="",IF(TRIM($AX881&amp;$AY881&amp;$AZ881&amp;$BA881&amp;$BB881&amp;$BC881&amp;$BD881&amp;"")="","","SUBARRENDADO"),IFERROR(IF(VLOOKUP($D881,VEHICULOS!$A$3:$H$202,7,FALSE)="","",VLOOKUP($D881,VEHICULOS!$A$3:$H$202,7,FALSE)),"")))</f>
      </c>
      <c r="BF881" s="82">
        <f>IF($A881="","",IF(TRIM($BC881&amp;"")&lt;&gt;"",$BC881,IF(TRIM($D881&amp;"")="","",IFERROR(IF(VLOOKUP($D881,VEHICULOS!$A$3:$H$202,8,FALSE)="","",VLOOKUP($D881,VEHICULOS!$A$3:$H$202,8,FALSE)),""))))</f>
      </c>
      <c r="BG881" s="106"/>
      <c r="BH881" s="107"/>
      <c r="BI881" s="86">
        <f t="shared" si="195"/>
      </c>
      <c r="BJ881" s="83">
        <f t="shared" si="196"/>
      </c>
      <c r="BK881" s="85">
        <f t="shared" si="197"/>
      </c>
      <c r="BL881" s="85">
        <f t="shared" si="198"/>
      </c>
      <c r="BM881" s="108"/>
      <c r="BN881" s="85">
        <f t="shared" si="199"/>
      </c>
      <c r="BO881" s="108"/>
      <c r="BP881" s="85">
        <f t="shared" si="200"/>
      </c>
      <c r="BQ881" s="85">
        <f t="shared" si="201"/>
      </c>
      <c r="BR881" s="108"/>
      <c r="BS881" s="104"/>
      <c r="BT881" s="87">
        <f t="shared" si="202"/>
      </c>
      <c r="BU881" s="85">
        <f t="shared" si="203"/>
      </c>
      <c r="BV881" s="85">
        <f t="shared" si="204"/>
      </c>
      <c r="BW881" s="87">
        <f t="shared" si="205"/>
      </c>
      <c r="BX881" s="104"/>
      <c r="BY881" s="106"/>
      <c r="BZ881" s="104"/>
      <c r="CA881" s="105"/>
      <c r="CB881" s="77">
        <f>IF($A881="",0,IF($B881='FICHA CLIENTE'!$C$4,1,0))</f>
      </c>
      <c r="CC881" s="77">
        <f t="shared" si="206"/>
      </c>
      <c r="CD881" s="77">
        <f>IF($A881="",0,IF($D881='FICHA VEHICULO'!$C$4,1,0))</f>
      </c>
      <c r="CE881" s="77">
        <f t="shared" si="207"/>
      </c>
      <c r="CF881" s="77">
        <f t="shared" si="208"/>
      </c>
      <c r="CG881" s="77">
        <f t="shared" si="209"/>
      </c>
    </row>
    <row r="882" spans="1:85" ht="19.5" customHeight="1" x14ac:dyDescent="0.2">
      <c r="A882" s="104"/>
      <c r="B882" s="104"/>
      <c r="C882" s="105"/>
      <c r="D882" s="104"/>
      <c r="E882" s="105"/>
      <c r="F882" s="106"/>
      <c r="G882" s="104"/>
      <c r="H882" s="106"/>
      <c r="I882" s="107"/>
      <c r="J882" s="108"/>
      <c r="K882" s="108"/>
      <c r="L882" s="108"/>
      <c r="M882" s="105"/>
      <c r="N882" s="105"/>
      <c r="O882" s="105"/>
      <c r="P882" s="108"/>
      <c r="Q882" s="105"/>
      <c r="R882" s="105"/>
      <c r="S882" s="105"/>
      <c r="T882" s="105"/>
      <c r="U882" s="108"/>
      <c r="V882" s="105"/>
      <c r="W882" s="105"/>
      <c r="X882" s="105"/>
      <c r="Y882" s="105"/>
      <c r="Z882" s="105"/>
      <c r="AA882" s="108"/>
      <c r="AB882" s="108"/>
      <c r="AC882" s="105"/>
      <c r="AD882" s="279"/>
      <c r="AE882" s="105"/>
      <c r="AF882" s="279"/>
      <c r="AG882" s="105"/>
      <c r="AH882" s="108"/>
      <c r="AI882" s="108"/>
      <c r="AJ882" s="108"/>
      <c r="AK882" s="108"/>
      <c r="AL882" s="105"/>
      <c r="AM882" s="108"/>
      <c r="AN882" s="105"/>
      <c r="AO882" s="108"/>
      <c r="AP882" s="108"/>
      <c r="AQ882" s="105"/>
      <c r="AR882" s="108"/>
      <c r="AS882" s="108"/>
      <c r="AT882" s="105"/>
      <c r="AU882" s="105"/>
      <c r="AV882" s="105"/>
      <c r="AW882" s="105"/>
      <c r="AX882" s="105"/>
      <c r="AY882" s="105"/>
      <c r="AZ882" s="105"/>
      <c r="BA882" s="105"/>
      <c r="BB882" s="105"/>
      <c r="BC882" s="105"/>
      <c r="BD882" s="108"/>
      <c r="BE882" s="83">
        <f>IF($A882="","",IF(TRIM($D882&amp;"")="",IF(TRIM($AX882&amp;$AY882&amp;$AZ882&amp;$BA882&amp;$BB882&amp;$BC882&amp;$BD882&amp;"")="","","SUBARRENDADO"),IFERROR(IF(VLOOKUP($D882,VEHICULOS!$A$3:$H$202,7,FALSE)="","",VLOOKUP($D882,VEHICULOS!$A$3:$H$202,7,FALSE)),"")))</f>
      </c>
      <c r="BF882" s="82">
        <f>IF($A882="","",IF(TRIM($BC882&amp;"")&lt;&gt;"",$BC882,IF(TRIM($D882&amp;"")="","",IFERROR(IF(VLOOKUP($D882,VEHICULOS!$A$3:$H$202,8,FALSE)="","",VLOOKUP($D882,VEHICULOS!$A$3:$H$202,8,FALSE)),""))))</f>
      </c>
      <c r="BG882" s="106"/>
      <c r="BH882" s="107"/>
      <c r="BI882" s="86">
        <f t="shared" si="195"/>
      </c>
      <c r="BJ882" s="83">
        <f t="shared" si="196"/>
      </c>
      <c r="BK882" s="85">
        <f t="shared" si="197"/>
      </c>
      <c r="BL882" s="85">
        <f t="shared" si="198"/>
      </c>
      <c r="BM882" s="108"/>
      <c r="BN882" s="85">
        <f t="shared" si="199"/>
      </c>
      <c r="BO882" s="108"/>
      <c r="BP882" s="85">
        <f t="shared" si="200"/>
      </c>
      <c r="BQ882" s="85">
        <f t="shared" si="201"/>
      </c>
      <c r="BR882" s="108"/>
      <c r="BS882" s="104"/>
      <c r="BT882" s="87">
        <f t="shared" si="202"/>
      </c>
      <c r="BU882" s="85">
        <f t="shared" si="203"/>
      </c>
      <c r="BV882" s="85">
        <f t="shared" si="204"/>
      </c>
      <c r="BW882" s="87">
        <f t="shared" si="205"/>
      </c>
      <c r="BX882" s="104"/>
      <c r="BY882" s="106"/>
      <c r="BZ882" s="104"/>
      <c r="CA882" s="105"/>
      <c r="CB882" s="77">
        <f>IF($A882="",0,IF($B882='FICHA CLIENTE'!$C$4,1,0))</f>
      </c>
      <c r="CC882" s="77">
        <f t="shared" si="206"/>
      </c>
      <c r="CD882" s="77">
        <f>IF($A882="",0,IF($D882='FICHA VEHICULO'!$C$4,1,0))</f>
      </c>
      <c r="CE882" s="77">
        <f t="shared" si="207"/>
      </c>
      <c r="CF882" s="77">
        <f t="shared" si="208"/>
      </c>
      <c r="CG882" s="77">
        <f t="shared" si="209"/>
      </c>
    </row>
    <row r="883" spans="1:85" ht="19.5" customHeight="1" x14ac:dyDescent="0.2">
      <c r="A883" s="104"/>
      <c r="B883" s="104"/>
      <c r="C883" s="105"/>
      <c r="D883" s="104"/>
      <c r="E883" s="105"/>
      <c r="F883" s="106"/>
      <c r="G883" s="104"/>
      <c r="H883" s="106"/>
      <c r="I883" s="107"/>
      <c r="J883" s="108"/>
      <c r="K883" s="108"/>
      <c r="L883" s="108"/>
      <c r="M883" s="105"/>
      <c r="N883" s="105"/>
      <c r="O883" s="105"/>
      <c r="P883" s="108"/>
      <c r="Q883" s="105"/>
      <c r="R883" s="105"/>
      <c r="S883" s="105"/>
      <c r="T883" s="105"/>
      <c r="U883" s="108"/>
      <c r="V883" s="105"/>
      <c r="W883" s="105"/>
      <c r="X883" s="105"/>
      <c r="Y883" s="105"/>
      <c r="Z883" s="105"/>
      <c r="AA883" s="108"/>
      <c r="AB883" s="108"/>
      <c r="AC883" s="105"/>
      <c r="AD883" s="279"/>
      <c r="AE883" s="105"/>
      <c r="AF883" s="279"/>
      <c r="AG883" s="105"/>
      <c r="AH883" s="108"/>
      <c r="AI883" s="108"/>
      <c r="AJ883" s="108"/>
      <c r="AK883" s="108"/>
      <c r="AL883" s="105"/>
      <c r="AM883" s="108"/>
      <c r="AN883" s="105"/>
      <c r="AO883" s="108"/>
      <c r="AP883" s="108"/>
      <c r="AQ883" s="105"/>
      <c r="AR883" s="108"/>
      <c r="AS883" s="108"/>
      <c r="AT883" s="105"/>
      <c r="AU883" s="105"/>
      <c r="AV883" s="105"/>
      <c r="AW883" s="105"/>
      <c r="AX883" s="105"/>
      <c r="AY883" s="105"/>
      <c r="AZ883" s="105"/>
      <c r="BA883" s="105"/>
      <c r="BB883" s="105"/>
      <c r="BC883" s="105"/>
      <c r="BD883" s="108"/>
      <c r="BE883" s="83">
        <f>IF($A883="","",IF(TRIM($D883&amp;"")="",IF(TRIM($AX883&amp;$AY883&amp;$AZ883&amp;$BA883&amp;$BB883&amp;$BC883&amp;$BD883&amp;"")="","","SUBARRENDADO"),IFERROR(IF(VLOOKUP($D883,VEHICULOS!$A$3:$H$202,7,FALSE)="","",VLOOKUP($D883,VEHICULOS!$A$3:$H$202,7,FALSE)),"")))</f>
      </c>
      <c r="BF883" s="82">
        <f>IF($A883="","",IF(TRIM($BC883&amp;"")&lt;&gt;"",$BC883,IF(TRIM($D883&amp;"")="","",IFERROR(IF(VLOOKUP($D883,VEHICULOS!$A$3:$H$202,8,FALSE)="","",VLOOKUP($D883,VEHICULOS!$A$3:$H$202,8,FALSE)),""))))</f>
      </c>
      <c r="BG883" s="106"/>
      <c r="BH883" s="107"/>
      <c r="BI883" s="86">
        <f t="shared" si="195"/>
      </c>
      <c r="BJ883" s="83">
        <f t="shared" si="196"/>
      </c>
      <c r="BK883" s="85">
        <f t="shared" si="197"/>
      </c>
      <c r="BL883" s="85">
        <f t="shared" si="198"/>
      </c>
      <c r="BM883" s="108"/>
      <c r="BN883" s="85">
        <f t="shared" si="199"/>
      </c>
      <c r="BO883" s="108"/>
      <c r="BP883" s="85">
        <f t="shared" si="200"/>
      </c>
      <c r="BQ883" s="85">
        <f t="shared" si="201"/>
      </c>
      <c r="BR883" s="108"/>
      <c r="BS883" s="104"/>
      <c r="BT883" s="87">
        <f t="shared" si="202"/>
      </c>
      <c r="BU883" s="85">
        <f t="shared" si="203"/>
      </c>
      <c r="BV883" s="85">
        <f t="shared" si="204"/>
      </c>
      <c r="BW883" s="87">
        <f t="shared" si="205"/>
      </c>
      <c r="BX883" s="104"/>
      <c r="BY883" s="106"/>
      <c r="BZ883" s="104"/>
      <c r="CA883" s="105"/>
      <c r="CB883" s="77">
        <f>IF($A883="",0,IF($B883='FICHA CLIENTE'!$C$4,1,0))</f>
      </c>
      <c r="CC883" s="77">
        <f t="shared" si="206"/>
      </c>
      <c r="CD883" s="77">
        <f>IF($A883="",0,IF($D883='FICHA VEHICULO'!$C$4,1,0))</f>
      </c>
      <c r="CE883" s="77">
        <f t="shared" si="207"/>
      </c>
      <c r="CF883" s="77">
        <f t="shared" si="208"/>
      </c>
      <c r="CG883" s="77">
        <f t="shared" si="209"/>
      </c>
    </row>
    <row r="884" spans="1:85" ht="19.5" customHeight="1" x14ac:dyDescent="0.2">
      <c r="A884" s="104"/>
      <c r="B884" s="104"/>
      <c r="C884" s="105"/>
      <c r="D884" s="104"/>
      <c r="E884" s="105"/>
      <c r="F884" s="106"/>
      <c r="G884" s="104"/>
      <c r="H884" s="106"/>
      <c r="I884" s="107"/>
      <c r="J884" s="108"/>
      <c r="K884" s="108"/>
      <c r="L884" s="108"/>
      <c r="M884" s="105"/>
      <c r="N884" s="105"/>
      <c r="O884" s="105"/>
      <c r="P884" s="108"/>
      <c r="Q884" s="105"/>
      <c r="R884" s="105"/>
      <c r="S884" s="105"/>
      <c r="T884" s="105"/>
      <c r="U884" s="108"/>
      <c r="V884" s="105"/>
      <c r="W884" s="105"/>
      <c r="X884" s="105"/>
      <c r="Y884" s="105"/>
      <c r="Z884" s="105"/>
      <c r="AA884" s="108"/>
      <c r="AB884" s="108"/>
      <c r="AC884" s="105"/>
      <c r="AD884" s="279"/>
      <c r="AE884" s="105"/>
      <c r="AF884" s="279"/>
      <c r="AG884" s="105"/>
      <c r="AH884" s="108"/>
      <c r="AI884" s="108"/>
      <c r="AJ884" s="108"/>
      <c r="AK884" s="108"/>
      <c r="AL884" s="105"/>
      <c r="AM884" s="108"/>
      <c r="AN884" s="105"/>
      <c r="AO884" s="108"/>
      <c r="AP884" s="108"/>
      <c r="AQ884" s="105"/>
      <c r="AR884" s="108"/>
      <c r="AS884" s="108"/>
      <c r="AT884" s="105"/>
      <c r="AU884" s="105"/>
      <c r="AV884" s="105"/>
      <c r="AW884" s="105"/>
      <c r="AX884" s="105"/>
      <c r="AY884" s="105"/>
      <c r="AZ884" s="105"/>
      <c r="BA884" s="105"/>
      <c r="BB884" s="105"/>
      <c r="BC884" s="105"/>
      <c r="BD884" s="108"/>
      <c r="BE884" s="83">
        <f>IF($A884="","",IF(TRIM($D884&amp;"")="",IF(TRIM($AX884&amp;$AY884&amp;$AZ884&amp;$BA884&amp;$BB884&amp;$BC884&amp;$BD884&amp;"")="","","SUBARRENDADO"),IFERROR(IF(VLOOKUP($D884,VEHICULOS!$A$3:$H$202,7,FALSE)="","",VLOOKUP($D884,VEHICULOS!$A$3:$H$202,7,FALSE)),"")))</f>
      </c>
      <c r="BF884" s="82">
        <f>IF($A884="","",IF(TRIM($BC884&amp;"")&lt;&gt;"",$BC884,IF(TRIM($D884&amp;"")="","",IFERROR(IF(VLOOKUP($D884,VEHICULOS!$A$3:$H$202,8,FALSE)="","",VLOOKUP($D884,VEHICULOS!$A$3:$H$202,8,FALSE)),""))))</f>
      </c>
      <c r="BG884" s="106"/>
      <c r="BH884" s="107"/>
      <c r="BI884" s="86">
        <f t="shared" si="195"/>
      </c>
      <c r="BJ884" s="83">
        <f t="shared" si="196"/>
      </c>
      <c r="BK884" s="85">
        <f t="shared" si="197"/>
      </c>
      <c r="BL884" s="85">
        <f t="shared" si="198"/>
      </c>
      <c r="BM884" s="108"/>
      <c r="BN884" s="85">
        <f t="shared" si="199"/>
      </c>
      <c r="BO884" s="108"/>
      <c r="BP884" s="85">
        <f t="shared" si="200"/>
      </c>
      <c r="BQ884" s="85">
        <f t="shared" si="201"/>
      </c>
      <c r="BR884" s="108"/>
      <c r="BS884" s="104"/>
      <c r="BT884" s="87">
        <f t="shared" si="202"/>
      </c>
      <c r="BU884" s="85">
        <f t="shared" si="203"/>
      </c>
      <c r="BV884" s="85">
        <f t="shared" si="204"/>
      </c>
      <c r="BW884" s="87">
        <f t="shared" si="205"/>
      </c>
      <c r="BX884" s="104"/>
      <c r="BY884" s="106"/>
      <c r="BZ884" s="104"/>
      <c r="CA884" s="105"/>
      <c r="CB884" s="77">
        <f>IF($A884="",0,IF($B884='FICHA CLIENTE'!$C$4,1,0))</f>
      </c>
      <c r="CC884" s="77">
        <f t="shared" si="206"/>
      </c>
      <c r="CD884" s="77">
        <f>IF($A884="",0,IF($D884='FICHA VEHICULO'!$C$4,1,0))</f>
      </c>
      <c r="CE884" s="77">
        <f t="shared" si="207"/>
      </c>
      <c r="CF884" s="77">
        <f t="shared" si="208"/>
      </c>
      <c r="CG884" s="77">
        <f t="shared" si="209"/>
      </c>
    </row>
    <row r="885" spans="1:85" ht="19.5" customHeight="1" x14ac:dyDescent="0.2">
      <c r="A885" s="104"/>
      <c r="B885" s="104"/>
      <c r="C885" s="105"/>
      <c r="D885" s="104"/>
      <c r="E885" s="105"/>
      <c r="F885" s="106"/>
      <c r="G885" s="104"/>
      <c r="H885" s="106"/>
      <c r="I885" s="107"/>
      <c r="J885" s="108"/>
      <c r="K885" s="108"/>
      <c r="L885" s="108"/>
      <c r="M885" s="105"/>
      <c r="N885" s="105"/>
      <c r="O885" s="105"/>
      <c r="P885" s="108"/>
      <c r="Q885" s="105"/>
      <c r="R885" s="105"/>
      <c r="S885" s="105"/>
      <c r="T885" s="105"/>
      <c r="U885" s="108"/>
      <c r="V885" s="105"/>
      <c r="W885" s="105"/>
      <c r="X885" s="105"/>
      <c r="Y885" s="105"/>
      <c r="Z885" s="105"/>
      <c r="AA885" s="108"/>
      <c r="AB885" s="108"/>
      <c r="AC885" s="105"/>
      <c r="AD885" s="279"/>
      <c r="AE885" s="105"/>
      <c r="AF885" s="279"/>
      <c r="AG885" s="105"/>
      <c r="AH885" s="108"/>
      <c r="AI885" s="108"/>
      <c r="AJ885" s="108"/>
      <c r="AK885" s="108"/>
      <c r="AL885" s="105"/>
      <c r="AM885" s="108"/>
      <c r="AN885" s="105"/>
      <c r="AO885" s="108"/>
      <c r="AP885" s="108"/>
      <c r="AQ885" s="105"/>
      <c r="AR885" s="108"/>
      <c r="AS885" s="108"/>
      <c r="AT885" s="105"/>
      <c r="AU885" s="105"/>
      <c r="AV885" s="105"/>
      <c r="AW885" s="105"/>
      <c r="AX885" s="105"/>
      <c r="AY885" s="105"/>
      <c r="AZ885" s="105"/>
      <c r="BA885" s="105"/>
      <c r="BB885" s="105"/>
      <c r="BC885" s="105"/>
      <c r="BD885" s="108"/>
      <c r="BE885" s="83">
        <f>IF($A885="","",IF(TRIM($D885&amp;"")="",IF(TRIM($AX885&amp;$AY885&amp;$AZ885&amp;$BA885&amp;$BB885&amp;$BC885&amp;$BD885&amp;"")="","","SUBARRENDADO"),IFERROR(IF(VLOOKUP($D885,VEHICULOS!$A$3:$H$202,7,FALSE)="","",VLOOKUP($D885,VEHICULOS!$A$3:$H$202,7,FALSE)),"")))</f>
      </c>
      <c r="BF885" s="82">
        <f>IF($A885="","",IF(TRIM($BC885&amp;"")&lt;&gt;"",$BC885,IF(TRIM($D885&amp;"")="","",IFERROR(IF(VLOOKUP($D885,VEHICULOS!$A$3:$H$202,8,FALSE)="","",VLOOKUP($D885,VEHICULOS!$A$3:$H$202,8,FALSE)),""))))</f>
      </c>
      <c r="BG885" s="106"/>
      <c r="BH885" s="107"/>
      <c r="BI885" s="86">
        <f t="shared" si="195"/>
      </c>
      <c r="BJ885" s="83">
        <f t="shared" si="196"/>
      </c>
      <c r="BK885" s="85">
        <f t="shared" si="197"/>
      </c>
      <c r="BL885" s="85">
        <f t="shared" si="198"/>
      </c>
      <c r="BM885" s="108"/>
      <c r="BN885" s="85">
        <f t="shared" si="199"/>
      </c>
      <c r="BO885" s="108"/>
      <c r="BP885" s="85">
        <f t="shared" si="200"/>
      </c>
      <c r="BQ885" s="85">
        <f t="shared" si="201"/>
      </c>
      <c r="BR885" s="108"/>
      <c r="BS885" s="104"/>
      <c r="BT885" s="87">
        <f t="shared" si="202"/>
      </c>
      <c r="BU885" s="85">
        <f t="shared" si="203"/>
      </c>
      <c r="BV885" s="85">
        <f t="shared" si="204"/>
      </c>
      <c r="BW885" s="87">
        <f t="shared" si="205"/>
      </c>
      <c r="BX885" s="104"/>
      <c r="BY885" s="106"/>
      <c r="BZ885" s="104"/>
      <c r="CA885" s="105"/>
      <c r="CB885" s="77">
        <f>IF($A885="",0,IF($B885='FICHA CLIENTE'!$C$4,1,0))</f>
      </c>
      <c r="CC885" s="77">
        <f t="shared" si="206"/>
      </c>
      <c r="CD885" s="77">
        <f>IF($A885="",0,IF($D885='FICHA VEHICULO'!$C$4,1,0))</f>
      </c>
      <c r="CE885" s="77">
        <f t="shared" si="207"/>
      </c>
      <c r="CF885" s="77">
        <f t="shared" si="208"/>
      </c>
      <c r="CG885" s="77">
        <f t="shared" si="209"/>
      </c>
    </row>
    <row r="886" spans="1:85" ht="19.5" customHeight="1" x14ac:dyDescent="0.2">
      <c r="A886" s="104"/>
      <c r="B886" s="104"/>
      <c r="C886" s="105"/>
      <c r="D886" s="104"/>
      <c r="E886" s="105"/>
      <c r="F886" s="106"/>
      <c r="G886" s="104"/>
      <c r="H886" s="106"/>
      <c r="I886" s="107"/>
      <c r="J886" s="108"/>
      <c r="K886" s="108"/>
      <c r="L886" s="108"/>
      <c r="M886" s="105"/>
      <c r="N886" s="105"/>
      <c r="O886" s="105"/>
      <c r="P886" s="108"/>
      <c r="Q886" s="105"/>
      <c r="R886" s="105"/>
      <c r="S886" s="105"/>
      <c r="T886" s="105"/>
      <c r="U886" s="108"/>
      <c r="V886" s="105"/>
      <c r="W886" s="105"/>
      <c r="X886" s="105"/>
      <c r="Y886" s="105"/>
      <c r="Z886" s="105"/>
      <c r="AA886" s="108"/>
      <c r="AB886" s="108"/>
      <c r="AC886" s="105"/>
      <c r="AD886" s="279"/>
      <c r="AE886" s="105"/>
      <c r="AF886" s="279"/>
      <c r="AG886" s="105"/>
      <c r="AH886" s="108"/>
      <c r="AI886" s="108"/>
      <c r="AJ886" s="108"/>
      <c r="AK886" s="108"/>
      <c r="AL886" s="105"/>
      <c r="AM886" s="108"/>
      <c r="AN886" s="105"/>
      <c r="AO886" s="108"/>
      <c r="AP886" s="108"/>
      <c r="AQ886" s="105"/>
      <c r="AR886" s="108"/>
      <c r="AS886" s="108"/>
      <c r="AT886" s="105"/>
      <c r="AU886" s="105"/>
      <c r="AV886" s="105"/>
      <c r="AW886" s="105"/>
      <c r="AX886" s="105"/>
      <c r="AY886" s="105"/>
      <c r="AZ886" s="105"/>
      <c r="BA886" s="105"/>
      <c r="BB886" s="105"/>
      <c r="BC886" s="105"/>
      <c r="BD886" s="108"/>
      <c r="BE886" s="83">
        <f>IF($A886="","",IF(TRIM($D886&amp;"")="",IF(TRIM($AX886&amp;$AY886&amp;$AZ886&amp;$BA886&amp;$BB886&amp;$BC886&amp;$BD886&amp;"")="","","SUBARRENDADO"),IFERROR(IF(VLOOKUP($D886,VEHICULOS!$A$3:$H$202,7,FALSE)="","",VLOOKUP($D886,VEHICULOS!$A$3:$H$202,7,FALSE)),"")))</f>
      </c>
      <c r="BF886" s="82">
        <f>IF($A886="","",IF(TRIM($BC886&amp;"")&lt;&gt;"",$BC886,IF(TRIM($D886&amp;"")="","",IFERROR(IF(VLOOKUP($D886,VEHICULOS!$A$3:$H$202,8,FALSE)="","",VLOOKUP($D886,VEHICULOS!$A$3:$H$202,8,FALSE)),""))))</f>
      </c>
      <c r="BG886" s="106"/>
      <c r="BH886" s="107"/>
      <c r="BI886" s="86">
        <f t="shared" si="195"/>
      </c>
      <c r="BJ886" s="83">
        <f t="shared" si="196"/>
      </c>
      <c r="BK886" s="85">
        <f t="shared" si="197"/>
      </c>
      <c r="BL886" s="85">
        <f t="shared" si="198"/>
      </c>
      <c r="BM886" s="108"/>
      <c r="BN886" s="85">
        <f t="shared" si="199"/>
      </c>
      <c r="BO886" s="108"/>
      <c r="BP886" s="85">
        <f t="shared" si="200"/>
      </c>
      <c r="BQ886" s="85">
        <f t="shared" si="201"/>
      </c>
      <c r="BR886" s="108"/>
      <c r="BS886" s="104"/>
      <c r="BT886" s="87">
        <f t="shared" si="202"/>
      </c>
      <c r="BU886" s="85">
        <f t="shared" si="203"/>
      </c>
      <c r="BV886" s="85">
        <f t="shared" si="204"/>
      </c>
      <c r="BW886" s="87">
        <f t="shared" si="205"/>
      </c>
      <c r="BX886" s="104"/>
      <c r="BY886" s="106"/>
      <c r="BZ886" s="104"/>
      <c r="CA886" s="105"/>
      <c r="CB886" s="77">
        <f>IF($A886="",0,IF($B886='FICHA CLIENTE'!$C$4,1,0))</f>
      </c>
      <c r="CC886" s="77">
        <f t="shared" si="206"/>
      </c>
      <c r="CD886" s="77">
        <f>IF($A886="",0,IF($D886='FICHA VEHICULO'!$C$4,1,0))</f>
      </c>
      <c r="CE886" s="77">
        <f t="shared" si="207"/>
      </c>
      <c r="CF886" s="77">
        <f t="shared" si="208"/>
      </c>
      <c r="CG886" s="77">
        <f t="shared" si="209"/>
      </c>
    </row>
    <row r="887" spans="1:85" ht="19.5" customHeight="1" x14ac:dyDescent="0.2">
      <c r="A887" s="104"/>
      <c r="B887" s="104"/>
      <c r="C887" s="105"/>
      <c r="D887" s="104"/>
      <c r="E887" s="105"/>
      <c r="F887" s="106"/>
      <c r="G887" s="104"/>
      <c r="H887" s="106"/>
      <c r="I887" s="107"/>
      <c r="J887" s="108"/>
      <c r="K887" s="108"/>
      <c r="L887" s="108"/>
      <c r="M887" s="105"/>
      <c r="N887" s="105"/>
      <c r="O887" s="105"/>
      <c r="P887" s="108"/>
      <c r="Q887" s="105"/>
      <c r="R887" s="105"/>
      <c r="S887" s="105"/>
      <c r="T887" s="105"/>
      <c r="U887" s="108"/>
      <c r="V887" s="105"/>
      <c r="W887" s="105"/>
      <c r="X887" s="105"/>
      <c r="Y887" s="105"/>
      <c r="Z887" s="105"/>
      <c r="AA887" s="108"/>
      <c r="AB887" s="108"/>
      <c r="AC887" s="105"/>
      <c r="AD887" s="279"/>
      <c r="AE887" s="105"/>
      <c r="AF887" s="279"/>
      <c r="AG887" s="105"/>
      <c r="AH887" s="108"/>
      <c r="AI887" s="108"/>
      <c r="AJ887" s="108"/>
      <c r="AK887" s="108"/>
      <c r="AL887" s="105"/>
      <c r="AM887" s="108"/>
      <c r="AN887" s="105"/>
      <c r="AO887" s="108"/>
      <c r="AP887" s="108"/>
      <c r="AQ887" s="105"/>
      <c r="AR887" s="108"/>
      <c r="AS887" s="108"/>
      <c r="AT887" s="105"/>
      <c r="AU887" s="105"/>
      <c r="AV887" s="105"/>
      <c r="AW887" s="105"/>
      <c r="AX887" s="105"/>
      <c r="AY887" s="105"/>
      <c r="AZ887" s="105"/>
      <c r="BA887" s="105"/>
      <c r="BB887" s="105"/>
      <c r="BC887" s="105"/>
      <c r="BD887" s="108"/>
      <c r="BE887" s="83">
        <f>IF($A887="","",IF(TRIM($D887&amp;"")="",IF(TRIM($AX887&amp;$AY887&amp;$AZ887&amp;$BA887&amp;$BB887&amp;$BC887&amp;$BD887&amp;"")="","","SUBARRENDADO"),IFERROR(IF(VLOOKUP($D887,VEHICULOS!$A$3:$H$202,7,FALSE)="","",VLOOKUP($D887,VEHICULOS!$A$3:$H$202,7,FALSE)),"")))</f>
      </c>
      <c r="BF887" s="82">
        <f>IF($A887="","",IF(TRIM($BC887&amp;"")&lt;&gt;"",$BC887,IF(TRIM($D887&amp;"")="","",IFERROR(IF(VLOOKUP($D887,VEHICULOS!$A$3:$H$202,8,FALSE)="","",VLOOKUP($D887,VEHICULOS!$A$3:$H$202,8,FALSE)),""))))</f>
      </c>
      <c r="BG887" s="106"/>
      <c r="BH887" s="107"/>
      <c r="BI887" s="86">
        <f t="shared" si="195"/>
      </c>
      <c r="BJ887" s="83">
        <f t="shared" si="196"/>
      </c>
      <c r="BK887" s="85">
        <f t="shared" si="197"/>
      </c>
      <c r="BL887" s="85">
        <f t="shared" si="198"/>
      </c>
      <c r="BM887" s="108"/>
      <c r="BN887" s="85">
        <f t="shared" si="199"/>
      </c>
      <c r="BO887" s="108"/>
      <c r="BP887" s="85">
        <f t="shared" si="200"/>
      </c>
      <c r="BQ887" s="85">
        <f t="shared" si="201"/>
      </c>
      <c r="BR887" s="108"/>
      <c r="BS887" s="104"/>
      <c r="BT887" s="87">
        <f t="shared" si="202"/>
      </c>
      <c r="BU887" s="85">
        <f t="shared" si="203"/>
      </c>
      <c r="BV887" s="85">
        <f t="shared" si="204"/>
      </c>
      <c r="BW887" s="87">
        <f t="shared" si="205"/>
      </c>
      <c r="BX887" s="104"/>
      <c r="BY887" s="106"/>
      <c r="BZ887" s="104"/>
      <c r="CA887" s="105"/>
      <c r="CB887" s="77">
        <f>IF($A887="",0,IF($B887='FICHA CLIENTE'!$C$4,1,0))</f>
      </c>
      <c r="CC887" s="77">
        <f t="shared" si="206"/>
      </c>
      <c r="CD887" s="77">
        <f>IF($A887="",0,IF($D887='FICHA VEHICULO'!$C$4,1,0))</f>
      </c>
      <c r="CE887" s="77">
        <f t="shared" si="207"/>
      </c>
      <c r="CF887" s="77">
        <f t="shared" si="208"/>
      </c>
      <c r="CG887" s="77">
        <f t="shared" si="209"/>
      </c>
    </row>
    <row r="888" spans="1:85" ht="19.5" customHeight="1" x14ac:dyDescent="0.2">
      <c r="A888" s="104"/>
      <c r="B888" s="104"/>
      <c r="C888" s="105"/>
      <c r="D888" s="104"/>
      <c r="E888" s="105"/>
      <c r="F888" s="106"/>
      <c r="G888" s="104"/>
      <c r="H888" s="106"/>
      <c r="I888" s="107"/>
      <c r="J888" s="108"/>
      <c r="K888" s="108"/>
      <c r="L888" s="108"/>
      <c r="M888" s="105"/>
      <c r="N888" s="105"/>
      <c r="O888" s="105"/>
      <c r="P888" s="108"/>
      <c r="Q888" s="105"/>
      <c r="R888" s="105"/>
      <c r="S888" s="105"/>
      <c r="T888" s="105"/>
      <c r="U888" s="108"/>
      <c r="V888" s="105"/>
      <c r="W888" s="105"/>
      <c r="X888" s="105"/>
      <c r="Y888" s="105"/>
      <c r="Z888" s="105"/>
      <c r="AA888" s="108"/>
      <c r="AB888" s="108"/>
      <c r="AC888" s="105"/>
      <c r="AD888" s="279"/>
      <c r="AE888" s="105"/>
      <c r="AF888" s="279"/>
      <c r="AG888" s="105"/>
      <c r="AH888" s="108"/>
      <c r="AI888" s="108"/>
      <c r="AJ888" s="108"/>
      <c r="AK888" s="108"/>
      <c r="AL888" s="105"/>
      <c r="AM888" s="108"/>
      <c r="AN888" s="105"/>
      <c r="AO888" s="108"/>
      <c r="AP888" s="108"/>
      <c r="AQ888" s="105"/>
      <c r="AR888" s="108"/>
      <c r="AS888" s="108"/>
      <c r="AT888" s="105"/>
      <c r="AU888" s="105"/>
      <c r="AV888" s="105"/>
      <c r="AW888" s="105"/>
      <c r="AX888" s="105"/>
      <c r="AY888" s="105"/>
      <c r="AZ888" s="105"/>
      <c r="BA888" s="105"/>
      <c r="BB888" s="105"/>
      <c r="BC888" s="105"/>
      <c r="BD888" s="108"/>
      <c r="BE888" s="83">
        <f>IF($A888="","",IF(TRIM($D888&amp;"")="",IF(TRIM($AX888&amp;$AY888&amp;$AZ888&amp;$BA888&amp;$BB888&amp;$BC888&amp;$BD888&amp;"")="","","SUBARRENDADO"),IFERROR(IF(VLOOKUP($D888,VEHICULOS!$A$3:$H$202,7,FALSE)="","",VLOOKUP($D888,VEHICULOS!$A$3:$H$202,7,FALSE)),"")))</f>
      </c>
      <c r="BF888" s="82">
        <f>IF($A888="","",IF(TRIM($BC888&amp;"")&lt;&gt;"",$BC888,IF(TRIM($D888&amp;"")="","",IFERROR(IF(VLOOKUP($D888,VEHICULOS!$A$3:$H$202,8,FALSE)="","",VLOOKUP($D888,VEHICULOS!$A$3:$H$202,8,FALSE)),""))))</f>
      </c>
      <c r="BG888" s="106"/>
      <c r="BH888" s="107"/>
      <c r="BI888" s="86">
        <f t="shared" si="195"/>
      </c>
      <c r="BJ888" s="83">
        <f t="shared" si="196"/>
      </c>
      <c r="BK888" s="85">
        <f t="shared" si="197"/>
      </c>
      <c r="BL888" s="85">
        <f t="shared" si="198"/>
      </c>
      <c r="BM888" s="108"/>
      <c r="BN888" s="85">
        <f t="shared" si="199"/>
      </c>
      <c r="BO888" s="108"/>
      <c r="BP888" s="85">
        <f t="shared" si="200"/>
      </c>
      <c r="BQ888" s="85">
        <f t="shared" si="201"/>
      </c>
      <c r="BR888" s="108"/>
      <c r="BS888" s="104"/>
      <c r="BT888" s="87">
        <f t="shared" si="202"/>
      </c>
      <c r="BU888" s="85">
        <f t="shared" si="203"/>
      </c>
      <c r="BV888" s="85">
        <f t="shared" si="204"/>
      </c>
      <c r="BW888" s="87">
        <f t="shared" si="205"/>
      </c>
      <c r="BX888" s="104"/>
      <c r="BY888" s="106"/>
      <c r="BZ888" s="104"/>
      <c r="CA888" s="105"/>
      <c r="CB888" s="77">
        <f>IF($A888="",0,IF($B888='FICHA CLIENTE'!$C$4,1,0))</f>
      </c>
      <c r="CC888" s="77">
        <f t="shared" si="206"/>
      </c>
      <c r="CD888" s="77">
        <f>IF($A888="",0,IF($D888='FICHA VEHICULO'!$C$4,1,0))</f>
      </c>
      <c r="CE888" s="77">
        <f t="shared" si="207"/>
      </c>
      <c r="CF888" s="77">
        <f t="shared" si="208"/>
      </c>
      <c r="CG888" s="77">
        <f t="shared" si="209"/>
      </c>
    </row>
    <row r="889" spans="1:85" ht="19.5" customHeight="1" x14ac:dyDescent="0.2">
      <c r="A889" s="104"/>
      <c r="B889" s="104"/>
      <c r="C889" s="105"/>
      <c r="D889" s="104"/>
      <c r="E889" s="105"/>
      <c r="F889" s="106"/>
      <c r="G889" s="104"/>
      <c r="H889" s="106"/>
      <c r="I889" s="107"/>
      <c r="J889" s="108"/>
      <c r="K889" s="108"/>
      <c r="L889" s="108"/>
      <c r="M889" s="105"/>
      <c r="N889" s="105"/>
      <c r="O889" s="105"/>
      <c r="P889" s="108"/>
      <c r="Q889" s="105"/>
      <c r="R889" s="105"/>
      <c r="S889" s="105"/>
      <c r="T889" s="105"/>
      <c r="U889" s="108"/>
      <c r="V889" s="105"/>
      <c r="W889" s="105"/>
      <c r="X889" s="105"/>
      <c r="Y889" s="105"/>
      <c r="Z889" s="105"/>
      <c r="AA889" s="108"/>
      <c r="AB889" s="108"/>
      <c r="AC889" s="105"/>
      <c r="AD889" s="279"/>
      <c r="AE889" s="105"/>
      <c r="AF889" s="279"/>
      <c r="AG889" s="105"/>
      <c r="AH889" s="108"/>
      <c r="AI889" s="108"/>
      <c r="AJ889" s="108"/>
      <c r="AK889" s="108"/>
      <c r="AL889" s="105"/>
      <c r="AM889" s="108"/>
      <c r="AN889" s="105"/>
      <c r="AO889" s="108"/>
      <c r="AP889" s="108"/>
      <c r="AQ889" s="105"/>
      <c r="AR889" s="108"/>
      <c r="AS889" s="108"/>
      <c r="AT889" s="105"/>
      <c r="AU889" s="105"/>
      <c r="AV889" s="105"/>
      <c r="AW889" s="105"/>
      <c r="AX889" s="105"/>
      <c r="AY889" s="105"/>
      <c r="AZ889" s="105"/>
      <c r="BA889" s="105"/>
      <c r="BB889" s="105"/>
      <c r="BC889" s="105"/>
      <c r="BD889" s="108"/>
      <c r="BE889" s="83">
        <f>IF($A889="","",IF(TRIM($D889&amp;"")="",IF(TRIM($AX889&amp;$AY889&amp;$AZ889&amp;$BA889&amp;$BB889&amp;$BC889&amp;$BD889&amp;"")="","","SUBARRENDADO"),IFERROR(IF(VLOOKUP($D889,VEHICULOS!$A$3:$H$202,7,FALSE)="","",VLOOKUP($D889,VEHICULOS!$A$3:$H$202,7,FALSE)),"")))</f>
      </c>
      <c r="BF889" s="82">
        <f>IF($A889="","",IF(TRIM($BC889&amp;"")&lt;&gt;"",$BC889,IF(TRIM($D889&amp;"")="","",IFERROR(IF(VLOOKUP($D889,VEHICULOS!$A$3:$H$202,8,FALSE)="","",VLOOKUP($D889,VEHICULOS!$A$3:$H$202,8,FALSE)),""))))</f>
      </c>
      <c r="BG889" s="106"/>
      <c r="BH889" s="107"/>
      <c r="BI889" s="86">
        <f t="shared" si="195"/>
      </c>
      <c r="BJ889" s="83">
        <f t="shared" si="196"/>
      </c>
      <c r="BK889" s="85">
        <f t="shared" si="197"/>
      </c>
      <c r="BL889" s="85">
        <f t="shared" si="198"/>
      </c>
      <c r="BM889" s="108"/>
      <c r="BN889" s="85">
        <f t="shared" si="199"/>
      </c>
      <c r="BO889" s="108"/>
      <c r="BP889" s="85">
        <f t="shared" si="200"/>
      </c>
      <c r="BQ889" s="85">
        <f t="shared" si="201"/>
      </c>
      <c r="BR889" s="108"/>
      <c r="BS889" s="104"/>
      <c r="BT889" s="87">
        <f t="shared" si="202"/>
      </c>
      <c r="BU889" s="85">
        <f t="shared" si="203"/>
      </c>
      <c r="BV889" s="85">
        <f t="shared" si="204"/>
      </c>
      <c r="BW889" s="87">
        <f t="shared" si="205"/>
      </c>
      <c r="BX889" s="104"/>
      <c r="BY889" s="106"/>
      <c r="BZ889" s="104"/>
      <c r="CA889" s="105"/>
      <c r="CB889" s="77">
        <f>IF($A889="",0,IF($B889='FICHA CLIENTE'!$C$4,1,0))</f>
      </c>
      <c r="CC889" s="77">
        <f t="shared" si="206"/>
      </c>
      <c r="CD889" s="77">
        <f>IF($A889="",0,IF($D889='FICHA VEHICULO'!$C$4,1,0))</f>
      </c>
      <c r="CE889" s="77">
        <f t="shared" si="207"/>
      </c>
      <c r="CF889" s="77">
        <f t="shared" si="208"/>
      </c>
      <c r="CG889" s="77">
        <f t="shared" si="209"/>
      </c>
    </row>
    <row r="890" spans="1:85" ht="19.5" customHeight="1" x14ac:dyDescent="0.2">
      <c r="A890" s="104"/>
      <c r="B890" s="104"/>
      <c r="C890" s="105"/>
      <c r="D890" s="104"/>
      <c r="E890" s="105"/>
      <c r="F890" s="106"/>
      <c r="G890" s="104"/>
      <c r="H890" s="106"/>
      <c r="I890" s="107"/>
      <c r="J890" s="108"/>
      <c r="K890" s="108"/>
      <c r="L890" s="108"/>
      <c r="M890" s="105"/>
      <c r="N890" s="105"/>
      <c r="O890" s="105"/>
      <c r="P890" s="108"/>
      <c r="Q890" s="105"/>
      <c r="R890" s="105"/>
      <c r="S890" s="105"/>
      <c r="T890" s="105"/>
      <c r="U890" s="108"/>
      <c r="V890" s="105"/>
      <c r="W890" s="105"/>
      <c r="X890" s="105"/>
      <c r="Y890" s="105"/>
      <c r="Z890" s="105"/>
      <c r="AA890" s="108"/>
      <c r="AB890" s="108"/>
      <c r="AC890" s="105"/>
      <c r="AD890" s="279"/>
      <c r="AE890" s="105"/>
      <c r="AF890" s="279"/>
      <c r="AG890" s="105"/>
      <c r="AH890" s="108"/>
      <c r="AI890" s="108"/>
      <c r="AJ890" s="108"/>
      <c r="AK890" s="108"/>
      <c r="AL890" s="105"/>
      <c r="AM890" s="108"/>
      <c r="AN890" s="105"/>
      <c r="AO890" s="108"/>
      <c r="AP890" s="108"/>
      <c r="AQ890" s="105"/>
      <c r="AR890" s="108"/>
      <c r="AS890" s="108"/>
      <c r="AT890" s="105"/>
      <c r="AU890" s="105"/>
      <c r="AV890" s="105"/>
      <c r="AW890" s="105"/>
      <c r="AX890" s="105"/>
      <c r="AY890" s="105"/>
      <c r="AZ890" s="105"/>
      <c r="BA890" s="105"/>
      <c r="BB890" s="105"/>
      <c r="BC890" s="105"/>
      <c r="BD890" s="108"/>
      <c r="BE890" s="83">
        <f>IF($A890="","",IF(TRIM($D890&amp;"")="",IF(TRIM($AX890&amp;$AY890&amp;$AZ890&amp;$BA890&amp;$BB890&amp;$BC890&amp;$BD890&amp;"")="","","SUBARRENDADO"),IFERROR(IF(VLOOKUP($D890,VEHICULOS!$A$3:$H$202,7,FALSE)="","",VLOOKUP($D890,VEHICULOS!$A$3:$H$202,7,FALSE)),"")))</f>
      </c>
      <c r="BF890" s="82">
        <f>IF($A890="","",IF(TRIM($BC890&amp;"")&lt;&gt;"",$BC890,IF(TRIM($D890&amp;"")="","",IFERROR(IF(VLOOKUP($D890,VEHICULOS!$A$3:$H$202,8,FALSE)="","",VLOOKUP($D890,VEHICULOS!$A$3:$H$202,8,FALSE)),""))))</f>
      </c>
      <c r="BG890" s="106"/>
      <c r="BH890" s="107"/>
      <c r="BI890" s="86">
        <f t="shared" si="195"/>
      </c>
      <c r="BJ890" s="83">
        <f t="shared" si="196"/>
      </c>
      <c r="BK890" s="85">
        <f t="shared" si="197"/>
      </c>
      <c r="BL890" s="85">
        <f t="shared" si="198"/>
      </c>
      <c r="BM890" s="108"/>
      <c r="BN890" s="85">
        <f t="shared" si="199"/>
      </c>
      <c r="BO890" s="108"/>
      <c r="BP890" s="85">
        <f t="shared" si="200"/>
      </c>
      <c r="BQ890" s="85">
        <f t="shared" si="201"/>
      </c>
      <c r="BR890" s="108"/>
      <c r="BS890" s="104"/>
      <c r="BT890" s="87">
        <f t="shared" si="202"/>
      </c>
      <c r="BU890" s="85">
        <f t="shared" si="203"/>
      </c>
      <c r="BV890" s="85">
        <f t="shared" si="204"/>
      </c>
      <c r="BW890" s="87">
        <f t="shared" si="205"/>
      </c>
      <c r="BX890" s="104"/>
      <c r="BY890" s="106"/>
      <c r="BZ890" s="104"/>
      <c r="CA890" s="105"/>
      <c r="CB890" s="77">
        <f>IF($A890="",0,IF($B890='FICHA CLIENTE'!$C$4,1,0))</f>
      </c>
      <c r="CC890" s="77">
        <f t="shared" si="206"/>
      </c>
      <c r="CD890" s="77">
        <f>IF($A890="",0,IF($D890='FICHA VEHICULO'!$C$4,1,0))</f>
      </c>
      <c r="CE890" s="77">
        <f t="shared" si="207"/>
      </c>
      <c r="CF890" s="77">
        <f t="shared" si="208"/>
      </c>
      <c r="CG890" s="77">
        <f t="shared" si="209"/>
      </c>
    </row>
    <row r="891" spans="1:85" ht="19.5" customHeight="1" x14ac:dyDescent="0.2">
      <c r="A891" s="104"/>
      <c r="B891" s="104"/>
      <c r="C891" s="105"/>
      <c r="D891" s="104"/>
      <c r="E891" s="105"/>
      <c r="F891" s="106"/>
      <c r="G891" s="104"/>
      <c r="H891" s="106"/>
      <c r="I891" s="107"/>
      <c r="J891" s="108"/>
      <c r="K891" s="108"/>
      <c r="L891" s="108"/>
      <c r="M891" s="105"/>
      <c r="N891" s="105"/>
      <c r="O891" s="105"/>
      <c r="P891" s="108"/>
      <c r="Q891" s="105"/>
      <c r="R891" s="105"/>
      <c r="S891" s="105"/>
      <c r="T891" s="105"/>
      <c r="U891" s="108"/>
      <c r="V891" s="105"/>
      <c r="W891" s="105"/>
      <c r="X891" s="105"/>
      <c r="Y891" s="105"/>
      <c r="Z891" s="105"/>
      <c r="AA891" s="108"/>
      <c r="AB891" s="108"/>
      <c r="AC891" s="105"/>
      <c r="AD891" s="279"/>
      <c r="AE891" s="105"/>
      <c r="AF891" s="279"/>
      <c r="AG891" s="105"/>
      <c r="AH891" s="108"/>
      <c r="AI891" s="108"/>
      <c r="AJ891" s="108"/>
      <c r="AK891" s="108"/>
      <c r="AL891" s="105"/>
      <c r="AM891" s="108"/>
      <c r="AN891" s="105"/>
      <c r="AO891" s="108"/>
      <c r="AP891" s="108"/>
      <c r="AQ891" s="105"/>
      <c r="AR891" s="108"/>
      <c r="AS891" s="108"/>
      <c r="AT891" s="105"/>
      <c r="AU891" s="105"/>
      <c r="AV891" s="105"/>
      <c r="AW891" s="105"/>
      <c r="AX891" s="105"/>
      <c r="AY891" s="105"/>
      <c r="AZ891" s="105"/>
      <c r="BA891" s="105"/>
      <c r="BB891" s="105"/>
      <c r="BC891" s="105"/>
      <c r="BD891" s="108"/>
      <c r="BE891" s="83">
        <f>IF($A891="","",IF(TRIM($D891&amp;"")="",IF(TRIM($AX891&amp;$AY891&amp;$AZ891&amp;$BA891&amp;$BB891&amp;$BC891&amp;$BD891&amp;"")="","","SUBARRENDADO"),IFERROR(IF(VLOOKUP($D891,VEHICULOS!$A$3:$H$202,7,FALSE)="","",VLOOKUP($D891,VEHICULOS!$A$3:$H$202,7,FALSE)),"")))</f>
      </c>
      <c r="BF891" s="82">
        <f>IF($A891="","",IF(TRIM($BC891&amp;"")&lt;&gt;"",$BC891,IF(TRIM($D891&amp;"")="","",IFERROR(IF(VLOOKUP($D891,VEHICULOS!$A$3:$H$202,8,FALSE)="","",VLOOKUP($D891,VEHICULOS!$A$3:$H$202,8,FALSE)),""))))</f>
      </c>
      <c r="BG891" s="106"/>
      <c r="BH891" s="107"/>
      <c r="BI891" s="86">
        <f t="shared" si="195"/>
      </c>
      <c r="BJ891" s="83">
        <f t="shared" si="196"/>
      </c>
      <c r="BK891" s="85">
        <f t="shared" si="197"/>
      </c>
      <c r="BL891" s="85">
        <f t="shared" si="198"/>
      </c>
      <c r="BM891" s="108"/>
      <c r="BN891" s="85">
        <f t="shared" si="199"/>
      </c>
      <c r="BO891" s="108"/>
      <c r="BP891" s="85">
        <f t="shared" si="200"/>
      </c>
      <c r="BQ891" s="85">
        <f t="shared" si="201"/>
      </c>
      <c r="BR891" s="108"/>
      <c r="BS891" s="104"/>
      <c r="BT891" s="87">
        <f t="shared" si="202"/>
      </c>
      <c r="BU891" s="85">
        <f t="shared" si="203"/>
      </c>
      <c r="BV891" s="85">
        <f t="shared" si="204"/>
      </c>
      <c r="BW891" s="87">
        <f t="shared" si="205"/>
      </c>
      <c r="BX891" s="104"/>
      <c r="BY891" s="106"/>
      <c r="BZ891" s="104"/>
      <c r="CA891" s="105"/>
      <c r="CB891" s="77">
        <f>IF($A891="",0,IF($B891='FICHA CLIENTE'!$C$4,1,0))</f>
      </c>
      <c r="CC891" s="77">
        <f t="shared" si="206"/>
      </c>
      <c r="CD891" s="77">
        <f>IF($A891="",0,IF($D891='FICHA VEHICULO'!$C$4,1,0))</f>
      </c>
      <c r="CE891" s="77">
        <f t="shared" si="207"/>
      </c>
      <c r="CF891" s="77">
        <f t="shared" si="208"/>
      </c>
      <c r="CG891" s="77">
        <f t="shared" si="209"/>
      </c>
    </row>
    <row r="892" spans="1:85" ht="19.5" customHeight="1" x14ac:dyDescent="0.2">
      <c r="A892" s="104"/>
      <c r="B892" s="104"/>
      <c r="C892" s="105"/>
      <c r="D892" s="104"/>
      <c r="E892" s="105"/>
      <c r="F892" s="106"/>
      <c r="G892" s="104"/>
      <c r="H892" s="106"/>
      <c r="I892" s="107"/>
      <c r="J892" s="108"/>
      <c r="K892" s="108"/>
      <c r="L892" s="108"/>
      <c r="M892" s="105"/>
      <c r="N892" s="105"/>
      <c r="O892" s="105"/>
      <c r="P892" s="108"/>
      <c r="Q892" s="105"/>
      <c r="R892" s="105"/>
      <c r="S892" s="105"/>
      <c r="T892" s="105"/>
      <c r="U892" s="108"/>
      <c r="V892" s="105"/>
      <c r="W892" s="105"/>
      <c r="X892" s="105"/>
      <c r="Y892" s="105"/>
      <c r="Z892" s="105"/>
      <c r="AA892" s="108"/>
      <c r="AB892" s="108"/>
      <c r="AC892" s="105"/>
      <c r="AD892" s="279"/>
      <c r="AE892" s="105"/>
      <c r="AF892" s="279"/>
      <c r="AG892" s="105"/>
      <c r="AH892" s="108"/>
      <c r="AI892" s="108"/>
      <c r="AJ892" s="108"/>
      <c r="AK892" s="108"/>
      <c r="AL892" s="105"/>
      <c r="AM892" s="108"/>
      <c r="AN892" s="105"/>
      <c r="AO892" s="108"/>
      <c r="AP892" s="108"/>
      <c r="AQ892" s="105"/>
      <c r="AR892" s="108"/>
      <c r="AS892" s="108"/>
      <c r="AT892" s="105"/>
      <c r="AU892" s="105"/>
      <c r="AV892" s="105"/>
      <c r="AW892" s="105"/>
      <c r="AX892" s="105"/>
      <c r="AY892" s="105"/>
      <c r="AZ892" s="105"/>
      <c r="BA892" s="105"/>
      <c r="BB892" s="105"/>
      <c r="BC892" s="105"/>
      <c r="BD892" s="108"/>
      <c r="BE892" s="83">
        <f>IF($A892="","",IF(TRIM($D892&amp;"")="",IF(TRIM($AX892&amp;$AY892&amp;$AZ892&amp;$BA892&amp;$BB892&amp;$BC892&amp;$BD892&amp;"")="","","SUBARRENDADO"),IFERROR(IF(VLOOKUP($D892,VEHICULOS!$A$3:$H$202,7,FALSE)="","",VLOOKUP($D892,VEHICULOS!$A$3:$H$202,7,FALSE)),"")))</f>
      </c>
      <c r="BF892" s="82">
        <f>IF($A892="","",IF(TRIM($BC892&amp;"")&lt;&gt;"",$BC892,IF(TRIM($D892&amp;"")="","",IFERROR(IF(VLOOKUP($D892,VEHICULOS!$A$3:$H$202,8,FALSE)="","",VLOOKUP($D892,VEHICULOS!$A$3:$H$202,8,FALSE)),""))))</f>
      </c>
      <c r="BG892" s="106"/>
      <c r="BH892" s="107"/>
      <c r="BI892" s="86">
        <f t="shared" si="195"/>
      </c>
      <c r="BJ892" s="83">
        <f t="shared" si="196"/>
      </c>
      <c r="BK892" s="85">
        <f t="shared" si="197"/>
      </c>
      <c r="BL892" s="85">
        <f t="shared" si="198"/>
      </c>
      <c r="BM892" s="108"/>
      <c r="BN892" s="85">
        <f t="shared" si="199"/>
      </c>
      <c r="BO892" s="108"/>
      <c r="BP892" s="85">
        <f t="shared" si="200"/>
      </c>
      <c r="BQ892" s="85">
        <f t="shared" si="201"/>
      </c>
      <c r="BR892" s="108"/>
      <c r="BS892" s="104"/>
      <c r="BT892" s="87">
        <f t="shared" si="202"/>
      </c>
      <c r="BU892" s="85">
        <f t="shared" si="203"/>
      </c>
      <c r="BV892" s="85">
        <f t="shared" si="204"/>
      </c>
      <c r="BW892" s="87">
        <f t="shared" si="205"/>
      </c>
      <c r="BX892" s="104"/>
      <c r="BY892" s="106"/>
      <c r="BZ892" s="104"/>
      <c r="CA892" s="105"/>
      <c r="CB892" s="77">
        <f>IF($A892="",0,IF($B892='FICHA CLIENTE'!$C$4,1,0))</f>
      </c>
      <c r="CC892" s="77">
        <f t="shared" si="206"/>
      </c>
      <c r="CD892" s="77">
        <f>IF($A892="",0,IF($D892='FICHA VEHICULO'!$C$4,1,0))</f>
      </c>
      <c r="CE892" s="77">
        <f t="shared" si="207"/>
      </c>
      <c r="CF892" s="77">
        <f t="shared" si="208"/>
      </c>
      <c r="CG892" s="77">
        <f t="shared" si="209"/>
      </c>
    </row>
    <row r="893" spans="1:85" ht="19.5" customHeight="1" x14ac:dyDescent="0.2">
      <c r="A893" s="104"/>
      <c r="B893" s="104"/>
      <c r="C893" s="105"/>
      <c r="D893" s="104"/>
      <c r="E893" s="105"/>
      <c r="F893" s="106"/>
      <c r="G893" s="104"/>
      <c r="H893" s="106"/>
      <c r="I893" s="107"/>
      <c r="J893" s="108"/>
      <c r="K893" s="108"/>
      <c r="L893" s="108"/>
      <c r="M893" s="105"/>
      <c r="N893" s="105"/>
      <c r="O893" s="105"/>
      <c r="P893" s="108"/>
      <c r="Q893" s="105"/>
      <c r="R893" s="105"/>
      <c r="S893" s="105"/>
      <c r="T893" s="105"/>
      <c r="U893" s="108"/>
      <c r="V893" s="105"/>
      <c r="W893" s="105"/>
      <c r="X893" s="105"/>
      <c r="Y893" s="105"/>
      <c r="Z893" s="105"/>
      <c r="AA893" s="108"/>
      <c r="AB893" s="108"/>
      <c r="AC893" s="105"/>
      <c r="AD893" s="279"/>
      <c r="AE893" s="105"/>
      <c r="AF893" s="279"/>
      <c r="AG893" s="105"/>
      <c r="AH893" s="108"/>
      <c r="AI893" s="108"/>
      <c r="AJ893" s="108"/>
      <c r="AK893" s="108"/>
      <c r="AL893" s="105"/>
      <c r="AM893" s="108"/>
      <c r="AN893" s="105"/>
      <c r="AO893" s="108"/>
      <c r="AP893" s="108"/>
      <c r="AQ893" s="105"/>
      <c r="AR893" s="108"/>
      <c r="AS893" s="108"/>
      <c r="AT893" s="105"/>
      <c r="AU893" s="105"/>
      <c r="AV893" s="105"/>
      <c r="AW893" s="105"/>
      <c r="AX893" s="105"/>
      <c r="AY893" s="105"/>
      <c r="AZ893" s="105"/>
      <c r="BA893" s="105"/>
      <c r="BB893" s="105"/>
      <c r="BC893" s="105"/>
      <c r="BD893" s="108"/>
      <c r="BE893" s="83">
        <f>IF($A893="","",IF(TRIM($D893&amp;"")="",IF(TRIM($AX893&amp;$AY893&amp;$AZ893&amp;$BA893&amp;$BB893&amp;$BC893&amp;$BD893&amp;"")="","","SUBARRENDADO"),IFERROR(IF(VLOOKUP($D893,VEHICULOS!$A$3:$H$202,7,FALSE)="","",VLOOKUP($D893,VEHICULOS!$A$3:$H$202,7,FALSE)),"")))</f>
      </c>
      <c r="BF893" s="82">
        <f>IF($A893="","",IF(TRIM($BC893&amp;"")&lt;&gt;"",$BC893,IF(TRIM($D893&amp;"")="","",IFERROR(IF(VLOOKUP($D893,VEHICULOS!$A$3:$H$202,8,FALSE)="","",VLOOKUP($D893,VEHICULOS!$A$3:$H$202,8,FALSE)),""))))</f>
      </c>
      <c r="BG893" s="106"/>
      <c r="BH893" s="107"/>
      <c r="BI893" s="86">
        <f t="shared" si="195"/>
      </c>
      <c r="BJ893" s="83">
        <f t="shared" si="196"/>
      </c>
      <c r="BK893" s="85">
        <f t="shared" si="197"/>
      </c>
      <c r="BL893" s="85">
        <f t="shared" si="198"/>
      </c>
      <c r="BM893" s="108"/>
      <c r="BN893" s="85">
        <f t="shared" si="199"/>
      </c>
      <c r="BO893" s="108"/>
      <c r="BP893" s="85">
        <f t="shared" si="200"/>
      </c>
      <c r="BQ893" s="85">
        <f t="shared" si="201"/>
      </c>
      <c r="BR893" s="108"/>
      <c r="BS893" s="104"/>
      <c r="BT893" s="87">
        <f t="shared" si="202"/>
      </c>
      <c r="BU893" s="85">
        <f t="shared" si="203"/>
      </c>
      <c r="BV893" s="85">
        <f t="shared" si="204"/>
      </c>
      <c r="BW893" s="87">
        <f t="shared" si="205"/>
      </c>
      <c r="BX893" s="104"/>
      <c r="BY893" s="106"/>
      <c r="BZ893" s="104"/>
      <c r="CA893" s="105"/>
      <c r="CB893" s="77">
        <f>IF($A893="",0,IF($B893='FICHA CLIENTE'!$C$4,1,0))</f>
      </c>
      <c r="CC893" s="77">
        <f t="shared" si="206"/>
      </c>
      <c r="CD893" s="77">
        <f>IF($A893="",0,IF($D893='FICHA VEHICULO'!$C$4,1,0))</f>
      </c>
      <c r="CE893" s="77">
        <f t="shared" si="207"/>
      </c>
      <c r="CF893" s="77">
        <f t="shared" si="208"/>
      </c>
      <c r="CG893" s="77">
        <f t="shared" si="209"/>
      </c>
    </row>
    <row r="894" spans="1:85" ht="19.5" customHeight="1" x14ac:dyDescent="0.2">
      <c r="A894" s="104"/>
      <c r="B894" s="104"/>
      <c r="C894" s="105"/>
      <c r="D894" s="104"/>
      <c r="E894" s="105"/>
      <c r="F894" s="106"/>
      <c r="G894" s="104"/>
      <c r="H894" s="106"/>
      <c r="I894" s="107"/>
      <c r="J894" s="108"/>
      <c r="K894" s="108"/>
      <c r="L894" s="108"/>
      <c r="M894" s="105"/>
      <c r="N894" s="105"/>
      <c r="O894" s="105"/>
      <c r="P894" s="108"/>
      <c r="Q894" s="105"/>
      <c r="R894" s="105"/>
      <c r="S894" s="105"/>
      <c r="T894" s="105"/>
      <c r="U894" s="108"/>
      <c r="V894" s="105"/>
      <c r="W894" s="105"/>
      <c r="X894" s="105"/>
      <c r="Y894" s="105"/>
      <c r="Z894" s="105"/>
      <c r="AA894" s="108"/>
      <c r="AB894" s="108"/>
      <c r="AC894" s="105"/>
      <c r="AD894" s="279"/>
      <c r="AE894" s="105"/>
      <c r="AF894" s="279"/>
      <c r="AG894" s="105"/>
      <c r="AH894" s="108"/>
      <c r="AI894" s="108"/>
      <c r="AJ894" s="108"/>
      <c r="AK894" s="108"/>
      <c r="AL894" s="105"/>
      <c r="AM894" s="108"/>
      <c r="AN894" s="105"/>
      <c r="AO894" s="108"/>
      <c r="AP894" s="108"/>
      <c r="AQ894" s="105"/>
      <c r="AR894" s="108"/>
      <c r="AS894" s="108"/>
      <c r="AT894" s="105"/>
      <c r="AU894" s="105"/>
      <c r="AV894" s="105"/>
      <c r="AW894" s="105"/>
      <c r="AX894" s="105"/>
      <c r="AY894" s="105"/>
      <c r="AZ894" s="105"/>
      <c r="BA894" s="105"/>
      <c r="BB894" s="105"/>
      <c r="BC894" s="105"/>
      <c r="BD894" s="108"/>
      <c r="BE894" s="83">
        <f>IF($A894="","",IF(TRIM($D894&amp;"")="",IF(TRIM($AX894&amp;$AY894&amp;$AZ894&amp;$BA894&amp;$BB894&amp;$BC894&amp;$BD894&amp;"")="","","SUBARRENDADO"),IFERROR(IF(VLOOKUP($D894,VEHICULOS!$A$3:$H$202,7,FALSE)="","",VLOOKUP($D894,VEHICULOS!$A$3:$H$202,7,FALSE)),"")))</f>
      </c>
      <c r="BF894" s="82">
        <f>IF($A894="","",IF(TRIM($BC894&amp;"")&lt;&gt;"",$BC894,IF(TRIM($D894&amp;"")="","",IFERROR(IF(VLOOKUP($D894,VEHICULOS!$A$3:$H$202,8,FALSE)="","",VLOOKUP($D894,VEHICULOS!$A$3:$H$202,8,FALSE)),""))))</f>
      </c>
      <c r="BG894" s="106"/>
      <c r="BH894" s="107"/>
      <c r="BI894" s="86">
        <f t="shared" si="195"/>
      </c>
      <c r="BJ894" s="83">
        <f t="shared" si="196"/>
      </c>
      <c r="BK894" s="85">
        <f t="shared" si="197"/>
      </c>
      <c r="BL894" s="85">
        <f t="shared" si="198"/>
      </c>
      <c r="BM894" s="108"/>
      <c r="BN894" s="85">
        <f t="shared" si="199"/>
      </c>
      <c r="BO894" s="108"/>
      <c r="BP894" s="85">
        <f t="shared" si="200"/>
      </c>
      <c r="BQ894" s="85">
        <f t="shared" si="201"/>
      </c>
      <c r="BR894" s="108"/>
      <c r="BS894" s="104"/>
      <c r="BT894" s="87">
        <f t="shared" si="202"/>
      </c>
      <c r="BU894" s="85">
        <f t="shared" si="203"/>
      </c>
      <c r="BV894" s="85">
        <f t="shared" si="204"/>
      </c>
      <c r="BW894" s="87">
        <f t="shared" si="205"/>
      </c>
      <c r="BX894" s="104"/>
      <c r="BY894" s="106"/>
      <c r="BZ894" s="104"/>
      <c r="CA894" s="105"/>
      <c r="CB894" s="77">
        <f>IF($A894="",0,IF($B894='FICHA CLIENTE'!$C$4,1,0))</f>
      </c>
      <c r="CC894" s="77">
        <f t="shared" si="206"/>
      </c>
      <c r="CD894" s="77">
        <f>IF($A894="",0,IF($D894='FICHA VEHICULO'!$C$4,1,0))</f>
      </c>
      <c r="CE894" s="77">
        <f t="shared" si="207"/>
      </c>
      <c r="CF894" s="77">
        <f t="shared" si="208"/>
      </c>
      <c r="CG894" s="77">
        <f t="shared" si="209"/>
      </c>
    </row>
    <row r="895" spans="1:85" ht="19.5" customHeight="1" x14ac:dyDescent="0.2">
      <c r="A895" s="104"/>
      <c r="B895" s="104"/>
      <c r="C895" s="105"/>
      <c r="D895" s="104"/>
      <c r="E895" s="105"/>
      <c r="F895" s="106"/>
      <c r="G895" s="104"/>
      <c r="H895" s="106"/>
      <c r="I895" s="107"/>
      <c r="J895" s="108"/>
      <c r="K895" s="108"/>
      <c r="L895" s="108"/>
      <c r="M895" s="105"/>
      <c r="N895" s="105"/>
      <c r="O895" s="105"/>
      <c r="P895" s="108"/>
      <c r="Q895" s="105"/>
      <c r="R895" s="105"/>
      <c r="S895" s="105"/>
      <c r="T895" s="105"/>
      <c r="U895" s="108"/>
      <c r="V895" s="105"/>
      <c r="W895" s="105"/>
      <c r="X895" s="105"/>
      <c r="Y895" s="105"/>
      <c r="Z895" s="105"/>
      <c r="AA895" s="108"/>
      <c r="AB895" s="108"/>
      <c r="AC895" s="105"/>
      <c r="AD895" s="279"/>
      <c r="AE895" s="105"/>
      <c r="AF895" s="279"/>
      <c r="AG895" s="105"/>
      <c r="AH895" s="108"/>
      <c r="AI895" s="108"/>
      <c r="AJ895" s="108"/>
      <c r="AK895" s="108"/>
      <c r="AL895" s="105"/>
      <c r="AM895" s="108"/>
      <c r="AN895" s="105"/>
      <c r="AO895" s="108"/>
      <c r="AP895" s="108"/>
      <c r="AQ895" s="105"/>
      <c r="AR895" s="108"/>
      <c r="AS895" s="108"/>
      <c r="AT895" s="105"/>
      <c r="AU895" s="105"/>
      <c r="AV895" s="105"/>
      <c r="AW895" s="105"/>
      <c r="AX895" s="105"/>
      <c r="AY895" s="105"/>
      <c r="AZ895" s="105"/>
      <c r="BA895" s="105"/>
      <c r="BB895" s="105"/>
      <c r="BC895" s="105"/>
      <c r="BD895" s="108"/>
      <c r="BE895" s="83">
        <f>IF($A895="","",IF(TRIM($D895&amp;"")="",IF(TRIM($AX895&amp;$AY895&amp;$AZ895&amp;$BA895&amp;$BB895&amp;$BC895&amp;$BD895&amp;"")="","","SUBARRENDADO"),IFERROR(IF(VLOOKUP($D895,VEHICULOS!$A$3:$H$202,7,FALSE)="","",VLOOKUP($D895,VEHICULOS!$A$3:$H$202,7,FALSE)),"")))</f>
      </c>
      <c r="BF895" s="82">
        <f>IF($A895="","",IF(TRIM($BC895&amp;"")&lt;&gt;"",$BC895,IF(TRIM($D895&amp;"")="","",IFERROR(IF(VLOOKUP($D895,VEHICULOS!$A$3:$H$202,8,FALSE)="","",VLOOKUP($D895,VEHICULOS!$A$3:$H$202,8,FALSE)),""))))</f>
      </c>
      <c r="BG895" s="106"/>
      <c r="BH895" s="107"/>
      <c r="BI895" s="86">
        <f t="shared" si="195"/>
      </c>
      <c r="BJ895" s="83">
        <f t="shared" si="196"/>
      </c>
      <c r="BK895" s="85">
        <f t="shared" si="197"/>
      </c>
      <c r="BL895" s="85">
        <f t="shared" si="198"/>
      </c>
      <c r="BM895" s="108"/>
      <c r="BN895" s="85">
        <f t="shared" si="199"/>
      </c>
      <c r="BO895" s="108"/>
      <c r="BP895" s="85">
        <f t="shared" si="200"/>
      </c>
      <c r="BQ895" s="85">
        <f t="shared" si="201"/>
      </c>
      <c r="BR895" s="108"/>
      <c r="BS895" s="104"/>
      <c r="BT895" s="87">
        <f t="shared" si="202"/>
      </c>
      <c r="BU895" s="85">
        <f t="shared" si="203"/>
      </c>
      <c r="BV895" s="85">
        <f t="shared" si="204"/>
      </c>
      <c r="BW895" s="87">
        <f t="shared" si="205"/>
      </c>
      <c r="BX895" s="104"/>
      <c r="BY895" s="106"/>
      <c r="BZ895" s="104"/>
      <c r="CA895" s="105"/>
      <c r="CB895" s="77">
        <f>IF($A895="",0,IF($B895='FICHA CLIENTE'!$C$4,1,0))</f>
      </c>
      <c r="CC895" s="77">
        <f t="shared" si="206"/>
      </c>
      <c r="CD895" s="77">
        <f>IF($A895="",0,IF($D895='FICHA VEHICULO'!$C$4,1,0))</f>
      </c>
      <c r="CE895" s="77">
        <f t="shared" si="207"/>
      </c>
      <c r="CF895" s="77">
        <f t="shared" si="208"/>
      </c>
      <c r="CG895" s="77">
        <f t="shared" si="209"/>
      </c>
    </row>
    <row r="896" spans="1:85" ht="19.5" customHeight="1" x14ac:dyDescent="0.2">
      <c r="A896" s="104"/>
      <c r="B896" s="104"/>
      <c r="C896" s="105"/>
      <c r="D896" s="104"/>
      <c r="E896" s="105"/>
      <c r="F896" s="106"/>
      <c r="G896" s="104"/>
      <c r="H896" s="106"/>
      <c r="I896" s="107"/>
      <c r="J896" s="108"/>
      <c r="K896" s="108"/>
      <c r="L896" s="108"/>
      <c r="M896" s="105"/>
      <c r="N896" s="105"/>
      <c r="O896" s="105"/>
      <c r="P896" s="108"/>
      <c r="Q896" s="105"/>
      <c r="R896" s="105"/>
      <c r="S896" s="105"/>
      <c r="T896" s="105"/>
      <c r="U896" s="108"/>
      <c r="V896" s="105"/>
      <c r="W896" s="105"/>
      <c r="X896" s="105"/>
      <c r="Y896" s="105"/>
      <c r="Z896" s="105"/>
      <c r="AA896" s="108"/>
      <c r="AB896" s="108"/>
      <c r="AC896" s="105"/>
      <c r="AD896" s="279"/>
      <c r="AE896" s="105"/>
      <c r="AF896" s="279"/>
      <c r="AG896" s="105"/>
      <c r="AH896" s="108"/>
      <c r="AI896" s="108"/>
      <c r="AJ896" s="108"/>
      <c r="AK896" s="108"/>
      <c r="AL896" s="105"/>
      <c r="AM896" s="108"/>
      <c r="AN896" s="105"/>
      <c r="AO896" s="108"/>
      <c r="AP896" s="108"/>
      <c r="AQ896" s="105"/>
      <c r="AR896" s="108"/>
      <c r="AS896" s="108"/>
      <c r="AT896" s="105"/>
      <c r="AU896" s="105"/>
      <c r="AV896" s="105"/>
      <c r="AW896" s="105"/>
      <c r="AX896" s="105"/>
      <c r="AY896" s="105"/>
      <c r="AZ896" s="105"/>
      <c r="BA896" s="105"/>
      <c r="BB896" s="105"/>
      <c r="BC896" s="105"/>
      <c r="BD896" s="108"/>
      <c r="BE896" s="83">
        <f>IF($A896="","",IF(TRIM($D896&amp;"")="",IF(TRIM($AX896&amp;$AY896&amp;$AZ896&amp;$BA896&amp;$BB896&amp;$BC896&amp;$BD896&amp;"")="","","SUBARRENDADO"),IFERROR(IF(VLOOKUP($D896,VEHICULOS!$A$3:$H$202,7,FALSE)="","",VLOOKUP($D896,VEHICULOS!$A$3:$H$202,7,FALSE)),"")))</f>
      </c>
      <c r="BF896" s="82">
        <f>IF($A896="","",IF(TRIM($BC896&amp;"")&lt;&gt;"",$BC896,IF(TRIM($D896&amp;"")="","",IFERROR(IF(VLOOKUP($D896,VEHICULOS!$A$3:$H$202,8,FALSE)="","",VLOOKUP($D896,VEHICULOS!$A$3:$H$202,8,FALSE)),""))))</f>
      </c>
      <c r="BG896" s="106"/>
      <c r="BH896" s="107"/>
      <c r="BI896" s="86">
        <f t="shared" si="195"/>
      </c>
      <c r="BJ896" s="83">
        <f t="shared" si="196"/>
      </c>
      <c r="BK896" s="85">
        <f t="shared" si="197"/>
      </c>
      <c r="BL896" s="85">
        <f t="shared" si="198"/>
      </c>
      <c r="BM896" s="108"/>
      <c r="BN896" s="85">
        <f t="shared" si="199"/>
      </c>
      <c r="BO896" s="108"/>
      <c r="BP896" s="85">
        <f t="shared" si="200"/>
      </c>
      <c r="BQ896" s="85">
        <f t="shared" si="201"/>
      </c>
      <c r="BR896" s="108"/>
      <c r="BS896" s="104"/>
      <c r="BT896" s="87">
        <f t="shared" si="202"/>
      </c>
      <c r="BU896" s="85">
        <f t="shared" si="203"/>
      </c>
      <c r="BV896" s="85">
        <f t="shared" si="204"/>
      </c>
      <c r="BW896" s="87">
        <f t="shared" si="205"/>
      </c>
      <c r="BX896" s="104"/>
      <c r="BY896" s="106"/>
      <c r="BZ896" s="104"/>
      <c r="CA896" s="105"/>
      <c r="CB896" s="77">
        <f>IF($A896="",0,IF($B896='FICHA CLIENTE'!$C$4,1,0))</f>
      </c>
      <c r="CC896" s="77">
        <f t="shared" si="206"/>
      </c>
      <c r="CD896" s="77">
        <f>IF($A896="",0,IF($D896='FICHA VEHICULO'!$C$4,1,0))</f>
      </c>
      <c r="CE896" s="77">
        <f t="shared" si="207"/>
      </c>
      <c r="CF896" s="77">
        <f t="shared" si="208"/>
      </c>
      <c r="CG896" s="77">
        <f t="shared" si="209"/>
      </c>
    </row>
    <row r="897" spans="1:85" ht="19.5" customHeight="1" x14ac:dyDescent="0.2">
      <c r="A897" s="104"/>
      <c r="B897" s="104"/>
      <c r="C897" s="105"/>
      <c r="D897" s="104"/>
      <c r="E897" s="105"/>
      <c r="F897" s="106"/>
      <c r="G897" s="104"/>
      <c r="H897" s="106"/>
      <c r="I897" s="107"/>
      <c r="J897" s="108"/>
      <c r="K897" s="108"/>
      <c r="L897" s="108"/>
      <c r="M897" s="105"/>
      <c r="N897" s="105"/>
      <c r="O897" s="105"/>
      <c r="P897" s="108"/>
      <c r="Q897" s="105"/>
      <c r="R897" s="105"/>
      <c r="S897" s="105"/>
      <c r="T897" s="105"/>
      <c r="U897" s="108"/>
      <c r="V897" s="105"/>
      <c r="W897" s="105"/>
      <c r="X897" s="105"/>
      <c r="Y897" s="105"/>
      <c r="Z897" s="105"/>
      <c r="AA897" s="108"/>
      <c r="AB897" s="108"/>
      <c r="AC897" s="105"/>
      <c r="AD897" s="279"/>
      <c r="AE897" s="105"/>
      <c r="AF897" s="279"/>
      <c r="AG897" s="105"/>
      <c r="AH897" s="108"/>
      <c r="AI897" s="108"/>
      <c r="AJ897" s="108"/>
      <c r="AK897" s="108"/>
      <c r="AL897" s="105"/>
      <c r="AM897" s="108"/>
      <c r="AN897" s="105"/>
      <c r="AO897" s="108"/>
      <c r="AP897" s="108"/>
      <c r="AQ897" s="105"/>
      <c r="AR897" s="108"/>
      <c r="AS897" s="108"/>
      <c r="AT897" s="105"/>
      <c r="AU897" s="105"/>
      <c r="AV897" s="105"/>
      <c r="AW897" s="105"/>
      <c r="AX897" s="105"/>
      <c r="AY897" s="105"/>
      <c r="AZ897" s="105"/>
      <c r="BA897" s="105"/>
      <c r="BB897" s="105"/>
      <c r="BC897" s="105"/>
      <c r="BD897" s="108"/>
      <c r="BE897" s="83">
        <f>IF($A897="","",IF(TRIM($D897&amp;"")="",IF(TRIM($AX897&amp;$AY897&amp;$AZ897&amp;$BA897&amp;$BB897&amp;$BC897&amp;$BD897&amp;"")="","","SUBARRENDADO"),IFERROR(IF(VLOOKUP($D897,VEHICULOS!$A$3:$H$202,7,FALSE)="","",VLOOKUP($D897,VEHICULOS!$A$3:$H$202,7,FALSE)),"")))</f>
      </c>
      <c r="BF897" s="82">
        <f>IF($A897="","",IF(TRIM($BC897&amp;"")&lt;&gt;"",$BC897,IF(TRIM($D897&amp;"")="","",IFERROR(IF(VLOOKUP($D897,VEHICULOS!$A$3:$H$202,8,FALSE)="","",VLOOKUP($D897,VEHICULOS!$A$3:$H$202,8,FALSE)),""))))</f>
      </c>
      <c r="BG897" s="106"/>
      <c r="BH897" s="107"/>
      <c r="BI897" s="86">
        <f t="shared" si="195"/>
      </c>
      <c r="BJ897" s="83">
        <f t="shared" si="196"/>
      </c>
      <c r="BK897" s="85">
        <f t="shared" si="197"/>
      </c>
      <c r="BL897" s="85">
        <f t="shared" si="198"/>
      </c>
      <c r="BM897" s="108"/>
      <c r="BN897" s="85">
        <f t="shared" si="199"/>
      </c>
      <c r="BO897" s="108"/>
      <c r="BP897" s="85">
        <f t="shared" si="200"/>
      </c>
      <c r="BQ897" s="85">
        <f t="shared" si="201"/>
      </c>
      <c r="BR897" s="108"/>
      <c r="BS897" s="104"/>
      <c r="BT897" s="87">
        <f t="shared" si="202"/>
      </c>
      <c r="BU897" s="85">
        <f t="shared" si="203"/>
      </c>
      <c r="BV897" s="85">
        <f t="shared" si="204"/>
      </c>
      <c r="BW897" s="87">
        <f t="shared" si="205"/>
      </c>
      <c r="BX897" s="104"/>
      <c r="BY897" s="106"/>
      <c r="BZ897" s="104"/>
      <c r="CA897" s="105"/>
      <c r="CB897" s="77">
        <f>IF($A897="",0,IF($B897='FICHA CLIENTE'!$C$4,1,0))</f>
      </c>
      <c r="CC897" s="77">
        <f t="shared" si="206"/>
      </c>
      <c r="CD897" s="77">
        <f>IF($A897="",0,IF($D897='FICHA VEHICULO'!$C$4,1,0))</f>
      </c>
      <c r="CE897" s="77">
        <f t="shared" si="207"/>
      </c>
      <c r="CF897" s="77">
        <f t="shared" si="208"/>
      </c>
      <c r="CG897" s="77">
        <f t="shared" si="209"/>
      </c>
    </row>
    <row r="898" spans="1:85" ht="19.5" customHeight="1" x14ac:dyDescent="0.2">
      <c r="A898" s="104"/>
      <c r="B898" s="104"/>
      <c r="C898" s="105"/>
      <c r="D898" s="104"/>
      <c r="E898" s="105"/>
      <c r="F898" s="106"/>
      <c r="G898" s="104"/>
      <c r="H898" s="106"/>
      <c r="I898" s="107"/>
      <c r="J898" s="108"/>
      <c r="K898" s="108"/>
      <c r="L898" s="108"/>
      <c r="M898" s="105"/>
      <c r="N898" s="105"/>
      <c r="O898" s="105"/>
      <c r="P898" s="108"/>
      <c r="Q898" s="105"/>
      <c r="R898" s="105"/>
      <c r="S898" s="105"/>
      <c r="T898" s="105"/>
      <c r="U898" s="108"/>
      <c r="V898" s="105"/>
      <c r="W898" s="105"/>
      <c r="X898" s="105"/>
      <c r="Y898" s="105"/>
      <c r="Z898" s="105"/>
      <c r="AA898" s="108"/>
      <c r="AB898" s="108"/>
      <c r="AC898" s="105"/>
      <c r="AD898" s="279"/>
      <c r="AE898" s="105"/>
      <c r="AF898" s="279"/>
      <c r="AG898" s="105"/>
      <c r="AH898" s="108"/>
      <c r="AI898" s="108"/>
      <c r="AJ898" s="108"/>
      <c r="AK898" s="108"/>
      <c r="AL898" s="105"/>
      <c r="AM898" s="108"/>
      <c r="AN898" s="105"/>
      <c r="AO898" s="108"/>
      <c r="AP898" s="108"/>
      <c r="AQ898" s="105"/>
      <c r="AR898" s="108"/>
      <c r="AS898" s="108"/>
      <c r="AT898" s="105"/>
      <c r="AU898" s="105"/>
      <c r="AV898" s="105"/>
      <c r="AW898" s="105"/>
      <c r="AX898" s="105"/>
      <c r="AY898" s="105"/>
      <c r="AZ898" s="105"/>
      <c r="BA898" s="105"/>
      <c r="BB898" s="105"/>
      <c r="BC898" s="105"/>
      <c r="BD898" s="108"/>
      <c r="BE898" s="83">
        <f>IF($A898="","",IF(TRIM($D898&amp;"")="",IF(TRIM($AX898&amp;$AY898&amp;$AZ898&amp;$BA898&amp;$BB898&amp;$BC898&amp;$BD898&amp;"")="","","SUBARRENDADO"),IFERROR(IF(VLOOKUP($D898,VEHICULOS!$A$3:$H$202,7,FALSE)="","",VLOOKUP($D898,VEHICULOS!$A$3:$H$202,7,FALSE)),"")))</f>
      </c>
      <c r="BF898" s="82">
        <f>IF($A898="","",IF(TRIM($BC898&amp;"")&lt;&gt;"",$BC898,IF(TRIM($D898&amp;"")="","",IFERROR(IF(VLOOKUP($D898,VEHICULOS!$A$3:$H$202,8,FALSE)="","",VLOOKUP($D898,VEHICULOS!$A$3:$H$202,8,FALSE)),""))))</f>
      </c>
      <c r="BG898" s="106"/>
      <c r="BH898" s="107"/>
      <c r="BI898" s="86">
        <f t="shared" si="195"/>
      </c>
      <c r="BJ898" s="83">
        <f t="shared" si="196"/>
      </c>
      <c r="BK898" s="85">
        <f t="shared" si="197"/>
      </c>
      <c r="BL898" s="85">
        <f t="shared" si="198"/>
      </c>
      <c r="BM898" s="108"/>
      <c r="BN898" s="85">
        <f t="shared" si="199"/>
      </c>
      <c r="BO898" s="108"/>
      <c r="BP898" s="85">
        <f t="shared" si="200"/>
      </c>
      <c r="BQ898" s="85">
        <f t="shared" si="201"/>
      </c>
      <c r="BR898" s="108"/>
      <c r="BS898" s="104"/>
      <c r="BT898" s="87">
        <f t="shared" si="202"/>
      </c>
      <c r="BU898" s="85">
        <f t="shared" si="203"/>
      </c>
      <c r="BV898" s="85">
        <f t="shared" si="204"/>
      </c>
      <c r="BW898" s="87">
        <f t="shared" si="205"/>
      </c>
      <c r="BX898" s="104"/>
      <c r="BY898" s="106"/>
      <c r="BZ898" s="104"/>
      <c r="CA898" s="105"/>
      <c r="CB898" s="77">
        <f>IF($A898="",0,IF($B898='FICHA CLIENTE'!$C$4,1,0))</f>
      </c>
      <c r="CC898" s="77">
        <f t="shared" si="206"/>
      </c>
      <c r="CD898" s="77">
        <f>IF($A898="",0,IF($D898='FICHA VEHICULO'!$C$4,1,0))</f>
      </c>
      <c r="CE898" s="77">
        <f t="shared" si="207"/>
      </c>
      <c r="CF898" s="77">
        <f t="shared" si="208"/>
      </c>
      <c r="CG898" s="77">
        <f t="shared" si="209"/>
      </c>
    </row>
    <row r="899" spans="1:85" ht="19.5" customHeight="1" x14ac:dyDescent="0.2">
      <c r="A899" s="104"/>
      <c r="B899" s="104"/>
      <c r="C899" s="105"/>
      <c r="D899" s="104"/>
      <c r="E899" s="105"/>
      <c r="F899" s="106"/>
      <c r="G899" s="104"/>
      <c r="H899" s="106"/>
      <c r="I899" s="107"/>
      <c r="J899" s="108"/>
      <c r="K899" s="108"/>
      <c r="L899" s="108"/>
      <c r="M899" s="105"/>
      <c r="N899" s="105"/>
      <c r="O899" s="105"/>
      <c r="P899" s="108"/>
      <c r="Q899" s="105"/>
      <c r="R899" s="105"/>
      <c r="S899" s="105"/>
      <c r="T899" s="105"/>
      <c r="U899" s="108"/>
      <c r="V899" s="105"/>
      <c r="W899" s="105"/>
      <c r="X899" s="105"/>
      <c r="Y899" s="105"/>
      <c r="Z899" s="105"/>
      <c r="AA899" s="108"/>
      <c r="AB899" s="108"/>
      <c r="AC899" s="105"/>
      <c r="AD899" s="279"/>
      <c r="AE899" s="105"/>
      <c r="AF899" s="279"/>
      <c r="AG899" s="105"/>
      <c r="AH899" s="108"/>
      <c r="AI899" s="108"/>
      <c r="AJ899" s="108"/>
      <c r="AK899" s="108"/>
      <c r="AL899" s="105"/>
      <c r="AM899" s="108"/>
      <c r="AN899" s="105"/>
      <c r="AO899" s="108"/>
      <c r="AP899" s="108"/>
      <c r="AQ899" s="105"/>
      <c r="AR899" s="108"/>
      <c r="AS899" s="108"/>
      <c r="AT899" s="105"/>
      <c r="AU899" s="105"/>
      <c r="AV899" s="105"/>
      <c r="AW899" s="105"/>
      <c r="AX899" s="105"/>
      <c r="AY899" s="105"/>
      <c r="AZ899" s="105"/>
      <c r="BA899" s="105"/>
      <c r="BB899" s="105"/>
      <c r="BC899" s="105"/>
      <c r="BD899" s="108"/>
      <c r="BE899" s="83">
        <f>IF($A899="","",IF(TRIM($D899&amp;"")="",IF(TRIM($AX899&amp;$AY899&amp;$AZ899&amp;$BA899&amp;$BB899&amp;$BC899&amp;$BD899&amp;"")="","","SUBARRENDADO"),IFERROR(IF(VLOOKUP($D899,VEHICULOS!$A$3:$H$202,7,FALSE)="","",VLOOKUP($D899,VEHICULOS!$A$3:$H$202,7,FALSE)),"")))</f>
      </c>
      <c r="BF899" s="82">
        <f>IF($A899="","",IF(TRIM($BC899&amp;"")&lt;&gt;"",$BC899,IF(TRIM($D899&amp;"")="","",IFERROR(IF(VLOOKUP($D899,VEHICULOS!$A$3:$H$202,8,FALSE)="","",VLOOKUP($D899,VEHICULOS!$A$3:$H$202,8,FALSE)),""))))</f>
      </c>
      <c r="BG899" s="106"/>
      <c r="BH899" s="107"/>
      <c r="BI899" s="86">
        <f t="shared" si="195"/>
      </c>
      <c r="BJ899" s="83">
        <f t="shared" si="196"/>
      </c>
      <c r="BK899" s="85">
        <f t="shared" si="197"/>
      </c>
      <c r="BL899" s="85">
        <f t="shared" si="198"/>
      </c>
      <c r="BM899" s="108"/>
      <c r="BN899" s="85">
        <f t="shared" si="199"/>
      </c>
      <c r="BO899" s="108"/>
      <c r="BP899" s="85">
        <f t="shared" si="200"/>
      </c>
      <c r="BQ899" s="85">
        <f t="shared" si="201"/>
      </c>
      <c r="BR899" s="108"/>
      <c r="BS899" s="104"/>
      <c r="BT899" s="87">
        <f t="shared" si="202"/>
      </c>
      <c r="BU899" s="85">
        <f t="shared" si="203"/>
      </c>
      <c r="BV899" s="85">
        <f t="shared" si="204"/>
      </c>
      <c r="BW899" s="87">
        <f t="shared" si="205"/>
      </c>
      <c r="BX899" s="104"/>
      <c r="BY899" s="106"/>
      <c r="BZ899" s="104"/>
      <c r="CA899" s="105"/>
      <c r="CB899" s="77">
        <f>IF($A899="",0,IF($B899='FICHA CLIENTE'!$C$4,1,0))</f>
      </c>
      <c r="CC899" s="77">
        <f t="shared" si="206"/>
      </c>
      <c r="CD899" s="77">
        <f>IF($A899="",0,IF($D899='FICHA VEHICULO'!$C$4,1,0))</f>
      </c>
      <c r="CE899" s="77">
        <f t="shared" si="207"/>
      </c>
      <c r="CF899" s="77">
        <f t="shared" si="208"/>
      </c>
      <c r="CG899" s="77">
        <f t="shared" si="209"/>
      </c>
    </row>
    <row r="900" spans="1:85" ht="19.5" customHeight="1" x14ac:dyDescent="0.2">
      <c r="A900" s="104"/>
      <c r="B900" s="104"/>
      <c r="C900" s="105"/>
      <c r="D900" s="104"/>
      <c r="E900" s="105"/>
      <c r="F900" s="106"/>
      <c r="G900" s="104"/>
      <c r="H900" s="106"/>
      <c r="I900" s="107"/>
      <c r="J900" s="108"/>
      <c r="K900" s="108"/>
      <c r="L900" s="108"/>
      <c r="M900" s="105"/>
      <c r="N900" s="105"/>
      <c r="O900" s="105"/>
      <c r="P900" s="108"/>
      <c r="Q900" s="105"/>
      <c r="R900" s="105"/>
      <c r="S900" s="105"/>
      <c r="T900" s="105"/>
      <c r="U900" s="108"/>
      <c r="V900" s="105"/>
      <c r="W900" s="105"/>
      <c r="X900" s="105"/>
      <c r="Y900" s="105"/>
      <c r="Z900" s="105"/>
      <c r="AA900" s="108"/>
      <c r="AB900" s="108"/>
      <c r="AC900" s="105"/>
      <c r="AD900" s="279"/>
      <c r="AE900" s="105"/>
      <c r="AF900" s="279"/>
      <c r="AG900" s="105"/>
      <c r="AH900" s="108"/>
      <c r="AI900" s="108"/>
      <c r="AJ900" s="108"/>
      <c r="AK900" s="108"/>
      <c r="AL900" s="105"/>
      <c r="AM900" s="108"/>
      <c r="AN900" s="105"/>
      <c r="AO900" s="108"/>
      <c r="AP900" s="108"/>
      <c r="AQ900" s="105"/>
      <c r="AR900" s="108"/>
      <c r="AS900" s="108"/>
      <c r="AT900" s="105"/>
      <c r="AU900" s="105"/>
      <c r="AV900" s="105"/>
      <c r="AW900" s="105"/>
      <c r="AX900" s="105"/>
      <c r="AY900" s="105"/>
      <c r="AZ900" s="105"/>
      <c r="BA900" s="105"/>
      <c r="BB900" s="105"/>
      <c r="BC900" s="105"/>
      <c r="BD900" s="108"/>
      <c r="BE900" s="83">
        <f>IF($A900="","",IF(TRIM($D900&amp;"")="",IF(TRIM($AX900&amp;$AY900&amp;$AZ900&amp;$BA900&amp;$BB900&amp;$BC900&amp;$BD900&amp;"")="","","SUBARRENDADO"),IFERROR(IF(VLOOKUP($D900,VEHICULOS!$A$3:$H$202,7,FALSE)="","",VLOOKUP($D900,VEHICULOS!$A$3:$H$202,7,FALSE)),"")))</f>
      </c>
      <c r="BF900" s="82">
        <f>IF($A900="","",IF(TRIM($BC900&amp;"")&lt;&gt;"",$BC900,IF(TRIM($D900&amp;"")="","",IFERROR(IF(VLOOKUP($D900,VEHICULOS!$A$3:$H$202,8,FALSE)="","",VLOOKUP($D900,VEHICULOS!$A$3:$H$202,8,FALSE)),""))))</f>
      </c>
      <c r="BG900" s="106"/>
      <c r="BH900" s="107"/>
      <c r="BI900" s="86">
        <f t="shared" si="195"/>
      </c>
      <c r="BJ900" s="83">
        <f t="shared" si="196"/>
      </c>
      <c r="BK900" s="85">
        <f t="shared" si="197"/>
      </c>
      <c r="BL900" s="85">
        <f t="shared" si="198"/>
      </c>
      <c r="BM900" s="108"/>
      <c r="BN900" s="85">
        <f t="shared" si="199"/>
      </c>
      <c r="BO900" s="108"/>
      <c r="BP900" s="85">
        <f t="shared" si="200"/>
      </c>
      <c r="BQ900" s="85">
        <f t="shared" si="201"/>
      </c>
      <c r="BR900" s="108"/>
      <c r="BS900" s="104"/>
      <c r="BT900" s="87">
        <f t="shared" si="202"/>
      </c>
      <c r="BU900" s="85">
        <f t="shared" si="203"/>
      </c>
      <c r="BV900" s="85">
        <f t="shared" si="204"/>
      </c>
      <c r="BW900" s="87">
        <f t="shared" si="205"/>
      </c>
      <c r="BX900" s="104"/>
      <c r="BY900" s="106"/>
      <c r="BZ900" s="104"/>
      <c r="CA900" s="105"/>
      <c r="CB900" s="77">
        <f>IF($A900="",0,IF($B900='FICHA CLIENTE'!$C$4,1,0))</f>
      </c>
      <c r="CC900" s="77">
        <f t="shared" si="206"/>
      </c>
      <c r="CD900" s="77">
        <f>IF($A900="",0,IF($D900='FICHA VEHICULO'!$C$4,1,0))</f>
      </c>
      <c r="CE900" s="77">
        <f t="shared" si="207"/>
      </c>
      <c r="CF900" s="77">
        <f t="shared" si="208"/>
      </c>
      <c r="CG900" s="77">
        <f t="shared" si="209"/>
      </c>
    </row>
    <row r="901" spans="1:85" ht="19.5" customHeight="1" x14ac:dyDescent="0.2">
      <c r="A901" s="104"/>
      <c r="B901" s="104"/>
      <c r="C901" s="105"/>
      <c r="D901" s="104"/>
      <c r="E901" s="105"/>
      <c r="F901" s="106"/>
      <c r="G901" s="104"/>
      <c r="H901" s="106"/>
      <c r="I901" s="107"/>
      <c r="J901" s="108"/>
      <c r="K901" s="108"/>
      <c r="L901" s="108"/>
      <c r="M901" s="105"/>
      <c r="N901" s="105"/>
      <c r="O901" s="105"/>
      <c r="P901" s="108"/>
      <c r="Q901" s="105"/>
      <c r="R901" s="105"/>
      <c r="S901" s="105"/>
      <c r="T901" s="105"/>
      <c r="U901" s="108"/>
      <c r="V901" s="105"/>
      <c r="W901" s="105"/>
      <c r="X901" s="105"/>
      <c r="Y901" s="105"/>
      <c r="Z901" s="105"/>
      <c r="AA901" s="108"/>
      <c r="AB901" s="108"/>
      <c r="AC901" s="105"/>
      <c r="AD901" s="279"/>
      <c r="AE901" s="105"/>
      <c r="AF901" s="279"/>
      <c r="AG901" s="105"/>
      <c r="AH901" s="108"/>
      <c r="AI901" s="108"/>
      <c r="AJ901" s="108"/>
      <c r="AK901" s="108"/>
      <c r="AL901" s="105"/>
      <c r="AM901" s="108"/>
      <c r="AN901" s="105"/>
      <c r="AO901" s="108"/>
      <c r="AP901" s="108"/>
      <c r="AQ901" s="105"/>
      <c r="AR901" s="108"/>
      <c r="AS901" s="108"/>
      <c r="AT901" s="105"/>
      <c r="AU901" s="105"/>
      <c r="AV901" s="105"/>
      <c r="AW901" s="105"/>
      <c r="AX901" s="105"/>
      <c r="AY901" s="105"/>
      <c r="AZ901" s="105"/>
      <c r="BA901" s="105"/>
      <c r="BB901" s="105"/>
      <c r="BC901" s="105"/>
      <c r="BD901" s="108"/>
      <c r="BE901" s="83">
        <f>IF($A901="","",IF(TRIM($D901&amp;"")="",IF(TRIM($AX901&amp;$AY901&amp;$AZ901&amp;$BA901&amp;$BB901&amp;$BC901&amp;$BD901&amp;"")="","","SUBARRENDADO"),IFERROR(IF(VLOOKUP($D901,VEHICULOS!$A$3:$H$202,7,FALSE)="","",VLOOKUP($D901,VEHICULOS!$A$3:$H$202,7,FALSE)),"")))</f>
      </c>
      <c r="BF901" s="82">
        <f>IF($A901="","",IF(TRIM($BC901&amp;"")&lt;&gt;"",$BC901,IF(TRIM($D901&amp;"")="","",IFERROR(IF(VLOOKUP($D901,VEHICULOS!$A$3:$H$202,8,FALSE)="","",VLOOKUP($D901,VEHICULOS!$A$3:$H$202,8,FALSE)),""))))</f>
      </c>
      <c r="BG901" s="106"/>
      <c r="BH901" s="107"/>
      <c r="BI901" s="86">
        <f t="shared" si="195"/>
      </c>
      <c r="BJ901" s="83">
        <f t="shared" si="196"/>
      </c>
      <c r="BK901" s="85">
        <f t="shared" si="197"/>
      </c>
      <c r="BL901" s="85">
        <f t="shared" si="198"/>
      </c>
      <c r="BM901" s="108"/>
      <c r="BN901" s="85">
        <f t="shared" si="199"/>
      </c>
      <c r="BO901" s="108"/>
      <c r="BP901" s="85">
        <f t="shared" si="200"/>
      </c>
      <c r="BQ901" s="85">
        <f t="shared" si="201"/>
      </c>
      <c r="BR901" s="108"/>
      <c r="BS901" s="104"/>
      <c r="BT901" s="87">
        <f t="shared" si="202"/>
      </c>
      <c r="BU901" s="85">
        <f t="shared" si="203"/>
      </c>
      <c r="BV901" s="85">
        <f t="shared" si="204"/>
      </c>
      <c r="BW901" s="87">
        <f t="shared" si="205"/>
      </c>
      <c r="BX901" s="104"/>
      <c r="BY901" s="106"/>
      <c r="BZ901" s="104"/>
      <c r="CA901" s="105"/>
      <c r="CB901" s="77">
        <f>IF($A901="",0,IF($B901='FICHA CLIENTE'!$C$4,1,0))</f>
      </c>
      <c r="CC901" s="77">
        <f t="shared" si="206"/>
      </c>
      <c r="CD901" s="77">
        <f>IF($A901="",0,IF($D901='FICHA VEHICULO'!$C$4,1,0))</f>
      </c>
      <c r="CE901" s="77">
        <f t="shared" si="207"/>
      </c>
      <c r="CF901" s="77">
        <f t="shared" si="208"/>
      </c>
      <c r="CG901" s="77">
        <f t="shared" si="209"/>
      </c>
    </row>
    <row r="902" spans="1:85" ht="19.5" customHeight="1" x14ac:dyDescent="0.2">
      <c r="A902" s="104"/>
      <c r="B902" s="104"/>
      <c r="C902" s="105"/>
      <c r="D902" s="104"/>
      <c r="E902" s="105"/>
      <c r="F902" s="106"/>
      <c r="G902" s="104"/>
      <c r="H902" s="106"/>
      <c r="I902" s="107"/>
      <c r="J902" s="108"/>
      <c r="K902" s="108"/>
      <c r="L902" s="108"/>
      <c r="M902" s="105"/>
      <c r="N902" s="105"/>
      <c r="O902" s="105"/>
      <c r="P902" s="108"/>
      <c r="Q902" s="105"/>
      <c r="R902" s="105"/>
      <c r="S902" s="105"/>
      <c r="T902" s="105"/>
      <c r="U902" s="108"/>
      <c r="V902" s="105"/>
      <c r="W902" s="105"/>
      <c r="X902" s="105"/>
      <c r="Y902" s="105"/>
      <c r="Z902" s="105"/>
      <c r="AA902" s="108"/>
      <c r="AB902" s="108"/>
      <c r="AC902" s="105"/>
      <c r="AD902" s="279"/>
      <c r="AE902" s="105"/>
      <c r="AF902" s="279"/>
      <c r="AG902" s="105"/>
      <c r="AH902" s="108"/>
      <c r="AI902" s="108"/>
      <c r="AJ902" s="108"/>
      <c r="AK902" s="108"/>
      <c r="AL902" s="105"/>
      <c r="AM902" s="108"/>
      <c r="AN902" s="105"/>
      <c r="AO902" s="108"/>
      <c r="AP902" s="108"/>
      <c r="AQ902" s="105"/>
      <c r="AR902" s="108"/>
      <c r="AS902" s="108"/>
      <c r="AT902" s="105"/>
      <c r="AU902" s="105"/>
      <c r="AV902" s="105"/>
      <c r="AW902" s="105"/>
      <c r="AX902" s="105"/>
      <c r="AY902" s="105"/>
      <c r="AZ902" s="105"/>
      <c r="BA902" s="105"/>
      <c r="BB902" s="105"/>
      <c r="BC902" s="105"/>
      <c r="BD902" s="108"/>
      <c r="BE902" s="83">
        <f>IF($A902="","",IF(TRIM($D902&amp;"")="",IF(TRIM($AX902&amp;$AY902&amp;$AZ902&amp;$BA902&amp;$BB902&amp;$BC902&amp;$BD902&amp;"")="","","SUBARRENDADO"),IFERROR(IF(VLOOKUP($D902,VEHICULOS!$A$3:$H$202,7,FALSE)="","",VLOOKUP($D902,VEHICULOS!$A$3:$H$202,7,FALSE)),"")))</f>
      </c>
      <c r="BF902" s="82">
        <f>IF($A902="","",IF(TRIM($BC902&amp;"")&lt;&gt;"",$BC902,IF(TRIM($D902&amp;"")="","",IFERROR(IF(VLOOKUP($D902,VEHICULOS!$A$3:$H$202,8,FALSE)="","",VLOOKUP($D902,VEHICULOS!$A$3:$H$202,8,FALSE)),""))))</f>
      </c>
      <c r="BG902" s="106"/>
      <c r="BH902" s="107"/>
      <c r="BI902" s="86">
        <f t="shared" ref="BI902:BI965" si="210">IF(OR($BH902="",$I902=""),"",$BH902-$I902)</f>
      </c>
      <c r="BJ902" s="83">
        <f t="shared" ref="BJ902:BJ965" si="211">IF(OR($BG902="",$H902=""),"",MAX(0,$BG902-$H902))</f>
      </c>
      <c r="BK902" s="85">
        <f t="shared" ref="BK902:BK965" si="212">IF($A902="","",N($BJ902)*N($J902))</f>
      </c>
      <c r="BL902" s="85">
        <f t="shared" ref="BL902:BL965" si="213">IF($A902="","",(N($AM902)+N($AS902))*(N($G902)+N($BJ902))+N($AP902))</f>
      </c>
      <c r="BM902" s="108"/>
      <c r="BN902" s="85">
        <f t="shared" ref="BN902:BN965" si="214">IF($A902="","",N($AO902))</f>
      </c>
      <c r="BO902" s="108"/>
      <c r="BP902" s="85">
        <f t="shared" ref="BP902:BP965" si="215">IF($A902="","",N($AR902))</f>
      </c>
      <c r="BQ902" s="85">
        <f t="shared" ref="BQ902:BQ965" si="216">IF($A902="","",N($K902)+N($BK902)+N($BL902)+N($BM902)+N($BN902)+N($BO902)+N($BP902))</f>
      </c>
      <c r="BR902" s="108"/>
      <c r="BS902" s="104"/>
      <c r="BT902" s="87">
        <f t="shared" ref="BT902:BT965" si="217">IF($A902="","",ROUND((N($BQ902)-N($BR902))*(1+N($BS902)/100),2))</f>
      </c>
      <c r="BU902" s="85">
        <f t="shared" ref="BU902:BU965" si="218">IF($A902="","",N($BD902))</f>
      </c>
      <c r="BV902" s="85">
        <f t="shared" ref="BV902:BV965" si="219">IF($A902="","",N($BU902)*(N($G902)+N($BJ902)))</f>
      </c>
      <c r="BW902" s="87">
        <f t="shared" ref="BW902:BW965" si="220">IF($A902="","",N($BT902)-N($BV902))</f>
      </c>
      <c r="BX902" s="104"/>
      <c r="BY902" s="106"/>
      <c r="BZ902" s="104"/>
      <c r="CA902" s="105"/>
      <c r="CB902" s="77">
        <f>IF($A902="",0,IF($B902='FICHA CLIENTE'!$C$4,1,0))</f>
      </c>
      <c r="CC902" s="77">
        <f t="shared" ref="CC902:CC965" si="221">$CC901+$CB902</f>
      </c>
      <c r="CD902" s="77">
        <f>IF($A902="",0,IF($D902='FICHA VEHICULO'!$C$4,1,0))</f>
      </c>
      <c r="CE902" s="77">
        <f t="shared" ref="CE902:CE965" si="222">$CE901+$CD902</f>
      </c>
      <c r="CF902" s="77">
        <f t="shared" ref="CF902:CF965" si="223">IF($A902="",0,IF($BG902="",1,0))</f>
      </c>
      <c r="CG902" s="77">
        <f t="shared" ref="CG902:CG965" si="224">$CG901+$CF902</f>
      </c>
    </row>
    <row r="903" spans="1:85" ht="19.5" customHeight="1" x14ac:dyDescent="0.2">
      <c r="A903" s="104"/>
      <c r="B903" s="104"/>
      <c r="C903" s="105"/>
      <c r="D903" s="104"/>
      <c r="E903" s="105"/>
      <c r="F903" s="106"/>
      <c r="G903" s="104"/>
      <c r="H903" s="106"/>
      <c r="I903" s="107"/>
      <c r="J903" s="108"/>
      <c r="K903" s="108"/>
      <c r="L903" s="108"/>
      <c r="M903" s="105"/>
      <c r="N903" s="105"/>
      <c r="O903" s="105"/>
      <c r="P903" s="108"/>
      <c r="Q903" s="105"/>
      <c r="R903" s="105"/>
      <c r="S903" s="105"/>
      <c r="T903" s="105"/>
      <c r="U903" s="108"/>
      <c r="V903" s="105"/>
      <c r="W903" s="105"/>
      <c r="X903" s="105"/>
      <c r="Y903" s="105"/>
      <c r="Z903" s="105"/>
      <c r="AA903" s="108"/>
      <c r="AB903" s="108"/>
      <c r="AC903" s="105"/>
      <c r="AD903" s="279"/>
      <c r="AE903" s="105"/>
      <c r="AF903" s="279"/>
      <c r="AG903" s="105"/>
      <c r="AH903" s="108"/>
      <c r="AI903" s="108"/>
      <c r="AJ903" s="108"/>
      <c r="AK903" s="108"/>
      <c r="AL903" s="105"/>
      <c r="AM903" s="108"/>
      <c r="AN903" s="105"/>
      <c r="AO903" s="108"/>
      <c r="AP903" s="108"/>
      <c r="AQ903" s="105"/>
      <c r="AR903" s="108"/>
      <c r="AS903" s="108"/>
      <c r="AT903" s="105"/>
      <c r="AU903" s="105"/>
      <c r="AV903" s="105"/>
      <c r="AW903" s="105"/>
      <c r="AX903" s="105"/>
      <c r="AY903" s="105"/>
      <c r="AZ903" s="105"/>
      <c r="BA903" s="105"/>
      <c r="BB903" s="105"/>
      <c r="BC903" s="105"/>
      <c r="BD903" s="108"/>
      <c r="BE903" s="83">
        <f>IF($A903="","",IF(TRIM($D903&amp;"")="",IF(TRIM($AX903&amp;$AY903&amp;$AZ903&amp;$BA903&amp;$BB903&amp;$BC903&amp;$BD903&amp;"")="","","SUBARRENDADO"),IFERROR(IF(VLOOKUP($D903,VEHICULOS!$A$3:$H$202,7,FALSE)="","",VLOOKUP($D903,VEHICULOS!$A$3:$H$202,7,FALSE)),"")))</f>
      </c>
      <c r="BF903" s="82">
        <f>IF($A903="","",IF(TRIM($BC903&amp;"")&lt;&gt;"",$BC903,IF(TRIM($D903&amp;"")="","",IFERROR(IF(VLOOKUP($D903,VEHICULOS!$A$3:$H$202,8,FALSE)="","",VLOOKUP($D903,VEHICULOS!$A$3:$H$202,8,FALSE)),""))))</f>
      </c>
      <c r="BG903" s="106"/>
      <c r="BH903" s="107"/>
      <c r="BI903" s="86">
        <f t="shared" si="210"/>
      </c>
      <c r="BJ903" s="83">
        <f t="shared" si="211"/>
      </c>
      <c r="BK903" s="85">
        <f t="shared" si="212"/>
      </c>
      <c r="BL903" s="85">
        <f t="shared" si="213"/>
      </c>
      <c r="BM903" s="108"/>
      <c r="BN903" s="85">
        <f t="shared" si="214"/>
      </c>
      <c r="BO903" s="108"/>
      <c r="BP903" s="85">
        <f t="shared" si="215"/>
      </c>
      <c r="BQ903" s="85">
        <f t="shared" si="216"/>
      </c>
      <c r="BR903" s="108"/>
      <c r="BS903" s="104"/>
      <c r="BT903" s="87">
        <f t="shared" si="217"/>
      </c>
      <c r="BU903" s="85">
        <f t="shared" si="218"/>
      </c>
      <c r="BV903" s="85">
        <f t="shared" si="219"/>
      </c>
      <c r="BW903" s="87">
        <f t="shared" si="220"/>
      </c>
      <c r="BX903" s="104"/>
      <c r="BY903" s="106"/>
      <c r="BZ903" s="104"/>
      <c r="CA903" s="105"/>
      <c r="CB903" s="77">
        <f>IF($A903="",0,IF($B903='FICHA CLIENTE'!$C$4,1,0))</f>
      </c>
      <c r="CC903" s="77">
        <f t="shared" si="221"/>
      </c>
      <c r="CD903" s="77">
        <f>IF($A903="",0,IF($D903='FICHA VEHICULO'!$C$4,1,0))</f>
      </c>
      <c r="CE903" s="77">
        <f t="shared" si="222"/>
      </c>
      <c r="CF903" s="77">
        <f t="shared" si="223"/>
      </c>
      <c r="CG903" s="77">
        <f t="shared" si="224"/>
      </c>
    </row>
    <row r="904" spans="1:85" ht="19.5" customHeight="1" x14ac:dyDescent="0.2">
      <c r="A904" s="104"/>
      <c r="B904" s="104"/>
      <c r="C904" s="105"/>
      <c r="D904" s="104"/>
      <c r="E904" s="105"/>
      <c r="F904" s="106"/>
      <c r="G904" s="104"/>
      <c r="H904" s="106"/>
      <c r="I904" s="107"/>
      <c r="J904" s="108"/>
      <c r="K904" s="108"/>
      <c r="L904" s="108"/>
      <c r="M904" s="105"/>
      <c r="N904" s="105"/>
      <c r="O904" s="105"/>
      <c r="P904" s="108"/>
      <c r="Q904" s="105"/>
      <c r="R904" s="105"/>
      <c r="S904" s="105"/>
      <c r="T904" s="105"/>
      <c r="U904" s="108"/>
      <c r="V904" s="105"/>
      <c r="W904" s="105"/>
      <c r="X904" s="105"/>
      <c r="Y904" s="105"/>
      <c r="Z904" s="105"/>
      <c r="AA904" s="108"/>
      <c r="AB904" s="108"/>
      <c r="AC904" s="105"/>
      <c r="AD904" s="279"/>
      <c r="AE904" s="105"/>
      <c r="AF904" s="279"/>
      <c r="AG904" s="105"/>
      <c r="AH904" s="108"/>
      <c r="AI904" s="108"/>
      <c r="AJ904" s="108"/>
      <c r="AK904" s="108"/>
      <c r="AL904" s="105"/>
      <c r="AM904" s="108"/>
      <c r="AN904" s="105"/>
      <c r="AO904" s="108"/>
      <c r="AP904" s="108"/>
      <c r="AQ904" s="105"/>
      <c r="AR904" s="108"/>
      <c r="AS904" s="108"/>
      <c r="AT904" s="105"/>
      <c r="AU904" s="105"/>
      <c r="AV904" s="105"/>
      <c r="AW904" s="105"/>
      <c r="AX904" s="105"/>
      <c r="AY904" s="105"/>
      <c r="AZ904" s="105"/>
      <c r="BA904" s="105"/>
      <c r="BB904" s="105"/>
      <c r="BC904" s="105"/>
      <c r="BD904" s="108"/>
      <c r="BE904" s="83">
        <f>IF($A904="","",IF(TRIM($D904&amp;"")="",IF(TRIM($AX904&amp;$AY904&amp;$AZ904&amp;$BA904&amp;$BB904&amp;$BC904&amp;$BD904&amp;"")="","","SUBARRENDADO"),IFERROR(IF(VLOOKUP($D904,VEHICULOS!$A$3:$H$202,7,FALSE)="","",VLOOKUP($D904,VEHICULOS!$A$3:$H$202,7,FALSE)),"")))</f>
      </c>
      <c r="BF904" s="82">
        <f>IF($A904="","",IF(TRIM($BC904&amp;"")&lt;&gt;"",$BC904,IF(TRIM($D904&amp;"")="","",IFERROR(IF(VLOOKUP($D904,VEHICULOS!$A$3:$H$202,8,FALSE)="","",VLOOKUP($D904,VEHICULOS!$A$3:$H$202,8,FALSE)),""))))</f>
      </c>
      <c r="BG904" s="106"/>
      <c r="BH904" s="107"/>
      <c r="BI904" s="86">
        <f t="shared" si="210"/>
      </c>
      <c r="BJ904" s="83">
        <f t="shared" si="211"/>
      </c>
      <c r="BK904" s="85">
        <f t="shared" si="212"/>
      </c>
      <c r="BL904" s="85">
        <f t="shared" si="213"/>
      </c>
      <c r="BM904" s="108"/>
      <c r="BN904" s="85">
        <f t="shared" si="214"/>
      </c>
      <c r="BO904" s="108"/>
      <c r="BP904" s="85">
        <f t="shared" si="215"/>
      </c>
      <c r="BQ904" s="85">
        <f t="shared" si="216"/>
      </c>
      <c r="BR904" s="108"/>
      <c r="BS904" s="104"/>
      <c r="BT904" s="87">
        <f t="shared" si="217"/>
      </c>
      <c r="BU904" s="85">
        <f t="shared" si="218"/>
      </c>
      <c r="BV904" s="85">
        <f t="shared" si="219"/>
      </c>
      <c r="BW904" s="87">
        <f t="shared" si="220"/>
      </c>
      <c r="BX904" s="104"/>
      <c r="BY904" s="106"/>
      <c r="BZ904" s="104"/>
      <c r="CA904" s="105"/>
      <c r="CB904" s="77">
        <f>IF($A904="",0,IF($B904='FICHA CLIENTE'!$C$4,1,0))</f>
      </c>
      <c r="CC904" s="77">
        <f t="shared" si="221"/>
      </c>
      <c r="CD904" s="77">
        <f>IF($A904="",0,IF($D904='FICHA VEHICULO'!$C$4,1,0))</f>
      </c>
      <c r="CE904" s="77">
        <f t="shared" si="222"/>
      </c>
      <c r="CF904" s="77">
        <f t="shared" si="223"/>
      </c>
      <c r="CG904" s="77">
        <f t="shared" si="224"/>
      </c>
    </row>
    <row r="905" spans="1:85" ht="19.5" customHeight="1" x14ac:dyDescent="0.2">
      <c r="A905" s="104"/>
      <c r="B905" s="104"/>
      <c r="C905" s="105"/>
      <c r="D905" s="104"/>
      <c r="E905" s="105"/>
      <c r="F905" s="106"/>
      <c r="G905" s="104"/>
      <c r="H905" s="106"/>
      <c r="I905" s="107"/>
      <c r="J905" s="108"/>
      <c r="K905" s="108"/>
      <c r="L905" s="108"/>
      <c r="M905" s="105"/>
      <c r="N905" s="105"/>
      <c r="O905" s="105"/>
      <c r="P905" s="108"/>
      <c r="Q905" s="105"/>
      <c r="R905" s="105"/>
      <c r="S905" s="105"/>
      <c r="T905" s="105"/>
      <c r="U905" s="108"/>
      <c r="V905" s="105"/>
      <c r="W905" s="105"/>
      <c r="X905" s="105"/>
      <c r="Y905" s="105"/>
      <c r="Z905" s="105"/>
      <c r="AA905" s="108"/>
      <c r="AB905" s="108"/>
      <c r="AC905" s="105"/>
      <c r="AD905" s="279"/>
      <c r="AE905" s="105"/>
      <c r="AF905" s="279"/>
      <c r="AG905" s="105"/>
      <c r="AH905" s="108"/>
      <c r="AI905" s="108"/>
      <c r="AJ905" s="108"/>
      <c r="AK905" s="108"/>
      <c r="AL905" s="105"/>
      <c r="AM905" s="108"/>
      <c r="AN905" s="105"/>
      <c r="AO905" s="108"/>
      <c r="AP905" s="108"/>
      <c r="AQ905" s="105"/>
      <c r="AR905" s="108"/>
      <c r="AS905" s="108"/>
      <c r="AT905" s="105"/>
      <c r="AU905" s="105"/>
      <c r="AV905" s="105"/>
      <c r="AW905" s="105"/>
      <c r="AX905" s="105"/>
      <c r="AY905" s="105"/>
      <c r="AZ905" s="105"/>
      <c r="BA905" s="105"/>
      <c r="BB905" s="105"/>
      <c r="BC905" s="105"/>
      <c r="BD905" s="108"/>
      <c r="BE905" s="83">
        <f>IF($A905="","",IF(TRIM($D905&amp;"")="",IF(TRIM($AX905&amp;$AY905&amp;$AZ905&amp;$BA905&amp;$BB905&amp;$BC905&amp;$BD905&amp;"")="","","SUBARRENDADO"),IFERROR(IF(VLOOKUP($D905,VEHICULOS!$A$3:$H$202,7,FALSE)="","",VLOOKUP($D905,VEHICULOS!$A$3:$H$202,7,FALSE)),"")))</f>
      </c>
      <c r="BF905" s="82">
        <f>IF($A905="","",IF(TRIM($BC905&amp;"")&lt;&gt;"",$BC905,IF(TRIM($D905&amp;"")="","",IFERROR(IF(VLOOKUP($D905,VEHICULOS!$A$3:$H$202,8,FALSE)="","",VLOOKUP($D905,VEHICULOS!$A$3:$H$202,8,FALSE)),""))))</f>
      </c>
      <c r="BG905" s="106"/>
      <c r="BH905" s="107"/>
      <c r="BI905" s="86">
        <f t="shared" si="210"/>
      </c>
      <c r="BJ905" s="83">
        <f t="shared" si="211"/>
      </c>
      <c r="BK905" s="85">
        <f t="shared" si="212"/>
      </c>
      <c r="BL905" s="85">
        <f t="shared" si="213"/>
      </c>
      <c r="BM905" s="108"/>
      <c r="BN905" s="85">
        <f t="shared" si="214"/>
      </c>
      <c r="BO905" s="108"/>
      <c r="BP905" s="85">
        <f t="shared" si="215"/>
      </c>
      <c r="BQ905" s="85">
        <f t="shared" si="216"/>
      </c>
      <c r="BR905" s="108"/>
      <c r="BS905" s="104"/>
      <c r="BT905" s="87">
        <f t="shared" si="217"/>
      </c>
      <c r="BU905" s="85">
        <f t="shared" si="218"/>
      </c>
      <c r="BV905" s="85">
        <f t="shared" si="219"/>
      </c>
      <c r="BW905" s="87">
        <f t="shared" si="220"/>
      </c>
      <c r="BX905" s="104"/>
      <c r="BY905" s="106"/>
      <c r="BZ905" s="104"/>
      <c r="CA905" s="105"/>
      <c r="CB905" s="77">
        <f>IF($A905="",0,IF($B905='FICHA CLIENTE'!$C$4,1,0))</f>
      </c>
      <c r="CC905" s="77">
        <f t="shared" si="221"/>
      </c>
      <c r="CD905" s="77">
        <f>IF($A905="",0,IF($D905='FICHA VEHICULO'!$C$4,1,0))</f>
      </c>
      <c r="CE905" s="77">
        <f t="shared" si="222"/>
      </c>
      <c r="CF905" s="77">
        <f t="shared" si="223"/>
      </c>
      <c r="CG905" s="77">
        <f t="shared" si="224"/>
      </c>
    </row>
    <row r="906" spans="1:85" ht="19.5" customHeight="1" x14ac:dyDescent="0.2">
      <c r="A906" s="104"/>
      <c r="B906" s="104"/>
      <c r="C906" s="105"/>
      <c r="D906" s="104"/>
      <c r="E906" s="105"/>
      <c r="F906" s="106"/>
      <c r="G906" s="104"/>
      <c r="H906" s="106"/>
      <c r="I906" s="107"/>
      <c r="J906" s="108"/>
      <c r="K906" s="108"/>
      <c r="L906" s="108"/>
      <c r="M906" s="105"/>
      <c r="N906" s="105"/>
      <c r="O906" s="105"/>
      <c r="P906" s="108"/>
      <c r="Q906" s="105"/>
      <c r="R906" s="105"/>
      <c r="S906" s="105"/>
      <c r="T906" s="105"/>
      <c r="U906" s="108"/>
      <c r="V906" s="105"/>
      <c r="W906" s="105"/>
      <c r="X906" s="105"/>
      <c r="Y906" s="105"/>
      <c r="Z906" s="105"/>
      <c r="AA906" s="108"/>
      <c r="AB906" s="108"/>
      <c r="AC906" s="105"/>
      <c r="AD906" s="279"/>
      <c r="AE906" s="105"/>
      <c r="AF906" s="279"/>
      <c r="AG906" s="105"/>
      <c r="AH906" s="108"/>
      <c r="AI906" s="108"/>
      <c r="AJ906" s="108"/>
      <c r="AK906" s="108"/>
      <c r="AL906" s="105"/>
      <c r="AM906" s="108"/>
      <c r="AN906" s="105"/>
      <c r="AO906" s="108"/>
      <c r="AP906" s="108"/>
      <c r="AQ906" s="105"/>
      <c r="AR906" s="108"/>
      <c r="AS906" s="108"/>
      <c r="AT906" s="105"/>
      <c r="AU906" s="105"/>
      <c r="AV906" s="105"/>
      <c r="AW906" s="105"/>
      <c r="AX906" s="105"/>
      <c r="AY906" s="105"/>
      <c r="AZ906" s="105"/>
      <c r="BA906" s="105"/>
      <c r="BB906" s="105"/>
      <c r="BC906" s="105"/>
      <c r="BD906" s="108"/>
      <c r="BE906" s="83">
        <f>IF($A906="","",IF(TRIM($D906&amp;"")="",IF(TRIM($AX906&amp;$AY906&amp;$AZ906&amp;$BA906&amp;$BB906&amp;$BC906&amp;$BD906&amp;"")="","","SUBARRENDADO"),IFERROR(IF(VLOOKUP($D906,VEHICULOS!$A$3:$H$202,7,FALSE)="","",VLOOKUP($D906,VEHICULOS!$A$3:$H$202,7,FALSE)),"")))</f>
      </c>
      <c r="BF906" s="82">
        <f>IF($A906="","",IF(TRIM($BC906&amp;"")&lt;&gt;"",$BC906,IF(TRIM($D906&amp;"")="","",IFERROR(IF(VLOOKUP($D906,VEHICULOS!$A$3:$H$202,8,FALSE)="","",VLOOKUP($D906,VEHICULOS!$A$3:$H$202,8,FALSE)),""))))</f>
      </c>
      <c r="BG906" s="106"/>
      <c r="BH906" s="107"/>
      <c r="BI906" s="86">
        <f t="shared" si="210"/>
      </c>
      <c r="BJ906" s="83">
        <f t="shared" si="211"/>
      </c>
      <c r="BK906" s="85">
        <f t="shared" si="212"/>
      </c>
      <c r="BL906" s="85">
        <f t="shared" si="213"/>
      </c>
      <c r="BM906" s="108"/>
      <c r="BN906" s="85">
        <f t="shared" si="214"/>
      </c>
      <c r="BO906" s="108"/>
      <c r="BP906" s="85">
        <f t="shared" si="215"/>
      </c>
      <c r="BQ906" s="85">
        <f t="shared" si="216"/>
      </c>
      <c r="BR906" s="108"/>
      <c r="BS906" s="104"/>
      <c r="BT906" s="87">
        <f t="shared" si="217"/>
      </c>
      <c r="BU906" s="85">
        <f t="shared" si="218"/>
      </c>
      <c r="BV906" s="85">
        <f t="shared" si="219"/>
      </c>
      <c r="BW906" s="87">
        <f t="shared" si="220"/>
      </c>
      <c r="BX906" s="104"/>
      <c r="BY906" s="106"/>
      <c r="BZ906" s="104"/>
      <c r="CA906" s="105"/>
      <c r="CB906" s="77">
        <f>IF($A906="",0,IF($B906='FICHA CLIENTE'!$C$4,1,0))</f>
      </c>
      <c r="CC906" s="77">
        <f t="shared" si="221"/>
      </c>
      <c r="CD906" s="77">
        <f>IF($A906="",0,IF($D906='FICHA VEHICULO'!$C$4,1,0))</f>
      </c>
      <c r="CE906" s="77">
        <f t="shared" si="222"/>
      </c>
      <c r="CF906" s="77">
        <f t="shared" si="223"/>
      </c>
      <c r="CG906" s="77">
        <f t="shared" si="224"/>
      </c>
    </row>
    <row r="907" spans="1:85" ht="19.5" customHeight="1" x14ac:dyDescent="0.2">
      <c r="A907" s="104"/>
      <c r="B907" s="104"/>
      <c r="C907" s="105"/>
      <c r="D907" s="104"/>
      <c r="E907" s="105"/>
      <c r="F907" s="106"/>
      <c r="G907" s="104"/>
      <c r="H907" s="106"/>
      <c r="I907" s="107"/>
      <c r="J907" s="108"/>
      <c r="K907" s="108"/>
      <c r="L907" s="108"/>
      <c r="M907" s="105"/>
      <c r="N907" s="105"/>
      <c r="O907" s="105"/>
      <c r="P907" s="108"/>
      <c r="Q907" s="105"/>
      <c r="R907" s="105"/>
      <c r="S907" s="105"/>
      <c r="T907" s="105"/>
      <c r="U907" s="108"/>
      <c r="V907" s="105"/>
      <c r="W907" s="105"/>
      <c r="X907" s="105"/>
      <c r="Y907" s="105"/>
      <c r="Z907" s="105"/>
      <c r="AA907" s="108"/>
      <c r="AB907" s="108"/>
      <c r="AC907" s="105"/>
      <c r="AD907" s="279"/>
      <c r="AE907" s="105"/>
      <c r="AF907" s="279"/>
      <c r="AG907" s="105"/>
      <c r="AH907" s="108"/>
      <c r="AI907" s="108"/>
      <c r="AJ907" s="108"/>
      <c r="AK907" s="108"/>
      <c r="AL907" s="105"/>
      <c r="AM907" s="108"/>
      <c r="AN907" s="105"/>
      <c r="AO907" s="108"/>
      <c r="AP907" s="108"/>
      <c r="AQ907" s="105"/>
      <c r="AR907" s="108"/>
      <c r="AS907" s="108"/>
      <c r="AT907" s="105"/>
      <c r="AU907" s="105"/>
      <c r="AV907" s="105"/>
      <c r="AW907" s="105"/>
      <c r="AX907" s="105"/>
      <c r="AY907" s="105"/>
      <c r="AZ907" s="105"/>
      <c r="BA907" s="105"/>
      <c r="BB907" s="105"/>
      <c r="BC907" s="105"/>
      <c r="BD907" s="108"/>
      <c r="BE907" s="83">
        <f>IF($A907="","",IF(TRIM($D907&amp;"")="",IF(TRIM($AX907&amp;$AY907&amp;$AZ907&amp;$BA907&amp;$BB907&amp;$BC907&amp;$BD907&amp;"")="","","SUBARRENDADO"),IFERROR(IF(VLOOKUP($D907,VEHICULOS!$A$3:$H$202,7,FALSE)="","",VLOOKUP($D907,VEHICULOS!$A$3:$H$202,7,FALSE)),"")))</f>
      </c>
      <c r="BF907" s="82">
        <f>IF($A907="","",IF(TRIM($BC907&amp;"")&lt;&gt;"",$BC907,IF(TRIM($D907&amp;"")="","",IFERROR(IF(VLOOKUP($D907,VEHICULOS!$A$3:$H$202,8,FALSE)="","",VLOOKUP($D907,VEHICULOS!$A$3:$H$202,8,FALSE)),""))))</f>
      </c>
      <c r="BG907" s="106"/>
      <c r="BH907" s="107"/>
      <c r="BI907" s="86">
        <f t="shared" si="210"/>
      </c>
      <c r="BJ907" s="83">
        <f t="shared" si="211"/>
      </c>
      <c r="BK907" s="85">
        <f t="shared" si="212"/>
      </c>
      <c r="BL907" s="85">
        <f t="shared" si="213"/>
      </c>
      <c r="BM907" s="108"/>
      <c r="BN907" s="85">
        <f t="shared" si="214"/>
      </c>
      <c r="BO907" s="108"/>
      <c r="BP907" s="85">
        <f t="shared" si="215"/>
      </c>
      <c r="BQ907" s="85">
        <f t="shared" si="216"/>
      </c>
      <c r="BR907" s="108"/>
      <c r="BS907" s="104"/>
      <c r="BT907" s="87">
        <f t="shared" si="217"/>
      </c>
      <c r="BU907" s="85">
        <f t="shared" si="218"/>
      </c>
      <c r="BV907" s="85">
        <f t="shared" si="219"/>
      </c>
      <c r="BW907" s="87">
        <f t="shared" si="220"/>
      </c>
      <c r="BX907" s="104"/>
      <c r="BY907" s="106"/>
      <c r="BZ907" s="104"/>
      <c r="CA907" s="105"/>
      <c r="CB907" s="77">
        <f>IF($A907="",0,IF($B907='FICHA CLIENTE'!$C$4,1,0))</f>
      </c>
      <c r="CC907" s="77">
        <f t="shared" si="221"/>
      </c>
      <c r="CD907" s="77">
        <f>IF($A907="",0,IF($D907='FICHA VEHICULO'!$C$4,1,0))</f>
      </c>
      <c r="CE907" s="77">
        <f t="shared" si="222"/>
      </c>
      <c r="CF907" s="77">
        <f t="shared" si="223"/>
      </c>
      <c r="CG907" s="77">
        <f t="shared" si="224"/>
      </c>
    </row>
    <row r="908" spans="1:85" ht="19.5" customHeight="1" x14ac:dyDescent="0.2">
      <c r="A908" s="104"/>
      <c r="B908" s="104"/>
      <c r="C908" s="105"/>
      <c r="D908" s="104"/>
      <c r="E908" s="105"/>
      <c r="F908" s="106"/>
      <c r="G908" s="104"/>
      <c r="H908" s="106"/>
      <c r="I908" s="107"/>
      <c r="J908" s="108"/>
      <c r="K908" s="108"/>
      <c r="L908" s="108"/>
      <c r="M908" s="105"/>
      <c r="N908" s="105"/>
      <c r="O908" s="105"/>
      <c r="P908" s="108"/>
      <c r="Q908" s="105"/>
      <c r="R908" s="105"/>
      <c r="S908" s="105"/>
      <c r="T908" s="105"/>
      <c r="U908" s="108"/>
      <c r="V908" s="105"/>
      <c r="W908" s="105"/>
      <c r="X908" s="105"/>
      <c r="Y908" s="105"/>
      <c r="Z908" s="105"/>
      <c r="AA908" s="108"/>
      <c r="AB908" s="108"/>
      <c r="AC908" s="105"/>
      <c r="AD908" s="279"/>
      <c r="AE908" s="105"/>
      <c r="AF908" s="279"/>
      <c r="AG908" s="105"/>
      <c r="AH908" s="108"/>
      <c r="AI908" s="108"/>
      <c r="AJ908" s="108"/>
      <c r="AK908" s="108"/>
      <c r="AL908" s="105"/>
      <c r="AM908" s="108"/>
      <c r="AN908" s="105"/>
      <c r="AO908" s="108"/>
      <c r="AP908" s="108"/>
      <c r="AQ908" s="105"/>
      <c r="AR908" s="108"/>
      <c r="AS908" s="108"/>
      <c r="AT908" s="105"/>
      <c r="AU908" s="105"/>
      <c r="AV908" s="105"/>
      <c r="AW908" s="105"/>
      <c r="AX908" s="105"/>
      <c r="AY908" s="105"/>
      <c r="AZ908" s="105"/>
      <c r="BA908" s="105"/>
      <c r="BB908" s="105"/>
      <c r="BC908" s="105"/>
      <c r="BD908" s="108"/>
      <c r="BE908" s="83">
        <f>IF($A908="","",IF(TRIM($D908&amp;"")="",IF(TRIM($AX908&amp;$AY908&amp;$AZ908&amp;$BA908&amp;$BB908&amp;$BC908&amp;$BD908&amp;"")="","","SUBARRENDADO"),IFERROR(IF(VLOOKUP($D908,VEHICULOS!$A$3:$H$202,7,FALSE)="","",VLOOKUP($D908,VEHICULOS!$A$3:$H$202,7,FALSE)),"")))</f>
      </c>
      <c r="BF908" s="82">
        <f>IF($A908="","",IF(TRIM($BC908&amp;"")&lt;&gt;"",$BC908,IF(TRIM($D908&amp;"")="","",IFERROR(IF(VLOOKUP($D908,VEHICULOS!$A$3:$H$202,8,FALSE)="","",VLOOKUP($D908,VEHICULOS!$A$3:$H$202,8,FALSE)),""))))</f>
      </c>
      <c r="BG908" s="106"/>
      <c r="BH908" s="107"/>
      <c r="BI908" s="86">
        <f t="shared" si="210"/>
      </c>
      <c r="BJ908" s="83">
        <f t="shared" si="211"/>
      </c>
      <c r="BK908" s="85">
        <f t="shared" si="212"/>
      </c>
      <c r="BL908" s="85">
        <f t="shared" si="213"/>
      </c>
      <c r="BM908" s="108"/>
      <c r="BN908" s="85">
        <f t="shared" si="214"/>
      </c>
      <c r="BO908" s="108"/>
      <c r="BP908" s="85">
        <f t="shared" si="215"/>
      </c>
      <c r="BQ908" s="85">
        <f t="shared" si="216"/>
      </c>
      <c r="BR908" s="108"/>
      <c r="BS908" s="104"/>
      <c r="BT908" s="87">
        <f t="shared" si="217"/>
      </c>
      <c r="BU908" s="85">
        <f t="shared" si="218"/>
      </c>
      <c r="BV908" s="85">
        <f t="shared" si="219"/>
      </c>
      <c r="BW908" s="87">
        <f t="shared" si="220"/>
      </c>
      <c r="BX908" s="104"/>
      <c r="BY908" s="106"/>
      <c r="BZ908" s="104"/>
      <c r="CA908" s="105"/>
      <c r="CB908" s="77">
        <f>IF($A908="",0,IF($B908='FICHA CLIENTE'!$C$4,1,0))</f>
      </c>
      <c r="CC908" s="77">
        <f t="shared" si="221"/>
      </c>
      <c r="CD908" s="77">
        <f>IF($A908="",0,IF($D908='FICHA VEHICULO'!$C$4,1,0))</f>
      </c>
      <c r="CE908" s="77">
        <f t="shared" si="222"/>
      </c>
      <c r="CF908" s="77">
        <f t="shared" si="223"/>
      </c>
      <c r="CG908" s="77">
        <f t="shared" si="224"/>
      </c>
    </row>
    <row r="909" spans="1:85" ht="19.5" customHeight="1" x14ac:dyDescent="0.2">
      <c r="A909" s="104"/>
      <c r="B909" s="104"/>
      <c r="C909" s="105"/>
      <c r="D909" s="104"/>
      <c r="E909" s="105"/>
      <c r="F909" s="106"/>
      <c r="G909" s="104"/>
      <c r="H909" s="106"/>
      <c r="I909" s="107"/>
      <c r="J909" s="108"/>
      <c r="K909" s="108"/>
      <c r="L909" s="108"/>
      <c r="M909" s="105"/>
      <c r="N909" s="105"/>
      <c r="O909" s="105"/>
      <c r="P909" s="108"/>
      <c r="Q909" s="105"/>
      <c r="R909" s="105"/>
      <c r="S909" s="105"/>
      <c r="T909" s="105"/>
      <c r="U909" s="108"/>
      <c r="V909" s="105"/>
      <c r="W909" s="105"/>
      <c r="X909" s="105"/>
      <c r="Y909" s="105"/>
      <c r="Z909" s="105"/>
      <c r="AA909" s="108"/>
      <c r="AB909" s="108"/>
      <c r="AC909" s="105"/>
      <c r="AD909" s="279"/>
      <c r="AE909" s="105"/>
      <c r="AF909" s="279"/>
      <c r="AG909" s="105"/>
      <c r="AH909" s="108"/>
      <c r="AI909" s="108"/>
      <c r="AJ909" s="108"/>
      <c r="AK909" s="108"/>
      <c r="AL909" s="105"/>
      <c r="AM909" s="108"/>
      <c r="AN909" s="105"/>
      <c r="AO909" s="108"/>
      <c r="AP909" s="108"/>
      <c r="AQ909" s="105"/>
      <c r="AR909" s="108"/>
      <c r="AS909" s="108"/>
      <c r="AT909" s="105"/>
      <c r="AU909" s="105"/>
      <c r="AV909" s="105"/>
      <c r="AW909" s="105"/>
      <c r="AX909" s="105"/>
      <c r="AY909" s="105"/>
      <c r="AZ909" s="105"/>
      <c r="BA909" s="105"/>
      <c r="BB909" s="105"/>
      <c r="BC909" s="105"/>
      <c r="BD909" s="108"/>
      <c r="BE909" s="83">
        <f>IF($A909="","",IF(TRIM($D909&amp;"")="",IF(TRIM($AX909&amp;$AY909&amp;$AZ909&amp;$BA909&amp;$BB909&amp;$BC909&amp;$BD909&amp;"")="","","SUBARRENDADO"),IFERROR(IF(VLOOKUP($D909,VEHICULOS!$A$3:$H$202,7,FALSE)="","",VLOOKUP($D909,VEHICULOS!$A$3:$H$202,7,FALSE)),"")))</f>
      </c>
      <c r="BF909" s="82">
        <f>IF($A909="","",IF(TRIM($BC909&amp;"")&lt;&gt;"",$BC909,IF(TRIM($D909&amp;"")="","",IFERROR(IF(VLOOKUP($D909,VEHICULOS!$A$3:$H$202,8,FALSE)="","",VLOOKUP($D909,VEHICULOS!$A$3:$H$202,8,FALSE)),""))))</f>
      </c>
      <c r="BG909" s="106"/>
      <c r="BH909" s="107"/>
      <c r="BI909" s="86">
        <f t="shared" si="210"/>
      </c>
      <c r="BJ909" s="83">
        <f t="shared" si="211"/>
      </c>
      <c r="BK909" s="85">
        <f t="shared" si="212"/>
      </c>
      <c r="BL909" s="85">
        <f t="shared" si="213"/>
      </c>
      <c r="BM909" s="108"/>
      <c r="BN909" s="85">
        <f t="shared" si="214"/>
      </c>
      <c r="BO909" s="108"/>
      <c r="BP909" s="85">
        <f t="shared" si="215"/>
      </c>
      <c r="BQ909" s="85">
        <f t="shared" si="216"/>
      </c>
      <c r="BR909" s="108"/>
      <c r="BS909" s="104"/>
      <c r="BT909" s="87">
        <f t="shared" si="217"/>
      </c>
      <c r="BU909" s="85">
        <f t="shared" si="218"/>
      </c>
      <c r="BV909" s="85">
        <f t="shared" si="219"/>
      </c>
      <c r="BW909" s="87">
        <f t="shared" si="220"/>
      </c>
      <c r="BX909" s="104"/>
      <c r="BY909" s="106"/>
      <c r="BZ909" s="104"/>
      <c r="CA909" s="105"/>
      <c r="CB909" s="77">
        <f>IF($A909="",0,IF($B909='FICHA CLIENTE'!$C$4,1,0))</f>
      </c>
      <c r="CC909" s="77">
        <f t="shared" si="221"/>
      </c>
      <c r="CD909" s="77">
        <f>IF($A909="",0,IF($D909='FICHA VEHICULO'!$C$4,1,0))</f>
      </c>
      <c r="CE909" s="77">
        <f t="shared" si="222"/>
      </c>
      <c r="CF909" s="77">
        <f t="shared" si="223"/>
      </c>
      <c r="CG909" s="77">
        <f t="shared" si="224"/>
      </c>
    </row>
    <row r="910" spans="1:85" ht="19.5" customHeight="1" x14ac:dyDescent="0.2">
      <c r="A910" s="104"/>
      <c r="B910" s="104"/>
      <c r="C910" s="105"/>
      <c r="D910" s="104"/>
      <c r="E910" s="105"/>
      <c r="F910" s="106"/>
      <c r="G910" s="104"/>
      <c r="H910" s="106"/>
      <c r="I910" s="107"/>
      <c r="J910" s="108"/>
      <c r="K910" s="108"/>
      <c r="L910" s="108"/>
      <c r="M910" s="105"/>
      <c r="N910" s="105"/>
      <c r="O910" s="105"/>
      <c r="P910" s="108"/>
      <c r="Q910" s="105"/>
      <c r="R910" s="105"/>
      <c r="S910" s="105"/>
      <c r="T910" s="105"/>
      <c r="U910" s="108"/>
      <c r="V910" s="105"/>
      <c r="W910" s="105"/>
      <c r="X910" s="105"/>
      <c r="Y910" s="105"/>
      <c r="Z910" s="105"/>
      <c r="AA910" s="108"/>
      <c r="AB910" s="108"/>
      <c r="AC910" s="105"/>
      <c r="AD910" s="279"/>
      <c r="AE910" s="105"/>
      <c r="AF910" s="279"/>
      <c r="AG910" s="105"/>
      <c r="AH910" s="108"/>
      <c r="AI910" s="108"/>
      <c r="AJ910" s="108"/>
      <c r="AK910" s="108"/>
      <c r="AL910" s="105"/>
      <c r="AM910" s="108"/>
      <c r="AN910" s="105"/>
      <c r="AO910" s="108"/>
      <c r="AP910" s="108"/>
      <c r="AQ910" s="105"/>
      <c r="AR910" s="108"/>
      <c r="AS910" s="108"/>
      <c r="AT910" s="105"/>
      <c r="AU910" s="105"/>
      <c r="AV910" s="105"/>
      <c r="AW910" s="105"/>
      <c r="AX910" s="105"/>
      <c r="AY910" s="105"/>
      <c r="AZ910" s="105"/>
      <c r="BA910" s="105"/>
      <c r="BB910" s="105"/>
      <c r="BC910" s="105"/>
      <c r="BD910" s="108"/>
      <c r="BE910" s="83">
        <f>IF($A910="","",IF(TRIM($D910&amp;"")="",IF(TRIM($AX910&amp;$AY910&amp;$AZ910&amp;$BA910&amp;$BB910&amp;$BC910&amp;$BD910&amp;"")="","","SUBARRENDADO"),IFERROR(IF(VLOOKUP($D910,VEHICULOS!$A$3:$H$202,7,FALSE)="","",VLOOKUP($D910,VEHICULOS!$A$3:$H$202,7,FALSE)),"")))</f>
      </c>
      <c r="BF910" s="82">
        <f>IF($A910="","",IF(TRIM($BC910&amp;"")&lt;&gt;"",$BC910,IF(TRIM($D910&amp;"")="","",IFERROR(IF(VLOOKUP($D910,VEHICULOS!$A$3:$H$202,8,FALSE)="","",VLOOKUP($D910,VEHICULOS!$A$3:$H$202,8,FALSE)),""))))</f>
      </c>
      <c r="BG910" s="106"/>
      <c r="BH910" s="107"/>
      <c r="BI910" s="86">
        <f t="shared" si="210"/>
      </c>
      <c r="BJ910" s="83">
        <f t="shared" si="211"/>
      </c>
      <c r="BK910" s="85">
        <f t="shared" si="212"/>
      </c>
      <c r="BL910" s="85">
        <f t="shared" si="213"/>
      </c>
      <c r="BM910" s="108"/>
      <c r="BN910" s="85">
        <f t="shared" si="214"/>
      </c>
      <c r="BO910" s="108"/>
      <c r="BP910" s="85">
        <f t="shared" si="215"/>
      </c>
      <c r="BQ910" s="85">
        <f t="shared" si="216"/>
      </c>
      <c r="BR910" s="108"/>
      <c r="BS910" s="104"/>
      <c r="BT910" s="87">
        <f t="shared" si="217"/>
      </c>
      <c r="BU910" s="85">
        <f t="shared" si="218"/>
      </c>
      <c r="BV910" s="85">
        <f t="shared" si="219"/>
      </c>
      <c r="BW910" s="87">
        <f t="shared" si="220"/>
      </c>
      <c r="BX910" s="104"/>
      <c r="BY910" s="106"/>
      <c r="BZ910" s="104"/>
      <c r="CA910" s="105"/>
      <c r="CB910" s="77">
        <f>IF($A910="",0,IF($B910='FICHA CLIENTE'!$C$4,1,0))</f>
      </c>
      <c r="CC910" s="77">
        <f t="shared" si="221"/>
      </c>
      <c r="CD910" s="77">
        <f>IF($A910="",0,IF($D910='FICHA VEHICULO'!$C$4,1,0))</f>
      </c>
      <c r="CE910" s="77">
        <f t="shared" si="222"/>
      </c>
      <c r="CF910" s="77">
        <f t="shared" si="223"/>
      </c>
      <c r="CG910" s="77">
        <f t="shared" si="224"/>
      </c>
    </row>
    <row r="911" spans="1:85" ht="19.5" customHeight="1" x14ac:dyDescent="0.2">
      <c r="A911" s="104"/>
      <c r="B911" s="104"/>
      <c r="C911" s="105"/>
      <c r="D911" s="104"/>
      <c r="E911" s="105"/>
      <c r="F911" s="106"/>
      <c r="G911" s="104"/>
      <c r="H911" s="106"/>
      <c r="I911" s="107"/>
      <c r="J911" s="108"/>
      <c r="K911" s="108"/>
      <c r="L911" s="108"/>
      <c r="M911" s="105"/>
      <c r="N911" s="105"/>
      <c r="O911" s="105"/>
      <c r="P911" s="108"/>
      <c r="Q911" s="105"/>
      <c r="R911" s="105"/>
      <c r="S911" s="105"/>
      <c r="T911" s="105"/>
      <c r="U911" s="108"/>
      <c r="V911" s="105"/>
      <c r="W911" s="105"/>
      <c r="X911" s="105"/>
      <c r="Y911" s="105"/>
      <c r="Z911" s="105"/>
      <c r="AA911" s="108"/>
      <c r="AB911" s="108"/>
      <c r="AC911" s="105"/>
      <c r="AD911" s="279"/>
      <c r="AE911" s="105"/>
      <c r="AF911" s="279"/>
      <c r="AG911" s="105"/>
      <c r="AH911" s="108"/>
      <c r="AI911" s="108"/>
      <c r="AJ911" s="108"/>
      <c r="AK911" s="108"/>
      <c r="AL911" s="105"/>
      <c r="AM911" s="108"/>
      <c r="AN911" s="105"/>
      <c r="AO911" s="108"/>
      <c r="AP911" s="108"/>
      <c r="AQ911" s="105"/>
      <c r="AR911" s="108"/>
      <c r="AS911" s="108"/>
      <c r="AT911" s="105"/>
      <c r="AU911" s="105"/>
      <c r="AV911" s="105"/>
      <c r="AW911" s="105"/>
      <c r="AX911" s="105"/>
      <c r="AY911" s="105"/>
      <c r="AZ911" s="105"/>
      <c r="BA911" s="105"/>
      <c r="BB911" s="105"/>
      <c r="BC911" s="105"/>
      <c r="BD911" s="108"/>
      <c r="BE911" s="83">
        <f>IF($A911="","",IF(TRIM($D911&amp;"")="",IF(TRIM($AX911&amp;$AY911&amp;$AZ911&amp;$BA911&amp;$BB911&amp;$BC911&amp;$BD911&amp;"")="","","SUBARRENDADO"),IFERROR(IF(VLOOKUP($D911,VEHICULOS!$A$3:$H$202,7,FALSE)="","",VLOOKUP($D911,VEHICULOS!$A$3:$H$202,7,FALSE)),"")))</f>
      </c>
      <c r="BF911" s="82">
        <f>IF($A911="","",IF(TRIM($BC911&amp;"")&lt;&gt;"",$BC911,IF(TRIM($D911&amp;"")="","",IFERROR(IF(VLOOKUP($D911,VEHICULOS!$A$3:$H$202,8,FALSE)="","",VLOOKUP($D911,VEHICULOS!$A$3:$H$202,8,FALSE)),""))))</f>
      </c>
      <c r="BG911" s="106"/>
      <c r="BH911" s="107"/>
      <c r="BI911" s="86">
        <f t="shared" si="210"/>
      </c>
      <c r="BJ911" s="83">
        <f t="shared" si="211"/>
      </c>
      <c r="BK911" s="85">
        <f t="shared" si="212"/>
      </c>
      <c r="BL911" s="85">
        <f t="shared" si="213"/>
      </c>
      <c r="BM911" s="108"/>
      <c r="BN911" s="85">
        <f t="shared" si="214"/>
      </c>
      <c r="BO911" s="108"/>
      <c r="BP911" s="85">
        <f t="shared" si="215"/>
      </c>
      <c r="BQ911" s="85">
        <f t="shared" si="216"/>
      </c>
      <c r="BR911" s="108"/>
      <c r="BS911" s="104"/>
      <c r="BT911" s="87">
        <f t="shared" si="217"/>
      </c>
      <c r="BU911" s="85">
        <f t="shared" si="218"/>
      </c>
      <c r="BV911" s="85">
        <f t="shared" si="219"/>
      </c>
      <c r="BW911" s="87">
        <f t="shared" si="220"/>
      </c>
      <c r="BX911" s="104"/>
      <c r="BY911" s="106"/>
      <c r="BZ911" s="104"/>
      <c r="CA911" s="105"/>
      <c r="CB911" s="77">
        <f>IF($A911="",0,IF($B911='FICHA CLIENTE'!$C$4,1,0))</f>
      </c>
      <c r="CC911" s="77">
        <f t="shared" si="221"/>
      </c>
      <c r="CD911" s="77">
        <f>IF($A911="",0,IF($D911='FICHA VEHICULO'!$C$4,1,0))</f>
      </c>
      <c r="CE911" s="77">
        <f t="shared" si="222"/>
      </c>
      <c r="CF911" s="77">
        <f t="shared" si="223"/>
      </c>
      <c r="CG911" s="77">
        <f t="shared" si="224"/>
      </c>
    </row>
    <row r="912" spans="1:85" ht="19.5" customHeight="1" x14ac:dyDescent="0.2">
      <c r="A912" s="104"/>
      <c r="B912" s="104"/>
      <c r="C912" s="105"/>
      <c r="D912" s="104"/>
      <c r="E912" s="105"/>
      <c r="F912" s="106"/>
      <c r="G912" s="104"/>
      <c r="H912" s="106"/>
      <c r="I912" s="107"/>
      <c r="J912" s="108"/>
      <c r="K912" s="108"/>
      <c r="L912" s="108"/>
      <c r="M912" s="105"/>
      <c r="N912" s="105"/>
      <c r="O912" s="105"/>
      <c r="P912" s="108"/>
      <c r="Q912" s="105"/>
      <c r="R912" s="105"/>
      <c r="S912" s="105"/>
      <c r="T912" s="105"/>
      <c r="U912" s="108"/>
      <c r="V912" s="105"/>
      <c r="W912" s="105"/>
      <c r="X912" s="105"/>
      <c r="Y912" s="105"/>
      <c r="Z912" s="105"/>
      <c r="AA912" s="108"/>
      <c r="AB912" s="108"/>
      <c r="AC912" s="105"/>
      <c r="AD912" s="279"/>
      <c r="AE912" s="105"/>
      <c r="AF912" s="279"/>
      <c r="AG912" s="105"/>
      <c r="AH912" s="108"/>
      <c r="AI912" s="108"/>
      <c r="AJ912" s="108"/>
      <c r="AK912" s="108"/>
      <c r="AL912" s="105"/>
      <c r="AM912" s="108"/>
      <c r="AN912" s="105"/>
      <c r="AO912" s="108"/>
      <c r="AP912" s="108"/>
      <c r="AQ912" s="105"/>
      <c r="AR912" s="108"/>
      <c r="AS912" s="108"/>
      <c r="AT912" s="105"/>
      <c r="AU912" s="105"/>
      <c r="AV912" s="105"/>
      <c r="AW912" s="105"/>
      <c r="AX912" s="105"/>
      <c r="AY912" s="105"/>
      <c r="AZ912" s="105"/>
      <c r="BA912" s="105"/>
      <c r="BB912" s="105"/>
      <c r="BC912" s="105"/>
      <c r="BD912" s="108"/>
      <c r="BE912" s="83">
        <f>IF($A912="","",IF(TRIM($D912&amp;"")="",IF(TRIM($AX912&amp;$AY912&amp;$AZ912&amp;$BA912&amp;$BB912&amp;$BC912&amp;$BD912&amp;"")="","","SUBARRENDADO"),IFERROR(IF(VLOOKUP($D912,VEHICULOS!$A$3:$H$202,7,FALSE)="","",VLOOKUP($D912,VEHICULOS!$A$3:$H$202,7,FALSE)),"")))</f>
      </c>
      <c r="BF912" s="82">
        <f>IF($A912="","",IF(TRIM($BC912&amp;"")&lt;&gt;"",$BC912,IF(TRIM($D912&amp;"")="","",IFERROR(IF(VLOOKUP($D912,VEHICULOS!$A$3:$H$202,8,FALSE)="","",VLOOKUP($D912,VEHICULOS!$A$3:$H$202,8,FALSE)),""))))</f>
      </c>
      <c r="BG912" s="106"/>
      <c r="BH912" s="107"/>
      <c r="BI912" s="86">
        <f t="shared" si="210"/>
      </c>
      <c r="BJ912" s="83">
        <f t="shared" si="211"/>
      </c>
      <c r="BK912" s="85">
        <f t="shared" si="212"/>
      </c>
      <c r="BL912" s="85">
        <f t="shared" si="213"/>
      </c>
      <c r="BM912" s="108"/>
      <c r="BN912" s="85">
        <f t="shared" si="214"/>
      </c>
      <c r="BO912" s="108"/>
      <c r="BP912" s="85">
        <f t="shared" si="215"/>
      </c>
      <c r="BQ912" s="85">
        <f t="shared" si="216"/>
      </c>
      <c r="BR912" s="108"/>
      <c r="BS912" s="104"/>
      <c r="BT912" s="87">
        <f t="shared" si="217"/>
      </c>
      <c r="BU912" s="85">
        <f t="shared" si="218"/>
      </c>
      <c r="BV912" s="85">
        <f t="shared" si="219"/>
      </c>
      <c r="BW912" s="87">
        <f t="shared" si="220"/>
      </c>
      <c r="BX912" s="104"/>
      <c r="BY912" s="106"/>
      <c r="BZ912" s="104"/>
      <c r="CA912" s="105"/>
      <c r="CB912" s="77">
        <f>IF($A912="",0,IF($B912='FICHA CLIENTE'!$C$4,1,0))</f>
      </c>
      <c r="CC912" s="77">
        <f t="shared" si="221"/>
      </c>
      <c r="CD912" s="77">
        <f>IF($A912="",0,IF($D912='FICHA VEHICULO'!$C$4,1,0))</f>
      </c>
      <c r="CE912" s="77">
        <f t="shared" si="222"/>
      </c>
      <c r="CF912" s="77">
        <f t="shared" si="223"/>
      </c>
      <c r="CG912" s="77">
        <f t="shared" si="224"/>
      </c>
    </row>
    <row r="913" spans="1:85" ht="19.5" customHeight="1" x14ac:dyDescent="0.2">
      <c r="A913" s="104"/>
      <c r="B913" s="104"/>
      <c r="C913" s="105"/>
      <c r="D913" s="104"/>
      <c r="E913" s="105"/>
      <c r="F913" s="106"/>
      <c r="G913" s="104"/>
      <c r="H913" s="106"/>
      <c r="I913" s="107"/>
      <c r="J913" s="108"/>
      <c r="K913" s="108"/>
      <c r="L913" s="108"/>
      <c r="M913" s="105"/>
      <c r="N913" s="105"/>
      <c r="O913" s="105"/>
      <c r="P913" s="108"/>
      <c r="Q913" s="105"/>
      <c r="R913" s="105"/>
      <c r="S913" s="105"/>
      <c r="T913" s="105"/>
      <c r="U913" s="108"/>
      <c r="V913" s="105"/>
      <c r="W913" s="105"/>
      <c r="X913" s="105"/>
      <c r="Y913" s="105"/>
      <c r="Z913" s="105"/>
      <c r="AA913" s="108"/>
      <c r="AB913" s="108"/>
      <c r="AC913" s="105"/>
      <c r="AD913" s="279"/>
      <c r="AE913" s="105"/>
      <c r="AF913" s="279"/>
      <c r="AG913" s="105"/>
      <c r="AH913" s="108"/>
      <c r="AI913" s="108"/>
      <c r="AJ913" s="108"/>
      <c r="AK913" s="108"/>
      <c r="AL913" s="105"/>
      <c r="AM913" s="108"/>
      <c r="AN913" s="105"/>
      <c r="AO913" s="108"/>
      <c r="AP913" s="108"/>
      <c r="AQ913" s="105"/>
      <c r="AR913" s="108"/>
      <c r="AS913" s="108"/>
      <c r="AT913" s="105"/>
      <c r="AU913" s="105"/>
      <c r="AV913" s="105"/>
      <c r="AW913" s="105"/>
      <c r="AX913" s="105"/>
      <c r="AY913" s="105"/>
      <c r="AZ913" s="105"/>
      <c r="BA913" s="105"/>
      <c r="BB913" s="105"/>
      <c r="BC913" s="105"/>
      <c r="BD913" s="108"/>
      <c r="BE913" s="83">
        <f>IF($A913="","",IF(TRIM($D913&amp;"")="",IF(TRIM($AX913&amp;$AY913&amp;$AZ913&amp;$BA913&amp;$BB913&amp;$BC913&amp;$BD913&amp;"")="","","SUBARRENDADO"),IFERROR(IF(VLOOKUP($D913,VEHICULOS!$A$3:$H$202,7,FALSE)="","",VLOOKUP($D913,VEHICULOS!$A$3:$H$202,7,FALSE)),"")))</f>
      </c>
      <c r="BF913" s="82">
        <f>IF($A913="","",IF(TRIM($BC913&amp;"")&lt;&gt;"",$BC913,IF(TRIM($D913&amp;"")="","",IFERROR(IF(VLOOKUP($D913,VEHICULOS!$A$3:$H$202,8,FALSE)="","",VLOOKUP($D913,VEHICULOS!$A$3:$H$202,8,FALSE)),""))))</f>
      </c>
      <c r="BG913" s="106"/>
      <c r="BH913" s="107"/>
      <c r="BI913" s="86">
        <f t="shared" si="210"/>
      </c>
      <c r="BJ913" s="83">
        <f t="shared" si="211"/>
      </c>
      <c r="BK913" s="85">
        <f t="shared" si="212"/>
      </c>
      <c r="BL913" s="85">
        <f t="shared" si="213"/>
      </c>
      <c r="BM913" s="108"/>
      <c r="BN913" s="85">
        <f t="shared" si="214"/>
      </c>
      <c r="BO913" s="108"/>
      <c r="BP913" s="85">
        <f t="shared" si="215"/>
      </c>
      <c r="BQ913" s="85">
        <f t="shared" si="216"/>
      </c>
      <c r="BR913" s="108"/>
      <c r="BS913" s="104"/>
      <c r="BT913" s="87">
        <f t="shared" si="217"/>
      </c>
      <c r="BU913" s="85">
        <f t="shared" si="218"/>
      </c>
      <c r="BV913" s="85">
        <f t="shared" si="219"/>
      </c>
      <c r="BW913" s="87">
        <f t="shared" si="220"/>
      </c>
      <c r="BX913" s="104"/>
      <c r="BY913" s="106"/>
      <c r="BZ913" s="104"/>
      <c r="CA913" s="105"/>
      <c r="CB913" s="77">
        <f>IF($A913="",0,IF($B913='FICHA CLIENTE'!$C$4,1,0))</f>
      </c>
      <c r="CC913" s="77">
        <f t="shared" si="221"/>
      </c>
      <c r="CD913" s="77">
        <f>IF($A913="",0,IF($D913='FICHA VEHICULO'!$C$4,1,0))</f>
      </c>
      <c r="CE913" s="77">
        <f t="shared" si="222"/>
      </c>
      <c r="CF913" s="77">
        <f t="shared" si="223"/>
      </c>
      <c r="CG913" s="77">
        <f t="shared" si="224"/>
      </c>
    </row>
    <row r="914" spans="1:85" ht="19.5" customHeight="1" x14ac:dyDescent="0.2">
      <c r="A914" s="104"/>
      <c r="B914" s="104"/>
      <c r="C914" s="105"/>
      <c r="D914" s="104"/>
      <c r="E914" s="105"/>
      <c r="F914" s="106"/>
      <c r="G914" s="104"/>
      <c r="H914" s="106"/>
      <c r="I914" s="107"/>
      <c r="J914" s="108"/>
      <c r="K914" s="108"/>
      <c r="L914" s="108"/>
      <c r="M914" s="105"/>
      <c r="N914" s="105"/>
      <c r="O914" s="105"/>
      <c r="P914" s="108"/>
      <c r="Q914" s="105"/>
      <c r="R914" s="105"/>
      <c r="S914" s="105"/>
      <c r="T914" s="105"/>
      <c r="U914" s="108"/>
      <c r="V914" s="105"/>
      <c r="W914" s="105"/>
      <c r="X914" s="105"/>
      <c r="Y914" s="105"/>
      <c r="Z914" s="105"/>
      <c r="AA914" s="108"/>
      <c r="AB914" s="108"/>
      <c r="AC914" s="105"/>
      <c r="AD914" s="279"/>
      <c r="AE914" s="105"/>
      <c r="AF914" s="279"/>
      <c r="AG914" s="105"/>
      <c r="AH914" s="108"/>
      <c r="AI914" s="108"/>
      <c r="AJ914" s="108"/>
      <c r="AK914" s="108"/>
      <c r="AL914" s="105"/>
      <c r="AM914" s="108"/>
      <c r="AN914" s="105"/>
      <c r="AO914" s="108"/>
      <c r="AP914" s="108"/>
      <c r="AQ914" s="105"/>
      <c r="AR914" s="108"/>
      <c r="AS914" s="108"/>
      <c r="AT914" s="105"/>
      <c r="AU914" s="105"/>
      <c r="AV914" s="105"/>
      <c r="AW914" s="105"/>
      <c r="AX914" s="105"/>
      <c r="AY914" s="105"/>
      <c r="AZ914" s="105"/>
      <c r="BA914" s="105"/>
      <c r="BB914" s="105"/>
      <c r="BC914" s="105"/>
      <c r="BD914" s="108"/>
      <c r="BE914" s="83">
        <f>IF($A914="","",IF(TRIM($D914&amp;"")="",IF(TRIM($AX914&amp;$AY914&amp;$AZ914&amp;$BA914&amp;$BB914&amp;$BC914&amp;$BD914&amp;"")="","","SUBARRENDADO"),IFERROR(IF(VLOOKUP($D914,VEHICULOS!$A$3:$H$202,7,FALSE)="","",VLOOKUP($D914,VEHICULOS!$A$3:$H$202,7,FALSE)),"")))</f>
      </c>
      <c r="BF914" s="82">
        <f>IF($A914="","",IF(TRIM($BC914&amp;"")&lt;&gt;"",$BC914,IF(TRIM($D914&amp;"")="","",IFERROR(IF(VLOOKUP($D914,VEHICULOS!$A$3:$H$202,8,FALSE)="","",VLOOKUP($D914,VEHICULOS!$A$3:$H$202,8,FALSE)),""))))</f>
      </c>
      <c r="BG914" s="106"/>
      <c r="BH914" s="107"/>
      <c r="BI914" s="86">
        <f t="shared" si="210"/>
      </c>
      <c r="BJ914" s="83">
        <f t="shared" si="211"/>
      </c>
      <c r="BK914" s="85">
        <f t="shared" si="212"/>
      </c>
      <c r="BL914" s="85">
        <f t="shared" si="213"/>
      </c>
      <c r="BM914" s="108"/>
      <c r="BN914" s="85">
        <f t="shared" si="214"/>
      </c>
      <c r="BO914" s="108"/>
      <c r="BP914" s="85">
        <f t="shared" si="215"/>
      </c>
      <c r="BQ914" s="85">
        <f t="shared" si="216"/>
      </c>
      <c r="BR914" s="108"/>
      <c r="BS914" s="104"/>
      <c r="BT914" s="87">
        <f t="shared" si="217"/>
      </c>
      <c r="BU914" s="85">
        <f t="shared" si="218"/>
      </c>
      <c r="BV914" s="85">
        <f t="shared" si="219"/>
      </c>
      <c r="BW914" s="87">
        <f t="shared" si="220"/>
      </c>
      <c r="BX914" s="104"/>
      <c r="BY914" s="106"/>
      <c r="BZ914" s="104"/>
      <c r="CA914" s="105"/>
      <c r="CB914" s="77">
        <f>IF($A914="",0,IF($B914='FICHA CLIENTE'!$C$4,1,0))</f>
      </c>
      <c r="CC914" s="77">
        <f t="shared" si="221"/>
      </c>
      <c r="CD914" s="77">
        <f>IF($A914="",0,IF($D914='FICHA VEHICULO'!$C$4,1,0))</f>
      </c>
      <c r="CE914" s="77">
        <f t="shared" si="222"/>
      </c>
      <c r="CF914" s="77">
        <f t="shared" si="223"/>
      </c>
      <c r="CG914" s="77">
        <f t="shared" si="224"/>
      </c>
    </row>
    <row r="915" spans="1:85" ht="19.5" customHeight="1" x14ac:dyDescent="0.2">
      <c r="A915" s="104"/>
      <c r="B915" s="104"/>
      <c r="C915" s="105"/>
      <c r="D915" s="104"/>
      <c r="E915" s="105"/>
      <c r="F915" s="106"/>
      <c r="G915" s="104"/>
      <c r="H915" s="106"/>
      <c r="I915" s="107"/>
      <c r="J915" s="108"/>
      <c r="K915" s="108"/>
      <c r="L915" s="108"/>
      <c r="M915" s="105"/>
      <c r="N915" s="105"/>
      <c r="O915" s="105"/>
      <c r="P915" s="108"/>
      <c r="Q915" s="105"/>
      <c r="R915" s="105"/>
      <c r="S915" s="105"/>
      <c r="T915" s="105"/>
      <c r="U915" s="108"/>
      <c r="V915" s="105"/>
      <c r="W915" s="105"/>
      <c r="X915" s="105"/>
      <c r="Y915" s="105"/>
      <c r="Z915" s="105"/>
      <c r="AA915" s="108"/>
      <c r="AB915" s="108"/>
      <c r="AC915" s="105"/>
      <c r="AD915" s="279"/>
      <c r="AE915" s="105"/>
      <c r="AF915" s="279"/>
      <c r="AG915" s="105"/>
      <c r="AH915" s="108"/>
      <c r="AI915" s="108"/>
      <c r="AJ915" s="108"/>
      <c r="AK915" s="108"/>
      <c r="AL915" s="105"/>
      <c r="AM915" s="108"/>
      <c r="AN915" s="105"/>
      <c r="AO915" s="108"/>
      <c r="AP915" s="108"/>
      <c r="AQ915" s="105"/>
      <c r="AR915" s="108"/>
      <c r="AS915" s="108"/>
      <c r="AT915" s="105"/>
      <c r="AU915" s="105"/>
      <c r="AV915" s="105"/>
      <c r="AW915" s="105"/>
      <c r="AX915" s="105"/>
      <c r="AY915" s="105"/>
      <c r="AZ915" s="105"/>
      <c r="BA915" s="105"/>
      <c r="BB915" s="105"/>
      <c r="BC915" s="105"/>
      <c r="BD915" s="108"/>
      <c r="BE915" s="83">
        <f>IF($A915="","",IF(TRIM($D915&amp;"")="",IF(TRIM($AX915&amp;$AY915&amp;$AZ915&amp;$BA915&amp;$BB915&amp;$BC915&amp;$BD915&amp;"")="","","SUBARRENDADO"),IFERROR(IF(VLOOKUP($D915,VEHICULOS!$A$3:$H$202,7,FALSE)="","",VLOOKUP($D915,VEHICULOS!$A$3:$H$202,7,FALSE)),"")))</f>
      </c>
      <c r="BF915" s="82">
        <f>IF($A915="","",IF(TRIM($BC915&amp;"")&lt;&gt;"",$BC915,IF(TRIM($D915&amp;"")="","",IFERROR(IF(VLOOKUP($D915,VEHICULOS!$A$3:$H$202,8,FALSE)="","",VLOOKUP($D915,VEHICULOS!$A$3:$H$202,8,FALSE)),""))))</f>
      </c>
      <c r="BG915" s="106"/>
      <c r="BH915" s="107"/>
      <c r="BI915" s="86">
        <f t="shared" si="210"/>
      </c>
      <c r="BJ915" s="83">
        <f t="shared" si="211"/>
      </c>
      <c r="BK915" s="85">
        <f t="shared" si="212"/>
      </c>
      <c r="BL915" s="85">
        <f t="shared" si="213"/>
      </c>
      <c r="BM915" s="108"/>
      <c r="BN915" s="85">
        <f t="shared" si="214"/>
      </c>
      <c r="BO915" s="108"/>
      <c r="BP915" s="85">
        <f t="shared" si="215"/>
      </c>
      <c r="BQ915" s="85">
        <f t="shared" si="216"/>
      </c>
      <c r="BR915" s="108"/>
      <c r="BS915" s="104"/>
      <c r="BT915" s="87">
        <f t="shared" si="217"/>
      </c>
      <c r="BU915" s="85">
        <f t="shared" si="218"/>
      </c>
      <c r="BV915" s="85">
        <f t="shared" si="219"/>
      </c>
      <c r="BW915" s="87">
        <f t="shared" si="220"/>
      </c>
      <c r="BX915" s="104"/>
      <c r="BY915" s="106"/>
      <c r="BZ915" s="104"/>
      <c r="CA915" s="105"/>
      <c r="CB915" s="77">
        <f>IF($A915="",0,IF($B915='FICHA CLIENTE'!$C$4,1,0))</f>
      </c>
      <c r="CC915" s="77">
        <f t="shared" si="221"/>
      </c>
      <c r="CD915" s="77">
        <f>IF($A915="",0,IF($D915='FICHA VEHICULO'!$C$4,1,0))</f>
      </c>
      <c r="CE915" s="77">
        <f t="shared" si="222"/>
      </c>
      <c r="CF915" s="77">
        <f t="shared" si="223"/>
      </c>
      <c r="CG915" s="77">
        <f t="shared" si="224"/>
      </c>
    </row>
    <row r="916" spans="1:85" ht="19.5" customHeight="1" x14ac:dyDescent="0.2">
      <c r="A916" s="104"/>
      <c r="B916" s="104"/>
      <c r="C916" s="105"/>
      <c r="D916" s="104"/>
      <c r="E916" s="105"/>
      <c r="F916" s="106"/>
      <c r="G916" s="104"/>
      <c r="H916" s="106"/>
      <c r="I916" s="107"/>
      <c r="J916" s="108"/>
      <c r="K916" s="108"/>
      <c r="L916" s="108"/>
      <c r="M916" s="105"/>
      <c r="N916" s="105"/>
      <c r="O916" s="105"/>
      <c r="P916" s="108"/>
      <c r="Q916" s="105"/>
      <c r="R916" s="105"/>
      <c r="S916" s="105"/>
      <c r="T916" s="105"/>
      <c r="U916" s="108"/>
      <c r="V916" s="105"/>
      <c r="W916" s="105"/>
      <c r="X916" s="105"/>
      <c r="Y916" s="105"/>
      <c r="Z916" s="105"/>
      <c r="AA916" s="108"/>
      <c r="AB916" s="108"/>
      <c r="AC916" s="105"/>
      <c r="AD916" s="279"/>
      <c r="AE916" s="105"/>
      <c r="AF916" s="279"/>
      <c r="AG916" s="105"/>
      <c r="AH916" s="108"/>
      <c r="AI916" s="108"/>
      <c r="AJ916" s="108"/>
      <c r="AK916" s="108"/>
      <c r="AL916" s="105"/>
      <c r="AM916" s="108"/>
      <c r="AN916" s="105"/>
      <c r="AO916" s="108"/>
      <c r="AP916" s="108"/>
      <c r="AQ916" s="105"/>
      <c r="AR916" s="108"/>
      <c r="AS916" s="108"/>
      <c r="AT916" s="105"/>
      <c r="AU916" s="105"/>
      <c r="AV916" s="105"/>
      <c r="AW916" s="105"/>
      <c r="AX916" s="105"/>
      <c r="AY916" s="105"/>
      <c r="AZ916" s="105"/>
      <c r="BA916" s="105"/>
      <c r="BB916" s="105"/>
      <c r="BC916" s="105"/>
      <c r="BD916" s="108"/>
      <c r="BE916" s="83">
        <f>IF($A916="","",IF(TRIM($D916&amp;"")="",IF(TRIM($AX916&amp;$AY916&amp;$AZ916&amp;$BA916&amp;$BB916&amp;$BC916&amp;$BD916&amp;"")="","","SUBARRENDADO"),IFERROR(IF(VLOOKUP($D916,VEHICULOS!$A$3:$H$202,7,FALSE)="","",VLOOKUP($D916,VEHICULOS!$A$3:$H$202,7,FALSE)),"")))</f>
      </c>
      <c r="BF916" s="82">
        <f>IF($A916="","",IF(TRIM($BC916&amp;"")&lt;&gt;"",$BC916,IF(TRIM($D916&amp;"")="","",IFERROR(IF(VLOOKUP($D916,VEHICULOS!$A$3:$H$202,8,FALSE)="","",VLOOKUP($D916,VEHICULOS!$A$3:$H$202,8,FALSE)),""))))</f>
      </c>
      <c r="BG916" s="106"/>
      <c r="BH916" s="107"/>
      <c r="BI916" s="86">
        <f t="shared" si="210"/>
      </c>
      <c r="BJ916" s="83">
        <f t="shared" si="211"/>
      </c>
      <c r="BK916" s="85">
        <f t="shared" si="212"/>
      </c>
      <c r="BL916" s="85">
        <f t="shared" si="213"/>
      </c>
      <c r="BM916" s="108"/>
      <c r="BN916" s="85">
        <f t="shared" si="214"/>
      </c>
      <c r="BO916" s="108"/>
      <c r="BP916" s="85">
        <f t="shared" si="215"/>
      </c>
      <c r="BQ916" s="85">
        <f t="shared" si="216"/>
      </c>
      <c r="BR916" s="108"/>
      <c r="BS916" s="104"/>
      <c r="BT916" s="87">
        <f t="shared" si="217"/>
      </c>
      <c r="BU916" s="85">
        <f t="shared" si="218"/>
      </c>
      <c r="BV916" s="85">
        <f t="shared" si="219"/>
      </c>
      <c r="BW916" s="87">
        <f t="shared" si="220"/>
      </c>
      <c r="BX916" s="104"/>
      <c r="BY916" s="106"/>
      <c r="BZ916" s="104"/>
      <c r="CA916" s="105"/>
      <c r="CB916" s="77">
        <f>IF($A916="",0,IF($B916='FICHA CLIENTE'!$C$4,1,0))</f>
      </c>
      <c r="CC916" s="77">
        <f t="shared" si="221"/>
      </c>
      <c r="CD916" s="77">
        <f>IF($A916="",0,IF($D916='FICHA VEHICULO'!$C$4,1,0))</f>
      </c>
      <c r="CE916" s="77">
        <f t="shared" si="222"/>
      </c>
      <c r="CF916" s="77">
        <f t="shared" si="223"/>
      </c>
      <c r="CG916" s="77">
        <f t="shared" si="224"/>
      </c>
    </row>
    <row r="917" spans="1:85" ht="19.5" customHeight="1" x14ac:dyDescent="0.2">
      <c r="A917" s="104"/>
      <c r="B917" s="104"/>
      <c r="C917" s="105"/>
      <c r="D917" s="104"/>
      <c r="E917" s="105"/>
      <c r="F917" s="106"/>
      <c r="G917" s="104"/>
      <c r="H917" s="106"/>
      <c r="I917" s="107"/>
      <c r="J917" s="108"/>
      <c r="K917" s="108"/>
      <c r="L917" s="108"/>
      <c r="M917" s="105"/>
      <c r="N917" s="105"/>
      <c r="O917" s="105"/>
      <c r="P917" s="108"/>
      <c r="Q917" s="105"/>
      <c r="R917" s="105"/>
      <c r="S917" s="105"/>
      <c r="T917" s="105"/>
      <c r="U917" s="108"/>
      <c r="V917" s="105"/>
      <c r="W917" s="105"/>
      <c r="X917" s="105"/>
      <c r="Y917" s="105"/>
      <c r="Z917" s="105"/>
      <c r="AA917" s="108"/>
      <c r="AB917" s="108"/>
      <c r="AC917" s="105"/>
      <c r="AD917" s="279"/>
      <c r="AE917" s="105"/>
      <c r="AF917" s="279"/>
      <c r="AG917" s="105"/>
      <c r="AH917" s="108"/>
      <c r="AI917" s="108"/>
      <c r="AJ917" s="108"/>
      <c r="AK917" s="108"/>
      <c r="AL917" s="105"/>
      <c r="AM917" s="108"/>
      <c r="AN917" s="105"/>
      <c r="AO917" s="108"/>
      <c r="AP917" s="108"/>
      <c r="AQ917" s="105"/>
      <c r="AR917" s="108"/>
      <c r="AS917" s="108"/>
      <c r="AT917" s="105"/>
      <c r="AU917" s="105"/>
      <c r="AV917" s="105"/>
      <c r="AW917" s="105"/>
      <c r="AX917" s="105"/>
      <c r="AY917" s="105"/>
      <c r="AZ917" s="105"/>
      <c r="BA917" s="105"/>
      <c r="BB917" s="105"/>
      <c r="BC917" s="105"/>
      <c r="BD917" s="108"/>
      <c r="BE917" s="83">
        <f>IF($A917="","",IF(TRIM($D917&amp;"")="",IF(TRIM($AX917&amp;$AY917&amp;$AZ917&amp;$BA917&amp;$BB917&amp;$BC917&amp;$BD917&amp;"")="","","SUBARRENDADO"),IFERROR(IF(VLOOKUP($D917,VEHICULOS!$A$3:$H$202,7,FALSE)="","",VLOOKUP($D917,VEHICULOS!$A$3:$H$202,7,FALSE)),"")))</f>
      </c>
      <c r="BF917" s="82">
        <f>IF($A917="","",IF(TRIM($BC917&amp;"")&lt;&gt;"",$BC917,IF(TRIM($D917&amp;"")="","",IFERROR(IF(VLOOKUP($D917,VEHICULOS!$A$3:$H$202,8,FALSE)="","",VLOOKUP($D917,VEHICULOS!$A$3:$H$202,8,FALSE)),""))))</f>
      </c>
      <c r="BG917" s="106"/>
      <c r="BH917" s="107"/>
      <c r="BI917" s="86">
        <f t="shared" si="210"/>
      </c>
      <c r="BJ917" s="83">
        <f t="shared" si="211"/>
      </c>
      <c r="BK917" s="85">
        <f t="shared" si="212"/>
      </c>
      <c r="BL917" s="85">
        <f t="shared" si="213"/>
      </c>
      <c r="BM917" s="108"/>
      <c r="BN917" s="85">
        <f t="shared" si="214"/>
      </c>
      <c r="BO917" s="108"/>
      <c r="BP917" s="85">
        <f t="shared" si="215"/>
      </c>
      <c r="BQ917" s="85">
        <f t="shared" si="216"/>
      </c>
      <c r="BR917" s="108"/>
      <c r="BS917" s="104"/>
      <c r="BT917" s="87">
        <f t="shared" si="217"/>
      </c>
      <c r="BU917" s="85">
        <f t="shared" si="218"/>
      </c>
      <c r="BV917" s="85">
        <f t="shared" si="219"/>
      </c>
      <c r="BW917" s="87">
        <f t="shared" si="220"/>
      </c>
      <c r="BX917" s="104"/>
      <c r="BY917" s="106"/>
      <c r="BZ917" s="104"/>
      <c r="CA917" s="105"/>
      <c r="CB917" s="77">
        <f>IF($A917="",0,IF($B917='FICHA CLIENTE'!$C$4,1,0))</f>
      </c>
      <c r="CC917" s="77">
        <f t="shared" si="221"/>
      </c>
      <c r="CD917" s="77">
        <f>IF($A917="",0,IF($D917='FICHA VEHICULO'!$C$4,1,0))</f>
      </c>
      <c r="CE917" s="77">
        <f t="shared" si="222"/>
      </c>
      <c r="CF917" s="77">
        <f t="shared" si="223"/>
      </c>
      <c r="CG917" s="77">
        <f t="shared" si="224"/>
      </c>
    </row>
    <row r="918" spans="1:85" ht="19.5" customHeight="1" x14ac:dyDescent="0.2">
      <c r="A918" s="104"/>
      <c r="B918" s="104"/>
      <c r="C918" s="105"/>
      <c r="D918" s="104"/>
      <c r="E918" s="105"/>
      <c r="F918" s="106"/>
      <c r="G918" s="104"/>
      <c r="H918" s="106"/>
      <c r="I918" s="107"/>
      <c r="J918" s="108"/>
      <c r="K918" s="108"/>
      <c r="L918" s="108"/>
      <c r="M918" s="105"/>
      <c r="N918" s="105"/>
      <c r="O918" s="105"/>
      <c r="P918" s="108"/>
      <c r="Q918" s="105"/>
      <c r="R918" s="105"/>
      <c r="S918" s="105"/>
      <c r="T918" s="105"/>
      <c r="U918" s="108"/>
      <c r="V918" s="105"/>
      <c r="W918" s="105"/>
      <c r="X918" s="105"/>
      <c r="Y918" s="105"/>
      <c r="Z918" s="105"/>
      <c r="AA918" s="108"/>
      <c r="AB918" s="108"/>
      <c r="AC918" s="105"/>
      <c r="AD918" s="279"/>
      <c r="AE918" s="105"/>
      <c r="AF918" s="279"/>
      <c r="AG918" s="105"/>
      <c r="AH918" s="108"/>
      <c r="AI918" s="108"/>
      <c r="AJ918" s="108"/>
      <c r="AK918" s="108"/>
      <c r="AL918" s="105"/>
      <c r="AM918" s="108"/>
      <c r="AN918" s="105"/>
      <c r="AO918" s="108"/>
      <c r="AP918" s="108"/>
      <c r="AQ918" s="105"/>
      <c r="AR918" s="108"/>
      <c r="AS918" s="108"/>
      <c r="AT918" s="105"/>
      <c r="AU918" s="105"/>
      <c r="AV918" s="105"/>
      <c r="AW918" s="105"/>
      <c r="AX918" s="105"/>
      <c r="AY918" s="105"/>
      <c r="AZ918" s="105"/>
      <c r="BA918" s="105"/>
      <c r="BB918" s="105"/>
      <c r="BC918" s="105"/>
      <c r="BD918" s="108"/>
      <c r="BE918" s="83">
        <f>IF($A918="","",IF(TRIM($D918&amp;"")="",IF(TRIM($AX918&amp;$AY918&amp;$AZ918&amp;$BA918&amp;$BB918&amp;$BC918&amp;$BD918&amp;"")="","","SUBARRENDADO"),IFERROR(IF(VLOOKUP($D918,VEHICULOS!$A$3:$H$202,7,FALSE)="","",VLOOKUP($D918,VEHICULOS!$A$3:$H$202,7,FALSE)),"")))</f>
      </c>
      <c r="BF918" s="82">
        <f>IF($A918="","",IF(TRIM($BC918&amp;"")&lt;&gt;"",$BC918,IF(TRIM($D918&amp;"")="","",IFERROR(IF(VLOOKUP($D918,VEHICULOS!$A$3:$H$202,8,FALSE)="","",VLOOKUP($D918,VEHICULOS!$A$3:$H$202,8,FALSE)),""))))</f>
      </c>
      <c r="BG918" s="106"/>
      <c r="BH918" s="107"/>
      <c r="BI918" s="86">
        <f t="shared" si="210"/>
      </c>
      <c r="BJ918" s="83">
        <f t="shared" si="211"/>
      </c>
      <c r="BK918" s="85">
        <f t="shared" si="212"/>
      </c>
      <c r="BL918" s="85">
        <f t="shared" si="213"/>
      </c>
      <c r="BM918" s="108"/>
      <c r="BN918" s="85">
        <f t="shared" si="214"/>
      </c>
      <c r="BO918" s="108"/>
      <c r="BP918" s="85">
        <f t="shared" si="215"/>
      </c>
      <c r="BQ918" s="85">
        <f t="shared" si="216"/>
      </c>
      <c r="BR918" s="108"/>
      <c r="BS918" s="104"/>
      <c r="BT918" s="87">
        <f t="shared" si="217"/>
      </c>
      <c r="BU918" s="85">
        <f t="shared" si="218"/>
      </c>
      <c r="BV918" s="85">
        <f t="shared" si="219"/>
      </c>
      <c r="BW918" s="87">
        <f t="shared" si="220"/>
      </c>
      <c r="BX918" s="104"/>
      <c r="BY918" s="106"/>
      <c r="BZ918" s="104"/>
      <c r="CA918" s="105"/>
      <c r="CB918" s="77">
        <f>IF($A918="",0,IF($B918='FICHA CLIENTE'!$C$4,1,0))</f>
      </c>
      <c r="CC918" s="77">
        <f t="shared" si="221"/>
      </c>
      <c r="CD918" s="77">
        <f>IF($A918="",0,IF($D918='FICHA VEHICULO'!$C$4,1,0))</f>
      </c>
      <c r="CE918" s="77">
        <f t="shared" si="222"/>
      </c>
      <c r="CF918" s="77">
        <f t="shared" si="223"/>
      </c>
      <c r="CG918" s="77">
        <f t="shared" si="224"/>
      </c>
    </row>
    <row r="919" spans="1:85" ht="19.5" customHeight="1" x14ac:dyDescent="0.2">
      <c r="A919" s="104"/>
      <c r="B919" s="104"/>
      <c r="C919" s="105"/>
      <c r="D919" s="104"/>
      <c r="E919" s="105"/>
      <c r="F919" s="106"/>
      <c r="G919" s="104"/>
      <c r="H919" s="106"/>
      <c r="I919" s="107"/>
      <c r="J919" s="108"/>
      <c r="K919" s="108"/>
      <c r="L919" s="108"/>
      <c r="M919" s="105"/>
      <c r="N919" s="105"/>
      <c r="O919" s="105"/>
      <c r="P919" s="108"/>
      <c r="Q919" s="105"/>
      <c r="R919" s="105"/>
      <c r="S919" s="105"/>
      <c r="T919" s="105"/>
      <c r="U919" s="108"/>
      <c r="V919" s="105"/>
      <c r="W919" s="105"/>
      <c r="X919" s="105"/>
      <c r="Y919" s="105"/>
      <c r="Z919" s="105"/>
      <c r="AA919" s="108"/>
      <c r="AB919" s="108"/>
      <c r="AC919" s="105"/>
      <c r="AD919" s="279"/>
      <c r="AE919" s="105"/>
      <c r="AF919" s="279"/>
      <c r="AG919" s="105"/>
      <c r="AH919" s="108"/>
      <c r="AI919" s="108"/>
      <c r="AJ919" s="108"/>
      <c r="AK919" s="108"/>
      <c r="AL919" s="105"/>
      <c r="AM919" s="108"/>
      <c r="AN919" s="105"/>
      <c r="AO919" s="108"/>
      <c r="AP919" s="108"/>
      <c r="AQ919" s="105"/>
      <c r="AR919" s="108"/>
      <c r="AS919" s="108"/>
      <c r="AT919" s="105"/>
      <c r="AU919" s="105"/>
      <c r="AV919" s="105"/>
      <c r="AW919" s="105"/>
      <c r="AX919" s="105"/>
      <c r="AY919" s="105"/>
      <c r="AZ919" s="105"/>
      <c r="BA919" s="105"/>
      <c r="BB919" s="105"/>
      <c r="BC919" s="105"/>
      <c r="BD919" s="108"/>
      <c r="BE919" s="83">
        <f>IF($A919="","",IF(TRIM($D919&amp;"")="",IF(TRIM($AX919&amp;$AY919&amp;$AZ919&amp;$BA919&amp;$BB919&amp;$BC919&amp;$BD919&amp;"")="","","SUBARRENDADO"),IFERROR(IF(VLOOKUP($D919,VEHICULOS!$A$3:$H$202,7,FALSE)="","",VLOOKUP($D919,VEHICULOS!$A$3:$H$202,7,FALSE)),"")))</f>
      </c>
      <c r="BF919" s="82">
        <f>IF($A919="","",IF(TRIM($BC919&amp;"")&lt;&gt;"",$BC919,IF(TRIM($D919&amp;"")="","",IFERROR(IF(VLOOKUP($D919,VEHICULOS!$A$3:$H$202,8,FALSE)="","",VLOOKUP($D919,VEHICULOS!$A$3:$H$202,8,FALSE)),""))))</f>
      </c>
      <c r="BG919" s="106"/>
      <c r="BH919" s="107"/>
      <c r="BI919" s="86">
        <f t="shared" si="210"/>
      </c>
      <c r="BJ919" s="83">
        <f t="shared" si="211"/>
      </c>
      <c r="BK919" s="85">
        <f t="shared" si="212"/>
      </c>
      <c r="BL919" s="85">
        <f t="shared" si="213"/>
      </c>
      <c r="BM919" s="108"/>
      <c r="BN919" s="85">
        <f t="shared" si="214"/>
      </c>
      <c r="BO919" s="108"/>
      <c r="BP919" s="85">
        <f t="shared" si="215"/>
      </c>
      <c r="BQ919" s="85">
        <f t="shared" si="216"/>
      </c>
      <c r="BR919" s="108"/>
      <c r="BS919" s="104"/>
      <c r="BT919" s="87">
        <f t="shared" si="217"/>
      </c>
      <c r="BU919" s="85">
        <f t="shared" si="218"/>
      </c>
      <c r="BV919" s="85">
        <f t="shared" si="219"/>
      </c>
      <c r="BW919" s="87">
        <f t="shared" si="220"/>
      </c>
      <c r="BX919" s="104"/>
      <c r="BY919" s="106"/>
      <c r="BZ919" s="104"/>
      <c r="CA919" s="105"/>
      <c r="CB919" s="77">
        <f>IF($A919="",0,IF($B919='FICHA CLIENTE'!$C$4,1,0))</f>
      </c>
      <c r="CC919" s="77">
        <f t="shared" si="221"/>
      </c>
      <c r="CD919" s="77">
        <f>IF($A919="",0,IF($D919='FICHA VEHICULO'!$C$4,1,0))</f>
      </c>
      <c r="CE919" s="77">
        <f t="shared" si="222"/>
      </c>
      <c r="CF919" s="77">
        <f t="shared" si="223"/>
      </c>
      <c r="CG919" s="77">
        <f t="shared" si="224"/>
      </c>
    </row>
    <row r="920" spans="1:85" ht="19.5" customHeight="1" x14ac:dyDescent="0.2">
      <c r="A920" s="104"/>
      <c r="B920" s="104"/>
      <c r="C920" s="105"/>
      <c r="D920" s="104"/>
      <c r="E920" s="105"/>
      <c r="F920" s="106"/>
      <c r="G920" s="104"/>
      <c r="H920" s="106"/>
      <c r="I920" s="107"/>
      <c r="J920" s="108"/>
      <c r="K920" s="108"/>
      <c r="L920" s="108"/>
      <c r="M920" s="105"/>
      <c r="N920" s="105"/>
      <c r="O920" s="105"/>
      <c r="P920" s="108"/>
      <c r="Q920" s="105"/>
      <c r="R920" s="105"/>
      <c r="S920" s="105"/>
      <c r="T920" s="105"/>
      <c r="U920" s="108"/>
      <c r="V920" s="105"/>
      <c r="W920" s="105"/>
      <c r="X920" s="105"/>
      <c r="Y920" s="105"/>
      <c r="Z920" s="105"/>
      <c r="AA920" s="108"/>
      <c r="AB920" s="108"/>
      <c r="AC920" s="105"/>
      <c r="AD920" s="279"/>
      <c r="AE920" s="105"/>
      <c r="AF920" s="279"/>
      <c r="AG920" s="105"/>
      <c r="AH920" s="108"/>
      <c r="AI920" s="108"/>
      <c r="AJ920" s="108"/>
      <c r="AK920" s="108"/>
      <c r="AL920" s="105"/>
      <c r="AM920" s="108"/>
      <c r="AN920" s="105"/>
      <c r="AO920" s="108"/>
      <c r="AP920" s="108"/>
      <c r="AQ920" s="105"/>
      <c r="AR920" s="108"/>
      <c r="AS920" s="108"/>
      <c r="AT920" s="105"/>
      <c r="AU920" s="105"/>
      <c r="AV920" s="105"/>
      <c r="AW920" s="105"/>
      <c r="AX920" s="105"/>
      <c r="AY920" s="105"/>
      <c r="AZ920" s="105"/>
      <c r="BA920" s="105"/>
      <c r="BB920" s="105"/>
      <c r="BC920" s="105"/>
      <c r="BD920" s="108"/>
      <c r="BE920" s="83">
        <f>IF($A920="","",IF(TRIM($D920&amp;"")="",IF(TRIM($AX920&amp;$AY920&amp;$AZ920&amp;$BA920&amp;$BB920&amp;$BC920&amp;$BD920&amp;"")="","","SUBARRENDADO"),IFERROR(IF(VLOOKUP($D920,VEHICULOS!$A$3:$H$202,7,FALSE)="","",VLOOKUP($D920,VEHICULOS!$A$3:$H$202,7,FALSE)),"")))</f>
      </c>
      <c r="BF920" s="82">
        <f>IF($A920="","",IF(TRIM($BC920&amp;"")&lt;&gt;"",$BC920,IF(TRIM($D920&amp;"")="","",IFERROR(IF(VLOOKUP($D920,VEHICULOS!$A$3:$H$202,8,FALSE)="","",VLOOKUP($D920,VEHICULOS!$A$3:$H$202,8,FALSE)),""))))</f>
      </c>
      <c r="BG920" s="106"/>
      <c r="BH920" s="107"/>
      <c r="BI920" s="86">
        <f t="shared" si="210"/>
      </c>
      <c r="BJ920" s="83">
        <f t="shared" si="211"/>
      </c>
      <c r="BK920" s="85">
        <f t="shared" si="212"/>
      </c>
      <c r="BL920" s="85">
        <f t="shared" si="213"/>
      </c>
      <c r="BM920" s="108"/>
      <c r="BN920" s="85">
        <f t="shared" si="214"/>
      </c>
      <c r="BO920" s="108"/>
      <c r="BP920" s="85">
        <f t="shared" si="215"/>
      </c>
      <c r="BQ920" s="85">
        <f t="shared" si="216"/>
      </c>
      <c r="BR920" s="108"/>
      <c r="BS920" s="104"/>
      <c r="BT920" s="87">
        <f t="shared" si="217"/>
      </c>
      <c r="BU920" s="85">
        <f t="shared" si="218"/>
      </c>
      <c r="BV920" s="85">
        <f t="shared" si="219"/>
      </c>
      <c r="BW920" s="87">
        <f t="shared" si="220"/>
      </c>
      <c r="BX920" s="104"/>
      <c r="BY920" s="106"/>
      <c r="BZ920" s="104"/>
      <c r="CA920" s="105"/>
      <c r="CB920" s="77">
        <f>IF($A920="",0,IF($B920='FICHA CLIENTE'!$C$4,1,0))</f>
      </c>
      <c r="CC920" s="77">
        <f t="shared" si="221"/>
      </c>
      <c r="CD920" s="77">
        <f>IF($A920="",0,IF($D920='FICHA VEHICULO'!$C$4,1,0))</f>
      </c>
      <c r="CE920" s="77">
        <f t="shared" si="222"/>
      </c>
      <c r="CF920" s="77">
        <f t="shared" si="223"/>
      </c>
      <c r="CG920" s="77">
        <f t="shared" si="224"/>
      </c>
    </row>
    <row r="921" spans="1:85" ht="19.5" customHeight="1" x14ac:dyDescent="0.2">
      <c r="A921" s="104"/>
      <c r="B921" s="104"/>
      <c r="C921" s="105"/>
      <c r="D921" s="104"/>
      <c r="E921" s="105"/>
      <c r="F921" s="106"/>
      <c r="G921" s="104"/>
      <c r="H921" s="106"/>
      <c r="I921" s="107"/>
      <c r="J921" s="108"/>
      <c r="K921" s="108"/>
      <c r="L921" s="108"/>
      <c r="M921" s="105"/>
      <c r="N921" s="105"/>
      <c r="O921" s="105"/>
      <c r="P921" s="108"/>
      <c r="Q921" s="105"/>
      <c r="R921" s="105"/>
      <c r="S921" s="105"/>
      <c r="T921" s="105"/>
      <c r="U921" s="108"/>
      <c r="V921" s="105"/>
      <c r="W921" s="105"/>
      <c r="X921" s="105"/>
      <c r="Y921" s="105"/>
      <c r="Z921" s="105"/>
      <c r="AA921" s="108"/>
      <c r="AB921" s="108"/>
      <c r="AC921" s="105"/>
      <c r="AD921" s="279"/>
      <c r="AE921" s="105"/>
      <c r="AF921" s="279"/>
      <c r="AG921" s="105"/>
      <c r="AH921" s="108"/>
      <c r="AI921" s="108"/>
      <c r="AJ921" s="108"/>
      <c r="AK921" s="108"/>
      <c r="AL921" s="105"/>
      <c r="AM921" s="108"/>
      <c r="AN921" s="105"/>
      <c r="AO921" s="108"/>
      <c r="AP921" s="108"/>
      <c r="AQ921" s="105"/>
      <c r="AR921" s="108"/>
      <c r="AS921" s="108"/>
      <c r="AT921" s="105"/>
      <c r="AU921" s="105"/>
      <c r="AV921" s="105"/>
      <c r="AW921" s="105"/>
      <c r="AX921" s="105"/>
      <c r="AY921" s="105"/>
      <c r="AZ921" s="105"/>
      <c r="BA921" s="105"/>
      <c r="BB921" s="105"/>
      <c r="BC921" s="105"/>
      <c r="BD921" s="108"/>
      <c r="BE921" s="83">
        <f>IF($A921="","",IF(TRIM($D921&amp;"")="",IF(TRIM($AX921&amp;$AY921&amp;$AZ921&amp;$BA921&amp;$BB921&amp;$BC921&amp;$BD921&amp;"")="","","SUBARRENDADO"),IFERROR(IF(VLOOKUP($D921,VEHICULOS!$A$3:$H$202,7,FALSE)="","",VLOOKUP($D921,VEHICULOS!$A$3:$H$202,7,FALSE)),"")))</f>
      </c>
      <c r="BF921" s="82">
        <f>IF($A921="","",IF(TRIM($BC921&amp;"")&lt;&gt;"",$BC921,IF(TRIM($D921&amp;"")="","",IFERROR(IF(VLOOKUP($D921,VEHICULOS!$A$3:$H$202,8,FALSE)="","",VLOOKUP($D921,VEHICULOS!$A$3:$H$202,8,FALSE)),""))))</f>
      </c>
      <c r="BG921" s="106"/>
      <c r="BH921" s="107"/>
      <c r="BI921" s="86">
        <f t="shared" si="210"/>
      </c>
      <c r="BJ921" s="83">
        <f t="shared" si="211"/>
      </c>
      <c r="BK921" s="85">
        <f t="shared" si="212"/>
      </c>
      <c r="BL921" s="85">
        <f t="shared" si="213"/>
      </c>
      <c r="BM921" s="108"/>
      <c r="BN921" s="85">
        <f t="shared" si="214"/>
      </c>
      <c r="BO921" s="108"/>
      <c r="BP921" s="85">
        <f t="shared" si="215"/>
      </c>
      <c r="BQ921" s="85">
        <f t="shared" si="216"/>
      </c>
      <c r="BR921" s="108"/>
      <c r="BS921" s="104"/>
      <c r="BT921" s="87">
        <f t="shared" si="217"/>
      </c>
      <c r="BU921" s="85">
        <f t="shared" si="218"/>
      </c>
      <c r="BV921" s="85">
        <f t="shared" si="219"/>
      </c>
      <c r="BW921" s="87">
        <f t="shared" si="220"/>
      </c>
      <c r="BX921" s="104"/>
      <c r="BY921" s="106"/>
      <c r="BZ921" s="104"/>
      <c r="CA921" s="105"/>
      <c r="CB921" s="77">
        <f>IF($A921="",0,IF($B921='FICHA CLIENTE'!$C$4,1,0))</f>
      </c>
      <c r="CC921" s="77">
        <f t="shared" si="221"/>
      </c>
      <c r="CD921" s="77">
        <f>IF($A921="",0,IF($D921='FICHA VEHICULO'!$C$4,1,0))</f>
      </c>
      <c r="CE921" s="77">
        <f t="shared" si="222"/>
      </c>
      <c r="CF921" s="77">
        <f t="shared" si="223"/>
      </c>
      <c r="CG921" s="77">
        <f t="shared" si="224"/>
      </c>
    </row>
    <row r="922" spans="1:85" ht="19.5" customHeight="1" x14ac:dyDescent="0.2">
      <c r="A922" s="104"/>
      <c r="B922" s="104"/>
      <c r="C922" s="105"/>
      <c r="D922" s="104"/>
      <c r="E922" s="105"/>
      <c r="F922" s="106"/>
      <c r="G922" s="104"/>
      <c r="H922" s="106"/>
      <c r="I922" s="107"/>
      <c r="J922" s="108"/>
      <c r="K922" s="108"/>
      <c r="L922" s="108"/>
      <c r="M922" s="105"/>
      <c r="N922" s="105"/>
      <c r="O922" s="105"/>
      <c r="P922" s="108"/>
      <c r="Q922" s="105"/>
      <c r="R922" s="105"/>
      <c r="S922" s="105"/>
      <c r="T922" s="105"/>
      <c r="U922" s="108"/>
      <c r="V922" s="105"/>
      <c r="W922" s="105"/>
      <c r="X922" s="105"/>
      <c r="Y922" s="105"/>
      <c r="Z922" s="105"/>
      <c r="AA922" s="108"/>
      <c r="AB922" s="108"/>
      <c r="AC922" s="105"/>
      <c r="AD922" s="279"/>
      <c r="AE922" s="105"/>
      <c r="AF922" s="279"/>
      <c r="AG922" s="105"/>
      <c r="AH922" s="108"/>
      <c r="AI922" s="108"/>
      <c r="AJ922" s="108"/>
      <c r="AK922" s="108"/>
      <c r="AL922" s="105"/>
      <c r="AM922" s="108"/>
      <c r="AN922" s="105"/>
      <c r="AO922" s="108"/>
      <c r="AP922" s="108"/>
      <c r="AQ922" s="105"/>
      <c r="AR922" s="108"/>
      <c r="AS922" s="108"/>
      <c r="AT922" s="105"/>
      <c r="AU922" s="105"/>
      <c r="AV922" s="105"/>
      <c r="AW922" s="105"/>
      <c r="AX922" s="105"/>
      <c r="AY922" s="105"/>
      <c r="AZ922" s="105"/>
      <c r="BA922" s="105"/>
      <c r="BB922" s="105"/>
      <c r="BC922" s="105"/>
      <c r="BD922" s="108"/>
      <c r="BE922" s="83">
        <f>IF($A922="","",IF(TRIM($D922&amp;"")="",IF(TRIM($AX922&amp;$AY922&amp;$AZ922&amp;$BA922&amp;$BB922&amp;$BC922&amp;$BD922&amp;"")="","","SUBARRENDADO"),IFERROR(IF(VLOOKUP($D922,VEHICULOS!$A$3:$H$202,7,FALSE)="","",VLOOKUP($D922,VEHICULOS!$A$3:$H$202,7,FALSE)),"")))</f>
      </c>
      <c r="BF922" s="82">
        <f>IF($A922="","",IF(TRIM($BC922&amp;"")&lt;&gt;"",$BC922,IF(TRIM($D922&amp;"")="","",IFERROR(IF(VLOOKUP($D922,VEHICULOS!$A$3:$H$202,8,FALSE)="","",VLOOKUP($D922,VEHICULOS!$A$3:$H$202,8,FALSE)),""))))</f>
      </c>
      <c r="BG922" s="106"/>
      <c r="BH922" s="107"/>
      <c r="BI922" s="86">
        <f t="shared" si="210"/>
      </c>
      <c r="BJ922" s="83">
        <f t="shared" si="211"/>
      </c>
      <c r="BK922" s="85">
        <f t="shared" si="212"/>
      </c>
      <c r="BL922" s="85">
        <f t="shared" si="213"/>
      </c>
      <c r="BM922" s="108"/>
      <c r="BN922" s="85">
        <f t="shared" si="214"/>
      </c>
      <c r="BO922" s="108"/>
      <c r="BP922" s="85">
        <f t="shared" si="215"/>
      </c>
      <c r="BQ922" s="85">
        <f t="shared" si="216"/>
      </c>
      <c r="BR922" s="108"/>
      <c r="BS922" s="104"/>
      <c r="BT922" s="87">
        <f t="shared" si="217"/>
      </c>
      <c r="BU922" s="85">
        <f t="shared" si="218"/>
      </c>
      <c r="BV922" s="85">
        <f t="shared" si="219"/>
      </c>
      <c r="BW922" s="87">
        <f t="shared" si="220"/>
      </c>
      <c r="BX922" s="104"/>
      <c r="BY922" s="106"/>
      <c r="BZ922" s="104"/>
      <c r="CA922" s="105"/>
      <c r="CB922" s="77">
        <f>IF($A922="",0,IF($B922='FICHA CLIENTE'!$C$4,1,0))</f>
      </c>
      <c r="CC922" s="77">
        <f t="shared" si="221"/>
      </c>
      <c r="CD922" s="77">
        <f>IF($A922="",0,IF($D922='FICHA VEHICULO'!$C$4,1,0))</f>
      </c>
      <c r="CE922" s="77">
        <f t="shared" si="222"/>
      </c>
      <c r="CF922" s="77">
        <f t="shared" si="223"/>
      </c>
      <c r="CG922" s="77">
        <f t="shared" si="224"/>
      </c>
    </row>
    <row r="923" spans="1:85" ht="19.5" customHeight="1" x14ac:dyDescent="0.2">
      <c r="A923" s="104"/>
      <c r="B923" s="104"/>
      <c r="C923" s="105"/>
      <c r="D923" s="104"/>
      <c r="E923" s="105"/>
      <c r="F923" s="106"/>
      <c r="G923" s="104"/>
      <c r="H923" s="106"/>
      <c r="I923" s="107"/>
      <c r="J923" s="108"/>
      <c r="K923" s="108"/>
      <c r="L923" s="108"/>
      <c r="M923" s="105"/>
      <c r="N923" s="105"/>
      <c r="O923" s="105"/>
      <c r="P923" s="108"/>
      <c r="Q923" s="105"/>
      <c r="R923" s="105"/>
      <c r="S923" s="105"/>
      <c r="T923" s="105"/>
      <c r="U923" s="108"/>
      <c r="V923" s="105"/>
      <c r="W923" s="105"/>
      <c r="X923" s="105"/>
      <c r="Y923" s="105"/>
      <c r="Z923" s="105"/>
      <c r="AA923" s="108"/>
      <c r="AB923" s="108"/>
      <c r="AC923" s="105"/>
      <c r="AD923" s="279"/>
      <c r="AE923" s="105"/>
      <c r="AF923" s="279"/>
      <c r="AG923" s="105"/>
      <c r="AH923" s="108"/>
      <c r="AI923" s="108"/>
      <c r="AJ923" s="108"/>
      <c r="AK923" s="108"/>
      <c r="AL923" s="105"/>
      <c r="AM923" s="108"/>
      <c r="AN923" s="105"/>
      <c r="AO923" s="108"/>
      <c r="AP923" s="108"/>
      <c r="AQ923" s="105"/>
      <c r="AR923" s="108"/>
      <c r="AS923" s="108"/>
      <c r="AT923" s="105"/>
      <c r="AU923" s="105"/>
      <c r="AV923" s="105"/>
      <c r="AW923" s="105"/>
      <c r="AX923" s="105"/>
      <c r="AY923" s="105"/>
      <c r="AZ923" s="105"/>
      <c r="BA923" s="105"/>
      <c r="BB923" s="105"/>
      <c r="BC923" s="105"/>
      <c r="BD923" s="108"/>
      <c r="BE923" s="83">
        <f>IF($A923="","",IF(TRIM($D923&amp;"")="",IF(TRIM($AX923&amp;$AY923&amp;$AZ923&amp;$BA923&amp;$BB923&amp;$BC923&amp;$BD923&amp;"")="","","SUBARRENDADO"),IFERROR(IF(VLOOKUP($D923,VEHICULOS!$A$3:$H$202,7,FALSE)="","",VLOOKUP($D923,VEHICULOS!$A$3:$H$202,7,FALSE)),"")))</f>
      </c>
      <c r="BF923" s="82">
        <f>IF($A923="","",IF(TRIM($BC923&amp;"")&lt;&gt;"",$BC923,IF(TRIM($D923&amp;"")="","",IFERROR(IF(VLOOKUP($D923,VEHICULOS!$A$3:$H$202,8,FALSE)="","",VLOOKUP($D923,VEHICULOS!$A$3:$H$202,8,FALSE)),""))))</f>
      </c>
      <c r="BG923" s="106"/>
      <c r="BH923" s="107"/>
      <c r="BI923" s="86">
        <f t="shared" si="210"/>
      </c>
      <c r="BJ923" s="83">
        <f t="shared" si="211"/>
      </c>
      <c r="BK923" s="85">
        <f t="shared" si="212"/>
      </c>
      <c r="BL923" s="85">
        <f t="shared" si="213"/>
      </c>
      <c r="BM923" s="108"/>
      <c r="BN923" s="85">
        <f t="shared" si="214"/>
      </c>
      <c r="BO923" s="108"/>
      <c r="BP923" s="85">
        <f t="shared" si="215"/>
      </c>
      <c r="BQ923" s="85">
        <f t="shared" si="216"/>
      </c>
      <c r="BR923" s="108"/>
      <c r="BS923" s="104"/>
      <c r="BT923" s="87">
        <f t="shared" si="217"/>
      </c>
      <c r="BU923" s="85">
        <f t="shared" si="218"/>
      </c>
      <c r="BV923" s="85">
        <f t="shared" si="219"/>
      </c>
      <c r="BW923" s="87">
        <f t="shared" si="220"/>
      </c>
      <c r="BX923" s="104"/>
      <c r="BY923" s="106"/>
      <c r="BZ923" s="104"/>
      <c r="CA923" s="105"/>
      <c r="CB923" s="77">
        <f>IF($A923="",0,IF($B923='FICHA CLIENTE'!$C$4,1,0))</f>
      </c>
      <c r="CC923" s="77">
        <f t="shared" si="221"/>
      </c>
      <c r="CD923" s="77">
        <f>IF($A923="",0,IF($D923='FICHA VEHICULO'!$C$4,1,0))</f>
      </c>
      <c r="CE923" s="77">
        <f t="shared" si="222"/>
      </c>
      <c r="CF923" s="77">
        <f t="shared" si="223"/>
      </c>
      <c r="CG923" s="77">
        <f t="shared" si="224"/>
      </c>
    </row>
    <row r="924" spans="1:85" ht="19.5" customHeight="1" x14ac:dyDescent="0.2">
      <c r="A924" s="104"/>
      <c r="B924" s="104"/>
      <c r="C924" s="105"/>
      <c r="D924" s="104"/>
      <c r="E924" s="105"/>
      <c r="F924" s="106"/>
      <c r="G924" s="104"/>
      <c r="H924" s="106"/>
      <c r="I924" s="107"/>
      <c r="J924" s="108"/>
      <c r="K924" s="108"/>
      <c r="L924" s="108"/>
      <c r="M924" s="105"/>
      <c r="N924" s="105"/>
      <c r="O924" s="105"/>
      <c r="P924" s="108"/>
      <c r="Q924" s="105"/>
      <c r="R924" s="105"/>
      <c r="S924" s="105"/>
      <c r="T924" s="105"/>
      <c r="U924" s="108"/>
      <c r="V924" s="105"/>
      <c r="W924" s="105"/>
      <c r="X924" s="105"/>
      <c r="Y924" s="105"/>
      <c r="Z924" s="105"/>
      <c r="AA924" s="108"/>
      <c r="AB924" s="108"/>
      <c r="AC924" s="105"/>
      <c r="AD924" s="279"/>
      <c r="AE924" s="105"/>
      <c r="AF924" s="279"/>
      <c r="AG924" s="105"/>
      <c r="AH924" s="108"/>
      <c r="AI924" s="108"/>
      <c r="AJ924" s="108"/>
      <c r="AK924" s="108"/>
      <c r="AL924" s="105"/>
      <c r="AM924" s="108"/>
      <c r="AN924" s="105"/>
      <c r="AO924" s="108"/>
      <c r="AP924" s="108"/>
      <c r="AQ924" s="105"/>
      <c r="AR924" s="108"/>
      <c r="AS924" s="108"/>
      <c r="AT924" s="105"/>
      <c r="AU924" s="105"/>
      <c r="AV924" s="105"/>
      <c r="AW924" s="105"/>
      <c r="AX924" s="105"/>
      <c r="AY924" s="105"/>
      <c r="AZ924" s="105"/>
      <c r="BA924" s="105"/>
      <c r="BB924" s="105"/>
      <c r="BC924" s="105"/>
      <c r="BD924" s="108"/>
      <c r="BE924" s="83">
        <f>IF($A924="","",IF(TRIM($D924&amp;"")="",IF(TRIM($AX924&amp;$AY924&amp;$AZ924&amp;$BA924&amp;$BB924&amp;$BC924&amp;$BD924&amp;"")="","","SUBARRENDADO"),IFERROR(IF(VLOOKUP($D924,VEHICULOS!$A$3:$H$202,7,FALSE)="","",VLOOKUP($D924,VEHICULOS!$A$3:$H$202,7,FALSE)),"")))</f>
      </c>
      <c r="BF924" s="82">
        <f>IF($A924="","",IF(TRIM($BC924&amp;"")&lt;&gt;"",$BC924,IF(TRIM($D924&amp;"")="","",IFERROR(IF(VLOOKUP($D924,VEHICULOS!$A$3:$H$202,8,FALSE)="","",VLOOKUP($D924,VEHICULOS!$A$3:$H$202,8,FALSE)),""))))</f>
      </c>
      <c r="BG924" s="106"/>
      <c r="BH924" s="107"/>
      <c r="BI924" s="86">
        <f t="shared" si="210"/>
      </c>
      <c r="BJ924" s="83">
        <f t="shared" si="211"/>
      </c>
      <c r="BK924" s="85">
        <f t="shared" si="212"/>
      </c>
      <c r="BL924" s="85">
        <f t="shared" si="213"/>
      </c>
      <c r="BM924" s="108"/>
      <c r="BN924" s="85">
        <f t="shared" si="214"/>
      </c>
      <c r="BO924" s="108"/>
      <c r="BP924" s="85">
        <f t="shared" si="215"/>
      </c>
      <c r="BQ924" s="85">
        <f t="shared" si="216"/>
      </c>
      <c r="BR924" s="108"/>
      <c r="BS924" s="104"/>
      <c r="BT924" s="87">
        <f t="shared" si="217"/>
      </c>
      <c r="BU924" s="85">
        <f t="shared" si="218"/>
      </c>
      <c r="BV924" s="85">
        <f t="shared" si="219"/>
      </c>
      <c r="BW924" s="87">
        <f t="shared" si="220"/>
      </c>
      <c r="BX924" s="104"/>
      <c r="BY924" s="106"/>
      <c r="BZ924" s="104"/>
      <c r="CA924" s="105"/>
      <c r="CB924" s="77">
        <f>IF($A924="",0,IF($B924='FICHA CLIENTE'!$C$4,1,0))</f>
      </c>
      <c r="CC924" s="77">
        <f t="shared" si="221"/>
      </c>
      <c r="CD924" s="77">
        <f>IF($A924="",0,IF($D924='FICHA VEHICULO'!$C$4,1,0))</f>
      </c>
      <c r="CE924" s="77">
        <f t="shared" si="222"/>
      </c>
      <c r="CF924" s="77">
        <f t="shared" si="223"/>
      </c>
      <c r="CG924" s="77">
        <f t="shared" si="224"/>
      </c>
    </row>
    <row r="925" spans="1:85" ht="19.5" customHeight="1" x14ac:dyDescent="0.2">
      <c r="A925" s="104"/>
      <c r="B925" s="104"/>
      <c r="C925" s="105"/>
      <c r="D925" s="104"/>
      <c r="E925" s="105"/>
      <c r="F925" s="106"/>
      <c r="G925" s="104"/>
      <c r="H925" s="106"/>
      <c r="I925" s="107"/>
      <c r="J925" s="108"/>
      <c r="K925" s="108"/>
      <c r="L925" s="108"/>
      <c r="M925" s="105"/>
      <c r="N925" s="105"/>
      <c r="O925" s="105"/>
      <c r="P925" s="108"/>
      <c r="Q925" s="105"/>
      <c r="R925" s="105"/>
      <c r="S925" s="105"/>
      <c r="T925" s="105"/>
      <c r="U925" s="108"/>
      <c r="V925" s="105"/>
      <c r="W925" s="105"/>
      <c r="X925" s="105"/>
      <c r="Y925" s="105"/>
      <c r="Z925" s="105"/>
      <c r="AA925" s="108"/>
      <c r="AB925" s="108"/>
      <c r="AC925" s="105"/>
      <c r="AD925" s="279"/>
      <c r="AE925" s="105"/>
      <c r="AF925" s="279"/>
      <c r="AG925" s="105"/>
      <c r="AH925" s="108"/>
      <c r="AI925" s="108"/>
      <c r="AJ925" s="108"/>
      <c r="AK925" s="108"/>
      <c r="AL925" s="105"/>
      <c r="AM925" s="108"/>
      <c r="AN925" s="105"/>
      <c r="AO925" s="108"/>
      <c r="AP925" s="108"/>
      <c r="AQ925" s="105"/>
      <c r="AR925" s="108"/>
      <c r="AS925" s="108"/>
      <c r="AT925" s="105"/>
      <c r="AU925" s="105"/>
      <c r="AV925" s="105"/>
      <c r="AW925" s="105"/>
      <c r="AX925" s="105"/>
      <c r="AY925" s="105"/>
      <c r="AZ925" s="105"/>
      <c r="BA925" s="105"/>
      <c r="BB925" s="105"/>
      <c r="BC925" s="105"/>
      <c r="BD925" s="108"/>
      <c r="BE925" s="83">
        <f>IF($A925="","",IF(TRIM($D925&amp;"")="",IF(TRIM($AX925&amp;$AY925&amp;$AZ925&amp;$BA925&amp;$BB925&amp;$BC925&amp;$BD925&amp;"")="","","SUBARRENDADO"),IFERROR(IF(VLOOKUP($D925,VEHICULOS!$A$3:$H$202,7,FALSE)="","",VLOOKUP($D925,VEHICULOS!$A$3:$H$202,7,FALSE)),"")))</f>
      </c>
      <c r="BF925" s="82">
        <f>IF($A925="","",IF(TRIM($BC925&amp;"")&lt;&gt;"",$BC925,IF(TRIM($D925&amp;"")="","",IFERROR(IF(VLOOKUP($D925,VEHICULOS!$A$3:$H$202,8,FALSE)="","",VLOOKUP($D925,VEHICULOS!$A$3:$H$202,8,FALSE)),""))))</f>
      </c>
      <c r="BG925" s="106"/>
      <c r="BH925" s="107"/>
      <c r="BI925" s="86">
        <f t="shared" si="210"/>
      </c>
      <c r="BJ925" s="83">
        <f t="shared" si="211"/>
      </c>
      <c r="BK925" s="85">
        <f t="shared" si="212"/>
      </c>
      <c r="BL925" s="85">
        <f t="shared" si="213"/>
      </c>
      <c r="BM925" s="108"/>
      <c r="BN925" s="85">
        <f t="shared" si="214"/>
      </c>
      <c r="BO925" s="108"/>
      <c r="BP925" s="85">
        <f t="shared" si="215"/>
      </c>
      <c r="BQ925" s="85">
        <f t="shared" si="216"/>
      </c>
      <c r="BR925" s="108"/>
      <c r="BS925" s="104"/>
      <c r="BT925" s="87">
        <f t="shared" si="217"/>
      </c>
      <c r="BU925" s="85">
        <f t="shared" si="218"/>
      </c>
      <c r="BV925" s="85">
        <f t="shared" si="219"/>
      </c>
      <c r="BW925" s="87">
        <f t="shared" si="220"/>
      </c>
      <c r="BX925" s="104"/>
      <c r="BY925" s="106"/>
      <c r="BZ925" s="104"/>
      <c r="CA925" s="105"/>
      <c r="CB925" s="77">
        <f>IF($A925="",0,IF($B925='FICHA CLIENTE'!$C$4,1,0))</f>
      </c>
      <c r="CC925" s="77">
        <f t="shared" si="221"/>
      </c>
      <c r="CD925" s="77">
        <f>IF($A925="",0,IF($D925='FICHA VEHICULO'!$C$4,1,0))</f>
      </c>
      <c r="CE925" s="77">
        <f t="shared" si="222"/>
      </c>
      <c r="CF925" s="77">
        <f t="shared" si="223"/>
      </c>
      <c r="CG925" s="77">
        <f t="shared" si="224"/>
      </c>
    </row>
    <row r="926" spans="1:85" ht="19.5" customHeight="1" x14ac:dyDescent="0.2">
      <c r="A926" s="104"/>
      <c r="B926" s="104"/>
      <c r="C926" s="105"/>
      <c r="D926" s="104"/>
      <c r="E926" s="105"/>
      <c r="F926" s="106"/>
      <c r="G926" s="104"/>
      <c r="H926" s="106"/>
      <c r="I926" s="107"/>
      <c r="J926" s="108"/>
      <c r="K926" s="108"/>
      <c r="L926" s="108"/>
      <c r="M926" s="105"/>
      <c r="N926" s="105"/>
      <c r="O926" s="105"/>
      <c r="P926" s="108"/>
      <c r="Q926" s="105"/>
      <c r="R926" s="105"/>
      <c r="S926" s="105"/>
      <c r="T926" s="105"/>
      <c r="U926" s="108"/>
      <c r="V926" s="105"/>
      <c r="W926" s="105"/>
      <c r="X926" s="105"/>
      <c r="Y926" s="105"/>
      <c r="Z926" s="105"/>
      <c r="AA926" s="108"/>
      <c r="AB926" s="108"/>
      <c r="AC926" s="105"/>
      <c r="AD926" s="279"/>
      <c r="AE926" s="105"/>
      <c r="AF926" s="279"/>
      <c r="AG926" s="105"/>
      <c r="AH926" s="108"/>
      <c r="AI926" s="108"/>
      <c r="AJ926" s="108"/>
      <c r="AK926" s="108"/>
      <c r="AL926" s="105"/>
      <c r="AM926" s="108"/>
      <c r="AN926" s="105"/>
      <c r="AO926" s="108"/>
      <c r="AP926" s="108"/>
      <c r="AQ926" s="105"/>
      <c r="AR926" s="108"/>
      <c r="AS926" s="108"/>
      <c r="AT926" s="105"/>
      <c r="AU926" s="105"/>
      <c r="AV926" s="105"/>
      <c r="AW926" s="105"/>
      <c r="AX926" s="105"/>
      <c r="AY926" s="105"/>
      <c r="AZ926" s="105"/>
      <c r="BA926" s="105"/>
      <c r="BB926" s="105"/>
      <c r="BC926" s="105"/>
      <c r="BD926" s="108"/>
      <c r="BE926" s="83">
        <f>IF($A926="","",IF(TRIM($D926&amp;"")="",IF(TRIM($AX926&amp;$AY926&amp;$AZ926&amp;$BA926&amp;$BB926&amp;$BC926&amp;$BD926&amp;"")="","","SUBARRENDADO"),IFERROR(IF(VLOOKUP($D926,VEHICULOS!$A$3:$H$202,7,FALSE)="","",VLOOKUP($D926,VEHICULOS!$A$3:$H$202,7,FALSE)),"")))</f>
      </c>
      <c r="BF926" s="82">
        <f>IF($A926="","",IF(TRIM($BC926&amp;"")&lt;&gt;"",$BC926,IF(TRIM($D926&amp;"")="","",IFERROR(IF(VLOOKUP($D926,VEHICULOS!$A$3:$H$202,8,FALSE)="","",VLOOKUP($D926,VEHICULOS!$A$3:$H$202,8,FALSE)),""))))</f>
      </c>
      <c r="BG926" s="106"/>
      <c r="BH926" s="107"/>
      <c r="BI926" s="86">
        <f t="shared" si="210"/>
      </c>
      <c r="BJ926" s="83">
        <f t="shared" si="211"/>
      </c>
      <c r="BK926" s="85">
        <f t="shared" si="212"/>
      </c>
      <c r="BL926" s="85">
        <f t="shared" si="213"/>
      </c>
      <c r="BM926" s="108"/>
      <c r="BN926" s="85">
        <f t="shared" si="214"/>
      </c>
      <c r="BO926" s="108"/>
      <c r="BP926" s="85">
        <f t="shared" si="215"/>
      </c>
      <c r="BQ926" s="85">
        <f t="shared" si="216"/>
      </c>
      <c r="BR926" s="108"/>
      <c r="BS926" s="104"/>
      <c r="BT926" s="87">
        <f t="shared" si="217"/>
      </c>
      <c r="BU926" s="85">
        <f t="shared" si="218"/>
      </c>
      <c r="BV926" s="85">
        <f t="shared" si="219"/>
      </c>
      <c r="BW926" s="87">
        <f t="shared" si="220"/>
      </c>
      <c r="BX926" s="104"/>
      <c r="BY926" s="106"/>
      <c r="BZ926" s="104"/>
      <c r="CA926" s="105"/>
      <c r="CB926" s="77">
        <f>IF($A926="",0,IF($B926='FICHA CLIENTE'!$C$4,1,0))</f>
      </c>
      <c r="CC926" s="77">
        <f t="shared" si="221"/>
      </c>
      <c r="CD926" s="77">
        <f>IF($A926="",0,IF($D926='FICHA VEHICULO'!$C$4,1,0))</f>
      </c>
      <c r="CE926" s="77">
        <f t="shared" si="222"/>
      </c>
      <c r="CF926" s="77">
        <f t="shared" si="223"/>
      </c>
      <c r="CG926" s="77">
        <f t="shared" si="224"/>
      </c>
    </row>
    <row r="927" spans="1:85" ht="19.5" customHeight="1" x14ac:dyDescent="0.2">
      <c r="A927" s="104"/>
      <c r="B927" s="104"/>
      <c r="C927" s="105"/>
      <c r="D927" s="104"/>
      <c r="E927" s="105"/>
      <c r="F927" s="106"/>
      <c r="G927" s="104"/>
      <c r="H927" s="106"/>
      <c r="I927" s="107"/>
      <c r="J927" s="108"/>
      <c r="K927" s="108"/>
      <c r="L927" s="108"/>
      <c r="M927" s="105"/>
      <c r="N927" s="105"/>
      <c r="O927" s="105"/>
      <c r="P927" s="108"/>
      <c r="Q927" s="105"/>
      <c r="R927" s="105"/>
      <c r="S927" s="105"/>
      <c r="T927" s="105"/>
      <c r="U927" s="108"/>
      <c r="V927" s="105"/>
      <c r="W927" s="105"/>
      <c r="X927" s="105"/>
      <c r="Y927" s="105"/>
      <c r="Z927" s="105"/>
      <c r="AA927" s="108"/>
      <c r="AB927" s="108"/>
      <c r="AC927" s="105"/>
      <c r="AD927" s="279"/>
      <c r="AE927" s="105"/>
      <c r="AF927" s="279"/>
      <c r="AG927" s="105"/>
      <c r="AH927" s="108"/>
      <c r="AI927" s="108"/>
      <c r="AJ927" s="108"/>
      <c r="AK927" s="108"/>
      <c r="AL927" s="105"/>
      <c r="AM927" s="108"/>
      <c r="AN927" s="105"/>
      <c r="AO927" s="108"/>
      <c r="AP927" s="108"/>
      <c r="AQ927" s="105"/>
      <c r="AR927" s="108"/>
      <c r="AS927" s="108"/>
      <c r="AT927" s="105"/>
      <c r="AU927" s="105"/>
      <c r="AV927" s="105"/>
      <c r="AW927" s="105"/>
      <c r="AX927" s="105"/>
      <c r="AY927" s="105"/>
      <c r="AZ927" s="105"/>
      <c r="BA927" s="105"/>
      <c r="BB927" s="105"/>
      <c r="BC927" s="105"/>
      <c r="BD927" s="108"/>
      <c r="BE927" s="83">
        <f>IF($A927="","",IF(TRIM($D927&amp;"")="",IF(TRIM($AX927&amp;$AY927&amp;$AZ927&amp;$BA927&amp;$BB927&amp;$BC927&amp;$BD927&amp;"")="","","SUBARRENDADO"),IFERROR(IF(VLOOKUP($D927,VEHICULOS!$A$3:$H$202,7,FALSE)="","",VLOOKUP($D927,VEHICULOS!$A$3:$H$202,7,FALSE)),"")))</f>
      </c>
      <c r="BF927" s="82">
        <f>IF($A927="","",IF(TRIM($BC927&amp;"")&lt;&gt;"",$BC927,IF(TRIM($D927&amp;"")="","",IFERROR(IF(VLOOKUP($D927,VEHICULOS!$A$3:$H$202,8,FALSE)="","",VLOOKUP($D927,VEHICULOS!$A$3:$H$202,8,FALSE)),""))))</f>
      </c>
      <c r="BG927" s="106"/>
      <c r="BH927" s="107"/>
      <c r="BI927" s="86">
        <f t="shared" si="210"/>
      </c>
      <c r="BJ927" s="83">
        <f t="shared" si="211"/>
      </c>
      <c r="BK927" s="85">
        <f t="shared" si="212"/>
      </c>
      <c r="BL927" s="85">
        <f t="shared" si="213"/>
      </c>
      <c r="BM927" s="108"/>
      <c r="BN927" s="85">
        <f t="shared" si="214"/>
      </c>
      <c r="BO927" s="108"/>
      <c r="BP927" s="85">
        <f t="shared" si="215"/>
      </c>
      <c r="BQ927" s="85">
        <f t="shared" si="216"/>
      </c>
      <c r="BR927" s="108"/>
      <c r="BS927" s="104"/>
      <c r="BT927" s="87">
        <f t="shared" si="217"/>
      </c>
      <c r="BU927" s="85">
        <f t="shared" si="218"/>
      </c>
      <c r="BV927" s="85">
        <f t="shared" si="219"/>
      </c>
      <c r="BW927" s="87">
        <f t="shared" si="220"/>
      </c>
      <c r="BX927" s="104"/>
      <c r="BY927" s="106"/>
      <c r="BZ927" s="104"/>
      <c r="CA927" s="105"/>
      <c r="CB927" s="77">
        <f>IF($A927="",0,IF($B927='FICHA CLIENTE'!$C$4,1,0))</f>
      </c>
      <c r="CC927" s="77">
        <f t="shared" si="221"/>
      </c>
      <c r="CD927" s="77">
        <f>IF($A927="",0,IF($D927='FICHA VEHICULO'!$C$4,1,0))</f>
      </c>
      <c r="CE927" s="77">
        <f t="shared" si="222"/>
      </c>
      <c r="CF927" s="77">
        <f t="shared" si="223"/>
      </c>
      <c r="CG927" s="77">
        <f t="shared" si="224"/>
      </c>
    </row>
    <row r="928" spans="1:85" ht="19.5" customHeight="1" x14ac:dyDescent="0.2">
      <c r="A928" s="104"/>
      <c r="B928" s="104"/>
      <c r="C928" s="105"/>
      <c r="D928" s="104"/>
      <c r="E928" s="105"/>
      <c r="F928" s="106"/>
      <c r="G928" s="104"/>
      <c r="H928" s="106"/>
      <c r="I928" s="107"/>
      <c r="J928" s="108"/>
      <c r="K928" s="108"/>
      <c r="L928" s="108"/>
      <c r="M928" s="105"/>
      <c r="N928" s="105"/>
      <c r="O928" s="105"/>
      <c r="P928" s="108"/>
      <c r="Q928" s="105"/>
      <c r="R928" s="105"/>
      <c r="S928" s="105"/>
      <c r="T928" s="105"/>
      <c r="U928" s="108"/>
      <c r="V928" s="105"/>
      <c r="W928" s="105"/>
      <c r="X928" s="105"/>
      <c r="Y928" s="105"/>
      <c r="Z928" s="105"/>
      <c r="AA928" s="108"/>
      <c r="AB928" s="108"/>
      <c r="AC928" s="105"/>
      <c r="AD928" s="279"/>
      <c r="AE928" s="105"/>
      <c r="AF928" s="279"/>
      <c r="AG928" s="105"/>
      <c r="AH928" s="108"/>
      <c r="AI928" s="108"/>
      <c r="AJ928" s="108"/>
      <c r="AK928" s="108"/>
      <c r="AL928" s="105"/>
      <c r="AM928" s="108"/>
      <c r="AN928" s="105"/>
      <c r="AO928" s="108"/>
      <c r="AP928" s="108"/>
      <c r="AQ928" s="105"/>
      <c r="AR928" s="108"/>
      <c r="AS928" s="108"/>
      <c r="AT928" s="105"/>
      <c r="AU928" s="105"/>
      <c r="AV928" s="105"/>
      <c r="AW928" s="105"/>
      <c r="AX928" s="105"/>
      <c r="AY928" s="105"/>
      <c r="AZ928" s="105"/>
      <c r="BA928" s="105"/>
      <c r="BB928" s="105"/>
      <c r="BC928" s="105"/>
      <c r="BD928" s="108"/>
      <c r="BE928" s="83">
        <f>IF($A928="","",IF(TRIM($D928&amp;"")="",IF(TRIM($AX928&amp;$AY928&amp;$AZ928&amp;$BA928&amp;$BB928&amp;$BC928&amp;$BD928&amp;"")="","","SUBARRENDADO"),IFERROR(IF(VLOOKUP($D928,VEHICULOS!$A$3:$H$202,7,FALSE)="","",VLOOKUP($D928,VEHICULOS!$A$3:$H$202,7,FALSE)),"")))</f>
      </c>
      <c r="BF928" s="82">
        <f>IF($A928="","",IF(TRIM($BC928&amp;"")&lt;&gt;"",$BC928,IF(TRIM($D928&amp;"")="","",IFERROR(IF(VLOOKUP($D928,VEHICULOS!$A$3:$H$202,8,FALSE)="","",VLOOKUP($D928,VEHICULOS!$A$3:$H$202,8,FALSE)),""))))</f>
      </c>
      <c r="BG928" s="106"/>
      <c r="BH928" s="107"/>
      <c r="BI928" s="86">
        <f t="shared" si="210"/>
      </c>
      <c r="BJ928" s="83">
        <f t="shared" si="211"/>
      </c>
      <c r="BK928" s="85">
        <f t="shared" si="212"/>
      </c>
      <c r="BL928" s="85">
        <f t="shared" si="213"/>
      </c>
      <c r="BM928" s="108"/>
      <c r="BN928" s="85">
        <f t="shared" si="214"/>
      </c>
      <c r="BO928" s="108"/>
      <c r="BP928" s="85">
        <f t="shared" si="215"/>
      </c>
      <c r="BQ928" s="85">
        <f t="shared" si="216"/>
      </c>
      <c r="BR928" s="108"/>
      <c r="BS928" s="104"/>
      <c r="BT928" s="87">
        <f t="shared" si="217"/>
      </c>
      <c r="BU928" s="85">
        <f t="shared" si="218"/>
      </c>
      <c r="BV928" s="85">
        <f t="shared" si="219"/>
      </c>
      <c r="BW928" s="87">
        <f t="shared" si="220"/>
      </c>
      <c r="BX928" s="104"/>
      <c r="BY928" s="106"/>
      <c r="BZ928" s="104"/>
      <c r="CA928" s="105"/>
      <c r="CB928" s="77">
        <f>IF($A928="",0,IF($B928='FICHA CLIENTE'!$C$4,1,0))</f>
      </c>
      <c r="CC928" s="77">
        <f t="shared" si="221"/>
      </c>
      <c r="CD928" s="77">
        <f>IF($A928="",0,IF($D928='FICHA VEHICULO'!$C$4,1,0))</f>
      </c>
      <c r="CE928" s="77">
        <f t="shared" si="222"/>
      </c>
      <c r="CF928" s="77">
        <f t="shared" si="223"/>
      </c>
      <c r="CG928" s="77">
        <f t="shared" si="224"/>
      </c>
    </row>
    <row r="929" spans="1:85" ht="19.5" customHeight="1" x14ac:dyDescent="0.2">
      <c r="A929" s="104"/>
      <c r="B929" s="104"/>
      <c r="C929" s="105"/>
      <c r="D929" s="104"/>
      <c r="E929" s="105"/>
      <c r="F929" s="106"/>
      <c r="G929" s="104"/>
      <c r="H929" s="106"/>
      <c r="I929" s="107"/>
      <c r="J929" s="108"/>
      <c r="K929" s="108"/>
      <c r="L929" s="108"/>
      <c r="M929" s="105"/>
      <c r="N929" s="105"/>
      <c r="O929" s="105"/>
      <c r="P929" s="108"/>
      <c r="Q929" s="105"/>
      <c r="R929" s="105"/>
      <c r="S929" s="105"/>
      <c r="T929" s="105"/>
      <c r="U929" s="108"/>
      <c r="V929" s="105"/>
      <c r="W929" s="105"/>
      <c r="X929" s="105"/>
      <c r="Y929" s="105"/>
      <c r="Z929" s="105"/>
      <c r="AA929" s="108"/>
      <c r="AB929" s="108"/>
      <c r="AC929" s="105"/>
      <c r="AD929" s="279"/>
      <c r="AE929" s="105"/>
      <c r="AF929" s="279"/>
      <c r="AG929" s="105"/>
      <c r="AH929" s="108"/>
      <c r="AI929" s="108"/>
      <c r="AJ929" s="108"/>
      <c r="AK929" s="108"/>
      <c r="AL929" s="105"/>
      <c r="AM929" s="108"/>
      <c r="AN929" s="105"/>
      <c r="AO929" s="108"/>
      <c r="AP929" s="108"/>
      <c r="AQ929" s="105"/>
      <c r="AR929" s="108"/>
      <c r="AS929" s="108"/>
      <c r="AT929" s="105"/>
      <c r="AU929" s="105"/>
      <c r="AV929" s="105"/>
      <c r="AW929" s="105"/>
      <c r="AX929" s="105"/>
      <c r="AY929" s="105"/>
      <c r="AZ929" s="105"/>
      <c r="BA929" s="105"/>
      <c r="BB929" s="105"/>
      <c r="BC929" s="105"/>
      <c r="BD929" s="108"/>
      <c r="BE929" s="83">
        <f>IF($A929="","",IF(TRIM($D929&amp;"")="",IF(TRIM($AX929&amp;$AY929&amp;$AZ929&amp;$BA929&amp;$BB929&amp;$BC929&amp;$BD929&amp;"")="","","SUBARRENDADO"),IFERROR(IF(VLOOKUP($D929,VEHICULOS!$A$3:$H$202,7,FALSE)="","",VLOOKUP($D929,VEHICULOS!$A$3:$H$202,7,FALSE)),"")))</f>
      </c>
      <c r="BF929" s="82">
        <f>IF($A929="","",IF(TRIM($BC929&amp;"")&lt;&gt;"",$BC929,IF(TRIM($D929&amp;"")="","",IFERROR(IF(VLOOKUP($D929,VEHICULOS!$A$3:$H$202,8,FALSE)="","",VLOOKUP($D929,VEHICULOS!$A$3:$H$202,8,FALSE)),""))))</f>
      </c>
      <c r="BG929" s="106"/>
      <c r="BH929" s="107"/>
      <c r="BI929" s="86">
        <f t="shared" si="210"/>
      </c>
      <c r="BJ929" s="83">
        <f t="shared" si="211"/>
      </c>
      <c r="BK929" s="85">
        <f t="shared" si="212"/>
      </c>
      <c r="BL929" s="85">
        <f t="shared" si="213"/>
      </c>
      <c r="BM929" s="108"/>
      <c r="BN929" s="85">
        <f t="shared" si="214"/>
      </c>
      <c r="BO929" s="108"/>
      <c r="BP929" s="85">
        <f t="shared" si="215"/>
      </c>
      <c r="BQ929" s="85">
        <f t="shared" si="216"/>
      </c>
      <c r="BR929" s="108"/>
      <c r="BS929" s="104"/>
      <c r="BT929" s="87">
        <f t="shared" si="217"/>
      </c>
      <c r="BU929" s="85">
        <f t="shared" si="218"/>
      </c>
      <c r="BV929" s="85">
        <f t="shared" si="219"/>
      </c>
      <c r="BW929" s="87">
        <f t="shared" si="220"/>
      </c>
      <c r="BX929" s="104"/>
      <c r="BY929" s="106"/>
      <c r="BZ929" s="104"/>
      <c r="CA929" s="105"/>
      <c r="CB929" s="77">
        <f>IF($A929="",0,IF($B929='FICHA CLIENTE'!$C$4,1,0))</f>
      </c>
      <c r="CC929" s="77">
        <f t="shared" si="221"/>
      </c>
      <c r="CD929" s="77">
        <f>IF($A929="",0,IF($D929='FICHA VEHICULO'!$C$4,1,0))</f>
      </c>
      <c r="CE929" s="77">
        <f t="shared" si="222"/>
      </c>
      <c r="CF929" s="77">
        <f t="shared" si="223"/>
      </c>
      <c r="CG929" s="77">
        <f t="shared" si="224"/>
      </c>
    </row>
    <row r="930" spans="1:85" ht="19.5" customHeight="1" x14ac:dyDescent="0.2">
      <c r="A930" s="104"/>
      <c r="B930" s="104"/>
      <c r="C930" s="105"/>
      <c r="D930" s="104"/>
      <c r="E930" s="105"/>
      <c r="F930" s="106"/>
      <c r="G930" s="104"/>
      <c r="H930" s="106"/>
      <c r="I930" s="107"/>
      <c r="J930" s="108"/>
      <c r="K930" s="108"/>
      <c r="L930" s="108"/>
      <c r="M930" s="105"/>
      <c r="N930" s="105"/>
      <c r="O930" s="105"/>
      <c r="P930" s="108"/>
      <c r="Q930" s="105"/>
      <c r="R930" s="105"/>
      <c r="S930" s="105"/>
      <c r="T930" s="105"/>
      <c r="U930" s="108"/>
      <c r="V930" s="105"/>
      <c r="W930" s="105"/>
      <c r="X930" s="105"/>
      <c r="Y930" s="105"/>
      <c r="Z930" s="105"/>
      <c r="AA930" s="108"/>
      <c r="AB930" s="108"/>
      <c r="AC930" s="105"/>
      <c r="AD930" s="279"/>
      <c r="AE930" s="105"/>
      <c r="AF930" s="279"/>
      <c r="AG930" s="105"/>
      <c r="AH930" s="108"/>
      <c r="AI930" s="108"/>
      <c r="AJ930" s="108"/>
      <c r="AK930" s="108"/>
      <c r="AL930" s="105"/>
      <c r="AM930" s="108"/>
      <c r="AN930" s="105"/>
      <c r="AO930" s="108"/>
      <c r="AP930" s="108"/>
      <c r="AQ930" s="105"/>
      <c r="AR930" s="108"/>
      <c r="AS930" s="108"/>
      <c r="AT930" s="105"/>
      <c r="AU930" s="105"/>
      <c r="AV930" s="105"/>
      <c r="AW930" s="105"/>
      <c r="AX930" s="105"/>
      <c r="AY930" s="105"/>
      <c r="AZ930" s="105"/>
      <c r="BA930" s="105"/>
      <c r="BB930" s="105"/>
      <c r="BC930" s="105"/>
      <c r="BD930" s="108"/>
      <c r="BE930" s="83">
        <f>IF($A930="","",IF(TRIM($D930&amp;"")="",IF(TRIM($AX930&amp;$AY930&amp;$AZ930&amp;$BA930&amp;$BB930&amp;$BC930&amp;$BD930&amp;"")="","","SUBARRENDADO"),IFERROR(IF(VLOOKUP($D930,VEHICULOS!$A$3:$H$202,7,FALSE)="","",VLOOKUP($D930,VEHICULOS!$A$3:$H$202,7,FALSE)),"")))</f>
      </c>
      <c r="BF930" s="82">
        <f>IF($A930="","",IF(TRIM($BC930&amp;"")&lt;&gt;"",$BC930,IF(TRIM($D930&amp;"")="","",IFERROR(IF(VLOOKUP($D930,VEHICULOS!$A$3:$H$202,8,FALSE)="","",VLOOKUP($D930,VEHICULOS!$A$3:$H$202,8,FALSE)),""))))</f>
      </c>
      <c r="BG930" s="106"/>
      <c r="BH930" s="107"/>
      <c r="BI930" s="86">
        <f t="shared" si="210"/>
      </c>
      <c r="BJ930" s="83">
        <f t="shared" si="211"/>
      </c>
      <c r="BK930" s="85">
        <f t="shared" si="212"/>
      </c>
      <c r="BL930" s="85">
        <f t="shared" si="213"/>
      </c>
      <c r="BM930" s="108"/>
      <c r="BN930" s="85">
        <f t="shared" si="214"/>
      </c>
      <c r="BO930" s="108"/>
      <c r="BP930" s="85">
        <f t="shared" si="215"/>
      </c>
      <c r="BQ930" s="85">
        <f t="shared" si="216"/>
      </c>
      <c r="BR930" s="108"/>
      <c r="BS930" s="104"/>
      <c r="BT930" s="87">
        <f t="shared" si="217"/>
      </c>
      <c r="BU930" s="85">
        <f t="shared" si="218"/>
      </c>
      <c r="BV930" s="85">
        <f t="shared" si="219"/>
      </c>
      <c r="BW930" s="87">
        <f t="shared" si="220"/>
      </c>
      <c r="BX930" s="104"/>
      <c r="BY930" s="106"/>
      <c r="BZ930" s="104"/>
      <c r="CA930" s="105"/>
      <c r="CB930" s="77">
        <f>IF($A930="",0,IF($B930='FICHA CLIENTE'!$C$4,1,0))</f>
      </c>
      <c r="CC930" s="77">
        <f t="shared" si="221"/>
      </c>
      <c r="CD930" s="77">
        <f>IF($A930="",0,IF($D930='FICHA VEHICULO'!$C$4,1,0))</f>
      </c>
      <c r="CE930" s="77">
        <f t="shared" si="222"/>
      </c>
      <c r="CF930" s="77">
        <f t="shared" si="223"/>
      </c>
      <c r="CG930" s="77">
        <f t="shared" si="224"/>
      </c>
    </row>
    <row r="931" spans="1:85" ht="19.5" customHeight="1" x14ac:dyDescent="0.2">
      <c r="A931" s="104"/>
      <c r="B931" s="104"/>
      <c r="C931" s="105"/>
      <c r="D931" s="104"/>
      <c r="E931" s="105"/>
      <c r="F931" s="106"/>
      <c r="G931" s="104"/>
      <c r="H931" s="106"/>
      <c r="I931" s="107"/>
      <c r="J931" s="108"/>
      <c r="K931" s="108"/>
      <c r="L931" s="108"/>
      <c r="M931" s="105"/>
      <c r="N931" s="105"/>
      <c r="O931" s="105"/>
      <c r="P931" s="108"/>
      <c r="Q931" s="105"/>
      <c r="R931" s="105"/>
      <c r="S931" s="105"/>
      <c r="T931" s="105"/>
      <c r="U931" s="108"/>
      <c r="V931" s="105"/>
      <c r="W931" s="105"/>
      <c r="X931" s="105"/>
      <c r="Y931" s="105"/>
      <c r="Z931" s="105"/>
      <c r="AA931" s="108"/>
      <c r="AB931" s="108"/>
      <c r="AC931" s="105"/>
      <c r="AD931" s="279"/>
      <c r="AE931" s="105"/>
      <c r="AF931" s="279"/>
      <c r="AG931" s="105"/>
      <c r="AH931" s="108"/>
      <c r="AI931" s="108"/>
      <c r="AJ931" s="108"/>
      <c r="AK931" s="108"/>
      <c r="AL931" s="105"/>
      <c r="AM931" s="108"/>
      <c r="AN931" s="105"/>
      <c r="AO931" s="108"/>
      <c r="AP931" s="108"/>
      <c r="AQ931" s="105"/>
      <c r="AR931" s="108"/>
      <c r="AS931" s="108"/>
      <c r="AT931" s="105"/>
      <c r="AU931" s="105"/>
      <c r="AV931" s="105"/>
      <c r="AW931" s="105"/>
      <c r="AX931" s="105"/>
      <c r="AY931" s="105"/>
      <c r="AZ931" s="105"/>
      <c r="BA931" s="105"/>
      <c r="BB931" s="105"/>
      <c r="BC931" s="105"/>
      <c r="BD931" s="108"/>
      <c r="BE931" s="83">
        <f>IF($A931="","",IF(TRIM($D931&amp;"")="",IF(TRIM($AX931&amp;$AY931&amp;$AZ931&amp;$BA931&amp;$BB931&amp;$BC931&amp;$BD931&amp;"")="","","SUBARRENDADO"),IFERROR(IF(VLOOKUP($D931,VEHICULOS!$A$3:$H$202,7,FALSE)="","",VLOOKUP($D931,VEHICULOS!$A$3:$H$202,7,FALSE)),"")))</f>
      </c>
      <c r="BF931" s="82">
        <f>IF($A931="","",IF(TRIM($BC931&amp;"")&lt;&gt;"",$BC931,IF(TRIM($D931&amp;"")="","",IFERROR(IF(VLOOKUP($D931,VEHICULOS!$A$3:$H$202,8,FALSE)="","",VLOOKUP($D931,VEHICULOS!$A$3:$H$202,8,FALSE)),""))))</f>
      </c>
      <c r="BG931" s="106"/>
      <c r="BH931" s="107"/>
      <c r="BI931" s="86">
        <f t="shared" si="210"/>
      </c>
      <c r="BJ931" s="83">
        <f t="shared" si="211"/>
      </c>
      <c r="BK931" s="85">
        <f t="shared" si="212"/>
      </c>
      <c r="BL931" s="85">
        <f t="shared" si="213"/>
      </c>
      <c r="BM931" s="108"/>
      <c r="BN931" s="85">
        <f t="shared" si="214"/>
      </c>
      <c r="BO931" s="108"/>
      <c r="BP931" s="85">
        <f t="shared" si="215"/>
      </c>
      <c r="BQ931" s="85">
        <f t="shared" si="216"/>
      </c>
      <c r="BR931" s="108"/>
      <c r="BS931" s="104"/>
      <c r="BT931" s="87">
        <f t="shared" si="217"/>
      </c>
      <c r="BU931" s="85">
        <f t="shared" si="218"/>
      </c>
      <c r="BV931" s="85">
        <f t="shared" si="219"/>
      </c>
      <c r="BW931" s="87">
        <f t="shared" si="220"/>
      </c>
      <c r="BX931" s="104"/>
      <c r="BY931" s="106"/>
      <c r="BZ931" s="104"/>
      <c r="CA931" s="105"/>
      <c r="CB931" s="77">
        <f>IF($A931="",0,IF($B931='FICHA CLIENTE'!$C$4,1,0))</f>
      </c>
      <c r="CC931" s="77">
        <f t="shared" si="221"/>
      </c>
      <c r="CD931" s="77">
        <f>IF($A931="",0,IF($D931='FICHA VEHICULO'!$C$4,1,0))</f>
      </c>
      <c r="CE931" s="77">
        <f t="shared" si="222"/>
      </c>
      <c r="CF931" s="77">
        <f t="shared" si="223"/>
      </c>
      <c r="CG931" s="77">
        <f t="shared" si="224"/>
      </c>
    </row>
    <row r="932" spans="1:85" ht="19.5" customHeight="1" x14ac:dyDescent="0.2">
      <c r="A932" s="104"/>
      <c r="B932" s="104"/>
      <c r="C932" s="105"/>
      <c r="D932" s="104"/>
      <c r="E932" s="105"/>
      <c r="F932" s="106"/>
      <c r="G932" s="104"/>
      <c r="H932" s="106"/>
      <c r="I932" s="107"/>
      <c r="J932" s="108"/>
      <c r="K932" s="108"/>
      <c r="L932" s="108"/>
      <c r="M932" s="105"/>
      <c r="N932" s="105"/>
      <c r="O932" s="105"/>
      <c r="P932" s="108"/>
      <c r="Q932" s="105"/>
      <c r="R932" s="105"/>
      <c r="S932" s="105"/>
      <c r="T932" s="105"/>
      <c r="U932" s="108"/>
      <c r="V932" s="105"/>
      <c r="W932" s="105"/>
      <c r="X932" s="105"/>
      <c r="Y932" s="105"/>
      <c r="Z932" s="105"/>
      <c r="AA932" s="108"/>
      <c r="AB932" s="108"/>
      <c r="AC932" s="105"/>
      <c r="AD932" s="279"/>
      <c r="AE932" s="105"/>
      <c r="AF932" s="279"/>
      <c r="AG932" s="105"/>
      <c r="AH932" s="108"/>
      <c r="AI932" s="108"/>
      <c r="AJ932" s="108"/>
      <c r="AK932" s="108"/>
      <c r="AL932" s="105"/>
      <c r="AM932" s="108"/>
      <c r="AN932" s="105"/>
      <c r="AO932" s="108"/>
      <c r="AP932" s="108"/>
      <c r="AQ932" s="105"/>
      <c r="AR932" s="108"/>
      <c r="AS932" s="108"/>
      <c r="AT932" s="105"/>
      <c r="AU932" s="105"/>
      <c r="AV932" s="105"/>
      <c r="AW932" s="105"/>
      <c r="AX932" s="105"/>
      <c r="AY932" s="105"/>
      <c r="AZ932" s="105"/>
      <c r="BA932" s="105"/>
      <c r="BB932" s="105"/>
      <c r="BC932" s="105"/>
      <c r="BD932" s="108"/>
      <c r="BE932" s="83">
        <f>IF($A932="","",IF(TRIM($D932&amp;"")="",IF(TRIM($AX932&amp;$AY932&amp;$AZ932&amp;$BA932&amp;$BB932&amp;$BC932&amp;$BD932&amp;"")="","","SUBARRENDADO"),IFERROR(IF(VLOOKUP($D932,VEHICULOS!$A$3:$H$202,7,FALSE)="","",VLOOKUP($D932,VEHICULOS!$A$3:$H$202,7,FALSE)),"")))</f>
      </c>
      <c r="BF932" s="82">
        <f>IF($A932="","",IF(TRIM($BC932&amp;"")&lt;&gt;"",$BC932,IF(TRIM($D932&amp;"")="","",IFERROR(IF(VLOOKUP($D932,VEHICULOS!$A$3:$H$202,8,FALSE)="","",VLOOKUP($D932,VEHICULOS!$A$3:$H$202,8,FALSE)),""))))</f>
      </c>
      <c r="BG932" s="106"/>
      <c r="BH932" s="107"/>
      <c r="BI932" s="86">
        <f t="shared" si="210"/>
      </c>
      <c r="BJ932" s="83">
        <f t="shared" si="211"/>
      </c>
      <c r="BK932" s="85">
        <f t="shared" si="212"/>
      </c>
      <c r="BL932" s="85">
        <f t="shared" si="213"/>
      </c>
      <c r="BM932" s="108"/>
      <c r="BN932" s="85">
        <f t="shared" si="214"/>
      </c>
      <c r="BO932" s="108"/>
      <c r="BP932" s="85">
        <f t="shared" si="215"/>
      </c>
      <c r="BQ932" s="85">
        <f t="shared" si="216"/>
      </c>
      <c r="BR932" s="108"/>
      <c r="BS932" s="104"/>
      <c r="BT932" s="87">
        <f t="shared" si="217"/>
      </c>
      <c r="BU932" s="85">
        <f t="shared" si="218"/>
      </c>
      <c r="BV932" s="85">
        <f t="shared" si="219"/>
      </c>
      <c r="BW932" s="87">
        <f t="shared" si="220"/>
      </c>
      <c r="BX932" s="104"/>
      <c r="BY932" s="106"/>
      <c r="BZ932" s="104"/>
      <c r="CA932" s="105"/>
      <c r="CB932" s="77">
        <f>IF($A932="",0,IF($B932='FICHA CLIENTE'!$C$4,1,0))</f>
      </c>
      <c r="CC932" s="77">
        <f t="shared" si="221"/>
      </c>
      <c r="CD932" s="77">
        <f>IF($A932="",0,IF($D932='FICHA VEHICULO'!$C$4,1,0))</f>
      </c>
      <c r="CE932" s="77">
        <f t="shared" si="222"/>
      </c>
      <c r="CF932" s="77">
        <f t="shared" si="223"/>
      </c>
      <c r="CG932" s="77">
        <f t="shared" si="224"/>
      </c>
    </row>
    <row r="933" spans="1:85" ht="19.5" customHeight="1" x14ac:dyDescent="0.2">
      <c r="A933" s="104"/>
      <c r="B933" s="104"/>
      <c r="C933" s="105"/>
      <c r="D933" s="104"/>
      <c r="E933" s="105"/>
      <c r="F933" s="106"/>
      <c r="G933" s="104"/>
      <c r="H933" s="106"/>
      <c r="I933" s="107"/>
      <c r="J933" s="108"/>
      <c r="K933" s="108"/>
      <c r="L933" s="108"/>
      <c r="M933" s="105"/>
      <c r="N933" s="105"/>
      <c r="O933" s="105"/>
      <c r="P933" s="108"/>
      <c r="Q933" s="105"/>
      <c r="R933" s="105"/>
      <c r="S933" s="105"/>
      <c r="T933" s="105"/>
      <c r="U933" s="108"/>
      <c r="V933" s="105"/>
      <c r="W933" s="105"/>
      <c r="X933" s="105"/>
      <c r="Y933" s="105"/>
      <c r="Z933" s="105"/>
      <c r="AA933" s="108"/>
      <c r="AB933" s="108"/>
      <c r="AC933" s="105"/>
      <c r="AD933" s="279"/>
      <c r="AE933" s="105"/>
      <c r="AF933" s="279"/>
      <c r="AG933" s="105"/>
      <c r="AH933" s="108"/>
      <c r="AI933" s="108"/>
      <c r="AJ933" s="108"/>
      <c r="AK933" s="108"/>
      <c r="AL933" s="105"/>
      <c r="AM933" s="108"/>
      <c r="AN933" s="105"/>
      <c r="AO933" s="108"/>
      <c r="AP933" s="108"/>
      <c r="AQ933" s="105"/>
      <c r="AR933" s="108"/>
      <c r="AS933" s="108"/>
      <c r="AT933" s="105"/>
      <c r="AU933" s="105"/>
      <c r="AV933" s="105"/>
      <c r="AW933" s="105"/>
      <c r="AX933" s="105"/>
      <c r="AY933" s="105"/>
      <c r="AZ933" s="105"/>
      <c r="BA933" s="105"/>
      <c r="BB933" s="105"/>
      <c r="BC933" s="105"/>
      <c r="BD933" s="108"/>
      <c r="BE933" s="83">
        <f>IF($A933="","",IF(TRIM($D933&amp;"")="",IF(TRIM($AX933&amp;$AY933&amp;$AZ933&amp;$BA933&amp;$BB933&amp;$BC933&amp;$BD933&amp;"")="","","SUBARRENDADO"),IFERROR(IF(VLOOKUP($D933,VEHICULOS!$A$3:$H$202,7,FALSE)="","",VLOOKUP($D933,VEHICULOS!$A$3:$H$202,7,FALSE)),"")))</f>
      </c>
      <c r="BF933" s="82">
        <f>IF($A933="","",IF(TRIM($BC933&amp;"")&lt;&gt;"",$BC933,IF(TRIM($D933&amp;"")="","",IFERROR(IF(VLOOKUP($D933,VEHICULOS!$A$3:$H$202,8,FALSE)="","",VLOOKUP($D933,VEHICULOS!$A$3:$H$202,8,FALSE)),""))))</f>
      </c>
      <c r="BG933" s="106"/>
      <c r="BH933" s="107"/>
      <c r="BI933" s="86">
        <f t="shared" si="210"/>
      </c>
      <c r="BJ933" s="83">
        <f t="shared" si="211"/>
      </c>
      <c r="BK933" s="85">
        <f t="shared" si="212"/>
      </c>
      <c r="BL933" s="85">
        <f t="shared" si="213"/>
      </c>
      <c r="BM933" s="108"/>
      <c r="BN933" s="85">
        <f t="shared" si="214"/>
      </c>
      <c r="BO933" s="108"/>
      <c r="BP933" s="85">
        <f t="shared" si="215"/>
      </c>
      <c r="BQ933" s="85">
        <f t="shared" si="216"/>
      </c>
      <c r="BR933" s="108"/>
      <c r="BS933" s="104"/>
      <c r="BT933" s="87">
        <f t="shared" si="217"/>
      </c>
      <c r="BU933" s="85">
        <f t="shared" si="218"/>
      </c>
      <c r="BV933" s="85">
        <f t="shared" si="219"/>
      </c>
      <c r="BW933" s="87">
        <f t="shared" si="220"/>
      </c>
      <c r="BX933" s="104"/>
      <c r="BY933" s="106"/>
      <c r="BZ933" s="104"/>
      <c r="CA933" s="105"/>
      <c r="CB933" s="77">
        <f>IF($A933="",0,IF($B933='FICHA CLIENTE'!$C$4,1,0))</f>
      </c>
      <c r="CC933" s="77">
        <f t="shared" si="221"/>
      </c>
      <c r="CD933" s="77">
        <f>IF($A933="",0,IF($D933='FICHA VEHICULO'!$C$4,1,0))</f>
      </c>
      <c r="CE933" s="77">
        <f t="shared" si="222"/>
      </c>
      <c r="CF933" s="77">
        <f t="shared" si="223"/>
      </c>
      <c r="CG933" s="77">
        <f t="shared" si="224"/>
      </c>
    </row>
    <row r="934" spans="1:85" ht="19.5" customHeight="1" x14ac:dyDescent="0.2">
      <c r="A934" s="104"/>
      <c r="B934" s="104"/>
      <c r="C934" s="105"/>
      <c r="D934" s="104"/>
      <c r="E934" s="105"/>
      <c r="F934" s="106"/>
      <c r="G934" s="104"/>
      <c r="H934" s="106"/>
      <c r="I934" s="107"/>
      <c r="J934" s="108"/>
      <c r="K934" s="108"/>
      <c r="L934" s="108"/>
      <c r="M934" s="105"/>
      <c r="N934" s="105"/>
      <c r="O934" s="105"/>
      <c r="P934" s="108"/>
      <c r="Q934" s="105"/>
      <c r="R934" s="105"/>
      <c r="S934" s="105"/>
      <c r="T934" s="105"/>
      <c r="U934" s="108"/>
      <c r="V934" s="105"/>
      <c r="W934" s="105"/>
      <c r="X934" s="105"/>
      <c r="Y934" s="105"/>
      <c r="Z934" s="105"/>
      <c r="AA934" s="108"/>
      <c r="AB934" s="108"/>
      <c r="AC934" s="105"/>
      <c r="AD934" s="279"/>
      <c r="AE934" s="105"/>
      <c r="AF934" s="279"/>
      <c r="AG934" s="105"/>
      <c r="AH934" s="108"/>
      <c r="AI934" s="108"/>
      <c r="AJ934" s="108"/>
      <c r="AK934" s="108"/>
      <c r="AL934" s="105"/>
      <c r="AM934" s="108"/>
      <c r="AN934" s="105"/>
      <c r="AO934" s="108"/>
      <c r="AP934" s="108"/>
      <c r="AQ934" s="105"/>
      <c r="AR934" s="108"/>
      <c r="AS934" s="108"/>
      <c r="AT934" s="105"/>
      <c r="AU934" s="105"/>
      <c r="AV934" s="105"/>
      <c r="AW934" s="105"/>
      <c r="AX934" s="105"/>
      <c r="AY934" s="105"/>
      <c r="AZ934" s="105"/>
      <c r="BA934" s="105"/>
      <c r="BB934" s="105"/>
      <c r="BC934" s="105"/>
      <c r="BD934" s="108"/>
      <c r="BE934" s="83">
        <f>IF($A934="","",IF(TRIM($D934&amp;"")="",IF(TRIM($AX934&amp;$AY934&amp;$AZ934&amp;$BA934&amp;$BB934&amp;$BC934&amp;$BD934&amp;"")="","","SUBARRENDADO"),IFERROR(IF(VLOOKUP($D934,VEHICULOS!$A$3:$H$202,7,FALSE)="","",VLOOKUP($D934,VEHICULOS!$A$3:$H$202,7,FALSE)),"")))</f>
      </c>
      <c r="BF934" s="82">
        <f>IF($A934="","",IF(TRIM($BC934&amp;"")&lt;&gt;"",$BC934,IF(TRIM($D934&amp;"")="","",IFERROR(IF(VLOOKUP($D934,VEHICULOS!$A$3:$H$202,8,FALSE)="","",VLOOKUP($D934,VEHICULOS!$A$3:$H$202,8,FALSE)),""))))</f>
      </c>
      <c r="BG934" s="106"/>
      <c r="BH934" s="107"/>
      <c r="BI934" s="86">
        <f t="shared" si="210"/>
      </c>
      <c r="BJ934" s="83">
        <f t="shared" si="211"/>
      </c>
      <c r="BK934" s="85">
        <f t="shared" si="212"/>
      </c>
      <c r="BL934" s="85">
        <f t="shared" si="213"/>
      </c>
      <c r="BM934" s="108"/>
      <c r="BN934" s="85">
        <f t="shared" si="214"/>
      </c>
      <c r="BO934" s="108"/>
      <c r="BP934" s="85">
        <f t="shared" si="215"/>
      </c>
      <c r="BQ934" s="85">
        <f t="shared" si="216"/>
      </c>
      <c r="BR934" s="108"/>
      <c r="BS934" s="104"/>
      <c r="BT934" s="87">
        <f t="shared" si="217"/>
      </c>
      <c r="BU934" s="85">
        <f t="shared" si="218"/>
      </c>
      <c r="BV934" s="85">
        <f t="shared" si="219"/>
      </c>
      <c r="BW934" s="87">
        <f t="shared" si="220"/>
      </c>
      <c r="BX934" s="104"/>
      <c r="BY934" s="106"/>
      <c r="BZ934" s="104"/>
      <c r="CA934" s="105"/>
      <c r="CB934" s="77">
        <f>IF($A934="",0,IF($B934='FICHA CLIENTE'!$C$4,1,0))</f>
      </c>
      <c r="CC934" s="77">
        <f t="shared" si="221"/>
      </c>
      <c r="CD934" s="77">
        <f>IF($A934="",0,IF($D934='FICHA VEHICULO'!$C$4,1,0))</f>
      </c>
      <c r="CE934" s="77">
        <f t="shared" si="222"/>
      </c>
      <c r="CF934" s="77">
        <f t="shared" si="223"/>
      </c>
      <c r="CG934" s="77">
        <f t="shared" si="224"/>
      </c>
    </row>
    <row r="935" spans="1:85" ht="19.5" customHeight="1" x14ac:dyDescent="0.2">
      <c r="A935" s="104"/>
      <c r="B935" s="104"/>
      <c r="C935" s="105"/>
      <c r="D935" s="104"/>
      <c r="E935" s="105"/>
      <c r="F935" s="106"/>
      <c r="G935" s="104"/>
      <c r="H935" s="106"/>
      <c r="I935" s="107"/>
      <c r="J935" s="108"/>
      <c r="K935" s="108"/>
      <c r="L935" s="108"/>
      <c r="M935" s="105"/>
      <c r="N935" s="105"/>
      <c r="O935" s="105"/>
      <c r="P935" s="108"/>
      <c r="Q935" s="105"/>
      <c r="R935" s="105"/>
      <c r="S935" s="105"/>
      <c r="T935" s="105"/>
      <c r="U935" s="108"/>
      <c r="V935" s="105"/>
      <c r="W935" s="105"/>
      <c r="X935" s="105"/>
      <c r="Y935" s="105"/>
      <c r="Z935" s="105"/>
      <c r="AA935" s="108"/>
      <c r="AB935" s="108"/>
      <c r="AC935" s="105"/>
      <c r="AD935" s="279"/>
      <c r="AE935" s="105"/>
      <c r="AF935" s="279"/>
      <c r="AG935" s="105"/>
      <c r="AH935" s="108"/>
      <c r="AI935" s="108"/>
      <c r="AJ935" s="108"/>
      <c r="AK935" s="108"/>
      <c r="AL935" s="105"/>
      <c r="AM935" s="108"/>
      <c r="AN935" s="105"/>
      <c r="AO935" s="108"/>
      <c r="AP935" s="108"/>
      <c r="AQ935" s="105"/>
      <c r="AR935" s="108"/>
      <c r="AS935" s="108"/>
      <c r="AT935" s="105"/>
      <c r="AU935" s="105"/>
      <c r="AV935" s="105"/>
      <c r="AW935" s="105"/>
      <c r="AX935" s="105"/>
      <c r="AY935" s="105"/>
      <c r="AZ935" s="105"/>
      <c r="BA935" s="105"/>
      <c r="BB935" s="105"/>
      <c r="BC935" s="105"/>
      <c r="BD935" s="108"/>
      <c r="BE935" s="83">
        <f>IF($A935="","",IF(TRIM($D935&amp;"")="",IF(TRIM($AX935&amp;$AY935&amp;$AZ935&amp;$BA935&amp;$BB935&amp;$BC935&amp;$BD935&amp;"")="","","SUBARRENDADO"),IFERROR(IF(VLOOKUP($D935,VEHICULOS!$A$3:$H$202,7,FALSE)="","",VLOOKUP($D935,VEHICULOS!$A$3:$H$202,7,FALSE)),"")))</f>
      </c>
      <c r="BF935" s="82">
        <f>IF($A935="","",IF(TRIM($BC935&amp;"")&lt;&gt;"",$BC935,IF(TRIM($D935&amp;"")="","",IFERROR(IF(VLOOKUP($D935,VEHICULOS!$A$3:$H$202,8,FALSE)="","",VLOOKUP($D935,VEHICULOS!$A$3:$H$202,8,FALSE)),""))))</f>
      </c>
      <c r="BG935" s="106"/>
      <c r="BH935" s="107"/>
      <c r="BI935" s="86">
        <f t="shared" si="210"/>
      </c>
      <c r="BJ935" s="83">
        <f t="shared" si="211"/>
      </c>
      <c r="BK935" s="85">
        <f t="shared" si="212"/>
      </c>
      <c r="BL935" s="85">
        <f t="shared" si="213"/>
      </c>
      <c r="BM935" s="108"/>
      <c r="BN935" s="85">
        <f t="shared" si="214"/>
      </c>
      <c r="BO935" s="108"/>
      <c r="BP935" s="85">
        <f t="shared" si="215"/>
      </c>
      <c r="BQ935" s="85">
        <f t="shared" si="216"/>
      </c>
      <c r="BR935" s="108"/>
      <c r="BS935" s="104"/>
      <c r="BT935" s="87">
        <f t="shared" si="217"/>
      </c>
      <c r="BU935" s="85">
        <f t="shared" si="218"/>
      </c>
      <c r="BV935" s="85">
        <f t="shared" si="219"/>
      </c>
      <c r="BW935" s="87">
        <f t="shared" si="220"/>
      </c>
      <c r="BX935" s="104"/>
      <c r="BY935" s="106"/>
      <c r="BZ935" s="104"/>
      <c r="CA935" s="105"/>
      <c r="CB935" s="77">
        <f>IF($A935="",0,IF($B935='FICHA CLIENTE'!$C$4,1,0))</f>
      </c>
      <c r="CC935" s="77">
        <f t="shared" si="221"/>
      </c>
      <c r="CD935" s="77">
        <f>IF($A935="",0,IF($D935='FICHA VEHICULO'!$C$4,1,0))</f>
      </c>
      <c r="CE935" s="77">
        <f t="shared" si="222"/>
      </c>
      <c r="CF935" s="77">
        <f t="shared" si="223"/>
      </c>
      <c r="CG935" s="77">
        <f t="shared" si="224"/>
      </c>
    </row>
    <row r="936" spans="1:85" ht="19.5" customHeight="1" x14ac:dyDescent="0.2">
      <c r="A936" s="104"/>
      <c r="B936" s="104"/>
      <c r="C936" s="105"/>
      <c r="D936" s="104"/>
      <c r="E936" s="105"/>
      <c r="F936" s="106"/>
      <c r="G936" s="104"/>
      <c r="H936" s="106"/>
      <c r="I936" s="107"/>
      <c r="J936" s="108"/>
      <c r="K936" s="108"/>
      <c r="L936" s="108"/>
      <c r="M936" s="105"/>
      <c r="N936" s="105"/>
      <c r="O936" s="105"/>
      <c r="P936" s="108"/>
      <c r="Q936" s="105"/>
      <c r="R936" s="105"/>
      <c r="S936" s="105"/>
      <c r="T936" s="105"/>
      <c r="U936" s="108"/>
      <c r="V936" s="105"/>
      <c r="W936" s="105"/>
      <c r="X936" s="105"/>
      <c r="Y936" s="105"/>
      <c r="Z936" s="105"/>
      <c r="AA936" s="108"/>
      <c r="AB936" s="108"/>
      <c r="AC936" s="105"/>
      <c r="AD936" s="279"/>
      <c r="AE936" s="105"/>
      <c r="AF936" s="279"/>
      <c r="AG936" s="105"/>
      <c r="AH936" s="108"/>
      <c r="AI936" s="108"/>
      <c r="AJ936" s="108"/>
      <c r="AK936" s="108"/>
      <c r="AL936" s="105"/>
      <c r="AM936" s="108"/>
      <c r="AN936" s="105"/>
      <c r="AO936" s="108"/>
      <c r="AP936" s="108"/>
      <c r="AQ936" s="105"/>
      <c r="AR936" s="108"/>
      <c r="AS936" s="108"/>
      <c r="AT936" s="105"/>
      <c r="AU936" s="105"/>
      <c r="AV936" s="105"/>
      <c r="AW936" s="105"/>
      <c r="AX936" s="105"/>
      <c r="AY936" s="105"/>
      <c r="AZ936" s="105"/>
      <c r="BA936" s="105"/>
      <c r="BB936" s="105"/>
      <c r="BC936" s="105"/>
      <c r="BD936" s="108"/>
      <c r="BE936" s="83">
        <f>IF($A936="","",IF(TRIM($D936&amp;"")="",IF(TRIM($AX936&amp;$AY936&amp;$AZ936&amp;$BA936&amp;$BB936&amp;$BC936&amp;$BD936&amp;"")="","","SUBARRENDADO"),IFERROR(IF(VLOOKUP($D936,VEHICULOS!$A$3:$H$202,7,FALSE)="","",VLOOKUP($D936,VEHICULOS!$A$3:$H$202,7,FALSE)),"")))</f>
      </c>
      <c r="BF936" s="82">
        <f>IF($A936="","",IF(TRIM($BC936&amp;"")&lt;&gt;"",$BC936,IF(TRIM($D936&amp;"")="","",IFERROR(IF(VLOOKUP($D936,VEHICULOS!$A$3:$H$202,8,FALSE)="","",VLOOKUP($D936,VEHICULOS!$A$3:$H$202,8,FALSE)),""))))</f>
      </c>
      <c r="BG936" s="106"/>
      <c r="BH936" s="107"/>
      <c r="BI936" s="86">
        <f t="shared" si="210"/>
      </c>
      <c r="BJ936" s="83">
        <f t="shared" si="211"/>
      </c>
      <c r="BK936" s="85">
        <f t="shared" si="212"/>
      </c>
      <c r="BL936" s="85">
        <f t="shared" si="213"/>
      </c>
      <c r="BM936" s="108"/>
      <c r="BN936" s="85">
        <f t="shared" si="214"/>
      </c>
      <c r="BO936" s="108"/>
      <c r="BP936" s="85">
        <f t="shared" si="215"/>
      </c>
      <c r="BQ936" s="85">
        <f t="shared" si="216"/>
      </c>
      <c r="BR936" s="108"/>
      <c r="BS936" s="104"/>
      <c r="BT936" s="87">
        <f t="shared" si="217"/>
      </c>
      <c r="BU936" s="85">
        <f t="shared" si="218"/>
      </c>
      <c r="BV936" s="85">
        <f t="shared" si="219"/>
      </c>
      <c r="BW936" s="87">
        <f t="shared" si="220"/>
      </c>
      <c r="BX936" s="104"/>
      <c r="BY936" s="106"/>
      <c r="BZ936" s="104"/>
      <c r="CA936" s="105"/>
      <c r="CB936" s="77">
        <f>IF($A936="",0,IF($B936='FICHA CLIENTE'!$C$4,1,0))</f>
      </c>
      <c r="CC936" s="77">
        <f t="shared" si="221"/>
      </c>
      <c r="CD936" s="77">
        <f>IF($A936="",0,IF($D936='FICHA VEHICULO'!$C$4,1,0))</f>
      </c>
      <c r="CE936" s="77">
        <f t="shared" si="222"/>
      </c>
      <c r="CF936" s="77">
        <f t="shared" si="223"/>
      </c>
      <c r="CG936" s="77">
        <f t="shared" si="224"/>
      </c>
    </row>
    <row r="937" spans="1:85" ht="19.5" customHeight="1" x14ac:dyDescent="0.2">
      <c r="A937" s="104"/>
      <c r="B937" s="104"/>
      <c r="C937" s="105"/>
      <c r="D937" s="104"/>
      <c r="E937" s="105"/>
      <c r="F937" s="106"/>
      <c r="G937" s="104"/>
      <c r="H937" s="106"/>
      <c r="I937" s="107"/>
      <c r="J937" s="108"/>
      <c r="K937" s="108"/>
      <c r="L937" s="108"/>
      <c r="M937" s="105"/>
      <c r="N937" s="105"/>
      <c r="O937" s="105"/>
      <c r="P937" s="108"/>
      <c r="Q937" s="105"/>
      <c r="R937" s="105"/>
      <c r="S937" s="105"/>
      <c r="T937" s="105"/>
      <c r="U937" s="108"/>
      <c r="V937" s="105"/>
      <c r="W937" s="105"/>
      <c r="X937" s="105"/>
      <c r="Y937" s="105"/>
      <c r="Z937" s="105"/>
      <c r="AA937" s="108"/>
      <c r="AB937" s="108"/>
      <c r="AC937" s="105"/>
      <c r="AD937" s="279"/>
      <c r="AE937" s="105"/>
      <c r="AF937" s="279"/>
      <c r="AG937" s="105"/>
      <c r="AH937" s="108"/>
      <c r="AI937" s="108"/>
      <c r="AJ937" s="108"/>
      <c r="AK937" s="108"/>
      <c r="AL937" s="105"/>
      <c r="AM937" s="108"/>
      <c r="AN937" s="105"/>
      <c r="AO937" s="108"/>
      <c r="AP937" s="108"/>
      <c r="AQ937" s="105"/>
      <c r="AR937" s="108"/>
      <c r="AS937" s="108"/>
      <c r="AT937" s="105"/>
      <c r="AU937" s="105"/>
      <c r="AV937" s="105"/>
      <c r="AW937" s="105"/>
      <c r="AX937" s="105"/>
      <c r="AY937" s="105"/>
      <c r="AZ937" s="105"/>
      <c r="BA937" s="105"/>
      <c r="BB937" s="105"/>
      <c r="BC937" s="105"/>
      <c r="BD937" s="108"/>
      <c r="BE937" s="83">
        <f>IF($A937="","",IF(TRIM($D937&amp;"")="",IF(TRIM($AX937&amp;$AY937&amp;$AZ937&amp;$BA937&amp;$BB937&amp;$BC937&amp;$BD937&amp;"")="","","SUBARRENDADO"),IFERROR(IF(VLOOKUP($D937,VEHICULOS!$A$3:$H$202,7,FALSE)="","",VLOOKUP($D937,VEHICULOS!$A$3:$H$202,7,FALSE)),"")))</f>
      </c>
      <c r="BF937" s="82">
        <f>IF($A937="","",IF(TRIM($BC937&amp;"")&lt;&gt;"",$BC937,IF(TRIM($D937&amp;"")="","",IFERROR(IF(VLOOKUP($D937,VEHICULOS!$A$3:$H$202,8,FALSE)="","",VLOOKUP($D937,VEHICULOS!$A$3:$H$202,8,FALSE)),""))))</f>
      </c>
      <c r="BG937" s="106"/>
      <c r="BH937" s="107"/>
      <c r="BI937" s="86">
        <f t="shared" si="210"/>
      </c>
      <c r="BJ937" s="83">
        <f t="shared" si="211"/>
      </c>
      <c r="BK937" s="85">
        <f t="shared" si="212"/>
      </c>
      <c r="BL937" s="85">
        <f t="shared" si="213"/>
      </c>
      <c r="BM937" s="108"/>
      <c r="BN937" s="85">
        <f t="shared" si="214"/>
      </c>
      <c r="BO937" s="108"/>
      <c r="BP937" s="85">
        <f t="shared" si="215"/>
      </c>
      <c r="BQ937" s="85">
        <f t="shared" si="216"/>
      </c>
      <c r="BR937" s="108"/>
      <c r="BS937" s="104"/>
      <c r="BT937" s="87">
        <f t="shared" si="217"/>
      </c>
      <c r="BU937" s="85">
        <f t="shared" si="218"/>
      </c>
      <c r="BV937" s="85">
        <f t="shared" si="219"/>
      </c>
      <c r="BW937" s="87">
        <f t="shared" si="220"/>
      </c>
      <c r="BX937" s="104"/>
      <c r="BY937" s="106"/>
      <c r="BZ937" s="104"/>
      <c r="CA937" s="105"/>
      <c r="CB937" s="77">
        <f>IF($A937="",0,IF($B937='FICHA CLIENTE'!$C$4,1,0))</f>
      </c>
      <c r="CC937" s="77">
        <f t="shared" si="221"/>
      </c>
      <c r="CD937" s="77">
        <f>IF($A937="",0,IF($D937='FICHA VEHICULO'!$C$4,1,0))</f>
      </c>
      <c r="CE937" s="77">
        <f t="shared" si="222"/>
      </c>
      <c r="CF937" s="77">
        <f t="shared" si="223"/>
      </c>
      <c r="CG937" s="77">
        <f t="shared" si="224"/>
      </c>
    </row>
    <row r="938" spans="1:85" ht="19.5" customHeight="1" x14ac:dyDescent="0.2">
      <c r="A938" s="104"/>
      <c r="B938" s="104"/>
      <c r="C938" s="105"/>
      <c r="D938" s="104"/>
      <c r="E938" s="105"/>
      <c r="F938" s="106"/>
      <c r="G938" s="104"/>
      <c r="H938" s="106"/>
      <c r="I938" s="107"/>
      <c r="J938" s="108"/>
      <c r="K938" s="108"/>
      <c r="L938" s="108"/>
      <c r="M938" s="105"/>
      <c r="N938" s="105"/>
      <c r="O938" s="105"/>
      <c r="P938" s="108"/>
      <c r="Q938" s="105"/>
      <c r="R938" s="105"/>
      <c r="S938" s="105"/>
      <c r="T938" s="105"/>
      <c r="U938" s="108"/>
      <c r="V938" s="105"/>
      <c r="W938" s="105"/>
      <c r="X938" s="105"/>
      <c r="Y938" s="105"/>
      <c r="Z938" s="105"/>
      <c r="AA938" s="108"/>
      <c r="AB938" s="108"/>
      <c r="AC938" s="105"/>
      <c r="AD938" s="279"/>
      <c r="AE938" s="105"/>
      <c r="AF938" s="279"/>
      <c r="AG938" s="105"/>
      <c r="AH938" s="108"/>
      <c r="AI938" s="108"/>
      <c r="AJ938" s="108"/>
      <c r="AK938" s="108"/>
      <c r="AL938" s="105"/>
      <c r="AM938" s="108"/>
      <c r="AN938" s="105"/>
      <c r="AO938" s="108"/>
      <c r="AP938" s="108"/>
      <c r="AQ938" s="105"/>
      <c r="AR938" s="108"/>
      <c r="AS938" s="108"/>
      <c r="AT938" s="105"/>
      <c r="AU938" s="105"/>
      <c r="AV938" s="105"/>
      <c r="AW938" s="105"/>
      <c r="AX938" s="105"/>
      <c r="AY938" s="105"/>
      <c r="AZ938" s="105"/>
      <c r="BA938" s="105"/>
      <c r="BB938" s="105"/>
      <c r="BC938" s="105"/>
      <c r="BD938" s="108"/>
      <c r="BE938" s="83">
        <f>IF($A938="","",IF(TRIM($D938&amp;"")="",IF(TRIM($AX938&amp;$AY938&amp;$AZ938&amp;$BA938&amp;$BB938&amp;$BC938&amp;$BD938&amp;"")="","","SUBARRENDADO"),IFERROR(IF(VLOOKUP($D938,VEHICULOS!$A$3:$H$202,7,FALSE)="","",VLOOKUP($D938,VEHICULOS!$A$3:$H$202,7,FALSE)),"")))</f>
      </c>
      <c r="BF938" s="82">
        <f>IF($A938="","",IF(TRIM($BC938&amp;"")&lt;&gt;"",$BC938,IF(TRIM($D938&amp;"")="","",IFERROR(IF(VLOOKUP($D938,VEHICULOS!$A$3:$H$202,8,FALSE)="","",VLOOKUP($D938,VEHICULOS!$A$3:$H$202,8,FALSE)),""))))</f>
      </c>
      <c r="BG938" s="106"/>
      <c r="BH938" s="107"/>
      <c r="BI938" s="86">
        <f t="shared" si="210"/>
      </c>
      <c r="BJ938" s="83">
        <f t="shared" si="211"/>
      </c>
      <c r="BK938" s="85">
        <f t="shared" si="212"/>
      </c>
      <c r="BL938" s="85">
        <f t="shared" si="213"/>
      </c>
      <c r="BM938" s="108"/>
      <c r="BN938" s="85">
        <f t="shared" si="214"/>
      </c>
      <c r="BO938" s="108"/>
      <c r="BP938" s="85">
        <f t="shared" si="215"/>
      </c>
      <c r="BQ938" s="85">
        <f t="shared" si="216"/>
      </c>
      <c r="BR938" s="108"/>
      <c r="BS938" s="104"/>
      <c r="BT938" s="87">
        <f t="shared" si="217"/>
      </c>
      <c r="BU938" s="85">
        <f t="shared" si="218"/>
      </c>
      <c r="BV938" s="85">
        <f t="shared" si="219"/>
      </c>
      <c r="BW938" s="87">
        <f t="shared" si="220"/>
      </c>
      <c r="BX938" s="104"/>
      <c r="BY938" s="106"/>
      <c r="BZ938" s="104"/>
      <c r="CA938" s="105"/>
      <c r="CB938" s="77">
        <f>IF($A938="",0,IF($B938='FICHA CLIENTE'!$C$4,1,0))</f>
      </c>
      <c r="CC938" s="77">
        <f t="shared" si="221"/>
      </c>
      <c r="CD938" s="77">
        <f>IF($A938="",0,IF($D938='FICHA VEHICULO'!$C$4,1,0))</f>
      </c>
      <c r="CE938" s="77">
        <f t="shared" si="222"/>
      </c>
      <c r="CF938" s="77">
        <f t="shared" si="223"/>
      </c>
      <c r="CG938" s="77">
        <f t="shared" si="224"/>
      </c>
    </row>
    <row r="939" spans="1:85" ht="19.5" customHeight="1" x14ac:dyDescent="0.2">
      <c r="A939" s="104"/>
      <c r="B939" s="104"/>
      <c r="C939" s="105"/>
      <c r="D939" s="104"/>
      <c r="E939" s="105"/>
      <c r="F939" s="106"/>
      <c r="G939" s="104"/>
      <c r="H939" s="106"/>
      <c r="I939" s="107"/>
      <c r="J939" s="108"/>
      <c r="K939" s="108"/>
      <c r="L939" s="108"/>
      <c r="M939" s="105"/>
      <c r="N939" s="105"/>
      <c r="O939" s="105"/>
      <c r="P939" s="108"/>
      <c r="Q939" s="105"/>
      <c r="R939" s="105"/>
      <c r="S939" s="105"/>
      <c r="T939" s="105"/>
      <c r="U939" s="108"/>
      <c r="V939" s="105"/>
      <c r="W939" s="105"/>
      <c r="X939" s="105"/>
      <c r="Y939" s="105"/>
      <c r="Z939" s="105"/>
      <c r="AA939" s="108"/>
      <c r="AB939" s="108"/>
      <c r="AC939" s="105"/>
      <c r="AD939" s="279"/>
      <c r="AE939" s="105"/>
      <c r="AF939" s="279"/>
      <c r="AG939" s="105"/>
      <c r="AH939" s="108"/>
      <c r="AI939" s="108"/>
      <c r="AJ939" s="108"/>
      <c r="AK939" s="108"/>
      <c r="AL939" s="105"/>
      <c r="AM939" s="108"/>
      <c r="AN939" s="105"/>
      <c r="AO939" s="108"/>
      <c r="AP939" s="108"/>
      <c r="AQ939" s="105"/>
      <c r="AR939" s="108"/>
      <c r="AS939" s="108"/>
      <c r="AT939" s="105"/>
      <c r="AU939" s="105"/>
      <c r="AV939" s="105"/>
      <c r="AW939" s="105"/>
      <c r="AX939" s="105"/>
      <c r="AY939" s="105"/>
      <c r="AZ939" s="105"/>
      <c r="BA939" s="105"/>
      <c r="BB939" s="105"/>
      <c r="BC939" s="105"/>
      <c r="BD939" s="108"/>
      <c r="BE939" s="83">
        <f>IF($A939="","",IF(TRIM($D939&amp;"")="",IF(TRIM($AX939&amp;$AY939&amp;$AZ939&amp;$BA939&amp;$BB939&amp;$BC939&amp;$BD939&amp;"")="","","SUBARRENDADO"),IFERROR(IF(VLOOKUP($D939,VEHICULOS!$A$3:$H$202,7,FALSE)="","",VLOOKUP($D939,VEHICULOS!$A$3:$H$202,7,FALSE)),"")))</f>
      </c>
      <c r="BF939" s="82">
        <f>IF($A939="","",IF(TRIM($BC939&amp;"")&lt;&gt;"",$BC939,IF(TRIM($D939&amp;"")="","",IFERROR(IF(VLOOKUP($D939,VEHICULOS!$A$3:$H$202,8,FALSE)="","",VLOOKUP($D939,VEHICULOS!$A$3:$H$202,8,FALSE)),""))))</f>
      </c>
      <c r="BG939" s="106"/>
      <c r="BH939" s="107"/>
      <c r="BI939" s="86">
        <f t="shared" si="210"/>
      </c>
      <c r="BJ939" s="83">
        <f t="shared" si="211"/>
      </c>
      <c r="BK939" s="85">
        <f t="shared" si="212"/>
      </c>
      <c r="BL939" s="85">
        <f t="shared" si="213"/>
      </c>
      <c r="BM939" s="108"/>
      <c r="BN939" s="85">
        <f t="shared" si="214"/>
      </c>
      <c r="BO939" s="108"/>
      <c r="BP939" s="85">
        <f t="shared" si="215"/>
      </c>
      <c r="BQ939" s="85">
        <f t="shared" si="216"/>
      </c>
      <c r="BR939" s="108"/>
      <c r="BS939" s="104"/>
      <c r="BT939" s="87">
        <f t="shared" si="217"/>
      </c>
      <c r="BU939" s="85">
        <f t="shared" si="218"/>
      </c>
      <c r="BV939" s="85">
        <f t="shared" si="219"/>
      </c>
      <c r="BW939" s="87">
        <f t="shared" si="220"/>
      </c>
      <c r="BX939" s="104"/>
      <c r="BY939" s="106"/>
      <c r="BZ939" s="104"/>
      <c r="CA939" s="105"/>
      <c r="CB939" s="77">
        <f>IF($A939="",0,IF($B939='FICHA CLIENTE'!$C$4,1,0))</f>
      </c>
      <c r="CC939" s="77">
        <f t="shared" si="221"/>
      </c>
      <c r="CD939" s="77">
        <f>IF($A939="",0,IF($D939='FICHA VEHICULO'!$C$4,1,0))</f>
      </c>
      <c r="CE939" s="77">
        <f t="shared" si="222"/>
      </c>
      <c r="CF939" s="77">
        <f t="shared" si="223"/>
      </c>
      <c r="CG939" s="77">
        <f t="shared" si="224"/>
      </c>
    </row>
    <row r="940" spans="1:85" ht="19.5" customHeight="1" x14ac:dyDescent="0.2">
      <c r="A940" s="104"/>
      <c r="B940" s="104"/>
      <c r="C940" s="105"/>
      <c r="D940" s="104"/>
      <c r="E940" s="105"/>
      <c r="F940" s="106"/>
      <c r="G940" s="104"/>
      <c r="H940" s="106"/>
      <c r="I940" s="107"/>
      <c r="J940" s="108"/>
      <c r="K940" s="108"/>
      <c r="L940" s="108"/>
      <c r="M940" s="105"/>
      <c r="N940" s="105"/>
      <c r="O940" s="105"/>
      <c r="P940" s="108"/>
      <c r="Q940" s="105"/>
      <c r="R940" s="105"/>
      <c r="S940" s="105"/>
      <c r="T940" s="105"/>
      <c r="U940" s="108"/>
      <c r="V940" s="105"/>
      <c r="W940" s="105"/>
      <c r="X940" s="105"/>
      <c r="Y940" s="105"/>
      <c r="Z940" s="105"/>
      <c r="AA940" s="108"/>
      <c r="AB940" s="108"/>
      <c r="AC940" s="105"/>
      <c r="AD940" s="279"/>
      <c r="AE940" s="105"/>
      <c r="AF940" s="279"/>
      <c r="AG940" s="105"/>
      <c r="AH940" s="108"/>
      <c r="AI940" s="108"/>
      <c r="AJ940" s="108"/>
      <c r="AK940" s="108"/>
      <c r="AL940" s="105"/>
      <c r="AM940" s="108"/>
      <c r="AN940" s="105"/>
      <c r="AO940" s="108"/>
      <c r="AP940" s="108"/>
      <c r="AQ940" s="105"/>
      <c r="AR940" s="108"/>
      <c r="AS940" s="108"/>
      <c r="AT940" s="105"/>
      <c r="AU940" s="105"/>
      <c r="AV940" s="105"/>
      <c r="AW940" s="105"/>
      <c r="AX940" s="105"/>
      <c r="AY940" s="105"/>
      <c r="AZ940" s="105"/>
      <c r="BA940" s="105"/>
      <c r="BB940" s="105"/>
      <c r="BC940" s="105"/>
      <c r="BD940" s="108"/>
      <c r="BE940" s="83">
        <f>IF($A940="","",IF(TRIM($D940&amp;"")="",IF(TRIM($AX940&amp;$AY940&amp;$AZ940&amp;$BA940&amp;$BB940&amp;$BC940&amp;$BD940&amp;"")="","","SUBARRENDADO"),IFERROR(IF(VLOOKUP($D940,VEHICULOS!$A$3:$H$202,7,FALSE)="","",VLOOKUP($D940,VEHICULOS!$A$3:$H$202,7,FALSE)),"")))</f>
      </c>
      <c r="BF940" s="82">
        <f>IF($A940="","",IF(TRIM($BC940&amp;"")&lt;&gt;"",$BC940,IF(TRIM($D940&amp;"")="","",IFERROR(IF(VLOOKUP($D940,VEHICULOS!$A$3:$H$202,8,FALSE)="","",VLOOKUP($D940,VEHICULOS!$A$3:$H$202,8,FALSE)),""))))</f>
      </c>
      <c r="BG940" s="106"/>
      <c r="BH940" s="107"/>
      <c r="BI940" s="86">
        <f t="shared" si="210"/>
      </c>
      <c r="BJ940" s="83">
        <f t="shared" si="211"/>
      </c>
      <c r="BK940" s="85">
        <f t="shared" si="212"/>
      </c>
      <c r="BL940" s="85">
        <f t="shared" si="213"/>
      </c>
      <c r="BM940" s="108"/>
      <c r="BN940" s="85">
        <f t="shared" si="214"/>
      </c>
      <c r="BO940" s="108"/>
      <c r="BP940" s="85">
        <f t="shared" si="215"/>
      </c>
      <c r="BQ940" s="85">
        <f t="shared" si="216"/>
      </c>
      <c r="BR940" s="108"/>
      <c r="BS940" s="104"/>
      <c r="BT940" s="87">
        <f t="shared" si="217"/>
      </c>
      <c r="BU940" s="85">
        <f t="shared" si="218"/>
      </c>
      <c r="BV940" s="85">
        <f t="shared" si="219"/>
      </c>
      <c r="BW940" s="87">
        <f t="shared" si="220"/>
      </c>
      <c r="BX940" s="104"/>
      <c r="BY940" s="106"/>
      <c r="BZ940" s="104"/>
      <c r="CA940" s="105"/>
      <c r="CB940" s="77">
        <f>IF($A940="",0,IF($B940='FICHA CLIENTE'!$C$4,1,0))</f>
      </c>
      <c r="CC940" s="77">
        <f t="shared" si="221"/>
      </c>
      <c r="CD940" s="77">
        <f>IF($A940="",0,IF($D940='FICHA VEHICULO'!$C$4,1,0))</f>
      </c>
      <c r="CE940" s="77">
        <f t="shared" si="222"/>
      </c>
      <c r="CF940" s="77">
        <f t="shared" si="223"/>
      </c>
      <c r="CG940" s="77">
        <f t="shared" si="224"/>
      </c>
    </row>
    <row r="941" spans="1:85" ht="19.5" customHeight="1" x14ac:dyDescent="0.2">
      <c r="A941" s="104"/>
      <c r="B941" s="104"/>
      <c r="C941" s="105"/>
      <c r="D941" s="104"/>
      <c r="E941" s="105"/>
      <c r="F941" s="106"/>
      <c r="G941" s="104"/>
      <c r="H941" s="106"/>
      <c r="I941" s="107"/>
      <c r="J941" s="108"/>
      <c r="K941" s="108"/>
      <c r="L941" s="108"/>
      <c r="M941" s="105"/>
      <c r="N941" s="105"/>
      <c r="O941" s="105"/>
      <c r="P941" s="108"/>
      <c r="Q941" s="105"/>
      <c r="R941" s="105"/>
      <c r="S941" s="105"/>
      <c r="T941" s="105"/>
      <c r="U941" s="108"/>
      <c r="V941" s="105"/>
      <c r="W941" s="105"/>
      <c r="X941" s="105"/>
      <c r="Y941" s="105"/>
      <c r="Z941" s="105"/>
      <c r="AA941" s="108"/>
      <c r="AB941" s="108"/>
      <c r="AC941" s="105"/>
      <c r="AD941" s="279"/>
      <c r="AE941" s="105"/>
      <c r="AF941" s="279"/>
      <c r="AG941" s="105"/>
      <c r="AH941" s="108"/>
      <c r="AI941" s="108"/>
      <c r="AJ941" s="108"/>
      <c r="AK941" s="108"/>
      <c r="AL941" s="105"/>
      <c r="AM941" s="108"/>
      <c r="AN941" s="105"/>
      <c r="AO941" s="108"/>
      <c r="AP941" s="108"/>
      <c r="AQ941" s="105"/>
      <c r="AR941" s="108"/>
      <c r="AS941" s="108"/>
      <c r="AT941" s="105"/>
      <c r="AU941" s="105"/>
      <c r="AV941" s="105"/>
      <c r="AW941" s="105"/>
      <c r="AX941" s="105"/>
      <c r="AY941" s="105"/>
      <c r="AZ941" s="105"/>
      <c r="BA941" s="105"/>
      <c r="BB941" s="105"/>
      <c r="BC941" s="105"/>
      <c r="BD941" s="108"/>
      <c r="BE941" s="83">
        <f>IF($A941="","",IF(TRIM($D941&amp;"")="",IF(TRIM($AX941&amp;$AY941&amp;$AZ941&amp;$BA941&amp;$BB941&amp;$BC941&amp;$BD941&amp;"")="","","SUBARRENDADO"),IFERROR(IF(VLOOKUP($D941,VEHICULOS!$A$3:$H$202,7,FALSE)="","",VLOOKUP($D941,VEHICULOS!$A$3:$H$202,7,FALSE)),"")))</f>
      </c>
      <c r="BF941" s="82">
        <f>IF($A941="","",IF(TRIM($BC941&amp;"")&lt;&gt;"",$BC941,IF(TRIM($D941&amp;"")="","",IFERROR(IF(VLOOKUP($D941,VEHICULOS!$A$3:$H$202,8,FALSE)="","",VLOOKUP($D941,VEHICULOS!$A$3:$H$202,8,FALSE)),""))))</f>
      </c>
      <c r="BG941" s="106"/>
      <c r="BH941" s="107"/>
      <c r="BI941" s="86">
        <f t="shared" si="210"/>
      </c>
      <c r="BJ941" s="83">
        <f t="shared" si="211"/>
      </c>
      <c r="BK941" s="85">
        <f t="shared" si="212"/>
      </c>
      <c r="BL941" s="85">
        <f t="shared" si="213"/>
      </c>
      <c r="BM941" s="108"/>
      <c r="BN941" s="85">
        <f t="shared" si="214"/>
      </c>
      <c r="BO941" s="108"/>
      <c r="BP941" s="85">
        <f t="shared" si="215"/>
      </c>
      <c r="BQ941" s="85">
        <f t="shared" si="216"/>
      </c>
      <c r="BR941" s="108"/>
      <c r="BS941" s="104"/>
      <c r="BT941" s="87">
        <f t="shared" si="217"/>
      </c>
      <c r="BU941" s="85">
        <f t="shared" si="218"/>
      </c>
      <c r="BV941" s="85">
        <f t="shared" si="219"/>
      </c>
      <c r="BW941" s="87">
        <f t="shared" si="220"/>
      </c>
      <c r="BX941" s="104"/>
      <c r="BY941" s="106"/>
      <c r="BZ941" s="104"/>
      <c r="CA941" s="105"/>
      <c r="CB941" s="77">
        <f>IF($A941="",0,IF($B941='FICHA CLIENTE'!$C$4,1,0))</f>
      </c>
      <c r="CC941" s="77">
        <f t="shared" si="221"/>
      </c>
      <c r="CD941" s="77">
        <f>IF($A941="",0,IF($D941='FICHA VEHICULO'!$C$4,1,0))</f>
      </c>
      <c r="CE941" s="77">
        <f t="shared" si="222"/>
      </c>
      <c r="CF941" s="77">
        <f t="shared" si="223"/>
      </c>
      <c r="CG941" s="77">
        <f t="shared" si="224"/>
      </c>
    </row>
    <row r="942" spans="1:85" ht="19.5" customHeight="1" x14ac:dyDescent="0.2">
      <c r="A942" s="104"/>
      <c r="B942" s="104"/>
      <c r="C942" s="105"/>
      <c r="D942" s="104"/>
      <c r="E942" s="105"/>
      <c r="F942" s="106"/>
      <c r="G942" s="104"/>
      <c r="H942" s="106"/>
      <c r="I942" s="107"/>
      <c r="J942" s="108"/>
      <c r="K942" s="108"/>
      <c r="L942" s="108"/>
      <c r="M942" s="105"/>
      <c r="N942" s="105"/>
      <c r="O942" s="105"/>
      <c r="P942" s="108"/>
      <c r="Q942" s="105"/>
      <c r="R942" s="105"/>
      <c r="S942" s="105"/>
      <c r="T942" s="105"/>
      <c r="U942" s="108"/>
      <c r="V942" s="105"/>
      <c r="W942" s="105"/>
      <c r="X942" s="105"/>
      <c r="Y942" s="105"/>
      <c r="Z942" s="105"/>
      <c r="AA942" s="108"/>
      <c r="AB942" s="108"/>
      <c r="AC942" s="105"/>
      <c r="AD942" s="279"/>
      <c r="AE942" s="105"/>
      <c r="AF942" s="279"/>
      <c r="AG942" s="105"/>
      <c r="AH942" s="108"/>
      <c r="AI942" s="108"/>
      <c r="AJ942" s="108"/>
      <c r="AK942" s="108"/>
      <c r="AL942" s="105"/>
      <c r="AM942" s="108"/>
      <c r="AN942" s="105"/>
      <c r="AO942" s="108"/>
      <c r="AP942" s="108"/>
      <c r="AQ942" s="105"/>
      <c r="AR942" s="108"/>
      <c r="AS942" s="108"/>
      <c r="AT942" s="105"/>
      <c r="AU942" s="105"/>
      <c r="AV942" s="105"/>
      <c r="AW942" s="105"/>
      <c r="AX942" s="105"/>
      <c r="AY942" s="105"/>
      <c r="AZ942" s="105"/>
      <c r="BA942" s="105"/>
      <c r="BB942" s="105"/>
      <c r="BC942" s="105"/>
      <c r="BD942" s="108"/>
      <c r="BE942" s="83">
        <f>IF($A942="","",IF(TRIM($D942&amp;"")="",IF(TRIM($AX942&amp;$AY942&amp;$AZ942&amp;$BA942&amp;$BB942&amp;$BC942&amp;$BD942&amp;"")="","","SUBARRENDADO"),IFERROR(IF(VLOOKUP($D942,VEHICULOS!$A$3:$H$202,7,FALSE)="","",VLOOKUP($D942,VEHICULOS!$A$3:$H$202,7,FALSE)),"")))</f>
      </c>
      <c r="BF942" s="82">
        <f>IF($A942="","",IF(TRIM($BC942&amp;"")&lt;&gt;"",$BC942,IF(TRIM($D942&amp;"")="","",IFERROR(IF(VLOOKUP($D942,VEHICULOS!$A$3:$H$202,8,FALSE)="","",VLOOKUP($D942,VEHICULOS!$A$3:$H$202,8,FALSE)),""))))</f>
      </c>
      <c r="BG942" s="106"/>
      <c r="BH942" s="107"/>
      <c r="BI942" s="86">
        <f t="shared" si="210"/>
      </c>
      <c r="BJ942" s="83">
        <f t="shared" si="211"/>
      </c>
      <c r="BK942" s="85">
        <f t="shared" si="212"/>
      </c>
      <c r="BL942" s="85">
        <f t="shared" si="213"/>
      </c>
      <c r="BM942" s="108"/>
      <c r="BN942" s="85">
        <f t="shared" si="214"/>
      </c>
      <c r="BO942" s="108"/>
      <c r="BP942" s="85">
        <f t="shared" si="215"/>
      </c>
      <c r="BQ942" s="85">
        <f t="shared" si="216"/>
      </c>
      <c r="BR942" s="108"/>
      <c r="BS942" s="104"/>
      <c r="BT942" s="87">
        <f t="shared" si="217"/>
      </c>
      <c r="BU942" s="85">
        <f t="shared" si="218"/>
      </c>
      <c r="BV942" s="85">
        <f t="shared" si="219"/>
      </c>
      <c r="BW942" s="87">
        <f t="shared" si="220"/>
      </c>
      <c r="BX942" s="104"/>
      <c r="BY942" s="106"/>
      <c r="BZ942" s="104"/>
      <c r="CA942" s="105"/>
      <c r="CB942" s="77">
        <f>IF($A942="",0,IF($B942='FICHA CLIENTE'!$C$4,1,0))</f>
      </c>
      <c r="CC942" s="77">
        <f t="shared" si="221"/>
      </c>
      <c r="CD942" s="77">
        <f>IF($A942="",0,IF($D942='FICHA VEHICULO'!$C$4,1,0))</f>
      </c>
      <c r="CE942" s="77">
        <f t="shared" si="222"/>
      </c>
      <c r="CF942" s="77">
        <f t="shared" si="223"/>
      </c>
      <c r="CG942" s="77">
        <f t="shared" si="224"/>
      </c>
    </row>
    <row r="943" spans="1:85" ht="19.5" customHeight="1" x14ac:dyDescent="0.2">
      <c r="A943" s="104"/>
      <c r="B943" s="104"/>
      <c r="C943" s="105"/>
      <c r="D943" s="104"/>
      <c r="E943" s="105"/>
      <c r="F943" s="106"/>
      <c r="G943" s="104"/>
      <c r="H943" s="106"/>
      <c r="I943" s="107"/>
      <c r="J943" s="108"/>
      <c r="K943" s="108"/>
      <c r="L943" s="108"/>
      <c r="M943" s="105"/>
      <c r="N943" s="105"/>
      <c r="O943" s="105"/>
      <c r="P943" s="108"/>
      <c r="Q943" s="105"/>
      <c r="R943" s="105"/>
      <c r="S943" s="105"/>
      <c r="T943" s="105"/>
      <c r="U943" s="108"/>
      <c r="V943" s="105"/>
      <c r="W943" s="105"/>
      <c r="X943" s="105"/>
      <c r="Y943" s="105"/>
      <c r="Z943" s="105"/>
      <c r="AA943" s="108"/>
      <c r="AB943" s="108"/>
      <c r="AC943" s="105"/>
      <c r="AD943" s="279"/>
      <c r="AE943" s="105"/>
      <c r="AF943" s="279"/>
      <c r="AG943" s="105"/>
      <c r="AH943" s="108"/>
      <c r="AI943" s="108"/>
      <c r="AJ943" s="108"/>
      <c r="AK943" s="108"/>
      <c r="AL943" s="105"/>
      <c r="AM943" s="108"/>
      <c r="AN943" s="105"/>
      <c r="AO943" s="108"/>
      <c r="AP943" s="108"/>
      <c r="AQ943" s="105"/>
      <c r="AR943" s="108"/>
      <c r="AS943" s="108"/>
      <c r="AT943" s="105"/>
      <c r="AU943" s="105"/>
      <c r="AV943" s="105"/>
      <c r="AW943" s="105"/>
      <c r="AX943" s="105"/>
      <c r="AY943" s="105"/>
      <c r="AZ943" s="105"/>
      <c r="BA943" s="105"/>
      <c r="BB943" s="105"/>
      <c r="BC943" s="105"/>
      <c r="BD943" s="108"/>
      <c r="BE943" s="83">
        <f>IF($A943="","",IF(TRIM($D943&amp;"")="",IF(TRIM($AX943&amp;$AY943&amp;$AZ943&amp;$BA943&amp;$BB943&amp;$BC943&amp;$BD943&amp;"")="","","SUBARRENDADO"),IFERROR(IF(VLOOKUP($D943,VEHICULOS!$A$3:$H$202,7,FALSE)="","",VLOOKUP($D943,VEHICULOS!$A$3:$H$202,7,FALSE)),"")))</f>
      </c>
      <c r="BF943" s="82">
        <f>IF($A943="","",IF(TRIM($BC943&amp;"")&lt;&gt;"",$BC943,IF(TRIM($D943&amp;"")="","",IFERROR(IF(VLOOKUP($D943,VEHICULOS!$A$3:$H$202,8,FALSE)="","",VLOOKUP($D943,VEHICULOS!$A$3:$H$202,8,FALSE)),""))))</f>
      </c>
      <c r="BG943" s="106"/>
      <c r="BH943" s="107"/>
      <c r="BI943" s="86">
        <f t="shared" si="210"/>
      </c>
      <c r="BJ943" s="83">
        <f t="shared" si="211"/>
      </c>
      <c r="BK943" s="85">
        <f t="shared" si="212"/>
      </c>
      <c r="BL943" s="85">
        <f t="shared" si="213"/>
      </c>
      <c r="BM943" s="108"/>
      <c r="BN943" s="85">
        <f t="shared" si="214"/>
      </c>
      <c r="BO943" s="108"/>
      <c r="BP943" s="85">
        <f t="shared" si="215"/>
      </c>
      <c r="BQ943" s="85">
        <f t="shared" si="216"/>
      </c>
      <c r="BR943" s="108"/>
      <c r="BS943" s="104"/>
      <c r="BT943" s="87">
        <f t="shared" si="217"/>
      </c>
      <c r="BU943" s="85">
        <f t="shared" si="218"/>
      </c>
      <c r="BV943" s="85">
        <f t="shared" si="219"/>
      </c>
      <c r="BW943" s="87">
        <f t="shared" si="220"/>
      </c>
      <c r="BX943" s="104"/>
      <c r="BY943" s="106"/>
      <c r="BZ943" s="104"/>
      <c r="CA943" s="105"/>
      <c r="CB943" s="77">
        <f>IF($A943="",0,IF($B943='FICHA CLIENTE'!$C$4,1,0))</f>
      </c>
      <c r="CC943" s="77">
        <f t="shared" si="221"/>
      </c>
      <c r="CD943" s="77">
        <f>IF($A943="",0,IF($D943='FICHA VEHICULO'!$C$4,1,0))</f>
      </c>
      <c r="CE943" s="77">
        <f t="shared" si="222"/>
      </c>
      <c r="CF943" s="77">
        <f t="shared" si="223"/>
      </c>
      <c r="CG943" s="77">
        <f t="shared" si="224"/>
      </c>
    </row>
    <row r="944" spans="1:85" ht="19.5" customHeight="1" x14ac:dyDescent="0.2">
      <c r="A944" s="104"/>
      <c r="B944" s="104"/>
      <c r="C944" s="105"/>
      <c r="D944" s="104"/>
      <c r="E944" s="105"/>
      <c r="F944" s="106"/>
      <c r="G944" s="104"/>
      <c r="H944" s="106"/>
      <c r="I944" s="107"/>
      <c r="J944" s="108"/>
      <c r="K944" s="108"/>
      <c r="L944" s="108"/>
      <c r="M944" s="105"/>
      <c r="N944" s="105"/>
      <c r="O944" s="105"/>
      <c r="P944" s="108"/>
      <c r="Q944" s="105"/>
      <c r="R944" s="105"/>
      <c r="S944" s="105"/>
      <c r="T944" s="105"/>
      <c r="U944" s="108"/>
      <c r="V944" s="105"/>
      <c r="W944" s="105"/>
      <c r="X944" s="105"/>
      <c r="Y944" s="105"/>
      <c r="Z944" s="105"/>
      <c r="AA944" s="108"/>
      <c r="AB944" s="108"/>
      <c r="AC944" s="105"/>
      <c r="AD944" s="279"/>
      <c r="AE944" s="105"/>
      <c r="AF944" s="279"/>
      <c r="AG944" s="105"/>
      <c r="AH944" s="108"/>
      <c r="AI944" s="108"/>
      <c r="AJ944" s="108"/>
      <c r="AK944" s="108"/>
      <c r="AL944" s="105"/>
      <c r="AM944" s="108"/>
      <c r="AN944" s="105"/>
      <c r="AO944" s="108"/>
      <c r="AP944" s="108"/>
      <c r="AQ944" s="105"/>
      <c r="AR944" s="108"/>
      <c r="AS944" s="108"/>
      <c r="AT944" s="105"/>
      <c r="AU944" s="105"/>
      <c r="AV944" s="105"/>
      <c r="AW944" s="105"/>
      <c r="AX944" s="105"/>
      <c r="AY944" s="105"/>
      <c r="AZ944" s="105"/>
      <c r="BA944" s="105"/>
      <c r="BB944" s="105"/>
      <c r="BC944" s="105"/>
      <c r="BD944" s="108"/>
      <c r="BE944" s="83">
        <f>IF($A944="","",IF(TRIM($D944&amp;"")="",IF(TRIM($AX944&amp;$AY944&amp;$AZ944&amp;$BA944&amp;$BB944&amp;$BC944&amp;$BD944&amp;"")="","","SUBARRENDADO"),IFERROR(IF(VLOOKUP($D944,VEHICULOS!$A$3:$H$202,7,FALSE)="","",VLOOKUP($D944,VEHICULOS!$A$3:$H$202,7,FALSE)),"")))</f>
      </c>
      <c r="BF944" s="82">
        <f>IF($A944="","",IF(TRIM($BC944&amp;"")&lt;&gt;"",$BC944,IF(TRIM($D944&amp;"")="","",IFERROR(IF(VLOOKUP($D944,VEHICULOS!$A$3:$H$202,8,FALSE)="","",VLOOKUP($D944,VEHICULOS!$A$3:$H$202,8,FALSE)),""))))</f>
      </c>
      <c r="BG944" s="106"/>
      <c r="BH944" s="107"/>
      <c r="BI944" s="86">
        <f t="shared" si="210"/>
      </c>
      <c r="BJ944" s="83">
        <f t="shared" si="211"/>
      </c>
      <c r="BK944" s="85">
        <f t="shared" si="212"/>
      </c>
      <c r="BL944" s="85">
        <f t="shared" si="213"/>
      </c>
      <c r="BM944" s="108"/>
      <c r="BN944" s="85">
        <f t="shared" si="214"/>
      </c>
      <c r="BO944" s="108"/>
      <c r="BP944" s="85">
        <f t="shared" si="215"/>
      </c>
      <c r="BQ944" s="85">
        <f t="shared" si="216"/>
      </c>
      <c r="BR944" s="108"/>
      <c r="BS944" s="104"/>
      <c r="BT944" s="87">
        <f t="shared" si="217"/>
      </c>
      <c r="BU944" s="85">
        <f t="shared" si="218"/>
      </c>
      <c r="BV944" s="85">
        <f t="shared" si="219"/>
      </c>
      <c r="BW944" s="87">
        <f t="shared" si="220"/>
      </c>
      <c r="BX944" s="104"/>
      <c r="BY944" s="106"/>
      <c r="BZ944" s="104"/>
      <c r="CA944" s="105"/>
      <c r="CB944" s="77">
        <f>IF($A944="",0,IF($B944='FICHA CLIENTE'!$C$4,1,0))</f>
      </c>
      <c r="CC944" s="77">
        <f t="shared" si="221"/>
      </c>
      <c r="CD944" s="77">
        <f>IF($A944="",0,IF($D944='FICHA VEHICULO'!$C$4,1,0))</f>
      </c>
      <c r="CE944" s="77">
        <f t="shared" si="222"/>
      </c>
      <c r="CF944" s="77">
        <f t="shared" si="223"/>
      </c>
      <c r="CG944" s="77">
        <f t="shared" si="224"/>
      </c>
    </row>
    <row r="945" spans="1:85" ht="19.5" customHeight="1" x14ac:dyDescent="0.2">
      <c r="A945" s="104"/>
      <c r="B945" s="104"/>
      <c r="C945" s="105"/>
      <c r="D945" s="104"/>
      <c r="E945" s="105"/>
      <c r="F945" s="106"/>
      <c r="G945" s="104"/>
      <c r="H945" s="106"/>
      <c r="I945" s="107"/>
      <c r="J945" s="108"/>
      <c r="K945" s="108"/>
      <c r="L945" s="108"/>
      <c r="M945" s="105"/>
      <c r="N945" s="105"/>
      <c r="O945" s="105"/>
      <c r="P945" s="108"/>
      <c r="Q945" s="105"/>
      <c r="R945" s="105"/>
      <c r="S945" s="105"/>
      <c r="T945" s="105"/>
      <c r="U945" s="108"/>
      <c r="V945" s="105"/>
      <c r="W945" s="105"/>
      <c r="X945" s="105"/>
      <c r="Y945" s="105"/>
      <c r="Z945" s="105"/>
      <c r="AA945" s="108"/>
      <c r="AB945" s="108"/>
      <c r="AC945" s="105"/>
      <c r="AD945" s="279"/>
      <c r="AE945" s="105"/>
      <c r="AF945" s="279"/>
      <c r="AG945" s="105"/>
      <c r="AH945" s="108"/>
      <c r="AI945" s="108"/>
      <c r="AJ945" s="108"/>
      <c r="AK945" s="108"/>
      <c r="AL945" s="105"/>
      <c r="AM945" s="108"/>
      <c r="AN945" s="105"/>
      <c r="AO945" s="108"/>
      <c r="AP945" s="108"/>
      <c r="AQ945" s="105"/>
      <c r="AR945" s="108"/>
      <c r="AS945" s="108"/>
      <c r="AT945" s="105"/>
      <c r="AU945" s="105"/>
      <c r="AV945" s="105"/>
      <c r="AW945" s="105"/>
      <c r="AX945" s="105"/>
      <c r="AY945" s="105"/>
      <c r="AZ945" s="105"/>
      <c r="BA945" s="105"/>
      <c r="BB945" s="105"/>
      <c r="BC945" s="105"/>
      <c r="BD945" s="108"/>
      <c r="BE945" s="83">
        <f>IF($A945="","",IF(TRIM($D945&amp;"")="",IF(TRIM($AX945&amp;$AY945&amp;$AZ945&amp;$BA945&amp;$BB945&amp;$BC945&amp;$BD945&amp;"")="","","SUBARRENDADO"),IFERROR(IF(VLOOKUP($D945,VEHICULOS!$A$3:$H$202,7,FALSE)="","",VLOOKUP($D945,VEHICULOS!$A$3:$H$202,7,FALSE)),"")))</f>
      </c>
      <c r="BF945" s="82">
        <f>IF($A945="","",IF(TRIM($BC945&amp;"")&lt;&gt;"",$BC945,IF(TRIM($D945&amp;"")="","",IFERROR(IF(VLOOKUP($D945,VEHICULOS!$A$3:$H$202,8,FALSE)="","",VLOOKUP($D945,VEHICULOS!$A$3:$H$202,8,FALSE)),""))))</f>
      </c>
      <c r="BG945" s="106"/>
      <c r="BH945" s="107"/>
      <c r="BI945" s="86">
        <f t="shared" si="210"/>
      </c>
      <c r="BJ945" s="83">
        <f t="shared" si="211"/>
      </c>
      <c r="BK945" s="85">
        <f t="shared" si="212"/>
      </c>
      <c r="BL945" s="85">
        <f t="shared" si="213"/>
      </c>
      <c r="BM945" s="108"/>
      <c r="BN945" s="85">
        <f t="shared" si="214"/>
      </c>
      <c r="BO945" s="108"/>
      <c r="BP945" s="85">
        <f t="shared" si="215"/>
      </c>
      <c r="BQ945" s="85">
        <f t="shared" si="216"/>
      </c>
      <c r="BR945" s="108"/>
      <c r="BS945" s="104"/>
      <c r="BT945" s="87">
        <f t="shared" si="217"/>
      </c>
      <c r="BU945" s="85">
        <f t="shared" si="218"/>
      </c>
      <c r="BV945" s="85">
        <f t="shared" si="219"/>
      </c>
      <c r="BW945" s="87">
        <f t="shared" si="220"/>
      </c>
      <c r="BX945" s="104"/>
      <c r="BY945" s="106"/>
      <c r="BZ945" s="104"/>
      <c r="CA945" s="105"/>
      <c r="CB945" s="77">
        <f>IF($A945="",0,IF($B945='FICHA CLIENTE'!$C$4,1,0))</f>
      </c>
      <c r="CC945" s="77">
        <f t="shared" si="221"/>
      </c>
      <c r="CD945" s="77">
        <f>IF($A945="",0,IF($D945='FICHA VEHICULO'!$C$4,1,0))</f>
      </c>
      <c r="CE945" s="77">
        <f t="shared" si="222"/>
      </c>
      <c r="CF945" s="77">
        <f t="shared" si="223"/>
      </c>
      <c r="CG945" s="77">
        <f t="shared" si="224"/>
      </c>
    </row>
    <row r="946" spans="1:85" ht="19.5" customHeight="1" x14ac:dyDescent="0.2">
      <c r="A946" s="104"/>
      <c r="B946" s="104"/>
      <c r="C946" s="105"/>
      <c r="D946" s="104"/>
      <c r="E946" s="105"/>
      <c r="F946" s="106"/>
      <c r="G946" s="104"/>
      <c r="H946" s="106"/>
      <c r="I946" s="107"/>
      <c r="J946" s="108"/>
      <c r="K946" s="108"/>
      <c r="L946" s="108"/>
      <c r="M946" s="105"/>
      <c r="N946" s="105"/>
      <c r="O946" s="105"/>
      <c r="P946" s="108"/>
      <c r="Q946" s="105"/>
      <c r="R946" s="105"/>
      <c r="S946" s="105"/>
      <c r="T946" s="105"/>
      <c r="U946" s="108"/>
      <c r="V946" s="105"/>
      <c r="W946" s="105"/>
      <c r="X946" s="105"/>
      <c r="Y946" s="105"/>
      <c r="Z946" s="105"/>
      <c r="AA946" s="108"/>
      <c r="AB946" s="108"/>
      <c r="AC946" s="105"/>
      <c r="AD946" s="279"/>
      <c r="AE946" s="105"/>
      <c r="AF946" s="279"/>
      <c r="AG946" s="105"/>
      <c r="AH946" s="108"/>
      <c r="AI946" s="108"/>
      <c r="AJ946" s="108"/>
      <c r="AK946" s="108"/>
      <c r="AL946" s="105"/>
      <c r="AM946" s="108"/>
      <c r="AN946" s="105"/>
      <c r="AO946" s="108"/>
      <c r="AP946" s="108"/>
      <c r="AQ946" s="105"/>
      <c r="AR946" s="108"/>
      <c r="AS946" s="108"/>
      <c r="AT946" s="105"/>
      <c r="AU946" s="105"/>
      <c r="AV946" s="105"/>
      <c r="AW946" s="105"/>
      <c r="AX946" s="105"/>
      <c r="AY946" s="105"/>
      <c r="AZ946" s="105"/>
      <c r="BA946" s="105"/>
      <c r="BB946" s="105"/>
      <c r="BC946" s="105"/>
      <c r="BD946" s="108"/>
      <c r="BE946" s="83">
        <f>IF($A946="","",IF(TRIM($D946&amp;"")="",IF(TRIM($AX946&amp;$AY946&amp;$AZ946&amp;$BA946&amp;$BB946&amp;$BC946&amp;$BD946&amp;"")="","","SUBARRENDADO"),IFERROR(IF(VLOOKUP($D946,VEHICULOS!$A$3:$H$202,7,FALSE)="","",VLOOKUP($D946,VEHICULOS!$A$3:$H$202,7,FALSE)),"")))</f>
      </c>
      <c r="BF946" s="82">
        <f>IF($A946="","",IF(TRIM($BC946&amp;"")&lt;&gt;"",$BC946,IF(TRIM($D946&amp;"")="","",IFERROR(IF(VLOOKUP($D946,VEHICULOS!$A$3:$H$202,8,FALSE)="","",VLOOKUP($D946,VEHICULOS!$A$3:$H$202,8,FALSE)),""))))</f>
      </c>
      <c r="BG946" s="106"/>
      <c r="BH946" s="107"/>
      <c r="BI946" s="86">
        <f t="shared" si="210"/>
      </c>
      <c r="BJ946" s="83">
        <f t="shared" si="211"/>
      </c>
      <c r="BK946" s="85">
        <f t="shared" si="212"/>
      </c>
      <c r="BL946" s="85">
        <f t="shared" si="213"/>
      </c>
      <c r="BM946" s="108"/>
      <c r="BN946" s="85">
        <f t="shared" si="214"/>
      </c>
      <c r="BO946" s="108"/>
      <c r="BP946" s="85">
        <f t="shared" si="215"/>
      </c>
      <c r="BQ946" s="85">
        <f t="shared" si="216"/>
      </c>
      <c r="BR946" s="108"/>
      <c r="BS946" s="104"/>
      <c r="BT946" s="87">
        <f t="shared" si="217"/>
      </c>
      <c r="BU946" s="85">
        <f t="shared" si="218"/>
      </c>
      <c r="BV946" s="85">
        <f t="shared" si="219"/>
      </c>
      <c r="BW946" s="87">
        <f t="shared" si="220"/>
      </c>
      <c r="BX946" s="104"/>
      <c r="BY946" s="106"/>
      <c r="BZ946" s="104"/>
      <c r="CA946" s="105"/>
      <c r="CB946" s="77">
        <f>IF($A946="",0,IF($B946='FICHA CLIENTE'!$C$4,1,0))</f>
      </c>
      <c r="CC946" s="77">
        <f t="shared" si="221"/>
      </c>
      <c r="CD946" s="77">
        <f>IF($A946="",0,IF($D946='FICHA VEHICULO'!$C$4,1,0))</f>
      </c>
      <c r="CE946" s="77">
        <f t="shared" si="222"/>
      </c>
      <c r="CF946" s="77">
        <f t="shared" si="223"/>
      </c>
      <c r="CG946" s="77">
        <f t="shared" si="224"/>
      </c>
    </row>
    <row r="947" spans="1:85" ht="19.5" customHeight="1" x14ac:dyDescent="0.2">
      <c r="A947" s="104"/>
      <c r="B947" s="104"/>
      <c r="C947" s="105"/>
      <c r="D947" s="104"/>
      <c r="E947" s="105"/>
      <c r="F947" s="106"/>
      <c r="G947" s="104"/>
      <c r="H947" s="106"/>
      <c r="I947" s="107"/>
      <c r="J947" s="108"/>
      <c r="K947" s="108"/>
      <c r="L947" s="108"/>
      <c r="M947" s="105"/>
      <c r="N947" s="105"/>
      <c r="O947" s="105"/>
      <c r="P947" s="108"/>
      <c r="Q947" s="105"/>
      <c r="R947" s="105"/>
      <c r="S947" s="105"/>
      <c r="T947" s="105"/>
      <c r="U947" s="108"/>
      <c r="V947" s="105"/>
      <c r="W947" s="105"/>
      <c r="X947" s="105"/>
      <c r="Y947" s="105"/>
      <c r="Z947" s="105"/>
      <c r="AA947" s="108"/>
      <c r="AB947" s="108"/>
      <c r="AC947" s="105"/>
      <c r="AD947" s="279"/>
      <c r="AE947" s="105"/>
      <c r="AF947" s="279"/>
      <c r="AG947" s="105"/>
      <c r="AH947" s="108"/>
      <c r="AI947" s="108"/>
      <c r="AJ947" s="108"/>
      <c r="AK947" s="108"/>
      <c r="AL947" s="105"/>
      <c r="AM947" s="108"/>
      <c r="AN947" s="105"/>
      <c r="AO947" s="108"/>
      <c r="AP947" s="108"/>
      <c r="AQ947" s="105"/>
      <c r="AR947" s="108"/>
      <c r="AS947" s="108"/>
      <c r="AT947" s="105"/>
      <c r="AU947" s="105"/>
      <c r="AV947" s="105"/>
      <c r="AW947" s="105"/>
      <c r="AX947" s="105"/>
      <c r="AY947" s="105"/>
      <c r="AZ947" s="105"/>
      <c r="BA947" s="105"/>
      <c r="BB947" s="105"/>
      <c r="BC947" s="105"/>
      <c r="BD947" s="108"/>
      <c r="BE947" s="83">
        <f>IF($A947="","",IF(TRIM($D947&amp;"")="",IF(TRIM($AX947&amp;$AY947&amp;$AZ947&amp;$BA947&amp;$BB947&amp;$BC947&amp;$BD947&amp;"")="","","SUBARRENDADO"),IFERROR(IF(VLOOKUP($D947,VEHICULOS!$A$3:$H$202,7,FALSE)="","",VLOOKUP($D947,VEHICULOS!$A$3:$H$202,7,FALSE)),"")))</f>
      </c>
      <c r="BF947" s="82">
        <f>IF($A947="","",IF(TRIM($BC947&amp;"")&lt;&gt;"",$BC947,IF(TRIM($D947&amp;"")="","",IFERROR(IF(VLOOKUP($D947,VEHICULOS!$A$3:$H$202,8,FALSE)="","",VLOOKUP($D947,VEHICULOS!$A$3:$H$202,8,FALSE)),""))))</f>
      </c>
      <c r="BG947" s="106"/>
      <c r="BH947" s="107"/>
      <c r="BI947" s="86">
        <f t="shared" si="210"/>
      </c>
      <c r="BJ947" s="83">
        <f t="shared" si="211"/>
      </c>
      <c r="BK947" s="85">
        <f t="shared" si="212"/>
      </c>
      <c r="BL947" s="85">
        <f t="shared" si="213"/>
      </c>
      <c r="BM947" s="108"/>
      <c r="BN947" s="85">
        <f t="shared" si="214"/>
      </c>
      <c r="BO947" s="108"/>
      <c r="BP947" s="85">
        <f t="shared" si="215"/>
      </c>
      <c r="BQ947" s="85">
        <f t="shared" si="216"/>
      </c>
      <c r="BR947" s="108"/>
      <c r="BS947" s="104"/>
      <c r="BT947" s="87">
        <f t="shared" si="217"/>
      </c>
      <c r="BU947" s="85">
        <f t="shared" si="218"/>
      </c>
      <c r="BV947" s="85">
        <f t="shared" si="219"/>
      </c>
      <c r="BW947" s="87">
        <f t="shared" si="220"/>
      </c>
      <c r="BX947" s="104"/>
      <c r="BY947" s="106"/>
      <c r="BZ947" s="104"/>
      <c r="CA947" s="105"/>
      <c r="CB947" s="77">
        <f>IF($A947="",0,IF($B947='FICHA CLIENTE'!$C$4,1,0))</f>
      </c>
      <c r="CC947" s="77">
        <f t="shared" si="221"/>
      </c>
      <c r="CD947" s="77">
        <f>IF($A947="",0,IF($D947='FICHA VEHICULO'!$C$4,1,0))</f>
      </c>
      <c r="CE947" s="77">
        <f t="shared" si="222"/>
      </c>
      <c r="CF947" s="77">
        <f t="shared" si="223"/>
      </c>
      <c r="CG947" s="77">
        <f t="shared" si="224"/>
      </c>
    </row>
    <row r="948" spans="1:85" ht="19.5" customHeight="1" x14ac:dyDescent="0.2">
      <c r="A948" s="104"/>
      <c r="B948" s="104"/>
      <c r="C948" s="105"/>
      <c r="D948" s="104"/>
      <c r="E948" s="105"/>
      <c r="F948" s="106"/>
      <c r="G948" s="104"/>
      <c r="H948" s="106"/>
      <c r="I948" s="107"/>
      <c r="J948" s="108"/>
      <c r="K948" s="108"/>
      <c r="L948" s="108"/>
      <c r="M948" s="105"/>
      <c r="N948" s="105"/>
      <c r="O948" s="105"/>
      <c r="P948" s="108"/>
      <c r="Q948" s="105"/>
      <c r="R948" s="105"/>
      <c r="S948" s="105"/>
      <c r="T948" s="105"/>
      <c r="U948" s="108"/>
      <c r="V948" s="105"/>
      <c r="W948" s="105"/>
      <c r="X948" s="105"/>
      <c r="Y948" s="105"/>
      <c r="Z948" s="105"/>
      <c r="AA948" s="108"/>
      <c r="AB948" s="108"/>
      <c r="AC948" s="105"/>
      <c r="AD948" s="279"/>
      <c r="AE948" s="105"/>
      <c r="AF948" s="279"/>
      <c r="AG948" s="105"/>
      <c r="AH948" s="108"/>
      <c r="AI948" s="108"/>
      <c r="AJ948" s="108"/>
      <c r="AK948" s="108"/>
      <c r="AL948" s="105"/>
      <c r="AM948" s="108"/>
      <c r="AN948" s="105"/>
      <c r="AO948" s="108"/>
      <c r="AP948" s="108"/>
      <c r="AQ948" s="105"/>
      <c r="AR948" s="108"/>
      <c r="AS948" s="108"/>
      <c r="AT948" s="105"/>
      <c r="AU948" s="105"/>
      <c r="AV948" s="105"/>
      <c r="AW948" s="105"/>
      <c r="AX948" s="105"/>
      <c r="AY948" s="105"/>
      <c r="AZ948" s="105"/>
      <c r="BA948" s="105"/>
      <c r="BB948" s="105"/>
      <c r="BC948" s="105"/>
      <c r="BD948" s="108"/>
      <c r="BE948" s="83">
        <f>IF($A948="","",IF(TRIM($D948&amp;"")="",IF(TRIM($AX948&amp;$AY948&amp;$AZ948&amp;$BA948&amp;$BB948&amp;$BC948&amp;$BD948&amp;"")="","","SUBARRENDADO"),IFERROR(IF(VLOOKUP($D948,VEHICULOS!$A$3:$H$202,7,FALSE)="","",VLOOKUP($D948,VEHICULOS!$A$3:$H$202,7,FALSE)),"")))</f>
      </c>
      <c r="BF948" s="82">
        <f>IF($A948="","",IF(TRIM($BC948&amp;"")&lt;&gt;"",$BC948,IF(TRIM($D948&amp;"")="","",IFERROR(IF(VLOOKUP($D948,VEHICULOS!$A$3:$H$202,8,FALSE)="","",VLOOKUP($D948,VEHICULOS!$A$3:$H$202,8,FALSE)),""))))</f>
      </c>
      <c r="BG948" s="106"/>
      <c r="BH948" s="107"/>
      <c r="BI948" s="86">
        <f t="shared" si="210"/>
      </c>
      <c r="BJ948" s="83">
        <f t="shared" si="211"/>
      </c>
      <c r="BK948" s="85">
        <f t="shared" si="212"/>
      </c>
      <c r="BL948" s="85">
        <f t="shared" si="213"/>
      </c>
      <c r="BM948" s="108"/>
      <c r="BN948" s="85">
        <f t="shared" si="214"/>
      </c>
      <c r="BO948" s="108"/>
      <c r="BP948" s="85">
        <f t="shared" si="215"/>
      </c>
      <c r="BQ948" s="85">
        <f t="shared" si="216"/>
      </c>
      <c r="BR948" s="108"/>
      <c r="BS948" s="104"/>
      <c r="BT948" s="87">
        <f t="shared" si="217"/>
      </c>
      <c r="BU948" s="85">
        <f t="shared" si="218"/>
      </c>
      <c r="BV948" s="85">
        <f t="shared" si="219"/>
      </c>
      <c r="BW948" s="87">
        <f t="shared" si="220"/>
      </c>
      <c r="BX948" s="104"/>
      <c r="BY948" s="106"/>
      <c r="BZ948" s="104"/>
      <c r="CA948" s="105"/>
      <c r="CB948" s="77">
        <f>IF($A948="",0,IF($B948='FICHA CLIENTE'!$C$4,1,0))</f>
      </c>
      <c r="CC948" s="77">
        <f t="shared" si="221"/>
      </c>
      <c r="CD948" s="77">
        <f>IF($A948="",0,IF($D948='FICHA VEHICULO'!$C$4,1,0))</f>
      </c>
      <c r="CE948" s="77">
        <f t="shared" si="222"/>
      </c>
      <c r="CF948" s="77">
        <f t="shared" si="223"/>
      </c>
      <c r="CG948" s="77">
        <f t="shared" si="224"/>
      </c>
    </row>
    <row r="949" spans="1:85" ht="19.5" customHeight="1" x14ac:dyDescent="0.2">
      <c r="A949" s="104"/>
      <c r="B949" s="104"/>
      <c r="C949" s="105"/>
      <c r="D949" s="104"/>
      <c r="E949" s="105"/>
      <c r="F949" s="106"/>
      <c r="G949" s="104"/>
      <c r="H949" s="106"/>
      <c r="I949" s="107"/>
      <c r="J949" s="108"/>
      <c r="K949" s="108"/>
      <c r="L949" s="108"/>
      <c r="M949" s="105"/>
      <c r="N949" s="105"/>
      <c r="O949" s="105"/>
      <c r="P949" s="108"/>
      <c r="Q949" s="105"/>
      <c r="R949" s="105"/>
      <c r="S949" s="105"/>
      <c r="T949" s="105"/>
      <c r="U949" s="108"/>
      <c r="V949" s="105"/>
      <c r="W949" s="105"/>
      <c r="X949" s="105"/>
      <c r="Y949" s="105"/>
      <c r="Z949" s="105"/>
      <c r="AA949" s="108"/>
      <c r="AB949" s="108"/>
      <c r="AC949" s="105"/>
      <c r="AD949" s="279"/>
      <c r="AE949" s="105"/>
      <c r="AF949" s="279"/>
      <c r="AG949" s="105"/>
      <c r="AH949" s="108"/>
      <c r="AI949" s="108"/>
      <c r="AJ949" s="108"/>
      <c r="AK949" s="108"/>
      <c r="AL949" s="105"/>
      <c r="AM949" s="108"/>
      <c r="AN949" s="105"/>
      <c r="AO949" s="108"/>
      <c r="AP949" s="108"/>
      <c r="AQ949" s="105"/>
      <c r="AR949" s="108"/>
      <c r="AS949" s="108"/>
      <c r="AT949" s="105"/>
      <c r="AU949" s="105"/>
      <c r="AV949" s="105"/>
      <c r="AW949" s="105"/>
      <c r="AX949" s="105"/>
      <c r="AY949" s="105"/>
      <c r="AZ949" s="105"/>
      <c r="BA949" s="105"/>
      <c r="BB949" s="105"/>
      <c r="BC949" s="105"/>
      <c r="BD949" s="108"/>
      <c r="BE949" s="83">
        <f>IF($A949="","",IF(TRIM($D949&amp;"")="",IF(TRIM($AX949&amp;$AY949&amp;$AZ949&amp;$BA949&amp;$BB949&amp;$BC949&amp;$BD949&amp;"")="","","SUBARRENDADO"),IFERROR(IF(VLOOKUP($D949,VEHICULOS!$A$3:$H$202,7,FALSE)="","",VLOOKUP($D949,VEHICULOS!$A$3:$H$202,7,FALSE)),"")))</f>
      </c>
      <c r="BF949" s="82">
        <f>IF($A949="","",IF(TRIM($BC949&amp;"")&lt;&gt;"",$BC949,IF(TRIM($D949&amp;"")="","",IFERROR(IF(VLOOKUP($D949,VEHICULOS!$A$3:$H$202,8,FALSE)="","",VLOOKUP($D949,VEHICULOS!$A$3:$H$202,8,FALSE)),""))))</f>
      </c>
      <c r="BG949" s="106"/>
      <c r="BH949" s="107"/>
      <c r="BI949" s="86">
        <f t="shared" si="210"/>
      </c>
      <c r="BJ949" s="83">
        <f t="shared" si="211"/>
      </c>
      <c r="BK949" s="85">
        <f t="shared" si="212"/>
      </c>
      <c r="BL949" s="85">
        <f t="shared" si="213"/>
      </c>
      <c r="BM949" s="108"/>
      <c r="BN949" s="85">
        <f t="shared" si="214"/>
      </c>
      <c r="BO949" s="108"/>
      <c r="BP949" s="85">
        <f t="shared" si="215"/>
      </c>
      <c r="BQ949" s="85">
        <f t="shared" si="216"/>
      </c>
      <c r="BR949" s="108"/>
      <c r="BS949" s="104"/>
      <c r="BT949" s="87">
        <f t="shared" si="217"/>
      </c>
      <c r="BU949" s="85">
        <f t="shared" si="218"/>
      </c>
      <c r="BV949" s="85">
        <f t="shared" si="219"/>
      </c>
      <c r="BW949" s="87">
        <f t="shared" si="220"/>
      </c>
      <c r="BX949" s="104"/>
      <c r="BY949" s="106"/>
      <c r="BZ949" s="104"/>
      <c r="CA949" s="105"/>
      <c r="CB949" s="77">
        <f>IF($A949="",0,IF($B949='FICHA CLIENTE'!$C$4,1,0))</f>
      </c>
      <c r="CC949" s="77">
        <f t="shared" si="221"/>
      </c>
      <c r="CD949" s="77">
        <f>IF($A949="",0,IF($D949='FICHA VEHICULO'!$C$4,1,0))</f>
      </c>
      <c r="CE949" s="77">
        <f t="shared" si="222"/>
      </c>
      <c r="CF949" s="77">
        <f t="shared" si="223"/>
      </c>
      <c r="CG949" s="77">
        <f t="shared" si="224"/>
      </c>
    </row>
    <row r="950" spans="1:85" ht="19.5" customHeight="1" x14ac:dyDescent="0.2">
      <c r="A950" s="104"/>
      <c r="B950" s="104"/>
      <c r="C950" s="105"/>
      <c r="D950" s="104"/>
      <c r="E950" s="105"/>
      <c r="F950" s="106"/>
      <c r="G950" s="104"/>
      <c r="H950" s="106"/>
      <c r="I950" s="107"/>
      <c r="J950" s="108"/>
      <c r="K950" s="108"/>
      <c r="L950" s="108"/>
      <c r="M950" s="105"/>
      <c r="N950" s="105"/>
      <c r="O950" s="105"/>
      <c r="P950" s="108"/>
      <c r="Q950" s="105"/>
      <c r="R950" s="105"/>
      <c r="S950" s="105"/>
      <c r="T950" s="105"/>
      <c r="U950" s="108"/>
      <c r="V950" s="105"/>
      <c r="W950" s="105"/>
      <c r="X950" s="105"/>
      <c r="Y950" s="105"/>
      <c r="Z950" s="105"/>
      <c r="AA950" s="108"/>
      <c r="AB950" s="108"/>
      <c r="AC950" s="105"/>
      <c r="AD950" s="279"/>
      <c r="AE950" s="105"/>
      <c r="AF950" s="279"/>
      <c r="AG950" s="105"/>
      <c r="AH950" s="108"/>
      <c r="AI950" s="108"/>
      <c r="AJ950" s="108"/>
      <c r="AK950" s="108"/>
      <c r="AL950" s="105"/>
      <c r="AM950" s="108"/>
      <c r="AN950" s="105"/>
      <c r="AO950" s="108"/>
      <c r="AP950" s="108"/>
      <c r="AQ950" s="105"/>
      <c r="AR950" s="108"/>
      <c r="AS950" s="108"/>
      <c r="AT950" s="105"/>
      <c r="AU950" s="105"/>
      <c r="AV950" s="105"/>
      <c r="AW950" s="105"/>
      <c r="AX950" s="105"/>
      <c r="AY950" s="105"/>
      <c r="AZ950" s="105"/>
      <c r="BA950" s="105"/>
      <c r="BB950" s="105"/>
      <c r="BC950" s="105"/>
      <c r="BD950" s="108"/>
      <c r="BE950" s="83">
        <f>IF($A950="","",IF(TRIM($D950&amp;"")="",IF(TRIM($AX950&amp;$AY950&amp;$AZ950&amp;$BA950&amp;$BB950&amp;$BC950&amp;$BD950&amp;"")="","","SUBARRENDADO"),IFERROR(IF(VLOOKUP($D950,VEHICULOS!$A$3:$H$202,7,FALSE)="","",VLOOKUP($D950,VEHICULOS!$A$3:$H$202,7,FALSE)),"")))</f>
      </c>
      <c r="BF950" s="82">
        <f>IF($A950="","",IF(TRIM($BC950&amp;"")&lt;&gt;"",$BC950,IF(TRIM($D950&amp;"")="","",IFERROR(IF(VLOOKUP($D950,VEHICULOS!$A$3:$H$202,8,FALSE)="","",VLOOKUP($D950,VEHICULOS!$A$3:$H$202,8,FALSE)),""))))</f>
      </c>
      <c r="BG950" s="106"/>
      <c r="BH950" s="107"/>
      <c r="BI950" s="86">
        <f t="shared" si="210"/>
      </c>
      <c r="BJ950" s="83">
        <f t="shared" si="211"/>
      </c>
      <c r="BK950" s="85">
        <f t="shared" si="212"/>
      </c>
      <c r="BL950" s="85">
        <f t="shared" si="213"/>
      </c>
      <c r="BM950" s="108"/>
      <c r="BN950" s="85">
        <f t="shared" si="214"/>
      </c>
      <c r="BO950" s="108"/>
      <c r="BP950" s="85">
        <f t="shared" si="215"/>
      </c>
      <c r="BQ950" s="85">
        <f t="shared" si="216"/>
      </c>
      <c r="BR950" s="108"/>
      <c r="BS950" s="104"/>
      <c r="BT950" s="87">
        <f t="shared" si="217"/>
      </c>
      <c r="BU950" s="85">
        <f t="shared" si="218"/>
      </c>
      <c r="BV950" s="85">
        <f t="shared" si="219"/>
      </c>
      <c r="BW950" s="87">
        <f t="shared" si="220"/>
      </c>
      <c r="BX950" s="104"/>
      <c r="BY950" s="106"/>
      <c r="BZ950" s="104"/>
      <c r="CA950" s="105"/>
      <c r="CB950" s="77">
        <f>IF($A950="",0,IF($B950='FICHA CLIENTE'!$C$4,1,0))</f>
      </c>
      <c r="CC950" s="77">
        <f t="shared" si="221"/>
      </c>
      <c r="CD950" s="77">
        <f>IF($A950="",0,IF($D950='FICHA VEHICULO'!$C$4,1,0))</f>
      </c>
      <c r="CE950" s="77">
        <f t="shared" si="222"/>
      </c>
      <c r="CF950" s="77">
        <f t="shared" si="223"/>
      </c>
      <c r="CG950" s="77">
        <f t="shared" si="224"/>
      </c>
    </row>
    <row r="951" spans="1:85" ht="19.5" customHeight="1" x14ac:dyDescent="0.2">
      <c r="A951" s="104"/>
      <c r="B951" s="104"/>
      <c r="C951" s="105"/>
      <c r="D951" s="104"/>
      <c r="E951" s="105"/>
      <c r="F951" s="106"/>
      <c r="G951" s="104"/>
      <c r="H951" s="106"/>
      <c r="I951" s="107"/>
      <c r="J951" s="108"/>
      <c r="K951" s="108"/>
      <c r="L951" s="108"/>
      <c r="M951" s="105"/>
      <c r="N951" s="105"/>
      <c r="O951" s="105"/>
      <c r="P951" s="108"/>
      <c r="Q951" s="105"/>
      <c r="R951" s="105"/>
      <c r="S951" s="105"/>
      <c r="T951" s="105"/>
      <c r="U951" s="108"/>
      <c r="V951" s="105"/>
      <c r="W951" s="105"/>
      <c r="X951" s="105"/>
      <c r="Y951" s="105"/>
      <c r="Z951" s="105"/>
      <c r="AA951" s="108"/>
      <c r="AB951" s="108"/>
      <c r="AC951" s="105"/>
      <c r="AD951" s="279"/>
      <c r="AE951" s="105"/>
      <c r="AF951" s="279"/>
      <c r="AG951" s="105"/>
      <c r="AH951" s="108"/>
      <c r="AI951" s="108"/>
      <c r="AJ951" s="108"/>
      <c r="AK951" s="108"/>
      <c r="AL951" s="105"/>
      <c r="AM951" s="108"/>
      <c r="AN951" s="105"/>
      <c r="AO951" s="108"/>
      <c r="AP951" s="108"/>
      <c r="AQ951" s="105"/>
      <c r="AR951" s="108"/>
      <c r="AS951" s="108"/>
      <c r="AT951" s="105"/>
      <c r="AU951" s="105"/>
      <c r="AV951" s="105"/>
      <c r="AW951" s="105"/>
      <c r="AX951" s="105"/>
      <c r="AY951" s="105"/>
      <c r="AZ951" s="105"/>
      <c r="BA951" s="105"/>
      <c r="BB951" s="105"/>
      <c r="BC951" s="105"/>
      <c r="BD951" s="108"/>
      <c r="BE951" s="83">
        <f>IF($A951="","",IF(TRIM($D951&amp;"")="",IF(TRIM($AX951&amp;$AY951&amp;$AZ951&amp;$BA951&amp;$BB951&amp;$BC951&amp;$BD951&amp;"")="","","SUBARRENDADO"),IFERROR(IF(VLOOKUP($D951,VEHICULOS!$A$3:$H$202,7,FALSE)="","",VLOOKUP($D951,VEHICULOS!$A$3:$H$202,7,FALSE)),"")))</f>
      </c>
      <c r="BF951" s="82">
        <f>IF($A951="","",IF(TRIM($BC951&amp;"")&lt;&gt;"",$BC951,IF(TRIM($D951&amp;"")="","",IFERROR(IF(VLOOKUP($D951,VEHICULOS!$A$3:$H$202,8,FALSE)="","",VLOOKUP($D951,VEHICULOS!$A$3:$H$202,8,FALSE)),""))))</f>
      </c>
      <c r="BG951" s="106"/>
      <c r="BH951" s="107"/>
      <c r="BI951" s="86">
        <f t="shared" si="210"/>
      </c>
      <c r="BJ951" s="83">
        <f t="shared" si="211"/>
      </c>
      <c r="BK951" s="85">
        <f t="shared" si="212"/>
      </c>
      <c r="BL951" s="85">
        <f t="shared" si="213"/>
      </c>
      <c r="BM951" s="108"/>
      <c r="BN951" s="85">
        <f t="shared" si="214"/>
      </c>
      <c r="BO951" s="108"/>
      <c r="BP951" s="85">
        <f t="shared" si="215"/>
      </c>
      <c r="BQ951" s="85">
        <f t="shared" si="216"/>
      </c>
      <c r="BR951" s="108"/>
      <c r="BS951" s="104"/>
      <c r="BT951" s="87">
        <f t="shared" si="217"/>
      </c>
      <c r="BU951" s="85">
        <f t="shared" si="218"/>
      </c>
      <c r="BV951" s="85">
        <f t="shared" si="219"/>
      </c>
      <c r="BW951" s="87">
        <f t="shared" si="220"/>
      </c>
      <c r="BX951" s="104"/>
      <c r="BY951" s="106"/>
      <c r="BZ951" s="104"/>
      <c r="CA951" s="105"/>
      <c r="CB951" s="77">
        <f>IF($A951="",0,IF($B951='FICHA CLIENTE'!$C$4,1,0))</f>
      </c>
      <c r="CC951" s="77">
        <f t="shared" si="221"/>
      </c>
      <c r="CD951" s="77">
        <f>IF($A951="",0,IF($D951='FICHA VEHICULO'!$C$4,1,0))</f>
      </c>
      <c r="CE951" s="77">
        <f t="shared" si="222"/>
      </c>
      <c r="CF951" s="77">
        <f t="shared" si="223"/>
      </c>
      <c r="CG951" s="77">
        <f t="shared" si="224"/>
      </c>
    </row>
    <row r="952" spans="1:85" ht="19.5" customHeight="1" x14ac:dyDescent="0.2">
      <c r="A952" s="104"/>
      <c r="B952" s="104"/>
      <c r="C952" s="105"/>
      <c r="D952" s="104"/>
      <c r="E952" s="105"/>
      <c r="F952" s="106"/>
      <c r="G952" s="104"/>
      <c r="H952" s="106"/>
      <c r="I952" s="107"/>
      <c r="J952" s="108"/>
      <c r="K952" s="108"/>
      <c r="L952" s="108"/>
      <c r="M952" s="105"/>
      <c r="N952" s="105"/>
      <c r="O952" s="105"/>
      <c r="P952" s="108"/>
      <c r="Q952" s="105"/>
      <c r="R952" s="105"/>
      <c r="S952" s="105"/>
      <c r="T952" s="105"/>
      <c r="U952" s="108"/>
      <c r="V952" s="105"/>
      <c r="W952" s="105"/>
      <c r="X952" s="105"/>
      <c r="Y952" s="105"/>
      <c r="Z952" s="105"/>
      <c r="AA952" s="108"/>
      <c r="AB952" s="108"/>
      <c r="AC952" s="105"/>
      <c r="AD952" s="279"/>
      <c r="AE952" s="105"/>
      <c r="AF952" s="279"/>
      <c r="AG952" s="105"/>
      <c r="AH952" s="108"/>
      <c r="AI952" s="108"/>
      <c r="AJ952" s="108"/>
      <c r="AK952" s="108"/>
      <c r="AL952" s="105"/>
      <c r="AM952" s="108"/>
      <c r="AN952" s="105"/>
      <c r="AO952" s="108"/>
      <c r="AP952" s="108"/>
      <c r="AQ952" s="105"/>
      <c r="AR952" s="108"/>
      <c r="AS952" s="108"/>
      <c r="AT952" s="105"/>
      <c r="AU952" s="105"/>
      <c r="AV952" s="105"/>
      <c r="AW952" s="105"/>
      <c r="AX952" s="105"/>
      <c r="AY952" s="105"/>
      <c r="AZ952" s="105"/>
      <c r="BA952" s="105"/>
      <c r="BB952" s="105"/>
      <c r="BC952" s="105"/>
      <c r="BD952" s="108"/>
      <c r="BE952" s="83">
        <f>IF($A952="","",IF(TRIM($D952&amp;"")="",IF(TRIM($AX952&amp;$AY952&amp;$AZ952&amp;$BA952&amp;$BB952&amp;$BC952&amp;$BD952&amp;"")="","","SUBARRENDADO"),IFERROR(IF(VLOOKUP($D952,VEHICULOS!$A$3:$H$202,7,FALSE)="","",VLOOKUP($D952,VEHICULOS!$A$3:$H$202,7,FALSE)),"")))</f>
      </c>
      <c r="BF952" s="82">
        <f>IF($A952="","",IF(TRIM($BC952&amp;"")&lt;&gt;"",$BC952,IF(TRIM($D952&amp;"")="","",IFERROR(IF(VLOOKUP($D952,VEHICULOS!$A$3:$H$202,8,FALSE)="","",VLOOKUP($D952,VEHICULOS!$A$3:$H$202,8,FALSE)),""))))</f>
      </c>
      <c r="BG952" s="106"/>
      <c r="BH952" s="107"/>
      <c r="BI952" s="86">
        <f t="shared" si="210"/>
      </c>
      <c r="BJ952" s="83">
        <f t="shared" si="211"/>
      </c>
      <c r="BK952" s="85">
        <f t="shared" si="212"/>
      </c>
      <c r="BL952" s="85">
        <f t="shared" si="213"/>
      </c>
      <c r="BM952" s="108"/>
      <c r="BN952" s="85">
        <f t="shared" si="214"/>
      </c>
      <c r="BO952" s="108"/>
      <c r="BP952" s="85">
        <f t="shared" si="215"/>
      </c>
      <c r="BQ952" s="85">
        <f t="shared" si="216"/>
      </c>
      <c r="BR952" s="108"/>
      <c r="BS952" s="104"/>
      <c r="BT952" s="87">
        <f t="shared" si="217"/>
      </c>
      <c r="BU952" s="85">
        <f t="shared" si="218"/>
      </c>
      <c r="BV952" s="85">
        <f t="shared" si="219"/>
      </c>
      <c r="BW952" s="87">
        <f t="shared" si="220"/>
      </c>
      <c r="BX952" s="104"/>
      <c r="BY952" s="106"/>
      <c r="BZ952" s="104"/>
      <c r="CA952" s="105"/>
      <c r="CB952" s="77">
        <f>IF($A952="",0,IF($B952='FICHA CLIENTE'!$C$4,1,0))</f>
      </c>
      <c r="CC952" s="77">
        <f t="shared" si="221"/>
      </c>
      <c r="CD952" s="77">
        <f>IF($A952="",0,IF($D952='FICHA VEHICULO'!$C$4,1,0))</f>
      </c>
      <c r="CE952" s="77">
        <f t="shared" si="222"/>
      </c>
      <c r="CF952" s="77">
        <f t="shared" si="223"/>
      </c>
      <c r="CG952" s="77">
        <f t="shared" si="224"/>
      </c>
    </row>
    <row r="953" spans="1:85" ht="19.5" customHeight="1" x14ac:dyDescent="0.2">
      <c r="A953" s="104"/>
      <c r="B953" s="104"/>
      <c r="C953" s="105"/>
      <c r="D953" s="104"/>
      <c r="E953" s="105"/>
      <c r="F953" s="106"/>
      <c r="G953" s="104"/>
      <c r="H953" s="106"/>
      <c r="I953" s="107"/>
      <c r="J953" s="108"/>
      <c r="K953" s="108"/>
      <c r="L953" s="108"/>
      <c r="M953" s="105"/>
      <c r="N953" s="105"/>
      <c r="O953" s="105"/>
      <c r="P953" s="108"/>
      <c r="Q953" s="105"/>
      <c r="R953" s="105"/>
      <c r="S953" s="105"/>
      <c r="T953" s="105"/>
      <c r="U953" s="108"/>
      <c r="V953" s="105"/>
      <c r="W953" s="105"/>
      <c r="X953" s="105"/>
      <c r="Y953" s="105"/>
      <c r="Z953" s="105"/>
      <c r="AA953" s="108"/>
      <c r="AB953" s="108"/>
      <c r="AC953" s="105"/>
      <c r="AD953" s="279"/>
      <c r="AE953" s="105"/>
      <c r="AF953" s="279"/>
      <c r="AG953" s="105"/>
      <c r="AH953" s="108"/>
      <c r="AI953" s="108"/>
      <c r="AJ953" s="108"/>
      <c r="AK953" s="108"/>
      <c r="AL953" s="105"/>
      <c r="AM953" s="108"/>
      <c r="AN953" s="105"/>
      <c r="AO953" s="108"/>
      <c r="AP953" s="108"/>
      <c r="AQ953" s="105"/>
      <c r="AR953" s="108"/>
      <c r="AS953" s="108"/>
      <c r="AT953" s="105"/>
      <c r="AU953" s="105"/>
      <c r="AV953" s="105"/>
      <c r="AW953" s="105"/>
      <c r="AX953" s="105"/>
      <c r="AY953" s="105"/>
      <c r="AZ953" s="105"/>
      <c r="BA953" s="105"/>
      <c r="BB953" s="105"/>
      <c r="BC953" s="105"/>
      <c r="BD953" s="108"/>
      <c r="BE953" s="83">
        <f>IF($A953="","",IF(TRIM($D953&amp;"")="",IF(TRIM($AX953&amp;$AY953&amp;$AZ953&amp;$BA953&amp;$BB953&amp;$BC953&amp;$BD953&amp;"")="","","SUBARRENDADO"),IFERROR(IF(VLOOKUP($D953,VEHICULOS!$A$3:$H$202,7,FALSE)="","",VLOOKUP($D953,VEHICULOS!$A$3:$H$202,7,FALSE)),"")))</f>
      </c>
      <c r="BF953" s="82">
        <f>IF($A953="","",IF(TRIM($BC953&amp;"")&lt;&gt;"",$BC953,IF(TRIM($D953&amp;"")="","",IFERROR(IF(VLOOKUP($D953,VEHICULOS!$A$3:$H$202,8,FALSE)="","",VLOOKUP($D953,VEHICULOS!$A$3:$H$202,8,FALSE)),""))))</f>
      </c>
      <c r="BG953" s="106"/>
      <c r="BH953" s="107"/>
      <c r="BI953" s="86">
        <f t="shared" si="210"/>
      </c>
      <c r="BJ953" s="83">
        <f t="shared" si="211"/>
      </c>
      <c r="BK953" s="85">
        <f t="shared" si="212"/>
      </c>
      <c r="BL953" s="85">
        <f t="shared" si="213"/>
      </c>
      <c r="BM953" s="108"/>
      <c r="BN953" s="85">
        <f t="shared" si="214"/>
      </c>
      <c r="BO953" s="108"/>
      <c r="BP953" s="85">
        <f t="shared" si="215"/>
      </c>
      <c r="BQ953" s="85">
        <f t="shared" si="216"/>
      </c>
      <c r="BR953" s="108"/>
      <c r="BS953" s="104"/>
      <c r="BT953" s="87">
        <f t="shared" si="217"/>
      </c>
      <c r="BU953" s="85">
        <f t="shared" si="218"/>
      </c>
      <c r="BV953" s="85">
        <f t="shared" si="219"/>
      </c>
      <c r="BW953" s="87">
        <f t="shared" si="220"/>
      </c>
      <c r="BX953" s="104"/>
      <c r="BY953" s="106"/>
      <c r="BZ953" s="104"/>
      <c r="CA953" s="105"/>
      <c r="CB953" s="77">
        <f>IF($A953="",0,IF($B953='FICHA CLIENTE'!$C$4,1,0))</f>
      </c>
      <c r="CC953" s="77">
        <f t="shared" si="221"/>
      </c>
      <c r="CD953" s="77">
        <f>IF($A953="",0,IF($D953='FICHA VEHICULO'!$C$4,1,0))</f>
      </c>
      <c r="CE953" s="77">
        <f t="shared" si="222"/>
      </c>
      <c r="CF953" s="77">
        <f t="shared" si="223"/>
      </c>
      <c r="CG953" s="77">
        <f t="shared" si="224"/>
      </c>
    </row>
    <row r="954" spans="1:85" ht="19.5" customHeight="1" x14ac:dyDescent="0.2">
      <c r="A954" s="104"/>
      <c r="B954" s="104"/>
      <c r="C954" s="105"/>
      <c r="D954" s="104"/>
      <c r="E954" s="105"/>
      <c r="F954" s="106"/>
      <c r="G954" s="104"/>
      <c r="H954" s="106"/>
      <c r="I954" s="107"/>
      <c r="J954" s="108"/>
      <c r="K954" s="108"/>
      <c r="L954" s="108"/>
      <c r="M954" s="105"/>
      <c r="N954" s="105"/>
      <c r="O954" s="105"/>
      <c r="P954" s="108"/>
      <c r="Q954" s="105"/>
      <c r="R954" s="105"/>
      <c r="S954" s="105"/>
      <c r="T954" s="105"/>
      <c r="U954" s="108"/>
      <c r="V954" s="105"/>
      <c r="W954" s="105"/>
      <c r="X954" s="105"/>
      <c r="Y954" s="105"/>
      <c r="Z954" s="105"/>
      <c r="AA954" s="108"/>
      <c r="AB954" s="108"/>
      <c r="AC954" s="105"/>
      <c r="AD954" s="279"/>
      <c r="AE954" s="105"/>
      <c r="AF954" s="279"/>
      <c r="AG954" s="105"/>
      <c r="AH954" s="108"/>
      <c r="AI954" s="108"/>
      <c r="AJ954" s="108"/>
      <c r="AK954" s="108"/>
      <c r="AL954" s="105"/>
      <c r="AM954" s="108"/>
      <c r="AN954" s="105"/>
      <c r="AO954" s="108"/>
      <c r="AP954" s="108"/>
      <c r="AQ954" s="105"/>
      <c r="AR954" s="108"/>
      <c r="AS954" s="108"/>
      <c r="AT954" s="105"/>
      <c r="AU954" s="105"/>
      <c r="AV954" s="105"/>
      <c r="AW954" s="105"/>
      <c r="AX954" s="105"/>
      <c r="AY954" s="105"/>
      <c r="AZ954" s="105"/>
      <c r="BA954" s="105"/>
      <c r="BB954" s="105"/>
      <c r="BC954" s="105"/>
      <c r="BD954" s="108"/>
      <c r="BE954" s="83">
        <f>IF($A954="","",IF(TRIM($D954&amp;"")="",IF(TRIM($AX954&amp;$AY954&amp;$AZ954&amp;$BA954&amp;$BB954&amp;$BC954&amp;$BD954&amp;"")="","","SUBARRENDADO"),IFERROR(IF(VLOOKUP($D954,VEHICULOS!$A$3:$H$202,7,FALSE)="","",VLOOKUP($D954,VEHICULOS!$A$3:$H$202,7,FALSE)),"")))</f>
      </c>
      <c r="BF954" s="82">
        <f>IF($A954="","",IF(TRIM($BC954&amp;"")&lt;&gt;"",$BC954,IF(TRIM($D954&amp;"")="","",IFERROR(IF(VLOOKUP($D954,VEHICULOS!$A$3:$H$202,8,FALSE)="","",VLOOKUP($D954,VEHICULOS!$A$3:$H$202,8,FALSE)),""))))</f>
      </c>
      <c r="BG954" s="106"/>
      <c r="BH954" s="107"/>
      <c r="BI954" s="86">
        <f t="shared" si="210"/>
      </c>
      <c r="BJ954" s="83">
        <f t="shared" si="211"/>
      </c>
      <c r="BK954" s="85">
        <f t="shared" si="212"/>
      </c>
      <c r="BL954" s="85">
        <f t="shared" si="213"/>
      </c>
      <c r="BM954" s="108"/>
      <c r="BN954" s="85">
        <f t="shared" si="214"/>
      </c>
      <c r="BO954" s="108"/>
      <c r="BP954" s="85">
        <f t="shared" si="215"/>
      </c>
      <c r="BQ954" s="85">
        <f t="shared" si="216"/>
      </c>
      <c r="BR954" s="108"/>
      <c r="BS954" s="104"/>
      <c r="BT954" s="87">
        <f t="shared" si="217"/>
      </c>
      <c r="BU954" s="85">
        <f t="shared" si="218"/>
      </c>
      <c r="BV954" s="85">
        <f t="shared" si="219"/>
      </c>
      <c r="BW954" s="87">
        <f t="shared" si="220"/>
      </c>
      <c r="BX954" s="104"/>
      <c r="BY954" s="106"/>
      <c r="BZ954" s="104"/>
      <c r="CA954" s="105"/>
      <c r="CB954" s="77">
        <f>IF($A954="",0,IF($B954='FICHA CLIENTE'!$C$4,1,0))</f>
      </c>
      <c r="CC954" s="77">
        <f t="shared" si="221"/>
      </c>
      <c r="CD954" s="77">
        <f>IF($A954="",0,IF($D954='FICHA VEHICULO'!$C$4,1,0))</f>
      </c>
      <c r="CE954" s="77">
        <f t="shared" si="222"/>
      </c>
      <c r="CF954" s="77">
        <f t="shared" si="223"/>
      </c>
      <c r="CG954" s="77">
        <f t="shared" si="224"/>
      </c>
    </row>
    <row r="955" spans="1:85" ht="19.5" customHeight="1" x14ac:dyDescent="0.2">
      <c r="A955" s="104"/>
      <c r="B955" s="104"/>
      <c r="C955" s="105"/>
      <c r="D955" s="104"/>
      <c r="E955" s="105"/>
      <c r="F955" s="106"/>
      <c r="G955" s="104"/>
      <c r="H955" s="106"/>
      <c r="I955" s="107"/>
      <c r="J955" s="108"/>
      <c r="K955" s="108"/>
      <c r="L955" s="108"/>
      <c r="M955" s="105"/>
      <c r="N955" s="105"/>
      <c r="O955" s="105"/>
      <c r="P955" s="108"/>
      <c r="Q955" s="105"/>
      <c r="R955" s="105"/>
      <c r="S955" s="105"/>
      <c r="T955" s="105"/>
      <c r="U955" s="108"/>
      <c r="V955" s="105"/>
      <c r="W955" s="105"/>
      <c r="X955" s="105"/>
      <c r="Y955" s="105"/>
      <c r="Z955" s="105"/>
      <c r="AA955" s="108"/>
      <c r="AB955" s="108"/>
      <c r="AC955" s="105"/>
      <c r="AD955" s="279"/>
      <c r="AE955" s="105"/>
      <c r="AF955" s="279"/>
      <c r="AG955" s="105"/>
      <c r="AH955" s="108"/>
      <c r="AI955" s="108"/>
      <c r="AJ955" s="108"/>
      <c r="AK955" s="108"/>
      <c r="AL955" s="105"/>
      <c r="AM955" s="108"/>
      <c r="AN955" s="105"/>
      <c r="AO955" s="108"/>
      <c r="AP955" s="108"/>
      <c r="AQ955" s="105"/>
      <c r="AR955" s="108"/>
      <c r="AS955" s="108"/>
      <c r="AT955" s="105"/>
      <c r="AU955" s="105"/>
      <c r="AV955" s="105"/>
      <c r="AW955" s="105"/>
      <c r="AX955" s="105"/>
      <c r="AY955" s="105"/>
      <c r="AZ955" s="105"/>
      <c r="BA955" s="105"/>
      <c r="BB955" s="105"/>
      <c r="BC955" s="105"/>
      <c r="BD955" s="108"/>
      <c r="BE955" s="83">
        <f>IF($A955="","",IF(TRIM($D955&amp;"")="",IF(TRIM($AX955&amp;$AY955&amp;$AZ955&amp;$BA955&amp;$BB955&amp;$BC955&amp;$BD955&amp;"")="","","SUBARRENDADO"),IFERROR(IF(VLOOKUP($D955,VEHICULOS!$A$3:$H$202,7,FALSE)="","",VLOOKUP($D955,VEHICULOS!$A$3:$H$202,7,FALSE)),"")))</f>
      </c>
      <c r="BF955" s="82">
        <f>IF($A955="","",IF(TRIM($BC955&amp;"")&lt;&gt;"",$BC955,IF(TRIM($D955&amp;"")="","",IFERROR(IF(VLOOKUP($D955,VEHICULOS!$A$3:$H$202,8,FALSE)="","",VLOOKUP($D955,VEHICULOS!$A$3:$H$202,8,FALSE)),""))))</f>
      </c>
      <c r="BG955" s="106"/>
      <c r="BH955" s="107"/>
      <c r="BI955" s="86">
        <f t="shared" si="210"/>
      </c>
      <c r="BJ955" s="83">
        <f t="shared" si="211"/>
      </c>
      <c r="BK955" s="85">
        <f t="shared" si="212"/>
      </c>
      <c r="BL955" s="85">
        <f t="shared" si="213"/>
      </c>
      <c r="BM955" s="108"/>
      <c r="BN955" s="85">
        <f t="shared" si="214"/>
      </c>
      <c r="BO955" s="108"/>
      <c r="BP955" s="85">
        <f t="shared" si="215"/>
      </c>
      <c r="BQ955" s="85">
        <f t="shared" si="216"/>
      </c>
      <c r="BR955" s="108"/>
      <c r="BS955" s="104"/>
      <c r="BT955" s="87">
        <f t="shared" si="217"/>
      </c>
      <c r="BU955" s="85">
        <f t="shared" si="218"/>
      </c>
      <c r="BV955" s="85">
        <f t="shared" si="219"/>
      </c>
      <c r="BW955" s="87">
        <f t="shared" si="220"/>
      </c>
      <c r="BX955" s="104"/>
      <c r="BY955" s="106"/>
      <c r="BZ955" s="104"/>
      <c r="CA955" s="105"/>
      <c r="CB955" s="77">
        <f>IF($A955="",0,IF($B955='FICHA CLIENTE'!$C$4,1,0))</f>
      </c>
      <c r="CC955" s="77">
        <f t="shared" si="221"/>
      </c>
      <c r="CD955" s="77">
        <f>IF($A955="",0,IF($D955='FICHA VEHICULO'!$C$4,1,0))</f>
      </c>
      <c r="CE955" s="77">
        <f t="shared" si="222"/>
      </c>
      <c r="CF955" s="77">
        <f t="shared" si="223"/>
      </c>
      <c r="CG955" s="77">
        <f t="shared" si="224"/>
      </c>
    </row>
    <row r="956" spans="1:85" ht="19.5" customHeight="1" x14ac:dyDescent="0.2">
      <c r="A956" s="104"/>
      <c r="B956" s="104"/>
      <c r="C956" s="105"/>
      <c r="D956" s="104"/>
      <c r="E956" s="105"/>
      <c r="F956" s="106"/>
      <c r="G956" s="104"/>
      <c r="H956" s="106"/>
      <c r="I956" s="107"/>
      <c r="J956" s="108"/>
      <c r="K956" s="108"/>
      <c r="L956" s="108"/>
      <c r="M956" s="105"/>
      <c r="N956" s="105"/>
      <c r="O956" s="105"/>
      <c r="P956" s="108"/>
      <c r="Q956" s="105"/>
      <c r="R956" s="105"/>
      <c r="S956" s="105"/>
      <c r="T956" s="105"/>
      <c r="U956" s="108"/>
      <c r="V956" s="105"/>
      <c r="W956" s="105"/>
      <c r="X956" s="105"/>
      <c r="Y956" s="105"/>
      <c r="Z956" s="105"/>
      <c r="AA956" s="108"/>
      <c r="AB956" s="108"/>
      <c r="AC956" s="105"/>
      <c r="AD956" s="279"/>
      <c r="AE956" s="105"/>
      <c r="AF956" s="279"/>
      <c r="AG956" s="105"/>
      <c r="AH956" s="108"/>
      <c r="AI956" s="108"/>
      <c r="AJ956" s="108"/>
      <c r="AK956" s="108"/>
      <c r="AL956" s="105"/>
      <c r="AM956" s="108"/>
      <c r="AN956" s="105"/>
      <c r="AO956" s="108"/>
      <c r="AP956" s="108"/>
      <c r="AQ956" s="105"/>
      <c r="AR956" s="108"/>
      <c r="AS956" s="108"/>
      <c r="AT956" s="105"/>
      <c r="AU956" s="105"/>
      <c r="AV956" s="105"/>
      <c r="AW956" s="105"/>
      <c r="AX956" s="105"/>
      <c r="AY956" s="105"/>
      <c r="AZ956" s="105"/>
      <c r="BA956" s="105"/>
      <c r="BB956" s="105"/>
      <c r="BC956" s="105"/>
      <c r="BD956" s="108"/>
      <c r="BE956" s="83">
        <f>IF($A956="","",IF(TRIM($D956&amp;"")="",IF(TRIM($AX956&amp;$AY956&amp;$AZ956&amp;$BA956&amp;$BB956&amp;$BC956&amp;$BD956&amp;"")="","","SUBARRENDADO"),IFERROR(IF(VLOOKUP($D956,VEHICULOS!$A$3:$H$202,7,FALSE)="","",VLOOKUP($D956,VEHICULOS!$A$3:$H$202,7,FALSE)),"")))</f>
      </c>
      <c r="BF956" s="82">
        <f>IF($A956="","",IF(TRIM($BC956&amp;"")&lt;&gt;"",$BC956,IF(TRIM($D956&amp;"")="","",IFERROR(IF(VLOOKUP($D956,VEHICULOS!$A$3:$H$202,8,FALSE)="","",VLOOKUP($D956,VEHICULOS!$A$3:$H$202,8,FALSE)),""))))</f>
      </c>
      <c r="BG956" s="106"/>
      <c r="BH956" s="107"/>
      <c r="BI956" s="86">
        <f t="shared" si="210"/>
      </c>
      <c r="BJ956" s="83">
        <f t="shared" si="211"/>
      </c>
      <c r="BK956" s="85">
        <f t="shared" si="212"/>
      </c>
      <c r="BL956" s="85">
        <f t="shared" si="213"/>
      </c>
      <c r="BM956" s="108"/>
      <c r="BN956" s="85">
        <f t="shared" si="214"/>
      </c>
      <c r="BO956" s="108"/>
      <c r="BP956" s="85">
        <f t="shared" si="215"/>
      </c>
      <c r="BQ956" s="85">
        <f t="shared" si="216"/>
      </c>
      <c r="BR956" s="108"/>
      <c r="BS956" s="104"/>
      <c r="BT956" s="87">
        <f t="shared" si="217"/>
      </c>
      <c r="BU956" s="85">
        <f t="shared" si="218"/>
      </c>
      <c r="BV956" s="85">
        <f t="shared" si="219"/>
      </c>
      <c r="BW956" s="87">
        <f t="shared" si="220"/>
      </c>
      <c r="BX956" s="104"/>
      <c r="BY956" s="106"/>
      <c r="BZ956" s="104"/>
      <c r="CA956" s="105"/>
      <c r="CB956" s="77">
        <f>IF($A956="",0,IF($B956='FICHA CLIENTE'!$C$4,1,0))</f>
      </c>
      <c r="CC956" s="77">
        <f t="shared" si="221"/>
      </c>
      <c r="CD956" s="77">
        <f>IF($A956="",0,IF($D956='FICHA VEHICULO'!$C$4,1,0))</f>
      </c>
      <c r="CE956" s="77">
        <f t="shared" si="222"/>
      </c>
      <c r="CF956" s="77">
        <f t="shared" si="223"/>
      </c>
      <c r="CG956" s="77">
        <f t="shared" si="224"/>
      </c>
    </row>
    <row r="957" spans="1:85" ht="19.5" customHeight="1" x14ac:dyDescent="0.2">
      <c r="A957" s="104"/>
      <c r="B957" s="104"/>
      <c r="C957" s="105"/>
      <c r="D957" s="104"/>
      <c r="E957" s="105"/>
      <c r="F957" s="106"/>
      <c r="G957" s="104"/>
      <c r="H957" s="106"/>
      <c r="I957" s="107"/>
      <c r="J957" s="108"/>
      <c r="K957" s="108"/>
      <c r="L957" s="108"/>
      <c r="M957" s="105"/>
      <c r="N957" s="105"/>
      <c r="O957" s="105"/>
      <c r="P957" s="108"/>
      <c r="Q957" s="105"/>
      <c r="R957" s="105"/>
      <c r="S957" s="105"/>
      <c r="T957" s="105"/>
      <c r="U957" s="108"/>
      <c r="V957" s="105"/>
      <c r="W957" s="105"/>
      <c r="X957" s="105"/>
      <c r="Y957" s="105"/>
      <c r="Z957" s="105"/>
      <c r="AA957" s="108"/>
      <c r="AB957" s="108"/>
      <c r="AC957" s="105"/>
      <c r="AD957" s="279"/>
      <c r="AE957" s="105"/>
      <c r="AF957" s="279"/>
      <c r="AG957" s="105"/>
      <c r="AH957" s="108"/>
      <c r="AI957" s="108"/>
      <c r="AJ957" s="108"/>
      <c r="AK957" s="108"/>
      <c r="AL957" s="105"/>
      <c r="AM957" s="108"/>
      <c r="AN957" s="105"/>
      <c r="AO957" s="108"/>
      <c r="AP957" s="108"/>
      <c r="AQ957" s="105"/>
      <c r="AR957" s="108"/>
      <c r="AS957" s="108"/>
      <c r="AT957" s="105"/>
      <c r="AU957" s="105"/>
      <c r="AV957" s="105"/>
      <c r="AW957" s="105"/>
      <c r="AX957" s="105"/>
      <c r="AY957" s="105"/>
      <c r="AZ957" s="105"/>
      <c r="BA957" s="105"/>
      <c r="BB957" s="105"/>
      <c r="BC957" s="105"/>
      <c r="BD957" s="108"/>
      <c r="BE957" s="83">
        <f>IF($A957="","",IF(TRIM($D957&amp;"")="",IF(TRIM($AX957&amp;$AY957&amp;$AZ957&amp;$BA957&amp;$BB957&amp;$BC957&amp;$BD957&amp;"")="","","SUBARRENDADO"),IFERROR(IF(VLOOKUP($D957,VEHICULOS!$A$3:$H$202,7,FALSE)="","",VLOOKUP($D957,VEHICULOS!$A$3:$H$202,7,FALSE)),"")))</f>
      </c>
      <c r="BF957" s="82">
        <f>IF($A957="","",IF(TRIM($BC957&amp;"")&lt;&gt;"",$BC957,IF(TRIM($D957&amp;"")="","",IFERROR(IF(VLOOKUP($D957,VEHICULOS!$A$3:$H$202,8,FALSE)="","",VLOOKUP($D957,VEHICULOS!$A$3:$H$202,8,FALSE)),""))))</f>
      </c>
      <c r="BG957" s="106"/>
      <c r="BH957" s="107"/>
      <c r="BI957" s="86">
        <f t="shared" si="210"/>
      </c>
      <c r="BJ957" s="83">
        <f t="shared" si="211"/>
      </c>
      <c r="BK957" s="85">
        <f t="shared" si="212"/>
      </c>
      <c r="BL957" s="85">
        <f t="shared" si="213"/>
      </c>
      <c r="BM957" s="108"/>
      <c r="BN957" s="85">
        <f t="shared" si="214"/>
      </c>
      <c r="BO957" s="108"/>
      <c r="BP957" s="85">
        <f t="shared" si="215"/>
      </c>
      <c r="BQ957" s="85">
        <f t="shared" si="216"/>
      </c>
      <c r="BR957" s="108"/>
      <c r="BS957" s="104"/>
      <c r="BT957" s="87">
        <f t="shared" si="217"/>
      </c>
      <c r="BU957" s="85">
        <f t="shared" si="218"/>
      </c>
      <c r="BV957" s="85">
        <f t="shared" si="219"/>
      </c>
      <c r="BW957" s="87">
        <f t="shared" si="220"/>
      </c>
      <c r="BX957" s="104"/>
      <c r="BY957" s="106"/>
      <c r="BZ957" s="104"/>
      <c r="CA957" s="105"/>
      <c r="CB957" s="77">
        <f>IF($A957="",0,IF($B957='FICHA CLIENTE'!$C$4,1,0))</f>
      </c>
      <c r="CC957" s="77">
        <f t="shared" si="221"/>
      </c>
      <c r="CD957" s="77">
        <f>IF($A957="",0,IF($D957='FICHA VEHICULO'!$C$4,1,0))</f>
      </c>
      <c r="CE957" s="77">
        <f t="shared" si="222"/>
      </c>
      <c r="CF957" s="77">
        <f t="shared" si="223"/>
      </c>
      <c r="CG957" s="77">
        <f t="shared" si="224"/>
      </c>
    </row>
    <row r="958" spans="1:85" ht="19.5" customHeight="1" x14ac:dyDescent="0.2">
      <c r="A958" s="104"/>
      <c r="B958" s="104"/>
      <c r="C958" s="105"/>
      <c r="D958" s="104"/>
      <c r="E958" s="105"/>
      <c r="F958" s="106"/>
      <c r="G958" s="104"/>
      <c r="H958" s="106"/>
      <c r="I958" s="107"/>
      <c r="J958" s="108"/>
      <c r="K958" s="108"/>
      <c r="L958" s="108"/>
      <c r="M958" s="105"/>
      <c r="N958" s="105"/>
      <c r="O958" s="105"/>
      <c r="P958" s="108"/>
      <c r="Q958" s="105"/>
      <c r="R958" s="105"/>
      <c r="S958" s="105"/>
      <c r="T958" s="105"/>
      <c r="U958" s="108"/>
      <c r="V958" s="105"/>
      <c r="W958" s="105"/>
      <c r="X958" s="105"/>
      <c r="Y958" s="105"/>
      <c r="Z958" s="105"/>
      <c r="AA958" s="108"/>
      <c r="AB958" s="108"/>
      <c r="AC958" s="105"/>
      <c r="AD958" s="279"/>
      <c r="AE958" s="105"/>
      <c r="AF958" s="279"/>
      <c r="AG958" s="105"/>
      <c r="AH958" s="108"/>
      <c r="AI958" s="108"/>
      <c r="AJ958" s="108"/>
      <c r="AK958" s="108"/>
      <c r="AL958" s="105"/>
      <c r="AM958" s="108"/>
      <c r="AN958" s="105"/>
      <c r="AO958" s="108"/>
      <c r="AP958" s="108"/>
      <c r="AQ958" s="105"/>
      <c r="AR958" s="108"/>
      <c r="AS958" s="108"/>
      <c r="AT958" s="105"/>
      <c r="AU958" s="105"/>
      <c r="AV958" s="105"/>
      <c r="AW958" s="105"/>
      <c r="AX958" s="105"/>
      <c r="AY958" s="105"/>
      <c r="AZ958" s="105"/>
      <c r="BA958" s="105"/>
      <c r="BB958" s="105"/>
      <c r="BC958" s="105"/>
      <c r="BD958" s="108"/>
      <c r="BE958" s="83">
        <f>IF($A958="","",IF(TRIM($D958&amp;"")="",IF(TRIM($AX958&amp;$AY958&amp;$AZ958&amp;$BA958&amp;$BB958&amp;$BC958&amp;$BD958&amp;"")="","","SUBARRENDADO"),IFERROR(IF(VLOOKUP($D958,VEHICULOS!$A$3:$H$202,7,FALSE)="","",VLOOKUP($D958,VEHICULOS!$A$3:$H$202,7,FALSE)),"")))</f>
      </c>
      <c r="BF958" s="82">
        <f>IF($A958="","",IF(TRIM($BC958&amp;"")&lt;&gt;"",$BC958,IF(TRIM($D958&amp;"")="","",IFERROR(IF(VLOOKUP($D958,VEHICULOS!$A$3:$H$202,8,FALSE)="","",VLOOKUP($D958,VEHICULOS!$A$3:$H$202,8,FALSE)),""))))</f>
      </c>
      <c r="BG958" s="106"/>
      <c r="BH958" s="107"/>
      <c r="BI958" s="86">
        <f t="shared" si="210"/>
      </c>
      <c r="BJ958" s="83">
        <f t="shared" si="211"/>
      </c>
      <c r="BK958" s="85">
        <f t="shared" si="212"/>
      </c>
      <c r="BL958" s="85">
        <f t="shared" si="213"/>
      </c>
      <c r="BM958" s="108"/>
      <c r="BN958" s="85">
        <f t="shared" si="214"/>
      </c>
      <c r="BO958" s="108"/>
      <c r="BP958" s="85">
        <f t="shared" si="215"/>
      </c>
      <c r="BQ958" s="85">
        <f t="shared" si="216"/>
      </c>
      <c r="BR958" s="108"/>
      <c r="BS958" s="104"/>
      <c r="BT958" s="87">
        <f t="shared" si="217"/>
      </c>
      <c r="BU958" s="85">
        <f t="shared" si="218"/>
      </c>
      <c r="BV958" s="85">
        <f t="shared" si="219"/>
      </c>
      <c r="BW958" s="87">
        <f t="shared" si="220"/>
      </c>
      <c r="BX958" s="104"/>
      <c r="BY958" s="106"/>
      <c r="BZ958" s="104"/>
      <c r="CA958" s="105"/>
      <c r="CB958" s="77">
        <f>IF($A958="",0,IF($B958='FICHA CLIENTE'!$C$4,1,0))</f>
      </c>
      <c r="CC958" s="77">
        <f t="shared" si="221"/>
      </c>
      <c r="CD958" s="77">
        <f>IF($A958="",0,IF($D958='FICHA VEHICULO'!$C$4,1,0))</f>
      </c>
      <c r="CE958" s="77">
        <f t="shared" si="222"/>
      </c>
      <c r="CF958" s="77">
        <f t="shared" si="223"/>
      </c>
      <c r="CG958" s="77">
        <f t="shared" si="224"/>
      </c>
    </row>
    <row r="959" spans="1:85" ht="19.5" customHeight="1" x14ac:dyDescent="0.2">
      <c r="A959" s="104"/>
      <c r="B959" s="104"/>
      <c r="C959" s="105"/>
      <c r="D959" s="104"/>
      <c r="E959" s="105"/>
      <c r="F959" s="106"/>
      <c r="G959" s="104"/>
      <c r="H959" s="106"/>
      <c r="I959" s="107"/>
      <c r="J959" s="108"/>
      <c r="K959" s="108"/>
      <c r="L959" s="108"/>
      <c r="M959" s="105"/>
      <c r="N959" s="105"/>
      <c r="O959" s="105"/>
      <c r="P959" s="108"/>
      <c r="Q959" s="105"/>
      <c r="R959" s="105"/>
      <c r="S959" s="105"/>
      <c r="T959" s="105"/>
      <c r="U959" s="108"/>
      <c r="V959" s="105"/>
      <c r="W959" s="105"/>
      <c r="X959" s="105"/>
      <c r="Y959" s="105"/>
      <c r="Z959" s="105"/>
      <c r="AA959" s="108"/>
      <c r="AB959" s="108"/>
      <c r="AC959" s="105"/>
      <c r="AD959" s="279"/>
      <c r="AE959" s="105"/>
      <c r="AF959" s="279"/>
      <c r="AG959" s="105"/>
      <c r="AH959" s="108"/>
      <c r="AI959" s="108"/>
      <c r="AJ959" s="108"/>
      <c r="AK959" s="108"/>
      <c r="AL959" s="105"/>
      <c r="AM959" s="108"/>
      <c r="AN959" s="105"/>
      <c r="AO959" s="108"/>
      <c r="AP959" s="108"/>
      <c r="AQ959" s="105"/>
      <c r="AR959" s="108"/>
      <c r="AS959" s="108"/>
      <c r="AT959" s="105"/>
      <c r="AU959" s="105"/>
      <c r="AV959" s="105"/>
      <c r="AW959" s="105"/>
      <c r="AX959" s="105"/>
      <c r="AY959" s="105"/>
      <c r="AZ959" s="105"/>
      <c r="BA959" s="105"/>
      <c r="BB959" s="105"/>
      <c r="BC959" s="105"/>
      <c r="BD959" s="108"/>
      <c r="BE959" s="83">
        <f>IF($A959="","",IF(TRIM($D959&amp;"")="",IF(TRIM($AX959&amp;$AY959&amp;$AZ959&amp;$BA959&amp;$BB959&amp;$BC959&amp;$BD959&amp;"")="","","SUBARRENDADO"),IFERROR(IF(VLOOKUP($D959,VEHICULOS!$A$3:$H$202,7,FALSE)="","",VLOOKUP($D959,VEHICULOS!$A$3:$H$202,7,FALSE)),"")))</f>
      </c>
      <c r="BF959" s="82">
        <f>IF($A959="","",IF(TRIM($BC959&amp;"")&lt;&gt;"",$BC959,IF(TRIM($D959&amp;"")="","",IFERROR(IF(VLOOKUP($D959,VEHICULOS!$A$3:$H$202,8,FALSE)="","",VLOOKUP($D959,VEHICULOS!$A$3:$H$202,8,FALSE)),""))))</f>
      </c>
      <c r="BG959" s="106"/>
      <c r="BH959" s="107"/>
      <c r="BI959" s="86">
        <f t="shared" si="210"/>
      </c>
      <c r="BJ959" s="83">
        <f t="shared" si="211"/>
      </c>
      <c r="BK959" s="85">
        <f t="shared" si="212"/>
      </c>
      <c r="BL959" s="85">
        <f t="shared" si="213"/>
      </c>
      <c r="BM959" s="108"/>
      <c r="BN959" s="85">
        <f t="shared" si="214"/>
      </c>
      <c r="BO959" s="108"/>
      <c r="BP959" s="85">
        <f t="shared" si="215"/>
      </c>
      <c r="BQ959" s="85">
        <f t="shared" si="216"/>
      </c>
      <c r="BR959" s="108"/>
      <c r="BS959" s="104"/>
      <c r="BT959" s="87">
        <f t="shared" si="217"/>
      </c>
      <c r="BU959" s="85">
        <f t="shared" si="218"/>
      </c>
      <c r="BV959" s="85">
        <f t="shared" si="219"/>
      </c>
      <c r="BW959" s="87">
        <f t="shared" si="220"/>
      </c>
      <c r="BX959" s="104"/>
      <c r="BY959" s="106"/>
      <c r="BZ959" s="104"/>
      <c r="CA959" s="105"/>
      <c r="CB959" s="77">
        <f>IF($A959="",0,IF($B959='FICHA CLIENTE'!$C$4,1,0))</f>
      </c>
      <c r="CC959" s="77">
        <f t="shared" si="221"/>
      </c>
      <c r="CD959" s="77">
        <f>IF($A959="",0,IF($D959='FICHA VEHICULO'!$C$4,1,0))</f>
      </c>
      <c r="CE959" s="77">
        <f t="shared" si="222"/>
      </c>
      <c r="CF959" s="77">
        <f t="shared" si="223"/>
      </c>
      <c r="CG959" s="77">
        <f t="shared" si="224"/>
      </c>
    </row>
    <row r="960" spans="1:85" ht="19.5" customHeight="1" x14ac:dyDescent="0.2">
      <c r="A960" s="104"/>
      <c r="B960" s="104"/>
      <c r="C960" s="105"/>
      <c r="D960" s="104"/>
      <c r="E960" s="105"/>
      <c r="F960" s="106"/>
      <c r="G960" s="104"/>
      <c r="H960" s="106"/>
      <c r="I960" s="107"/>
      <c r="J960" s="108"/>
      <c r="K960" s="108"/>
      <c r="L960" s="108"/>
      <c r="M960" s="105"/>
      <c r="N960" s="105"/>
      <c r="O960" s="105"/>
      <c r="P960" s="108"/>
      <c r="Q960" s="105"/>
      <c r="R960" s="105"/>
      <c r="S960" s="105"/>
      <c r="T960" s="105"/>
      <c r="U960" s="108"/>
      <c r="V960" s="105"/>
      <c r="W960" s="105"/>
      <c r="X960" s="105"/>
      <c r="Y960" s="105"/>
      <c r="Z960" s="105"/>
      <c r="AA960" s="108"/>
      <c r="AB960" s="108"/>
      <c r="AC960" s="105"/>
      <c r="AD960" s="279"/>
      <c r="AE960" s="105"/>
      <c r="AF960" s="279"/>
      <c r="AG960" s="105"/>
      <c r="AH960" s="108"/>
      <c r="AI960" s="108"/>
      <c r="AJ960" s="108"/>
      <c r="AK960" s="108"/>
      <c r="AL960" s="105"/>
      <c r="AM960" s="108"/>
      <c r="AN960" s="105"/>
      <c r="AO960" s="108"/>
      <c r="AP960" s="108"/>
      <c r="AQ960" s="105"/>
      <c r="AR960" s="108"/>
      <c r="AS960" s="108"/>
      <c r="AT960" s="105"/>
      <c r="AU960" s="105"/>
      <c r="AV960" s="105"/>
      <c r="AW960" s="105"/>
      <c r="AX960" s="105"/>
      <c r="AY960" s="105"/>
      <c r="AZ960" s="105"/>
      <c r="BA960" s="105"/>
      <c r="BB960" s="105"/>
      <c r="BC960" s="105"/>
      <c r="BD960" s="108"/>
      <c r="BE960" s="83">
        <f>IF($A960="","",IF(TRIM($D960&amp;"")="",IF(TRIM($AX960&amp;$AY960&amp;$AZ960&amp;$BA960&amp;$BB960&amp;$BC960&amp;$BD960&amp;"")="","","SUBARRENDADO"),IFERROR(IF(VLOOKUP($D960,VEHICULOS!$A$3:$H$202,7,FALSE)="","",VLOOKUP($D960,VEHICULOS!$A$3:$H$202,7,FALSE)),"")))</f>
      </c>
      <c r="BF960" s="82">
        <f>IF($A960="","",IF(TRIM($BC960&amp;"")&lt;&gt;"",$BC960,IF(TRIM($D960&amp;"")="","",IFERROR(IF(VLOOKUP($D960,VEHICULOS!$A$3:$H$202,8,FALSE)="","",VLOOKUP($D960,VEHICULOS!$A$3:$H$202,8,FALSE)),""))))</f>
      </c>
      <c r="BG960" s="106"/>
      <c r="BH960" s="107"/>
      <c r="BI960" s="86">
        <f t="shared" si="210"/>
      </c>
      <c r="BJ960" s="83">
        <f t="shared" si="211"/>
      </c>
      <c r="BK960" s="85">
        <f t="shared" si="212"/>
      </c>
      <c r="BL960" s="85">
        <f t="shared" si="213"/>
      </c>
      <c r="BM960" s="108"/>
      <c r="BN960" s="85">
        <f t="shared" si="214"/>
      </c>
      <c r="BO960" s="108"/>
      <c r="BP960" s="85">
        <f t="shared" si="215"/>
      </c>
      <c r="BQ960" s="85">
        <f t="shared" si="216"/>
      </c>
      <c r="BR960" s="108"/>
      <c r="BS960" s="104"/>
      <c r="BT960" s="87">
        <f t="shared" si="217"/>
      </c>
      <c r="BU960" s="85">
        <f t="shared" si="218"/>
      </c>
      <c r="BV960" s="85">
        <f t="shared" si="219"/>
      </c>
      <c r="BW960" s="87">
        <f t="shared" si="220"/>
      </c>
      <c r="BX960" s="104"/>
      <c r="BY960" s="106"/>
      <c r="BZ960" s="104"/>
      <c r="CA960" s="105"/>
      <c r="CB960" s="77">
        <f>IF($A960="",0,IF($B960='FICHA CLIENTE'!$C$4,1,0))</f>
      </c>
      <c r="CC960" s="77">
        <f t="shared" si="221"/>
      </c>
      <c r="CD960" s="77">
        <f>IF($A960="",0,IF($D960='FICHA VEHICULO'!$C$4,1,0))</f>
      </c>
      <c r="CE960" s="77">
        <f t="shared" si="222"/>
      </c>
      <c r="CF960" s="77">
        <f t="shared" si="223"/>
      </c>
      <c r="CG960" s="77">
        <f t="shared" si="224"/>
      </c>
    </row>
    <row r="961" spans="1:85" ht="19.5" customHeight="1" x14ac:dyDescent="0.2">
      <c r="A961" s="104"/>
      <c r="B961" s="104"/>
      <c r="C961" s="105"/>
      <c r="D961" s="104"/>
      <c r="E961" s="105"/>
      <c r="F961" s="106"/>
      <c r="G961" s="104"/>
      <c r="H961" s="106"/>
      <c r="I961" s="107"/>
      <c r="J961" s="108"/>
      <c r="K961" s="108"/>
      <c r="L961" s="108"/>
      <c r="M961" s="105"/>
      <c r="N961" s="105"/>
      <c r="O961" s="105"/>
      <c r="P961" s="108"/>
      <c r="Q961" s="105"/>
      <c r="R961" s="105"/>
      <c r="S961" s="105"/>
      <c r="T961" s="105"/>
      <c r="U961" s="108"/>
      <c r="V961" s="105"/>
      <c r="W961" s="105"/>
      <c r="X961" s="105"/>
      <c r="Y961" s="105"/>
      <c r="Z961" s="105"/>
      <c r="AA961" s="108"/>
      <c r="AB961" s="108"/>
      <c r="AC961" s="105"/>
      <c r="AD961" s="279"/>
      <c r="AE961" s="105"/>
      <c r="AF961" s="279"/>
      <c r="AG961" s="105"/>
      <c r="AH961" s="108"/>
      <c r="AI961" s="108"/>
      <c r="AJ961" s="108"/>
      <c r="AK961" s="108"/>
      <c r="AL961" s="105"/>
      <c r="AM961" s="108"/>
      <c r="AN961" s="105"/>
      <c r="AO961" s="108"/>
      <c r="AP961" s="108"/>
      <c r="AQ961" s="105"/>
      <c r="AR961" s="108"/>
      <c r="AS961" s="108"/>
      <c r="AT961" s="105"/>
      <c r="AU961" s="105"/>
      <c r="AV961" s="105"/>
      <c r="AW961" s="105"/>
      <c r="AX961" s="105"/>
      <c r="AY961" s="105"/>
      <c r="AZ961" s="105"/>
      <c r="BA961" s="105"/>
      <c r="BB961" s="105"/>
      <c r="BC961" s="105"/>
      <c r="BD961" s="108"/>
      <c r="BE961" s="83">
        <f>IF($A961="","",IF(TRIM($D961&amp;"")="",IF(TRIM($AX961&amp;$AY961&amp;$AZ961&amp;$BA961&amp;$BB961&amp;$BC961&amp;$BD961&amp;"")="","","SUBARRENDADO"),IFERROR(IF(VLOOKUP($D961,VEHICULOS!$A$3:$H$202,7,FALSE)="","",VLOOKUP($D961,VEHICULOS!$A$3:$H$202,7,FALSE)),"")))</f>
      </c>
      <c r="BF961" s="82">
        <f>IF($A961="","",IF(TRIM($BC961&amp;"")&lt;&gt;"",$BC961,IF(TRIM($D961&amp;"")="","",IFERROR(IF(VLOOKUP($D961,VEHICULOS!$A$3:$H$202,8,FALSE)="","",VLOOKUP($D961,VEHICULOS!$A$3:$H$202,8,FALSE)),""))))</f>
      </c>
      <c r="BG961" s="106"/>
      <c r="BH961" s="107"/>
      <c r="BI961" s="86">
        <f t="shared" si="210"/>
      </c>
      <c r="BJ961" s="83">
        <f t="shared" si="211"/>
      </c>
      <c r="BK961" s="85">
        <f t="shared" si="212"/>
      </c>
      <c r="BL961" s="85">
        <f t="shared" si="213"/>
      </c>
      <c r="BM961" s="108"/>
      <c r="BN961" s="85">
        <f t="shared" si="214"/>
      </c>
      <c r="BO961" s="108"/>
      <c r="BP961" s="85">
        <f t="shared" si="215"/>
      </c>
      <c r="BQ961" s="85">
        <f t="shared" si="216"/>
      </c>
      <c r="BR961" s="108"/>
      <c r="BS961" s="104"/>
      <c r="BT961" s="87">
        <f t="shared" si="217"/>
      </c>
      <c r="BU961" s="85">
        <f t="shared" si="218"/>
      </c>
      <c r="BV961" s="85">
        <f t="shared" si="219"/>
      </c>
      <c r="BW961" s="87">
        <f t="shared" si="220"/>
      </c>
      <c r="BX961" s="104"/>
      <c r="BY961" s="106"/>
      <c r="BZ961" s="104"/>
      <c r="CA961" s="105"/>
      <c r="CB961" s="77">
        <f>IF($A961="",0,IF($B961='FICHA CLIENTE'!$C$4,1,0))</f>
      </c>
      <c r="CC961" s="77">
        <f t="shared" si="221"/>
      </c>
      <c r="CD961" s="77">
        <f>IF($A961="",0,IF($D961='FICHA VEHICULO'!$C$4,1,0))</f>
      </c>
      <c r="CE961" s="77">
        <f t="shared" si="222"/>
      </c>
      <c r="CF961" s="77">
        <f t="shared" si="223"/>
      </c>
      <c r="CG961" s="77">
        <f t="shared" si="224"/>
      </c>
    </row>
    <row r="962" spans="1:85" ht="19.5" customHeight="1" x14ac:dyDescent="0.2">
      <c r="A962" s="104"/>
      <c r="B962" s="104"/>
      <c r="C962" s="105"/>
      <c r="D962" s="104"/>
      <c r="E962" s="105"/>
      <c r="F962" s="106"/>
      <c r="G962" s="104"/>
      <c r="H962" s="106"/>
      <c r="I962" s="107"/>
      <c r="J962" s="108"/>
      <c r="K962" s="108"/>
      <c r="L962" s="108"/>
      <c r="M962" s="105"/>
      <c r="N962" s="105"/>
      <c r="O962" s="105"/>
      <c r="P962" s="108"/>
      <c r="Q962" s="105"/>
      <c r="R962" s="105"/>
      <c r="S962" s="105"/>
      <c r="T962" s="105"/>
      <c r="U962" s="108"/>
      <c r="V962" s="105"/>
      <c r="W962" s="105"/>
      <c r="X962" s="105"/>
      <c r="Y962" s="105"/>
      <c r="Z962" s="105"/>
      <c r="AA962" s="108"/>
      <c r="AB962" s="108"/>
      <c r="AC962" s="105"/>
      <c r="AD962" s="279"/>
      <c r="AE962" s="105"/>
      <c r="AF962" s="279"/>
      <c r="AG962" s="105"/>
      <c r="AH962" s="108"/>
      <c r="AI962" s="108"/>
      <c r="AJ962" s="108"/>
      <c r="AK962" s="108"/>
      <c r="AL962" s="105"/>
      <c r="AM962" s="108"/>
      <c r="AN962" s="105"/>
      <c r="AO962" s="108"/>
      <c r="AP962" s="108"/>
      <c r="AQ962" s="105"/>
      <c r="AR962" s="108"/>
      <c r="AS962" s="108"/>
      <c r="AT962" s="105"/>
      <c r="AU962" s="105"/>
      <c r="AV962" s="105"/>
      <c r="AW962" s="105"/>
      <c r="AX962" s="105"/>
      <c r="AY962" s="105"/>
      <c r="AZ962" s="105"/>
      <c r="BA962" s="105"/>
      <c r="BB962" s="105"/>
      <c r="BC962" s="105"/>
      <c r="BD962" s="108"/>
      <c r="BE962" s="83">
        <f>IF($A962="","",IF(TRIM($D962&amp;"")="",IF(TRIM($AX962&amp;$AY962&amp;$AZ962&amp;$BA962&amp;$BB962&amp;$BC962&amp;$BD962&amp;"")="","","SUBARRENDADO"),IFERROR(IF(VLOOKUP($D962,VEHICULOS!$A$3:$H$202,7,FALSE)="","",VLOOKUP($D962,VEHICULOS!$A$3:$H$202,7,FALSE)),"")))</f>
      </c>
      <c r="BF962" s="82">
        <f>IF($A962="","",IF(TRIM($BC962&amp;"")&lt;&gt;"",$BC962,IF(TRIM($D962&amp;"")="","",IFERROR(IF(VLOOKUP($D962,VEHICULOS!$A$3:$H$202,8,FALSE)="","",VLOOKUP($D962,VEHICULOS!$A$3:$H$202,8,FALSE)),""))))</f>
      </c>
      <c r="BG962" s="106"/>
      <c r="BH962" s="107"/>
      <c r="BI962" s="86">
        <f t="shared" si="210"/>
      </c>
      <c r="BJ962" s="83">
        <f t="shared" si="211"/>
      </c>
      <c r="BK962" s="85">
        <f t="shared" si="212"/>
      </c>
      <c r="BL962" s="85">
        <f t="shared" si="213"/>
      </c>
      <c r="BM962" s="108"/>
      <c r="BN962" s="85">
        <f t="shared" si="214"/>
      </c>
      <c r="BO962" s="108"/>
      <c r="BP962" s="85">
        <f t="shared" si="215"/>
      </c>
      <c r="BQ962" s="85">
        <f t="shared" si="216"/>
      </c>
      <c r="BR962" s="108"/>
      <c r="BS962" s="104"/>
      <c r="BT962" s="87">
        <f t="shared" si="217"/>
      </c>
      <c r="BU962" s="85">
        <f t="shared" si="218"/>
      </c>
      <c r="BV962" s="85">
        <f t="shared" si="219"/>
      </c>
      <c r="BW962" s="87">
        <f t="shared" si="220"/>
      </c>
      <c r="BX962" s="104"/>
      <c r="BY962" s="106"/>
      <c r="BZ962" s="104"/>
      <c r="CA962" s="105"/>
      <c r="CB962" s="77">
        <f>IF($A962="",0,IF($B962='FICHA CLIENTE'!$C$4,1,0))</f>
      </c>
      <c r="CC962" s="77">
        <f t="shared" si="221"/>
      </c>
      <c r="CD962" s="77">
        <f>IF($A962="",0,IF($D962='FICHA VEHICULO'!$C$4,1,0))</f>
      </c>
      <c r="CE962" s="77">
        <f t="shared" si="222"/>
      </c>
      <c r="CF962" s="77">
        <f t="shared" si="223"/>
      </c>
      <c r="CG962" s="77">
        <f t="shared" si="224"/>
      </c>
    </row>
    <row r="963" spans="1:85" ht="19.5" customHeight="1" x14ac:dyDescent="0.2">
      <c r="A963" s="104"/>
      <c r="B963" s="104"/>
      <c r="C963" s="105"/>
      <c r="D963" s="104"/>
      <c r="E963" s="105"/>
      <c r="F963" s="106"/>
      <c r="G963" s="104"/>
      <c r="H963" s="106"/>
      <c r="I963" s="107"/>
      <c r="J963" s="108"/>
      <c r="K963" s="108"/>
      <c r="L963" s="108"/>
      <c r="M963" s="105"/>
      <c r="N963" s="105"/>
      <c r="O963" s="105"/>
      <c r="P963" s="108"/>
      <c r="Q963" s="105"/>
      <c r="R963" s="105"/>
      <c r="S963" s="105"/>
      <c r="T963" s="105"/>
      <c r="U963" s="108"/>
      <c r="V963" s="105"/>
      <c r="W963" s="105"/>
      <c r="X963" s="105"/>
      <c r="Y963" s="105"/>
      <c r="Z963" s="105"/>
      <c r="AA963" s="108"/>
      <c r="AB963" s="108"/>
      <c r="AC963" s="105"/>
      <c r="AD963" s="279"/>
      <c r="AE963" s="105"/>
      <c r="AF963" s="279"/>
      <c r="AG963" s="105"/>
      <c r="AH963" s="108"/>
      <c r="AI963" s="108"/>
      <c r="AJ963" s="108"/>
      <c r="AK963" s="108"/>
      <c r="AL963" s="105"/>
      <c r="AM963" s="108"/>
      <c r="AN963" s="105"/>
      <c r="AO963" s="108"/>
      <c r="AP963" s="108"/>
      <c r="AQ963" s="105"/>
      <c r="AR963" s="108"/>
      <c r="AS963" s="108"/>
      <c r="AT963" s="105"/>
      <c r="AU963" s="105"/>
      <c r="AV963" s="105"/>
      <c r="AW963" s="105"/>
      <c r="AX963" s="105"/>
      <c r="AY963" s="105"/>
      <c r="AZ963" s="105"/>
      <c r="BA963" s="105"/>
      <c r="BB963" s="105"/>
      <c r="BC963" s="105"/>
      <c r="BD963" s="108"/>
      <c r="BE963" s="83">
        <f>IF($A963="","",IF(TRIM($D963&amp;"")="",IF(TRIM($AX963&amp;$AY963&amp;$AZ963&amp;$BA963&amp;$BB963&amp;$BC963&amp;$BD963&amp;"")="","","SUBARRENDADO"),IFERROR(IF(VLOOKUP($D963,VEHICULOS!$A$3:$H$202,7,FALSE)="","",VLOOKUP($D963,VEHICULOS!$A$3:$H$202,7,FALSE)),"")))</f>
      </c>
      <c r="BF963" s="82">
        <f>IF($A963="","",IF(TRIM($BC963&amp;"")&lt;&gt;"",$BC963,IF(TRIM($D963&amp;"")="","",IFERROR(IF(VLOOKUP($D963,VEHICULOS!$A$3:$H$202,8,FALSE)="","",VLOOKUP($D963,VEHICULOS!$A$3:$H$202,8,FALSE)),""))))</f>
      </c>
      <c r="BG963" s="106"/>
      <c r="BH963" s="107"/>
      <c r="BI963" s="86">
        <f t="shared" si="210"/>
      </c>
      <c r="BJ963" s="83">
        <f t="shared" si="211"/>
      </c>
      <c r="BK963" s="85">
        <f t="shared" si="212"/>
      </c>
      <c r="BL963" s="85">
        <f t="shared" si="213"/>
      </c>
      <c r="BM963" s="108"/>
      <c r="BN963" s="85">
        <f t="shared" si="214"/>
      </c>
      <c r="BO963" s="108"/>
      <c r="BP963" s="85">
        <f t="shared" si="215"/>
      </c>
      <c r="BQ963" s="85">
        <f t="shared" si="216"/>
      </c>
      <c r="BR963" s="108"/>
      <c r="BS963" s="104"/>
      <c r="BT963" s="87">
        <f t="shared" si="217"/>
      </c>
      <c r="BU963" s="85">
        <f t="shared" si="218"/>
      </c>
      <c r="BV963" s="85">
        <f t="shared" si="219"/>
      </c>
      <c r="BW963" s="87">
        <f t="shared" si="220"/>
      </c>
      <c r="BX963" s="104"/>
      <c r="BY963" s="106"/>
      <c r="BZ963" s="104"/>
      <c r="CA963" s="105"/>
      <c r="CB963" s="77">
        <f>IF($A963="",0,IF($B963='FICHA CLIENTE'!$C$4,1,0))</f>
      </c>
      <c r="CC963" s="77">
        <f t="shared" si="221"/>
      </c>
      <c r="CD963" s="77">
        <f>IF($A963="",0,IF($D963='FICHA VEHICULO'!$C$4,1,0))</f>
      </c>
      <c r="CE963" s="77">
        <f t="shared" si="222"/>
      </c>
      <c r="CF963" s="77">
        <f t="shared" si="223"/>
      </c>
      <c r="CG963" s="77">
        <f t="shared" si="224"/>
      </c>
    </row>
    <row r="964" spans="1:85" ht="19.5" customHeight="1" x14ac:dyDescent="0.2">
      <c r="A964" s="104"/>
      <c r="B964" s="104"/>
      <c r="C964" s="105"/>
      <c r="D964" s="104"/>
      <c r="E964" s="105"/>
      <c r="F964" s="106"/>
      <c r="G964" s="104"/>
      <c r="H964" s="106"/>
      <c r="I964" s="107"/>
      <c r="J964" s="108"/>
      <c r="K964" s="108"/>
      <c r="L964" s="108"/>
      <c r="M964" s="105"/>
      <c r="N964" s="105"/>
      <c r="O964" s="105"/>
      <c r="P964" s="108"/>
      <c r="Q964" s="105"/>
      <c r="R964" s="105"/>
      <c r="S964" s="105"/>
      <c r="T964" s="105"/>
      <c r="U964" s="108"/>
      <c r="V964" s="105"/>
      <c r="W964" s="105"/>
      <c r="X964" s="105"/>
      <c r="Y964" s="105"/>
      <c r="Z964" s="105"/>
      <c r="AA964" s="108"/>
      <c r="AB964" s="108"/>
      <c r="AC964" s="105"/>
      <c r="AD964" s="279"/>
      <c r="AE964" s="105"/>
      <c r="AF964" s="279"/>
      <c r="AG964" s="105"/>
      <c r="AH964" s="108"/>
      <c r="AI964" s="108"/>
      <c r="AJ964" s="108"/>
      <c r="AK964" s="108"/>
      <c r="AL964" s="105"/>
      <c r="AM964" s="108"/>
      <c r="AN964" s="105"/>
      <c r="AO964" s="108"/>
      <c r="AP964" s="108"/>
      <c r="AQ964" s="105"/>
      <c r="AR964" s="108"/>
      <c r="AS964" s="108"/>
      <c r="AT964" s="105"/>
      <c r="AU964" s="105"/>
      <c r="AV964" s="105"/>
      <c r="AW964" s="105"/>
      <c r="AX964" s="105"/>
      <c r="AY964" s="105"/>
      <c r="AZ964" s="105"/>
      <c r="BA964" s="105"/>
      <c r="BB964" s="105"/>
      <c r="BC964" s="105"/>
      <c r="BD964" s="108"/>
      <c r="BE964" s="83">
        <f>IF($A964="","",IF(TRIM($D964&amp;"")="",IF(TRIM($AX964&amp;$AY964&amp;$AZ964&amp;$BA964&amp;$BB964&amp;$BC964&amp;$BD964&amp;"")="","","SUBARRENDADO"),IFERROR(IF(VLOOKUP($D964,VEHICULOS!$A$3:$H$202,7,FALSE)="","",VLOOKUP($D964,VEHICULOS!$A$3:$H$202,7,FALSE)),"")))</f>
      </c>
      <c r="BF964" s="82">
        <f>IF($A964="","",IF(TRIM($BC964&amp;"")&lt;&gt;"",$BC964,IF(TRIM($D964&amp;"")="","",IFERROR(IF(VLOOKUP($D964,VEHICULOS!$A$3:$H$202,8,FALSE)="","",VLOOKUP($D964,VEHICULOS!$A$3:$H$202,8,FALSE)),""))))</f>
      </c>
      <c r="BG964" s="106"/>
      <c r="BH964" s="107"/>
      <c r="BI964" s="86">
        <f t="shared" si="210"/>
      </c>
      <c r="BJ964" s="83">
        <f t="shared" si="211"/>
      </c>
      <c r="BK964" s="85">
        <f t="shared" si="212"/>
      </c>
      <c r="BL964" s="85">
        <f t="shared" si="213"/>
      </c>
      <c r="BM964" s="108"/>
      <c r="BN964" s="85">
        <f t="shared" si="214"/>
      </c>
      <c r="BO964" s="108"/>
      <c r="BP964" s="85">
        <f t="shared" si="215"/>
      </c>
      <c r="BQ964" s="85">
        <f t="shared" si="216"/>
      </c>
      <c r="BR964" s="108"/>
      <c r="BS964" s="104"/>
      <c r="BT964" s="87">
        <f t="shared" si="217"/>
      </c>
      <c r="BU964" s="85">
        <f t="shared" si="218"/>
      </c>
      <c r="BV964" s="85">
        <f t="shared" si="219"/>
      </c>
      <c r="BW964" s="87">
        <f t="shared" si="220"/>
      </c>
      <c r="BX964" s="104"/>
      <c r="BY964" s="106"/>
      <c r="BZ964" s="104"/>
      <c r="CA964" s="105"/>
      <c r="CB964" s="77">
        <f>IF($A964="",0,IF($B964='FICHA CLIENTE'!$C$4,1,0))</f>
      </c>
      <c r="CC964" s="77">
        <f t="shared" si="221"/>
      </c>
      <c r="CD964" s="77">
        <f>IF($A964="",0,IF($D964='FICHA VEHICULO'!$C$4,1,0))</f>
      </c>
      <c r="CE964" s="77">
        <f t="shared" si="222"/>
      </c>
      <c r="CF964" s="77">
        <f t="shared" si="223"/>
      </c>
      <c r="CG964" s="77">
        <f t="shared" si="224"/>
      </c>
    </row>
    <row r="965" spans="1:85" ht="19.5" customHeight="1" x14ac:dyDescent="0.2">
      <c r="A965" s="104"/>
      <c r="B965" s="104"/>
      <c r="C965" s="105"/>
      <c r="D965" s="104"/>
      <c r="E965" s="105"/>
      <c r="F965" s="106"/>
      <c r="G965" s="104"/>
      <c r="H965" s="106"/>
      <c r="I965" s="107"/>
      <c r="J965" s="108"/>
      <c r="K965" s="108"/>
      <c r="L965" s="108"/>
      <c r="M965" s="105"/>
      <c r="N965" s="105"/>
      <c r="O965" s="105"/>
      <c r="P965" s="108"/>
      <c r="Q965" s="105"/>
      <c r="R965" s="105"/>
      <c r="S965" s="105"/>
      <c r="T965" s="105"/>
      <c r="U965" s="108"/>
      <c r="V965" s="105"/>
      <c r="W965" s="105"/>
      <c r="X965" s="105"/>
      <c r="Y965" s="105"/>
      <c r="Z965" s="105"/>
      <c r="AA965" s="108"/>
      <c r="AB965" s="108"/>
      <c r="AC965" s="105"/>
      <c r="AD965" s="279"/>
      <c r="AE965" s="105"/>
      <c r="AF965" s="279"/>
      <c r="AG965" s="105"/>
      <c r="AH965" s="108"/>
      <c r="AI965" s="108"/>
      <c r="AJ965" s="108"/>
      <c r="AK965" s="108"/>
      <c r="AL965" s="105"/>
      <c r="AM965" s="108"/>
      <c r="AN965" s="105"/>
      <c r="AO965" s="108"/>
      <c r="AP965" s="108"/>
      <c r="AQ965" s="105"/>
      <c r="AR965" s="108"/>
      <c r="AS965" s="108"/>
      <c r="AT965" s="105"/>
      <c r="AU965" s="105"/>
      <c r="AV965" s="105"/>
      <c r="AW965" s="105"/>
      <c r="AX965" s="105"/>
      <c r="AY965" s="105"/>
      <c r="AZ965" s="105"/>
      <c r="BA965" s="105"/>
      <c r="BB965" s="105"/>
      <c r="BC965" s="105"/>
      <c r="BD965" s="108"/>
      <c r="BE965" s="83">
        <f>IF($A965="","",IF(TRIM($D965&amp;"")="",IF(TRIM($AX965&amp;$AY965&amp;$AZ965&amp;$BA965&amp;$BB965&amp;$BC965&amp;$BD965&amp;"")="","","SUBARRENDADO"),IFERROR(IF(VLOOKUP($D965,VEHICULOS!$A$3:$H$202,7,FALSE)="","",VLOOKUP($D965,VEHICULOS!$A$3:$H$202,7,FALSE)),"")))</f>
      </c>
      <c r="BF965" s="82">
        <f>IF($A965="","",IF(TRIM($BC965&amp;"")&lt;&gt;"",$BC965,IF(TRIM($D965&amp;"")="","",IFERROR(IF(VLOOKUP($D965,VEHICULOS!$A$3:$H$202,8,FALSE)="","",VLOOKUP($D965,VEHICULOS!$A$3:$H$202,8,FALSE)),""))))</f>
      </c>
      <c r="BG965" s="106"/>
      <c r="BH965" s="107"/>
      <c r="BI965" s="86">
        <f t="shared" si="210"/>
      </c>
      <c r="BJ965" s="83">
        <f t="shared" si="211"/>
      </c>
      <c r="BK965" s="85">
        <f t="shared" si="212"/>
      </c>
      <c r="BL965" s="85">
        <f t="shared" si="213"/>
      </c>
      <c r="BM965" s="108"/>
      <c r="BN965" s="85">
        <f t="shared" si="214"/>
      </c>
      <c r="BO965" s="108"/>
      <c r="BP965" s="85">
        <f t="shared" si="215"/>
      </c>
      <c r="BQ965" s="85">
        <f t="shared" si="216"/>
      </c>
      <c r="BR965" s="108"/>
      <c r="BS965" s="104"/>
      <c r="BT965" s="87">
        <f t="shared" si="217"/>
      </c>
      <c r="BU965" s="85">
        <f t="shared" si="218"/>
      </c>
      <c r="BV965" s="85">
        <f t="shared" si="219"/>
      </c>
      <c r="BW965" s="87">
        <f t="shared" si="220"/>
      </c>
      <c r="BX965" s="104"/>
      <c r="BY965" s="106"/>
      <c r="BZ965" s="104"/>
      <c r="CA965" s="105"/>
      <c r="CB965" s="77">
        <f>IF($A965="",0,IF($B965='FICHA CLIENTE'!$C$4,1,0))</f>
      </c>
      <c r="CC965" s="77">
        <f t="shared" si="221"/>
      </c>
      <c r="CD965" s="77">
        <f>IF($A965="",0,IF($D965='FICHA VEHICULO'!$C$4,1,0))</f>
      </c>
      <c r="CE965" s="77">
        <f t="shared" si="222"/>
      </c>
      <c r="CF965" s="77">
        <f t="shared" si="223"/>
      </c>
      <c r="CG965" s="77">
        <f t="shared" si="224"/>
      </c>
    </row>
    <row r="966" spans="1:85" ht="19.5" customHeight="1" x14ac:dyDescent="0.2">
      <c r="A966" s="104"/>
      <c r="B966" s="104"/>
      <c r="C966" s="105"/>
      <c r="D966" s="104"/>
      <c r="E966" s="105"/>
      <c r="F966" s="106"/>
      <c r="G966" s="104"/>
      <c r="H966" s="106"/>
      <c r="I966" s="107"/>
      <c r="J966" s="108"/>
      <c r="K966" s="108"/>
      <c r="L966" s="108"/>
      <c r="M966" s="105"/>
      <c r="N966" s="105"/>
      <c r="O966" s="105"/>
      <c r="P966" s="108"/>
      <c r="Q966" s="105"/>
      <c r="R966" s="105"/>
      <c r="S966" s="105"/>
      <c r="T966" s="105"/>
      <c r="U966" s="108"/>
      <c r="V966" s="105"/>
      <c r="W966" s="105"/>
      <c r="X966" s="105"/>
      <c r="Y966" s="105"/>
      <c r="Z966" s="105"/>
      <c r="AA966" s="108"/>
      <c r="AB966" s="108"/>
      <c r="AC966" s="105"/>
      <c r="AD966" s="279"/>
      <c r="AE966" s="105"/>
      <c r="AF966" s="279"/>
      <c r="AG966" s="105"/>
      <c r="AH966" s="108"/>
      <c r="AI966" s="108"/>
      <c r="AJ966" s="108"/>
      <c r="AK966" s="108"/>
      <c r="AL966" s="105"/>
      <c r="AM966" s="108"/>
      <c r="AN966" s="105"/>
      <c r="AO966" s="108"/>
      <c r="AP966" s="108"/>
      <c r="AQ966" s="105"/>
      <c r="AR966" s="108"/>
      <c r="AS966" s="108"/>
      <c r="AT966" s="105"/>
      <c r="AU966" s="105"/>
      <c r="AV966" s="105"/>
      <c r="AW966" s="105"/>
      <c r="AX966" s="105"/>
      <c r="AY966" s="105"/>
      <c r="AZ966" s="105"/>
      <c r="BA966" s="105"/>
      <c r="BB966" s="105"/>
      <c r="BC966" s="105"/>
      <c r="BD966" s="108"/>
      <c r="BE966" s="83">
        <f>IF($A966="","",IF(TRIM($D966&amp;"")="",IF(TRIM($AX966&amp;$AY966&amp;$AZ966&amp;$BA966&amp;$BB966&amp;$BC966&amp;$BD966&amp;"")="","","SUBARRENDADO"),IFERROR(IF(VLOOKUP($D966,VEHICULOS!$A$3:$H$202,7,FALSE)="","",VLOOKUP($D966,VEHICULOS!$A$3:$H$202,7,FALSE)),"")))</f>
      </c>
      <c r="BF966" s="82">
        <f>IF($A966="","",IF(TRIM($BC966&amp;"")&lt;&gt;"",$BC966,IF(TRIM($D966&amp;"")="","",IFERROR(IF(VLOOKUP($D966,VEHICULOS!$A$3:$H$202,8,FALSE)="","",VLOOKUP($D966,VEHICULOS!$A$3:$H$202,8,FALSE)),""))))</f>
      </c>
      <c r="BG966" s="106"/>
      <c r="BH966" s="107"/>
      <c r="BI966" s="86">
        <f t="shared" ref="BI966:BI1005" si="225">IF(OR($BH966="",$I966=""),"",$BH966-$I966)</f>
      </c>
      <c r="BJ966" s="83">
        <f t="shared" ref="BJ966:BJ1005" si="226">IF(OR($BG966="",$H966=""),"",MAX(0,$BG966-$H966))</f>
      </c>
      <c r="BK966" s="85">
        <f t="shared" ref="BK966:BK1005" si="227">IF($A966="","",N($BJ966)*N($J966))</f>
      </c>
      <c r="BL966" s="85">
        <f t="shared" ref="BL966:BL1005" si="228">IF($A966="","",(N($AM966)+N($AS966))*(N($G966)+N($BJ966))+N($AP966))</f>
      </c>
      <c r="BM966" s="108"/>
      <c r="BN966" s="85">
        <f t="shared" ref="BN966:BN1005" si="229">IF($A966="","",N($AO966))</f>
      </c>
      <c r="BO966" s="108"/>
      <c r="BP966" s="85">
        <f t="shared" ref="BP966:BP1005" si="230">IF($A966="","",N($AR966))</f>
      </c>
      <c r="BQ966" s="85">
        <f t="shared" ref="BQ966:BQ1005" si="231">IF($A966="","",N($K966)+N($BK966)+N($BL966)+N($BM966)+N($BN966)+N($BO966)+N($BP966))</f>
      </c>
      <c r="BR966" s="108"/>
      <c r="BS966" s="104"/>
      <c r="BT966" s="87">
        <f t="shared" ref="BT966:BT1005" si="232">IF($A966="","",ROUND((N($BQ966)-N($BR966))*(1+N($BS966)/100),2))</f>
      </c>
      <c r="BU966" s="85">
        <f t="shared" ref="BU966:BU1005" si="233">IF($A966="","",N($BD966))</f>
      </c>
      <c r="BV966" s="85">
        <f t="shared" ref="BV966:BV1005" si="234">IF($A966="","",N($BU966)*(N($G966)+N($BJ966)))</f>
      </c>
      <c r="BW966" s="87">
        <f t="shared" ref="BW966:BW1005" si="235">IF($A966="","",N($BT966)-N($BV966))</f>
      </c>
      <c r="BX966" s="104"/>
      <c r="BY966" s="106"/>
      <c r="BZ966" s="104"/>
      <c r="CA966" s="105"/>
      <c r="CB966" s="77">
        <f>IF($A966="",0,IF($B966='FICHA CLIENTE'!$C$4,1,0))</f>
      </c>
      <c r="CC966" s="77">
        <f t="shared" ref="CC966:CC1005" si="236">$CC965+$CB966</f>
      </c>
      <c r="CD966" s="77">
        <f>IF($A966="",0,IF($D966='FICHA VEHICULO'!$C$4,1,0))</f>
      </c>
      <c r="CE966" s="77">
        <f t="shared" ref="CE966:CE1005" si="237">$CE965+$CD966</f>
      </c>
      <c r="CF966" s="77">
        <f t="shared" ref="CF966:CF1005" si="238">IF($A966="",0,IF($BG966="",1,0))</f>
      </c>
      <c r="CG966" s="77">
        <f t="shared" ref="CG966:CG1005" si="239">$CG965+$CF966</f>
      </c>
    </row>
    <row r="967" spans="1:85" ht="19.5" customHeight="1" x14ac:dyDescent="0.2">
      <c r="A967" s="104"/>
      <c r="B967" s="104"/>
      <c r="C967" s="105"/>
      <c r="D967" s="104"/>
      <c r="E967" s="105"/>
      <c r="F967" s="106"/>
      <c r="G967" s="104"/>
      <c r="H967" s="106"/>
      <c r="I967" s="107"/>
      <c r="J967" s="108"/>
      <c r="K967" s="108"/>
      <c r="L967" s="108"/>
      <c r="M967" s="105"/>
      <c r="N967" s="105"/>
      <c r="O967" s="105"/>
      <c r="P967" s="108"/>
      <c r="Q967" s="105"/>
      <c r="R967" s="105"/>
      <c r="S967" s="105"/>
      <c r="T967" s="105"/>
      <c r="U967" s="108"/>
      <c r="V967" s="105"/>
      <c r="W967" s="105"/>
      <c r="X967" s="105"/>
      <c r="Y967" s="105"/>
      <c r="Z967" s="105"/>
      <c r="AA967" s="108"/>
      <c r="AB967" s="108"/>
      <c r="AC967" s="105"/>
      <c r="AD967" s="279"/>
      <c r="AE967" s="105"/>
      <c r="AF967" s="279"/>
      <c r="AG967" s="105"/>
      <c r="AH967" s="108"/>
      <c r="AI967" s="108"/>
      <c r="AJ967" s="108"/>
      <c r="AK967" s="108"/>
      <c r="AL967" s="105"/>
      <c r="AM967" s="108"/>
      <c r="AN967" s="105"/>
      <c r="AO967" s="108"/>
      <c r="AP967" s="108"/>
      <c r="AQ967" s="105"/>
      <c r="AR967" s="108"/>
      <c r="AS967" s="108"/>
      <c r="AT967" s="105"/>
      <c r="AU967" s="105"/>
      <c r="AV967" s="105"/>
      <c r="AW967" s="105"/>
      <c r="AX967" s="105"/>
      <c r="AY967" s="105"/>
      <c r="AZ967" s="105"/>
      <c r="BA967" s="105"/>
      <c r="BB967" s="105"/>
      <c r="BC967" s="105"/>
      <c r="BD967" s="108"/>
      <c r="BE967" s="83">
        <f>IF($A967="","",IF(TRIM($D967&amp;"")="",IF(TRIM($AX967&amp;$AY967&amp;$AZ967&amp;$BA967&amp;$BB967&amp;$BC967&amp;$BD967&amp;"")="","","SUBARRENDADO"),IFERROR(IF(VLOOKUP($D967,VEHICULOS!$A$3:$H$202,7,FALSE)="","",VLOOKUP($D967,VEHICULOS!$A$3:$H$202,7,FALSE)),"")))</f>
      </c>
      <c r="BF967" s="82">
        <f>IF($A967="","",IF(TRIM($BC967&amp;"")&lt;&gt;"",$BC967,IF(TRIM($D967&amp;"")="","",IFERROR(IF(VLOOKUP($D967,VEHICULOS!$A$3:$H$202,8,FALSE)="","",VLOOKUP($D967,VEHICULOS!$A$3:$H$202,8,FALSE)),""))))</f>
      </c>
      <c r="BG967" s="106"/>
      <c r="BH967" s="107"/>
      <c r="BI967" s="86">
        <f t="shared" si="225"/>
      </c>
      <c r="BJ967" s="83">
        <f t="shared" si="226"/>
      </c>
      <c r="BK967" s="85">
        <f t="shared" si="227"/>
      </c>
      <c r="BL967" s="85">
        <f t="shared" si="228"/>
      </c>
      <c r="BM967" s="108"/>
      <c r="BN967" s="85">
        <f t="shared" si="229"/>
      </c>
      <c r="BO967" s="108"/>
      <c r="BP967" s="85">
        <f t="shared" si="230"/>
      </c>
      <c r="BQ967" s="85">
        <f t="shared" si="231"/>
      </c>
      <c r="BR967" s="108"/>
      <c r="BS967" s="104"/>
      <c r="BT967" s="87">
        <f t="shared" si="232"/>
      </c>
      <c r="BU967" s="85">
        <f t="shared" si="233"/>
      </c>
      <c r="BV967" s="85">
        <f t="shared" si="234"/>
      </c>
      <c r="BW967" s="87">
        <f t="shared" si="235"/>
      </c>
      <c r="BX967" s="104"/>
      <c r="BY967" s="106"/>
      <c r="BZ967" s="104"/>
      <c r="CA967" s="105"/>
      <c r="CB967" s="77">
        <f>IF($A967="",0,IF($B967='FICHA CLIENTE'!$C$4,1,0))</f>
      </c>
      <c r="CC967" s="77">
        <f t="shared" si="236"/>
      </c>
      <c r="CD967" s="77">
        <f>IF($A967="",0,IF($D967='FICHA VEHICULO'!$C$4,1,0))</f>
      </c>
      <c r="CE967" s="77">
        <f t="shared" si="237"/>
      </c>
      <c r="CF967" s="77">
        <f t="shared" si="238"/>
      </c>
      <c r="CG967" s="77">
        <f t="shared" si="239"/>
      </c>
    </row>
    <row r="968" spans="1:85" ht="19.5" customHeight="1" x14ac:dyDescent="0.2">
      <c r="A968" s="104"/>
      <c r="B968" s="104"/>
      <c r="C968" s="105"/>
      <c r="D968" s="104"/>
      <c r="E968" s="105"/>
      <c r="F968" s="106"/>
      <c r="G968" s="104"/>
      <c r="H968" s="106"/>
      <c r="I968" s="107"/>
      <c r="J968" s="108"/>
      <c r="K968" s="108"/>
      <c r="L968" s="108"/>
      <c r="M968" s="105"/>
      <c r="N968" s="105"/>
      <c r="O968" s="105"/>
      <c r="P968" s="108"/>
      <c r="Q968" s="105"/>
      <c r="R968" s="105"/>
      <c r="S968" s="105"/>
      <c r="T968" s="105"/>
      <c r="U968" s="108"/>
      <c r="V968" s="105"/>
      <c r="W968" s="105"/>
      <c r="X968" s="105"/>
      <c r="Y968" s="105"/>
      <c r="Z968" s="105"/>
      <c r="AA968" s="108"/>
      <c r="AB968" s="108"/>
      <c r="AC968" s="105"/>
      <c r="AD968" s="279"/>
      <c r="AE968" s="105"/>
      <c r="AF968" s="279"/>
      <c r="AG968" s="105"/>
      <c r="AH968" s="108"/>
      <c r="AI968" s="108"/>
      <c r="AJ968" s="108"/>
      <c r="AK968" s="108"/>
      <c r="AL968" s="105"/>
      <c r="AM968" s="108"/>
      <c r="AN968" s="105"/>
      <c r="AO968" s="108"/>
      <c r="AP968" s="108"/>
      <c r="AQ968" s="105"/>
      <c r="AR968" s="108"/>
      <c r="AS968" s="108"/>
      <c r="AT968" s="105"/>
      <c r="AU968" s="105"/>
      <c r="AV968" s="105"/>
      <c r="AW968" s="105"/>
      <c r="AX968" s="105"/>
      <c r="AY968" s="105"/>
      <c r="AZ968" s="105"/>
      <c r="BA968" s="105"/>
      <c r="BB968" s="105"/>
      <c r="BC968" s="105"/>
      <c r="BD968" s="108"/>
      <c r="BE968" s="83">
        <f>IF($A968="","",IF(TRIM($D968&amp;"")="",IF(TRIM($AX968&amp;$AY968&amp;$AZ968&amp;$BA968&amp;$BB968&amp;$BC968&amp;$BD968&amp;"")="","","SUBARRENDADO"),IFERROR(IF(VLOOKUP($D968,VEHICULOS!$A$3:$H$202,7,FALSE)="","",VLOOKUP($D968,VEHICULOS!$A$3:$H$202,7,FALSE)),"")))</f>
      </c>
      <c r="BF968" s="82">
        <f>IF($A968="","",IF(TRIM($BC968&amp;"")&lt;&gt;"",$BC968,IF(TRIM($D968&amp;"")="","",IFERROR(IF(VLOOKUP($D968,VEHICULOS!$A$3:$H$202,8,FALSE)="","",VLOOKUP($D968,VEHICULOS!$A$3:$H$202,8,FALSE)),""))))</f>
      </c>
      <c r="BG968" s="106"/>
      <c r="BH968" s="107"/>
      <c r="BI968" s="86">
        <f t="shared" si="225"/>
      </c>
      <c r="BJ968" s="83">
        <f t="shared" si="226"/>
      </c>
      <c r="BK968" s="85">
        <f t="shared" si="227"/>
      </c>
      <c r="BL968" s="85">
        <f t="shared" si="228"/>
      </c>
      <c r="BM968" s="108"/>
      <c r="BN968" s="85">
        <f t="shared" si="229"/>
      </c>
      <c r="BO968" s="108"/>
      <c r="BP968" s="85">
        <f t="shared" si="230"/>
      </c>
      <c r="BQ968" s="85">
        <f t="shared" si="231"/>
      </c>
      <c r="BR968" s="108"/>
      <c r="BS968" s="104"/>
      <c r="BT968" s="87">
        <f t="shared" si="232"/>
      </c>
      <c r="BU968" s="85">
        <f t="shared" si="233"/>
      </c>
      <c r="BV968" s="85">
        <f t="shared" si="234"/>
      </c>
      <c r="BW968" s="87">
        <f t="shared" si="235"/>
      </c>
      <c r="BX968" s="104"/>
      <c r="BY968" s="106"/>
      <c r="BZ968" s="104"/>
      <c r="CA968" s="105"/>
      <c r="CB968" s="77">
        <f>IF($A968="",0,IF($B968='FICHA CLIENTE'!$C$4,1,0))</f>
      </c>
      <c r="CC968" s="77">
        <f t="shared" si="236"/>
      </c>
      <c r="CD968" s="77">
        <f>IF($A968="",0,IF($D968='FICHA VEHICULO'!$C$4,1,0))</f>
      </c>
      <c r="CE968" s="77">
        <f t="shared" si="237"/>
      </c>
      <c r="CF968" s="77">
        <f t="shared" si="238"/>
      </c>
      <c r="CG968" s="77">
        <f t="shared" si="239"/>
      </c>
    </row>
    <row r="969" spans="1:85" ht="19.5" customHeight="1" x14ac:dyDescent="0.2">
      <c r="A969" s="104"/>
      <c r="B969" s="104"/>
      <c r="C969" s="105"/>
      <c r="D969" s="104"/>
      <c r="E969" s="105"/>
      <c r="F969" s="106"/>
      <c r="G969" s="104"/>
      <c r="H969" s="106"/>
      <c r="I969" s="107"/>
      <c r="J969" s="108"/>
      <c r="K969" s="108"/>
      <c r="L969" s="108"/>
      <c r="M969" s="105"/>
      <c r="N969" s="105"/>
      <c r="O969" s="105"/>
      <c r="P969" s="108"/>
      <c r="Q969" s="105"/>
      <c r="R969" s="105"/>
      <c r="S969" s="105"/>
      <c r="T969" s="105"/>
      <c r="U969" s="108"/>
      <c r="V969" s="105"/>
      <c r="W969" s="105"/>
      <c r="X969" s="105"/>
      <c r="Y969" s="105"/>
      <c r="Z969" s="105"/>
      <c r="AA969" s="108"/>
      <c r="AB969" s="108"/>
      <c r="AC969" s="105"/>
      <c r="AD969" s="279"/>
      <c r="AE969" s="105"/>
      <c r="AF969" s="279"/>
      <c r="AG969" s="105"/>
      <c r="AH969" s="108"/>
      <c r="AI969" s="108"/>
      <c r="AJ969" s="108"/>
      <c r="AK969" s="108"/>
      <c r="AL969" s="105"/>
      <c r="AM969" s="108"/>
      <c r="AN969" s="105"/>
      <c r="AO969" s="108"/>
      <c r="AP969" s="108"/>
      <c r="AQ969" s="105"/>
      <c r="AR969" s="108"/>
      <c r="AS969" s="108"/>
      <c r="AT969" s="105"/>
      <c r="AU969" s="105"/>
      <c r="AV969" s="105"/>
      <c r="AW969" s="105"/>
      <c r="AX969" s="105"/>
      <c r="AY969" s="105"/>
      <c r="AZ969" s="105"/>
      <c r="BA969" s="105"/>
      <c r="BB969" s="105"/>
      <c r="BC969" s="105"/>
      <c r="BD969" s="108"/>
      <c r="BE969" s="83">
        <f>IF($A969="","",IF(TRIM($D969&amp;"")="",IF(TRIM($AX969&amp;$AY969&amp;$AZ969&amp;$BA969&amp;$BB969&amp;$BC969&amp;$BD969&amp;"")="","","SUBARRENDADO"),IFERROR(IF(VLOOKUP($D969,VEHICULOS!$A$3:$H$202,7,FALSE)="","",VLOOKUP($D969,VEHICULOS!$A$3:$H$202,7,FALSE)),"")))</f>
      </c>
      <c r="BF969" s="82">
        <f>IF($A969="","",IF(TRIM($BC969&amp;"")&lt;&gt;"",$BC969,IF(TRIM($D969&amp;"")="","",IFERROR(IF(VLOOKUP($D969,VEHICULOS!$A$3:$H$202,8,FALSE)="","",VLOOKUP($D969,VEHICULOS!$A$3:$H$202,8,FALSE)),""))))</f>
      </c>
      <c r="BG969" s="106"/>
      <c r="BH969" s="107"/>
      <c r="BI969" s="86">
        <f t="shared" si="225"/>
      </c>
      <c r="BJ969" s="83">
        <f t="shared" si="226"/>
      </c>
      <c r="BK969" s="85">
        <f t="shared" si="227"/>
      </c>
      <c r="BL969" s="85">
        <f t="shared" si="228"/>
      </c>
      <c r="BM969" s="108"/>
      <c r="BN969" s="85">
        <f t="shared" si="229"/>
      </c>
      <c r="BO969" s="108"/>
      <c r="BP969" s="85">
        <f t="shared" si="230"/>
      </c>
      <c r="BQ969" s="85">
        <f t="shared" si="231"/>
      </c>
      <c r="BR969" s="108"/>
      <c r="BS969" s="104"/>
      <c r="BT969" s="87">
        <f t="shared" si="232"/>
      </c>
      <c r="BU969" s="85">
        <f t="shared" si="233"/>
      </c>
      <c r="BV969" s="85">
        <f t="shared" si="234"/>
      </c>
      <c r="BW969" s="87">
        <f t="shared" si="235"/>
      </c>
      <c r="BX969" s="104"/>
      <c r="BY969" s="106"/>
      <c r="BZ969" s="104"/>
      <c r="CA969" s="105"/>
      <c r="CB969" s="77">
        <f>IF($A969="",0,IF($B969='FICHA CLIENTE'!$C$4,1,0))</f>
      </c>
      <c r="CC969" s="77">
        <f t="shared" si="236"/>
      </c>
      <c r="CD969" s="77">
        <f>IF($A969="",0,IF($D969='FICHA VEHICULO'!$C$4,1,0))</f>
      </c>
      <c r="CE969" s="77">
        <f t="shared" si="237"/>
      </c>
      <c r="CF969" s="77">
        <f t="shared" si="238"/>
      </c>
      <c r="CG969" s="77">
        <f t="shared" si="239"/>
      </c>
    </row>
    <row r="970" spans="1:85" ht="19.5" customHeight="1" x14ac:dyDescent="0.2">
      <c r="A970" s="104"/>
      <c r="B970" s="104"/>
      <c r="C970" s="105"/>
      <c r="D970" s="104"/>
      <c r="E970" s="105"/>
      <c r="F970" s="106"/>
      <c r="G970" s="104"/>
      <c r="H970" s="106"/>
      <c r="I970" s="107"/>
      <c r="J970" s="108"/>
      <c r="K970" s="108"/>
      <c r="L970" s="108"/>
      <c r="M970" s="105"/>
      <c r="N970" s="105"/>
      <c r="O970" s="105"/>
      <c r="P970" s="108"/>
      <c r="Q970" s="105"/>
      <c r="R970" s="105"/>
      <c r="S970" s="105"/>
      <c r="T970" s="105"/>
      <c r="U970" s="108"/>
      <c r="V970" s="105"/>
      <c r="W970" s="105"/>
      <c r="X970" s="105"/>
      <c r="Y970" s="105"/>
      <c r="Z970" s="105"/>
      <c r="AA970" s="108"/>
      <c r="AB970" s="108"/>
      <c r="AC970" s="105"/>
      <c r="AD970" s="279"/>
      <c r="AE970" s="105"/>
      <c r="AF970" s="279"/>
      <c r="AG970" s="105"/>
      <c r="AH970" s="108"/>
      <c r="AI970" s="108"/>
      <c r="AJ970" s="108"/>
      <c r="AK970" s="108"/>
      <c r="AL970" s="105"/>
      <c r="AM970" s="108"/>
      <c r="AN970" s="105"/>
      <c r="AO970" s="108"/>
      <c r="AP970" s="108"/>
      <c r="AQ970" s="105"/>
      <c r="AR970" s="108"/>
      <c r="AS970" s="108"/>
      <c r="AT970" s="105"/>
      <c r="AU970" s="105"/>
      <c r="AV970" s="105"/>
      <c r="AW970" s="105"/>
      <c r="AX970" s="105"/>
      <c r="AY970" s="105"/>
      <c r="AZ970" s="105"/>
      <c r="BA970" s="105"/>
      <c r="BB970" s="105"/>
      <c r="BC970" s="105"/>
      <c r="BD970" s="108"/>
      <c r="BE970" s="83">
        <f>IF($A970="","",IF(TRIM($D970&amp;"")="",IF(TRIM($AX970&amp;$AY970&amp;$AZ970&amp;$BA970&amp;$BB970&amp;$BC970&amp;$BD970&amp;"")="","","SUBARRENDADO"),IFERROR(IF(VLOOKUP($D970,VEHICULOS!$A$3:$H$202,7,FALSE)="","",VLOOKUP($D970,VEHICULOS!$A$3:$H$202,7,FALSE)),"")))</f>
      </c>
      <c r="BF970" s="82">
        <f>IF($A970="","",IF(TRIM($BC970&amp;"")&lt;&gt;"",$BC970,IF(TRIM($D970&amp;"")="","",IFERROR(IF(VLOOKUP($D970,VEHICULOS!$A$3:$H$202,8,FALSE)="","",VLOOKUP($D970,VEHICULOS!$A$3:$H$202,8,FALSE)),""))))</f>
      </c>
      <c r="BG970" s="106"/>
      <c r="BH970" s="107"/>
      <c r="BI970" s="86">
        <f t="shared" si="225"/>
      </c>
      <c r="BJ970" s="83">
        <f t="shared" si="226"/>
      </c>
      <c r="BK970" s="85">
        <f t="shared" si="227"/>
      </c>
      <c r="BL970" s="85">
        <f t="shared" si="228"/>
      </c>
      <c r="BM970" s="108"/>
      <c r="BN970" s="85">
        <f t="shared" si="229"/>
      </c>
      <c r="BO970" s="108"/>
      <c r="BP970" s="85">
        <f t="shared" si="230"/>
      </c>
      <c r="BQ970" s="85">
        <f t="shared" si="231"/>
      </c>
      <c r="BR970" s="108"/>
      <c r="BS970" s="104"/>
      <c r="BT970" s="87">
        <f t="shared" si="232"/>
      </c>
      <c r="BU970" s="85">
        <f t="shared" si="233"/>
      </c>
      <c r="BV970" s="85">
        <f t="shared" si="234"/>
      </c>
      <c r="BW970" s="87">
        <f t="shared" si="235"/>
      </c>
      <c r="BX970" s="104"/>
      <c r="BY970" s="106"/>
      <c r="BZ970" s="104"/>
      <c r="CA970" s="105"/>
      <c r="CB970" s="77">
        <f>IF($A970="",0,IF($B970='FICHA CLIENTE'!$C$4,1,0))</f>
      </c>
      <c r="CC970" s="77">
        <f t="shared" si="236"/>
      </c>
      <c r="CD970" s="77">
        <f>IF($A970="",0,IF($D970='FICHA VEHICULO'!$C$4,1,0))</f>
      </c>
      <c r="CE970" s="77">
        <f t="shared" si="237"/>
      </c>
      <c r="CF970" s="77">
        <f t="shared" si="238"/>
      </c>
      <c r="CG970" s="77">
        <f t="shared" si="239"/>
      </c>
    </row>
    <row r="971" spans="1:85" ht="19.5" customHeight="1" x14ac:dyDescent="0.2">
      <c r="A971" s="104"/>
      <c r="B971" s="104"/>
      <c r="C971" s="105"/>
      <c r="D971" s="104"/>
      <c r="E971" s="105"/>
      <c r="F971" s="106"/>
      <c r="G971" s="104"/>
      <c r="H971" s="106"/>
      <c r="I971" s="107"/>
      <c r="J971" s="108"/>
      <c r="K971" s="108"/>
      <c r="L971" s="108"/>
      <c r="M971" s="105"/>
      <c r="N971" s="105"/>
      <c r="O971" s="105"/>
      <c r="P971" s="108"/>
      <c r="Q971" s="105"/>
      <c r="R971" s="105"/>
      <c r="S971" s="105"/>
      <c r="T971" s="105"/>
      <c r="U971" s="108"/>
      <c r="V971" s="105"/>
      <c r="W971" s="105"/>
      <c r="X971" s="105"/>
      <c r="Y971" s="105"/>
      <c r="Z971" s="105"/>
      <c r="AA971" s="108"/>
      <c r="AB971" s="108"/>
      <c r="AC971" s="105"/>
      <c r="AD971" s="279"/>
      <c r="AE971" s="105"/>
      <c r="AF971" s="279"/>
      <c r="AG971" s="105"/>
      <c r="AH971" s="108"/>
      <c r="AI971" s="108"/>
      <c r="AJ971" s="108"/>
      <c r="AK971" s="108"/>
      <c r="AL971" s="105"/>
      <c r="AM971" s="108"/>
      <c r="AN971" s="105"/>
      <c r="AO971" s="108"/>
      <c r="AP971" s="108"/>
      <c r="AQ971" s="105"/>
      <c r="AR971" s="108"/>
      <c r="AS971" s="108"/>
      <c r="AT971" s="105"/>
      <c r="AU971" s="105"/>
      <c r="AV971" s="105"/>
      <c r="AW971" s="105"/>
      <c r="AX971" s="105"/>
      <c r="AY971" s="105"/>
      <c r="AZ971" s="105"/>
      <c r="BA971" s="105"/>
      <c r="BB971" s="105"/>
      <c r="BC971" s="105"/>
      <c r="BD971" s="108"/>
      <c r="BE971" s="83">
        <f>IF($A971="","",IF(TRIM($D971&amp;"")="",IF(TRIM($AX971&amp;$AY971&amp;$AZ971&amp;$BA971&amp;$BB971&amp;$BC971&amp;$BD971&amp;"")="","","SUBARRENDADO"),IFERROR(IF(VLOOKUP($D971,VEHICULOS!$A$3:$H$202,7,FALSE)="","",VLOOKUP($D971,VEHICULOS!$A$3:$H$202,7,FALSE)),"")))</f>
      </c>
      <c r="BF971" s="82">
        <f>IF($A971="","",IF(TRIM($BC971&amp;"")&lt;&gt;"",$BC971,IF(TRIM($D971&amp;"")="","",IFERROR(IF(VLOOKUP($D971,VEHICULOS!$A$3:$H$202,8,FALSE)="","",VLOOKUP($D971,VEHICULOS!$A$3:$H$202,8,FALSE)),""))))</f>
      </c>
      <c r="BG971" s="106"/>
      <c r="BH971" s="107"/>
      <c r="BI971" s="86">
        <f t="shared" si="225"/>
      </c>
      <c r="BJ971" s="83">
        <f t="shared" si="226"/>
      </c>
      <c r="BK971" s="85">
        <f t="shared" si="227"/>
      </c>
      <c r="BL971" s="85">
        <f t="shared" si="228"/>
      </c>
      <c r="BM971" s="108"/>
      <c r="BN971" s="85">
        <f t="shared" si="229"/>
      </c>
      <c r="BO971" s="108"/>
      <c r="BP971" s="85">
        <f t="shared" si="230"/>
      </c>
      <c r="BQ971" s="85">
        <f t="shared" si="231"/>
      </c>
      <c r="BR971" s="108"/>
      <c r="BS971" s="104"/>
      <c r="BT971" s="87">
        <f t="shared" si="232"/>
      </c>
      <c r="BU971" s="85">
        <f t="shared" si="233"/>
      </c>
      <c r="BV971" s="85">
        <f t="shared" si="234"/>
      </c>
      <c r="BW971" s="87">
        <f t="shared" si="235"/>
      </c>
      <c r="BX971" s="104"/>
      <c r="BY971" s="106"/>
      <c r="BZ971" s="104"/>
      <c r="CA971" s="105"/>
      <c r="CB971" s="77">
        <f>IF($A971="",0,IF($B971='FICHA CLIENTE'!$C$4,1,0))</f>
      </c>
      <c r="CC971" s="77">
        <f t="shared" si="236"/>
      </c>
      <c r="CD971" s="77">
        <f>IF($A971="",0,IF($D971='FICHA VEHICULO'!$C$4,1,0))</f>
      </c>
      <c r="CE971" s="77">
        <f t="shared" si="237"/>
      </c>
      <c r="CF971" s="77">
        <f t="shared" si="238"/>
      </c>
      <c r="CG971" s="77">
        <f t="shared" si="239"/>
      </c>
    </row>
    <row r="972" spans="1:85" ht="19.5" customHeight="1" x14ac:dyDescent="0.2">
      <c r="A972" s="104"/>
      <c r="B972" s="104"/>
      <c r="C972" s="105"/>
      <c r="D972" s="104"/>
      <c r="E972" s="105"/>
      <c r="F972" s="106"/>
      <c r="G972" s="104"/>
      <c r="H972" s="106"/>
      <c r="I972" s="107"/>
      <c r="J972" s="108"/>
      <c r="K972" s="108"/>
      <c r="L972" s="108"/>
      <c r="M972" s="105"/>
      <c r="N972" s="105"/>
      <c r="O972" s="105"/>
      <c r="P972" s="108"/>
      <c r="Q972" s="105"/>
      <c r="R972" s="105"/>
      <c r="S972" s="105"/>
      <c r="T972" s="105"/>
      <c r="U972" s="108"/>
      <c r="V972" s="105"/>
      <c r="W972" s="105"/>
      <c r="X972" s="105"/>
      <c r="Y972" s="105"/>
      <c r="Z972" s="105"/>
      <c r="AA972" s="108"/>
      <c r="AB972" s="108"/>
      <c r="AC972" s="105"/>
      <c r="AD972" s="279"/>
      <c r="AE972" s="105"/>
      <c r="AF972" s="279"/>
      <c r="AG972" s="105"/>
      <c r="AH972" s="108"/>
      <c r="AI972" s="108"/>
      <c r="AJ972" s="108"/>
      <c r="AK972" s="108"/>
      <c r="AL972" s="105"/>
      <c r="AM972" s="108"/>
      <c r="AN972" s="105"/>
      <c r="AO972" s="108"/>
      <c r="AP972" s="108"/>
      <c r="AQ972" s="105"/>
      <c r="AR972" s="108"/>
      <c r="AS972" s="108"/>
      <c r="AT972" s="105"/>
      <c r="AU972" s="105"/>
      <c r="AV972" s="105"/>
      <c r="AW972" s="105"/>
      <c r="AX972" s="105"/>
      <c r="AY972" s="105"/>
      <c r="AZ972" s="105"/>
      <c r="BA972" s="105"/>
      <c r="BB972" s="105"/>
      <c r="BC972" s="105"/>
      <c r="BD972" s="108"/>
      <c r="BE972" s="83">
        <f>IF($A972="","",IF(TRIM($D972&amp;"")="",IF(TRIM($AX972&amp;$AY972&amp;$AZ972&amp;$BA972&amp;$BB972&amp;$BC972&amp;$BD972&amp;"")="","","SUBARRENDADO"),IFERROR(IF(VLOOKUP($D972,VEHICULOS!$A$3:$H$202,7,FALSE)="","",VLOOKUP($D972,VEHICULOS!$A$3:$H$202,7,FALSE)),"")))</f>
      </c>
      <c r="BF972" s="82">
        <f>IF($A972="","",IF(TRIM($BC972&amp;"")&lt;&gt;"",$BC972,IF(TRIM($D972&amp;"")="","",IFERROR(IF(VLOOKUP($D972,VEHICULOS!$A$3:$H$202,8,FALSE)="","",VLOOKUP($D972,VEHICULOS!$A$3:$H$202,8,FALSE)),""))))</f>
      </c>
      <c r="BG972" s="106"/>
      <c r="BH972" s="107"/>
      <c r="BI972" s="86">
        <f t="shared" si="225"/>
      </c>
      <c r="BJ972" s="83">
        <f t="shared" si="226"/>
      </c>
      <c r="BK972" s="85">
        <f t="shared" si="227"/>
      </c>
      <c r="BL972" s="85">
        <f t="shared" si="228"/>
      </c>
      <c r="BM972" s="108"/>
      <c r="BN972" s="85">
        <f t="shared" si="229"/>
      </c>
      <c r="BO972" s="108"/>
      <c r="BP972" s="85">
        <f t="shared" si="230"/>
      </c>
      <c r="BQ972" s="85">
        <f t="shared" si="231"/>
      </c>
      <c r="BR972" s="108"/>
      <c r="BS972" s="104"/>
      <c r="BT972" s="87">
        <f t="shared" si="232"/>
      </c>
      <c r="BU972" s="85">
        <f t="shared" si="233"/>
      </c>
      <c r="BV972" s="85">
        <f t="shared" si="234"/>
      </c>
      <c r="BW972" s="87">
        <f t="shared" si="235"/>
      </c>
      <c r="BX972" s="104"/>
      <c r="BY972" s="106"/>
      <c r="BZ972" s="104"/>
      <c r="CA972" s="105"/>
      <c r="CB972" s="77">
        <f>IF($A972="",0,IF($B972='FICHA CLIENTE'!$C$4,1,0))</f>
      </c>
      <c r="CC972" s="77">
        <f t="shared" si="236"/>
      </c>
      <c r="CD972" s="77">
        <f>IF($A972="",0,IF($D972='FICHA VEHICULO'!$C$4,1,0))</f>
      </c>
      <c r="CE972" s="77">
        <f t="shared" si="237"/>
      </c>
      <c r="CF972" s="77">
        <f t="shared" si="238"/>
      </c>
      <c r="CG972" s="77">
        <f t="shared" si="239"/>
      </c>
    </row>
    <row r="973" spans="1:85" ht="19.5" customHeight="1" x14ac:dyDescent="0.2">
      <c r="A973" s="104"/>
      <c r="B973" s="104"/>
      <c r="C973" s="105"/>
      <c r="D973" s="104"/>
      <c r="E973" s="105"/>
      <c r="F973" s="106"/>
      <c r="G973" s="104"/>
      <c r="H973" s="106"/>
      <c r="I973" s="107"/>
      <c r="J973" s="108"/>
      <c r="K973" s="108"/>
      <c r="L973" s="108"/>
      <c r="M973" s="105"/>
      <c r="N973" s="105"/>
      <c r="O973" s="105"/>
      <c r="P973" s="108"/>
      <c r="Q973" s="105"/>
      <c r="R973" s="105"/>
      <c r="S973" s="105"/>
      <c r="T973" s="105"/>
      <c r="U973" s="108"/>
      <c r="V973" s="105"/>
      <c r="W973" s="105"/>
      <c r="X973" s="105"/>
      <c r="Y973" s="105"/>
      <c r="Z973" s="105"/>
      <c r="AA973" s="108"/>
      <c r="AB973" s="108"/>
      <c r="AC973" s="105"/>
      <c r="AD973" s="279"/>
      <c r="AE973" s="105"/>
      <c r="AF973" s="279"/>
      <c r="AG973" s="105"/>
      <c r="AH973" s="108"/>
      <c r="AI973" s="108"/>
      <c r="AJ973" s="108"/>
      <c r="AK973" s="108"/>
      <c r="AL973" s="105"/>
      <c r="AM973" s="108"/>
      <c r="AN973" s="105"/>
      <c r="AO973" s="108"/>
      <c r="AP973" s="108"/>
      <c r="AQ973" s="105"/>
      <c r="AR973" s="108"/>
      <c r="AS973" s="108"/>
      <c r="AT973" s="105"/>
      <c r="AU973" s="105"/>
      <c r="AV973" s="105"/>
      <c r="AW973" s="105"/>
      <c r="AX973" s="105"/>
      <c r="AY973" s="105"/>
      <c r="AZ973" s="105"/>
      <c r="BA973" s="105"/>
      <c r="BB973" s="105"/>
      <c r="BC973" s="105"/>
      <c r="BD973" s="108"/>
      <c r="BE973" s="83">
        <f>IF($A973="","",IF(TRIM($D973&amp;"")="",IF(TRIM($AX973&amp;$AY973&amp;$AZ973&amp;$BA973&amp;$BB973&amp;$BC973&amp;$BD973&amp;"")="","","SUBARRENDADO"),IFERROR(IF(VLOOKUP($D973,VEHICULOS!$A$3:$H$202,7,FALSE)="","",VLOOKUP($D973,VEHICULOS!$A$3:$H$202,7,FALSE)),"")))</f>
      </c>
      <c r="BF973" s="82">
        <f>IF($A973="","",IF(TRIM($BC973&amp;"")&lt;&gt;"",$BC973,IF(TRIM($D973&amp;"")="","",IFERROR(IF(VLOOKUP($D973,VEHICULOS!$A$3:$H$202,8,FALSE)="","",VLOOKUP($D973,VEHICULOS!$A$3:$H$202,8,FALSE)),""))))</f>
      </c>
      <c r="BG973" s="106"/>
      <c r="BH973" s="107"/>
      <c r="BI973" s="86">
        <f t="shared" si="225"/>
      </c>
      <c r="BJ973" s="83">
        <f t="shared" si="226"/>
      </c>
      <c r="BK973" s="85">
        <f t="shared" si="227"/>
      </c>
      <c r="BL973" s="85">
        <f t="shared" si="228"/>
      </c>
      <c r="BM973" s="108"/>
      <c r="BN973" s="85">
        <f t="shared" si="229"/>
      </c>
      <c r="BO973" s="108"/>
      <c r="BP973" s="85">
        <f t="shared" si="230"/>
      </c>
      <c r="BQ973" s="85">
        <f t="shared" si="231"/>
      </c>
      <c r="BR973" s="108"/>
      <c r="BS973" s="104"/>
      <c r="BT973" s="87">
        <f t="shared" si="232"/>
      </c>
      <c r="BU973" s="85">
        <f t="shared" si="233"/>
      </c>
      <c r="BV973" s="85">
        <f t="shared" si="234"/>
      </c>
      <c r="BW973" s="87">
        <f t="shared" si="235"/>
      </c>
      <c r="BX973" s="104"/>
      <c r="BY973" s="106"/>
      <c r="BZ973" s="104"/>
      <c r="CA973" s="105"/>
      <c r="CB973" s="77">
        <f>IF($A973="",0,IF($B973='FICHA CLIENTE'!$C$4,1,0))</f>
      </c>
      <c r="CC973" s="77">
        <f t="shared" si="236"/>
      </c>
      <c r="CD973" s="77">
        <f>IF($A973="",0,IF($D973='FICHA VEHICULO'!$C$4,1,0))</f>
      </c>
      <c r="CE973" s="77">
        <f t="shared" si="237"/>
      </c>
      <c r="CF973" s="77">
        <f t="shared" si="238"/>
      </c>
      <c r="CG973" s="77">
        <f t="shared" si="239"/>
      </c>
    </row>
    <row r="974" spans="1:85" ht="19.5" customHeight="1" x14ac:dyDescent="0.2">
      <c r="A974" s="104"/>
      <c r="B974" s="104"/>
      <c r="C974" s="105"/>
      <c r="D974" s="104"/>
      <c r="E974" s="105"/>
      <c r="F974" s="106"/>
      <c r="G974" s="104"/>
      <c r="H974" s="106"/>
      <c r="I974" s="107"/>
      <c r="J974" s="108"/>
      <c r="K974" s="108"/>
      <c r="L974" s="108"/>
      <c r="M974" s="105"/>
      <c r="N974" s="105"/>
      <c r="O974" s="105"/>
      <c r="P974" s="108"/>
      <c r="Q974" s="105"/>
      <c r="R974" s="105"/>
      <c r="S974" s="105"/>
      <c r="T974" s="105"/>
      <c r="U974" s="108"/>
      <c r="V974" s="105"/>
      <c r="W974" s="105"/>
      <c r="X974" s="105"/>
      <c r="Y974" s="105"/>
      <c r="Z974" s="105"/>
      <c r="AA974" s="108"/>
      <c r="AB974" s="108"/>
      <c r="AC974" s="105"/>
      <c r="AD974" s="279"/>
      <c r="AE974" s="105"/>
      <c r="AF974" s="279"/>
      <c r="AG974" s="105"/>
      <c r="AH974" s="108"/>
      <c r="AI974" s="108"/>
      <c r="AJ974" s="108"/>
      <c r="AK974" s="108"/>
      <c r="AL974" s="105"/>
      <c r="AM974" s="108"/>
      <c r="AN974" s="105"/>
      <c r="AO974" s="108"/>
      <c r="AP974" s="108"/>
      <c r="AQ974" s="105"/>
      <c r="AR974" s="108"/>
      <c r="AS974" s="108"/>
      <c r="AT974" s="105"/>
      <c r="AU974" s="105"/>
      <c r="AV974" s="105"/>
      <c r="AW974" s="105"/>
      <c r="AX974" s="105"/>
      <c r="AY974" s="105"/>
      <c r="AZ974" s="105"/>
      <c r="BA974" s="105"/>
      <c r="BB974" s="105"/>
      <c r="BC974" s="105"/>
      <c r="BD974" s="108"/>
      <c r="BE974" s="83">
        <f>IF($A974="","",IF(TRIM($D974&amp;"")="",IF(TRIM($AX974&amp;$AY974&amp;$AZ974&amp;$BA974&amp;$BB974&amp;$BC974&amp;$BD974&amp;"")="","","SUBARRENDADO"),IFERROR(IF(VLOOKUP($D974,VEHICULOS!$A$3:$H$202,7,FALSE)="","",VLOOKUP($D974,VEHICULOS!$A$3:$H$202,7,FALSE)),"")))</f>
      </c>
      <c r="BF974" s="82">
        <f>IF($A974="","",IF(TRIM($BC974&amp;"")&lt;&gt;"",$BC974,IF(TRIM($D974&amp;"")="","",IFERROR(IF(VLOOKUP($D974,VEHICULOS!$A$3:$H$202,8,FALSE)="","",VLOOKUP($D974,VEHICULOS!$A$3:$H$202,8,FALSE)),""))))</f>
      </c>
      <c r="BG974" s="106"/>
      <c r="BH974" s="107"/>
      <c r="BI974" s="86">
        <f t="shared" si="225"/>
      </c>
      <c r="BJ974" s="83">
        <f t="shared" si="226"/>
      </c>
      <c r="BK974" s="85">
        <f t="shared" si="227"/>
      </c>
      <c r="BL974" s="85">
        <f t="shared" si="228"/>
      </c>
      <c r="BM974" s="108"/>
      <c r="BN974" s="85">
        <f t="shared" si="229"/>
      </c>
      <c r="BO974" s="108"/>
      <c r="BP974" s="85">
        <f t="shared" si="230"/>
      </c>
      <c r="BQ974" s="85">
        <f t="shared" si="231"/>
      </c>
      <c r="BR974" s="108"/>
      <c r="BS974" s="104"/>
      <c r="BT974" s="87">
        <f t="shared" si="232"/>
      </c>
      <c r="BU974" s="85">
        <f t="shared" si="233"/>
      </c>
      <c r="BV974" s="85">
        <f t="shared" si="234"/>
      </c>
      <c r="BW974" s="87">
        <f t="shared" si="235"/>
      </c>
      <c r="BX974" s="104"/>
      <c r="BY974" s="106"/>
      <c r="BZ974" s="104"/>
      <c r="CA974" s="105"/>
      <c r="CB974" s="77">
        <f>IF($A974="",0,IF($B974='FICHA CLIENTE'!$C$4,1,0))</f>
      </c>
      <c r="CC974" s="77">
        <f t="shared" si="236"/>
      </c>
      <c r="CD974" s="77">
        <f>IF($A974="",0,IF($D974='FICHA VEHICULO'!$C$4,1,0))</f>
      </c>
      <c r="CE974" s="77">
        <f t="shared" si="237"/>
      </c>
      <c r="CF974" s="77">
        <f t="shared" si="238"/>
      </c>
      <c r="CG974" s="77">
        <f t="shared" si="239"/>
      </c>
    </row>
    <row r="975" spans="1:85" ht="19.5" customHeight="1" x14ac:dyDescent="0.2">
      <c r="A975" s="104"/>
      <c r="B975" s="104"/>
      <c r="C975" s="105"/>
      <c r="D975" s="104"/>
      <c r="E975" s="105"/>
      <c r="F975" s="106"/>
      <c r="G975" s="104"/>
      <c r="H975" s="106"/>
      <c r="I975" s="107"/>
      <c r="J975" s="108"/>
      <c r="K975" s="108"/>
      <c r="L975" s="108"/>
      <c r="M975" s="105"/>
      <c r="N975" s="105"/>
      <c r="O975" s="105"/>
      <c r="P975" s="108"/>
      <c r="Q975" s="105"/>
      <c r="R975" s="105"/>
      <c r="S975" s="105"/>
      <c r="T975" s="105"/>
      <c r="U975" s="108"/>
      <c r="V975" s="105"/>
      <c r="W975" s="105"/>
      <c r="X975" s="105"/>
      <c r="Y975" s="105"/>
      <c r="Z975" s="105"/>
      <c r="AA975" s="108"/>
      <c r="AB975" s="108"/>
      <c r="AC975" s="105"/>
      <c r="AD975" s="279"/>
      <c r="AE975" s="105"/>
      <c r="AF975" s="279"/>
      <c r="AG975" s="105"/>
      <c r="AH975" s="108"/>
      <c r="AI975" s="108"/>
      <c r="AJ975" s="108"/>
      <c r="AK975" s="108"/>
      <c r="AL975" s="105"/>
      <c r="AM975" s="108"/>
      <c r="AN975" s="105"/>
      <c r="AO975" s="108"/>
      <c r="AP975" s="108"/>
      <c r="AQ975" s="105"/>
      <c r="AR975" s="108"/>
      <c r="AS975" s="108"/>
      <c r="AT975" s="105"/>
      <c r="AU975" s="105"/>
      <c r="AV975" s="105"/>
      <c r="AW975" s="105"/>
      <c r="AX975" s="105"/>
      <c r="AY975" s="105"/>
      <c r="AZ975" s="105"/>
      <c r="BA975" s="105"/>
      <c r="BB975" s="105"/>
      <c r="BC975" s="105"/>
      <c r="BD975" s="108"/>
      <c r="BE975" s="83">
        <f>IF($A975="","",IF(TRIM($D975&amp;"")="",IF(TRIM($AX975&amp;$AY975&amp;$AZ975&amp;$BA975&amp;$BB975&amp;$BC975&amp;$BD975&amp;"")="","","SUBARRENDADO"),IFERROR(IF(VLOOKUP($D975,VEHICULOS!$A$3:$H$202,7,FALSE)="","",VLOOKUP($D975,VEHICULOS!$A$3:$H$202,7,FALSE)),"")))</f>
      </c>
      <c r="BF975" s="82">
        <f>IF($A975="","",IF(TRIM($BC975&amp;"")&lt;&gt;"",$BC975,IF(TRIM($D975&amp;"")="","",IFERROR(IF(VLOOKUP($D975,VEHICULOS!$A$3:$H$202,8,FALSE)="","",VLOOKUP($D975,VEHICULOS!$A$3:$H$202,8,FALSE)),""))))</f>
      </c>
      <c r="BG975" s="106"/>
      <c r="BH975" s="107"/>
      <c r="BI975" s="86">
        <f t="shared" si="225"/>
      </c>
      <c r="BJ975" s="83">
        <f t="shared" si="226"/>
      </c>
      <c r="BK975" s="85">
        <f t="shared" si="227"/>
      </c>
      <c r="BL975" s="85">
        <f t="shared" si="228"/>
      </c>
      <c r="BM975" s="108"/>
      <c r="BN975" s="85">
        <f t="shared" si="229"/>
      </c>
      <c r="BO975" s="108"/>
      <c r="BP975" s="85">
        <f t="shared" si="230"/>
      </c>
      <c r="BQ975" s="85">
        <f t="shared" si="231"/>
      </c>
      <c r="BR975" s="108"/>
      <c r="BS975" s="104"/>
      <c r="BT975" s="87">
        <f t="shared" si="232"/>
      </c>
      <c r="BU975" s="85">
        <f t="shared" si="233"/>
      </c>
      <c r="BV975" s="85">
        <f t="shared" si="234"/>
      </c>
      <c r="BW975" s="87">
        <f t="shared" si="235"/>
      </c>
      <c r="BX975" s="104"/>
      <c r="BY975" s="106"/>
      <c r="BZ975" s="104"/>
      <c r="CA975" s="105"/>
      <c r="CB975" s="77">
        <f>IF($A975="",0,IF($B975='FICHA CLIENTE'!$C$4,1,0))</f>
      </c>
      <c r="CC975" s="77">
        <f t="shared" si="236"/>
      </c>
      <c r="CD975" s="77">
        <f>IF($A975="",0,IF($D975='FICHA VEHICULO'!$C$4,1,0))</f>
      </c>
      <c r="CE975" s="77">
        <f t="shared" si="237"/>
      </c>
      <c r="CF975" s="77">
        <f t="shared" si="238"/>
      </c>
      <c r="CG975" s="77">
        <f t="shared" si="239"/>
      </c>
    </row>
    <row r="976" spans="1:85" ht="19.5" customHeight="1" x14ac:dyDescent="0.2">
      <c r="A976" s="104"/>
      <c r="B976" s="104"/>
      <c r="C976" s="105"/>
      <c r="D976" s="104"/>
      <c r="E976" s="105"/>
      <c r="F976" s="106"/>
      <c r="G976" s="104"/>
      <c r="H976" s="106"/>
      <c r="I976" s="107"/>
      <c r="J976" s="108"/>
      <c r="K976" s="108"/>
      <c r="L976" s="108"/>
      <c r="M976" s="105"/>
      <c r="N976" s="105"/>
      <c r="O976" s="105"/>
      <c r="P976" s="108"/>
      <c r="Q976" s="105"/>
      <c r="R976" s="105"/>
      <c r="S976" s="105"/>
      <c r="T976" s="105"/>
      <c r="U976" s="108"/>
      <c r="V976" s="105"/>
      <c r="W976" s="105"/>
      <c r="X976" s="105"/>
      <c r="Y976" s="105"/>
      <c r="Z976" s="105"/>
      <c r="AA976" s="108"/>
      <c r="AB976" s="108"/>
      <c r="AC976" s="105"/>
      <c r="AD976" s="279"/>
      <c r="AE976" s="105"/>
      <c r="AF976" s="279"/>
      <c r="AG976" s="105"/>
      <c r="AH976" s="108"/>
      <c r="AI976" s="108"/>
      <c r="AJ976" s="108"/>
      <c r="AK976" s="108"/>
      <c r="AL976" s="105"/>
      <c r="AM976" s="108"/>
      <c r="AN976" s="105"/>
      <c r="AO976" s="108"/>
      <c r="AP976" s="108"/>
      <c r="AQ976" s="105"/>
      <c r="AR976" s="108"/>
      <c r="AS976" s="108"/>
      <c r="AT976" s="105"/>
      <c r="AU976" s="105"/>
      <c r="AV976" s="105"/>
      <c r="AW976" s="105"/>
      <c r="AX976" s="105"/>
      <c r="AY976" s="105"/>
      <c r="AZ976" s="105"/>
      <c r="BA976" s="105"/>
      <c r="BB976" s="105"/>
      <c r="BC976" s="105"/>
      <c r="BD976" s="108"/>
      <c r="BE976" s="83">
        <f>IF($A976="","",IF(TRIM($D976&amp;"")="",IF(TRIM($AX976&amp;$AY976&amp;$AZ976&amp;$BA976&amp;$BB976&amp;$BC976&amp;$BD976&amp;"")="","","SUBARRENDADO"),IFERROR(IF(VLOOKUP($D976,VEHICULOS!$A$3:$H$202,7,FALSE)="","",VLOOKUP($D976,VEHICULOS!$A$3:$H$202,7,FALSE)),"")))</f>
      </c>
      <c r="BF976" s="82">
        <f>IF($A976="","",IF(TRIM($BC976&amp;"")&lt;&gt;"",$BC976,IF(TRIM($D976&amp;"")="","",IFERROR(IF(VLOOKUP($D976,VEHICULOS!$A$3:$H$202,8,FALSE)="","",VLOOKUP($D976,VEHICULOS!$A$3:$H$202,8,FALSE)),""))))</f>
      </c>
      <c r="BG976" s="106"/>
      <c r="BH976" s="107"/>
      <c r="BI976" s="86">
        <f t="shared" si="225"/>
      </c>
      <c r="BJ976" s="83">
        <f t="shared" si="226"/>
      </c>
      <c r="BK976" s="85">
        <f t="shared" si="227"/>
      </c>
      <c r="BL976" s="85">
        <f t="shared" si="228"/>
      </c>
      <c r="BM976" s="108"/>
      <c r="BN976" s="85">
        <f t="shared" si="229"/>
      </c>
      <c r="BO976" s="108"/>
      <c r="BP976" s="85">
        <f t="shared" si="230"/>
      </c>
      <c r="BQ976" s="85">
        <f t="shared" si="231"/>
      </c>
      <c r="BR976" s="108"/>
      <c r="BS976" s="104"/>
      <c r="BT976" s="87">
        <f t="shared" si="232"/>
      </c>
      <c r="BU976" s="85">
        <f t="shared" si="233"/>
      </c>
      <c r="BV976" s="85">
        <f t="shared" si="234"/>
      </c>
      <c r="BW976" s="87">
        <f t="shared" si="235"/>
      </c>
      <c r="BX976" s="104"/>
      <c r="BY976" s="106"/>
      <c r="BZ976" s="104"/>
      <c r="CA976" s="105"/>
      <c r="CB976" s="77">
        <f>IF($A976="",0,IF($B976='FICHA CLIENTE'!$C$4,1,0))</f>
      </c>
      <c r="CC976" s="77">
        <f t="shared" si="236"/>
      </c>
      <c r="CD976" s="77">
        <f>IF($A976="",0,IF($D976='FICHA VEHICULO'!$C$4,1,0))</f>
      </c>
      <c r="CE976" s="77">
        <f t="shared" si="237"/>
      </c>
      <c r="CF976" s="77">
        <f t="shared" si="238"/>
      </c>
      <c r="CG976" s="77">
        <f t="shared" si="239"/>
      </c>
    </row>
    <row r="977" spans="1:85" ht="19.5" customHeight="1" x14ac:dyDescent="0.2">
      <c r="A977" s="104"/>
      <c r="B977" s="104"/>
      <c r="C977" s="105"/>
      <c r="D977" s="104"/>
      <c r="E977" s="105"/>
      <c r="F977" s="106"/>
      <c r="G977" s="104"/>
      <c r="H977" s="106"/>
      <c r="I977" s="107"/>
      <c r="J977" s="108"/>
      <c r="K977" s="108"/>
      <c r="L977" s="108"/>
      <c r="M977" s="105"/>
      <c r="N977" s="105"/>
      <c r="O977" s="105"/>
      <c r="P977" s="108"/>
      <c r="Q977" s="105"/>
      <c r="R977" s="105"/>
      <c r="S977" s="105"/>
      <c r="T977" s="105"/>
      <c r="U977" s="108"/>
      <c r="V977" s="105"/>
      <c r="W977" s="105"/>
      <c r="X977" s="105"/>
      <c r="Y977" s="105"/>
      <c r="Z977" s="105"/>
      <c r="AA977" s="108"/>
      <c r="AB977" s="108"/>
      <c r="AC977" s="105"/>
      <c r="AD977" s="279"/>
      <c r="AE977" s="105"/>
      <c r="AF977" s="279"/>
      <c r="AG977" s="105"/>
      <c r="AH977" s="108"/>
      <c r="AI977" s="108"/>
      <c r="AJ977" s="108"/>
      <c r="AK977" s="108"/>
      <c r="AL977" s="105"/>
      <c r="AM977" s="108"/>
      <c r="AN977" s="105"/>
      <c r="AO977" s="108"/>
      <c r="AP977" s="108"/>
      <c r="AQ977" s="105"/>
      <c r="AR977" s="108"/>
      <c r="AS977" s="108"/>
      <c r="AT977" s="105"/>
      <c r="AU977" s="105"/>
      <c r="AV977" s="105"/>
      <c r="AW977" s="105"/>
      <c r="AX977" s="105"/>
      <c r="AY977" s="105"/>
      <c r="AZ977" s="105"/>
      <c r="BA977" s="105"/>
      <c r="BB977" s="105"/>
      <c r="BC977" s="105"/>
      <c r="BD977" s="108"/>
      <c r="BE977" s="83">
        <f>IF($A977="","",IF(TRIM($D977&amp;"")="",IF(TRIM($AX977&amp;$AY977&amp;$AZ977&amp;$BA977&amp;$BB977&amp;$BC977&amp;$BD977&amp;"")="","","SUBARRENDADO"),IFERROR(IF(VLOOKUP($D977,VEHICULOS!$A$3:$H$202,7,FALSE)="","",VLOOKUP($D977,VEHICULOS!$A$3:$H$202,7,FALSE)),"")))</f>
      </c>
      <c r="BF977" s="82">
        <f>IF($A977="","",IF(TRIM($BC977&amp;"")&lt;&gt;"",$BC977,IF(TRIM($D977&amp;"")="","",IFERROR(IF(VLOOKUP($D977,VEHICULOS!$A$3:$H$202,8,FALSE)="","",VLOOKUP($D977,VEHICULOS!$A$3:$H$202,8,FALSE)),""))))</f>
      </c>
      <c r="BG977" s="106"/>
      <c r="BH977" s="107"/>
      <c r="BI977" s="86">
        <f t="shared" si="225"/>
      </c>
      <c r="BJ977" s="83">
        <f t="shared" si="226"/>
      </c>
      <c r="BK977" s="85">
        <f t="shared" si="227"/>
      </c>
      <c r="BL977" s="85">
        <f t="shared" si="228"/>
      </c>
      <c r="BM977" s="108"/>
      <c r="BN977" s="85">
        <f t="shared" si="229"/>
      </c>
      <c r="BO977" s="108"/>
      <c r="BP977" s="85">
        <f t="shared" si="230"/>
      </c>
      <c r="BQ977" s="85">
        <f t="shared" si="231"/>
      </c>
      <c r="BR977" s="108"/>
      <c r="BS977" s="104"/>
      <c r="BT977" s="87">
        <f t="shared" si="232"/>
      </c>
      <c r="BU977" s="85">
        <f t="shared" si="233"/>
      </c>
      <c r="BV977" s="85">
        <f t="shared" si="234"/>
      </c>
      <c r="BW977" s="87">
        <f t="shared" si="235"/>
      </c>
      <c r="BX977" s="104"/>
      <c r="BY977" s="106"/>
      <c r="BZ977" s="104"/>
      <c r="CA977" s="105"/>
      <c r="CB977" s="77">
        <f>IF($A977="",0,IF($B977='FICHA CLIENTE'!$C$4,1,0))</f>
      </c>
      <c r="CC977" s="77">
        <f t="shared" si="236"/>
      </c>
      <c r="CD977" s="77">
        <f>IF($A977="",0,IF($D977='FICHA VEHICULO'!$C$4,1,0))</f>
      </c>
      <c r="CE977" s="77">
        <f t="shared" si="237"/>
      </c>
      <c r="CF977" s="77">
        <f t="shared" si="238"/>
      </c>
      <c r="CG977" s="77">
        <f t="shared" si="239"/>
      </c>
    </row>
    <row r="978" spans="1:85" ht="19.5" customHeight="1" x14ac:dyDescent="0.2">
      <c r="A978" s="104"/>
      <c r="B978" s="104"/>
      <c r="C978" s="105"/>
      <c r="D978" s="104"/>
      <c r="E978" s="105"/>
      <c r="F978" s="106"/>
      <c r="G978" s="104"/>
      <c r="H978" s="106"/>
      <c r="I978" s="107"/>
      <c r="J978" s="108"/>
      <c r="K978" s="108"/>
      <c r="L978" s="108"/>
      <c r="M978" s="105"/>
      <c r="N978" s="105"/>
      <c r="O978" s="105"/>
      <c r="P978" s="108"/>
      <c r="Q978" s="105"/>
      <c r="R978" s="105"/>
      <c r="S978" s="105"/>
      <c r="T978" s="105"/>
      <c r="U978" s="108"/>
      <c r="V978" s="105"/>
      <c r="W978" s="105"/>
      <c r="X978" s="105"/>
      <c r="Y978" s="105"/>
      <c r="Z978" s="105"/>
      <c r="AA978" s="108"/>
      <c r="AB978" s="108"/>
      <c r="AC978" s="105"/>
      <c r="AD978" s="279"/>
      <c r="AE978" s="105"/>
      <c r="AF978" s="279"/>
      <c r="AG978" s="105"/>
      <c r="AH978" s="108"/>
      <c r="AI978" s="108"/>
      <c r="AJ978" s="108"/>
      <c r="AK978" s="108"/>
      <c r="AL978" s="105"/>
      <c r="AM978" s="108"/>
      <c r="AN978" s="105"/>
      <c r="AO978" s="108"/>
      <c r="AP978" s="108"/>
      <c r="AQ978" s="105"/>
      <c r="AR978" s="108"/>
      <c r="AS978" s="108"/>
      <c r="AT978" s="105"/>
      <c r="AU978" s="105"/>
      <c r="AV978" s="105"/>
      <c r="AW978" s="105"/>
      <c r="AX978" s="105"/>
      <c r="AY978" s="105"/>
      <c r="AZ978" s="105"/>
      <c r="BA978" s="105"/>
      <c r="BB978" s="105"/>
      <c r="BC978" s="105"/>
      <c r="BD978" s="108"/>
      <c r="BE978" s="83">
        <f>IF($A978="","",IF(TRIM($D978&amp;"")="",IF(TRIM($AX978&amp;$AY978&amp;$AZ978&amp;$BA978&amp;$BB978&amp;$BC978&amp;$BD978&amp;"")="","","SUBARRENDADO"),IFERROR(IF(VLOOKUP($D978,VEHICULOS!$A$3:$H$202,7,FALSE)="","",VLOOKUP($D978,VEHICULOS!$A$3:$H$202,7,FALSE)),"")))</f>
      </c>
      <c r="BF978" s="82">
        <f>IF($A978="","",IF(TRIM($BC978&amp;"")&lt;&gt;"",$BC978,IF(TRIM($D978&amp;"")="","",IFERROR(IF(VLOOKUP($D978,VEHICULOS!$A$3:$H$202,8,FALSE)="","",VLOOKUP($D978,VEHICULOS!$A$3:$H$202,8,FALSE)),""))))</f>
      </c>
      <c r="BG978" s="106"/>
      <c r="BH978" s="107"/>
      <c r="BI978" s="86">
        <f t="shared" si="225"/>
      </c>
      <c r="BJ978" s="83">
        <f t="shared" si="226"/>
      </c>
      <c r="BK978" s="85">
        <f t="shared" si="227"/>
      </c>
      <c r="BL978" s="85">
        <f t="shared" si="228"/>
      </c>
      <c r="BM978" s="108"/>
      <c r="BN978" s="85">
        <f t="shared" si="229"/>
      </c>
      <c r="BO978" s="108"/>
      <c r="BP978" s="85">
        <f t="shared" si="230"/>
      </c>
      <c r="BQ978" s="85">
        <f t="shared" si="231"/>
      </c>
      <c r="BR978" s="108"/>
      <c r="BS978" s="104"/>
      <c r="BT978" s="87">
        <f t="shared" si="232"/>
      </c>
      <c r="BU978" s="85">
        <f t="shared" si="233"/>
      </c>
      <c r="BV978" s="85">
        <f t="shared" si="234"/>
      </c>
      <c r="BW978" s="87">
        <f t="shared" si="235"/>
      </c>
      <c r="BX978" s="104"/>
      <c r="BY978" s="106"/>
      <c r="BZ978" s="104"/>
      <c r="CA978" s="105"/>
      <c r="CB978" s="77">
        <f>IF($A978="",0,IF($B978='FICHA CLIENTE'!$C$4,1,0))</f>
      </c>
      <c r="CC978" s="77">
        <f t="shared" si="236"/>
      </c>
      <c r="CD978" s="77">
        <f>IF($A978="",0,IF($D978='FICHA VEHICULO'!$C$4,1,0))</f>
      </c>
      <c r="CE978" s="77">
        <f t="shared" si="237"/>
      </c>
      <c r="CF978" s="77">
        <f t="shared" si="238"/>
      </c>
      <c r="CG978" s="77">
        <f t="shared" si="239"/>
      </c>
    </row>
    <row r="979" spans="1:85" ht="19.5" customHeight="1" x14ac:dyDescent="0.2">
      <c r="A979" s="104"/>
      <c r="B979" s="104"/>
      <c r="C979" s="105"/>
      <c r="D979" s="104"/>
      <c r="E979" s="105"/>
      <c r="F979" s="106"/>
      <c r="G979" s="104"/>
      <c r="H979" s="106"/>
      <c r="I979" s="107"/>
      <c r="J979" s="108"/>
      <c r="K979" s="108"/>
      <c r="L979" s="108"/>
      <c r="M979" s="105"/>
      <c r="N979" s="105"/>
      <c r="O979" s="105"/>
      <c r="P979" s="108"/>
      <c r="Q979" s="105"/>
      <c r="R979" s="105"/>
      <c r="S979" s="105"/>
      <c r="T979" s="105"/>
      <c r="U979" s="108"/>
      <c r="V979" s="105"/>
      <c r="W979" s="105"/>
      <c r="X979" s="105"/>
      <c r="Y979" s="105"/>
      <c r="Z979" s="105"/>
      <c r="AA979" s="108"/>
      <c r="AB979" s="108"/>
      <c r="AC979" s="105"/>
      <c r="AD979" s="279"/>
      <c r="AE979" s="105"/>
      <c r="AF979" s="279"/>
      <c r="AG979" s="105"/>
      <c r="AH979" s="108"/>
      <c r="AI979" s="108"/>
      <c r="AJ979" s="108"/>
      <c r="AK979" s="108"/>
      <c r="AL979" s="105"/>
      <c r="AM979" s="108"/>
      <c r="AN979" s="105"/>
      <c r="AO979" s="108"/>
      <c r="AP979" s="108"/>
      <c r="AQ979" s="105"/>
      <c r="AR979" s="108"/>
      <c r="AS979" s="108"/>
      <c r="AT979" s="105"/>
      <c r="AU979" s="105"/>
      <c r="AV979" s="105"/>
      <c r="AW979" s="105"/>
      <c r="AX979" s="105"/>
      <c r="AY979" s="105"/>
      <c r="AZ979" s="105"/>
      <c r="BA979" s="105"/>
      <c r="BB979" s="105"/>
      <c r="BC979" s="105"/>
      <c r="BD979" s="108"/>
      <c r="BE979" s="83">
        <f>IF($A979="","",IF(TRIM($D979&amp;"")="",IF(TRIM($AX979&amp;$AY979&amp;$AZ979&amp;$BA979&amp;$BB979&amp;$BC979&amp;$BD979&amp;"")="","","SUBARRENDADO"),IFERROR(IF(VLOOKUP($D979,VEHICULOS!$A$3:$H$202,7,FALSE)="","",VLOOKUP($D979,VEHICULOS!$A$3:$H$202,7,FALSE)),"")))</f>
      </c>
      <c r="BF979" s="82">
        <f>IF($A979="","",IF(TRIM($BC979&amp;"")&lt;&gt;"",$BC979,IF(TRIM($D979&amp;"")="","",IFERROR(IF(VLOOKUP($D979,VEHICULOS!$A$3:$H$202,8,FALSE)="","",VLOOKUP($D979,VEHICULOS!$A$3:$H$202,8,FALSE)),""))))</f>
      </c>
      <c r="BG979" s="106"/>
      <c r="BH979" s="107"/>
      <c r="BI979" s="86">
        <f t="shared" si="225"/>
      </c>
      <c r="BJ979" s="83">
        <f t="shared" si="226"/>
      </c>
      <c r="BK979" s="85">
        <f t="shared" si="227"/>
      </c>
      <c r="BL979" s="85">
        <f t="shared" si="228"/>
      </c>
      <c r="BM979" s="108"/>
      <c r="BN979" s="85">
        <f t="shared" si="229"/>
      </c>
      <c r="BO979" s="108"/>
      <c r="BP979" s="85">
        <f t="shared" si="230"/>
      </c>
      <c r="BQ979" s="85">
        <f t="shared" si="231"/>
      </c>
      <c r="BR979" s="108"/>
      <c r="BS979" s="104"/>
      <c r="BT979" s="87">
        <f t="shared" si="232"/>
      </c>
      <c r="BU979" s="85">
        <f t="shared" si="233"/>
      </c>
      <c r="BV979" s="85">
        <f t="shared" si="234"/>
      </c>
      <c r="BW979" s="87">
        <f t="shared" si="235"/>
      </c>
      <c r="BX979" s="104"/>
      <c r="BY979" s="106"/>
      <c r="BZ979" s="104"/>
      <c r="CA979" s="105"/>
      <c r="CB979" s="77">
        <f>IF($A979="",0,IF($B979='FICHA CLIENTE'!$C$4,1,0))</f>
      </c>
      <c r="CC979" s="77">
        <f t="shared" si="236"/>
      </c>
      <c r="CD979" s="77">
        <f>IF($A979="",0,IF($D979='FICHA VEHICULO'!$C$4,1,0))</f>
      </c>
      <c r="CE979" s="77">
        <f t="shared" si="237"/>
      </c>
      <c r="CF979" s="77">
        <f t="shared" si="238"/>
      </c>
      <c r="CG979" s="77">
        <f t="shared" si="239"/>
      </c>
    </row>
    <row r="980" spans="1:85" ht="19.5" customHeight="1" x14ac:dyDescent="0.2">
      <c r="A980" s="104"/>
      <c r="B980" s="104"/>
      <c r="C980" s="105"/>
      <c r="D980" s="104"/>
      <c r="E980" s="105"/>
      <c r="F980" s="106"/>
      <c r="G980" s="104"/>
      <c r="H980" s="106"/>
      <c r="I980" s="107"/>
      <c r="J980" s="108"/>
      <c r="K980" s="108"/>
      <c r="L980" s="108"/>
      <c r="M980" s="105"/>
      <c r="N980" s="105"/>
      <c r="O980" s="105"/>
      <c r="P980" s="108"/>
      <c r="Q980" s="105"/>
      <c r="R980" s="105"/>
      <c r="S980" s="105"/>
      <c r="T980" s="105"/>
      <c r="U980" s="108"/>
      <c r="V980" s="105"/>
      <c r="W980" s="105"/>
      <c r="X980" s="105"/>
      <c r="Y980" s="105"/>
      <c r="Z980" s="105"/>
      <c r="AA980" s="108"/>
      <c r="AB980" s="108"/>
      <c r="AC980" s="105"/>
      <c r="AD980" s="279"/>
      <c r="AE980" s="105"/>
      <c r="AF980" s="279"/>
      <c r="AG980" s="105"/>
      <c r="AH980" s="108"/>
      <c r="AI980" s="108"/>
      <c r="AJ980" s="108"/>
      <c r="AK980" s="108"/>
      <c r="AL980" s="105"/>
      <c r="AM980" s="108"/>
      <c r="AN980" s="105"/>
      <c r="AO980" s="108"/>
      <c r="AP980" s="108"/>
      <c r="AQ980" s="105"/>
      <c r="AR980" s="108"/>
      <c r="AS980" s="108"/>
      <c r="AT980" s="105"/>
      <c r="AU980" s="105"/>
      <c r="AV980" s="105"/>
      <c r="AW980" s="105"/>
      <c r="AX980" s="105"/>
      <c r="AY980" s="105"/>
      <c r="AZ980" s="105"/>
      <c r="BA980" s="105"/>
      <c r="BB980" s="105"/>
      <c r="BC980" s="105"/>
      <c r="BD980" s="108"/>
      <c r="BE980" s="83">
        <f>IF($A980="","",IF(TRIM($D980&amp;"")="",IF(TRIM($AX980&amp;$AY980&amp;$AZ980&amp;$BA980&amp;$BB980&amp;$BC980&amp;$BD980&amp;"")="","","SUBARRENDADO"),IFERROR(IF(VLOOKUP($D980,VEHICULOS!$A$3:$H$202,7,FALSE)="","",VLOOKUP($D980,VEHICULOS!$A$3:$H$202,7,FALSE)),"")))</f>
      </c>
      <c r="BF980" s="82">
        <f>IF($A980="","",IF(TRIM($BC980&amp;"")&lt;&gt;"",$BC980,IF(TRIM($D980&amp;"")="","",IFERROR(IF(VLOOKUP($D980,VEHICULOS!$A$3:$H$202,8,FALSE)="","",VLOOKUP($D980,VEHICULOS!$A$3:$H$202,8,FALSE)),""))))</f>
      </c>
      <c r="BG980" s="106"/>
      <c r="BH980" s="107"/>
      <c r="BI980" s="86">
        <f t="shared" si="225"/>
      </c>
      <c r="BJ980" s="83">
        <f t="shared" si="226"/>
      </c>
      <c r="BK980" s="85">
        <f t="shared" si="227"/>
      </c>
      <c r="BL980" s="85">
        <f t="shared" si="228"/>
      </c>
      <c r="BM980" s="108"/>
      <c r="BN980" s="85">
        <f t="shared" si="229"/>
      </c>
      <c r="BO980" s="108"/>
      <c r="BP980" s="85">
        <f t="shared" si="230"/>
      </c>
      <c r="BQ980" s="85">
        <f t="shared" si="231"/>
      </c>
      <c r="BR980" s="108"/>
      <c r="BS980" s="104"/>
      <c r="BT980" s="87">
        <f t="shared" si="232"/>
      </c>
      <c r="BU980" s="85">
        <f t="shared" si="233"/>
      </c>
      <c r="BV980" s="85">
        <f t="shared" si="234"/>
      </c>
      <c r="BW980" s="87">
        <f t="shared" si="235"/>
      </c>
      <c r="BX980" s="104"/>
      <c r="BY980" s="106"/>
      <c r="BZ980" s="104"/>
      <c r="CA980" s="105"/>
      <c r="CB980" s="77">
        <f>IF($A980="",0,IF($B980='FICHA CLIENTE'!$C$4,1,0))</f>
      </c>
      <c r="CC980" s="77">
        <f t="shared" si="236"/>
      </c>
      <c r="CD980" s="77">
        <f>IF($A980="",0,IF($D980='FICHA VEHICULO'!$C$4,1,0))</f>
      </c>
      <c r="CE980" s="77">
        <f t="shared" si="237"/>
      </c>
      <c r="CF980" s="77">
        <f t="shared" si="238"/>
      </c>
      <c r="CG980" s="77">
        <f t="shared" si="239"/>
      </c>
    </row>
    <row r="981" spans="1:85" ht="19.5" customHeight="1" x14ac:dyDescent="0.2">
      <c r="A981" s="104"/>
      <c r="B981" s="104"/>
      <c r="C981" s="105"/>
      <c r="D981" s="104"/>
      <c r="E981" s="105"/>
      <c r="F981" s="106"/>
      <c r="G981" s="104"/>
      <c r="H981" s="106"/>
      <c r="I981" s="107"/>
      <c r="J981" s="108"/>
      <c r="K981" s="108"/>
      <c r="L981" s="108"/>
      <c r="M981" s="105"/>
      <c r="N981" s="105"/>
      <c r="O981" s="105"/>
      <c r="P981" s="108"/>
      <c r="Q981" s="105"/>
      <c r="R981" s="105"/>
      <c r="S981" s="105"/>
      <c r="T981" s="105"/>
      <c r="U981" s="108"/>
      <c r="V981" s="105"/>
      <c r="W981" s="105"/>
      <c r="X981" s="105"/>
      <c r="Y981" s="105"/>
      <c r="Z981" s="105"/>
      <c r="AA981" s="108"/>
      <c r="AB981" s="108"/>
      <c r="AC981" s="105"/>
      <c r="AD981" s="279"/>
      <c r="AE981" s="105"/>
      <c r="AF981" s="279"/>
      <c r="AG981" s="105"/>
      <c r="AH981" s="108"/>
      <c r="AI981" s="108"/>
      <c r="AJ981" s="108"/>
      <c r="AK981" s="108"/>
      <c r="AL981" s="105"/>
      <c r="AM981" s="108"/>
      <c r="AN981" s="105"/>
      <c r="AO981" s="108"/>
      <c r="AP981" s="108"/>
      <c r="AQ981" s="105"/>
      <c r="AR981" s="108"/>
      <c r="AS981" s="108"/>
      <c r="AT981" s="105"/>
      <c r="AU981" s="105"/>
      <c r="AV981" s="105"/>
      <c r="AW981" s="105"/>
      <c r="AX981" s="105"/>
      <c r="AY981" s="105"/>
      <c r="AZ981" s="105"/>
      <c r="BA981" s="105"/>
      <c r="BB981" s="105"/>
      <c r="BC981" s="105"/>
      <c r="BD981" s="108"/>
      <c r="BE981" s="83">
        <f>IF($A981="","",IF(TRIM($D981&amp;"")="",IF(TRIM($AX981&amp;$AY981&amp;$AZ981&amp;$BA981&amp;$BB981&amp;$BC981&amp;$BD981&amp;"")="","","SUBARRENDADO"),IFERROR(IF(VLOOKUP($D981,VEHICULOS!$A$3:$H$202,7,FALSE)="","",VLOOKUP($D981,VEHICULOS!$A$3:$H$202,7,FALSE)),"")))</f>
      </c>
      <c r="BF981" s="82">
        <f>IF($A981="","",IF(TRIM($BC981&amp;"")&lt;&gt;"",$BC981,IF(TRIM($D981&amp;"")="","",IFERROR(IF(VLOOKUP($D981,VEHICULOS!$A$3:$H$202,8,FALSE)="","",VLOOKUP($D981,VEHICULOS!$A$3:$H$202,8,FALSE)),""))))</f>
      </c>
      <c r="BG981" s="106"/>
      <c r="BH981" s="107"/>
      <c r="BI981" s="86">
        <f t="shared" si="225"/>
      </c>
      <c r="BJ981" s="83">
        <f t="shared" si="226"/>
      </c>
      <c r="BK981" s="85">
        <f t="shared" si="227"/>
      </c>
      <c r="BL981" s="85">
        <f t="shared" si="228"/>
      </c>
      <c r="BM981" s="108"/>
      <c r="BN981" s="85">
        <f t="shared" si="229"/>
      </c>
      <c r="BO981" s="108"/>
      <c r="BP981" s="85">
        <f t="shared" si="230"/>
      </c>
      <c r="BQ981" s="85">
        <f t="shared" si="231"/>
      </c>
      <c r="BR981" s="108"/>
      <c r="BS981" s="104"/>
      <c r="BT981" s="87">
        <f t="shared" si="232"/>
      </c>
      <c r="BU981" s="85">
        <f t="shared" si="233"/>
      </c>
      <c r="BV981" s="85">
        <f t="shared" si="234"/>
      </c>
      <c r="BW981" s="87">
        <f t="shared" si="235"/>
      </c>
      <c r="BX981" s="104"/>
      <c r="BY981" s="106"/>
      <c r="BZ981" s="104"/>
      <c r="CA981" s="105"/>
      <c r="CB981" s="77">
        <f>IF($A981="",0,IF($B981='FICHA CLIENTE'!$C$4,1,0))</f>
      </c>
      <c r="CC981" s="77">
        <f t="shared" si="236"/>
      </c>
      <c r="CD981" s="77">
        <f>IF($A981="",0,IF($D981='FICHA VEHICULO'!$C$4,1,0))</f>
      </c>
      <c r="CE981" s="77">
        <f t="shared" si="237"/>
      </c>
      <c r="CF981" s="77">
        <f t="shared" si="238"/>
      </c>
      <c r="CG981" s="77">
        <f t="shared" si="239"/>
      </c>
    </row>
    <row r="982" spans="1:85" ht="19.5" customHeight="1" x14ac:dyDescent="0.2">
      <c r="A982" s="104"/>
      <c r="B982" s="104"/>
      <c r="C982" s="105"/>
      <c r="D982" s="104"/>
      <c r="E982" s="105"/>
      <c r="F982" s="106"/>
      <c r="G982" s="104"/>
      <c r="H982" s="106"/>
      <c r="I982" s="107"/>
      <c r="J982" s="108"/>
      <c r="K982" s="108"/>
      <c r="L982" s="108"/>
      <c r="M982" s="105"/>
      <c r="N982" s="105"/>
      <c r="O982" s="105"/>
      <c r="P982" s="108"/>
      <c r="Q982" s="105"/>
      <c r="R982" s="105"/>
      <c r="S982" s="105"/>
      <c r="T982" s="105"/>
      <c r="U982" s="108"/>
      <c r="V982" s="105"/>
      <c r="W982" s="105"/>
      <c r="X982" s="105"/>
      <c r="Y982" s="105"/>
      <c r="Z982" s="105"/>
      <c r="AA982" s="108"/>
      <c r="AB982" s="108"/>
      <c r="AC982" s="105"/>
      <c r="AD982" s="279"/>
      <c r="AE982" s="105"/>
      <c r="AF982" s="279"/>
      <c r="AG982" s="105"/>
      <c r="AH982" s="108"/>
      <c r="AI982" s="108"/>
      <c r="AJ982" s="108"/>
      <c r="AK982" s="108"/>
      <c r="AL982" s="105"/>
      <c r="AM982" s="108"/>
      <c r="AN982" s="105"/>
      <c r="AO982" s="108"/>
      <c r="AP982" s="108"/>
      <c r="AQ982" s="105"/>
      <c r="AR982" s="108"/>
      <c r="AS982" s="108"/>
      <c r="AT982" s="105"/>
      <c r="AU982" s="105"/>
      <c r="AV982" s="105"/>
      <c r="AW982" s="105"/>
      <c r="AX982" s="105"/>
      <c r="AY982" s="105"/>
      <c r="AZ982" s="105"/>
      <c r="BA982" s="105"/>
      <c r="BB982" s="105"/>
      <c r="BC982" s="105"/>
      <c r="BD982" s="108"/>
      <c r="BE982" s="83">
        <f>IF($A982="","",IF(TRIM($D982&amp;"")="",IF(TRIM($AX982&amp;$AY982&amp;$AZ982&amp;$BA982&amp;$BB982&amp;$BC982&amp;$BD982&amp;"")="","","SUBARRENDADO"),IFERROR(IF(VLOOKUP($D982,VEHICULOS!$A$3:$H$202,7,FALSE)="","",VLOOKUP($D982,VEHICULOS!$A$3:$H$202,7,FALSE)),"")))</f>
      </c>
      <c r="BF982" s="82">
        <f>IF($A982="","",IF(TRIM($BC982&amp;"")&lt;&gt;"",$BC982,IF(TRIM($D982&amp;"")="","",IFERROR(IF(VLOOKUP($D982,VEHICULOS!$A$3:$H$202,8,FALSE)="","",VLOOKUP($D982,VEHICULOS!$A$3:$H$202,8,FALSE)),""))))</f>
      </c>
      <c r="BG982" s="106"/>
      <c r="BH982" s="107"/>
      <c r="BI982" s="86">
        <f t="shared" si="225"/>
      </c>
      <c r="BJ982" s="83">
        <f t="shared" si="226"/>
      </c>
      <c r="BK982" s="85">
        <f t="shared" si="227"/>
      </c>
      <c r="BL982" s="85">
        <f t="shared" si="228"/>
      </c>
      <c r="BM982" s="108"/>
      <c r="BN982" s="85">
        <f t="shared" si="229"/>
      </c>
      <c r="BO982" s="108"/>
      <c r="BP982" s="85">
        <f t="shared" si="230"/>
      </c>
      <c r="BQ982" s="85">
        <f t="shared" si="231"/>
      </c>
      <c r="BR982" s="108"/>
      <c r="BS982" s="104"/>
      <c r="BT982" s="87">
        <f t="shared" si="232"/>
      </c>
      <c r="BU982" s="85">
        <f t="shared" si="233"/>
      </c>
      <c r="BV982" s="85">
        <f t="shared" si="234"/>
      </c>
      <c r="BW982" s="87">
        <f t="shared" si="235"/>
      </c>
      <c r="BX982" s="104"/>
      <c r="BY982" s="106"/>
      <c r="BZ982" s="104"/>
      <c r="CA982" s="105"/>
      <c r="CB982" s="77">
        <f>IF($A982="",0,IF($B982='FICHA CLIENTE'!$C$4,1,0))</f>
      </c>
      <c r="CC982" s="77">
        <f t="shared" si="236"/>
      </c>
      <c r="CD982" s="77">
        <f>IF($A982="",0,IF($D982='FICHA VEHICULO'!$C$4,1,0))</f>
      </c>
      <c r="CE982" s="77">
        <f t="shared" si="237"/>
      </c>
      <c r="CF982" s="77">
        <f t="shared" si="238"/>
      </c>
      <c r="CG982" s="77">
        <f t="shared" si="239"/>
      </c>
    </row>
    <row r="983" spans="1:85" ht="19.5" customHeight="1" x14ac:dyDescent="0.2">
      <c r="A983" s="104"/>
      <c r="B983" s="104"/>
      <c r="C983" s="105"/>
      <c r="D983" s="104"/>
      <c r="E983" s="105"/>
      <c r="F983" s="106"/>
      <c r="G983" s="104"/>
      <c r="H983" s="106"/>
      <c r="I983" s="107"/>
      <c r="J983" s="108"/>
      <c r="K983" s="108"/>
      <c r="L983" s="108"/>
      <c r="M983" s="105"/>
      <c r="N983" s="105"/>
      <c r="O983" s="105"/>
      <c r="P983" s="108"/>
      <c r="Q983" s="105"/>
      <c r="R983" s="105"/>
      <c r="S983" s="105"/>
      <c r="T983" s="105"/>
      <c r="U983" s="108"/>
      <c r="V983" s="105"/>
      <c r="W983" s="105"/>
      <c r="X983" s="105"/>
      <c r="Y983" s="105"/>
      <c r="Z983" s="105"/>
      <c r="AA983" s="108"/>
      <c r="AB983" s="108"/>
      <c r="AC983" s="105"/>
      <c r="AD983" s="279"/>
      <c r="AE983" s="105"/>
      <c r="AF983" s="279"/>
      <c r="AG983" s="105"/>
      <c r="AH983" s="108"/>
      <c r="AI983" s="108"/>
      <c r="AJ983" s="108"/>
      <c r="AK983" s="108"/>
      <c r="AL983" s="105"/>
      <c r="AM983" s="108"/>
      <c r="AN983" s="105"/>
      <c r="AO983" s="108"/>
      <c r="AP983" s="108"/>
      <c r="AQ983" s="105"/>
      <c r="AR983" s="108"/>
      <c r="AS983" s="108"/>
      <c r="AT983" s="105"/>
      <c r="AU983" s="105"/>
      <c r="AV983" s="105"/>
      <c r="AW983" s="105"/>
      <c r="AX983" s="105"/>
      <c r="AY983" s="105"/>
      <c r="AZ983" s="105"/>
      <c r="BA983" s="105"/>
      <c r="BB983" s="105"/>
      <c r="BC983" s="105"/>
      <c r="BD983" s="108"/>
      <c r="BE983" s="83">
        <f>IF($A983="","",IF(TRIM($D983&amp;"")="",IF(TRIM($AX983&amp;$AY983&amp;$AZ983&amp;$BA983&amp;$BB983&amp;$BC983&amp;$BD983&amp;"")="","","SUBARRENDADO"),IFERROR(IF(VLOOKUP($D983,VEHICULOS!$A$3:$H$202,7,FALSE)="","",VLOOKUP($D983,VEHICULOS!$A$3:$H$202,7,FALSE)),"")))</f>
      </c>
      <c r="BF983" s="82">
        <f>IF($A983="","",IF(TRIM($BC983&amp;"")&lt;&gt;"",$BC983,IF(TRIM($D983&amp;"")="","",IFERROR(IF(VLOOKUP($D983,VEHICULOS!$A$3:$H$202,8,FALSE)="","",VLOOKUP($D983,VEHICULOS!$A$3:$H$202,8,FALSE)),""))))</f>
      </c>
      <c r="BG983" s="106"/>
      <c r="BH983" s="107"/>
      <c r="BI983" s="86">
        <f t="shared" si="225"/>
      </c>
      <c r="BJ983" s="83">
        <f t="shared" si="226"/>
      </c>
      <c r="BK983" s="85">
        <f t="shared" si="227"/>
      </c>
      <c r="BL983" s="85">
        <f t="shared" si="228"/>
      </c>
      <c r="BM983" s="108"/>
      <c r="BN983" s="85">
        <f t="shared" si="229"/>
      </c>
      <c r="BO983" s="108"/>
      <c r="BP983" s="85">
        <f t="shared" si="230"/>
      </c>
      <c r="BQ983" s="85">
        <f t="shared" si="231"/>
      </c>
      <c r="BR983" s="108"/>
      <c r="BS983" s="104"/>
      <c r="BT983" s="87">
        <f t="shared" si="232"/>
      </c>
      <c r="BU983" s="85">
        <f t="shared" si="233"/>
      </c>
      <c r="BV983" s="85">
        <f t="shared" si="234"/>
      </c>
      <c r="BW983" s="87">
        <f t="shared" si="235"/>
      </c>
      <c r="BX983" s="104"/>
      <c r="BY983" s="106"/>
      <c r="BZ983" s="104"/>
      <c r="CA983" s="105"/>
      <c r="CB983" s="77">
        <f>IF($A983="",0,IF($B983='FICHA CLIENTE'!$C$4,1,0))</f>
      </c>
      <c r="CC983" s="77">
        <f t="shared" si="236"/>
      </c>
      <c r="CD983" s="77">
        <f>IF($A983="",0,IF($D983='FICHA VEHICULO'!$C$4,1,0))</f>
      </c>
      <c r="CE983" s="77">
        <f t="shared" si="237"/>
      </c>
      <c r="CF983" s="77">
        <f t="shared" si="238"/>
      </c>
      <c r="CG983" s="77">
        <f t="shared" si="239"/>
      </c>
    </row>
    <row r="984" spans="1:85" ht="19.5" customHeight="1" x14ac:dyDescent="0.2">
      <c r="A984" s="104"/>
      <c r="B984" s="104"/>
      <c r="C984" s="105"/>
      <c r="D984" s="104"/>
      <c r="E984" s="105"/>
      <c r="F984" s="106"/>
      <c r="G984" s="104"/>
      <c r="H984" s="106"/>
      <c r="I984" s="107"/>
      <c r="J984" s="108"/>
      <c r="K984" s="108"/>
      <c r="L984" s="108"/>
      <c r="M984" s="105"/>
      <c r="N984" s="105"/>
      <c r="O984" s="105"/>
      <c r="P984" s="108"/>
      <c r="Q984" s="105"/>
      <c r="R984" s="105"/>
      <c r="S984" s="105"/>
      <c r="T984" s="105"/>
      <c r="U984" s="108"/>
      <c r="V984" s="105"/>
      <c r="W984" s="105"/>
      <c r="X984" s="105"/>
      <c r="Y984" s="105"/>
      <c r="Z984" s="105"/>
      <c r="AA984" s="108"/>
      <c r="AB984" s="108"/>
      <c r="AC984" s="105"/>
      <c r="AD984" s="279"/>
      <c r="AE984" s="105"/>
      <c r="AF984" s="279"/>
      <c r="AG984" s="105"/>
      <c r="AH984" s="108"/>
      <c r="AI984" s="108"/>
      <c r="AJ984" s="108"/>
      <c r="AK984" s="108"/>
      <c r="AL984" s="105"/>
      <c r="AM984" s="108"/>
      <c r="AN984" s="105"/>
      <c r="AO984" s="108"/>
      <c r="AP984" s="108"/>
      <c r="AQ984" s="105"/>
      <c r="AR984" s="108"/>
      <c r="AS984" s="108"/>
      <c r="AT984" s="105"/>
      <c r="AU984" s="105"/>
      <c r="AV984" s="105"/>
      <c r="AW984" s="105"/>
      <c r="AX984" s="105"/>
      <c r="AY984" s="105"/>
      <c r="AZ984" s="105"/>
      <c r="BA984" s="105"/>
      <c r="BB984" s="105"/>
      <c r="BC984" s="105"/>
      <c r="BD984" s="108"/>
      <c r="BE984" s="83">
        <f>IF($A984="","",IF(TRIM($D984&amp;"")="",IF(TRIM($AX984&amp;$AY984&amp;$AZ984&amp;$BA984&amp;$BB984&amp;$BC984&amp;$BD984&amp;"")="","","SUBARRENDADO"),IFERROR(IF(VLOOKUP($D984,VEHICULOS!$A$3:$H$202,7,FALSE)="","",VLOOKUP($D984,VEHICULOS!$A$3:$H$202,7,FALSE)),"")))</f>
      </c>
      <c r="BF984" s="82">
        <f>IF($A984="","",IF(TRIM($BC984&amp;"")&lt;&gt;"",$BC984,IF(TRIM($D984&amp;"")="","",IFERROR(IF(VLOOKUP($D984,VEHICULOS!$A$3:$H$202,8,FALSE)="","",VLOOKUP($D984,VEHICULOS!$A$3:$H$202,8,FALSE)),""))))</f>
      </c>
      <c r="BG984" s="106"/>
      <c r="BH984" s="107"/>
      <c r="BI984" s="86">
        <f t="shared" si="225"/>
      </c>
      <c r="BJ984" s="83">
        <f t="shared" si="226"/>
      </c>
      <c r="BK984" s="85">
        <f t="shared" si="227"/>
      </c>
      <c r="BL984" s="85">
        <f t="shared" si="228"/>
      </c>
      <c r="BM984" s="108"/>
      <c r="BN984" s="85">
        <f t="shared" si="229"/>
      </c>
      <c r="BO984" s="108"/>
      <c r="BP984" s="85">
        <f t="shared" si="230"/>
      </c>
      <c r="BQ984" s="85">
        <f t="shared" si="231"/>
      </c>
      <c r="BR984" s="108"/>
      <c r="BS984" s="104"/>
      <c r="BT984" s="87">
        <f t="shared" si="232"/>
      </c>
      <c r="BU984" s="85">
        <f t="shared" si="233"/>
      </c>
      <c r="BV984" s="85">
        <f t="shared" si="234"/>
      </c>
      <c r="BW984" s="87">
        <f t="shared" si="235"/>
      </c>
      <c r="BX984" s="104"/>
      <c r="BY984" s="106"/>
      <c r="BZ984" s="104"/>
      <c r="CA984" s="105"/>
      <c r="CB984" s="77">
        <f>IF($A984="",0,IF($B984='FICHA CLIENTE'!$C$4,1,0))</f>
      </c>
      <c r="CC984" s="77">
        <f t="shared" si="236"/>
      </c>
      <c r="CD984" s="77">
        <f>IF($A984="",0,IF($D984='FICHA VEHICULO'!$C$4,1,0))</f>
      </c>
      <c r="CE984" s="77">
        <f t="shared" si="237"/>
      </c>
      <c r="CF984" s="77">
        <f t="shared" si="238"/>
      </c>
      <c r="CG984" s="77">
        <f t="shared" si="239"/>
      </c>
    </row>
    <row r="985" spans="1:85" ht="19.5" customHeight="1" x14ac:dyDescent="0.2">
      <c r="A985" s="104"/>
      <c r="B985" s="104"/>
      <c r="C985" s="105"/>
      <c r="D985" s="104"/>
      <c r="E985" s="105"/>
      <c r="F985" s="106"/>
      <c r="G985" s="104"/>
      <c r="H985" s="106"/>
      <c r="I985" s="107"/>
      <c r="J985" s="108"/>
      <c r="K985" s="108"/>
      <c r="L985" s="108"/>
      <c r="M985" s="105"/>
      <c r="N985" s="105"/>
      <c r="O985" s="105"/>
      <c r="P985" s="108"/>
      <c r="Q985" s="105"/>
      <c r="R985" s="105"/>
      <c r="S985" s="105"/>
      <c r="T985" s="105"/>
      <c r="U985" s="108"/>
      <c r="V985" s="105"/>
      <c r="W985" s="105"/>
      <c r="X985" s="105"/>
      <c r="Y985" s="105"/>
      <c r="Z985" s="105"/>
      <c r="AA985" s="108"/>
      <c r="AB985" s="108"/>
      <c r="AC985" s="105"/>
      <c r="AD985" s="279"/>
      <c r="AE985" s="105"/>
      <c r="AF985" s="279"/>
      <c r="AG985" s="105"/>
      <c r="AH985" s="108"/>
      <c r="AI985" s="108"/>
      <c r="AJ985" s="108"/>
      <c r="AK985" s="108"/>
      <c r="AL985" s="105"/>
      <c r="AM985" s="108"/>
      <c r="AN985" s="105"/>
      <c r="AO985" s="108"/>
      <c r="AP985" s="108"/>
      <c r="AQ985" s="105"/>
      <c r="AR985" s="108"/>
      <c r="AS985" s="108"/>
      <c r="AT985" s="105"/>
      <c r="AU985" s="105"/>
      <c r="AV985" s="105"/>
      <c r="AW985" s="105"/>
      <c r="AX985" s="105"/>
      <c r="AY985" s="105"/>
      <c r="AZ985" s="105"/>
      <c r="BA985" s="105"/>
      <c r="BB985" s="105"/>
      <c r="BC985" s="105"/>
      <c r="BD985" s="108"/>
      <c r="BE985" s="83">
        <f>IF($A985="","",IF(TRIM($D985&amp;"")="",IF(TRIM($AX985&amp;$AY985&amp;$AZ985&amp;$BA985&amp;$BB985&amp;$BC985&amp;$BD985&amp;"")="","","SUBARRENDADO"),IFERROR(IF(VLOOKUP($D985,VEHICULOS!$A$3:$H$202,7,FALSE)="","",VLOOKUP($D985,VEHICULOS!$A$3:$H$202,7,FALSE)),"")))</f>
      </c>
      <c r="BF985" s="82">
        <f>IF($A985="","",IF(TRIM($BC985&amp;"")&lt;&gt;"",$BC985,IF(TRIM($D985&amp;"")="","",IFERROR(IF(VLOOKUP($D985,VEHICULOS!$A$3:$H$202,8,FALSE)="","",VLOOKUP($D985,VEHICULOS!$A$3:$H$202,8,FALSE)),""))))</f>
      </c>
      <c r="BG985" s="106"/>
      <c r="BH985" s="107"/>
      <c r="BI985" s="86">
        <f t="shared" si="225"/>
      </c>
      <c r="BJ985" s="83">
        <f t="shared" si="226"/>
      </c>
      <c r="BK985" s="85">
        <f t="shared" si="227"/>
      </c>
      <c r="BL985" s="85">
        <f t="shared" si="228"/>
      </c>
      <c r="BM985" s="108"/>
      <c r="BN985" s="85">
        <f t="shared" si="229"/>
      </c>
      <c r="BO985" s="108"/>
      <c r="BP985" s="85">
        <f t="shared" si="230"/>
      </c>
      <c r="BQ985" s="85">
        <f t="shared" si="231"/>
      </c>
      <c r="BR985" s="108"/>
      <c r="BS985" s="104"/>
      <c r="BT985" s="87">
        <f t="shared" si="232"/>
      </c>
      <c r="BU985" s="85">
        <f t="shared" si="233"/>
      </c>
      <c r="BV985" s="85">
        <f t="shared" si="234"/>
      </c>
      <c r="BW985" s="87">
        <f t="shared" si="235"/>
      </c>
      <c r="BX985" s="104"/>
      <c r="BY985" s="106"/>
      <c r="BZ985" s="104"/>
      <c r="CA985" s="105"/>
      <c r="CB985" s="77">
        <f>IF($A985="",0,IF($B985='FICHA CLIENTE'!$C$4,1,0))</f>
      </c>
      <c r="CC985" s="77">
        <f t="shared" si="236"/>
      </c>
      <c r="CD985" s="77">
        <f>IF($A985="",0,IF($D985='FICHA VEHICULO'!$C$4,1,0))</f>
      </c>
      <c r="CE985" s="77">
        <f t="shared" si="237"/>
      </c>
      <c r="CF985" s="77">
        <f t="shared" si="238"/>
      </c>
      <c r="CG985" s="77">
        <f t="shared" si="239"/>
      </c>
    </row>
    <row r="986" spans="1:85" ht="19.5" customHeight="1" x14ac:dyDescent="0.2">
      <c r="A986" s="104"/>
      <c r="B986" s="104"/>
      <c r="C986" s="105"/>
      <c r="D986" s="104"/>
      <c r="E986" s="105"/>
      <c r="F986" s="106"/>
      <c r="G986" s="104"/>
      <c r="H986" s="106"/>
      <c r="I986" s="107"/>
      <c r="J986" s="108"/>
      <c r="K986" s="108"/>
      <c r="L986" s="108"/>
      <c r="M986" s="105"/>
      <c r="N986" s="105"/>
      <c r="O986" s="105"/>
      <c r="P986" s="108"/>
      <c r="Q986" s="105"/>
      <c r="R986" s="105"/>
      <c r="S986" s="105"/>
      <c r="T986" s="105"/>
      <c r="U986" s="108"/>
      <c r="V986" s="105"/>
      <c r="W986" s="105"/>
      <c r="X986" s="105"/>
      <c r="Y986" s="105"/>
      <c r="Z986" s="105"/>
      <c r="AA986" s="108"/>
      <c r="AB986" s="108"/>
      <c r="AC986" s="105"/>
      <c r="AD986" s="279"/>
      <c r="AE986" s="105"/>
      <c r="AF986" s="279"/>
      <c r="AG986" s="105"/>
      <c r="AH986" s="108"/>
      <c r="AI986" s="108"/>
      <c r="AJ986" s="108"/>
      <c r="AK986" s="108"/>
      <c r="AL986" s="105"/>
      <c r="AM986" s="108"/>
      <c r="AN986" s="105"/>
      <c r="AO986" s="108"/>
      <c r="AP986" s="108"/>
      <c r="AQ986" s="105"/>
      <c r="AR986" s="108"/>
      <c r="AS986" s="108"/>
      <c r="AT986" s="105"/>
      <c r="AU986" s="105"/>
      <c r="AV986" s="105"/>
      <c r="AW986" s="105"/>
      <c r="AX986" s="105"/>
      <c r="AY986" s="105"/>
      <c r="AZ986" s="105"/>
      <c r="BA986" s="105"/>
      <c r="BB986" s="105"/>
      <c r="BC986" s="105"/>
      <c r="BD986" s="108"/>
      <c r="BE986" s="83">
        <f>IF($A986="","",IF(TRIM($D986&amp;"")="",IF(TRIM($AX986&amp;$AY986&amp;$AZ986&amp;$BA986&amp;$BB986&amp;$BC986&amp;$BD986&amp;"")="","","SUBARRENDADO"),IFERROR(IF(VLOOKUP($D986,VEHICULOS!$A$3:$H$202,7,FALSE)="","",VLOOKUP($D986,VEHICULOS!$A$3:$H$202,7,FALSE)),"")))</f>
      </c>
      <c r="BF986" s="82">
        <f>IF($A986="","",IF(TRIM($BC986&amp;"")&lt;&gt;"",$BC986,IF(TRIM($D986&amp;"")="","",IFERROR(IF(VLOOKUP($D986,VEHICULOS!$A$3:$H$202,8,FALSE)="","",VLOOKUP($D986,VEHICULOS!$A$3:$H$202,8,FALSE)),""))))</f>
      </c>
      <c r="BG986" s="106"/>
      <c r="BH986" s="107"/>
      <c r="BI986" s="86">
        <f t="shared" si="225"/>
      </c>
      <c r="BJ986" s="83">
        <f t="shared" si="226"/>
      </c>
      <c r="BK986" s="85">
        <f t="shared" si="227"/>
      </c>
      <c r="BL986" s="85">
        <f t="shared" si="228"/>
      </c>
      <c r="BM986" s="108"/>
      <c r="BN986" s="85">
        <f t="shared" si="229"/>
      </c>
      <c r="BO986" s="108"/>
      <c r="BP986" s="85">
        <f t="shared" si="230"/>
      </c>
      <c r="BQ986" s="85">
        <f t="shared" si="231"/>
      </c>
      <c r="BR986" s="108"/>
      <c r="BS986" s="104"/>
      <c r="BT986" s="87">
        <f t="shared" si="232"/>
      </c>
      <c r="BU986" s="85">
        <f t="shared" si="233"/>
      </c>
      <c r="BV986" s="85">
        <f t="shared" si="234"/>
      </c>
      <c r="BW986" s="87">
        <f t="shared" si="235"/>
      </c>
      <c r="BX986" s="104"/>
      <c r="BY986" s="106"/>
      <c r="BZ986" s="104"/>
      <c r="CA986" s="105"/>
      <c r="CB986" s="77">
        <f>IF($A986="",0,IF($B986='FICHA CLIENTE'!$C$4,1,0))</f>
      </c>
      <c r="CC986" s="77">
        <f t="shared" si="236"/>
      </c>
      <c r="CD986" s="77">
        <f>IF($A986="",0,IF($D986='FICHA VEHICULO'!$C$4,1,0))</f>
      </c>
      <c r="CE986" s="77">
        <f t="shared" si="237"/>
      </c>
      <c r="CF986" s="77">
        <f t="shared" si="238"/>
      </c>
      <c r="CG986" s="77">
        <f t="shared" si="239"/>
      </c>
    </row>
    <row r="987" spans="1:85" ht="19.5" customHeight="1" x14ac:dyDescent="0.2">
      <c r="A987" s="104"/>
      <c r="B987" s="104"/>
      <c r="C987" s="105"/>
      <c r="D987" s="104"/>
      <c r="E987" s="105"/>
      <c r="F987" s="106"/>
      <c r="G987" s="104"/>
      <c r="H987" s="106"/>
      <c r="I987" s="107"/>
      <c r="J987" s="108"/>
      <c r="K987" s="108"/>
      <c r="L987" s="108"/>
      <c r="M987" s="105"/>
      <c r="N987" s="105"/>
      <c r="O987" s="105"/>
      <c r="P987" s="108"/>
      <c r="Q987" s="105"/>
      <c r="R987" s="105"/>
      <c r="S987" s="105"/>
      <c r="T987" s="105"/>
      <c r="U987" s="108"/>
      <c r="V987" s="105"/>
      <c r="W987" s="105"/>
      <c r="X987" s="105"/>
      <c r="Y987" s="105"/>
      <c r="Z987" s="105"/>
      <c r="AA987" s="108"/>
      <c r="AB987" s="108"/>
      <c r="AC987" s="105"/>
      <c r="AD987" s="279"/>
      <c r="AE987" s="105"/>
      <c r="AF987" s="279"/>
      <c r="AG987" s="105"/>
      <c r="AH987" s="108"/>
      <c r="AI987" s="108"/>
      <c r="AJ987" s="108"/>
      <c r="AK987" s="108"/>
      <c r="AL987" s="105"/>
      <c r="AM987" s="108"/>
      <c r="AN987" s="105"/>
      <c r="AO987" s="108"/>
      <c r="AP987" s="108"/>
      <c r="AQ987" s="105"/>
      <c r="AR987" s="108"/>
      <c r="AS987" s="108"/>
      <c r="AT987" s="105"/>
      <c r="AU987" s="105"/>
      <c r="AV987" s="105"/>
      <c r="AW987" s="105"/>
      <c r="AX987" s="105"/>
      <c r="AY987" s="105"/>
      <c r="AZ987" s="105"/>
      <c r="BA987" s="105"/>
      <c r="BB987" s="105"/>
      <c r="BC987" s="105"/>
      <c r="BD987" s="108"/>
      <c r="BE987" s="83">
        <f>IF($A987="","",IF(TRIM($D987&amp;"")="",IF(TRIM($AX987&amp;$AY987&amp;$AZ987&amp;$BA987&amp;$BB987&amp;$BC987&amp;$BD987&amp;"")="","","SUBARRENDADO"),IFERROR(IF(VLOOKUP($D987,VEHICULOS!$A$3:$H$202,7,FALSE)="","",VLOOKUP($D987,VEHICULOS!$A$3:$H$202,7,FALSE)),"")))</f>
      </c>
      <c r="BF987" s="82">
        <f>IF($A987="","",IF(TRIM($BC987&amp;"")&lt;&gt;"",$BC987,IF(TRIM($D987&amp;"")="","",IFERROR(IF(VLOOKUP($D987,VEHICULOS!$A$3:$H$202,8,FALSE)="","",VLOOKUP($D987,VEHICULOS!$A$3:$H$202,8,FALSE)),""))))</f>
      </c>
      <c r="BG987" s="106"/>
      <c r="BH987" s="107"/>
      <c r="BI987" s="86">
        <f t="shared" si="225"/>
      </c>
      <c r="BJ987" s="83">
        <f t="shared" si="226"/>
      </c>
      <c r="BK987" s="85">
        <f t="shared" si="227"/>
      </c>
      <c r="BL987" s="85">
        <f t="shared" si="228"/>
      </c>
      <c r="BM987" s="108"/>
      <c r="BN987" s="85">
        <f t="shared" si="229"/>
      </c>
      <c r="BO987" s="108"/>
      <c r="BP987" s="85">
        <f t="shared" si="230"/>
      </c>
      <c r="BQ987" s="85">
        <f t="shared" si="231"/>
      </c>
      <c r="BR987" s="108"/>
      <c r="BS987" s="104"/>
      <c r="BT987" s="87">
        <f t="shared" si="232"/>
      </c>
      <c r="BU987" s="85">
        <f t="shared" si="233"/>
      </c>
      <c r="BV987" s="85">
        <f t="shared" si="234"/>
      </c>
      <c r="BW987" s="87">
        <f t="shared" si="235"/>
      </c>
      <c r="BX987" s="104"/>
      <c r="BY987" s="106"/>
      <c r="BZ987" s="104"/>
      <c r="CA987" s="105"/>
      <c r="CB987" s="77">
        <f>IF($A987="",0,IF($B987='FICHA CLIENTE'!$C$4,1,0))</f>
      </c>
      <c r="CC987" s="77">
        <f t="shared" si="236"/>
      </c>
      <c r="CD987" s="77">
        <f>IF($A987="",0,IF($D987='FICHA VEHICULO'!$C$4,1,0))</f>
      </c>
      <c r="CE987" s="77">
        <f t="shared" si="237"/>
      </c>
      <c r="CF987" s="77">
        <f t="shared" si="238"/>
      </c>
      <c r="CG987" s="77">
        <f t="shared" si="239"/>
      </c>
    </row>
    <row r="988" spans="1:85" ht="19.5" customHeight="1" x14ac:dyDescent="0.2">
      <c r="A988" s="104"/>
      <c r="B988" s="104"/>
      <c r="C988" s="105"/>
      <c r="D988" s="104"/>
      <c r="E988" s="105"/>
      <c r="F988" s="106"/>
      <c r="G988" s="104"/>
      <c r="H988" s="106"/>
      <c r="I988" s="107"/>
      <c r="J988" s="108"/>
      <c r="K988" s="108"/>
      <c r="L988" s="108"/>
      <c r="M988" s="105"/>
      <c r="N988" s="105"/>
      <c r="O988" s="105"/>
      <c r="P988" s="108"/>
      <c r="Q988" s="105"/>
      <c r="R988" s="105"/>
      <c r="S988" s="105"/>
      <c r="T988" s="105"/>
      <c r="U988" s="108"/>
      <c r="V988" s="105"/>
      <c r="W988" s="105"/>
      <c r="X988" s="105"/>
      <c r="Y988" s="105"/>
      <c r="Z988" s="105"/>
      <c r="AA988" s="108"/>
      <c r="AB988" s="108"/>
      <c r="AC988" s="105"/>
      <c r="AD988" s="279"/>
      <c r="AE988" s="105"/>
      <c r="AF988" s="279"/>
      <c r="AG988" s="105"/>
      <c r="AH988" s="108"/>
      <c r="AI988" s="108"/>
      <c r="AJ988" s="108"/>
      <c r="AK988" s="108"/>
      <c r="AL988" s="105"/>
      <c r="AM988" s="108"/>
      <c r="AN988" s="105"/>
      <c r="AO988" s="108"/>
      <c r="AP988" s="108"/>
      <c r="AQ988" s="105"/>
      <c r="AR988" s="108"/>
      <c r="AS988" s="108"/>
      <c r="AT988" s="105"/>
      <c r="AU988" s="105"/>
      <c r="AV988" s="105"/>
      <c r="AW988" s="105"/>
      <c r="AX988" s="105"/>
      <c r="AY988" s="105"/>
      <c r="AZ988" s="105"/>
      <c r="BA988" s="105"/>
      <c r="BB988" s="105"/>
      <c r="BC988" s="105"/>
      <c r="BD988" s="108"/>
      <c r="BE988" s="83">
        <f>IF($A988="","",IF(TRIM($D988&amp;"")="",IF(TRIM($AX988&amp;$AY988&amp;$AZ988&amp;$BA988&amp;$BB988&amp;$BC988&amp;$BD988&amp;"")="","","SUBARRENDADO"),IFERROR(IF(VLOOKUP($D988,VEHICULOS!$A$3:$H$202,7,FALSE)="","",VLOOKUP($D988,VEHICULOS!$A$3:$H$202,7,FALSE)),"")))</f>
      </c>
      <c r="BF988" s="82">
        <f>IF($A988="","",IF(TRIM($BC988&amp;"")&lt;&gt;"",$BC988,IF(TRIM($D988&amp;"")="","",IFERROR(IF(VLOOKUP($D988,VEHICULOS!$A$3:$H$202,8,FALSE)="","",VLOOKUP($D988,VEHICULOS!$A$3:$H$202,8,FALSE)),""))))</f>
      </c>
      <c r="BG988" s="106"/>
      <c r="BH988" s="107"/>
      <c r="BI988" s="86">
        <f t="shared" si="225"/>
      </c>
      <c r="BJ988" s="83">
        <f t="shared" si="226"/>
      </c>
      <c r="BK988" s="85">
        <f t="shared" si="227"/>
      </c>
      <c r="BL988" s="85">
        <f t="shared" si="228"/>
      </c>
      <c r="BM988" s="108"/>
      <c r="BN988" s="85">
        <f t="shared" si="229"/>
      </c>
      <c r="BO988" s="108"/>
      <c r="BP988" s="85">
        <f t="shared" si="230"/>
      </c>
      <c r="BQ988" s="85">
        <f t="shared" si="231"/>
      </c>
      <c r="BR988" s="108"/>
      <c r="BS988" s="104"/>
      <c r="BT988" s="87">
        <f t="shared" si="232"/>
      </c>
      <c r="BU988" s="85">
        <f t="shared" si="233"/>
      </c>
      <c r="BV988" s="85">
        <f t="shared" si="234"/>
      </c>
      <c r="BW988" s="87">
        <f t="shared" si="235"/>
      </c>
      <c r="BX988" s="104"/>
      <c r="BY988" s="106"/>
      <c r="BZ988" s="104"/>
      <c r="CA988" s="105"/>
      <c r="CB988" s="77">
        <f>IF($A988="",0,IF($B988='FICHA CLIENTE'!$C$4,1,0))</f>
      </c>
      <c r="CC988" s="77">
        <f t="shared" si="236"/>
      </c>
      <c r="CD988" s="77">
        <f>IF($A988="",0,IF($D988='FICHA VEHICULO'!$C$4,1,0))</f>
      </c>
      <c r="CE988" s="77">
        <f t="shared" si="237"/>
      </c>
      <c r="CF988" s="77">
        <f t="shared" si="238"/>
      </c>
      <c r="CG988" s="77">
        <f t="shared" si="239"/>
      </c>
    </row>
    <row r="989" spans="1:85" ht="19.5" customHeight="1" x14ac:dyDescent="0.2">
      <c r="A989" s="104"/>
      <c r="B989" s="104"/>
      <c r="C989" s="105"/>
      <c r="D989" s="104"/>
      <c r="E989" s="105"/>
      <c r="F989" s="106"/>
      <c r="G989" s="104"/>
      <c r="H989" s="106"/>
      <c r="I989" s="107"/>
      <c r="J989" s="108"/>
      <c r="K989" s="108"/>
      <c r="L989" s="108"/>
      <c r="M989" s="105"/>
      <c r="N989" s="105"/>
      <c r="O989" s="105"/>
      <c r="P989" s="108"/>
      <c r="Q989" s="105"/>
      <c r="R989" s="105"/>
      <c r="S989" s="105"/>
      <c r="T989" s="105"/>
      <c r="U989" s="108"/>
      <c r="V989" s="105"/>
      <c r="W989" s="105"/>
      <c r="X989" s="105"/>
      <c r="Y989" s="105"/>
      <c r="Z989" s="105"/>
      <c r="AA989" s="108"/>
      <c r="AB989" s="108"/>
      <c r="AC989" s="105"/>
      <c r="AD989" s="279"/>
      <c r="AE989" s="105"/>
      <c r="AF989" s="279"/>
      <c r="AG989" s="105"/>
      <c r="AH989" s="108"/>
      <c r="AI989" s="108"/>
      <c r="AJ989" s="108"/>
      <c r="AK989" s="108"/>
      <c r="AL989" s="105"/>
      <c r="AM989" s="108"/>
      <c r="AN989" s="105"/>
      <c r="AO989" s="108"/>
      <c r="AP989" s="108"/>
      <c r="AQ989" s="105"/>
      <c r="AR989" s="108"/>
      <c r="AS989" s="108"/>
      <c r="AT989" s="105"/>
      <c r="AU989" s="105"/>
      <c r="AV989" s="105"/>
      <c r="AW989" s="105"/>
      <c r="AX989" s="105"/>
      <c r="AY989" s="105"/>
      <c r="AZ989" s="105"/>
      <c r="BA989" s="105"/>
      <c r="BB989" s="105"/>
      <c r="BC989" s="105"/>
      <c r="BD989" s="108"/>
      <c r="BE989" s="83">
        <f>IF($A989="","",IF(TRIM($D989&amp;"")="",IF(TRIM($AX989&amp;$AY989&amp;$AZ989&amp;$BA989&amp;$BB989&amp;$BC989&amp;$BD989&amp;"")="","","SUBARRENDADO"),IFERROR(IF(VLOOKUP($D989,VEHICULOS!$A$3:$H$202,7,FALSE)="","",VLOOKUP($D989,VEHICULOS!$A$3:$H$202,7,FALSE)),"")))</f>
      </c>
      <c r="BF989" s="82">
        <f>IF($A989="","",IF(TRIM($BC989&amp;"")&lt;&gt;"",$BC989,IF(TRIM($D989&amp;"")="","",IFERROR(IF(VLOOKUP($D989,VEHICULOS!$A$3:$H$202,8,FALSE)="","",VLOOKUP($D989,VEHICULOS!$A$3:$H$202,8,FALSE)),""))))</f>
      </c>
      <c r="BG989" s="106"/>
      <c r="BH989" s="107"/>
      <c r="BI989" s="86">
        <f t="shared" si="225"/>
      </c>
      <c r="BJ989" s="83">
        <f t="shared" si="226"/>
      </c>
      <c r="BK989" s="85">
        <f t="shared" si="227"/>
      </c>
      <c r="BL989" s="85">
        <f t="shared" si="228"/>
      </c>
      <c r="BM989" s="108"/>
      <c r="BN989" s="85">
        <f t="shared" si="229"/>
      </c>
      <c r="BO989" s="108"/>
      <c r="BP989" s="85">
        <f t="shared" si="230"/>
      </c>
      <c r="BQ989" s="85">
        <f t="shared" si="231"/>
      </c>
      <c r="BR989" s="108"/>
      <c r="BS989" s="104"/>
      <c r="BT989" s="87">
        <f t="shared" si="232"/>
      </c>
      <c r="BU989" s="85">
        <f t="shared" si="233"/>
      </c>
      <c r="BV989" s="85">
        <f t="shared" si="234"/>
      </c>
      <c r="BW989" s="87">
        <f t="shared" si="235"/>
      </c>
      <c r="BX989" s="104"/>
      <c r="BY989" s="106"/>
      <c r="BZ989" s="104"/>
      <c r="CA989" s="105"/>
      <c r="CB989" s="77">
        <f>IF($A989="",0,IF($B989='FICHA CLIENTE'!$C$4,1,0))</f>
      </c>
      <c r="CC989" s="77">
        <f t="shared" si="236"/>
      </c>
      <c r="CD989" s="77">
        <f>IF($A989="",0,IF($D989='FICHA VEHICULO'!$C$4,1,0))</f>
      </c>
      <c r="CE989" s="77">
        <f t="shared" si="237"/>
      </c>
      <c r="CF989" s="77">
        <f t="shared" si="238"/>
      </c>
      <c r="CG989" s="77">
        <f t="shared" si="239"/>
      </c>
    </row>
    <row r="990" spans="1:85" ht="19.5" customHeight="1" x14ac:dyDescent="0.2">
      <c r="A990" s="104"/>
      <c r="B990" s="104"/>
      <c r="C990" s="105"/>
      <c r="D990" s="104"/>
      <c r="E990" s="105"/>
      <c r="F990" s="106"/>
      <c r="G990" s="104"/>
      <c r="H990" s="106"/>
      <c r="I990" s="107"/>
      <c r="J990" s="108"/>
      <c r="K990" s="108"/>
      <c r="L990" s="108"/>
      <c r="M990" s="105"/>
      <c r="N990" s="105"/>
      <c r="O990" s="105"/>
      <c r="P990" s="108"/>
      <c r="Q990" s="105"/>
      <c r="R990" s="105"/>
      <c r="S990" s="105"/>
      <c r="T990" s="105"/>
      <c r="U990" s="108"/>
      <c r="V990" s="105"/>
      <c r="W990" s="105"/>
      <c r="X990" s="105"/>
      <c r="Y990" s="105"/>
      <c r="Z990" s="105"/>
      <c r="AA990" s="108"/>
      <c r="AB990" s="108"/>
      <c r="AC990" s="105"/>
      <c r="AD990" s="279"/>
      <c r="AE990" s="105"/>
      <c r="AF990" s="279"/>
      <c r="AG990" s="105"/>
      <c r="AH990" s="108"/>
      <c r="AI990" s="108"/>
      <c r="AJ990" s="108"/>
      <c r="AK990" s="108"/>
      <c r="AL990" s="105"/>
      <c r="AM990" s="108"/>
      <c r="AN990" s="105"/>
      <c r="AO990" s="108"/>
      <c r="AP990" s="108"/>
      <c r="AQ990" s="105"/>
      <c r="AR990" s="108"/>
      <c r="AS990" s="108"/>
      <c r="AT990" s="105"/>
      <c r="AU990" s="105"/>
      <c r="AV990" s="105"/>
      <c r="AW990" s="105"/>
      <c r="AX990" s="105"/>
      <c r="AY990" s="105"/>
      <c r="AZ990" s="105"/>
      <c r="BA990" s="105"/>
      <c r="BB990" s="105"/>
      <c r="BC990" s="105"/>
      <c r="BD990" s="108"/>
      <c r="BE990" s="83">
        <f>IF($A990="","",IF(TRIM($D990&amp;"")="",IF(TRIM($AX990&amp;$AY990&amp;$AZ990&amp;$BA990&amp;$BB990&amp;$BC990&amp;$BD990&amp;"")="","","SUBARRENDADO"),IFERROR(IF(VLOOKUP($D990,VEHICULOS!$A$3:$H$202,7,FALSE)="","",VLOOKUP($D990,VEHICULOS!$A$3:$H$202,7,FALSE)),"")))</f>
      </c>
      <c r="BF990" s="82">
        <f>IF($A990="","",IF(TRIM($BC990&amp;"")&lt;&gt;"",$BC990,IF(TRIM($D990&amp;"")="","",IFERROR(IF(VLOOKUP($D990,VEHICULOS!$A$3:$H$202,8,FALSE)="","",VLOOKUP($D990,VEHICULOS!$A$3:$H$202,8,FALSE)),""))))</f>
      </c>
      <c r="BG990" s="106"/>
      <c r="BH990" s="107"/>
      <c r="BI990" s="86">
        <f t="shared" si="225"/>
      </c>
      <c r="BJ990" s="83">
        <f t="shared" si="226"/>
      </c>
      <c r="BK990" s="85">
        <f t="shared" si="227"/>
      </c>
      <c r="BL990" s="85">
        <f t="shared" si="228"/>
      </c>
      <c r="BM990" s="108"/>
      <c r="BN990" s="85">
        <f t="shared" si="229"/>
      </c>
      <c r="BO990" s="108"/>
      <c r="BP990" s="85">
        <f t="shared" si="230"/>
      </c>
      <c r="BQ990" s="85">
        <f t="shared" si="231"/>
      </c>
      <c r="BR990" s="108"/>
      <c r="BS990" s="104"/>
      <c r="BT990" s="87">
        <f t="shared" si="232"/>
      </c>
      <c r="BU990" s="85">
        <f t="shared" si="233"/>
      </c>
      <c r="BV990" s="85">
        <f t="shared" si="234"/>
      </c>
      <c r="BW990" s="87">
        <f t="shared" si="235"/>
      </c>
      <c r="BX990" s="104"/>
      <c r="BY990" s="106"/>
      <c r="BZ990" s="104"/>
      <c r="CA990" s="105"/>
      <c r="CB990" s="77">
        <f>IF($A990="",0,IF($B990='FICHA CLIENTE'!$C$4,1,0))</f>
      </c>
      <c r="CC990" s="77">
        <f t="shared" si="236"/>
      </c>
      <c r="CD990" s="77">
        <f>IF($A990="",0,IF($D990='FICHA VEHICULO'!$C$4,1,0))</f>
      </c>
      <c r="CE990" s="77">
        <f t="shared" si="237"/>
      </c>
      <c r="CF990" s="77">
        <f t="shared" si="238"/>
      </c>
      <c r="CG990" s="77">
        <f t="shared" si="239"/>
      </c>
    </row>
    <row r="991" spans="1:85" ht="19.5" customHeight="1" x14ac:dyDescent="0.2">
      <c r="A991" s="104"/>
      <c r="B991" s="104"/>
      <c r="C991" s="105"/>
      <c r="D991" s="104"/>
      <c r="E991" s="105"/>
      <c r="F991" s="106"/>
      <c r="G991" s="104"/>
      <c r="H991" s="106"/>
      <c r="I991" s="107"/>
      <c r="J991" s="108"/>
      <c r="K991" s="108"/>
      <c r="L991" s="108"/>
      <c r="M991" s="105"/>
      <c r="N991" s="105"/>
      <c r="O991" s="105"/>
      <c r="P991" s="108"/>
      <c r="Q991" s="105"/>
      <c r="R991" s="105"/>
      <c r="S991" s="105"/>
      <c r="T991" s="105"/>
      <c r="U991" s="108"/>
      <c r="V991" s="105"/>
      <c r="W991" s="105"/>
      <c r="X991" s="105"/>
      <c r="Y991" s="105"/>
      <c r="Z991" s="105"/>
      <c r="AA991" s="108"/>
      <c r="AB991" s="108"/>
      <c r="AC991" s="105"/>
      <c r="AD991" s="279"/>
      <c r="AE991" s="105"/>
      <c r="AF991" s="279"/>
      <c r="AG991" s="105"/>
      <c r="AH991" s="108"/>
      <c r="AI991" s="108"/>
      <c r="AJ991" s="108"/>
      <c r="AK991" s="108"/>
      <c r="AL991" s="105"/>
      <c r="AM991" s="108"/>
      <c r="AN991" s="105"/>
      <c r="AO991" s="108"/>
      <c r="AP991" s="108"/>
      <c r="AQ991" s="105"/>
      <c r="AR991" s="108"/>
      <c r="AS991" s="108"/>
      <c r="AT991" s="105"/>
      <c r="AU991" s="105"/>
      <c r="AV991" s="105"/>
      <c r="AW991" s="105"/>
      <c r="AX991" s="105"/>
      <c r="AY991" s="105"/>
      <c r="AZ991" s="105"/>
      <c r="BA991" s="105"/>
      <c r="BB991" s="105"/>
      <c r="BC991" s="105"/>
      <c r="BD991" s="108"/>
      <c r="BE991" s="83">
        <f>IF($A991="","",IF(TRIM($D991&amp;"")="",IF(TRIM($AX991&amp;$AY991&amp;$AZ991&amp;$BA991&amp;$BB991&amp;$BC991&amp;$BD991&amp;"")="","","SUBARRENDADO"),IFERROR(IF(VLOOKUP($D991,VEHICULOS!$A$3:$H$202,7,FALSE)="","",VLOOKUP($D991,VEHICULOS!$A$3:$H$202,7,FALSE)),"")))</f>
      </c>
      <c r="BF991" s="82">
        <f>IF($A991="","",IF(TRIM($BC991&amp;"")&lt;&gt;"",$BC991,IF(TRIM($D991&amp;"")="","",IFERROR(IF(VLOOKUP($D991,VEHICULOS!$A$3:$H$202,8,FALSE)="","",VLOOKUP($D991,VEHICULOS!$A$3:$H$202,8,FALSE)),""))))</f>
      </c>
      <c r="BG991" s="106"/>
      <c r="BH991" s="107"/>
      <c r="BI991" s="86">
        <f t="shared" si="225"/>
      </c>
      <c r="BJ991" s="83">
        <f t="shared" si="226"/>
      </c>
      <c r="BK991" s="85">
        <f t="shared" si="227"/>
      </c>
      <c r="BL991" s="85">
        <f t="shared" si="228"/>
      </c>
      <c r="BM991" s="108"/>
      <c r="BN991" s="85">
        <f t="shared" si="229"/>
      </c>
      <c r="BO991" s="108"/>
      <c r="BP991" s="85">
        <f t="shared" si="230"/>
      </c>
      <c r="BQ991" s="85">
        <f t="shared" si="231"/>
      </c>
      <c r="BR991" s="108"/>
      <c r="BS991" s="104"/>
      <c r="BT991" s="87">
        <f t="shared" si="232"/>
      </c>
      <c r="BU991" s="85">
        <f t="shared" si="233"/>
      </c>
      <c r="BV991" s="85">
        <f t="shared" si="234"/>
      </c>
      <c r="BW991" s="87">
        <f t="shared" si="235"/>
      </c>
      <c r="BX991" s="104"/>
      <c r="BY991" s="106"/>
      <c r="BZ991" s="104"/>
      <c r="CA991" s="105"/>
      <c r="CB991" s="77">
        <f>IF($A991="",0,IF($B991='FICHA CLIENTE'!$C$4,1,0))</f>
      </c>
      <c r="CC991" s="77">
        <f t="shared" si="236"/>
      </c>
      <c r="CD991" s="77">
        <f>IF($A991="",0,IF($D991='FICHA VEHICULO'!$C$4,1,0))</f>
      </c>
      <c r="CE991" s="77">
        <f t="shared" si="237"/>
      </c>
      <c r="CF991" s="77">
        <f t="shared" si="238"/>
      </c>
      <c r="CG991" s="77">
        <f t="shared" si="239"/>
      </c>
    </row>
    <row r="992" spans="1:85" ht="19.5" customHeight="1" x14ac:dyDescent="0.2">
      <c r="A992" s="104"/>
      <c r="B992" s="104"/>
      <c r="C992" s="105"/>
      <c r="D992" s="104"/>
      <c r="E992" s="105"/>
      <c r="F992" s="106"/>
      <c r="G992" s="104"/>
      <c r="H992" s="106"/>
      <c r="I992" s="107"/>
      <c r="J992" s="108"/>
      <c r="K992" s="108"/>
      <c r="L992" s="108"/>
      <c r="M992" s="105"/>
      <c r="N992" s="105"/>
      <c r="O992" s="105"/>
      <c r="P992" s="108"/>
      <c r="Q992" s="105"/>
      <c r="R992" s="105"/>
      <c r="S992" s="105"/>
      <c r="T992" s="105"/>
      <c r="U992" s="108"/>
      <c r="V992" s="105"/>
      <c r="W992" s="105"/>
      <c r="X992" s="105"/>
      <c r="Y992" s="105"/>
      <c r="Z992" s="105"/>
      <c r="AA992" s="108"/>
      <c r="AB992" s="108"/>
      <c r="AC992" s="105"/>
      <c r="AD992" s="279"/>
      <c r="AE992" s="105"/>
      <c r="AF992" s="279"/>
      <c r="AG992" s="105"/>
      <c r="AH992" s="108"/>
      <c r="AI992" s="108"/>
      <c r="AJ992" s="108"/>
      <c r="AK992" s="108"/>
      <c r="AL992" s="105"/>
      <c r="AM992" s="108"/>
      <c r="AN992" s="105"/>
      <c r="AO992" s="108"/>
      <c r="AP992" s="108"/>
      <c r="AQ992" s="105"/>
      <c r="AR992" s="108"/>
      <c r="AS992" s="108"/>
      <c r="AT992" s="105"/>
      <c r="AU992" s="105"/>
      <c r="AV992" s="105"/>
      <c r="AW992" s="105"/>
      <c r="AX992" s="105"/>
      <c r="AY992" s="105"/>
      <c r="AZ992" s="105"/>
      <c r="BA992" s="105"/>
      <c r="BB992" s="105"/>
      <c r="BC992" s="105"/>
      <c r="BD992" s="108"/>
      <c r="BE992" s="83">
        <f>IF($A992="","",IF(TRIM($D992&amp;"")="",IF(TRIM($AX992&amp;$AY992&amp;$AZ992&amp;$BA992&amp;$BB992&amp;$BC992&amp;$BD992&amp;"")="","","SUBARRENDADO"),IFERROR(IF(VLOOKUP($D992,VEHICULOS!$A$3:$H$202,7,FALSE)="","",VLOOKUP($D992,VEHICULOS!$A$3:$H$202,7,FALSE)),"")))</f>
      </c>
      <c r="BF992" s="82">
        <f>IF($A992="","",IF(TRIM($BC992&amp;"")&lt;&gt;"",$BC992,IF(TRIM($D992&amp;"")="","",IFERROR(IF(VLOOKUP($D992,VEHICULOS!$A$3:$H$202,8,FALSE)="","",VLOOKUP($D992,VEHICULOS!$A$3:$H$202,8,FALSE)),""))))</f>
      </c>
      <c r="BG992" s="106"/>
      <c r="BH992" s="107"/>
      <c r="BI992" s="86">
        <f t="shared" si="225"/>
      </c>
      <c r="BJ992" s="83">
        <f t="shared" si="226"/>
      </c>
      <c r="BK992" s="85">
        <f t="shared" si="227"/>
      </c>
      <c r="BL992" s="85">
        <f t="shared" si="228"/>
      </c>
      <c r="BM992" s="108"/>
      <c r="BN992" s="85">
        <f t="shared" si="229"/>
      </c>
      <c r="BO992" s="108"/>
      <c r="BP992" s="85">
        <f t="shared" si="230"/>
      </c>
      <c r="BQ992" s="85">
        <f t="shared" si="231"/>
      </c>
      <c r="BR992" s="108"/>
      <c r="BS992" s="104"/>
      <c r="BT992" s="87">
        <f t="shared" si="232"/>
      </c>
      <c r="BU992" s="85">
        <f t="shared" si="233"/>
      </c>
      <c r="BV992" s="85">
        <f t="shared" si="234"/>
      </c>
      <c r="BW992" s="87">
        <f t="shared" si="235"/>
      </c>
      <c r="BX992" s="104"/>
      <c r="BY992" s="106"/>
      <c r="BZ992" s="104"/>
      <c r="CA992" s="105"/>
      <c r="CB992" s="77">
        <f>IF($A992="",0,IF($B992='FICHA CLIENTE'!$C$4,1,0))</f>
      </c>
      <c r="CC992" s="77">
        <f t="shared" si="236"/>
      </c>
      <c r="CD992" s="77">
        <f>IF($A992="",0,IF($D992='FICHA VEHICULO'!$C$4,1,0))</f>
      </c>
      <c r="CE992" s="77">
        <f t="shared" si="237"/>
      </c>
      <c r="CF992" s="77">
        <f t="shared" si="238"/>
      </c>
      <c r="CG992" s="77">
        <f t="shared" si="239"/>
      </c>
    </row>
    <row r="993" spans="1:85" ht="19.5" customHeight="1" x14ac:dyDescent="0.2">
      <c r="A993" s="104"/>
      <c r="B993" s="104"/>
      <c r="C993" s="105"/>
      <c r="D993" s="104"/>
      <c r="E993" s="105"/>
      <c r="F993" s="106"/>
      <c r="G993" s="104"/>
      <c r="H993" s="106"/>
      <c r="I993" s="107"/>
      <c r="J993" s="108"/>
      <c r="K993" s="108"/>
      <c r="L993" s="108"/>
      <c r="M993" s="105"/>
      <c r="N993" s="105"/>
      <c r="O993" s="105"/>
      <c r="P993" s="108"/>
      <c r="Q993" s="105"/>
      <c r="R993" s="105"/>
      <c r="S993" s="105"/>
      <c r="T993" s="105"/>
      <c r="U993" s="108"/>
      <c r="V993" s="105"/>
      <c r="W993" s="105"/>
      <c r="X993" s="105"/>
      <c r="Y993" s="105"/>
      <c r="Z993" s="105"/>
      <c r="AA993" s="108"/>
      <c r="AB993" s="108"/>
      <c r="AC993" s="105"/>
      <c r="AD993" s="279"/>
      <c r="AE993" s="105"/>
      <c r="AF993" s="279"/>
      <c r="AG993" s="105"/>
      <c r="AH993" s="108"/>
      <c r="AI993" s="108"/>
      <c r="AJ993" s="108"/>
      <c r="AK993" s="108"/>
      <c r="AL993" s="105"/>
      <c r="AM993" s="108"/>
      <c r="AN993" s="105"/>
      <c r="AO993" s="108"/>
      <c r="AP993" s="108"/>
      <c r="AQ993" s="105"/>
      <c r="AR993" s="108"/>
      <c r="AS993" s="108"/>
      <c r="AT993" s="105"/>
      <c r="AU993" s="105"/>
      <c r="AV993" s="105"/>
      <c r="AW993" s="105"/>
      <c r="AX993" s="105"/>
      <c r="AY993" s="105"/>
      <c r="AZ993" s="105"/>
      <c r="BA993" s="105"/>
      <c r="BB993" s="105"/>
      <c r="BC993" s="105"/>
      <c r="BD993" s="108"/>
      <c r="BE993" s="83">
        <f>IF($A993="","",IF(TRIM($D993&amp;"")="",IF(TRIM($AX993&amp;$AY993&amp;$AZ993&amp;$BA993&amp;$BB993&amp;$BC993&amp;$BD993&amp;"")="","","SUBARRENDADO"),IFERROR(IF(VLOOKUP($D993,VEHICULOS!$A$3:$H$202,7,FALSE)="","",VLOOKUP($D993,VEHICULOS!$A$3:$H$202,7,FALSE)),"")))</f>
      </c>
      <c r="BF993" s="82">
        <f>IF($A993="","",IF(TRIM($BC993&amp;"")&lt;&gt;"",$BC993,IF(TRIM($D993&amp;"")="","",IFERROR(IF(VLOOKUP($D993,VEHICULOS!$A$3:$H$202,8,FALSE)="","",VLOOKUP($D993,VEHICULOS!$A$3:$H$202,8,FALSE)),""))))</f>
      </c>
      <c r="BG993" s="106"/>
      <c r="BH993" s="107"/>
      <c r="BI993" s="86">
        <f t="shared" si="225"/>
      </c>
      <c r="BJ993" s="83">
        <f t="shared" si="226"/>
      </c>
      <c r="BK993" s="85">
        <f t="shared" si="227"/>
      </c>
      <c r="BL993" s="85">
        <f t="shared" si="228"/>
      </c>
      <c r="BM993" s="108"/>
      <c r="BN993" s="85">
        <f t="shared" si="229"/>
      </c>
      <c r="BO993" s="108"/>
      <c r="BP993" s="85">
        <f t="shared" si="230"/>
      </c>
      <c r="BQ993" s="85">
        <f t="shared" si="231"/>
      </c>
      <c r="BR993" s="108"/>
      <c r="BS993" s="104"/>
      <c r="BT993" s="87">
        <f t="shared" si="232"/>
      </c>
      <c r="BU993" s="85">
        <f t="shared" si="233"/>
      </c>
      <c r="BV993" s="85">
        <f t="shared" si="234"/>
      </c>
      <c r="BW993" s="87">
        <f t="shared" si="235"/>
      </c>
      <c r="BX993" s="104"/>
      <c r="BY993" s="106"/>
      <c r="BZ993" s="104"/>
      <c r="CA993" s="105"/>
      <c r="CB993" s="77">
        <f>IF($A993="",0,IF($B993='FICHA CLIENTE'!$C$4,1,0))</f>
      </c>
      <c r="CC993" s="77">
        <f t="shared" si="236"/>
      </c>
      <c r="CD993" s="77">
        <f>IF($A993="",0,IF($D993='FICHA VEHICULO'!$C$4,1,0))</f>
      </c>
      <c r="CE993" s="77">
        <f t="shared" si="237"/>
      </c>
      <c r="CF993" s="77">
        <f t="shared" si="238"/>
      </c>
      <c r="CG993" s="77">
        <f t="shared" si="239"/>
      </c>
    </row>
    <row r="994" spans="1:85" ht="19.5" customHeight="1" x14ac:dyDescent="0.2">
      <c r="A994" s="104"/>
      <c r="B994" s="104"/>
      <c r="C994" s="105"/>
      <c r="D994" s="104"/>
      <c r="E994" s="105"/>
      <c r="F994" s="106"/>
      <c r="G994" s="104"/>
      <c r="H994" s="106"/>
      <c r="I994" s="107"/>
      <c r="J994" s="108"/>
      <c r="K994" s="108"/>
      <c r="L994" s="108"/>
      <c r="M994" s="105"/>
      <c r="N994" s="105"/>
      <c r="O994" s="105"/>
      <c r="P994" s="108"/>
      <c r="Q994" s="105"/>
      <c r="R994" s="105"/>
      <c r="S994" s="105"/>
      <c r="T994" s="105"/>
      <c r="U994" s="108"/>
      <c r="V994" s="105"/>
      <c r="W994" s="105"/>
      <c r="X994" s="105"/>
      <c r="Y994" s="105"/>
      <c r="Z994" s="105"/>
      <c r="AA994" s="108"/>
      <c r="AB994" s="108"/>
      <c r="AC994" s="105"/>
      <c r="AD994" s="279"/>
      <c r="AE994" s="105"/>
      <c r="AF994" s="279"/>
      <c r="AG994" s="105"/>
      <c r="AH994" s="108"/>
      <c r="AI994" s="108"/>
      <c r="AJ994" s="108"/>
      <c r="AK994" s="108"/>
      <c r="AL994" s="105"/>
      <c r="AM994" s="108"/>
      <c r="AN994" s="105"/>
      <c r="AO994" s="108"/>
      <c r="AP994" s="108"/>
      <c r="AQ994" s="105"/>
      <c r="AR994" s="108"/>
      <c r="AS994" s="108"/>
      <c r="AT994" s="105"/>
      <c r="AU994" s="105"/>
      <c r="AV994" s="105"/>
      <c r="AW994" s="105"/>
      <c r="AX994" s="105"/>
      <c r="AY994" s="105"/>
      <c r="AZ994" s="105"/>
      <c r="BA994" s="105"/>
      <c r="BB994" s="105"/>
      <c r="BC994" s="105"/>
      <c r="BD994" s="108"/>
      <c r="BE994" s="83">
        <f>IF($A994="","",IF(TRIM($D994&amp;"")="",IF(TRIM($AX994&amp;$AY994&amp;$AZ994&amp;$BA994&amp;$BB994&amp;$BC994&amp;$BD994&amp;"")="","","SUBARRENDADO"),IFERROR(IF(VLOOKUP($D994,VEHICULOS!$A$3:$H$202,7,FALSE)="","",VLOOKUP($D994,VEHICULOS!$A$3:$H$202,7,FALSE)),"")))</f>
      </c>
      <c r="BF994" s="82">
        <f>IF($A994="","",IF(TRIM($BC994&amp;"")&lt;&gt;"",$BC994,IF(TRIM($D994&amp;"")="","",IFERROR(IF(VLOOKUP($D994,VEHICULOS!$A$3:$H$202,8,FALSE)="","",VLOOKUP($D994,VEHICULOS!$A$3:$H$202,8,FALSE)),""))))</f>
      </c>
      <c r="BG994" s="106"/>
      <c r="BH994" s="107"/>
      <c r="BI994" s="86">
        <f t="shared" si="225"/>
      </c>
      <c r="BJ994" s="83">
        <f t="shared" si="226"/>
      </c>
      <c r="BK994" s="85">
        <f t="shared" si="227"/>
      </c>
      <c r="BL994" s="85">
        <f t="shared" si="228"/>
      </c>
      <c r="BM994" s="108"/>
      <c r="BN994" s="85">
        <f t="shared" si="229"/>
      </c>
      <c r="BO994" s="108"/>
      <c r="BP994" s="85">
        <f t="shared" si="230"/>
      </c>
      <c r="BQ994" s="85">
        <f t="shared" si="231"/>
      </c>
      <c r="BR994" s="108"/>
      <c r="BS994" s="104"/>
      <c r="BT994" s="87">
        <f t="shared" si="232"/>
      </c>
      <c r="BU994" s="85">
        <f t="shared" si="233"/>
      </c>
      <c r="BV994" s="85">
        <f t="shared" si="234"/>
      </c>
      <c r="BW994" s="87">
        <f t="shared" si="235"/>
      </c>
      <c r="BX994" s="104"/>
      <c r="BY994" s="106"/>
      <c r="BZ994" s="104"/>
      <c r="CA994" s="105"/>
      <c r="CB994" s="77">
        <f>IF($A994="",0,IF($B994='FICHA CLIENTE'!$C$4,1,0))</f>
      </c>
      <c r="CC994" s="77">
        <f t="shared" si="236"/>
      </c>
      <c r="CD994" s="77">
        <f>IF($A994="",0,IF($D994='FICHA VEHICULO'!$C$4,1,0))</f>
      </c>
      <c r="CE994" s="77">
        <f t="shared" si="237"/>
      </c>
      <c r="CF994" s="77">
        <f t="shared" si="238"/>
      </c>
      <c r="CG994" s="77">
        <f t="shared" si="239"/>
      </c>
    </row>
    <row r="995" spans="1:85" ht="19.5" customHeight="1" x14ac:dyDescent="0.2">
      <c r="A995" s="104"/>
      <c r="B995" s="104"/>
      <c r="C995" s="105"/>
      <c r="D995" s="104"/>
      <c r="E995" s="105"/>
      <c r="F995" s="106"/>
      <c r="G995" s="104"/>
      <c r="H995" s="106"/>
      <c r="I995" s="107"/>
      <c r="J995" s="108"/>
      <c r="K995" s="108"/>
      <c r="L995" s="108"/>
      <c r="M995" s="105"/>
      <c r="N995" s="105"/>
      <c r="O995" s="105"/>
      <c r="P995" s="108"/>
      <c r="Q995" s="105"/>
      <c r="R995" s="105"/>
      <c r="S995" s="105"/>
      <c r="T995" s="105"/>
      <c r="U995" s="108"/>
      <c r="V995" s="105"/>
      <c r="W995" s="105"/>
      <c r="X995" s="105"/>
      <c r="Y995" s="105"/>
      <c r="Z995" s="105"/>
      <c r="AA995" s="108"/>
      <c r="AB995" s="108"/>
      <c r="AC995" s="105"/>
      <c r="AD995" s="279"/>
      <c r="AE995" s="105"/>
      <c r="AF995" s="279"/>
      <c r="AG995" s="105"/>
      <c r="AH995" s="108"/>
      <c r="AI995" s="108"/>
      <c r="AJ995" s="108"/>
      <c r="AK995" s="108"/>
      <c r="AL995" s="105"/>
      <c r="AM995" s="108"/>
      <c r="AN995" s="105"/>
      <c r="AO995" s="108"/>
      <c r="AP995" s="108"/>
      <c r="AQ995" s="105"/>
      <c r="AR995" s="108"/>
      <c r="AS995" s="108"/>
      <c r="AT995" s="105"/>
      <c r="AU995" s="105"/>
      <c r="AV995" s="105"/>
      <c r="AW995" s="105"/>
      <c r="AX995" s="105"/>
      <c r="AY995" s="105"/>
      <c r="AZ995" s="105"/>
      <c r="BA995" s="105"/>
      <c r="BB995" s="105"/>
      <c r="BC995" s="105"/>
      <c r="BD995" s="108"/>
      <c r="BE995" s="83">
        <f>IF($A995="","",IF(TRIM($D995&amp;"")="",IF(TRIM($AX995&amp;$AY995&amp;$AZ995&amp;$BA995&amp;$BB995&amp;$BC995&amp;$BD995&amp;"")="","","SUBARRENDADO"),IFERROR(IF(VLOOKUP($D995,VEHICULOS!$A$3:$H$202,7,FALSE)="","",VLOOKUP($D995,VEHICULOS!$A$3:$H$202,7,FALSE)),"")))</f>
      </c>
      <c r="BF995" s="82">
        <f>IF($A995="","",IF(TRIM($BC995&amp;"")&lt;&gt;"",$BC995,IF(TRIM($D995&amp;"")="","",IFERROR(IF(VLOOKUP($D995,VEHICULOS!$A$3:$H$202,8,FALSE)="","",VLOOKUP($D995,VEHICULOS!$A$3:$H$202,8,FALSE)),""))))</f>
      </c>
      <c r="BG995" s="106"/>
      <c r="BH995" s="107"/>
      <c r="BI995" s="86">
        <f t="shared" si="225"/>
      </c>
      <c r="BJ995" s="83">
        <f t="shared" si="226"/>
      </c>
      <c r="BK995" s="85">
        <f t="shared" si="227"/>
      </c>
      <c r="BL995" s="85">
        <f t="shared" si="228"/>
      </c>
      <c r="BM995" s="108"/>
      <c r="BN995" s="85">
        <f t="shared" si="229"/>
      </c>
      <c r="BO995" s="108"/>
      <c r="BP995" s="85">
        <f t="shared" si="230"/>
      </c>
      <c r="BQ995" s="85">
        <f t="shared" si="231"/>
      </c>
      <c r="BR995" s="108"/>
      <c r="BS995" s="104"/>
      <c r="BT995" s="87">
        <f t="shared" si="232"/>
      </c>
      <c r="BU995" s="85">
        <f t="shared" si="233"/>
      </c>
      <c r="BV995" s="85">
        <f t="shared" si="234"/>
      </c>
      <c r="BW995" s="87">
        <f t="shared" si="235"/>
      </c>
      <c r="BX995" s="104"/>
      <c r="BY995" s="106"/>
      <c r="BZ995" s="104"/>
      <c r="CA995" s="105"/>
      <c r="CB995" s="77">
        <f>IF($A995="",0,IF($B995='FICHA CLIENTE'!$C$4,1,0))</f>
      </c>
      <c r="CC995" s="77">
        <f t="shared" si="236"/>
      </c>
      <c r="CD995" s="77">
        <f>IF($A995="",0,IF($D995='FICHA VEHICULO'!$C$4,1,0))</f>
      </c>
      <c r="CE995" s="77">
        <f t="shared" si="237"/>
      </c>
      <c r="CF995" s="77">
        <f t="shared" si="238"/>
      </c>
      <c r="CG995" s="77">
        <f t="shared" si="239"/>
      </c>
    </row>
    <row r="996" spans="1:85" ht="19.5" customHeight="1" x14ac:dyDescent="0.2">
      <c r="A996" s="104"/>
      <c r="B996" s="104"/>
      <c r="C996" s="105"/>
      <c r="D996" s="104"/>
      <c r="E996" s="105"/>
      <c r="F996" s="106"/>
      <c r="G996" s="104"/>
      <c r="H996" s="106"/>
      <c r="I996" s="107"/>
      <c r="J996" s="108"/>
      <c r="K996" s="108"/>
      <c r="L996" s="108"/>
      <c r="M996" s="105"/>
      <c r="N996" s="105"/>
      <c r="O996" s="105"/>
      <c r="P996" s="108"/>
      <c r="Q996" s="105"/>
      <c r="R996" s="105"/>
      <c r="S996" s="105"/>
      <c r="T996" s="105"/>
      <c r="U996" s="108"/>
      <c r="V996" s="105"/>
      <c r="W996" s="105"/>
      <c r="X996" s="105"/>
      <c r="Y996" s="105"/>
      <c r="Z996" s="105"/>
      <c r="AA996" s="108"/>
      <c r="AB996" s="108"/>
      <c r="AC996" s="105"/>
      <c r="AD996" s="279"/>
      <c r="AE996" s="105"/>
      <c r="AF996" s="279"/>
      <c r="AG996" s="105"/>
      <c r="AH996" s="108"/>
      <c r="AI996" s="108"/>
      <c r="AJ996" s="108"/>
      <c r="AK996" s="108"/>
      <c r="AL996" s="105"/>
      <c r="AM996" s="108"/>
      <c r="AN996" s="105"/>
      <c r="AO996" s="108"/>
      <c r="AP996" s="108"/>
      <c r="AQ996" s="105"/>
      <c r="AR996" s="108"/>
      <c r="AS996" s="108"/>
      <c r="AT996" s="105"/>
      <c r="AU996" s="105"/>
      <c r="AV996" s="105"/>
      <c r="AW996" s="105"/>
      <c r="AX996" s="105"/>
      <c r="AY996" s="105"/>
      <c r="AZ996" s="105"/>
      <c r="BA996" s="105"/>
      <c r="BB996" s="105"/>
      <c r="BC996" s="105"/>
      <c r="BD996" s="108"/>
      <c r="BE996" s="83">
        <f>IF($A996="","",IF(TRIM($D996&amp;"")="",IF(TRIM($AX996&amp;$AY996&amp;$AZ996&amp;$BA996&amp;$BB996&amp;$BC996&amp;$BD996&amp;"")="","","SUBARRENDADO"),IFERROR(IF(VLOOKUP($D996,VEHICULOS!$A$3:$H$202,7,FALSE)="","",VLOOKUP($D996,VEHICULOS!$A$3:$H$202,7,FALSE)),"")))</f>
      </c>
      <c r="BF996" s="82">
        <f>IF($A996="","",IF(TRIM($BC996&amp;"")&lt;&gt;"",$BC996,IF(TRIM($D996&amp;"")="","",IFERROR(IF(VLOOKUP($D996,VEHICULOS!$A$3:$H$202,8,FALSE)="","",VLOOKUP($D996,VEHICULOS!$A$3:$H$202,8,FALSE)),""))))</f>
      </c>
      <c r="BG996" s="106"/>
      <c r="BH996" s="107"/>
      <c r="BI996" s="86">
        <f t="shared" si="225"/>
      </c>
      <c r="BJ996" s="83">
        <f t="shared" si="226"/>
      </c>
      <c r="BK996" s="85">
        <f t="shared" si="227"/>
      </c>
      <c r="BL996" s="85">
        <f t="shared" si="228"/>
      </c>
      <c r="BM996" s="108"/>
      <c r="BN996" s="85">
        <f t="shared" si="229"/>
      </c>
      <c r="BO996" s="108"/>
      <c r="BP996" s="85">
        <f t="shared" si="230"/>
      </c>
      <c r="BQ996" s="85">
        <f t="shared" si="231"/>
      </c>
      <c r="BR996" s="108"/>
      <c r="BS996" s="104"/>
      <c r="BT996" s="87">
        <f t="shared" si="232"/>
      </c>
      <c r="BU996" s="85">
        <f t="shared" si="233"/>
      </c>
      <c r="BV996" s="85">
        <f t="shared" si="234"/>
      </c>
      <c r="BW996" s="87">
        <f t="shared" si="235"/>
      </c>
      <c r="BX996" s="104"/>
      <c r="BY996" s="106"/>
      <c r="BZ996" s="104"/>
      <c r="CA996" s="105"/>
      <c r="CB996" s="77">
        <f>IF($A996="",0,IF($B996='FICHA CLIENTE'!$C$4,1,0))</f>
      </c>
      <c r="CC996" s="77">
        <f t="shared" si="236"/>
      </c>
      <c r="CD996" s="77">
        <f>IF($A996="",0,IF($D996='FICHA VEHICULO'!$C$4,1,0))</f>
      </c>
      <c r="CE996" s="77">
        <f t="shared" si="237"/>
      </c>
      <c r="CF996" s="77">
        <f t="shared" si="238"/>
      </c>
      <c r="CG996" s="77">
        <f t="shared" si="239"/>
      </c>
    </row>
    <row r="997" spans="1:85" ht="19.5" customHeight="1" x14ac:dyDescent="0.2">
      <c r="A997" s="104"/>
      <c r="B997" s="104"/>
      <c r="C997" s="105"/>
      <c r="D997" s="104"/>
      <c r="E997" s="105"/>
      <c r="F997" s="106"/>
      <c r="G997" s="104"/>
      <c r="H997" s="106"/>
      <c r="I997" s="107"/>
      <c r="J997" s="108"/>
      <c r="K997" s="108"/>
      <c r="L997" s="108"/>
      <c r="M997" s="105"/>
      <c r="N997" s="105"/>
      <c r="O997" s="105"/>
      <c r="P997" s="108"/>
      <c r="Q997" s="105"/>
      <c r="R997" s="105"/>
      <c r="S997" s="105"/>
      <c r="T997" s="105"/>
      <c r="U997" s="108"/>
      <c r="V997" s="105"/>
      <c r="W997" s="105"/>
      <c r="X997" s="105"/>
      <c r="Y997" s="105"/>
      <c r="Z997" s="105"/>
      <c r="AA997" s="108"/>
      <c r="AB997" s="108"/>
      <c r="AC997" s="105"/>
      <c r="AD997" s="279"/>
      <c r="AE997" s="105"/>
      <c r="AF997" s="279"/>
      <c r="AG997" s="105"/>
      <c r="AH997" s="108"/>
      <c r="AI997" s="108"/>
      <c r="AJ997" s="108"/>
      <c r="AK997" s="108"/>
      <c r="AL997" s="105"/>
      <c r="AM997" s="108"/>
      <c r="AN997" s="105"/>
      <c r="AO997" s="108"/>
      <c r="AP997" s="108"/>
      <c r="AQ997" s="105"/>
      <c r="AR997" s="108"/>
      <c r="AS997" s="108"/>
      <c r="AT997" s="105"/>
      <c r="AU997" s="105"/>
      <c r="AV997" s="105"/>
      <c r="AW997" s="105"/>
      <c r="AX997" s="105"/>
      <c r="AY997" s="105"/>
      <c r="AZ997" s="105"/>
      <c r="BA997" s="105"/>
      <c r="BB997" s="105"/>
      <c r="BC997" s="105"/>
      <c r="BD997" s="108"/>
      <c r="BE997" s="83">
        <f>IF($A997="","",IF(TRIM($D997&amp;"")="",IF(TRIM($AX997&amp;$AY997&amp;$AZ997&amp;$BA997&amp;$BB997&amp;$BC997&amp;$BD997&amp;"")="","","SUBARRENDADO"),IFERROR(IF(VLOOKUP($D997,VEHICULOS!$A$3:$H$202,7,FALSE)="","",VLOOKUP($D997,VEHICULOS!$A$3:$H$202,7,FALSE)),"")))</f>
      </c>
      <c r="BF997" s="82">
        <f>IF($A997="","",IF(TRIM($BC997&amp;"")&lt;&gt;"",$BC997,IF(TRIM($D997&amp;"")="","",IFERROR(IF(VLOOKUP($D997,VEHICULOS!$A$3:$H$202,8,FALSE)="","",VLOOKUP($D997,VEHICULOS!$A$3:$H$202,8,FALSE)),""))))</f>
      </c>
      <c r="BG997" s="106"/>
      <c r="BH997" s="107"/>
      <c r="BI997" s="86">
        <f t="shared" si="225"/>
      </c>
      <c r="BJ997" s="83">
        <f t="shared" si="226"/>
      </c>
      <c r="BK997" s="85">
        <f t="shared" si="227"/>
      </c>
      <c r="BL997" s="85">
        <f t="shared" si="228"/>
      </c>
      <c r="BM997" s="108"/>
      <c r="BN997" s="85">
        <f t="shared" si="229"/>
      </c>
      <c r="BO997" s="108"/>
      <c r="BP997" s="85">
        <f t="shared" si="230"/>
      </c>
      <c r="BQ997" s="85">
        <f t="shared" si="231"/>
      </c>
      <c r="BR997" s="108"/>
      <c r="BS997" s="104"/>
      <c r="BT997" s="87">
        <f t="shared" si="232"/>
      </c>
      <c r="BU997" s="85">
        <f t="shared" si="233"/>
      </c>
      <c r="BV997" s="85">
        <f t="shared" si="234"/>
      </c>
      <c r="BW997" s="87">
        <f t="shared" si="235"/>
      </c>
      <c r="BX997" s="104"/>
      <c r="BY997" s="106"/>
      <c r="BZ997" s="104"/>
      <c r="CA997" s="105"/>
      <c r="CB997" s="77">
        <f>IF($A997="",0,IF($B997='FICHA CLIENTE'!$C$4,1,0))</f>
      </c>
      <c r="CC997" s="77">
        <f t="shared" si="236"/>
      </c>
      <c r="CD997" s="77">
        <f>IF($A997="",0,IF($D997='FICHA VEHICULO'!$C$4,1,0))</f>
      </c>
      <c r="CE997" s="77">
        <f t="shared" si="237"/>
      </c>
      <c r="CF997" s="77">
        <f t="shared" si="238"/>
      </c>
      <c r="CG997" s="77">
        <f t="shared" si="239"/>
      </c>
    </row>
    <row r="998" spans="1:85" ht="19.5" customHeight="1" x14ac:dyDescent="0.2">
      <c r="A998" s="104"/>
      <c r="B998" s="104"/>
      <c r="C998" s="105"/>
      <c r="D998" s="104"/>
      <c r="E998" s="105"/>
      <c r="F998" s="106"/>
      <c r="G998" s="104"/>
      <c r="H998" s="106"/>
      <c r="I998" s="107"/>
      <c r="J998" s="108"/>
      <c r="K998" s="108"/>
      <c r="L998" s="108"/>
      <c r="M998" s="105"/>
      <c r="N998" s="105"/>
      <c r="O998" s="105"/>
      <c r="P998" s="108"/>
      <c r="Q998" s="105"/>
      <c r="R998" s="105"/>
      <c r="S998" s="105"/>
      <c r="T998" s="105"/>
      <c r="U998" s="108"/>
      <c r="V998" s="105"/>
      <c r="W998" s="105"/>
      <c r="X998" s="105"/>
      <c r="Y998" s="105"/>
      <c r="Z998" s="105"/>
      <c r="AA998" s="108"/>
      <c r="AB998" s="108"/>
      <c r="AC998" s="105"/>
      <c r="AD998" s="279"/>
      <c r="AE998" s="105"/>
      <c r="AF998" s="279"/>
      <c r="AG998" s="105"/>
      <c r="AH998" s="108"/>
      <c r="AI998" s="108"/>
      <c r="AJ998" s="108"/>
      <c r="AK998" s="108"/>
      <c r="AL998" s="105"/>
      <c r="AM998" s="108"/>
      <c r="AN998" s="105"/>
      <c r="AO998" s="108"/>
      <c r="AP998" s="108"/>
      <c r="AQ998" s="105"/>
      <c r="AR998" s="108"/>
      <c r="AS998" s="108"/>
      <c r="AT998" s="105"/>
      <c r="AU998" s="105"/>
      <c r="AV998" s="105"/>
      <c r="AW998" s="105"/>
      <c r="AX998" s="105"/>
      <c r="AY998" s="105"/>
      <c r="AZ998" s="105"/>
      <c r="BA998" s="105"/>
      <c r="BB998" s="105"/>
      <c r="BC998" s="105"/>
      <c r="BD998" s="108"/>
      <c r="BE998" s="83">
        <f>IF($A998="","",IF(TRIM($D998&amp;"")="",IF(TRIM($AX998&amp;$AY998&amp;$AZ998&amp;$BA998&amp;$BB998&amp;$BC998&amp;$BD998&amp;"")="","","SUBARRENDADO"),IFERROR(IF(VLOOKUP($D998,VEHICULOS!$A$3:$H$202,7,FALSE)="","",VLOOKUP($D998,VEHICULOS!$A$3:$H$202,7,FALSE)),"")))</f>
      </c>
      <c r="BF998" s="82">
        <f>IF($A998="","",IF(TRIM($BC998&amp;"")&lt;&gt;"",$BC998,IF(TRIM($D998&amp;"")="","",IFERROR(IF(VLOOKUP($D998,VEHICULOS!$A$3:$H$202,8,FALSE)="","",VLOOKUP($D998,VEHICULOS!$A$3:$H$202,8,FALSE)),""))))</f>
      </c>
      <c r="BG998" s="106"/>
      <c r="BH998" s="107"/>
      <c r="BI998" s="86">
        <f t="shared" si="225"/>
      </c>
      <c r="BJ998" s="83">
        <f t="shared" si="226"/>
      </c>
      <c r="BK998" s="85">
        <f t="shared" si="227"/>
      </c>
      <c r="BL998" s="85">
        <f t="shared" si="228"/>
      </c>
      <c r="BM998" s="108"/>
      <c r="BN998" s="85">
        <f t="shared" si="229"/>
      </c>
      <c r="BO998" s="108"/>
      <c r="BP998" s="85">
        <f t="shared" si="230"/>
      </c>
      <c r="BQ998" s="85">
        <f t="shared" si="231"/>
      </c>
      <c r="BR998" s="108"/>
      <c r="BS998" s="104"/>
      <c r="BT998" s="87">
        <f t="shared" si="232"/>
      </c>
      <c r="BU998" s="85">
        <f t="shared" si="233"/>
      </c>
      <c r="BV998" s="85">
        <f t="shared" si="234"/>
      </c>
      <c r="BW998" s="87">
        <f t="shared" si="235"/>
      </c>
      <c r="BX998" s="104"/>
      <c r="BY998" s="106"/>
      <c r="BZ998" s="104"/>
      <c r="CA998" s="105"/>
      <c r="CB998" s="77">
        <f>IF($A998="",0,IF($B998='FICHA CLIENTE'!$C$4,1,0))</f>
      </c>
      <c r="CC998" s="77">
        <f t="shared" si="236"/>
      </c>
      <c r="CD998" s="77">
        <f>IF($A998="",0,IF($D998='FICHA VEHICULO'!$C$4,1,0))</f>
      </c>
      <c r="CE998" s="77">
        <f t="shared" si="237"/>
      </c>
      <c r="CF998" s="77">
        <f t="shared" si="238"/>
      </c>
      <c r="CG998" s="77">
        <f t="shared" si="239"/>
      </c>
    </row>
    <row r="999" spans="1:85" ht="19.5" customHeight="1" x14ac:dyDescent="0.2">
      <c r="A999" s="104"/>
      <c r="B999" s="104"/>
      <c r="C999" s="105"/>
      <c r="D999" s="104"/>
      <c r="E999" s="105"/>
      <c r="F999" s="106"/>
      <c r="G999" s="104"/>
      <c r="H999" s="106"/>
      <c r="I999" s="107"/>
      <c r="J999" s="108"/>
      <c r="K999" s="108"/>
      <c r="L999" s="108"/>
      <c r="M999" s="105"/>
      <c r="N999" s="105"/>
      <c r="O999" s="105"/>
      <c r="P999" s="108"/>
      <c r="Q999" s="105"/>
      <c r="R999" s="105"/>
      <c r="S999" s="105"/>
      <c r="T999" s="105"/>
      <c r="U999" s="108"/>
      <c r="V999" s="105"/>
      <c r="W999" s="105"/>
      <c r="X999" s="105"/>
      <c r="Y999" s="105"/>
      <c r="Z999" s="105"/>
      <c r="AA999" s="108"/>
      <c r="AB999" s="108"/>
      <c r="AC999" s="105"/>
      <c r="AD999" s="279"/>
      <c r="AE999" s="105"/>
      <c r="AF999" s="279"/>
      <c r="AG999" s="105"/>
      <c r="AH999" s="108"/>
      <c r="AI999" s="108"/>
      <c r="AJ999" s="108"/>
      <c r="AK999" s="108"/>
      <c r="AL999" s="105"/>
      <c r="AM999" s="108"/>
      <c r="AN999" s="105"/>
      <c r="AO999" s="108"/>
      <c r="AP999" s="108"/>
      <c r="AQ999" s="105"/>
      <c r="AR999" s="108"/>
      <c r="AS999" s="108"/>
      <c r="AT999" s="105"/>
      <c r="AU999" s="105"/>
      <c r="AV999" s="105"/>
      <c r="AW999" s="105"/>
      <c r="AX999" s="105"/>
      <c r="AY999" s="105"/>
      <c r="AZ999" s="105"/>
      <c r="BA999" s="105"/>
      <c r="BB999" s="105"/>
      <c r="BC999" s="105"/>
      <c r="BD999" s="108"/>
      <c r="BE999" s="83">
        <f>IF($A999="","",IF(TRIM($D999&amp;"")="",IF(TRIM($AX999&amp;$AY999&amp;$AZ999&amp;$BA999&amp;$BB999&amp;$BC999&amp;$BD999&amp;"")="","","SUBARRENDADO"),IFERROR(IF(VLOOKUP($D999,VEHICULOS!$A$3:$H$202,7,FALSE)="","",VLOOKUP($D999,VEHICULOS!$A$3:$H$202,7,FALSE)),"")))</f>
      </c>
      <c r="BF999" s="82">
        <f>IF($A999="","",IF(TRIM($BC999&amp;"")&lt;&gt;"",$BC999,IF(TRIM($D999&amp;"")="","",IFERROR(IF(VLOOKUP($D999,VEHICULOS!$A$3:$H$202,8,FALSE)="","",VLOOKUP($D999,VEHICULOS!$A$3:$H$202,8,FALSE)),""))))</f>
      </c>
      <c r="BG999" s="106"/>
      <c r="BH999" s="107"/>
      <c r="BI999" s="86">
        <f t="shared" si="225"/>
      </c>
      <c r="BJ999" s="83">
        <f t="shared" si="226"/>
      </c>
      <c r="BK999" s="85">
        <f t="shared" si="227"/>
      </c>
      <c r="BL999" s="85">
        <f t="shared" si="228"/>
      </c>
      <c r="BM999" s="108"/>
      <c r="BN999" s="85">
        <f t="shared" si="229"/>
      </c>
      <c r="BO999" s="108"/>
      <c r="BP999" s="85">
        <f t="shared" si="230"/>
      </c>
      <c r="BQ999" s="85">
        <f t="shared" si="231"/>
      </c>
      <c r="BR999" s="108"/>
      <c r="BS999" s="104"/>
      <c r="BT999" s="87">
        <f t="shared" si="232"/>
      </c>
      <c r="BU999" s="85">
        <f t="shared" si="233"/>
      </c>
      <c r="BV999" s="85">
        <f t="shared" si="234"/>
      </c>
      <c r="BW999" s="87">
        <f t="shared" si="235"/>
      </c>
      <c r="BX999" s="104"/>
      <c r="BY999" s="106"/>
      <c r="BZ999" s="104"/>
      <c r="CA999" s="105"/>
      <c r="CB999" s="77">
        <f>IF($A999="",0,IF($B999='FICHA CLIENTE'!$C$4,1,0))</f>
      </c>
      <c r="CC999" s="77">
        <f t="shared" si="236"/>
      </c>
      <c r="CD999" s="77">
        <f>IF($A999="",0,IF($D999='FICHA VEHICULO'!$C$4,1,0))</f>
      </c>
      <c r="CE999" s="77">
        <f t="shared" si="237"/>
      </c>
      <c r="CF999" s="77">
        <f t="shared" si="238"/>
      </c>
      <c r="CG999" s="77">
        <f t="shared" si="239"/>
      </c>
    </row>
    <row r="1000" spans="1:85" ht="19.5" customHeight="1" x14ac:dyDescent="0.2">
      <c r="A1000" s="104"/>
      <c r="B1000" s="104"/>
      <c r="C1000" s="105"/>
      <c r="D1000" s="104"/>
      <c r="E1000" s="105"/>
      <c r="F1000" s="106"/>
      <c r="G1000" s="104"/>
      <c r="H1000" s="106"/>
      <c r="I1000" s="107"/>
      <c r="J1000" s="108"/>
      <c r="K1000" s="108"/>
      <c r="L1000" s="108"/>
      <c r="M1000" s="105"/>
      <c r="N1000" s="105"/>
      <c r="O1000" s="105"/>
      <c r="P1000" s="108"/>
      <c r="Q1000" s="105"/>
      <c r="R1000" s="105"/>
      <c r="S1000" s="105"/>
      <c r="T1000" s="105"/>
      <c r="U1000" s="108"/>
      <c r="V1000" s="105"/>
      <c r="W1000" s="105"/>
      <c r="X1000" s="105"/>
      <c r="Y1000" s="105"/>
      <c r="Z1000" s="105"/>
      <c r="AA1000" s="108"/>
      <c r="AB1000" s="108"/>
      <c r="AC1000" s="105"/>
      <c r="AD1000" s="279"/>
      <c r="AE1000" s="105"/>
      <c r="AF1000" s="279"/>
      <c r="AG1000" s="105"/>
      <c r="AH1000" s="108"/>
      <c r="AI1000" s="108"/>
      <c r="AJ1000" s="108"/>
      <c r="AK1000" s="108"/>
      <c r="AL1000" s="105"/>
      <c r="AM1000" s="108"/>
      <c r="AN1000" s="105"/>
      <c r="AO1000" s="108"/>
      <c r="AP1000" s="108"/>
      <c r="AQ1000" s="105"/>
      <c r="AR1000" s="108"/>
      <c r="AS1000" s="108"/>
      <c r="AT1000" s="105"/>
      <c r="AU1000" s="105"/>
      <c r="AV1000" s="105"/>
      <c r="AW1000" s="105"/>
      <c r="AX1000" s="105"/>
      <c r="AY1000" s="105"/>
      <c r="AZ1000" s="105"/>
      <c r="BA1000" s="105"/>
      <c r="BB1000" s="105"/>
      <c r="BC1000" s="105"/>
      <c r="BD1000" s="108"/>
      <c r="BE1000" s="83">
        <f>IF($A1000="","",IF(TRIM($D1000&amp;"")="",IF(TRIM($AX1000&amp;$AY1000&amp;$AZ1000&amp;$BA1000&amp;$BB1000&amp;$BC1000&amp;$BD1000&amp;"")="","","SUBARRENDADO"),IFERROR(IF(VLOOKUP($D1000,VEHICULOS!$A$3:$H$202,7,FALSE)="","",VLOOKUP($D1000,VEHICULOS!$A$3:$H$202,7,FALSE)),"")))</f>
      </c>
      <c r="BF1000" s="82">
        <f>IF($A1000="","",IF(TRIM($BC1000&amp;"")&lt;&gt;"",$BC1000,IF(TRIM($D1000&amp;"")="","",IFERROR(IF(VLOOKUP($D1000,VEHICULOS!$A$3:$H$202,8,FALSE)="","",VLOOKUP($D1000,VEHICULOS!$A$3:$H$202,8,FALSE)),""))))</f>
      </c>
      <c r="BG1000" s="106"/>
      <c r="BH1000" s="107"/>
      <c r="BI1000" s="86">
        <f t="shared" si="225"/>
      </c>
      <c r="BJ1000" s="83">
        <f t="shared" si="226"/>
      </c>
      <c r="BK1000" s="85">
        <f t="shared" si="227"/>
      </c>
      <c r="BL1000" s="85">
        <f t="shared" si="228"/>
      </c>
      <c r="BM1000" s="108"/>
      <c r="BN1000" s="85">
        <f t="shared" si="229"/>
      </c>
      <c r="BO1000" s="108"/>
      <c r="BP1000" s="85">
        <f t="shared" si="230"/>
      </c>
      <c r="BQ1000" s="85">
        <f t="shared" si="231"/>
      </c>
      <c r="BR1000" s="108"/>
      <c r="BS1000" s="104"/>
      <c r="BT1000" s="87">
        <f t="shared" si="232"/>
      </c>
      <c r="BU1000" s="85">
        <f t="shared" si="233"/>
      </c>
      <c r="BV1000" s="85">
        <f t="shared" si="234"/>
      </c>
      <c r="BW1000" s="87">
        <f t="shared" si="235"/>
      </c>
      <c r="BX1000" s="104"/>
      <c r="BY1000" s="106"/>
      <c r="BZ1000" s="104"/>
      <c r="CA1000" s="105"/>
      <c r="CB1000" s="77">
        <f>IF($A1000="",0,IF($B1000='FICHA CLIENTE'!$C$4,1,0))</f>
      </c>
      <c r="CC1000" s="77">
        <f t="shared" si="236"/>
      </c>
      <c r="CD1000" s="77">
        <f>IF($A1000="",0,IF($D1000='FICHA VEHICULO'!$C$4,1,0))</f>
      </c>
      <c r="CE1000" s="77">
        <f t="shared" si="237"/>
      </c>
      <c r="CF1000" s="77">
        <f t="shared" si="238"/>
      </c>
      <c r="CG1000" s="77">
        <f t="shared" si="239"/>
      </c>
    </row>
    <row r="1001" spans="1:85" ht="19.5" customHeight="1" x14ac:dyDescent="0.2">
      <c r="A1001" s="104"/>
      <c r="B1001" s="104"/>
      <c r="C1001" s="105"/>
      <c r="D1001" s="104"/>
      <c r="E1001" s="105"/>
      <c r="F1001" s="106"/>
      <c r="G1001" s="104"/>
      <c r="H1001" s="106"/>
      <c r="I1001" s="107"/>
      <c r="J1001" s="108"/>
      <c r="K1001" s="108"/>
      <c r="L1001" s="108"/>
      <c r="M1001" s="105"/>
      <c r="N1001" s="105"/>
      <c r="O1001" s="105"/>
      <c r="P1001" s="108"/>
      <c r="Q1001" s="105"/>
      <c r="R1001" s="105"/>
      <c r="S1001" s="105"/>
      <c r="T1001" s="105"/>
      <c r="U1001" s="108"/>
      <c r="V1001" s="105"/>
      <c r="W1001" s="105"/>
      <c r="X1001" s="105"/>
      <c r="Y1001" s="105"/>
      <c r="Z1001" s="105"/>
      <c r="AA1001" s="108"/>
      <c r="AB1001" s="108"/>
      <c r="AC1001" s="105"/>
      <c r="AD1001" s="279"/>
      <c r="AE1001" s="105"/>
      <c r="AF1001" s="279"/>
      <c r="AG1001" s="105"/>
      <c r="AH1001" s="108"/>
      <c r="AI1001" s="108"/>
      <c r="AJ1001" s="108"/>
      <c r="AK1001" s="108"/>
      <c r="AL1001" s="105"/>
      <c r="AM1001" s="108"/>
      <c r="AN1001" s="105"/>
      <c r="AO1001" s="108"/>
      <c r="AP1001" s="108"/>
      <c r="AQ1001" s="105"/>
      <c r="AR1001" s="108"/>
      <c r="AS1001" s="108"/>
      <c r="AT1001" s="105"/>
      <c r="AU1001" s="105"/>
      <c r="AV1001" s="105"/>
      <c r="AW1001" s="105"/>
      <c r="AX1001" s="105"/>
      <c r="AY1001" s="105"/>
      <c r="AZ1001" s="105"/>
      <c r="BA1001" s="105"/>
      <c r="BB1001" s="105"/>
      <c r="BC1001" s="105"/>
      <c r="BD1001" s="108"/>
      <c r="BE1001" s="83">
        <f>IF($A1001="","",IF(TRIM($D1001&amp;"")="",IF(TRIM($AX1001&amp;$AY1001&amp;$AZ1001&amp;$BA1001&amp;$BB1001&amp;$BC1001&amp;$BD1001&amp;"")="","","SUBARRENDADO"),IFERROR(IF(VLOOKUP($D1001,VEHICULOS!$A$3:$H$202,7,FALSE)="","",VLOOKUP($D1001,VEHICULOS!$A$3:$H$202,7,FALSE)),"")))</f>
      </c>
      <c r="BF1001" s="82">
        <f>IF($A1001="","",IF(TRIM($BC1001&amp;"")&lt;&gt;"",$BC1001,IF(TRIM($D1001&amp;"")="","",IFERROR(IF(VLOOKUP($D1001,VEHICULOS!$A$3:$H$202,8,FALSE)="","",VLOOKUP($D1001,VEHICULOS!$A$3:$H$202,8,FALSE)),""))))</f>
      </c>
      <c r="BG1001" s="106"/>
      <c r="BH1001" s="107"/>
      <c r="BI1001" s="86">
        <f t="shared" si="225"/>
      </c>
      <c r="BJ1001" s="83">
        <f t="shared" si="226"/>
      </c>
      <c r="BK1001" s="85">
        <f t="shared" si="227"/>
      </c>
      <c r="BL1001" s="85">
        <f t="shared" si="228"/>
      </c>
      <c r="BM1001" s="108"/>
      <c r="BN1001" s="85">
        <f t="shared" si="229"/>
      </c>
      <c r="BO1001" s="108"/>
      <c r="BP1001" s="85">
        <f t="shared" si="230"/>
      </c>
      <c r="BQ1001" s="85">
        <f t="shared" si="231"/>
      </c>
      <c r="BR1001" s="108"/>
      <c r="BS1001" s="104"/>
      <c r="BT1001" s="87">
        <f t="shared" si="232"/>
      </c>
      <c r="BU1001" s="85">
        <f t="shared" si="233"/>
      </c>
      <c r="BV1001" s="85">
        <f t="shared" si="234"/>
      </c>
      <c r="BW1001" s="87">
        <f t="shared" si="235"/>
      </c>
      <c r="BX1001" s="104"/>
      <c r="BY1001" s="106"/>
      <c r="BZ1001" s="104"/>
      <c r="CA1001" s="105"/>
      <c r="CB1001" s="77">
        <f>IF($A1001="",0,IF($B1001='FICHA CLIENTE'!$C$4,1,0))</f>
      </c>
      <c r="CC1001" s="77">
        <f t="shared" si="236"/>
      </c>
      <c r="CD1001" s="77">
        <f>IF($A1001="",0,IF($D1001='FICHA VEHICULO'!$C$4,1,0))</f>
      </c>
      <c r="CE1001" s="77">
        <f t="shared" si="237"/>
      </c>
      <c r="CF1001" s="77">
        <f t="shared" si="238"/>
      </c>
      <c r="CG1001" s="77">
        <f t="shared" si="239"/>
      </c>
    </row>
    <row r="1002" spans="1:85" ht="19.5" customHeight="1" x14ac:dyDescent="0.2">
      <c r="A1002" s="104"/>
      <c r="B1002" s="104"/>
      <c r="C1002" s="105"/>
      <c r="D1002" s="104"/>
      <c r="E1002" s="105"/>
      <c r="F1002" s="106"/>
      <c r="G1002" s="104"/>
      <c r="H1002" s="106"/>
      <c r="I1002" s="107"/>
      <c r="J1002" s="108"/>
      <c r="K1002" s="108"/>
      <c r="L1002" s="108"/>
      <c r="M1002" s="105"/>
      <c r="N1002" s="105"/>
      <c r="O1002" s="105"/>
      <c r="P1002" s="108"/>
      <c r="Q1002" s="105"/>
      <c r="R1002" s="105"/>
      <c r="S1002" s="105"/>
      <c r="T1002" s="105"/>
      <c r="U1002" s="108"/>
      <c r="V1002" s="105"/>
      <c r="W1002" s="105"/>
      <c r="X1002" s="105"/>
      <c r="Y1002" s="105"/>
      <c r="Z1002" s="105"/>
      <c r="AA1002" s="108"/>
      <c r="AB1002" s="108"/>
      <c r="AC1002" s="105"/>
      <c r="AD1002" s="279"/>
      <c r="AE1002" s="105"/>
      <c r="AF1002" s="279"/>
      <c r="AG1002" s="105"/>
      <c r="AH1002" s="108"/>
      <c r="AI1002" s="108"/>
      <c r="AJ1002" s="108"/>
      <c r="AK1002" s="108"/>
      <c r="AL1002" s="105"/>
      <c r="AM1002" s="108"/>
      <c r="AN1002" s="105"/>
      <c r="AO1002" s="108"/>
      <c r="AP1002" s="108"/>
      <c r="AQ1002" s="105"/>
      <c r="AR1002" s="108"/>
      <c r="AS1002" s="108"/>
      <c r="AT1002" s="105"/>
      <c r="AU1002" s="105"/>
      <c r="AV1002" s="105"/>
      <c r="AW1002" s="105"/>
      <c r="AX1002" s="105"/>
      <c r="AY1002" s="105"/>
      <c r="AZ1002" s="105"/>
      <c r="BA1002" s="105"/>
      <c r="BB1002" s="105"/>
      <c r="BC1002" s="105"/>
      <c r="BD1002" s="108"/>
      <c r="BE1002" s="83">
        <f>IF($A1002="","",IF(TRIM($D1002&amp;"")="",IF(TRIM($AX1002&amp;$AY1002&amp;$AZ1002&amp;$BA1002&amp;$BB1002&amp;$BC1002&amp;$BD1002&amp;"")="","","SUBARRENDADO"),IFERROR(IF(VLOOKUP($D1002,VEHICULOS!$A$3:$H$202,7,FALSE)="","",VLOOKUP($D1002,VEHICULOS!$A$3:$H$202,7,FALSE)),"")))</f>
      </c>
      <c r="BF1002" s="82">
        <f>IF($A1002="","",IF(TRIM($BC1002&amp;"")&lt;&gt;"",$BC1002,IF(TRIM($D1002&amp;"")="","",IFERROR(IF(VLOOKUP($D1002,VEHICULOS!$A$3:$H$202,8,FALSE)="","",VLOOKUP($D1002,VEHICULOS!$A$3:$H$202,8,FALSE)),""))))</f>
      </c>
      <c r="BG1002" s="106"/>
      <c r="BH1002" s="107"/>
      <c r="BI1002" s="86">
        <f t="shared" si="225"/>
      </c>
      <c r="BJ1002" s="83">
        <f t="shared" si="226"/>
      </c>
      <c r="BK1002" s="85">
        <f t="shared" si="227"/>
      </c>
      <c r="BL1002" s="85">
        <f t="shared" si="228"/>
      </c>
      <c r="BM1002" s="108"/>
      <c r="BN1002" s="85">
        <f t="shared" si="229"/>
      </c>
      <c r="BO1002" s="108"/>
      <c r="BP1002" s="85">
        <f t="shared" si="230"/>
      </c>
      <c r="BQ1002" s="85">
        <f t="shared" si="231"/>
      </c>
      <c r="BR1002" s="108"/>
      <c r="BS1002" s="104"/>
      <c r="BT1002" s="87">
        <f t="shared" si="232"/>
      </c>
      <c r="BU1002" s="85">
        <f t="shared" si="233"/>
      </c>
      <c r="BV1002" s="85">
        <f t="shared" si="234"/>
      </c>
      <c r="BW1002" s="87">
        <f t="shared" si="235"/>
      </c>
      <c r="BX1002" s="104"/>
      <c r="BY1002" s="106"/>
      <c r="BZ1002" s="104"/>
      <c r="CA1002" s="105"/>
      <c r="CB1002" s="77">
        <f>IF($A1002="",0,IF($B1002='FICHA CLIENTE'!$C$4,1,0))</f>
      </c>
      <c r="CC1002" s="77">
        <f t="shared" si="236"/>
      </c>
      <c r="CD1002" s="77">
        <f>IF($A1002="",0,IF($D1002='FICHA VEHICULO'!$C$4,1,0))</f>
      </c>
      <c r="CE1002" s="77">
        <f t="shared" si="237"/>
      </c>
      <c r="CF1002" s="77">
        <f t="shared" si="238"/>
      </c>
      <c r="CG1002" s="77">
        <f t="shared" si="239"/>
      </c>
    </row>
    <row r="1003" spans="1:85" ht="19.5" customHeight="1" x14ac:dyDescent="0.2">
      <c r="A1003" s="104"/>
      <c r="B1003" s="104"/>
      <c r="C1003" s="105"/>
      <c r="D1003" s="104"/>
      <c r="E1003" s="105"/>
      <c r="F1003" s="106"/>
      <c r="G1003" s="104"/>
      <c r="H1003" s="106"/>
      <c r="I1003" s="107"/>
      <c r="J1003" s="108"/>
      <c r="K1003" s="108"/>
      <c r="L1003" s="108"/>
      <c r="M1003" s="105"/>
      <c r="N1003" s="105"/>
      <c r="O1003" s="105"/>
      <c r="P1003" s="108"/>
      <c r="Q1003" s="105"/>
      <c r="R1003" s="105"/>
      <c r="S1003" s="105"/>
      <c r="T1003" s="105"/>
      <c r="U1003" s="108"/>
      <c r="V1003" s="105"/>
      <c r="W1003" s="105"/>
      <c r="X1003" s="105"/>
      <c r="Y1003" s="105"/>
      <c r="Z1003" s="105"/>
      <c r="AA1003" s="108"/>
      <c r="AB1003" s="108"/>
      <c r="AC1003" s="105"/>
      <c r="AD1003" s="279"/>
      <c r="AE1003" s="105"/>
      <c r="AF1003" s="279"/>
      <c r="AG1003" s="105"/>
      <c r="AH1003" s="108"/>
      <c r="AI1003" s="108"/>
      <c r="AJ1003" s="108"/>
      <c r="AK1003" s="108"/>
      <c r="AL1003" s="105"/>
      <c r="AM1003" s="108"/>
      <c r="AN1003" s="105"/>
      <c r="AO1003" s="108"/>
      <c r="AP1003" s="108"/>
      <c r="AQ1003" s="105"/>
      <c r="AR1003" s="108"/>
      <c r="AS1003" s="108"/>
      <c r="AT1003" s="105"/>
      <c r="AU1003" s="105"/>
      <c r="AV1003" s="105"/>
      <c r="AW1003" s="105"/>
      <c r="AX1003" s="105"/>
      <c r="AY1003" s="105"/>
      <c r="AZ1003" s="105"/>
      <c r="BA1003" s="105"/>
      <c r="BB1003" s="105"/>
      <c r="BC1003" s="105"/>
      <c r="BD1003" s="108"/>
      <c r="BE1003" s="83">
        <f>IF($A1003="","",IF(TRIM($D1003&amp;"")="",IF(TRIM($AX1003&amp;$AY1003&amp;$AZ1003&amp;$BA1003&amp;$BB1003&amp;$BC1003&amp;$BD1003&amp;"")="","","SUBARRENDADO"),IFERROR(IF(VLOOKUP($D1003,VEHICULOS!$A$3:$H$202,7,FALSE)="","",VLOOKUP($D1003,VEHICULOS!$A$3:$H$202,7,FALSE)),"")))</f>
      </c>
      <c r="BF1003" s="82">
        <f>IF($A1003="","",IF(TRIM($BC1003&amp;"")&lt;&gt;"",$BC1003,IF(TRIM($D1003&amp;"")="","",IFERROR(IF(VLOOKUP($D1003,VEHICULOS!$A$3:$H$202,8,FALSE)="","",VLOOKUP($D1003,VEHICULOS!$A$3:$H$202,8,FALSE)),""))))</f>
      </c>
      <c r="BG1003" s="106"/>
      <c r="BH1003" s="107"/>
      <c r="BI1003" s="86">
        <f t="shared" si="225"/>
      </c>
      <c r="BJ1003" s="83">
        <f t="shared" si="226"/>
      </c>
      <c r="BK1003" s="85">
        <f t="shared" si="227"/>
      </c>
      <c r="BL1003" s="85">
        <f t="shared" si="228"/>
      </c>
      <c r="BM1003" s="108"/>
      <c r="BN1003" s="85">
        <f t="shared" si="229"/>
      </c>
      <c r="BO1003" s="108"/>
      <c r="BP1003" s="85">
        <f t="shared" si="230"/>
      </c>
      <c r="BQ1003" s="85">
        <f t="shared" si="231"/>
      </c>
      <c r="BR1003" s="108"/>
      <c r="BS1003" s="104"/>
      <c r="BT1003" s="87">
        <f t="shared" si="232"/>
      </c>
      <c r="BU1003" s="85">
        <f t="shared" si="233"/>
      </c>
      <c r="BV1003" s="85">
        <f t="shared" si="234"/>
      </c>
      <c r="BW1003" s="87">
        <f t="shared" si="235"/>
      </c>
      <c r="BX1003" s="104"/>
      <c r="BY1003" s="106"/>
      <c r="BZ1003" s="104"/>
      <c r="CA1003" s="105"/>
      <c r="CB1003" s="77">
        <f>IF($A1003="",0,IF($B1003='FICHA CLIENTE'!$C$4,1,0))</f>
      </c>
      <c r="CC1003" s="77">
        <f t="shared" si="236"/>
      </c>
      <c r="CD1003" s="77">
        <f>IF($A1003="",0,IF($D1003='FICHA VEHICULO'!$C$4,1,0))</f>
      </c>
      <c r="CE1003" s="77">
        <f t="shared" si="237"/>
      </c>
      <c r="CF1003" s="77">
        <f t="shared" si="238"/>
      </c>
      <c r="CG1003" s="77">
        <f t="shared" si="239"/>
      </c>
    </row>
    <row r="1004" spans="1:85" ht="19.5" customHeight="1" x14ac:dyDescent="0.2">
      <c r="A1004" s="104"/>
      <c r="B1004" s="104"/>
      <c r="C1004" s="105"/>
      <c r="D1004" s="104"/>
      <c r="E1004" s="105"/>
      <c r="F1004" s="106"/>
      <c r="G1004" s="104"/>
      <c r="H1004" s="106"/>
      <c r="I1004" s="107"/>
      <c r="J1004" s="108"/>
      <c r="K1004" s="108"/>
      <c r="L1004" s="108"/>
      <c r="M1004" s="105"/>
      <c r="N1004" s="105"/>
      <c r="O1004" s="105"/>
      <c r="P1004" s="108"/>
      <c r="Q1004" s="105"/>
      <c r="R1004" s="105"/>
      <c r="S1004" s="105"/>
      <c r="T1004" s="105"/>
      <c r="U1004" s="108"/>
      <c r="V1004" s="105"/>
      <c r="W1004" s="105"/>
      <c r="X1004" s="105"/>
      <c r="Y1004" s="105"/>
      <c r="Z1004" s="105"/>
      <c r="AA1004" s="108"/>
      <c r="AB1004" s="108"/>
      <c r="AC1004" s="105"/>
      <c r="AD1004" s="279"/>
      <c r="AE1004" s="105"/>
      <c r="AF1004" s="279"/>
      <c r="AG1004" s="105"/>
      <c r="AH1004" s="108"/>
      <c r="AI1004" s="108"/>
      <c r="AJ1004" s="108"/>
      <c r="AK1004" s="108"/>
      <c r="AL1004" s="105"/>
      <c r="AM1004" s="108"/>
      <c r="AN1004" s="105"/>
      <c r="AO1004" s="108"/>
      <c r="AP1004" s="108"/>
      <c r="AQ1004" s="105"/>
      <c r="AR1004" s="108"/>
      <c r="AS1004" s="108"/>
      <c r="AT1004" s="105"/>
      <c r="AU1004" s="105"/>
      <c r="AV1004" s="105"/>
      <c r="AW1004" s="105"/>
      <c r="AX1004" s="105"/>
      <c r="AY1004" s="105"/>
      <c r="AZ1004" s="105"/>
      <c r="BA1004" s="105"/>
      <c r="BB1004" s="105"/>
      <c r="BC1004" s="105"/>
      <c r="BD1004" s="108"/>
      <c r="BE1004" s="83">
        <f>IF($A1004="","",IF(TRIM($D1004&amp;"")="",IF(TRIM($AX1004&amp;$AY1004&amp;$AZ1004&amp;$BA1004&amp;$BB1004&amp;$BC1004&amp;$BD1004&amp;"")="","","SUBARRENDADO"),IFERROR(IF(VLOOKUP($D1004,VEHICULOS!$A$3:$H$202,7,FALSE)="","",VLOOKUP($D1004,VEHICULOS!$A$3:$H$202,7,FALSE)),"")))</f>
      </c>
      <c r="BF1004" s="82">
        <f>IF($A1004="","",IF(TRIM($BC1004&amp;"")&lt;&gt;"",$BC1004,IF(TRIM($D1004&amp;"")="","",IFERROR(IF(VLOOKUP($D1004,VEHICULOS!$A$3:$H$202,8,FALSE)="","",VLOOKUP($D1004,VEHICULOS!$A$3:$H$202,8,FALSE)),""))))</f>
      </c>
      <c r="BG1004" s="106"/>
      <c r="BH1004" s="107"/>
      <c r="BI1004" s="86">
        <f t="shared" si="225"/>
      </c>
      <c r="BJ1004" s="83">
        <f t="shared" si="226"/>
      </c>
      <c r="BK1004" s="85">
        <f t="shared" si="227"/>
      </c>
      <c r="BL1004" s="85">
        <f t="shared" si="228"/>
      </c>
      <c r="BM1004" s="108"/>
      <c r="BN1004" s="85">
        <f t="shared" si="229"/>
      </c>
      <c r="BO1004" s="108"/>
      <c r="BP1004" s="85">
        <f t="shared" si="230"/>
      </c>
      <c r="BQ1004" s="85">
        <f t="shared" si="231"/>
      </c>
      <c r="BR1004" s="108"/>
      <c r="BS1004" s="104"/>
      <c r="BT1004" s="87">
        <f t="shared" si="232"/>
      </c>
      <c r="BU1004" s="85">
        <f t="shared" si="233"/>
      </c>
      <c r="BV1004" s="85">
        <f t="shared" si="234"/>
      </c>
      <c r="BW1004" s="87">
        <f t="shared" si="235"/>
      </c>
      <c r="BX1004" s="104"/>
      <c r="BY1004" s="106"/>
      <c r="BZ1004" s="104"/>
      <c r="CA1004" s="105"/>
      <c r="CB1004" s="77">
        <f>IF($A1004="",0,IF($B1004='FICHA CLIENTE'!$C$4,1,0))</f>
      </c>
      <c r="CC1004" s="77">
        <f t="shared" si="236"/>
      </c>
      <c r="CD1004" s="77">
        <f>IF($A1004="",0,IF($D1004='FICHA VEHICULO'!$C$4,1,0))</f>
      </c>
      <c r="CE1004" s="77">
        <f t="shared" si="237"/>
      </c>
      <c r="CF1004" s="77">
        <f t="shared" si="238"/>
      </c>
      <c r="CG1004" s="77">
        <f t="shared" si="239"/>
      </c>
    </row>
    <row r="1005" spans="1:85" ht="19.5" customHeight="1" x14ac:dyDescent="0.2">
      <c r="A1005" s="104"/>
      <c r="B1005" s="104"/>
      <c r="C1005" s="105"/>
      <c r="D1005" s="104"/>
      <c r="E1005" s="105"/>
      <c r="F1005" s="106"/>
      <c r="G1005" s="104"/>
      <c r="H1005" s="106"/>
      <c r="I1005" s="107"/>
      <c r="J1005" s="108"/>
      <c r="K1005" s="108"/>
      <c r="L1005" s="108"/>
      <c r="M1005" s="105"/>
      <c r="N1005" s="105"/>
      <c r="O1005" s="105"/>
      <c r="P1005" s="108"/>
      <c r="Q1005" s="105"/>
      <c r="R1005" s="105"/>
      <c r="S1005" s="105"/>
      <c r="T1005" s="105"/>
      <c r="U1005" s="108"/>
      <c r="V1005" s="105"/>
      <c r="W1005" s="105"/>
      <c r="X1005" s="105"/>
      <c r="Y1005" s="105"/>
      <c r="Z1005" s="105"/>
      <c r="AA1005" s="108"/>
      <c r="AB1005" s="108"/>
      <c r="AC1005" s="105"/>
      <c r="AD1005" s="279"/>
      <c r="AE1005" s="105"/>
      <c r="AF1005" s="279"/>
      <c r="AG1005" s="105"/>
      <c r="AH1005" s="108"/>
      <c r="AI1005" s="108"/>
      <c r="AJ1005" s="108"/>
      <c r="AK1005" s="108"/>
      <c r="AL1005" s="105"/>
      <c r="AM1005" s="108"/>
      <c r="AN1005" s="105"/>
      <c r="AO1005" s="108"/>
      <c r="AP1005" s="108"/>
      <c r="AQ1005" s="105"/>
      <c r="AR1005" s="108"/>
      <c r="AS1005" s="108"/>
      <c r="AT1005" s="105"/>
      <c r="AU1005" s="105"/>
      <c r="AV1005" s="105"/>
      <c r="AW1005" s="105"/>
      <c r="AX1005" s="105"/>
      <c r="AY1005" s="105"/>
      <c r="AZ1005" s="105"/>
      <c r="BA1005" s="105"/>
      <c r="BB1005" s="105"/>
      <c r="BC1005" s="105"/>
      <c r="BD1005" s="108"/>
      <c r="BE1005" s="83">
        <f>IF($A1005="","",IF(TRIM($D1005&amp;"")="",IF(TRIM($AX1005&amp;$AY1005&amp;$AZ1005&amp;$BA1005&amp;$BB1005&amp;$BC1005&amp;$BD1005&amp;"")="","","SUBARRENDADO"),IFERROR(IF(VLOOKUP($D1005,VEHICULOS!$A$3:$H$202,7,FALSE)="","",VLOOKUP($D1005,VEHICULOS!$A$3:$H$202,7,FALSE)),"")))</f>
      </c>
      <c r="BF1005" s="82">
        <f>IF($A1005="","",IF(TRIM($BC1005&amp;"")&lt;&gt;"",$BC1005,IF(TRIM($D1005&amp;"")="","",IFERROR(IF(VLOOKUP($D1005,VEHICULOS!$A$3:$H$202,8,FALSE)="","",VLOOKUP($D1005,VEHICULOS!$A$3:$H$202,8,FALSE)),""))))</f>
      </c>
      <c r="BG1005" s="106"/>
      <c r="BH1005" s="107"/>
      <c r="BI1005" s="86">
        <f t="shared" si="225"/>
      </c>
      <c r="BJ1005" s="83">
        <f t="shared" si="226"/>
      </c>
      <c r="BK1005" s="85">
        <f t="shared" si="227"/>
      </c>
      <c r="BL1005" s="85">
        <f t="shared" si="228"/>
      </c>
      <c r="BM1005" s="108"/>
      <c r="BN1005" s="85">
        <f t="shared" si="229"/>
      </c>
      <c r="BO1005" s="108"/>
      <c r="BP1005" s="85">
        <f t="shared" si="230"/>
      </c>
      <c r="BQ1005" s="85">
        <f t="shared" si="231"/>
      </c>
      <c r="BR1005" s="108"/>
      <c r="BS1005" s="104"/>
      <c r="BT1005" s="87">
        <f t="shared" si="232"/>
      </c>
      <c r="BU1005" s="85">
        <f t="shared" si="233"/>
      </c>
      <c r="BV1005" s="85">
        <f t="shared" si="234"/>
      </c>
      <c r="BW1005" s="87">
        <f t="shared" si="235"/>
      </c>
      <c r="BX1005" s="104"/>
      <c r="BY1005" s="106"/>
      <c r="BZ1005" s="104"/>
      <c r="CA1005" s="105"/>
      <c r="CB1005" s="77">
        <f>IF($A1005="",0,IF($B1005='FICHA CLIENTE'!$C$4,1,0))</f>
      </c>
      <c r="CC1005" s="77">
        <f t="shared" si="236"/>
      </c>
      <c r="CD1005" s="77">
        <f>IF($A1005="",0,IF($D1005='FICHA VEHICULO'!$C$4,1,0))</f>
      </c>
      <c r="CE1005" s="77">
        <f t="shared" si="237"/>
      </c>
      <c r="CF1005" s="77">
        <f t="shared" si="238"/>
      </c>
      <c r="CG1005" s="77">
        <f t="shared" si="239"/>
      </c>
    </row>
  </sheetData>
  <sheetProtection sheet="1" objects="1" scenarios="1" formatCells="0" formatColumns="0" formatRows="0" sort="0" autoFilter="0" pivotTables="0"/>
  <mergeCells count="3">
    <mergeCell ref="B1:F1"/>
    <mergeCell ref="B2:CA2"/>
    <mergeCell ref="BH3:CA3"/>
  </mergeCells>
  <conditionalFormatting sqref="A6:A1005">
    <cfRule type="expression" dxfId="7" priority="1">
      <formula>AND($A6&lt;&gt;"",COUNTIF($A$6:$A$1005,$A6)&gt;1)</formula>
    </cfRule>
  </conditionalFormatting>
  <conditionalFormatting sqref="BG6:BG1005">
    <cfRule type="expression" dxfId="6" priority="5">
      <formula>AND($BG6&lt;&gt;"",$F6&lt;&gt;"",$BG6&lt;$F6)</formula>
    </cfRule>
  </conditionalFormatting>
  <conditionalFormatting sqref="BJ6:BJ1005">
    <cfRule type="expression" dxfId="5" priority="3">
      <formula>N($BJ6)&gt;0</formula>
    </cfRule>
  </conditionalFormatting>
  <conditionalFormatting sqref="BX6:BX1005">
    <cfRule type="expression" dxfId="4" priority="7">
      <formula>AND($BE6="SUBARRENDADO",$BX6&lt;&gt;"SI")</formula>
    </cfRule>
  </conditionalFormatting>
  <dataValidations count="2">
    <dataValidation type="list" allowBlank="1" showInputMessage="1" showErrorMessage="1" sqref="BZ6:BZ1005" xr:uid="{00000000-0002-0000-0500-000000000000}">
      <formula1>"EFECTIVO,TARJETA,TRANSFERENCIA,DEPOSITO,MIXTO"</formula1>
    </dataValidation>
    <dataValidation type="list" allowBlank="1" showInputMessage="1" showErrorMessage="1" sqref="BX6:BX1005" xr:uid="{00000000-0002-0000-0500-000001000000}">
      <formula1>"SI,NO"</formula1>
    </dataValidation>
  </dataValidations>
  <pageMargins left="0.5" right="0.5" top="0.6" bottom="0.6" header="0" footer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091399-A522-EB4C-A519-90211B1363FA}">
  <sheetPr>
    <tabColor rgb="FF025AB3"/>
  </sheetPr>
  <dimension ref="B2:K76"/>
  <sheetViews>
    <sheetView showGridLines="0" tabSelected="1" workbookViewId="0">
      <pane ySplit="4" topLeftCell="A5" activePane="bottomLeft" state="frozen"/>
      <selection pane="bottomLeft" activeCell="C4" sqref="C4"/>
    </sheetView>
  </sheetViews>
  <sheetFormatPr baseColWidth="10" defaultRowHeight="16" x14ac:dyDescent="0.2"/>
  <cols>
    <col min="1" max="1" width="3.5703125" customWidth="1"/>
    <col min="2" max="3" width="31.140625" customWidth="1"/>
    <col min="4" max="4" width="17.140625" customWidth="1"/>
    <col min="5" max="5" width="24" customWidth="1"/>
    <col min="6" max="8" width="18" customWidth="1"/>
    <col min="9" max="9" width="3.5703125" customWidth="1"/>
    <col min="10" max="11" width="0" hidden="1" customWidth="1"/>
  </cols>
  <sheetData>
    <row r="2" spans="2:11" ht="23" x14ac:dyDescent="0.2">
      <c r="B2" s="96" t="s">
        <v>147</v>
      </c>
      <c r="E2" s="277" t="s">
        <v>205</v>
      </c>
      <c r="J2" s="77">
        <f>IFERROR(MATCH($C$4,CONTRATOS!$A$6:$A$1005,0),"")</f>
      </c>
      <c r="K2" s="77">
        <f ca="1">TODAY()</f>
      </c>
    </row>
    <row r="4" spans="2:11" ht="31.25" customHeight="1" x14ac:dyDescent="0.2">
      <c r="B4" s="109" t="s">
        <v>148</v>
      </c>
      <c r="C4" s="110"/>
      <c r="E4" s="308">
        <f>IF($C$4="","",IF($J$2="","Ese numero de contrato no esta en la bitacora.","Esta en la FILA "&amp;($J$2+5)&amp;" de CONTRATOS"))</f>
      </c>
      <c r="F4" s="307"/>
      <c r="G4" s="307"/>
      <c r="H4" s="307"/>
    </row>
    <row r="6" spans="2:11" ht="23.5" customHeight="1" x14ac:dyDescent="0.2">
      <c r="B6" s="109" t="s">
        <v>129</v>
      </c>
      <c r="C6" s="306">
        <f>IF($J$2="","",IF(INDEX(CONTRATOS!$C$6:$C$1005,$J$2)="","",INDEX(CONTRATOS!$C$6:$C$1005,$J$2)))</f>
      </c>
      <c r="D6" s="307"/>
      <c r="E6" s="307"/>
      <c r="F6" s="307"/>
    </row>
    <row r="7" spans="2:11" ht="23.5" customHeight="1" x14ac:dyDescent="0.2">
      <c r="B7" s="109" t="s">
        <v>130</v>
      </c>
      <c r="C7" s="306">
        <f>IF($J$2="","",IF(INDEX(CONTRATOS!$E$6:$E$1005,$J$2)="","",INDEX(CONTRATOS!$E$6:$E$1005,$J$2)))</f>
      </c>
      <c r="D7" s="307"/>
      <c r="E7" s="307"/>
      <c r="F7" s="307"/>
    </row>
    <row r="8" spans="2:11" ht="22" customHeight="1" x14ac:dyDescent="0.2">
      <c r="B8" s="109" t="s">
        <v>174</v>
      </c>
      <c r="C8" s="89">
        <f>IF($J$2="","",IF(INDEX(CONTRATOS!$BE$6:$BE$1005,$J$2)="","",INDEX(CONTRATOS!$BE$6:$BE$1005,$J$2)))</f>
      </c>
      <c r="E8" s="109" t="s">
        <v>177</v>
      </c>
      <c r="F8" s="78">
        <f>IF($J$2="","",IF(INDEX(CONTRATOS!$BF$6:$BF$1005,$J$2)="","",INDEX(CONTRATOS!$BF$6:$BF$1005,$J$2)))</f>
      </c>
    </row>
    <row r="10" spans="2:11" ht="22" customHeight="1" x14ac:dyDescent="0.2">
      <c r="B10" s="109" t="s">
        <v>30</v>
      </c>
      <c r="C10" s="79">
        <f>IF($J$2="","",IF(INDEX(CONTRATOS!$F$6:$F$1005,$J$2)="","",INDEX(CONTRATOS!$F$6:$F$1005,$J$2)))</f>
      </c>
      <c r="E10" s="109" t="s">
        <v>149</v>
      </c>
      <c r="F10" s="81">
        <f>IF($J$2="","",IF(INDEX(CONTRATOS!$I$6:$I$1005,$J$2)="","",INDEX(CONTRATOS!$I$6:$I$1005,$J$2)))</f>
      </c>
    </row>
    <row r="11" spans="2:11" ht="22" customHeight="1" x14ac:dyDescent="0.2">
      <c r="B11" s="109" t="s">
        <v>150</v>
      </c>
      <c r="C11" s="79">
        <f>IF($J$2="","",IF(INDEX(CONTRATOS!$H$6:$H$1005,$J$2)="","",INDEX(CONTRATOS!$H$6:$H$1005,$J$2)))</f>
      </c>
      <c r="E11" s="109" t="s">
        <v>151</v>
      </c>
      <c r="F11" s="81">
        <f>IF($J$2="","",IF(INDEX(CONTRATOS!$BH$6:$BH$1005,$J$2)="","",INDEX(CONTRATOS!$BH$6:$BH$1005,$J$2)))</f>
      </c>
    </row>
    <row r="12" spans="2:11" ht="22" customHeight="1" x14ac:dyDescent="0.2">
      <c r="B12" s="109" t="s">
        <v>152</v>
      </c>
      <c r="C12" s="79">
        <f>IF($J$2="","",IF(INDEX(CONTRATOS!$BG$6:$BG$1005,$J$2)="","",INDEX(CONTRATOS!$BG$6:$BG$1005,$J$2)))</f>
      </c>
      <c r="E12" s="109" t="s">
        <v>153</v>
      </c>
      <c r="F12" s="81">
        <f>IF($J$2="","",IF(INDEX(CONTRATOS!$BI$6:$BI$1005,$J$2)="","",INDEX(CONTRATOS!$BI$6:$BI$1005,$J$2)))</f>
      </c>
    </row>
    <row r="13" spans="2:11" ht="22" customHeight="1" x14ac:dyDescent="0.2">
      <c r="B13" s="109" t="s">
        <v>154</v>
      </c>
      <c r="C13" s="81">
        <f>IF($J$2="","",IF(INDEX(CONTRATOS!$BJ$6:$BJ$1005,$J$2)="","",INDEX(CONTRATOS!$BJ$6:$BJ$1005,$J$2)))</f>
      </c>
      <c r="E13" s="109" t="s">
        <v>155</v>
      </c>
      <c r="F13" s="81">
        <f>IF($J$2="","",IF(INDEX(CONTRATOS!$G$6:$G$1005,$J$2)="","",INDEX(CONTRATOS!$G$6:$G$1005,$J$2)))</f>
      </c>
    </row>
    <row r="16" spans="2:11" ht="31.25" customHeight="1" x14ac:dyDescent="0.2">
      <c r="B16" s="100" t="s">
        <v>156</v>
      </c>
      <c r="C16" s="100"/>
    </row>
    <row r="17" spans="2:3" ht="20.75" customHeight="1" x14ac:dyDescent="0.2">
      <c r="B17" s="111" t="s">
        <v>134</v>
      </c>
      <c r="C17" s="88">
        <f>IF($J$2="","",IF(INDEX(CONTRATOS!$K$6:$K$1005,$J$2)="","",INDEX(CONTRATOS!$K$6:$K$1005,$J$2)))</f>
      </c>
    </row>
    <row r="18" spans="2:3" ht="20.75" customHeight="1" x14ac:dyDescent="0.2">
      <c r="B18" s="111" t="s">
        <v>199</v>
      </c>
      <c r="C18" s="88">
        <f>IF($J$2="","",IF(INDEX(CONTRATOS!$BK$6:$BK$1005,$J$2)="","",INDEX(CONTRATOS!$BK$6:$BK$1005,$J$2)))</f>
      </c>
    </row>
    <row r="19" spans="2:3" ht="20.75" customHeight="1" x14ac:dyDescent="0.2">
      <c r="B19" s="111" t="s">
        <v>236</v>
      </c>
      <c r="C19" s="88">
        <f>IF($J$2="","",IF(INDEX(CONTRATOS!$BL$6:$BL$1005,$J$2)="","",INDEX(CONTRATOS!$BL$6:$BL$1005,$J$2)))</f>
      </c>
    </row>
    <row r="20" spans="2:3" ht="20.75" customHeight="1" x14ac:dyDescent="0.2">
      <c r="B20" s="111" t="s">
        <v>138</v>
      </c>
      <c r="C20" s="88">
        <f>IF($J$2="","",IF(INDEX(CONTRATOS!$BM$6:$BM$1005,$J$2)="","",INDEX(CONTRATOS!$BM$6:$BM$1005,$J$2)))</f>
      </c>
    </row>
    <row r="21" spans="2:3" ht="20.75" customHeight="1" x14ac:dyDescent="0.2">
      <c r="B21" s="111" t="s">
        <v>157</v>
      </c>
      <c r="C21" s="88">
        <f>IF($J$2="","",IF(INDEX(CONTRATOS!$BN$6:$BN$1005,$J$2)="","",INDEX(CONTRATOS!$BN$6:$BN$1005,$J$2)))</f>
      </c>
    </row>
    <row r="22" spans="2:3" ht="20.75" customHeight="1" x14ac:dyDescent="0.2">
      <c r="B22" s="111" t="s">
        <v>109</v>
      </c>
      <c r="C22" s="88">
        <f>IF($J$2="","",IF(INDEX(CONTRATOS!$BO$6:$BO$1005,$J$2)="","",INDEX(CONTRATOS!$BO$6:$BO$1005,$J$2)))</f>
      </c>
    </row>
    <row r="23" spans="2:3" ht="20.75" customHeight="1" x14ac:dyDescent="0.2">
      <c r="B23" s="111" t="s">
        <v>237</v>
      </c>
      <c r="C23" s="88">
        <f>IF($J$2="","",IF(INDEX(CONTRATOS!$BP$6:$BP$1005,$J$2)="","",INDEX(CONTRATOS!$BP$6:$BP$1005,$J$2)))</f>
      </c>
    </row>
    <row r="24" spans="2:3" ht="20.75" customHeight="1" x14ac:dyDescent="0.2">
      <c r="B24" s="111" t="s">
        <v>196</v>
      </c>
      <c r="C24" s="87">
        <f>IF($J$2="","",IF(INDEX(CONTRATOS!$BQ$6:$BQ$1005,$J$2)="","",INDEX(CONTRATOS!$BQ$6:$BQ$1005,$J$2)))</f>
      </c>
    </row>
    <row r="25" spans="2:3" ht="20.75" customHeight="1" x14ac:dyDescent="0.2">
      <c r="B25" s="111" t="s">
        <v>200</v>
      </c>
      <c r="C25" s="88">
        <f>IF($J$2="","",IF(INDEX(CONTRATOS!$BR$6:$BR$1005,$J$2)="","",INDEX(CONTRATOS!$BR$6:$BR$1005,$J$2)))</f>
      </c>
    </row>
    <row r="26" spans="2:3" ht="20.75" customHeight="1" x14ac:dyDescent="0.2">
      <c r="B26" s="111" t="s">
        <v>201</v>
      </c>
      <c r="C26" s="89">
        <f>IF($J$2="","",IF(INDEX(CONTRATOS!$BS$6:$BS$1005,$J$2)="","",INDEX(CONTRATOS!$BS$6:$BS$1005,$J$2)))</f>
      </c>
    </row>
    <row r="27" spans="2:3" ht="28.5" customHeight="1" x14ac:dyDescent="0.2">
      <c r="B27" s="112" t="s">
        <v>158</v>
      </c>
      <c r="C27" s="87">
        <f>IF($J$2="","",IF(INDEX(CONTRATOS!$BT$6:$BT$1005,$J$2)="","",INDEX(CONTRATOS!$BT$6:$BT$1005,$J$2)))</f>
      </c>
    </row>
    <row r="28" spans="2:3" ht="20.75" customHeight="1" x14ac:dyDescent="0.2">
      <c r="B28" s="111" t="s">
        <v>203</v>
      </c>
      <c r="C28" s="88">
        <f>IF($J$2="","",IF(INDEX(CONTRATOS!$BU$6:$BU$1005,$J$2)="","",INDEX(CONTRATOS!$BU$6:$BU$1005,$J$2)))</f>
      </c>
    </row>
    <row r="29" spans="2:3" ht="20.75" customHeight="1" x14ac:dyDescent="0.2">
      <c r="B29" s="111" t="s">
        <v>204</v>
      </c>
      <c r="C29" s="88">
        <f>IF($J$2="","",IF(INDEX(CONTRATOS!$BV$6:$BV$1005,$J$2)="","",INDEX(CONTRATOS!$BV$6:$BV$1005,$J$2)))</f>
      </c>
    </row>
    <row r="30" spans="2:3" ht="28.5" customHeight="1" x14ac:dyDescent="0.2">
      <c r="B30" s="112" t="s">
        <v>176</v>
      </c>
      <c r="C30" s="87">
        <f>IF($J$2="","",IF(INDEX(CONTRATOS!$BW$6:$BW$1005,$J$2)="","",INDEX(CONTRATOS!$BW$6:$BW$1005,$J$2)))</f>
      </c>
    </row>
    <row r="31" spans="2:3" ht="17" x14ac:dyDescent="0.2">
      <c r="B31" s="112" t="s">
        <v>276</v>
      </c>
      <c r="C31" s="78">
        <f>IF($J$2="","",IF(INDEX(CONTRATOS!$BE$6:$BE$1005,$J$2)&lt;&gt;"SUBARRENDADO","No aplica (carro propio)",IF(INDEX(CONTRATOS!$BX$6:$BX$1005,$J$2)="SI","PAGADO"&amp;IF(INDEX(CONTRATOS!$BY$6:$BY$1005,$J$2)="",""," el "&amp;TEXT(INDEX(CONTRATOS!$BY$6:$BY$1005,$J$2),"dd/mm/yyyy")),"PENDIENTE: Q "&amp;TEXT(INDEX(CONTRATOS!$BV$6:$BV$1005,$J$2),"#,##0.00"))))</f>
      </c>
    </row>
    <row r="32" spans="2:3" ht="22" customHeight="1" x14ac:dyDescent="0.2">
      <c r="B32" s="109" t="s">
        <v>159</v>
      </c>
      <c r="C32" s="78">
        <f>IF($J$2="","",IF(INDEX(CONTRATOS!$BZ$6:$BZ$1005,$J$2)="","",INDEX(CONTRATOS!$BZ$6:$BZ$1005,$J$2)))</f>
      </c>
    </row>
    <row r="33" spans="2:10" ht="22" customHeight="1" x14ac:dyDescent="0.2">
      <c r="B33" s="109" t="s">
        <v>142</v>
      </c>
      <c r="C33" s="309">
        <f>IF($J$2="","",IF(INDEX(CONTRATOS!$CA$6:$CA$1005,$J$2)="","",INDEX(CONTRATOS!$CA$6:$CA$1005,$J$2)))</f>
      </c>
      <c r="D33" s="307"/>
      <c r="E33" s="307"/>
      <c r="F33" s="307"/>
    </row>
    <row r="35" spans="2:10" ht="60" x14ac:dyDescent="0.2">
      <c r="B35" s="96" t="s">
        <v>160</v>
      </c>
      <c r="E35" s="75">
        <f>"Carros afuera ahorita: "&amp;MAX(CONTRATOS!$CG$6:$CG$1005)&amp;"   (un contrato queda abierto mientras no tenga FECHA REAL INGRESO)"</f>
      </c>
    </row>
    <row r="36" spans="2:10" ht="33.75" customHeight="1" x14ac:dyDescent="0.2">
      <c r="B36" s="98" t="s">
        <v>161</v>
      </c>
      <c r="C36" s="98" t="s">
        <v>129</v>
      </c>
      <c r="D36" s="98" t="s">
        <v>130</v>
      </c>
      <c r="E36" s="98" t="s">
        <v>162</v>
      </c>
      <c r="F36" s="98" t="s">
        <v>150</v>
      </c>
      <c r="G36" s="98" t="s">
        <v>154</v>
      </c>
    </row>
    <row r="37" spans="2:10" ht="19.5" customHeight="1" x14ac:dyDescent="0.2">
      <c r="B37" s="83">
        <f>IF($J37="","",IF(INDEX(CONTRATOS!$A$6:$A$1005,$J37)="","",INDEX(CONTRATOS!$A$6:$A$1005,$J37)))</f>
      </c>
      <c r="C37" s="82">
        <f>IF($J37="","",IF(INDEX(CONTRATOS!$C$6:$C$1005,$J37)="","",INDEX(CONTRATOS!$C$6:$C$1005,$J37)))</f>
      </c>
      <c r="D37" s="82">
        <f>IF($J37="","",IF(INDEX(CONTRATOS!$E$6:$E$1005,$J37)="","",INDEX(CONTRATOS!$E$6:$E$1005,$J37)))</f>
      </c>
      <c r="E37" s="84">
        <f>IF($J37="","",IF(INDEX(CONTRATOS!$F$6:$F$1005,$J37)="","",INDEX(CONTRATOS!$F$6:$F$1005,$J37)))</f>
      </c>
      <c r="F37" s="84">
        <f>IF($J37="","",IF(INDEX(CONTRATOS!$H$6:$H$1005,$J37)="","",INDEX(CONTRATOS!$H$6:$H$1005,$J37)))</f>
      </c>
      <c r="G37" s="86">
        <f t="shared" ref="G37:G76" si="0">IF($F37="","",MAX(0,$K$2-$F37))</f>
      </c>
      <c r="J37" s="77">
        <f>IFERROR(MATCH(1,CONTRATOS!$CG$6:$CG$1005,0),"")</f>
      </c>
    </row>
    <row r="38" spans="2:10" ht="19.5" customHeight="1" x14ac:dyDescent="0.2">
      <c r="B38" s="83">
        <f>IF($J38="","",IF(INDEX(CONTRATOS!$A$6:$A$1005,$J38)="","",INDEX(CONTRATOS!$A$6:$A$1005,$J38)))</f>
      </c>
      <c r="C38" s="82">
        <f>IF($J38="","",IF(INDEX(CONTRATOS!$C$6:$C$1005,$J38)="","",INDEX(CONTRATOS!$C$6:$C$1005,$J38)))</f>
      </c>
      <c r="D38" s="82">
        <f>IF($J38="","",IF(INDEX(CONTRATOS!$E$6:$E$1005,$J38)="","",INDEX(CONTRATOS!$E$6:$E$1005,$J38)))</f>
      </c>
      <c r="E38" s="84">
        <f>IF($J38="","",IF(INDEX(CONTRATOS!$F$6:$F$1005,$J38)="","",INDEX(CONTRATOS!$F$6:$F$1005,$J38)))</f>
      </c>
      <c r="F38" s="84">
        <f>IF($J38="","",IF(INDEX(CONTRATOS!$H$6:$H$1005,$J38)="","",INDEX(CONTRATOS!$H$6:$H$1005,$J38)))</f>
      </c>
      <c r="G38" s="86">
        <f t="shared" si="0"/>
      </c>
      <c r="J38" s="77">
        <f>IFERROR(MATCH(2,CONTRATOS!$CG$6:$CG$1005,0),"")</f>
      </c>
    </row>
    <row r="39" spans="2:10" ht="19.5" customHeight="1" x14ac:dyDescent="0.2">
      <c r="B39" s="83">
        <f>IF($J39="","",IF(INDEX(CONTRATOS!$A$6:$A$1005,$J39)="","",INDEX(CONTRATOS!$A$6:$A$1005,$J39)))</f>
      </c>
      <c r="C39" s="82">
        <f>IF($J39="","",IF(INDEX(CONTRATOS!$C$6:$C$1005,$J39)="","",INDEX(CONTRATOS!$C$6:$C$1005,$J39)))</f>
      </c>
      <c r="D39" s="82">
        <f>IF($J39="","",IF(INDEX(CONTRATOS!$E$6:$E$1005,$J39)="","",INDEX(CONTRATOS!$E$6:$E$1005,$J39)))</f>
      </c>
      <c r="E39" s="84">
        <f>IF($J39="","",IF(INDEX(CONTRATOS!$F$6:$F$1005,$J39)="","",INDEX(CONTRATOS!$F$6:$F$1005,$J39)))</f>
      </c>
      <c r="F39" s="84">
        <f>IF($J39="","",IF(INDEX(CONTRATOS!$H$6:$H$1005,$J39)="","",INDEX(CONTRATOS!$H$6:$H$1005,$J39)))</f>
      </c>
      <c r="G39" s="86">
        <f t="shared" si="0"/>
      </c>
      <c r="J39" s="77">
        <f>IFERROR(MATCH(3,CONTRATOS!$CG$6:$CG$1005,0),"")</f>
      </c>
    </row>
    <row r="40" spans="2:10" ht="19.5" customHeight="1" x14ac:dyDescent="0.2">
      <c r="B40" s="83">
        <f>IF($J40="","",IF(INDEX(CONTRATOS!$A$6:$A$1005,$J40)="","",INDEX(CONTRATOS!$A$6:$A$1005,$J40)))</f>
      </c>
      <c r="C40" s="82">
        <f>IF($J40="","",IF(INDEX(CONTRATOS!$C$6:$C$1005,$J40)="","",INDEX(CONTRATOS!$C$6:$C$1005,$J40)))</f>
      </c>
      <c r="D40" s="82">
        <f>IF($J40="","",IF(INDEX(CONTRATOS!$E$6:$E$1005,$J40)="","",INDEX(CONTRATOS!$E$6:$E$1005,$J40)))</f>
      </c>
      <c r="E40" s="84">
        <f>IF($J40="","",IF(INDEX(CONTRATOS!$F$6:$F$1005,$J40)="","",INDEX(CONTRATOS!$F$6:$F$1005,$J40)))</f>
      </c>
      <c r="F40" s="84">
        <f>IF($J40="","",IF(INDEX(CONTRATOS!$H$6:$H$1005,$J40)="","",INDEX(CONTRATOS!$H$6:$H$1005,$J40)))</f>
      </c>
      <c r="G40" s="86">
        <f t="shared" si="0"/>
      </c>
      <c r="J40" s="77">
        <f>IFERROR(MATCH(4,CONTRATOS!$CG$6:$CG$1005,0),"")</f>
      </c>
    </row>
    <row r="41" spans="2:10" ht="19.5" customHeight="1" x14ac:dyDescent="0.2">
      <c r="B41" s="83">
        <f>IF($J41="","",IF(INDEX(CONTRATOS!$A$6:$A$1005,$J41)="","",INDEX(CONTRATOS!$A$6:$A$1005,$J41)))</f>
      </c>
      <c r="C41" s="82">
        <f>IF($J41="","",IF(INDEX(CONTRATOS!$C$6:$C$1005,$J41)="","",INDEX(CONTRATOS!$C$6:$C$1005,$J41)))</f>
      </c>
      <c r="D41" s="82">
        <f>IF($J41="","",IF(INDEX(CONTRATOS!$E$6:$E$1005,$J41)="","",INDEX(CONTRATOS!$E$6:$E$1005,$J41)))</f>
      </c>
      <c r="E41" s="84">
        <f>IF($J41="","",IF(INDEX(CONTRATOS!$F$6:$F$1005,$J41)="","",INDEX(CONTRATOS!$F$6:$F$1005,$J41)))</f>
      </c>
      <c r="F41" s="84">
        <f>IF($J41="","",IF(INDEX(CONTRATOS!$H$6:$H$1005,$J41)="","",INDEX(CONTRATOS!$H$6:$H$1005,$J41)))</f>
      </c>
      <c r="G41" s="86">
        <f t="shared" si="0"/>
      </c>
      <c r="J41" s="77">
        <f>IFERROR(MATCH(5,CONTRATOS!$CG$6:$CG$1005,0),"")</f>
      </c>
    </row>
    <row r="42" spans="2:10" ht="19.5" customHeight="1" x14ac:dyDescent="0.2">
      <c r="B42" s="83">
        <f>IF($J42="","",IF(INDEX(CONTRATOS!$A$6:$A$1005,$J42)="","",INDEX(CONTRATOS!$A$6:$A$1005,$J42)))</f>
      </c>
      <c r="C42" s="82">
        <f>IF($J42="","",IF(INDEX(CONTRATOS!$C$6:$C$1005,$J42)="","",INDEX(CONTRATOS!$C$6:$C$1005,$J42)))</f>
      </c>
      <c r="D42" s="82">
        <f>IF($J42="","",IF(INDEX(CONTRATOS!$E$6:$E$1005,$J42)="","",INDEX(CONTRATOS!$E$6:$E$1005,$J42)))</f>
      </c>
      <c r="E42" s="84">
        <f>IF($J42="","",IF(INDEX(CONTRATOS!$F$6:$F$1005,$J42)="","",INDEX(CONTRATOS!$F$6:$F$1005,$J42)))</f>
      </c>
      <c r="F42" s="84">
        <f>IF($J42="","",IF(INDEX(CONTRATOS!$H$6:$H$1005,$J42)="","",INDEX(CONTRATOS!$H$6:$H$1005,$J42)))</f>
      </c>
      <c r="G42" s="86">
        <f t="shared" si="0"/>
      </c>
      <c r="J42" s="77">
        <f>IFERROR(MATCH(6,CONTRATOS!$CG$6:$CG$1005,0),"")</f>
      </c>
    </row>
    <row r="43" spans="2:10" ht="19.5" customHeight="1" x14ac:dyDescent="0.2">
      <c r="B43" s="83">
        <f>IF($J43="","",IF(INDEX(CONTRATOS!$A$6:$A$1005,$J43)="","",INDEX(CONTRATOS!$A$6:$A$1005,$J43)))</f>
      </c>
      <c r="C43" s="82">
        <f>IF($J43="","",IF(INDEX(CONTRATOS!$C$6:$C$1005,$J43)="","",INDEX(CONTRATOS!$C$6:$C$1005,$J43)))</f>
      </c>
      <c r="D43" s="82">
        <f>IF($J43="","",IF(INDEX(CONTRATOS!$E$6:$E$1005,$J43)="","",INDEX(CONTRATOS!$E$6:$E$1005,$J43)))</f>
      </c>
      <c r="E43" s="84">
        <f>IF($J43="","",IF(INDEX(CONTRATOS!$F$6:$F$1005,$J43)="","",INDEX(CONTRATOS!$F$6:$F$1005,$J43)))</f>
      </c>
      <c r="F43" s="84">
        <f>IF($J43="","",IF(INDEX(CONTRATOS!$H$6:$H$1005,$J43)="","",INDEX(CONTRATOS!$H$6:$H$1005,$J43)))</f>
      </c>
      <c r="G43" s="86">
        <f t="shared" si="0"/>
      </c>
      <c r="J43" s="77">
        <f>IFERROR(MATCH(7,CONTRATOS!$CG$6:$CG$1005,0),"")</f>
      </c>
    </row>
    <row r="44" spans="2:10" ht="19.5" customHeight="1" x14ac:dyDescent="0.2">
      <c r="B44" s="83">
        <f>IF($J44="","",IF(INDEX(CONTRATOS!$A$6:$A$1005,$J44)="","",INDEX(CONTRATOS!$A$6:$A$1005,$J44)))</f>
      </c>
      <c r="C44" s="82">
        <f>IF($J44="","",IF(INDEX(CONTRATOS!$C$6:$C$1005,$J44)="","",INDEX(CONTRATOS!$C$6:$C$1005,$J44)))</f>
      </c>
      <c r="D44" s="82">
        <f>IF($J44="","",IF(INDEX(CONTRATOS!$E$6:$E$1005,$J44)="","",INDEX(CONTRATOS!$E$6:$E$1005,$J44)))</f>
      </c>
      <c r="E44" s="84">
        <f>IF($J44="","",IF(INDEX(CONTRATOS!$F$6:$F$1005,$J44)="","",INDEX(CONTRATOS!$F$6:$F$1005,$J44)))</f>
      </c>
      <c r="F44" s="84">
        <f>IF($J44="","",IF(INDEX(CONTRATOS!$H$6:$H$1005,$J44)="","",INDEX(CONTRATOS!$H$6:$H$1005,$J44)))</f>
      </c>
      <c r="G44" s="86">
        <f t="shared" si="0"/>
      </c>
      <c r="J44" s="77">
        <f>IFERROR(MATCH(8,CONTRATOS!$CG$6:$CG$1005,0),"")</f>
      </c>
    </row>
    <row r="45" spans="2:10" ht="19.5" customHeight="1" x14ac:dyDescent="0.2">
      <c r="B45" s="83">
        <f>IF($J45="","",IF(INDEX(CONTRATOS!$A$6:$A$1005,$J45)="","",INDEX(CONTRATOS!$A$6:$A$1005,$J45)))</f>
      </c>
      <c r="C45" s="82">
        <f>IF($J45="","",IF(INDEX(CONTRATOS!$C$6:$C$1005,$J45)="","",INDEX(CONTRATOS!$C$6:$C$1005,$J45)))</f>
      </c>
      <c r="D45" s="82">
        <f>IF($J45="","",IF(INDEX(CONTRATOS!$E$6:$E$1005,$J45)="","",INDEX(CONTRATOS!$E$6:$E$1005,$J45)))</f>
      </c>
      <c r="E45" s="84">
        <f>IF($J45="","",IF(INDEX(CONTRATOS!$F$6:$F$1005,$J45)="","",INDEX(CONTRATOS!$F$6:$F$1005,$J45)))</f>
      </c>
      <c r="F45" s="84">
        <f>IF($J45="","",IF(INDEX(CONTRATOS!$H$6:$H$1005,$J45)="","",INDEX(CONTRATOS!$H$6:$H$1005,$J45)))</f>
      </c>
      <c r="G45" s="86">
        <f t="shared" si="0"/>
      </c>
      <c r="J45" s="77">
        <f>IFERROR(MATCH(9,CONTRATOS!$CG$6:$CG$1005,0),"")</f>
      </c>
    </row>
    <row r="46" spans="2:10" ht="19.5" customHeight="1" x14ac:dyDescent="0.2">
      <c r="B46" s="83">
        <f>IF($J46="","",IF(INDEX(CONTRATOS!$A$6:$A$1005,$J46)="","",INDEX(CONTRATOS!$A$6:$A$1005,$J46)))</f>
      </c>
      <c r="C46" s="82">
        <f>IF($J46="","",IF(INDEX(CONTRATOS!$C$6:$C$1005,$J46)="","",INDEX(CONTRATOS!$C$6:$C$1005,$J46)))</f>
      </c>
      <c r="D46" s="82">
        <f>IF($J46="","",IF(INDEX(CONTRATOS!$E$6:$E$1005,$J46)="","",INDEX(CONTRATOS!$E$6:$E$1005,$J46)))</f>
      </c>
      <c r="E46" s="84">
        <f>IF($J46="","",IF(INDEX(CONTRATOS!$F$6:$F$1005,$J46)="","",INDEX(CONTRATOS!$F$6:$F$1005,$J46)))</f>
      </c>
      <c r="F46" s="84">
        <f>IF($J46="","",IF(INDEX(CONTRATOS!$H$6:$H$1005,$J46)="","",INDEX(CONTRATOS!$H$6:$H$1005,$J46)))</f>
      </c>
      <c r="G46" s="86">
        <f t="shared" si="0"/>
      </c>
      <c r="J46" s="77">
        <f>IFERROR(MATCH(10,CONTRATOS!$CG$6:$CG$1005,0),"")</f>
      </c>
    </row>
    <row r="47" spans="2:10" ht="19.5" customHeight="1" x14ac:dyDescent="0.2">
      <c r="B47" s="83">
        <f>IF($J47="","",IF(INDEX(CONTRATOS!$A$6:$A$1005,$J47)="","",INDEX(CONTRATOS!$A$6:$A$1005,$J47)))</f>
      </c>
      <c r="C47" s="82">
        <f>IF($J47="","",IF(INDEX(CONTRATOS!$C$6:$C$1005,$J47)="","",INDEX(CONTRATOS!$C$6:$C$1005,$J47)))</f>
      </c>
      <c r="D47" s="82">
        <f>IF($J47="","",IF(INDEX(CONTRATOS!$E$6:$E$1005,$J47)="","",INDEX(CONTRATOS!$E$6:$E$1005,$J47)))</f>
      </c>
      <c r="E47" s="84">
        <f>IF($J47="","",IF(INDEX(CONTRATOS!$F$6:$F$1005,$J47)="","",INDEX(CONTRATOS!$F$6:$F$1005,$J47)))</f>
      </c>
      <c r="F47" s="84">
        <f>IF($J47="","",IF(INDEX(CONTRATOS!$H$6:$H$1005,$J47)="","",INDEX(CONTRATOS!$H$6:$H$1005,$J47)))</f>
      </c>
      <c r="G47" s="86">
        <f t="shared" si="0"/>
      </c>
      <c r="J47" s="77">
        <f>IFERROR(MATCH(11,CONTRATOS!$CG$6:$CG$1005,0),"")</f>
      </c>
    </row>
    <row r="48" spans="2:10" ht="19.5" customHeight="1" x14ac:dyDescent="0.2">
      <c r="B48" s="83">
        <f>IF($J48="","",IF(INDEX(CONTRATOS!$A$6:$A$1005,$J48)="","",INDEX(CONTRATOS!$A$6:$A$1005,$J48)))</f>
      </c>
      <c r="C48" s="82">
        <f>IF($J48="","",IF(INDEX(CONTRATOS!$C$6:$C$1005,$J48)="","",INDEX(CONTRATOS!$C$6:$C$1005,$J48)))</f>
      </c>
      <c r="D48" s="82">
        <f>IF($J48="","",IF(INDEX(CONTRATOS!$E$6:$E$1005,$J48)="","",INDEX(CONTRATOS!$E$6:$E$1005,$J48)))</f>
      </c>
      <c r="E48" s="84">
        <f>IF($J48="","",IF(INDEX(CONTRATOS!$F$6:$F$1005,$J48)="","",INDEX(CONTRATOS!$F$6:$F$1005,$J48)))</f>
      </c>
      <c r="F48" s="84">
        <f>IF($J48="","",IF(INDEX(CONTRATOS!$H$6:$H$1005,$J48)="","",INDEX(CONTRATOS!$H$6:$H$1005,$J48)))</f>
      </c>
      <c r="G48" s="86">
        <f t="shared" si="0"/>
      </c>
      <c r="J48" s="77">
        <f>IFERROR(MATCH(12,CONTRATOS!$CG$6:$CG$1005,0),"")</f>
      </c>
    </row>
    <row r="49" spans="2:10" ht="19.5" customHeight="1" x14ac:dyDescent="0.2">
      <c r="B49" s="83">
        <f>IF($J49="","",IF(INDEX(CONTRATOS!$A$6:$A$1005,$J49)="","",INDEX(CONTRATOS!$A$6:$A$1005,$J49)))</f>
      </c>
      <c r="C49" s="82">
        <f>IF($J49="","",IF(INDEX(CONTRATOS!$C$6:$C$1005,$J49)="","",INDEX(CONTRATOS!$C$6:$C$1005,$J49)))</f>
      </c>
      <c r="D49" s="82">
        <f>IF($J49="","",IF(INDEX(CONTRATOS!$E$6:$E$1005,$J49)="","",INDEX(CONTRATOS!$E$6:$E$1005,$J49)))</f>
      </c>
      <c r="E49" s="84">
        <f>IF($J49="","",IF(INDEX(CONTRATOS!$F$6:$F$1005,$J49)="","",INDEX(CONTRATOS!$F$6:$F$1005,$J49)))</f>
      </c>
      <c r="F49" s="84">
        <f>IF($J49="","",IF(INDEX(CONTRATOS!$H$6:$H$1005,$J49)="","",INDEX(CONTRATOS!$H$6:$H$1005,$J49)))</f>
      </c>
      <c r="G49" s="86">
        <f t="shared" si="0"/>
      </c>
      <c r="J49" s="77">
        <f>IFERROR(MATCH(13,CONTRATOS!$CG$6:$CG$1005,0),"")</f>
      </c>
    </row>
    <row r="50" spans="2:10" ht="19.5" customHeight="1" x14ac:dyDescent="0.2">
      <c r="B50" s="83">
        <f>IF($J50="","",IF(INDEX(CONTRATOS!$A$6:$A$1005,$J50)="","",INDEX(CONTRATOS!$A$6:$A$1005,$J50)))</f>
      </c>
      <c r="C50" s="82">
        <f>IF($J50="","",IF(INDEX(CONTRATOS!$C$6:$C$1005,$J50)="","",INDEX(CONTRATOS!$C$6:$C$1005,$J50)))</f>
      </c>
      <c r="D50" s="82">
        <f>IF($J50="","",IF(INDEX(CONTRATOS!$E$6:$E$1005,$J50)="","",INDEX(CONTRATOS!$E$6:$E$1005,$J50)))</f>
      </c>
      <c r="E50" s="84">
        <f>IF($J50="","",IF(INDEX(CONTRATOS!$F$6:$F$1005,$J50)="","",INDEX(CONTRATOS!$F$6:$F$1005,$J50)))</f>
      </c>
      <c r="F50" s="84">
        <f>IF($J50="","",IF(INDEX(CONTRATOS!$H$6:$H$1005,$J50)="","",INDEX(CONTRATOS!$H$6:$H$1005,$J50)))</f>
      </c>
      <c r="G50" s="86">
        <f t="shared" si="0"/>
      </c>
      <c r="J50" s="77">
        <f>IFERROR(MATCH(14,CONTRATOS!$CG$6:$CG$1005,0),"")</f>
      </c>
    </row>
    <row r="51" spans="2:10" ht="19.5" customHeight="1" x14ac:dyDescent="0.2">
      <c r="B51" s="83">
        <f>IF($J51="","",IF(INDEX(CONTRATOS!$A$6:$A$1005,$J51)="","",INDEX(CONTRATOS!$A$6:$A$1005,$J51)))</f>
      </c>
      <c r="C51" s="82">
        <f>IF($J51="","",IF(INDEX(CONTRATOS!$C$6:$C$1005,$J51)="","",INDEX(CONTRATOS!$C$6:$C$1005,$J51)))</f>
      </c>
      <c r="D51" s="82">
        <f>IF($J51="","",IF(INDEX(CONTRATOS!$E$6:$E$1005,$J51)="","",INDEX(CONTRATOS!$E$6:$E$1005,$J51)))</f>
      </c>
      <c r="E51" s="84">
        <f>IF($J51="","",IF(INDEX(CONTRATOS!$F$6:$F$1005,$J51)="","",INDEX(CONTRATOS!$F$6:$F$1005,$J51)))</f>
      </c>
      <c r="F51" s="84">
        <f>IF($J51="","",IF(INDEX(CONTRATOS!$H$6:$H$1005,$J51)="","",INDEX(CONTRATOS!$H$6:$H$1005,$J51)))</f>
      </c>
      <c r="G51" s="86">
        <f t="shared" si="0"/>
      </c>
      <c r="J51" s="77">
        <f>IFERROR(MATCH(15,CONTRATOS!$CG$6:$CG$1005,0),"")</f>
      </c>
    </row>
    <row r="52" spans="2:10" ht="19.5" customHeight="1" x14ac:dyDescent="0.2">
      <c r="B52" s="83">
        <f>IF($J52="","",IF(INDEX(CONTRATOS!$A$6:$A$1005,$J52)="","",INDEX(CONTRATOS!$A$6:$A$1005,$J52)))</f>
      </c>
      <c r="C52" s="82">
        <f>IF($J52="","",IF(INDEX(CONTRATOS!$C$6:$C$1005,$J52)="","",INDEX(CONTRATOS!$C$6:$C$1005,$J52)))</f>
      </c>
      <c r="D52" s="82">
        <f>IF($J52="","",IF(INDEX(CONTRATOS!$E$6:$E$1005,$J52)="","",INDEX(CONTRATOS!$E$6:$E$1005,$J52)))</f>
      </c>
      <c r="E52" s="84">
        <f>IF($J52="","",IF(INDEX(CONTRATOS!$F$6:$F$1005,$J52)="","",INDEX(CONTRATOS!$F$6:$F$1005,$J52)))</f>
      </c>
      <c r="F52" s="84">
        <f>IF($J52="","",IF(INDEX(CONTRATOS!$H$6:$H$1005,$J52)="","",INDEX(CONTRATOS!$H$6:$H$1005,$J52)))</f>
      </c>
      <c r="G52" s="86">
        <f t="shared" si="0"/>
      </c>
      <c r="J52" s="77">
        <f>IFERROR(MATCH(16,CONTRATOS!$CG$6:$CG$1005,0),"")</f>
      </c>
    </row>
    <row r="53" spans="2:10" ht="19.5" customHeight="1" x14ac:dyDescent="0.2">
      <c r="B53" s="83">
        <f>IF($J53="","",IF(INDEX(CONTRATOS!$A$6:$A$1005,$J53)="","",INDEX(CONTRATOS!$A$6:$A$1005,$J53)))</f>
      </c>
      <c r="C53" s="82">
        <f>IF($J53="","",IF(INDEX(CONTRATOS!$C$6:$C$1005,$J53)="","",INDEX(CONTRATOS!$C$6:$C$1005,$J53)))</f>
      </c>
      <c r="D53" s="82">
        <f>IF($J53="","",IF(INDEX(CONTRATOS!$E$6:$E$1005,$J53)="","",INDEX(CONTRATOS!$E$6:$E$1005,$J53)))</f>
      </c>
      <c r="E53" s="84">
        <f>IF($J53="","",IF(INDEX(CONTRATOS!$F$6:$F$1005,$J53)="","",INDEX(CONTRATOS!$F$6:$F$1005,$J53)))</f>
      </c>
      <c r="F53" s="84">
        <f>IF($J53="","",IF(INDEX(CONTRATOS!$H$6:$H$1005,$J53)="","",INDEX(CONTRATOS!$H$6:$H$1005,$J53)))</f>
      </c>
      <c r="G53" s="86">
        <f t="shared" si="0"/>
      </c>
      <c r="J53" s="77">
        <f>IFERROR(MATCH(17,CONTRATOS!$CG$6:$CG$1005,0),"")</f>
      </c>
    </row>
    <row r="54" spans="2:10" ht="19.5" customHeight="1" x14ac:dyDescent="0.2">
      <c r="B54" s="83">
        <f>IF($J54="","",IF(INDEX(CONTRATOS!$A$6:$A$1005,$J54)="","",INDEX(CONTRATOS!$A$6:$A$1005,$J54)))</f>
      </c>
      <c r="C54" s="82">
        <f>IF($J54="","",IF(INDEX(CONTRATOS!$C$6:$C$1005,$J54)="","",INDEX(CONTRATOS!$C$6:$C$1005,$J54)))</f>
      </c>
      <c r="D54" s="82">
        <f>IF($J54="","",IF(INDEX(CONTRATOS!$E$6:$E$1005,$J54)="","",INDEX(CONTRATOS!$E$6:$E$1005,$J54)))</f>
      </c>
      <c r="E54" s="84">
        <f>IF($J54="","",IF(INDEX(CONTRATOS!$F$6:$F$1005,$J54)="","",INDEX(CONTRATOS!$F$6:$F$1005,$J54)))</f>
      </c>
      <c r="F54" s="84">
        <f>IF($J54="","",IF(INDEX(CONTRATOS!$H$6:$H$1005,$J54)="","",INDEX(CONTRATOS!$H$6:$H$1005,$J54)))</f>
      </c>
      <c r="G54" s="86">
        <f t="shared" si="0"/>
      </c>
      <c r="J54" s="77">
        <f>IFERROR(MATCH(18,CONTRATOS!$CG$6:$CG$1005,0),"")</f>
      </c>
    </row>
    <row r="55" spans="2:10" ht="19.5" customHeight="1" x14ac:dyDescent="0.2">
      <c r="B55" s="83">
        <f>IF($J55="","",IF(INDEX(CONTRATOS!$A$6:$A$1005,$J55)="","",INDEX(CONTRATOS!$A$6:$A$1005,$J55)))</f>
      </c>
      <c r="C55" s="82">
        <f>IF($J55="","",IF(INDEX(CONTRATOS!$C$6:$C$1005,$J55)="","",INDEX(CONTRATOS!$C$6:$C$1005,$J55)))</f>
      </c>
      <c r="D55" s="82">
        <f>IF($J55="","",IF(INDEX(CONTRATOS!$E$6:$E$1005,$J55)="","",INDEX(CONTRATOS!$E$6:$E$1005,$J55)))</f>
      </c>
      <c r="E55" s="84">
        <f>IF($J55="","",IF(INDEX(CONTRATOS!$F$6:$F$1005,$J55)="","",INDEX(CONTRATOS!$F$6:$F$1005,$J55)))</f>
      </c>
      <c r="F55" s="84">
        <f>IF($J55="","",IF(INDEX(CONTRATOS!$H$6:$H$1005,$J55)="","",INDEX(CONTRATOS!$H$6:$H$1005,$J55)))</f>
      </c>
      <c r="G55" s="86">
        <f t="shared" si="0"/>
      </c>
      <c r="J55" s="77">
        <f>IFERROR(MATCH(19,CONTRATOS!$CG$6:$CG$1005,0),"")</f>
      </c>
    </row>
    <row r="56" spans="2:10" ht="19.5" customHeight="1" x14ac:dyDescent="0.2">
      <c r="B56" s="83">
        <f>IF($J56="","",IF(INDEX(CONTRATOS!$A$6:$A$1005,$J56)="","",INDEX(CONTRATOS!$A$6:$A$1005,$J56)))</f>
      </c>
      <c r="C56" s="82">
        <f>IF($J56="","",IF(INDEX(CONTRATOS!$C$6:$C$1005,$J56)="","",INDEX(CONTRATOS!$C$6:$C$1005,$J56)))</f>
      </c>
      <c r="D56" s="82">
        <f>IF($J56="","",IF(INDEX(CONTRATOS!$E$6:$E$1005,$J56)="","",INDEX(CONTRATOS!$E$6:$E$1005,$J56)))</f>
      </c>
      <c r="E56" s="84">
        <f>IF($J56="","",IF(INDEX(CONTRATOS!$F$6:$F$1005,$J56)="","",INDEX(CONTRATOS!$F$6:$F$1005,$J56)))</f>
      </c>
      <c r="F56" s="84">
        <f>IF($J56="","",IF(INDEX(CONTRATOS!$H$6:$H$1005,$J56)="","",INDEX(CONTRATOS!$H$6:$H$1005,$J56)))</f>
      </c>
      <c r="G56" s="86">
        <f t="shared" si="0"/>
      </c>
      <c r="J56" s="77">
        <f>IFERROR(MATCH(20,CONTRATOS!$CG$6:$CG$1005,0),"")</f>
      </c>
    </row>
    <row r="57" spans="2:10" ht="19.5" customHeight="1" x14ac:dyDescent="0.2">
      <c r="B57" s="83">
        <f>IF($J57="","",IF(INDEX(CONTRATOS!$A$6:$A$1005,$J57)="","",INDEX(CONTRATOS!$A$6:$A$1005,$J57)))</f>
      </c>
      <c r="C57" s="82">
        <f>IF($J57="","",IF(INDEX(CONTRATOS!$C$6:$C$1005,$J57)="","",INDEX(CONTRATOS!$C$6:$C$1005,$J57)))</f>
      </c>
      <c r="D57" s="82">
        <f>IF($J57="","",IF(INDEX(CONTRATOS!$E$6:$E$1005,$J57)="","",INDEX(CONTRATOS!$E$6:$E$1005,$J57)))</f>
      </c>
      <c r="E57" s="84">
        <f>IF($J57="","",IF(INDEX(CONTRATOS!$F$6:$F$1005,$J57)="","",INDEX(CONTRATOS!$F$6:$F$1005,$J57)))</f>
      </c>
      <c r="F57" s="84">
        <f>IF($J57="","",IF(INDEX(CONTRATOS!$H$6:$H$1005,$J57)="","",INDEX(CONTRATOS!$H$6:$H$1005,$J57)))</f>
      </c>
      <c r="G57" s="86">
        <f t="shared" si="0"/>
      </c>
      <c r="J57" s="77">
        <f>IFERROR(MATCH(21,CONTRATOS!$CG$6:$CG$1005,0),"")</f>
      </c>
    </row>
    <row r="58" spans="2:10" ht="19.5" customHeight="1" x14ac:dyDescent="0.2">
      <c r="B58" s="83">
        <f>IF($J58="","",IF(INDEX(CONTRATOS!$A$6:$A$1005,$J58)="","",INDEX(CONTRATOS!$A$6:$A$1005,$J58)))</f>
      </c>
      <c r="C58" s="82">
        <f>IF($J58="","",IF(INDEX(CONTRATOS!$C$6:$C$1005,$J58)="","",INDEX(CONTRATOS!$C$6:$C$1005,$J58)))</f>
      </c>
      <c r="D58" s="82">
        <f>IF($J58="","",IF(INDEX(CONTRATOS!$E$6:$E$1005,$J58)="","",INDEX(CONTRATOS!$E$6:$E$1005,$J58)))</f>
      </c>
      <c r="E58" s="84">
        <f>IF($J58="","",IF(INDEX(CONTRATOS!$F$6:$F$1005,$J58)="","",INDEX(CONTRATOS!$F$6:$F$1005,$J58)))</f>
      </c>
      <c r="F58" s="84">
        <f>IF($J58="","",IF(INDEX(CONTRATOS!$H$6:$H$1005,$J58)="","",INDEX(CONTRATOS!$H$6:$H$1005,$J58)))</f>
      </c>
      <c r="G58" s="86">
        <f t="shared" si="0"/>
      </c>
      <c r="J58" s="77">
        <f>IFERROR(MATCH(22,CONTRATOS!$CG$6:$CG$1005,0),"")</f>
      </c>
    </row>
    <row r="59" spans="2:10" ht="19.5" customHeight="1" x14ac:dyDescent="0.2">
      <c r="B59" s="83">
        <f>IF($J59="","",IF(INDEX(CONTRATOS!$A$6:$A$1005,$J59)="","",INDEX(CONTRATOS!$A$6:$A$1005,$J59)))</f>
      </c>
      <c r="C59" s="82">
        <f>IF($J59="","",IF(INDEX(CONTRATOS!$C$6:$C$1005,$J59)="","",INDEX(CONTRATOS!$C$6:$C$1005,$J59)))</f>
      </c>
      <c r="D59" s="82">
        <f>IF($J59="","",IF(INDEX(CONTRATOS!$E$6:$E$1005,$J59)="","",INDEX(CONTRATOS!$E$6:$E$1005,$J59)))</f>
      </c>
      <c r="E59" s="84">
        <f>IF($J59="","",IF(INDEX(CONTRATOS!$F$6:$F$1005,$J59)="","",INDEX(CONTRATOS!$F$6:$F$1005,$J59)))</f>
      </c>
      <c r="F59" s="84">
        <f>IF($J59="","",IF(INDEX(CONTRATOS!$H$6:$H$1005,$J59)="","",INDEX(CONTRATOS!$H$6:$H$1005,$J59)))</f>
      </c>
      <c r="G59" s="86">
        <f t="shared" si="0"/>
      </c>
      <c r="J59" s="77">
        <f>IFERROR(MATCH(23,CONTRATOS!$CG$6:$CG$1005,0),"")</f>
      </c>
    </row>
    <row r="60" spans="2:10" ht="19.5" customHeight="1" x14ac:dyDescent="0.2">
      <c r="B60" s="83">
        <f>IF($J60="","",IF(INDEX(CONTRATOS!$A$6:$A$1005,$J60)="","",INDEX(CONTRATOS!$A$6:$A$1005,$J60)))</f>
      </c>
      <c r="C60" s="82">
        <f>IF($J60="","",IF(INDEX(CONTRATOS!$C$6:$C$1005,$J60)="","",INDEX(CONTRATOS!$C$6:$C$1005,$J60)))</f>
      </c>
      <c r="D60" s="82">
        <f>IF($J60="","",IF(INDEX(CONTRATOS!$E$6:$E$1005,$J60)="","",INDEX(CONTRATOS!$E$6:$E$1005,$J60)))</f>
      </c>
      <c r="E60" s="84">
        <f>IF($J60="","",IF(INDEX(CONTRATOS!$F$6:$F$1005,$J60)="","",INDEX(CONTRATOS!$F$6:$F$1005,$J60)))</f>
      </c>
      <c r="F60" s="84">
        <f>IF($J60="","",IF(INDEX(CONTRATOS!$H$6:$H$1005,$J60)="","",INDEX(CONTRATOS!$H$6:$H$1005,$J60)))</f>
      </c>
      <c r="G60" s="86">
        <f t="shared" si="0"/>
      </c>
      <c r="J60" s="77">
        <f>IFERROR(MATCH(24,CONTRATOS!$CG$6:$CG$1005,0),"")</f>
      </c>
    </row>
    <row r="61" spans="2:10" ht="19.5" customHeight="1" x14ac:dyDescent="0.2">
      <c r="B61" s="83">
        <f>IF($J61="","",IF(INDEX(CONTRATOS!$A$6:$A$1005,$J61)="","",INDEX(CONTRATOS!$A$6:$A$1005,$J61)))</f>
      </c>
      <c r="C61" s="82">
        <f>IF($J61="","",IF(INDEX(CONTRATOS!$C$6:$C$1005,$J61)="","",INDEX(CONTRATOS!$C$6:$C$1005,$J61)))</f>
      </c>
      <c r="D61" s="82">
        <f>IF($J61="","",IF(INDEX(CONTRATOS!$E$6:$E$1005,$J61)="","",INDEX(CONTRATOS!$E$6:$E$1005,$J61)))</f>
      </c>
      <c r="E61" s="84">
        <f>IF($J61="","",IF(INDEX(CONTRATOS!$F$6:$F$1005,$J61)="","",INDEX(CONTRATOS!$F$6:$F$1005,$J61)))</f>
      </c>
      <c r="F61" s="84">
        <f>IF($J61="","",IF(INDEX(CONTRATOS!$H$6:$H$1005,$J61)="","",INDEX(CONTRATOS!$H$6:$H$1005,$J61)))</f>
      </c>
      <c r="G61" s="86">
        <f t="shared" si="0"/>
      </c>
      <c r="J61" s="77">
        <f>IFERROR(MATCH(25,CONTRATOS!$CG$6:$CG$1005,0),"")</f>
      </c>
    </row>
    <row r="62" spans="2:10" ht="19.5" customHeight="1" x14ac:dyDescent="0.2">
      <c r="B62" s="83">
        <f>IF($J62="","",IF(INDEX(CONTRATOS!$A$6:$A$1005,$J62)="","",INDEX(CONTRATOS!$A$6:$A$1005,$J62)))</f>
      </c>
      <c r="C62" s="82">
        <f>IF($J62="","",IF(INDEX(CONTRATOS!$C$6:$C$1005,$J62)="","",INDEX(CONTRATOS!$C$6:$C$1005,$J62)))</f>
      </c>
      <c r="D62" s="82">
        <f>IF($J62="","",IF(INDEX(CONTRATOS!$E$6:$E$1005,$J62)="","",INDEX(CONTRATOS!$E$6:$E$1005,$J62)))</f>
      </c>
      <c r="E62" s="84">
        <f>IF($J62="","",IF(INDEX(CONTRATOS!$F$6:$F$1005,$J62)="","",INDEX(CONTRATOS!$F$6:$F$1005,$J62)))</f>
      </c>
      <c r="F62" s="84">
        <f>IF($J62="","",IF(INDEX(CONTRATOS!$H$6:$H$1005,$J62)="","",INDEX(CONTRATOS!$H$6:$H$1005,$J62)))</f>
      </c>
      <c r="G62" s="86">
        <f t="shared" si="0"/>
      </c>
      <c r="J62" s="77">
        <f>IFERROR(MATCH(26,CONTRATOS!$CG$6:$CG$1005,0),"")</f>
      </c>
    </row>
    <row r="63" spans="2:10" ht="19.5" customHeight="1" x14ac:dyDescent="0.2">
      <c r="B63" s="83">
        <f>IF($J63="","",IF(INDEX(CONTRATOS!$A$6:$A$1005,$J63)="","",INDEX(CONTRATOS!$A$6:$A$1005,$J63)))</f>
      </c>
      <c r="C63" s="82">
        <f>IF($J63="","",IF(INDEX(CONTRATOS!$C$6:$C$1005,$J63)="","",INDEX(CONTRATOS!$C$6:$C$1005,$J63)))</f>
      </c>
      <c r="D63" s="82">
        <f>IF($J63="","",IF(INDEX(CONTRATOS!$E$6:$E$1005,$J63)="","",INDEX(CONTRATOS!$E$6:$E$1005,$J63)))</f>
      </c>
      <c r="E63" s="84">
        <f>IF($J63="","",IF(INDEX(CONTRATOS!$F$6:$F$1005,$J63)="","",INDEX(CONTRATOS!$F$6:$F$1005,$J63)))</f>
      </c>
      <c r="F63" s="84">
        <f>IF($J63="","",IF(INDEX(CONTRATOS!$H$6:$H$1005,$J63)="","",INDEX(CONTRATOS!$H$6:$H$1005,$J63)))</f>
      </c>
      <c r="G63" s="86">
        <f t="shared" si="0"/>
      </c>
      <c r="J63" s="77">
        <f>IFERROR(MATCH(27,CONTRATOS!$CG$6:$CG$1005,0),"")</f>
      </c>
    </row>
    <row r="64" spans="2:10" ht="19.5" customHeight="1" x14ac:dyDescent="0.2">
      <c r="B64" s="83">
        <f>IF($J64="","",IF(INDEX(CONTRATOS!$A$6:$A$1005,$J64)="","",INDEX(CONTRATOS!$A$6:$A$1005,$J64)))</f>
      </c>
      <c r="C64" s="82">
        <f>IF($J64="","",IF(INDEX(CONTRATOS!$C$6:$C$1005,$J64)="","",INDEX(CONTRATOS!$C$6:$C$1005,$J64)))</f>
      </c>
      <c r="D64" s="82">
        <f>IF($J64="","",IF(INDEX(CONTRATOS!$E$6:$E$1005,$J64)="","",INDEX(CONTRATOS!$E$6:$E$1005,$J64)))</f>
      </c>
      <c r="E64" s="84">
        <f>IF($J64="","",IF(INDEX(CONTRATOS!$F$6:$F$1005,$J64)="","",INDEX(CONTRATOS!$F$6:$F$1005,$J64)))</f>
      </c>
      <c r="F64" s="84">
        <f>IF($J64="","",IF(INDEX(CONTRATOS!$H$6:$H$1005,$J64)="","",INDEX(CONTRATOS!$H$6:$H$1005,$J64)))</f>
      </c>
      <c r="G64" s="86">
        <f t="shared" si="0"/>
      </c>
      <c r="J64" s="77">
        <f>IFERROR(MATCH(28,CONTRATOS!$CG$6:$CG$1005,0),"")</f>
      </c>
    </row>
    <row r="65" spans="2:10" ht="19.5" customHeight="1" x14ac:dyDescent="0.2">
      <c r="B65" s="83">
        <f>IF($J65="","",IF(INDEX(CONTRATOS!$A$6:$A$1005,$J65)="","",INDEX(CONTRATOS!$A$6:$A$1005,$J65)))</f>
      </c>
      <c r="C65" s="82">
        <f>IF($J65="","",IF(INDEX(CONTRATOS!$C$6:$C$1005,$J65)="","",INDEX(CONTRATOS!$C$6:$C$1005,$J65)))</f>
      </c>
      <c r="D65" s="82">
        <f>IF($J65="","",IF(INDEX(CONTRATOS!$E$6:$E$1005,$J65)="","",INDEX(CONTRATOS!$E$6:$E$1005,$J65)))</f>
      </c>
      <c r="E65" s="84">
        <f>IF($J65="","",IF(INDEX(CONTRATOS!$F$6:$F$1005,$J65)="","",INDEX(CONTRATOS!$F$6:$F$1005,$J65)))</f>
      </c>
      <c r="F65" s="84">
        <f>IF($J65="","",IF(INDEX(CONTRATOS!$H$6:$H$1005,$J65)="","",INDEX(CONTRATOS!$H$6:$H$1005,$J65)))</f>
      </c>
      <c r="G65" s="86">
        <f t="shared" si="0"/>
      </c>
      <c r="J65" s="77">
        <f>IFERROR(MATCH(29,CONTRATOS!$CG$6:$CG$1005,0),"")</f>
      </c>
    </row>
    <row r="66" spans="2:10" ht="19.5" customHeight="1" x14ac:dyDescent="0.2">
      <c r="B66" s="83">
        <f>IF($J66="","",IF(INDEX(CONTRATOS!$A$6:$A$1005,$J66)="","",INDEX(CONTRATOS!$A$6:$A$1005,$J66)))</f>
      </c>
      <c r="C66" s="82">
        <f>IF($J66="","",IF(INDEX(CONTRATOS!$C$6:$C$1005,$J66)="","",INDEX(CONTRATOS!$C$6:$C$1005,$J66)))</f>
      </c>
      <c r="D66" s="82">
        <f>IF($J66="","",IF(INDEX(CONTRATOS!$E$6:$E$1005,$J66)="","",INDEX(CONTRATOS!$E$6:$E$1005,$J66)))</f>
      </c>
      <c r="E66" s="84">
        <f>IF($J66="","",IF(INDEX(CONTRATOS!$F$6:$F$1005,$J66)="","",INDEX(CONTRATOS!$F$6:$F$1005,$J66)))</f>
      </c>
      <c r="F66" s="84">
        <f>IF($J66="","",IF(INDEX(CONTRATOS!$H$6:$H$1005,$J66)="","",INDEX(CONTRATOS!$H$6:$H$1005,$J66)))</f>
      </c>
      <c r="G66" s="86">
        <f t="shared" si="0"/>
      </c>
      <c r="J66" s="77">
        <f>IFERROR(MATCH(30,CONTRATOS!$CG$6:$CG$1005,0),"")</f>
      </c>
    </row>
    <row r="67" spans="2:10" ht="19.5" customHeight="1" x14ac:dyDescent="0.2">
      <c r="B67" s="83">
        <f>IF($J67="","",IF(INDEX(CONTRATOS!$A$6:$A$1005,$J67)="","",INDEX(CONTRATOS!$A$6:$A$1005,$J67)))</f>
      </c>
      <c r="C67" s="82">
        <f>IF($J67="","",IF(INDEX(CONTRATOS!$C$6:$C$1005,$J67)="","",INDEX(CONTRATOS!$C$6:$C$1005,$J67)))</f>
      </c>
      <c r="D67" s="82">
        <f>IF($J67="","",IF(INDEX(CONTRATOS!$E$6:$E$1005,$J67)="","",INDEX(CONTRATOS!$E$6:$E$1005,$J67)))</f>
      </c>
      <c r="E67" s="84">
        <f>IF($J67="","",IF(INDEX(CONTRATOS!$F$6:$F$1005,$J67)="","",INDEX(CONTRATOS!$F$6:$F$1005,$J67)))</f>
      </c>
      <c r="F67" s="84">
        <f>IF($J67="","",IF(INDEX(CONTRATOS!$H$6:$H$1005,$J67)="","",INDEX(CONTRATOS!$H$6:$H$1005,$J67)))</f>
      </c>
      <c r="G67" s="86">
        <f t="shared" si="0"/>
      </c>
      <c r="J67" s="77">
        <f>IFERROR(MATCH(31,CONTRATOS!$CG$6:$CG$1005,0),"")</f>
      </c>
    </row>
    <row r="68" spans="2:10" ht="19.5" customHeight="1" x14ac:dyDescent="0.2">
      <c r="B68" s="83">
        <f>IF($J68="","",IF(INDEX(CONTRATOS!$A$6:$A$1005,$J68)="","",INDEX(CONTRATOS!$A$6:$A$1005,$J68)))</f>
      </c>
      <c r="C68" s="82">
        <f>IF($J68="","",IF(INDEX(CONTRATOS!$C$6:$C$1005,$J68)="","",INDEX(CONTRATOS!$C$6:$C$1005,$J68)))</f>
      </c>
      <c r="D68" s="82">
        <f>IF($J68="","",IF(INDEX(CONTRATOS!$E$6:$E$1005,$J68)="","",INDEX(CONTRATOS!$E$6:$E$1005,$J68)))</f>
      </c>
      <c r="E68" s="84">
        <f>IF($J68="","",IF(INDEX(CONTRATOS!$F$6:$F$1005,$J68)="","",INDEX(CONTRATOS!$F$6:$F$1005,$J68)))</f>
      </c>
      <c r="F68" s="84">
        <f>IF($J68="","",IF(INDEX(CONTRATOS!$H$6:$H$1005,$J68)="","",INDEX(CONTRATOS!$H$6:$H$1005,$J68)))</f>
      </c>
      <c r="G68" s="86">
        <f t="shared" si="0"/>
      </c>
      <c r="J68" s="77">
        <f>IFERROR(MATCH(32,CONTRATOS!$CG$6:$CG$1005,0),"")</f>
      </c>
    </row>
    <row r="69" spans="2:10" ht="19.5" customHeight="1" x14ac:dyDescent="0.2">
      <c r="B69" s="83">
        <f>IF($J69="","",IF(INDEX(CONTRATOS!$A$6:$A$1005,$J69)="","",INDEX(CONTRATOS!$A$6:$A$1005,$J69)))</f>
      </c>
      <c r="C69" s="82">
        <f>IF($J69="","",IF(INDEX(CONTRATOS!$C$6:$C$1005,$J69)="","",INDEX(CONTRATOS!$C$6:$C$1005,$J69)))</f>
      </c>
      <c r="D69" s="82">
        <f>IF($J69="","",IF(INDEX(CONTRATOS!$E$6:$E$1005,$J69)="","",INDEX(CONTRATOS!$E$6:$E$1005,$J69)))</f>
      </c>
      <c r="E69" s="84">
        <f>IF($J69="","",IF(INDEX(CONTRATOS!$F$6:$F$1005,$J69)="","",INDEX(CONTRATOS!$F$6:$F$1005,$J69)))</f>
      </c>
      <c r="F69" s="84">
        <f>IF($J69="","",IF(INDEX(CONTRATOS!$H$6:$H$1005,$J69)="","",INDEX(CONTRATOS!$H$6:$H$1005,$J69)))</f>
      </c>
      <c r="G69" s="86">
        <f t="shared" si="0"/>
      </c>
      <c r="J69" s="77">
        <f>IFERROR(MATCH(33,CONTRATOS!$CG$6:$CG$1005,0),"")</f>
      </c>
    </row>
    <row r="70" spans="2:10" ht="19.5" customHeight="1" x14ac:dyDescent="0.2">
      <c r="B70" s="83">
        <f>IF($J70="","",IF(INDEX(CONTRATOS!$A$6:$A$1005,$J70)="","",INDEX(CONTRATOS!$A$6:$A$1005,$J70)))</f>
      </c>
      <c r="C70" s="82">
        <f>IF($J70="","",IF(INDEX(CONTRATOS!$C$6:$C$1005,$J70)="","",INDEX(CONTRATOS!$C$6:$C$1005,$J70)))</f>
      </c>
      <c r="D70" s="82">
        <f>IF($J70="","",IF(INDEX(CONTRATOS!$E$6:$E$1005,$J70)="","",INDEX(CONTRATOS!$E$6:$E$1005,$J70)))</f>
      </c>
      <c r="E70" s="84">
        <f>IF($J70="","",IF(INDEX(CONTRATOS!$F$6:$F$1005,$J70)="","",INDEX(CONTRATOS!$F$6:$F$1005,$J70)))</f>
      </c>
      <c r="F70" s="84">
        <f>IF($J70="","",IF(INDEX(CONTRATOS!$H$6:$H$1005,$J70)="","",INDEX(CONTRATOS!$H$6:$H$1005,$J70)))</f>
      </c>
      <c r="G70" s="86">
        <f t="shared" si="0"/>
      </c>
      <c r="J70" s="77">
        <f>IFERROR(MATCH(34,CONTRATOS!$CG$6:$CG$1005,0),"")</f>
      </c>
    </row>
    <row r="71" spans="2:10" ht="19.5" customHeight="1" x14ac:dyDescent="0.2">
      <c r="B71" s="83">
        <f>IF($J71="","",IF(INDEX(CONTRATOS!$A$6:$A$1005,$J71)="","",INDEX(CONTRATOS!$A$6:$A$1005,$J71)))</f>
      </c>
      <c r="C71" s="82">
        <f>IF($J71="","",IF(INDEX(CONTRATOS!$C$6:$C$1005,$J71)="","",INDEX(CONTRATOS!$C$6:$C$1005,$J71)))</f>
      </c>
      <c r="D71" s="82">
        <f>IF($J71="","",IF(INDEX(CONTRATOS!$E$6:$E$1005,$J71)="","",INDEX(CONTRATOS!$E$6:$E$1005,$J71)))</f>
      </c>
      <c r="E71" s="84">
        <f>IF($J71="","",IF(INDEX(CONTRATOS!$F$6:$F$1005,$J71)="","",INDEX(CONTRATOS!$F$6:$F$1005,$J71)))</f>
      </c>
      <c r="F71" s="84">
        <f>IF($J71="","",IF(INDEX(CONTRATOS!$H$6:$H$1005,$J71)="","",INDEX(CONTRATOS!$H$6:$H$1005,$J71)))</f>
      </c>
      <c r="G71" s="86">
        <f t="shared" si="0"/>
      </c>
      <c r="J71" s="77">
        <f>IFERROR(MATCH(35,CONTRATOS!$CG$6:$CG$1005,0),"")</f>
      </c>
    </row>
    <row r="72" spans="2:10" ht="19.5" customHeight="1" x14ac:dyDescent="0.2">
      <c r="B72" s="83">
        <f>IF($J72="","",IF(INDEX(CONTRATOS!$A$6:$A$1005,$J72)="","",INDEX(CONTRATOS!$A$6:$A$1005,$J72)))</f>
      </c>
      <c r="C72" s="82">
        <f>IF($J72="","",IF(INDEX(CONTRATOS!$C$6:$C$1005,$J72)="","",INDEX(CONTRATOS!$C$6:$C$1005,$J72)))</f>
      </c>
      <c r="D72" s="82">
        <f>IF($J72="","",IF(INDEX(CONTRATOS!$E$6:$E$1005,$J72)="","",INDEX(CONTRATOS!$E$6:$E$1005,$J72)))</f>
      </c>
      <c r="E72" s="84">
        <f>IF($J72="","",IF(INDEX(CONTRATOS!$F$6:$F$1005,$J72)="","",INDEX(CONTRATOS!$F$6:$F$1005,$J72)))</f>
      </c>
      <c r="F72" s="84">
        <f>IF($J72="","",IF(INDEX(CONTRATOS!$H$6:$H$1005,$J72)="","",INDEX(CONTRATOS!$H$6:$H$1005,$J72)))</f>
      </c>
      <c r="G72" s="86">
        <f t="shared" si="0"/>
      </c>
      <c r="J72" s="77">
        <f>IFERROR(MATCH(36,CONTRATOS!$CG$6:$CG$1005,0),"")</f>
      </c>
    </row>
    <row r="73" spans="2:10" ht="19.5" customHeight="1" x14ac:dyDescent="0.2">
      <c r="B73" s="83">
        <f>IF($J73="","",IF(INDEX(CONTRATOS!$A$6:$A$1005,$J73)="","",INDEX(CONTRATOS!$A$6:$A$1005,$J73)))</f>
      </c>
      <c r="C73" s="82">
        <f>IF($J73="","",IF(INDEX(CONTRATOS!$C$6:$C$1005,$J73)="","",INDEX(CONTRATOS!$C$6:$C$1005,$J73)))</f>
      </c>
      <c r="D73" s="82">
        <f>IF($J73="","",IF(INDEX(CONTRATOS!$E$6:$E$1005,$J73)="","",INDEX(CONTRATOS!$E$6:$E$1005,$J73)))</f>
      </c>
      <c r="E73" s="84">
        <f>IF($J73="","",IF(INDEX(CONTRATOS!$F$6:$F$1005,$J73)="","",INDEX(CONTRATOS!$F$6:$F$1005,$J73)))</f>
      </c>
      <c r="F73" s="84">
        <f>IF($J73="","",IF(INDEX(CONTRATOS!$H$6:$H$1005,$J73)="","",INDEX(CONTRATOS!$H$6:$H$1005,$J73)))</f>
      </c>
      <c r="G73" s="86">
        <f t="shared" si="0"/>
      </c>
      <c r="J73" s="77">
        <f>IFERROR(MATCH(37,CONTRATOS!$CG$6:$CG$1005,0),"")</f>
      </c>
    </row>
    <row r="74" spans="2:10" ht="19.5" customHeight="1" x14ac:dyDescent="0.2">
      <c r="B74" s="83">
        <f>IF($J74="","",IF(INDEX(CONTRATOS!$A$6:$A$1005,$J74)="","",INDEX(CONTRATOS!$A$6:$A$1005,$J74)))</f>
      </c>
      <c r="C74" s="82">
        <f>IF($J74="","",IF(INDEX(CONTRATOS!$C$6:$C$1005,$J74)="","",INDEX(CONTRATOS!$C$6:$C$1005,$J74)))</f>
      </c>
      <c r="D74" s="82">
        <f>IF($J74="","",IF(INDEX(CONTRATOS!$E$6:$E$1005,$J74)="","",INDEX(CONTRATOS!$E$6:$E$1005,$J74)))</f>
      </c>
      <c r="E74" s="84">
        <f>IF($J74="","",IF(INDEX(CONTRATOS!$F$6:$F$1005,$J74)="","",INDEX(CONTRATOS!$F$6:$F$1005,$J74)))</f>
      </c>
      <c r="F74" s="84">
        <f>IF($J74="","",IF(INDEX(CONTRATOS!$H$6:$H$1005,$J74)="","",INDEX(CONTRATOS!$H$6:$H$1005,$J74)))</f>
      </c>
      <c r="G74" s="86">
        <f t="shared" si="0"/>
      </c>
      <c r="J74" s="77">
        <f>IFERROR(MATCH(38,CONTRATOS!$CG$6:$CG$1005,0),"")</f>
      </c>
    </row>
    <row r="75" spans="2:10" ht="19.5" customHeight="1" x14ac:dyDescent="0.2">
      <c r="B75" s="83">
        <f>IF($J75="","",IF(INDEX(CONTRATOS!$A$6:$A$1005,$J75)="","",INDEX(CONTRATOS!$A$6:$A$1005,$J75)))</f>
      </c>
      <c r="C75" s="82">
        <f>IF($J75="","",IF(INDEX(CONTRATOS!$C$6:$C$1005,$J75)="","",INDEX(CONTRATOS!$C$6:$C$1005,$J75)))</f>
      </c>
      <c r="D75" s="82">
        <f>IF($J75="","",IF(INDEX(CONTRATOS!$E$6:$E$1005,$J75)="","",INDEX(CONTRATOS!$E$6:$E$1005,$J75)))</f>
      </c>
      <c r="E75" s="84">
        <f>IF($J75="","",IF(INDEX(CONTRATOS!$F$6:$F$1005,$J75)="","",INDEX(CONTRATOS!$F$6:$F$1005,$J75)))</f>
      </c>
      <c r="F75" s="84">
        <f>IF($J75="","",IF(INDEX(CONTRATOS!$H$6:$H$1005,$J75)="","",INDEX(CONTRATOS!$H$6:$H$1005,$J75)))</f>
      </c>
      <c r="G75" s="86">
        <f t="shared" si="0"/>
      </c>
      <c r="J75" s="77">
        <f>IFERROR(MATCH(39,CONTRATOS!$CG$6:$CG$1005,0),"")</f>
      </c>
    </row>
    <row r="76" spans="2:10" ht="19.5" customHeight="1" x14ac:dyDescent="0.2">
      <c r="B76" s="83">
        <f>IF($J76="","",IF(INDEX(CONTRATOS!$A$6:$A$1005,$J76)="","",INDEX(CONTRATOS!$A$6:$A$1005,$J76)))</f>
      </c>
      <c r="C76" s="82">
        <f>IF($J76="","",IF(INDEX(CONTRATOS!$C$6:$C$1005,$J76)="","",INDEX(CONTRATOS!$C$6:$C$1005,$J76)))</f>
      </c>
      <c r="D76" s="82">
        <f>IF($J76="","",IF(INDEX(CONTRATOS!$E$6:$E$1005,$J76)="","",INDEX(CONTRATOS!$E$6:$E$1005,$J76)))</f>
      </c>
      <c r="E76" s="84">
        <f>IF($J76="","",IF(INDEX(CONTRATOS!$F$6:$F$1005,$J76)="","",INDEX(CONTRATOS!$F$6:$F$1005,$J76)))</f>
      </c>
      <c r="F76" s="84">
        <f>IF($J76="","",IF(INDEX(CONTRATOS!$H$6:$H$1005,$J76)="","",INDEX(CONTRATOS!$H$6:$H$1005,$J76)))</f>
      </c>
      <c r="G76" s="86">
        <f t="shared" si="0"/>
      </c>
      <c r="J76" s="77">
        <f>IFERROR(MATCH(40,CONTRATOS!$CG$6:$CG$1005,0),"")</f>
      </c>
    </row>
  </sheetData>
  <sheetProtection sheet="1" objects="1" scenarios="1" formatCells="0" formatColumns="0" formatRows="0" sort="0" autoFilter="0" pivotTables="0"/>
  <mergeCells count="4">
    <mergeCell ref="C6:F6"/>
    <mergeCell ref="C7:F7"/>
    <mergeCell ref="E4:H4"/>
    <mergeCell ref="C33:F33"/>
  </mergeCells>
  <conditionalFormatting sqref="C31">
    <cfRule type="expression" dxfId="3" priority="9">
      <formula>LEFT($C$31,9)="PENDIENTE"</formula>
    </cfRule>
  </conditionalFormatting>
  <conditionalFormatting sqref="G37:G76">
    <cfRule type="expression" dxfId="2" priority="1">
      <formula>AND($G37&lt;&gt;"",$G37&gt;0)</formula>
    </cfRule>
  </conditionalFormatting>
  <pageMargins left="0.5" right="0.5" top="0.6" bottom="0.6" header="0" footer="0"/>
  <pageSetup fitToHeight="0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F185AE-A8BC-5648-BD24-B1E78F48EB96}">
  <sheetPr>
    <tabColor rgb="FFFFBC01"/>
    <pageSetUpPr fitToPage="1"/>
  </sheetPr>
  <dimension ref="B1:E44"/>
  <sheetViews>
    <sheetView showGridLines="0" workbookViewId="0"/>
  </sheetViews>
  <sheetFormatPr baseColWidth="10" defaultRowHeight="18" customHeight="1" x14ac:dyDescent="0.2"/>
  <cols>
    <col min="1" max="1" width="2.42578125" customWidth="1"/>
    <col min="2" max="2" width="30" customWidth="1"/>
    <col min="3" max="3" width="16" customWidth="1"/>
    <col min="4" max="4" width="20" customWidth="1"/>
    <col min="5" max="5" width="18" customWidth="1"/>
    <col min="6" max="6" width="2.42578125" customWidth="1"/>
  </cols>
  <sheetData>
    <row r="1" spans="2:5" ht="8" customHeight="1" x14ac:dyDescent="0.2"/>
    <row r="2" spans="2:5" ht="26" customHeight="1" x14ac:dyDescent="0.2">
      <c r="C2" s="497" t="s">
        <v>147</v>
      </c>
      <c r="D2" s="497"/>
      <c r="E2" s="497"/>
    </row>
    <row r="3" spans="2:5" ht="18" customHeight="1" x14ac:dyDescent="0.2">
      <c r="C3" s="498" t="s">
        <v>206</v>
      </c>
      <c r="D3" s="498"/>
      <c r="E3" s="498"/>
    </row>
    <row r="4" spans="2:5" ht="26" customHeight="1" x14ac:dyDescent="0.2">
      <c r="C4" s="499" t="s">
        <v>207</v>
      </c>
      <c r="D4" s="499"/>
      <c r="E4" s="256">
        <f>IF(CIERRE!$J$2="","",IF(INDEX(CONTRATOS!$A$6:$A$1005,CIERRE!$J$2)="","",INDEX(CONTRATOS!$A$6:$A$1005,CIERRE!$J$2)))</f>
      </c>
    </row>
    <row r="5" spans="2:5" ht="20" customHeight="1" x14ac:dyDescent="0.2">
      <c r="C5" s="499" t="s">
        <v>45</v>
      </c>
      <c r="D5" s="499"/>
      <c r="E5" s="257">
        <f ca="1">IF(CIERRE!$K$2="","",CIERRE!$K$2)</f>
      </c>
    </row>
    <row r="6" spans="2:5" ht="18" customHeight="1" x14ac:dyDescent="0.2">
      <c r="B6" s="500">
        <f>IF(CIERRE!$C$4="","Escriba el número de contrato en la hoja CIERRE para ver su liquidación.",IF(CIERRE!$J$2="","Ese número de contrato no está en la bitácora de CONTRATOS.",IF(INDEX(CONTRATOS!$BG$6:$BG$1005,CIERRE!$J$2)="","CONTRATO ABIERTO: todavía no tiene fecha real de ingreso.","")))</f>
      </c>
      <c r="C6" s="500"/>
      <c r="D6" s="500"/>
      <c r="E6" s="500"/>
    </row>
    <row r="7" spans="2:5" ht="6" customHeight="1" x14ac:dyDescent="0.2"/>
    <row r="8" spans="2:5" ht="20" customHeight="1" x14ac:dyDescent="0.2">
      <c r="B8" s="495" t="s">
        <v>208</v>
      </c>
      <c r="C8" s="495"/>
      <c r="D8" s="495"/>
      <c r="E8" s="495"/>
    </row>
    <row r="9" spans="2:5" ht="18" customHeight="1" x14ac:dyDescent="0.2">
      <c r="B9" s="258" t="s">
        <v>209</v>
      </c>
      <c r="C9" s="490">
        <f>IF(CIERRE!$J$2="","",IF(INDEX(CONTRATOS!$C$6:$C$1005,CIERRE!$J$2)="","",INDEX(CONTRATOS!$C$6:$C$1005,CIERRE!$J$2)))</f>
      </c>
      <c r="D9" s="490"/>
      <c r="E9" s="490"/>
    </row>
    <row r="10" spans="2:5" ht="18" customHeight="1" x14ac:dyDescent="0.2">
      <c r="B10" s="258" t="s">
        <v>210</v>
      </c>
      <c r="C10" s="490">
        <f>IF(CIERRE!$J$2="","",IF(INDEX(CONTRATOS!$E$6:$E$1005,CIERRE!$J$2)="","",INDEX(CONTRATOS!$E$6:$E$1005,CIERRE!$J$2)))</f>
      </c>
      <c r="D10" s="490"/>
      <c r="E10" s="490"/>
    </row>
    <row r="11" spans="2:5" ht="18" customHeight="1" x14ac:dyDescent="0.2">
      <c r="B11" s="258" t="s">
        <v>211</v>
      </c>
      <c r="C11" s="260">
        <f>IF(CIERRE!$J$2="","",IF(INDEX(CONTRATOS!$F$6:$F$1005,CIERRE!$J$2)="","",INDEX(CONTRATOS!$F$6:$F$1005,CIERRE!$J$2)))</f>
      </c>
      <c r="D11" s="258" t="s">
        <v>212</v>
      </c>
      <c r="E11" s="261">
        <f>IF(CIERRE!$J$2="","",IF(INDEX(CONTRATOS!$I$6:$I$1005,CIERRE!$J$2)="","",INDEX(CONTRATOS!$I$6:$I$1005,CIERRE!$J$2)))</f>
      </c>
    </row>
    <row r="12" spans="2:5" ht="18" customHeight="1" x14ac:dyDescent="0.2">
      <c r="B12" s="258" t="s">
        <v>213</v>
      </c>
      <c r="C12" s="260">
        <f>IF(CIERRE!$J$2="","",IF(INDEX(CONTRATOS!$H$6:$H$1005,CIERRE!$J$2)="","",INDEX(CONTRATOS!$H$6:$H$1005,CIERRE!$J$2)))</f>
      </c>
      <c r="D12" s="258" t="s">
        <v>214</v>
      </c>
      <c r="E12" s="261">
        <f>IF(CIERRE!$J$2="","",IF(INDEX(CONTRATOS!$BH$6:$BH$1005,CIERRE!$J$2)="","",INDEX(CONTRATOS!$BH$6:$BH$1005,CIERRE!$J$2)))</f>
      </c>
    </row>
    <row r="13" spans="2:5" ht="18" customHeight="1" x14ac:dyDescent="0.2">
      <c r="B13" s="258" t="s">
        <v>215</v>
      </c>
      <c r="C13" s="260">
        <f>IF(CIERRE!$J$2="","",IF(INDEX(CONTRATOS!$BG$6:$BG$1005,CIERRE!$J$2)="","",INDEX(CONTRATOS!$BG$6:$BG$1005,CIERRE!$J$2)))</f>
      </c>
      <c r="D13" s="258" t="s">
        <v>216</v>
      </c>
      <c r="E13" s="261">
        <f>IF(CIERRE!$J$2="","",IF(INDEX(CONTRATOS!$BI$6:$BI$1005,CIERRE!$J$2)="","",INDEX(CONTRATOS!$BI$6:$BI$1005,CIERRE!$J$2)))</f>
      </c>
    </row>
    <row r="14" spans="2:5" ht="18" customHeight="1" x14ac:dyDescent="0.2">
      <c r="B14" s="258" t="s">
        <v>217</v>
      </c>
      <c r="C14" s="262">
        <f>IF(CIERRE!$J$2="","",N(INDEX(CONTRATOS!$G$6:$G$1005,CIERRE!$J$2)))</f>
      </c>
      <c r="D14" s="258" t="s">
        <v>218</v>
      </c>
      <c r="E14" s="262">
        <f>IF(CIERRE!$J$2="","",N(INDEX(CONTRATOS!$BJ$6:$BJ$1005,CIERRE!$J$2)))</f>
      </c>
    </row>
    <row r="15" spans="2:5" ht="18" customHeight="1" x14ac:dyDescent="0.2">
      <c r="B15" s="258" t="s">
        <v>219</v>
      </c>
      <c r="C15" s="262">
        <f>IF(CIERRE!$J$2="","",N(INDEX(CONTRATOS!$G$6:$G$1005,CIERRE!$J$2))+N(INDEX(CONTRATOS!$BJ$6:$BJ$1005,CIERRE!$J$2)))</f>
      </c>
      <c r="D15" s="258" t="s">
        <v>220</v>
      </c>
      <c r="E15" s="263">
        <f>IF(CIERRE!$J$2="","",N(INDEX(CONTRATOS!$L$6:$L$1005,CIERRE!$J$2)))</f>
      </c>
    </row>
    <row r="16" spans="2:5" ht="10" customHeight="1" x14ac:dyDescent="0.2"/>
    <row r="17" spans="2:5" ht="20" customHeight="1" x14ac:dyDescent="0.2">
      <c r="B17" s="495" t="s">
        <v>156</v>
      </c>
      <c r="C17" s="495"/>
      <c r="D17" s="495"/>
      <c r="E17" s="495"/>
    </row>
    <row r="18" spans="2:5" ht="18" customHeight="1" x14ac:dyDescent="0.2">
      <c r="B18" s="264" t="s">
        <v>221</v>
      </c>
      <c r="C18" s="265" t="s">
        <v>222</v>
      </c>
      <c r="D18" s="266" t="s">
        <v>223</v>
      </c>
      <c r="E18" s="266" t="s">
        <v>224</v>
      </c>
    </row>
    <row r="19" spans="2:5" ht="18" customHeight="1" x14ac:dyDescent="0.2">
      <c r="B19" s="259" t="s">
        <v>270</v>
      </c>
      <c r="C19" s="267">
        <f>IF(CIERRE!$J$2="","",N(INDEX(CONTRATOS!$G$6:$G$1005,CIERRE!$J$2)))</f>
      </c>
      <c r="D19" s="269">
        <f>IF(CIERRE!$J$2="","",N(INDEX(CONTRATOS!$J$6:$J$1005,CIERRE!$J$2))-N(INDEX(CONTRATOS!$AB$6:$AB$1005,CIERRE!$J$2))-N(INDEX(CONTRATOS!$AA$6:$AA$1005,CIERRE!$J$2)))</f>
      </c>
      <c r="E19" s="269">
        <f>IF(CIERRE!$J$2="","",N(INDEX(CONTRATOS!$K$6:$K$1005,CIERRE!$J$2))-E20-E21)</f>
      </c>
    </row>
    <row r="20" spans="2:5" ht="18" customHeight="1" x14ac:dyDescent="0.2">
      <c r="B20" s="259" t="s">
        <v>271</v>
      </c>
      <c r="C20" s="267">
        <f>IF(CIERRE!$J$2="","",N(INDEX(CONTRATOS!$G$6:$G$1005,CIERRE!$J$2)))</f>
      </c>
      <c r="D20" s="269">
        <f>IF(CIERRE!$J$2="","",N(INDEX(CONTRATOS!$AB$6:$AB$1005,CIERRE!$J$2)))</f>
      </c>
      <c r="E20" s="269">
        <f>IF(CIERRE!$J$2="","",ROUND(C20*D20,2))</f>
      </c>
    </row>
    <row r="21" spans="2:5" ht="18" customHeight="1" x14ac:dyDescent="0.2">
      <c r="B21" s="259" t="s">
        <v>272</v>
      </c>
      <c r="C21" s="267">
        <f>IF(CIERRE!$J$2="","",N(INDEX(CONTRATOS!$G$6:$G$1005,CIERRE!$J$2)))</f>
      </c>
      <c r="D21" s="269">
        <f>IF(CIERRE!$J$2="","",N(INDEX(CONTRATOS!$AA$6:$AA$1005,CIERRE!$J$2)))</f>
      </c>
      <c r="E21" s="269">
        <f>IF(CIERRE!$J$2="","",ROUND(C21*D21,2))</f>
      </c>
    </row>
    <row r="22" spans="2:5" ht="18" customHeight="1" x14ac:dyDescent="0.2">
      <c r="B22" s="259" t="s">
        <v>218</v>
      </c>
      <c r="C22" s="267">
        <f>IF(CIERRE!$J$2="","",N(INDEX(CONTRATOS!$BJ$6:$BJ$1005,CIERRE!$J$2)))</f>
      </c>
      <c r="D22" s="269">
        <f>IF(CIERRE!$J$2="","",N(INDEX(CONTRATOS!$J$6:$J$1005,CIERRE!$J$2)))</f>
      </c>
      <c r="E22" s="269">
        <f>IF(CIERRE!$J$2="","",N(INDEX(CONTRATOS!$BK$6:$BK$1005,CIERRE!$J$2)))</f>
      </c>
    </row>
    <row r="23" spans="2:5" ht="18" customHeight="1" x14ac:dyDescent="0.2">
      <c r="B23" s="259" t="s">
        <v>273</v>
      </c>
      <c r="C23" s="267">
        <f>IF(CIERRE!$J$2="","",IF(N(INDEX(CONTRATOS!$AM$6:$AM$1005,CIERRE!$J$2))=0,"",(N(INDEX(CONTRATOS!$G$6:$G$1005,CIERRE!$J$2))+N(INDEX(CONTRATOS!$BJ$6:$BJ$1005,CIERRE!$J$2)))))</f>
      </c>
      <c r="D23" s="269">
        <f>IF(CIERRE!$J$2="","",N(INDEX(CONTRATOS!$AM$6:$AM$1005,CIERRE!$J$2)))</f>
      </c>
      <c r="E23" s="269">
        <f>IF(CIERRE!$J$2="","",N(INDEX(CONTRATOS!$AM$6:$AM$1005,CIERRE!$J$2))*(N(INDEX(CONTRATOS!$G$6:$G$1005,CIERRE!$J$2))+N(INDEX(CONTRATOS!$BJ$6:$BJ$1005,CIERRE!$J$2))))</f>
      </c>
    </row>
    <row r="24" spans="2:5" ht="18" customHeight="1" x14ac:dyDescent="0.2">
      <c r="B24" s="259" t="s">
        <v>274</v>
      </c>
      <c r="C24" s="267">
        <f>IF(CIERRE!$J$2="","",IF(N(INDEX(CONTRATOS!$AS$6:$AS$1005,CIERRE!$J$2))=0,"",(N(INDEX(CONTRATOS!$G$6:$G$1005,CIERRE!$J$2))+N(INDEX(CONTRATOS!$BJ$6:$BJ$1005,CIERRE!$J$2)))))</f>
      </c>
      <c r="D24" s="269">
        <f>IF(CIERRE!$J$2="","",N(INDEX(CONTRATOS!$AS$6:$AS$1005,CIERRE!$J$2)))</f>
      </c>
      <c r="E24" s="269">
        <f>IF(CIERRE!$J$2="","",N(INDEX(CONTRATOS!$AS$6:$AS$1005,CIERRE!$J$2))*(N(INDEX(CONTRATOS!$G$6:$G$1005,CIERRE!$J$2))+N(INDEX(CONTRATOS!$BJ$6:$BJ$1005,CIERRE!$J$2))))</f>
      </c>
    </row>
    <row r="25" spans="2:5" ht="18" customHeight="1" x14ac:dyDescent="0.2">
      <c r="B25" s="259" t="s">
        <v>275</v>
      </c>
      <c r="C25" s="259"/>
      <c r="D25" s="259"/>
      <c r="E25" s="269">
        <f>IF(CIERRE!$J$2="","",N(INDEX(CONTRATOS!$AP$6:$AP$1005,CIERRE!$J$2)))</f>
      </c>
    </row>
    <row r="26" spans="2:5" ht="18" customHeight="1" x14ac:dyDescent="0.2">
      <c r="B26" s="259">
        <f>"Carta poder"&amp;IF(CIERRE!$J$2="","",IF(INDEX(CONTRATOS!$AN$6:$AN$1005,CIERRE!$J$2)="",""," ("&amp;INDEX(CONTRATOS!$AN$6:$AN$1005,CIERRE!$J$2)&amp;")"))</f>
      </c>
      <c r="C26" s="259"/>
      <c r="D26" s="259"/>
      <c r="E26" s="269">
        <f>IF(CIERRE!$J$2="","",N(INDEX(CONTRATOS!$BN$6:$BN$1005,CIERRE!$J$2)))</f>
      </c>
    </row>
    <row r="27" spans="2:5" ht="18" customHeight="1" x14ac:dyDescent="0.2">
      <c r="B27" s="259">
        <f>"Varios"&amp;IF(CIERRE!$J$2="","",IF(INDEX(CONTRATOS!$AQ$6:$AQ$1005,CIERRE!$J$2)="",""," ("&amp;INDEX(CONTRATOS!$AQ$6:$AQ$1005,CIERRE!$J$2)&amp;")"))</f>
      </c>
      <c r="C27" s="259"/>
      <c r="D27" s="259"/>
      <c r="E27" s="269">
        <f>IF(CIERRE!$J$2="","",N(INDEX(CONTRATOS!$BP$6:$BP$1005,CIERRE!$J$2)))</f>
      </c>
    </row>
    <row r="28" spans="2:5" ht="18" customHeight="1" x14ac:dyDescent="0.2">
      <c r="B28" s="259" t="s">
        <v>225</v>
      </c>
      <c r="C28" s="259"/>
      <c r="D28" s="259"/>
      <c r="E28" s="269">
        <f>IF(CIERRE!$J$2="","",N(INDEX(CONTRATOS!$BM$6:$BM$1005,CIERRE!$J$2)))</f>
      </c>
    </row>
    <row r="29" spans="2:5" ht="18" customHeight="1" x14ac:dyDescent="0.2">
      <c r="B29" s="259" t="s">
        <v>226</v>
      </c>
      <c r="C29" s="259"/>
      <c r="D29" s="259"/>
      <c r="E29" s="269">
        <f>IF(CIERRE!$J$2="","",N(INDEX(CONTRATOS!$BO$6:$BO$1005,CIERRE!$J$2)))</f>
      </c>
    </row>
    <row r="30" spans="2:5" ht="18" customHeight="1" x14ac:dyDescent="0.2">
      <c r="B30" s="271" t="s">
        <v>196</v>
      </c>
      <c r="C30" s="271"/>
      <c r="D30" s="271"/>
      <c r="E30" s="272">
        <f>IF(CIERRE!$J$2="","",N(INDEX(CONTRATOS!$BQ$6:$BQ$1005,CIERRE!$J$2)))</f>
      </c>
    </row>
    <row r="31" spans="2:5" ht="18" customHeight="1" x14ac:dyDescent="0.2">
      <c r="B31" s="259" t="s">
        <v>227</v>
      </c>
      <c r="C31" s="259"/>
      <c r="D31" s="259"/>
      <c r="E31" s="270">
        <f>IF(CIERRE!$J$2="","",N(INDEX(CONTRATOS!$BR$6:$BR$1005,CIERRE!$J$2)))</f>
      </c>
    </row>
    <row r="32" spans="2:5" ht="18" customHeight="1" x14ac:dyDescent="0.2">
      <c r="B32" s="259" t="s">
        <v>228</v>
      </c>
      <c r="C32" s="268">
        <f>IF(CIERRE!$J$2="","",N(INDEX(CONTRATOS!$BS$6:$BS$1005,CIERRE!$J$2)))</f>
      </c>
      <c r="D32" s="259"/>
      <c r="E32" s="269">
        <f>IF(CIERRE!$J$2="","",ROUND(N(INDEX(CONTRATOS!$BT$6:$BT$1005,CIERRE!$J$2))-(N(INDEX(CONTRATOS!$BQ$6:$BQ$1005,CIERRE!$J$2))-N(INDEX(CONTRATOS!$BR$6:$BR$1005,CIERRE!$J$2))),2))</f>
      </c>
    </row>
    <row r="33" spans="2:5" ht="26" customHeight="1" x14ac:dyDescent="0.2">
      <c r="B33" s="496" t="s">
        <v>229</v>
      </c>
      <c r="C33" s="496"/>
      <c r="D33" s="496"/>
      <c r="E33" s="273">
        <f>IF(CIERRE!$J$2="","",N(INDEX(CONTRATOS!$BT$6:$BT$1005,CIERRE!$J$2)))</f>
      </c>
    </row>
    <row r="34" spans="2:5" ht="10" customHeight="1" x14ac:dyDescent="0.2"/>
    <row r="35" spans="2:5" ht="18" customHeight="1" x14ac:dyDescent="0.2">
      <c r="B35" s="258" t="s">
        <v>230</v>
      </c>
      <c r="C35" s="490">
        <f>IF(CIERRE!$J$2="","",IF(INDEX(CONTRATOS!$BZ$6:$BZ$1005,CIERRE!$J$2)="","",INDEX(CONTRATOS!$BZ$6:$BZ$1005,CIERRE!$J$2)))</f>
      </c>
      <c r="D35" s="490"/>
      <c r="E35" s="490"/>
    </row>
    <row r="36" spans="2:5" ht="18" customHeight="1" x14ac:dyDescent="0.2">
      <c r="B36" s="274" t="s">
        <v>231</v>
      </c>
      <c r="C36" s="491">
        <f>IF(CIERRE!$J$2="","",IF(INDEX(CONTRATOS!$CA$6:$CA$1005,CIERRE!$J$2)="","",INDEX(CONTRATOS!$CA$6:$CA$1005,CIERRE!$J$2)))</f>
      </c>
      <c r="D36" s="491"/>
      <c r="E36" s="491"/>
    </row>
    <row r="37" spans="2:5" ht="18" customHeight="1" x14ac:dyDescent="0.2">
      <c r="B37" s="275"/>
      <c r="C37" s="491"/>
      <c r="D37" s="491"/>
      <c r="E37" s="491"/>
    </row>
    <row r="38" spans="2:5" ht="10" customHeight="1" x14ac:dyDescent="0.2"/>
    <row r="39" spans="2:5" ht="10" customHeight="1" x14ac:dyDescent="0.2"/>
    <row r="40" spans="2:5" ht="40" customHeight="1" x14ac:dyDescent="0.2"/>
    <row r="41" spans="2:5" ht="18" customHeight="1" x14ac:dyDescent="0.2">
      <c r="B41" s="276" t="s">
        <v>232</v>
      </c>
      <c r="D41" s="492" t="s">
        <v>233</v>
      </c>
      <c r="E41" s="492"/>
    </row>
    <row r="42" spans="2:5" ht="12" customHeight="1" x14ac:dyDescent="0.2"/>
    <row r="43" spans="2:5" ht="18" customHeight="1" x14ac:dyDescent="0.2">
      <c r="B43" s="493" t="s">
        <v>234</v>
      </c>
      <c r="C43" s="493"/>
      <c r="D43" s="493"/>
      <c r="E43" s="493"/>
    </row>
    <row r="44" spans="2:5" ht="18" customHeight="1" x14ac:dyDescent="0.2">
      <c r="B44" s="494" t="s">
        <v>235</v>
      </c>
      <c r="C44" s="494"/>
      <c r="D44" s="494"/>
      <c r="E44" s="494"/>
    </row>
  </sheetData>
  <sheetProtection sheet="1" objects="1" scenarios="1" formatCells="0" formatColumns="0" formatRows="0" sort="0" autoFilter="0" pivotTables="0"/>
  <mergeCells count="15">
    <mergeCell ref="C2:E2"/>
    <mergeCell ref="C3:E3"/>
    <mergeCell ref="C4:D4"/>
    <mergeCell ref="C5:D5"/>
    <mergeCell ref="B6:E6"/>
    <mergeCell ref="B8:E8"/>
    <mergeCell ref="C9:E9"/>
    <mergeCell ref="C10:E10"/>
    <mergeCell ref="B17:E17"/>
    <mergeCell ref="B33:D33"/>
    <mergeCell ref="C35:E35"/>
    <mergeCell ref="C36:E37"/>
    <mergeCell ref="D41:E41"/>
    <mergeCell ref="B43:E43"/>
    <mergeCell ref="B44:E44"/>
  </mergeCells>
  <printOptions horizontalCentered="1"/>
  <pageMargins left="0.5" right="0.5" top="0.5" bottom="0.5" header="0" footer="0"/>
  <pageSetup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383158-93B6-3D46-A293-7218BE709EC5}">
  <sheetPr>
    <tabColor rgb="FF073A7A"/>
  </sheetPr>
  <dimension ref="B2:L55"/>
  <sheetViews>
    <sheetView showGridLines="0" workbookViewId="0">
      <pane ySplit="14" topLeftCell="A15" activePane="bottomLeft" state="frozen"/>
      <selection pane="bottomLeft" activeCell="C4" sqref="C4"/>
    </sheetView>
  </sheetViews>
  <sheetFormatPr baseColWidth="10" defaultRowHeight="16" x14ac:dyDescent="0.2"/>
  <cols>
    <col min="1" max="1" width="3.5703125" customWidth="1"/>
    <col min="2" max="2" width="19.85546875" customWidth="1"/>
    <col min="3" max="3" width="31.140625" customWidth="1"/>
    <col min="4" max="5" width="14.42578125" customWidth="1"/>
    <col min="6" max="6" width="8.140625" bestFit="1" customWidth="1"/>
    <col min="7" max="7" width="10.85546875" customWidth="1"/>
    <col min="8" max="8" width="14.42578125" customWidth="1"/>
    <col min="9" max="10" width="18" customWidth="1"/>
    <col min="11" max="11" width="3.5703125" customWidth="1"/>
    <col min="12" max="12" width="0" hidden="1" customWidth="1"/>
  </cols>
  <sheetData>
    <row r="2" spans="2:12" ht="46" x14ac:dyDescent="0.2">
      <c r="B2" s="96" t="s">
        <v>163</v>
      </c>
    </row>
    <row r="4" spans="2:12" ht="31.25" customHeight="1" x14ac:dyDescent="0.2">
      <c r="B4" s="109" t="s">
        <v>164</v>
      </c>
      <c r="C4" s="110">
        <v>1</v>
      </c>
      <c r="E4" s="306">
        <f>IFERROR(TRIM(IFERROR(IF(VLOOKUP($C$4,CLIENTES!$A$3:$AD$2002,2,FALSE)="","",VLOOKUP($C$4,CLIENTES!$A$3:$AD$2002,2,FALSE)),"")&amp;" "&amp;IFERROR(IF(VLOOKUP($C$4,CLIENTES!$A$3:$AD$2002,3,FALSE)="","",VLOOKUP($C$4,CLIENTES!$A$3:$AD$2002,3,FALSE)),"")&amp;" "&amp;IFERROR(IF(VLOOKUP($C$4,CLIENTES!$A$3:$AD$2002,4,FALSE)="","",VLOOKUP($C$4,CLIENTES!$A$3:$AD$2002,4,FALSE)),"")&amp;" "&amp;IFERROR(IF(VLOOKUP($C$4,CLIENTES!$A$3:$AD$2002,5,FALSE)="","",VLOOKUP($C$4,CLIENTES!$A$3:$AD$2002,5,FALSE)),"")),"")</f>
      </c>
      <c r="F4" s="307"/>
      <c r="G4" s="307"/>
      <c r="H4" s="307"/>
    </row>
    <row r="6" spans="2:12" ht="30" x14ac:dyDescent="0.2">
      <c r="B6" s="109" t="s">
        <v>123</v>
      </c>
      <c r="C6" s="78">
        <f>IFERROR(IF(VLOOKUP($C$4,CLIENTES!$A$3:$AD$2002,8,FALSE)="","",VLOOKUP($C$4,CLIENTES!$A$3:$AD$2002,8,FALSE)),"")</f>
      </c>
      <c r="F6" s="97" t="s">
        <v>143</v>
      </c>
      <c r="G6" s="76">
        <f>IF($C$4="",0,MAX(CONTRATOS!$CC$6:$CC$1005))</f>
      </c>
    </row>
    <row r="7" spans="2:12" ht="30" x14ac:dyDescent="0.2">
      <c r="B7" s="109" t="s">
        <v>8</v>
      </c>
      <c r="C7" s="78">
        <f>IFERROR(IF(VLOOKUP($C$4,CLIENTES!$A$3:$AD$2002,11,FALSE)="","",VLOOKUP($C$4,CLIENTES!$A$3:$AD$2002,11,FALSE)),"")</f>
      </c>
      <c r="F7" s="97" t="s">
        <v>165</v>
      </c>
      <c r="G7" s="80">
        <f>IF($C$4="",0,SUMIFS(CONTRATOS!$BT$6:$BT$1005,CONTRATOS!$B$6:$B$1005,$C$4,CONTRATOS!$BG$6:$BG$1005,"&lt;&gt;"))</f>
      </c>
    </row>
    <row r="8" spans="2:12" ht="30" x14ac:dyDescent="0.2">
      <c r="B8" s="109" t="s">
        <v>29</v>
      </c>
      <c r="C8" s="78">
        <f>IFERROR(IF(VLOOKUP($C$4,CLIENTES!$A$3:$AD$2002,18,FALSE)="","",VLOOKUP($C$4,CLIENTES!$A$3:$AD$2002,18,FALSE)),"")</f>
      </c>
      <c r="F8" s="97" t="s">
        <v>166</v>
      </c>
      <c r="G8" s="79">
        <f>IF($G$6=0,"",SUMPRODUCT(MAX((CONTRATOS!$B$6:$B$1005=$C$4)*(CONTRATOS!$F$6:$F$1005))))</f>
      </c>
    </row>
    <row r="9" spans="2:12" ht="22" customHeight="1" x14ac:dyDescent="0.2">
      <c r="B9" s="109" t="s">
        <v>18</v>
      </c>
      <c r="C9" s="309">
        <f>IFERROR(IF(VLOOKUP($C$4,CLIENTES!$A$3:$AD$2002,14,FALSE)="","",VLOOKUP($C$4,CLIENTES!$A$3:$AD$2002,14,FALSE)),"")</f>
      </c>
      <c r="D9" s="307"/>
      <c r="E9" s="307"/>
      <c r="F9" s="97" t="s">
        <v>176</v>
      </c>
      <c r="G9" s="80">
        <f>IF($C$4="",0,SUMIFS(CONTRATOS!$BW$6:$BW$1005,CONTRATOS!$B$6:$B$1005,$C$4,CONTRATOS!$BG$6:$BG$1005,"&lt;&gt;"))</f>
      </c>
    </row>
    <row r="10" spans="2:12" ht="22" customHeight="1" x14ac:dyDescent="0.2">
      <c r="B10" s="109" t="s">
        <v>49</v>
      </c>
      <c r="C10" s="78">
        <f>IFERROR(IF(VLOOKUP($C$4,CLIENTES!$A$3:$AD$2002,29,FALSE)="","",VLOOKUP($C$4,CLIENTES!$A$3:$AD$2002,29,FALSE)),"")</f>
      </c>
    </row>
    <row r="11" spans="2:12" ht="22" customHeight="1" x14ac:dyDescent="0.2">
      <c r="B11" s="109" t="s">
        <v>50</v>
      </c>
      <c r="C11" s="78">
        <f>IFERROR(IF(VLOOKUP($C$4,CLIENTES!$A$3:$AD$2002,30,FALSE)="","",VLOOKUP($C$4,CLIENTES!$A$3:$AD$2002,30,FALSE)),"")</f>
      </c>
    </row>
    <row r="14" spans="2:12" ht="36.5" customHeight="1" x14ac:dyDescent="0.2">
      <c r="B14" s="98" t="s">
        <v>161</v>
      </c>
      <c r="C14" s="98" t="s">
        <v>130</v>
      </c>
      <c r="D14" s="98" t="s">
        <v>162</v>
      </c>
      <c r="E14" s="98" t="s">
        <v>167</v>
      </c>
      <c r="F14" s="98" t="s">
        <v>52</v>
      </c>
      <c r="G14" s="98" t="s">
        <v>192</v>
      </c>
      <c r="H14" s="98" t="s">
        <v>133</v>
      </c>
      <c r="I14" s="98" t="s">
        <v>168</v>
      </c>
      <c r="J14" s="98" t="s">
        <v>159</v>
      </c>
    </row>
    <row r="16" spans="2:12" ht="19.5" customHeight="1" x14ac:dyDescent="0.2">
      <c r="B16" s="83">
        <f>IF($L16="","",IF(INDEX(CONTRATOS!$A$6:$A$1005,$L16)="","",INDEX(CONTRATOS!$A$6:$A$1005,$L16)))</f>
      </c>
      <c r="C16" s="82">
        <f>IF($L16="","",IF(INDEX(CONTRATOS!$E$6:$E$1005,$L16)="","",INDEX(CONTRATOS!$E$6:$E$1005,$L16)))</f>
      </c>
      <c r="D16" s="84">
        <f>IF($L16="","",IF(INDEX(CONTRATOS!$F$6:$F$1005,$L16)="","",INDEX(CONTRATOS!$F$6:$F$1005,$L16)))</f>
      </c>
      <c r="E16" s="84">
        <f>IF($L16="","",IF(INDEX(CONTRATOS!$BG$6:$BG$1005,$L16)="","",INDEX(CONTRATOS!$BG$6:$BG$1005,$L16)))</f>
      </c>
      <c r="F16" s="83">
        <f>IF($L16="","",IF(INDEX(CONTRATOS!$G$6:$G$1005,$L16)="","",INDEX(CONTRATOS!$G$6:$G$1005,$L16)))</f>
      </c>
      <c r="G16" s="83">
        <f>IF($L16="","",N(INDEX(CONTRATOS!$G$6:$G$1005,$L16))+N(INDEX(CONTRATOS!$BJ$6:$BJ$1005,$L16)))</f>
      </c>
      <c r="H16" s="85">
        <f>IF($L16="","",IF(INDEX(CONTRATOS!$J$6:$J$1005,$L16)="","",INDEX(CONTRATOS!$J$6:$J$1005,$L16)))</f>
      </c>
      <c r="I16" s="85">
        <f>IF($L16="","",IF(INDEX(CONTRATOS!$BT$6:$BT$1005,$L16)="","",INDEX(CONTRATOS!$BT$6:$BT$1005,$L16)))</f>
      </c>
      <c r="J16" s="83">
        <f>IF($L16="","",IF(INDEX(CONTRATOS!$BZ$6:$BZ$1005,$L16)="","",INDEX(CONTRATOS!$BZ$6:$BZ$1005,$L16)))</f>
      </c>
      <c r="L16" s="77">
        <f>IFERROR(MATCH(1,CONTRATOS!$CC$6:$CC$1005,0),"")</f>
      </c>
    </row>
    <row r="17" spans="2:12" ht="19.5" customHeight="1" x14ac:dyDescent="0.2">
      <c r="B17" s="83">
        <f>IF($L17="","",IF(INDEX(CONTRATOS!$A$6:$A$1005,$L17)="","",INDEX(CONTRATOS!$A$6:$A$1005,$L17)))</f>
      </c>
      <c r="C17" s="82">
        <f>IF($L17="","",IF(INDEX(CONTRATOS!$E$6:$E$1005,$L17)="","",INDEX(CONTRATOS!$E$6:$E$1005,$L17)))</f>
      </c>
      <c r="D17" s="84">
        <f>IF($L17="","",IF(INDEX(CONTRATOS!$F$6:$F$1005,$L17)="","",INDEX(CONTRATOS!$F$6:$F$1005,$L17)))</f>
      </c>
      <c r="E17" s="84">
        <f>IF($L17="","",IF(INDEX(CONTRATOS!$BG$6:$BG$1005,$L17)="","",INDEX(CONTRATOS!$BG$6:$BG$1005,$L17)))</f>
      </c>
      <c r="F17" s="83">
        <f>IF($L17="","",IF(INDEX(CONTRATOS!$G$6:$G$1005,$L17)="","",INDEX(CONTRATOS!$G$6:$G$1005,$L17)))</f>
      </c>
      <c r="G17" s="83">
        <f>IF($L17="","",N(INDEX(CONTRATOS!$G$6:$G$1005,$L17))+N(INDEX(CONTRATOS!$BJ$6:$BJ$1005,$L17)))</f>
      </c>
      <c r="H17" s="85">
        <f>IF($L17="","",IF(INDEX(CONTRATOS!$J$6:$J$1005,$L17)="","",INDEX(CONTRATOS!$J$6:$J$1005,$L17)))</f>
      </c>
      <c r="I17" s="85">
        <f>IF($L17="","",IF(INDEX(CONTRATOS!$BT$6:$BT$1005,$L17)="","",INDEX(CONTRATOS!$BT$6:$BT$1005,$L17)))</f>
      </c>
      <c r="J17" s="83">
        <f>IF($L17="","",IF(INDEX(CONTRATOS!$BZ$6:$BZ$1005,$L17)="","",INDEX(CONTRATOS!$BZ$6:$BZ$1005,$L17)))</f>
      </c>
      <c r="L17" s="77">
        <f>IFERROR(MATCH(2,CONTRATOS!$CC$6:$CC$1005,0),"")</f>
      </c>
    </row>
    <row r="18" spans="2:12" ht="19.5" customHeight="1" x14ac:dyDescent="0.2">
      <c r="B18" s="83">
        <f>IF($L18="","",IF(INDEX(CONTRATOS!$A$6:$A$1005,$L18)="","",INDEX(CONTRATOS!$A$6:$A$1005,$L18)))</f>
      </c>
      <c r="C18" s="82">
        <f>IF($L18="","",IF(INDEX(CONTRATOS!$E$6:$E$1005,$L18)="","",INDEX(CONTRATOS!$E$6:$E$1005,$L18)))</f>
      </c>
      <c r="D18" s="84">
        <f>IF($L18="","",IF(INDEX(CONTRATOS!$F$6:$F$1005,$L18)="","",INDEX(CONTRATOS!$F$6:$F$1005,$L18)))</f>
      </c>
      <c r="E18" s="84">
        <f>IF($L18="","",IF(INDEX(CONTRATOS!$BG$6:$BG$1005,$L18)="","",INDEX(CONTRATOS!$BG$6:$BG$1005,$L18)))</f>
      </c>
      <c r="F18" s="83">
        <f>IF($L18="","",IF(INDEX(CONTRATOS!$G$6:$G$1005,$L18)="","",INDEX(CONTRATOS!$G$6:$G$1005,$L18)))</f>
      </c>
      <c r="G18" s="83">
        <f>IF($L18="","",N(INDEX(CONTRATOS!$G$6:$G$1005,$L18))+N(INDEX(CONTRATOS!$BJ$6:$BJ$1005,$L18)))</f>
      </c>
      <c r="H18" s="85">
        <f>IF($L18="","",IF(INDEX(CONTRATOS!$J$6:$J$1005,$L18)="","",INDEX(CONTRATOS!$J$6:$J$1005,$L18)))</f>
      </c>
      <c r="I18" s="85">
        <f>IF($L18="","",IF(INDEX(CONTRATOS!$BT$6:$BT$1005,$L18)="","",INDEX(CONTRATOS!$BT$6:$BT$1005,$L18)))</f>
      </c>
      <c r="J18" s="83">
        <f>IF($L18="","",IF(INDEX(CONTRATOS!$BZ$6:$BZ$1005,$L18)="","",INDEX(CONTRATOS!$BZ$6:$BZ$1005,$L18)))</f>
      </c>
      <c r="L18" s="77">
        <f>IFERROR(MATCH(3,CONTRATOS!$CC$6:$CC$1005,0),"")</f>
      </c>
    </row>
    <row r="19" spans="2:12" ht="19.5" customHeight="1" x14ac:dyDescent="0.2">
      <c r="B19" s="83">
        <f>IF($L19="","",IF(INDEX(CONTRATOS!$A$6:$A$1005,$L19)="","",INDEX(CONTRATOS!$A$6:$A$1005,$L19)))</f>
      </c>
      <c r="C19" s="82">
        <f>IF($L19="","",IF(INDEX(CONTRATOS!$E$6:$E$1005,$L19)="","",INDEX(CONTRATOS!$E$6:$E$1005,$L19)))</f>
      </c>
      <c r="D19" s="84">
        <f>IF($L19="","",IF(INDEX(CONTRATOS!$F$6:$F$1005,$L19)="","",INDEX(CONTRATOS!$F$6:$F$1005,$L19)))</f>
      </c>
      <c r="E19" s="84">
        <f>IF($L19="","",IF(INDEX(CONTRATOS!$BG$6:$BG$1005,$L19)="","",INDEX(CONTRATOS!$BG$6:$BG$1005,$L19)))</f>
      </c>
      <c r="F19" s="83">
        <f>IF($L19="","",IF(INDEX(CONTRATOS!$G$6:$G$1005,$L19)="","",INDEX(CONTRATOS!$G$6:$G$1005,$L19)))</f>
      </c>
      <c r="G19" s="83">
        <f>IF($L19="","",N(INDEX(CONTRATOS!$G$6:$G$1005,$L19))+N(INDEX(CONTRATOS!$BJ$6:$BJ$1005,$L19)))</f>
      </c>
      <c r="H19" s="85">
        <f>IF($L19="","",IF(INDEX(CONTRATOS!$J$6:$J$1005,$L19)="","",INDEX(CONTRATOS!$J$6:$J$1005,$L19)))</f>
      </c>
      <c r="I19" s="85">
        <f>IF($L19="","",IF(INDEX(CONTRATOS!$BT$6:$BT$1005,$L19)="","",INDEX(CONTRATOS!$BT$6:$BT$1005,$L19)))</f>
      </c>
      <c r="J19" s="83">
        <f>IF($L19="","",IF(INDEX(CONTRATOS!$BZ$6:$BZ$1005,$L19)="","",INDEX(CONTRATOS!$BZ$6:$BZ$1005,$L19)))</f>
      </c>
      <c r="L19" s="77">
        <f>IFERROR(MATCH(4,CONTRATOS!$CC$6:$CC$1005,0),"")</f>
      </c>
    </row>
    <row r="20" spans="2:12" ht="19.5" customHeight="1" x14ac:dyDescent="0.2">
      <c r="B20" s="83">
        <f>IF($L20="","",IF(INDEX(CONTRATOS!$A$6:$A$1005,$L20)="","",INDEX(CONTRATOS!$A$6:$A$1005,$L20)))</f>
      </c>
      <c r="C20" s="82">
        <f>IF($L20="","",IF(INDEX(CONTRATOS!$E$6:$E$1005,$L20)="","",INDEX(CONTRATOS!$E$6:$E$1005,$L20)))</f>
      </c>
      <c r="D20" s="84">
        <f>IF($L20="","",IF(INDEX(CONTRATOS!$F$6:$F$1005,$L20)="","",INDEX(CONTRATOS!$F$6:$F$1005,$L20)))</f>
      </c>
      <c r="E20" s="84">
        <f>IF($L20="","",IF(INDEX(CONTRATOS!$BG$6:$BG$1005,$L20)="","",INDEX(CONTRATOS!$BG$6:$BG$1005,$L20)))</f>
      </c>
      <c r="F20" s="83">
        <f>IF($L20="","",IF(INDEX(CONTRATOS!$G$6:$G$1005,$L20)="","",INDEX(CONTRATOS!$G$6:$G$1005,$L20)))</f>
      </c>
      <c r="G20" s="83">
        <f>IF($L20="","",N(INDEX(CONTRATOS!$G$6:$G$1005,$L20))+N(INDEX(CONTRATOS!$BJ$6:$BJ$1005,$L20)))</f>
      </c>
      <c r="H20" s="85">
        <f>IF($L20="","",IF(INDEX(CONTRATOS!$J$6:$J$1005,$L20)="","",INDEX(CONTRATOS!$J$6:$J$1005,$L20)))</f>
      </c>
      <c r="I20" s="85">
        <f>IF($L20="","",IF(INDEX(CONTRATOS!$BT$6:$BT$1005,$L20)="","",INDEX(CONTRATOS!$BT$6:$BT$1005,$L20)))</f>
      </c>
      <c r="J20" s="83">
        <f>IF($L20="","",IF(INDEX(CONTRATOS!$BZ$6:$BZ$1005,$L20)="","",INDEX(CONTRATOS!$BZ$6:$BZ$1005,$L20)))</f>
      </c>
      <c r="L20" s="77">
        <f>IFERROR(MATCH(5,CONTRATOS!$CC$6:$CC$1005,0),"")</f>
      </c>
    </row>
    <row r="21" spans="2:12" ht="19.5" customHeight="1" x14ac:dyDescent="0.2">
      <c r="B21" s="83">
        <f>IF($L21="","",IF(INDEX(CONTRATOS!$A$6:$A$1005,$L21)="","",INDEX(CONTRATOS!$A$6:$A$1005,$L21)))</f>
      </c>
      <c r="C21" s="82">
        <f>IF($L21="","",IF(INDEX(CONTRATOS!$E$6:$E$1005,$L21)="","",INDEX(CONTRATOS!$E$6:$E$1005,$L21)))</f>
      </c>
      <c r="D21" s="84">
        <f>IF($L21="","",IF(INDEX(CONTRATOS!$F$6:$F$1005,$L21)="","",INDEX(CONTRATOS!$F$6:$F$1005,$L21)))</f>
      </c>
      <c r="E21" s="84">
        <f>IF($L21="","",IF(INDEX(CONTRATOS!$BG$6:$BG$1005,$L21)="","",INDEX(CONTRATOS!$BG$6:$BG$1005,$L21)))</f>
      </c>
      <c r="F21" s="83">
        <f>IF($L21="","",IF(INDEX(CONTRATOS!$G$6:$G$1005,$L21)="","",INDEX(CONTRATOS!$G$6:$G$1005,$L21)))</f>
      </c>
      <c r="G21" s="83">
        <f>IF($L21="","",N(INDEX(CONTRATOS!$G$6:$G$1005,$L21))+N(INDEX(CONTRATOS!$BJ$6:$BJ$1005,$L21)))</f>
      </c>
      <c r="H21" s="85">
        <f>IF($L21="","",IF(INDEX(CONTRATOS!$J$6:$J$1005,$L21)="","",INDEX(CONTRATOS!$J$6:$J$1005,$L21)))</f>
      </c>
      <c r="I21" s="85">
        <f>IF($L21="","",IF(INDEX(CONTRATOS!$BT$6:$BT$1005,$L21)="","",INDEX(CONTRATOS!$BT$6:$BT$1005,$L21)))</f>
      </c>
      <c r="J21" s="83">
        <f>IF($L21="","",IF(INDEX(CONTRATOS!$BZ$6:$BZ$1005,$L21)="","",INDEX(CONTRATOS!$BZ$6:$BZ$1005,$L21)))</f>
      </c>
      <c r="L21" s="77">
        <f>IFERROR(MATCH(6,CONTRATOS!$CC$6:$CC$1005,0),"")</f>
      </c>
    </row>
    <row r="22" spans="2:12" ht="19.5" customHeight="1" x14ac:dyDescent="0.2">
      <c r="B22" s="83">
        <f>IF($L22="","",IF(INDEX(CONTRATOS!$A$6:$A$1005,$L22)="","",INDEX(CONTRATOS!$A$6:$A$1005,$L22)))</f>
      </c>
      <c r="C22" s="82">
        <f>IF($L22="","",IF(INDEX(CONTRATOS!$E$6:$E$1005,$L22)="","",INDEX(CONTRATOS!$E$6:$E$1005,$L22)))</f>
      </c>
      <c r="D22" s="84">
        <f>IF($L22="","",IF(INDEX(CONTRATOS!$F$6:$F$1005,$L22)="","",INDEX(CONTRATOS!$F$6:$F$1005,$L22)))</f>
      </c>
      <c r="E22" s="84">
        <f>IF($L22="","",IF(INDEX(CONTRATOS!$BG$6:$BG$1005,$L22)="","",INDEX(CONTRATOS!$BG$6:$BG$1005,$L22)))</f>
      </c>
      <c r="F22" s="83">
        <f>IF($L22="","",IF(INDEX(CONTRATOS!$G$6:$G$1005,$L22)="","",INDEX(CONTRATOS!$G$6:$G$1005,$L22)))</f>
      </c>
      <c r="G22" s="83">
        <f>IF($L22="","",N(INDEX(CONTRATOS!$G$6:$G$1005,$L22))+N(INDEX(CONTRATOS!$BJ$6:$BJ$1005,$L22)))</f>
      </c>
      <c r="H22" s="85">
        <f>IF($L22="","",IF(INDEX(CONTRATOS!$J$6:$J$1005,$L22)="","",INDEX(CONTRATOS!$J$6:$J$1005,$L22)))</f>
      </c>
      <c r="I22" s="85">
        <f>IF($L22="","",IF(INDEX(CONTRATOS!$BT$6:$BT$1005,$L22)="","",INDEX(CONTRATOS!$BT$6:$BT$1005,$L22)))</f>
      </c>
      <c r="J22" s="83">
        <f>IF($L22="","",IF(INDEX(CONTRATOS!$BZ$6:$BZ$1005,$L22)="","",INDEX(CONTRATOS!$BZ$6:$BZ$1005,$L22)))</f>
      </c>
      <c r="L22" s="77">
        <f>IFERROR(MATCH(7,CONTRATOS!$CC$6:$CC$1005,0),"")</f>
      </c>
    </row>
    <row r="23" spans="2:12" ht="19.5" customHeight="1" x14ac:dyDescent="0.2">
      <c r="B23" s="83">
        <f>IF($L23="","",IF(INDEX(CONTRATOS!$A$6:$A$1005,$L23)="","",INDEX(CONTRATOS!$A$6:$A$1005,$L23)))</f>
      </c>
      <c r="C23" s="82">
        <f>IF($L23="","",IF(INDEX(CONTRATOS!$E$6:$E$1005,$L23)="","",INDEX(CONTRATOS!$E$6:$E$1005,$L23)))</f>
      </c>
      <c r="D23" s="84">
        <f>IF($L23="","",IF(INDEX(CONTRATOS!$F$6:$F$1005,$L23)="","",INDEX(CONTRATOS!$F$6:$F$1005,$L23)))</f>
      </c>
      <c r="E23" s="84">
        <f>IF($L23="","",IF(INDEX(CONTRATOS!$BG$6:$BG$1005,$L23)="","",INDEX(CONTRATOS!$BG$6:$BG$1005,$L23)))</f>
      </c>
      <c r="F23" s="83">
        <f>IF($L23="","",IF(INDEX(CONTRATOS!$G$6:$G$1005,$L23)="","",INDEX(CONTRATOS!$G$6:$G$1005,$L23)))</f>
      </c>
      <c r="G23" s="83">
        <f>IF($L23="","",N(INDEX(CONTRATOS!$G$6:$G$1005,$L23))+N(INDEX(CONTRATOS!$BJ$6:$BJ$1005,$L23)))</f>
      </c>
      <c r="H23" s="85">
        <f>IF($L23="","",IF(INDEX(CONTRATOS!$J$6:$J$1005,$L23)="","",INDEX(CONTRATOS!$J$6:$J$1005,$L23)))</f>
      </c>
      <c r="I23" s="85">
        <f>IF($L23="","",IF(INDEX(CONTRATOS!$BT$6:$BT$1005,$L23)="","",INDEX(CONTRATOS!$BT$6:$BT$1005,$L23)))</f>
      </c>
      <c r="J23" s="83">
        <f>IF($L23="","",IF(INDEX(CONTRATOS!$BZ$6:$BZ$1005,$L23)="","",INDEX(CONTRATOS!$BZ$6:$BZ$1005,$L23)))</f>
      </c>
      <c r="L23" s="77">
        <f>IFERROR(MATCH(8,CONTRATOS!$CC$6:$CC$1005,0),"")</f>
      </c>
    </row>
    <row r="24" spans="2:12" ht="19.5" customHeight="1" x14ac:dyDescent="0.2">
      <c r="B24" s="83">
        <f>IF($L24="","",IF(INDEX(CONTRATOS!$A$6:$A$1005,$L24)="","",INDEX(CONTRATOS!$A$6:$A$1005,$L24)))</f>
      </c>
      <c r="C24" s="82">
        <f>IF($L24="","",IF(INDEX(CONTRATOS!$E$6:$E$1005,$L24)="","",INDEX(CONTRATOS!$E$6:$E$1005,$L24)))</f>
      </c>
      <c r="D24" s="84">
        <f>IF($L24="","",IF(INDEX(CONTRATOS!$F$6:$F$1005,$L24)="","",INDEX(CONTRATOS!$F$6:$F$1005,$L24)))</f>
      </c>
      <c r="E24" s="84">
        <f>IF($L24="","",IF(INDEX(CONTRATOS!$BG$6:$BG$1005,$L24)="","",INDEX(CONTRATOS!$BG$6:$BG$1005,$L24)))</f>
      </c>
      <c r="F24" s="83">
        <f>IF($L24="","",IF(INDEX(CONTRATOS!$G$6:$G$1005,$L24)="","",INDEX(CONTRATOS!$G$6:$G$1005,$L24)))</f>
      </c>
      <c r="G24" s="83">
        <f>IF($L24="","",N(INDEX(CONTRATOS!$G$6:$G$1005,$L24))+N(INDEX(CONTRATOS!$BJ$6:$BJ$1005,$L24)))</f>
      </c>
      <c r="H24" s="85">
        <f>IF($L24="","",IF(INDEX(CONTRATOS!$J$6:$J$1005,$L24)="","",INDEX(CONTRATOS!$J$6:$J$1005,$L24)))</f>
      </c>
      <c r="I24" s="85">
        <f>IF($L24="","",IF(INDEX(CONTRATOS!$BT$6:$BT$1005,$L24)="","",INDEX(CONTRATOS!$BT$6:$BT$1005,$L24)))</f>
      </c>
      <c r="J24" s="83">
        <f>IF($L24="","",IF(INDEX(CONTRATOS!$BZ$6:$BZ$1005,$L24)="","",INDEX(CONTRATOS!$BZ$6:$BZ$1005,$L24)))</f>
      </c>
      <c r="L24" s="77">
        <f>IFERROR(MATCH(9,CONTRATOS!$CC$6:$CC$1005,0),"")</f>
      </c>
    </row>
    <row r="25" spans="2:12" ht="19.5" customHeight="1" x14ac:dyDescent="0.2">
      <c r="B25" s="83">
        <f>IF($L25="","",IF(INDEX(CONTRATOS!$A$6:$A$1005,$L25)="","",INDEX(CONTRATOS!$A$6:$A$1005,$L25)))</f>
      </c>
      <c r="C25" s="82">
        <f>IF($L25="","",IF(INDEX(CONTRATOS!$E$6:$E$1005,$L25)="","",INDEX(CONTRATOS!$E$6:$E$1005,$L25)))</f>
      </c>
      <c r="D25" s="84">
        <f>IF($L25="","",IF(INDEX(CONTRATOS!$F$6:$F$1005,$L25)="","",INDEX(CONTRATOS!$F$6:$F$1005,$L25)))</f>
      </c>
      <c r="E25" s="84">
        <f>IF($L25="","",IF(INDEX(CONTRATOS!$BG$6:$BG$1005,$L25)="","",INDEX(CONTRATOS!$BG$6:$BG$1005,$L25)))</f>
      </c>
      <c r="F25" s="83">
        <f>IF($L25="","",IF(INDEX(CONTRATOS!$G$6:$G$1005,$L25)="","",INDEX(CONTRATOS!$G$6:$G$1005,$L25)))</f>
      </c>
      <c r="G25" s="83">
        <f>IF($L25="","",N(INDEX(CONTRATOS!$G$6:$G$1005,$L25))+N(INDEX(CONTRATOS!$BJ$6:$BJ$1005,$L25)))</f>
      </c>
      <c r="H25" s="85">
        <f>IF($L25="","",IF(INDEX(CONTRATOS!$J$6:$J$1005,$L25)="","",INDEX(CONTRATOS!$J$6:$J$1005,$L25)))</f>
      </c>
      <c r="I25" s="85">
        <f>IF($L25="","",IF(INDEX(CONTRATOS!$BT$6:$BT$1005,$L25)="","",INDEX(CONTRATOS!$BT$6:$BT$1005,$L25)))</f>
      </c>
      <c r="J25" s="83">
        <f>IF($L25="","",IF(INDEX(CONTRATOS!$BZ$6:$BZ$1005,$L25)="","",INDEX(CONTRATOS!$BZ$6:$BZ$1005,$L25)))</f>
      </c>
      <c r="L25" s="77">
        <f>IFERROR(MATCH(10,CONTRATOS!$CC$6:$CC$1005,0),"")</f>
      </c>
    </row>
    <row r="26" spans="2:12" ht="19.5" customHeight="1" x14ac:dyDescent="0.2">
      <c r="B26" s="83">
        <f>IF($L26="","",IF(INDEX(CONTRATOS!$A$6:$A$1005,$L26)="","",INDEX(CONTRATOS!$A$6:$A$1005,$L26)))</f>
      </c>
      <c r="C26" s="82">
        <f>IF($L26="","",IF(INDEX(CONTRATOS!$E$6:$E$1005,$L26)="","",INDEX(CONTRATOS!$E$6:$E$1005,$L26)))</f>
      </c>
      <c r="D26" s="84">
        <f>IF($L26="","",IF(INDEX(CONTRATOS!$F$6:$F$1005,$L26)="","",INDEX(CONTRATOS!$F$6:$F$1005,$L26)))</f>
      </c>
      <c r="E26" s="84">
        <f>IF($L26="","",IF(INDEX(CONTRATOS!$BG$6:$BG$1005,$L26)="","",INDEX(CONTRATOS!$BG$6:$BG$1005,$L26)))</f>
      </c>
      <c r="F26" s="83">
        <f>IF($L26="","",IF(INDEX(CONTRATOS!$G$6:$G$1005,$L26)="","",INDEX(CONTRATOS!$G$6:$G$1005,$L26)))</f>
      </c>
      <c r="G26" s="83">
        <f>IF($L26="","",N(INDEX(CONTRATOS!$G$6:$G$1005,$L26))+N(INDEX(CONTRATOS!$BJ$6:$BJ$1005,$L26)))</f>
      </c>
      <c r="H26" s="85">
        <f>IF($L26="","",IF(INDEX(CONTRATOS!$J$6:$J$1005,$L26)="","",INDEX(CONTRATOS!$J$6:$J$1005,$L26)))</f>
      </c>
      <c r="I26" s="85">
        <f>IF($L26="","",IF(INDEX(CONTRATOS!$BT$6:$BT$1005,$L26)="","",INDEX(CONTRATOS!$BT$6:$BT$1005,$L26)))</f>
      </c>
      <c r="J26" s="83">
        <f>IF($L26="","",IF(INDEX(CONTRATOS!$BZ$6:$BZ$1005,$L26)="","",INDEX(CONTRATOS!$BZ$6:$BZ$1005,$L26)))</f>
      </c>
      <c r="L26" s="77">
        <f>IFERROR(MATCH(11,CONTRATOS!$CC$6:$CC$1005,0),"")</f>
      </c>
    </row>
    <row r="27" spans="2:12" ht="19.5" customHeight="1" x14ac:dyDescent="0.2">
      <c r="B27" s="83">
        <f>IF($L27="","",IF(INDEX(CONTRATOS!$A$6:$A$1005,$L27)="","",INDEX(CONTRATOS!$A$6:$A$1005,$L27)))</f>
      </c>
      <c r="C27" s="82">
        <f>IF($L27="","",IF(INDEX(CONTRATOS!$E$6:$E$1005,$L27)="","",INDEX(CONTRATOS!$E$6:$E$1005,$L27)))</f>
      </c>
      <c r="D27" s="84">
        <f>IF($L27="","",IF(INDEX(CONTRATOS!$F$6:$F$1005,$L27)="","",INDEX(CONTRATOS!$F$6:$F$1005,$L27)))</f>
      </c>
      <c r="E27" s="84">
        <f>IF($L27="","",IF(INDEX(CONTRATOS!$BG$6:$BG$1005,$L27)="","",INDEX(CONTRATOS!$BG$6:$BG$1005,$L27)))</f>
      </c>
      <c r="F27" s="83">
        <f>IF($L27="","",IF(INDEX(CONTRATOS!$G$6:$G$1005,$L27)="","",INDEX(CONTRATOS!$G$6:$G$1005,$L27)))</f>
      </c>
      <c r="G27" s="83">
        <f>IF($L27="","",N(INDEX(CONTRATOS!$G$6:$G$1005,$L27))+N(INDEX(CONTRATOS!$BJ$6:$BJ$1005,$L27)))</f>
      </c>
      <c r="H27" s="85">
        <f>IF($L27="","",IF(INDEX(CONTRATOS!$J$6:$J$1005,$L27)="","",INDEX(CONTRATOS!$J$6:$J$1005,$L27)))</f>
      </c>
      <c r="I27" s="85">
        <f>IF($L27="","",IF(INDEX(CONTRATOS!$BT$6:$BT$1005,$L27)="","",INDEX(CONTRATOS!$BT$6:$BT$1005,$L27)))</f>
      </c>
      <c r="J27" s="83">
        <f>IF($L27="","",IF(INDEX(CONTRATOS!$BZ$6:$BZ$1005,$L27)="","",INDEX(CONTRATOS!$BZ$6:$BZ$1005,$L27)))</f>
      </c>
      <c r="L27" s="77">
        <f>IFERROR(MATCH(12,CONTRATOS!$CC$6:$CC$1005,0),"")</f>
      </c>
    </row>
    <row r="28" spans="2:12" ht="19.5" customHeight="1" x14ac:dyDescent="0.2">
      <c r="B28" s="83">
        <f>IF($L28="","",IF(INDEX(CONTRATOS!$A$6:$A$1005,$L28)="","",INDEX(CONTRATOS!$A$6:$A$1005,$L28)))</f>
      </c>
      <c r="C28" s="82">
        <f>IF($L28="","",IF(INDEX(CONTRATOS!$E$6:$E$1005,$L28)="","",INDEX(CONTRATOS!$E$6:$E$1005,$L28)))</f>
      </c>
      <c r="D28" s="84">
        <f>IF($L28="","",IF(INDEX(CONTRATOS!$F$6:$F$1005,$L28)="","",INDEX(CONTRATOS!$F$6:$F$1005,$L28)))</f>
      </c>
      <c r="E28" s="84">
        <f>IF($L28="","",IF(INDEX(CONTRATOS!$BG$6:$BG$1005,$L28)="","",INDEX(CONTRATOS!$BG$6:$BG$1005,$L28)))</f>
      </c>
      <c r="F28" s="83">
        <f>IF($L28="","",IF(INDEX(CONTRATOS!$G$6:$G$1005,$L28)="","",INDEX(CONTRATOS!$G$6:$G$1005,$L28)))</f>
      </c>
      <c r="G28" s="83">
        <f>IF($L28="","",N(INDEX(CONTRATOS!$G$6:$G$1005,$L28))+N(INDEX(CONTRATOS!$BJ$6:$BJ$1005,$L28)))</f>
      </c>
      <c r="H28" s="85">
        <f>IF($L28="","",IF(INDEX(CONTRATOS!$J$6:$J$1005,$L28)="","",INDEX(CONTRATOS!$J$6:$J$1005,$L28)))</f>
      </c>
      <c r="I28" s="85">
        <f>IF($L28="","",IF(INDEX(CONTRATOS!$BT$6:$BT$1005,$L28)="","",INDEX(CONTRATOS!$BT$6:$BT$1005,$L28)))</f>
      </c>
      <c r="J28" s="83">
        <f>IF($L28="","",IF(INDEX(CONTRATOS!$BZ$6:$BZ$1005,$L28)="","",INDEX(CONTRATOS!$BZ$6:$BZ$1005,$L28)))</f>
      </c>
      <c r="L28" s="77">
        <f>IFERROR(MATCH(13,CONTRATOS!$CC$6:$CC$1005,0),"")</f>
      </c>
    </row>
    <row r="29" spans="2:12" ht="19.5" customHeight="1" x14ac:dyDescent="0.2">
      <c r="B29" s="83">
        <f>IF($L29="","",IF(INDEX(CONTRATOS!$A$6:$A$1005,$L29)="","",INDEX(CONTRATOS!$A$6:$A$1005,$L29)))</f>
      </c>
      <c r="C29" s="82">
        <f>IF($L29="","",IF(INDEX(CONTRATOS!$E$6:$E$1005,$L29)="","",INDEX(CONTRATOS!$E$6:$E$1005,$L29)))</f>
      </c>
      <c r="D29" s="84">
        <f>IF($L29="","",IF(INDEX(CONTRATOS!$F$6:$F$1005,$L29)="","",INDEX(CONTRATOS!$F$6:$F$1005,$L29)))</f>
      </c>
      <c r="E29" s="84">
        <f>IF($L29="","",IF(INDEX(CONTRATOS!$BG$6:$BG$1005,$L29)="","",INDEX(CONTRATOS!$BG$6:$BG$1005,$L29)))</f>
      </c>
      <c r="F29" s="83">
        <f>IF($L29="","",IF(INDEX(CONTRATOS!$G$6:$G$1005,$L29)="","",INDEX(CONTRATOS!$G$6:$G$1005,$L29)))</f>
      </c>
      <c r="G29" s="83">
        <f>IF($L29="","",N(INDEX(CONTRATOS!$G$6:$G$1005,$L29))+N(INDEX(CONTRATOS!$BJ$6:$BJ$1005,$L29)))</f>
      </c>
      <c r="H29" s="85">
        <f>IF($L29="","",IF(INDEX(CONTRATOS!$J$6:$J$1005,$L29)="","",INDEX(CONTRATOS!$J$6:$J$1005,$L29)))</f>
      </c>
      <c r="I29" s="85">
        <f>IF($L29="","",IF(INDEX(CONTRATOS!$BT$6:$BT$1005,$L29)="","",INDEX(CONTRATOS!$BT$6:$BT$1005,$L29)))</f>
      </c>
      <c r="J29" s="83">
        <f>IF($L29="","",IF(INDEX(CONTRATOS!$BZ$6:$BZ$1005,$L29)="","",INDEX(CONTRATOS!$BZ$6:$BZ$1005,$L29)))</f>
      </c>
      <c r="L29" s="77">
        <f>IFERROR(MATCH(14,CONTRATOS!$CC$6:$CC$1005,0),"")</f>
      </c>
    </row>
    <row r="30" spans="2:12" ht="19.5" customHeight="1" x14ac:dyDescent="0.2">
      <c r="B30" s="83">
        <f>IF($L30="","",IF(INDEX(CONTRATOS!$A$6:$A$1005,$L30)="","",INDEX(CONTRATOS!$A$6:$A$1005,$L30)))</f>
      </c>
      <c r="C30" s="82">
        <f>IF($L30="","",IF(INDEX(CONTRATOS!$E$6:$E$1005,$L30)="","",INDEX(CONTRATOS!$E$6:$E$1005,$L30)))</f>
      </c>
      <c r="D30" s="84">
        <f>IF($L30="","",IF(INDEX(CONTRATOS!$F$6:$F$1005,$L30)="","",INDEX(CONTRATOS!$F$6:$F$1005,$L30)))</f>
      </c>
      <c r="E30" s="84">
        <f>IF($L30="","",IF(INDEX(CONTRATOS!$BG$6:$BG$1005,$L30)="","",INDEX(CONTRATOS!$BG$6:$BG$1005,$L30)))</f>
      </c>
      <c r="F30" s="83">
        <f>IF($L30="","",IF(INDEX(CONTRATOS!$G$6:$G$1005,$L30)="","",INDEX(CONTRATOS!$G$6:$G$1005,$L30)))</f>
      </c>
      <c r="G30" s="83">
        <f>IF($L30="","",N(INDEX(CONTRATOS!$G$6:$G$1005,$L30))+N(INDEX(CONTRATOS!$BJ$6:$BJ$1005,$L30)))</f>
      </c>
      <c r="H30" s="85">
        <f>IF($L30="","",IF(INDEX(CONTRATOS!$J$6:$J$1005,$L30)="","",INDEX(CONTRATOS!$J$6:$J$1005,$L30)))</f>
      </c>
      <c r="I30" s="85">
        <f>IF($L30="","",IF(INDEX(CONTRATOS!$BT$6:$BT$1005,$L30)="","",INDEX(CONTRATOS!$BT$6:$BT$1005,$L30)))</f>
      </c>
      <c r="J30" s="83">
        <f>IF($L30="","",IF(INDEX(CONTRATOS!$BZ$6:$BZ$1005,$L30)="","",INDEX(CONTRATOS!$BZ$6:$BZ$1005,$L30)))</f>
      </c>
      <c r="L30" s="77">
        <f>IFERROR(MATCH(15,CONTRATOS!$CC$6:$CC$1005,0),"")</f>
      </c>
    </row>
    <row r="31" spans="2:12" ht="19.5" customHeight="1" x14ac:dyDescent="0.2">
      <c r="B31" s="83">
        <f>IF($L31="","",IF(INDEX(CONTRATOS!$A$6:$A$1005,$L31)="","",INDEX(CONTRATOS!$A$6:$A$1005,$L31)))</f>
      </c>
      <c r="C31" s="82">
        <f>IF($L31="","",IF(INDEX(CONTRATOS!$E$6:$E$1005,$L31)="","",INDEX(CONTRATOS!$E$6:$E$1005,$L31)))</f>
      </c>
      <c r="D31" s="84">
        <f>IF($L31="","",IF(INDEX(CONTRATOS!$F$6:$F$1005,$L31)="","",INDEX(CONTRATOS!$F$6:$F$1005,$L31)))</f>
      </c>
      <c r="E31" s="84">
        <f>IF($L31="","",IF(INDEX(CONTRATOS!$BG$6:$BG$1005,$L31)="","",INDEX(CONTRATOS!$BG$6:$BG$1005,$L31)))</f>
      </c>
      <c r="F31" s="83">
        <f>IF($L31="","",IF(INDEX(CONTRATOS!$G$6:$G$1005,$L31)="","",INDEX(CONTRATOS!$G$6:$G$1005,$L31)))</f>
      </c>
      <c r="G31" s="83">
        <f>IF($L31="","",N(INDEX(CONTRATOS!$G$6:$G$1005,$L31))+N(INDEX(CONTRATOS!$BJ$6:$BJ$1005,$L31)))</f>
      </c>
      <c r="H31" s="85">
        <f>IF($L31="","",IF(INDEX(CONTRATOS!$J$6:$J$1005,$L31)="","",INDEX(CONTRATOS!$J$6:$J$1005,$L31)))</f>
      </c>
      <c r="I31" s="85">
        <f>IF($L31="","",IF(INDEX(CONTRATOS!$BT$6:$BT$1005,$L31)="","",INDEX(CONTRATOS!$BT$6:$BT$1005,$L31)))</f>
      </c>
      <c r="J31" s="83">
        <f>IF($L31="","",IF(INDEX(CONTRATOS!$BZ$6:$BZ$1005,$L31)="","",INDEX(CONTRATOS!$BZ$6:$BZ$1005,$L31)))</f>
      </c>
      <c r="L31" s="77">
        <f>IFERROR(MATCH(16,CONTRATOS!$CC$6:$CC$1005,0),"")</f>
      </c>
    </row>
    <row r="32" spans="2:12" ht="19.5" customHeight="1" x14ac:dyDescent="0.2">
      <c r="B32" s="83">
        <f>IF($L32="","",IF(INDEX(CONTRATOS!$A$6:$A$1005,$L32)="","",INDEX(CONTRATOS!$A$6:$A$1005,$L32)))</f>
      </c>
      <c r="C32" s="82">
        <f>IF($L32="","",IF(INDEX(CONTRATOS!$E$6:$E$1005,$L32)="","",INDEX(CONTRATOS!$E$6:$E$1005,$L32)))</f>
      </c>
      <c r="D32" s="84">
        <f>IF($L32="","",IF(INDEX(CONTRATOS!$F$6:$F$1005,$L32)="","",INDEX(CONTRATOS!$F$6:$F$1005,$L32)))</f>
      </c>
      <c r="E32" s="84">
        <f>IF($L32="","",IF(INDEX(CONTRATOS!$BG$6:$BG$1005,$L32)="","",INDEX(CONTRATOS!$BG$6:$BG$1005,$L32)))</f>
      </c>
      <c r="F32" s="83">
        <f>IF($L32="","",IF(INDEX(CONTRATOS!$G$6:$G$1005,$L32)="","",INDEX(CONTRATOS!$G$6:$G$1005,$L32)))</f>
      </c>
      <c r="G32" s="83">
        <f>IF($L32="","",N(INDEX(CONTRATOS!$G$6:$G$1005,$L32))+N(INDEX(CONTRATOS!$BJ$6:$BJ$1005,$L32)))</f>
      </c>
      <c r="H32" s="85">
        <f>IF($L32="","",IF(INDEX(CONTRATOS!$J$6:$J$1005,$L32)="","",INDEX(CONTRATOS!$J$6:$J$1005,$L32)))</f>
      </c>
      <c r="I32" s="85">
        <f>IF($L32="","",IF(INDEX(CONTRATOS!$BT$6:$BT$1005,$L32)="","",INDEX(CONTRATOS!$BT$6:$BT$1005,$L32)))</f>
      </c>
      <c r="J32" s="83">
        <f>IF($L32="","",IF(INDEX(CONTRATOS!$BZ$6:$BZ$1005,$L32)="","",INDEX(CONTRATOS!$BZ$6:$BZ$1005,$L32)))</f>
      </c>
      <c r="L32" s="77">
        <f>IFERROR(MATCH(17,CONTRATOS!$CC$6:$CC$1005,0),"")</f>
      </c>
    </row>
    <row r="33" spans="2:12" ht="19.5" customHeight="1" x14ac:dyDescent="0.2">
      <c r="B33" s="83">
        <f>IF($L33="","",IF(INDEX(CONTRATOS!$A$6:$A$1005,$L33)="","",INDEX(CONTRATOS!$A$6:$A$1005,$L33)))</f>
      </c>
      <c r="C33" s="82">
        <f>IF($L33="","",IF(INDEX(CONTRATOS!$E$6:$E$1005,$L33)="","",INDEX(CONTRATOS!$E$6:$E$1005,$L33)))</f>
      </c>
      <c r="D33" s="84">
        <f>IF($L33="","",IF(INDEX(CONTRATOS!$F$6:$F$1005,$L33)="","",INDEX(CONTRATOS!$F$6:$F$1005,$L33)))</f>
      </c>
      <c r="E33" s="84">
        <f>IF($L33="","",IF(INDEX(CONTRATOS!$BG$6:$BG$1005,$L33)="","",INDEX(CONTRATOS!$BG$6:$BG$1005,$L33)))</f>
      </c>
      <c r="F33" s="83">
        <f>IF($L33="","",IF(INDEX(CONTRATOS!$G$6:$G$1005,$L33)="","",INDEX(CONTRATOS!$G$6:$G$1005,$L33)))</f>
      </c>
      <c r="G33" s="83">
        <f>IF($L33="","",N(INDEX(CONTRATOS!$G$6:$G$1005,$L33))+N(INDEX(CONTRATOS!$BJ$6:$BJ$1005,$L33)))</f>
      </c>
      <c r="H33" s="85">
        <f>IF($L33="","",IF(INDEX(CONTRATOS!$J$6:$J$1005,$L33)="","",INDEX(CONTRATOS!$J$6:$J$1005,$L33)))</f>
      </c>
      <c r="I33" s="85">
        <f>IF($L33="","",IF(INDEX(CONTRATOS!$BT$6:$BT$1005,$L33)="","",INDEX(CONTRATOS!$BT$6:$BT$1005,$L33)))</f>
      </c>
      <c r="J33" s="83">
        <f>IF($L33="","",IF(INDEX(CONTRATOS!$BZ$6:$BZ$1005,$L33)="","",INDEX(CONTRATOS!$BZ$6:$BZ$1005,$L33)))</f>
      </c>
      <c r="L33" s="77">
        <f>IFERROR(MATCH(18,CONTRATOS!$CC$6:$CC$1005,0),"")</f>
      </c>
    </row>
    <row r="34" spans="2:12" ht="19.5" customHeight="1" x14ac:dyDescent="0.2">
      <c r="B34" s="83">
        <f>IF($L34="","",IF(INDEX(CONTRATOS!$A$6:$A$1005,$L34)="","",INDEX(CONTRATOS!$A$6:$A$1005,$L34)))</f>
      </c>
      <c r="C34" s="82">
        <f>IF($L34="","",IF(INDEX(CONTRATOS!$E$6:$E$1005,$L34)="","",INDEX(CONTRATOS!$E$6:$E$1005,$L34)))</f>
      </c>
      <c r="D34" s="84">
        <f>IF($L34="","",IF(INDEX(CONTRATOS!$F$6:$F$1005,$L34)="","",INDEX(CONTRATOS!$F$6:$F$1005,$L34)))</f>
      </c>
      <c r="E34" s="84">
        <f>IF($L34="","",IF(INDEX(CONTRATOS!$BG$6:$BG$1005,$L34)="","",INDEX(CONTRATOS!$BG$6:$BG$1005,$L34)))</f>
      </c>
      <c r="F34" s="83">
        <f>IF($L34="","",IF(INDEX(CONTRATOS!$G$6:$G$1005,$L34)="","",INDEX(CONTRATOS!$G$6:$G$1005,$L34)))</f>
      </c>
      <c r="G34" s="83">
        <f>IF($L34="","",N(INDEX(CONTRATOS!$G$6:$G$1005,$L34))+N(INDEX(CONTRATOS!$BJ$6:$BJ$1005,$L34)))</f>
      </c>
      <c r="H34" s="85">
        <f>IF($L34="","",IF(INDEX(CONTRATOS!$J$6:$J$1005,$L34)="","",INDEX(CONTRATOS!$J$6:$J$1005,$L34)))</f>
      </c>
      <c r="I34" s="85">
        <f>IF($L34="","",IF(INDEX(CONTRATOS!$BT$6:$BT$1005,$L34)="","",INDEX(CONTRATOS!$BT$6:$BT$1005,$L34)))</f>
      </c>
      <c r="J34" s="83">
        <f>IF($L34="","",IF(INDEX(CONTRATOS!$BZ$6:$BZ$1005,$L34)="","",INDEX(CONTRATOS!$BZ$6:$BZ$1005,$L34)))</f>
      </c>
      <c r="L34" s="77">
        <f>IFERROR(MATCH(19,CONTRATOS!$CC$6:$CC$1005,0),"")</f>
      </c>
    </row>
    <row r="35" spans="2:12" ht="19.5" customHeight="1" x14ac:dyDescent="0.2">
      <c r="B35" s="83">
        <f>IF($L35="","",IF(INDEX(CONTRATOS!$A$6:$A$1005,$L35)="","",INDEX(CONTRATOS!$A$6:$A$1005,$L35)))</f>
      </c>
      <c r="C35" s="82">
        <f>IF($L35="","",IF(INDEX(CONTRATOS!$E$6:$E$1005,$L35)="","",INDEX(CONTRATOS!$E$6:$E$1005,$L35)))</f>
      </c>
      <c r="D35" s="84">
        <f>IF($L35="","",IF(INDEX(CONTRATOS!$F$6:$F$1005,$L35)="","",INDEX(CONTRATOS!$F$6:$F$1005,$L35)))</f>
      </c>
      <c r="E35" s="84">
        <f>IF($L35="","",IF(INDEX(CONTRATOS!$BG$6:$BG$1005,$L35)="","",INDEX(CONTRATOS!$BG$6:$BG$1005,$L35)))</f>
      </c>
      <c r="F35" s="83">
        <f>IF($L35="","",IF(INDEX(CONTRATOS!$G$6:$G$1005,$L35)="","",INDEX(CONTRATOS!$G$6:$G$1005,$L35)))</f>
      </c>
      <c r="G35" s="83">
        <f>IF($L35="","",N(INDEX(CONTRATOS!$G$6:$G$1005,$L35))+N(INDEX(CONTRATOS!$BJ$6:$BJ$1005,$L35)))</f>
      </c>
      <c r="H35" s="85">
        <f>IF($L35="","",IF(INDEX(CONTRATOS!$J$6:$J$1005,$L35)="","",INDEX(CONTRATOS!$J$6:$J$1005,$L35)))</f>
      </c>
      <c r="I35" s="85">
        <f>IF($L35="","",IF(INDEX(CONTRATOS!$BT$6:$BT$1005,$L35)="","",INDEX(CONTRATOS!$BT$6:$BT$1005,$L35)))</f>
      </c>
      <c r="J35" s="83">
        <f>IF($L35="","",IF(INDEX(CONTRATOS!$BZ$6:$BZ$1005,$L35)="","",INDEX(CONTRATOS!$BZ$6:$BZ$1005,$L35)))</f>
      </c>
      <c r="L35" s="77">
        <f>IFERROR(MATCH(20,CONTRATOS!$CC$6:$CC$1005,0),"")</f>
      </c>
    </row>
    <row r="36" spans="2:12" ht="19.5" customHeight="1" x14ac:dyDescent="0.2">
      <c r="B36" s="83">
        <f>IF($L36="","",IF(INDEX(CONTRATOS!$A$6:$A$1005,$L36)="","",INDEX(CONTRATOS!$A$6:$A$1005,$L36)))</f>
      </c>
      <c r="C36" s="82">
        <f>IF($L36="","",IF(INDEX(CONTRATOS!$E$6:$E$1005,$L36)="","",INDEX(CONTRATOS!$E$6:$E$1005,$L36)))</f>
      </c>
      <c r="D36" s="84">
        <f>IF($L36="","",IF(INDEX(CONTRATOS!$F$6:$F$1005,$L36)="","",INDEX(CONTRATOS!$F$6:$F$1005,$L36)))</f>
      </c>
      <c r="E36" s="84">
        <f>IF($L36="","",IF(INDEX(CONTRATOS!$BG$6:$BG$1005,$L36)="","",INDEX(CONTRATOS!$BG$6:$BG$1005,$L36)))</f>
      </c>
      <c r="F36" s="83">
        <f>IF($L36="","",IF(INDEX(CONTRATOS!$G$6:$G$1005,$L36)="","",INDEX(CONTRATOS!$G$6:$G$1005,$L36)))</f>
      </c>
      <c r="G36" s="83">
        <f>IF($L36="","",N(INDEX(CONTRATOS!$G$6:$G$1005,$L36))+N(INDEX(CONTRATOS!$BJ$6:$BJ$1005,$L36)))</f>
      </c>
      <c r="H36" s="85">
        <f>IF($L36="","",IF(INDEX(CONTRATOS!$J$6:$J$1005,$L36)="","",INDEX(CONTRATOS!$J$6:$J$1005,$L36)))</f>
      </c>
      <c r="I36" s="85">
        <f>IF($L36="","",IF(INDEX(CONTRATOS!$BT$6:$BT$1005,$L36)="","",INDEX(CONTRATOS!$BT$6:$BT$1005,$L36)))</f>
      </c>
      <c r="J36" s="83">
        <f>IF($L36="","",IF(INDEX(CONTRATOS!$BZ$6:$BZ$1005,$L36)="","",INDEX(CONTRATOS!$BZ$6:$BZ$1005,$L36)))</f>
      </c>
      <c r="L36" s="77">
        <f>IFERROR(MATCH(21,CONTRATOS!$CC$6:$CC$1005,0),"")</f>
      </c>
    </row>
    <row r="37" spans="2:12" ht="19.5" customHeight="1" x14ac:dyDescent="0.2">
      <c r="B37" s="83">
        <f>IF($L37="","",IF(INDEX(CONTRATOS!$A$6:$A$1005,$L37)="","",INDEX(CONTRATOS!$A$6:$A$1005,$L37)))</f>
      </c>
      <c r="C37" s="82">
        <f>IF($L37="","",IF(INDEX(CONTRATOS!$E$6:$E$1005,$L37)="","",INDEX(CONTRATOS!$E$6:$E$1005,$L37)))</f>
      </c>
      <c r="D37" s="84">
        <f>IF($L37="","",IF(INDEX(CONTRATOS!$F$6:$F$1005,$L37)="","",INDEX(CONTRATOS!$F$6:$F$1005,$L37)))</f>
      </c>
      <c r="E37" s="84">
        <f>IF($L37="","",IF(INDEX(CONTRATOS!$BG$6:$BG$1005,$L37)="","",INDEX(CONTRATOS!$BG$6:$BG$1005,$L37)))</f>
      </c>
      <c r="F37" s="83">
        <f>IF($L37="","",IF(INDEX(CONTRATOS!$G$6:$G$1005,$L37)="","",INDEX(CONTRATOS!$G$6:$G$1005,$L37)))</f>
      </c>
      <c r="G37" s="83">
        <f>IF($L37="","",N(INDEX(CONTRATOS!$G$6:$G$1005,$L37))+N(INDEX(CONTRATOS!$BJ$6:$BJ$1005,$L37)))</f>
      </c>
      <c r="H37" s="85">
        <f>IF($L37="","",IF(INDEX(CONTRATOS!$J$6:$J$1005,$L37)="","",INDEX(CONTRATOS!$J$6:$J$1005,$L37)))</f>
      </c>
      <c r="I37" s="85">
        <f>IF($L37="","",IF(INDEX(CONTRATOS!$BT$6:$BT$1005,$L37)="","",INDEX(CONTRATOS!$BT$6:$BT$1005,$L37)))</f>
      </c>
      <c r="J37" s="83">
        <f>IF($L37="","",IF(INDEX(CONTRATOS!$BZ$6:$BZ$1005,$L37)="","",INDEX(CONTRATOS!$BZ$6:$BZ$1005,$L37)))</f>
      </c>
      <c r="L37" s="77">
        <f>IFERROR(MATCH(22,CONTRATOS!$CC$6:$CC$1005,0),"")</f>
      </c>
    </row>
    <row r="38" spans="2:12" ht="19.5" customHeight="1" x14ac:dyDescent="0.2">
      <c r="B38" s="83">
        <f>IF($L38="","",IF(INDEX(CONTRATOS!$A$6:$A$1005,$L38)="","",INDEX(CONTRATOS!$A$6:$A$1005,$L38)))</f>
      </c>
      <c r="C38" s="82">
        <f>IF($L38="","",IF(INDEX(CONTRATOS!$E$6:$E$1005,$L38)="","",INDEX(CONTRATOS!$E$6:$E$1005,$L38)))</f>
      </c>
      <c r="D38" s="84">
        <f>IF($L38="","",IF(INDEX(CONTRATOS!$F$6:$F$1005,$L38)="","",INDEX(CONTRATOS!$F$6:$F$1005,$L38)))</f>
      </c>
      <c r="E38" s="84">
        <f>IF($L38="","",IF(INDEX(CONTRATOS!$BG$6:$BG$1005,$L38)="","",INDEX(CONTRATOS!$BG$6:$BG$1005,$L38)))</f>
      </c>
      <c r="F38" s="83">
        <f>IF($L38="","",IF(INDEX(CONTRATOS!$G$6:$G$1005,$L38)="","",INDEX(CONTRATOS!$G$6:$G$1005,$L38)))</f>
      </c>
      <c r="G38" s="83">
        <f>IF($L38="","",N(INDEX(CONTRATOS!$G$6:$G$1005,$L38))+N(INDEX(CONTRATOS!$BJ$6:$BJ$1005,$L38)))</f>
      </c>
      <c r="H38" s="85">
        <f>IF($L38="","",IF(INDEX(CONTRATOS!$J$6:$J$1005,$L38)="","",INDEX(CONTRATOS!$J$6:$J$1005,$L38)))</f>
      </c>
      <c r="I38" s="85">
        <f>IF($L38="","",IF(INDEX(CONTRATOS!$BT$6:$BT$1005,$L38)="","",INDEX(CONTRATOS!$BT$6:$BT$1005,$L38)))</f>
      </c>
      <c r="J38" s="83">
        <f>IF($L38="","",IF(INDEX(CONTRATOS!$BZ$6:$BZ$1005,$L38)="","",INDEX(CONTRATOS!$BZ$6:$BZ$1005,$L38)))</f>
      </c>
      <c r="L38" s="77">
        <f>IFERROR(MATCH(23,CONTRATOS!$CC$6:$CC$1005,0),"")</f>
      </c>
    </row>
    <row r="39" spans="2:12" ht="19.5" customHeight="1" x14ac:dyDescent="0.2">
      <c r="B39" s="83">
        <f>IF($L39="","",IF(INDEX(CONTRATOS!$A$6:$A$1005,$L39)="","",INDEX(CONTRATOS!$A$6:$A$1005,$L39)))</f>
      </c>
      <c r="C39" s="82">
        <f>IF($L39="","",IF(INDEX(CONTRATOS!$E$6:$E$1005,$L39)="","",INDEX(CONTRATOS!$E$6:$E$1005,$L39)))</f>
      </c>
      <c r="D39" s="84">
        <f>IF($L39="","",IF(INDEX(CONTRATOS!$F$6:$F$1005,$L39)="","",INDEX(CONTRATOS!$F$6:$F$1005,$L39)))</f>
      </c>
      <c r="E39" s="84">
        <f>IF($L39="","",IF(INDEX(CONTRATOS!$BG$6:$BG$1005,$L39)="","",INDEX(CONTRATOS!$BG$6:$BG$1005,$L39)))</f>
      </c>
      <c r="F39" s="83">
        <f>IF($L39="","",IF(INDEX(CONTRATOS!$G$6:$G$1005,$L39)="","",INDEX(CONTRATOS!$G$6:$G$1005,$L39)))</f>
      </c>
      <c r="G39" s="83">
        <f>IF($L39="","",N(INDEX(CONTRATOS!$G$6:$G$1005,$L39))+N(INDEX(CONTRATOS!$BJ$6:$BJ$1005,$L39)))</f>
      </c>
      <c r="H39" s="85">
        <f>IF($L39="","",IF(INDEX(CONTRATOS!$J$6:$J$1005,$L39)="","",INDEX(CONTRATOS!$J$6:$J$1005,$L39)))</f>
      </c>
      <c r="I39" s="85">
        <f>IF($L39="","",IF(INDEX(CONTRATOS!$BT$6:$BT$1005,$L39)="","",INDEX(CONTRATOS!$BT$6:$BT$1005,$L39)))</f>
      </c>
      <c r="J39" s="83">
        <f>IF($L39="","",IF(INDEX(CONTRATOS!$BZ$6:$BZ$1005,$L39)="","",INDEX(CONTRATOS!$BZ$6:$BZ$1005,$L39)))</f>
      </c>
      <c r="L39" s="77">
        <f>IFERROR(MATCH(24,CONTRATOS!$CC$6:$CC$1005,0),"")</f>
      </c>
    </row>
    <row r="40" spans="2:12" ht="19.5" customHeight="1" x14ac:dyDescent="0.2">
      <c r="B40" s="83">
        <f>IF($L40="","",IF(INDEX(CONTRATOS!$A$6:$A$1005,$L40)="","",INDEX(CONTRATOS!$A$6:$A$1005,$L40)))</f>
      </c>
      <c r="C40" s="82">
        <f>IF($L40="","",IF(INDEX(CONTRATOS!$E$6:$E$1005,$L40)="","",INDEX(CONTRATOS!$E$6:$E$1005,$L40)))</f>
      </c>
      <c r="D40" s="84">
        <f>IF($L40="","",IF(INDEX(CONTRATOS!$F$6:$F$1005,$L40)="","",INDEX(CONTRATOS!$F$6:$F$1005,$L40)))</f>
      </c>
      <c r="E40" s="84">
        <f>IF($L40="","",IF(INDEX(CONTRATOS!$BG$6:$BG$1005,$L40)="","",INDEX(CONTRATOS!$BG$6:$BG$1005,$L40)))</f>
      </c>
      <c r="F40" s="83">
        <f>IF($L40="","",IF(INDEX(CONTRATOS!$G$6:$G$1005,$L40)="","",INDEX(CONTRATOS!$G$6:$G$1005,$L40)))</f>
      </c>
      <c r="G40" s="83">
        <f>IF($L40="","",N(INDEX(CONTRATOS!$G$6:$G$1005,$L40))+N(INDEX(CONTRATOS!$BJ$6:$BJ$1005,$L40)))</f>
      </c>
      <c r="H40" s="85">
        <f>IF($L40="","",IF(INDEX(CONTRATOS!$J$6:$J$1005,$L40)="","",INDEX(CONTRATOS!$J$6:$J$1005,$L40)))</f>
      </c>
      <c r="I40" s="85">
        <f>IF($L40="","",IF(INDEX(CONTRATOS!$BT$6:$BT$1005,$L40)="","",INDEX(CONTRATOS!$BT$6:$BT$1005,$L40)))</f>
      </c>
      <c r="J40" s="83">
        <f>IF($L40="","",IF(INDEX(CONTRATOS!$BZ$6:$BZ$1005,$L40)="","",INDEX(CONTRATOS!$BZ$6:$BZ$1005,$L40)))</f>
      </c>
      <c r="L40" s="77">
        <f>IFERROR(MATCH(25,CONTRATOS!$CC$6:$CC$1005,0),"")</f>
      </c>
    </row>
    <row r="41" spans="2:12" ht="19.5" customHeight="1" x14ac:dyDescent="0.2">
      <c r="B41" s="83">
        <f>IF($L41="","",IF(INDEX(CONTRATOS!$A$6:$A$1005,$L41)="","",INDEX(CONTRATOS!$A$6:$A$1005,$L41)))</f>
      </c>
      <c r="C41" s="82">
        <f>IF($L41="","",IF(INDEX(CONTRATOS!$E$6:$E$1005,$L41)="","",INDEX(CONTRATOS!$E$6:$E$1005,$L41)))</f>
      </c>
      <c r="D41" s="84">
        <f>IF($L41="","",IF(INDEX(CONTRATOS!$F$6:$F$1005,$L41)="","",INDEX(CONTRATOS!$F$6:$F$1005,$L41)))</f>
      </c>
      <c r="E41" s="84">
        <f>IF($L41="","",IF(INDEX(CONTRATOS!$BG$6:$BG$1005,$L41)="","",INDEX(CONTRATOS!$BG$6:$BG$1005,$L41)))</f>
      </c>
      <c r="F41" s="83">
        <f>IF($L41="","",IF(INDEX(CONTRATOS!$G$6:$G$1005,$L41)="","",INDEX(CONTRATOS!$G$6:$G$1005,$L41)))</f>
      </c>
      <c r="G41" s="83">
        <f>IF($L41="","",N(INDEX(CONTRATOS!$G$6:$G$1005,$L41))+N(INDEX(CONTRATOS!$BJ$6:$BJ$1005,$L41)))</f>
      </c>
      <c r="H41" s="85">
        <f>IF($L41="","",IF(INDEX(CONTRATOS!$J$6:$J$1005,$L41)="","",INDEX(CONTRATOS!$J$6:$J$1005,$L41)))</f>
      </c>
      <c r="I41" s="85">
        <f>IF($L41="","",IF(INDEX(CONTRATOS!$BT$6:$BT$1005,$L41)="","",INDEX(CONTRATOS!$BT$6:$BT$1005,$L41)))</f>
      </c>
      <c r="J41" s="83">
        <f>IF($L41="","",IF(INDEX(CONTRATOS!$BZ$6:$BZ$1005,$L41)="","",INDEX(CONTRATOS!$BZ$6:$BZ$1005,$L41)))</f>
      </c>
      <c r="L41" s="77">
        <f>IFERROR(MATCH(26,CONTRATOS!$CC$6:$CC$1005,0),"")</f>
      </c>
    </row>
    <row r="42" spans="2:12" ht="19.5" customHeight="1" x14ac:dyDescent="0.2">
      <c r="B42" s="83">
        <f>IF($L42="","",IF(INDEX(CONTRATOS!$A$6:$A$1005,$L42)="","",INDEX(CONTRATOS!$A$6:$A$1005,$L42)))</f>
      </c>
      <c r="C42" s="82">
        <f>IF($L42="","",IF(INDEX(CONTRATOS!$E$6:$E$1005,$L42)="","",INDEX(CONTRATOS!$E$6:$E$1005,$L42)))</f>
      </c>
      <c r="D42" s="84">
        <f>IF($L42="","",IF(INDEX(CONTRATOS!$F$6:$F$1005,$L42)="","",INDEX(CONTRATOS!$F$6:$F$1005,$L42)))</f>
      </c>
      <c r="E42" s="84">
        <f>IF($L42="","",IF(INDEX(CONTRATOS!$BG$6:$BG$1005,$L42)="","",INDEX(CONTRATOS!$BG$6:$BG$1005,$L42)))</f>
      </c>
      <c r="F42" s="83">
        <f>IF($L42="","",IF(INDEX(CONTRATOS!$G$6:$G$1005,$L42)="","",INDEX(CONTRATOS!$G$6:$G$1005,$L42)))</f>
      </c>
      <c r="G42" s="83">
        <f>IF($L42="","",N(INDEX(CONTRATOS!$G$6:$G$1005,$L42))+N(INDEX(CONTRATOS!$BJ$6:$BJ$1005,$L42)))</f>
      </c>
      <c r="H42" s="85">
        <f>IF($L42="","",IF(INDEX(CONTRATOS!$J$6:$J$1005,$L42)="","",INDEX(CONTRATOS!$J$6:$J$1005,$L42)))</f>
      </c>
      <c r="I42" s="85">
        <f>IF($L42="","",IF(INDEX(CONTRATOS!$BT$6:$BT$1005,$L42)="","",INDEX(CONTRATOS!$BT$6:$BT$1005,$L42)))</f>
      </c>
      <c r="J42" s="83">
        <f>IF($L42="","",IF(INDEX(CONTRATOS!$BZ$6:$BZ$1005,$L42)="","",INDEX(CONTRATOS!$BZ$6:$BZ$1005,$L42)))</f>
      </c>
      <c r="L42" s="77">
        <f>IFERROR(MATCH(27,CONTRATOS!$CC$6:$CC$1005,0),"")</f>
      </c>
    </row>
    <row r="43" spans="2:12" ht="19.5" customHeight="1" x14ac:dyDescent="0.2">
      <c r="B43" s="83">
        <f>IF($L43="","",IF(INDEX(CONTRATOS!$A$6:$A$1005,$L43)="","",INDEX(CONTRATOS!$A$6:$A$1005,$L43)))</f>
      </c>
      <c r="C43" s="82">
        <f>IF($L43="","",IF(INDEX(CONTRATOS!$E$6:$E$1005,$L43)="","",INDEX(CONTRATOS!$E$6:$E$1005,$L43)))</f>
      </c>
      <c r="D43" s="84">
        <f>IF($L43="","",IF(INDEX(CONTRATOS!$F$6:$F$1005,$L43)="","",INDEX(CONTRATOS!$F$6:$F$1005,$L43)))</f>
      </c>
      <c r="E43" s="84">
        <f>IF($L43="","",IF(INDEX(CONTRATOS!$BG$6:$BG$1005,$L43)="","",INDEX(CONTRATOS!$BG$6:$BG$1005,$L43)))</f>
      </c>
      <c r="F43" s="83">
        <f>IF($L43="","",IF(INDEX(CONTRATOS!$G$6:$G$1005,$L43)="","",INDEX(CONTRATOS!$G$6:$G$1005,$L43)))</f>
      </c>
      <c r="G43" s="83">
        <f>IF($L43="","",N(INDEX(CONTRATOS!$G$6:$G$1005,$L43))+N(INDEX(CONTRATOS!$BJ$6:$BJ$1005,$L43)))</f>
      </c>
      <c r="H43" s="85">
        <f>IF($L43="","",IF(INDEX(CONTRATOS!$J$6:$J$1005,$L43)="","",INDEX(CONTRATOS!$J$6:$J$1005,$L43)))</f>
      </c>
      <c r="I43" s="85">
        <f>IF($L43="","",IF(INDEX(CONTRATOS!$BT$6:$BT$1005,$L43)="","",INDEX(CONTRATOS!$BT$6:$BT$1005,$L43)))</f>
      </c>
      <c r="J43" s="83">
        <f>IF($L43="","",IF(INDEX(CONTRATOS!$BZ$6:$BZ$1005,$L43)="","",INDEX(CONTRATOS!$BZ$6:$BZ$1005,$L43)))</f>
      </c>
      <c r="L43" s="77">
        <f>IFERROR(MATCH(28,CONTRATOS!$CC$6:$CC$1005,0),"")</f>
      </c>
    </row>
    <row r="44" spans="2:12" ht="19.5" customHeight="1" x14ac:dyDescent="0.2">
      <c r="B44" s="83">
        <f>IF($L44="","",IF(INDEX(CONTRATOS!$A$6:$A$1005,$L44)="","",INDEX(CONTRATOS!$A$6:$A$1005,$L44)))</f>
      </c>
      <c r="C44" s="82">
        <f>IF($L44="","",IF(INDEX(CONTRATOS!$E$6:$E$1005,$L44)="","",INDEX(CONTRATOS!$E$6:$E$1005,$L44)))</f>
      </c>
      <c r="D44" s="84">
        <f>IF($L44="","",IF(INDEX(CONTRATOS!$F$6:$F$1005,$L44)="","",INDEX(CONTRATOS!$F$6:$F$1005,$L44)))</f>
      </c>
      <c r="E44" s="84">
        <f>IF($L44="","",IF(INDEX(CONTRATOS!$BG$6:$BG$1005,$L44)="","",INDEX(CONTRATOS!$BG$6:$BG$1005,$L44)))</f>
      </c>
      <c r="F44" s="83">
        <f>IF($L44="","",IF(INDEX(CONTRATOS!$G$6:$G$1005,$L44)="","",INDEX(CONTRATOS!$G$6:$G$1005,$L44)))</f>
      </c>
      <c r="G44" s="83">
        <f>IF($L44="","",N(INDEX(CONTRATOS!$G$6:$G$1005,$L44))+N(INDEX(CONTRATOS!$BJ$6:$BJ$1005,$L44)))</f>
      </c>
      <c r="H44" s="85">
        <f>IF($L44="","",IF(INDEX(CONTRATOS!$J$6:$J$1005,$L44)="","",INDEX(CONTRATOS!$J$6:$J$1005,$L44)))</f>
      </c>
      <c r="I44" s="85">
        <f>IF($L44="","",IF(INDEX(CONTRATOS!$BT$6:$BT$1005,$L44)="","",INDEX(CONTRATOS!$BT$6:$BT$1005,$L44)))</f>
      </c>
      <c r="J44" s="83">
        <f>IF($L44="","",IF(INDEX(CONTRATOS!$BZ$6:$BZ$1005,$L44)="","",INDEX(CONTRATOS!$BZ$6:$BZ$1005,$L44)))</f>
      </c>
      <c r="L44" s="77">
        <f>IFERROR(MATCH(29,CONTRATOS!$CC$6:$CC$1005,0),"")</f>
      </c>
    </row>
    <row r="45" spans="2:12" ht="19.5" customHeight="1" x14ac:dyDescent="0.2">
      <c r="B45" s="83">
        <f>IF($L45="","",IF(INDEX(CONTRATOS!$A$6:$A$1005,$L45)="","",INDEX(CONTRATOS!$A$6:$A$1005,$L45)))</f>
      </c>
      <c r="C45" s="82">
        <f>IF($L45="","",IF(INDEX(CONTRATOS!$E$6:$E$1005,$L45)="","",INDEX(CONTRATOS!$E$6:$E$1005,$L45)))</f>
      </c>
      <c r="D45" s="84">
        <f>IF($L45="","",IF(INDEX(CONTRATOS!$F$6:$F$1005,$L45)="","",INDEX(CONTRATOS!$F$6:$F$1005,$L45)))</f>
      </c>
      <c r="E45" s="84">
        <f>IF($L45="","",IF(INDEX(CONTRATOS!$BG$6:$BG$1005,$L45)="","",INDEX(CONTRATOS!$BG$6:$BG$1005,$L45)))</f>
      </c>
      <c r="F45" s="83">
        <f>IF($L45="","",IF(INDEX(CONTRATOS!$G$6:$G$1005,$L45)="","",INDEX(CONTRATOS!$G$6:$G$1005,$L45)))</f>
      </c>
      <c r="G45" s="83">
        <f>IF($L45="","",N(INDEX(CONTRATOS!$G$6:$G$1005,$L45))+N(INDEX(CONTRATOS!$BJ$6:$BJ$1005,$L45)))</f>
      </c>
      <c r="H45" s="85">
        <f>IF($L45="","",IF(INDEX(CONTRATOS!$J$6:$J$1005,$L45)="","",INDEX(CONTRATOS!$J$6:$J$1005,$L45)))</f>
      </c>
      <c r="I45" s="85">
        <f>IF($L45="","",IF(INDEX(CONTRATOS!$BT$6:$BT$1005,$L45)="","",INDEX(CONTRATOS!$BT$6:$BT$1005,$L45)))</f>
      </c>
      <c r="J45" s="83">
        <f>IF($L45="","",IF(INDEX(CONTRATOS!$BZ$6:$BZ$1005,$L45)="","",INDEX(CONTRATOS!$BZ$6:$BZ$1005,$L45)))</f>
      </c>
      <c r="L45" s="77">
        <f>IFERROR(MATCH(30,CONTRATOS!$CC$6:$CC$1005,0),"")</f>
      </c>
    </row>
    <row r="46" spans="2:12" ht="19.5" customHeight="1" x14ac:dyDescent="0.2">
      <c r="B46" s="83">
        <f>IF($L46="","",IF(INDEX(CONTRATOS!$A$6:$A$1005,$L46)="","",INDEX(CONTRATOS!$A$6:$A$1005,$L46)))</f>
      </c>
      <c r="C46" s="82">
        <f>IF($L46="","",IF(INDEX(CONTRATOS!$E$6:$E$1005,$L46)="","",INDEX(CONTRATOS!$E$6:$E$1005,$L46)))</f>
      </c>
      <c r="D46" s="84">
        <f>IF($L46="","",IF(INDEX(CONTRATOS!$F$6:$F$1005,$L46)="","",INDEX(CONTRATOS!$F$6:$F$1005,$L46)))</f>
      </c>
      <c r="E46" s="84">
        <f>IF($L46="","",IF(INDEX(CONTRATOS!$BG$6:$BG$1005,$L46)="","",INDEX(CONTRATOS!$BG$6:$BG$1005,$L46)))</f>
      </c>
      <c r="F46" s="83">
        <f>IF($L46="","",IF(INDEX(CONTRATOS!$G$6:$G$1005,$L46)="","",INDEX(CONTRATOS!$G$6:$G$1005,$L46)))</f>
      </c>
      <c r="G46" s="83">
        <f>IF($L46="","",N(INDEX(CONTRATOS!$G$6:$G$1005,$L46))+N(INDEX(CONTRATOS!$BJ$6:$BJ$1005,$L46)))</f>
      </c>
      <c r="H46" s="85">
        <f>IF($L46="","",IF(INDEX(CONTRATOS!$J$6:$J$1005,$L46)="","",INDEX(CONTRATOS!$J$6:$J$1005,$L46)))</f>
      </c>
      <c r="I46" s="85">
        <f>IF($L46="","",IF(INDEX(CONTRATOS!$BT$6:$BT$1005,$L46)="","",INDEX(CONTRATOS!$BT$6:$BT$1005,$L46)))</f>
      </c>
      <c r="J46" s="83">
        <f>IF($L46="","",IF(INDEX(CONTRATOS!$BZ$6:$BZ$1005,$L46)="","",INDEX(CONTRATOS!$BZ$6:$BZ$1005,$L46)))</f>
      </c>
      <c r="L46" s="77">
        <f>IFERROR(MATCH(31,CONTRATOS!$CC$6:$CC$1005,0),"")</f>
      </c>
    </row>
    <row r="47" spans="2:12" ht="19.5" customHeight="1" x14ac:dyDescent="0.2">
      <c r="B47" s="83">
        <f>IF($L47="","",IF(INDEX(CONTRATOS!$A$6:$A$1005,$L47)="","",INDEX(CONTRATOS!$A$6:$A$1005,$L47)))</f>
      </c>
      <c r="C47" s="82">
        <f>IF($L47="","",IF(INDEX(CONTRATOS!$E$6:$E$1005,$L47)="","",INDEX(CONTRATOS!$E$6:$E$1005,$L47)))</f>
      </c>
      <c r="D47" s="84">
        <f>IF($L47="","",IF(INDEX(CONTRATOS!$F$6:$F$1005,$L47)="","",INDEX(CONTRATOS!$F$6:$F$1005,$L47)))</f>
      </c>
      <c r="E47" s="84">
        <f>IF($L47="","",IF(INDEX(CONTRATOS!$BG$6:$BG$1005,$L47)="","",INDEX(CONTRATOS!$BG$6:$BG$1005,$L47)))</f>
      </c>
      <c r="F47" s="83">
        <f>IF($L47="","",IF(INDEX(CONTRATOS!$G$6:$G$1005,$L47)="","",INDEX(CONTRATOS!$G$6:$G$1005,$L47)))</f>
      </c>
      <c r="G47" s="83">
        <f>IF($L47="","",N(INDEX(CONTRATOS!$G$6:$G$1005,$L47))+N(INDEX(CONTRATOS!$BJ$6:$BJ$1005,$L47)))</f>
      </c>
      <c r="H47" s="85">
        <f>IF($L47="","",IF(INDEX(CONTRATOS!$J$6:$J$1005,$L47)="","",INDEX(CONTRATOS!$J$6:$J$1005,$L47)))</f>
      </c>
      <c r="I47" s="85">
        <f>IF($L47="","",IF(INDEX(CONTRATOS!$BT$6:$BT$1005,$L47)="","",INDEX(CONTRATOS!$BT$6:$BT$1005,$L47)))</f>
      </c>
      <c r="J47" s="83">
        <f>IF($L47="","",IF(INDEX(CONTRATOS!$BZ$6:$BZ$1005,$L47)="","",INDEX(CONTRATOS!$BZ$6:$BZ$1005,$L47)))</f>
      </c>
      <c r="L47" s="77">
        <f>IFERROR(MATCH(32,CONTRATOS!$CC$6:$CC$1005,0),"")</f>
      </c>
    </row>
    <row r="48" spans="2:12" ht="19.5" customHeight="1" x14ac:dyDescent="0.2">
      <c r="B48" s="83">
        <f>IF($L48="","",IF(INDEX(CONTRATOS!$A$6:$A$1005,$L48)="","",INDEX(CONTRATOS!$A$6:$A$1005,$L48)))</f>
      </c>
      <c r="C48" s="82">
        <f>IF($L48="","",IF(INDEX(CONTRATOS!$E$6:$E$1005,$L48)="","",INDEX(CONTRATOS!$E$6:$E$1005,$L48)))</f>
      </c>
      <c r="D48" s="84">
        <f>IF($L48="","",IF(INDEX(CONTRATOS!$F$6:$F$1005,$L48)="","",INDEX(CONTRATOS!$F$6:$F$1005,$L48)))</f>
      </c>
      <c r="E48" s="84">
        <f>IF($L48="","",IF(INDEX(CONTRATOS!$BG$6:$BG$1005,$L48)="","",INDEX(CONTRATOS!$BG$6:$BG$1005,$L48)))</f>
      </c>
      <c r="F48" s="83">
        <f>IF($L48="","",IF(INDEX(CONTRATOS!$G$6:$G$1005,$L48)="","",INDEX(CONTRATOS!$G$6:$G$1005,$L48)))</f>
      </c>
      <c r="G48" s="83">
        <f>IF($L48="","",N(INDEX(CONTRATOS!$G$6:$G$1005,$L48))+N(INDEX(CONTRATOS!$BJ$6:$BJ$1005,$L48)))</f>
      </c>
      <c r="H48" s="85">
        <f>IF($L48="","",IF(INDEX(CONTRATOS!$J$6:$J$1005,$L48)="","",INDEX(CONTRATOS!$J$6:$J$1005,$L48)))</f>
      </c>
      <c r="I48" s="85">
        <f>IF($L48="","",IF(INDEX(CONTRATOS!$BT$6:$BT$1005,$L48)="","",INDEX(CONTRATOS!$BT$6:$BT$1005,$L48)))</f>
      </c>
      <c r="J48" s="83">
        <f>IF($L48="","",IF(INDEX(CONTRATOS!$BZ$6:$BZ$1005,$L48)="","",INDEX(CONTRATOS!$BZ$6:$BZ$1005,$L48)))</f>
      </c>
      <c r="L48" s="77">
        <f>IFERROR(MATCH(33,CONTRATOS!$CC$6:$CC$1005,0),"")</f>
      </c>
    </row>
    <row r="49" spans="2:12" ht="19.5" customHeight="1" x14ac:dyDescent="0.2">
      <c r="B49" s="83">
        <f>IF($L49="","",IF(INDEX(CONTRATOS!$A$6:$A$1005,$L49)="","",INDEX(CONTRATOS!$A$6:$A$1005,$L49)))</f>
      </c>
      <c r="C49" s="82">
        <f>IF($L49="","",IF(INDEX(CONTRATOS!$E$6:$E$1005,$L49)="","",INDEX(CONTRATOS!$E$6:$E$1005,$L49)))</f>
      </c>
      <c r="D49" s="84">
        <f>IF($L49="","",IF(INDEX(CONTRATOS!$F$6:$F$1005,$L49)="","",INDEX(CONTRATOS!$F$6:$F$1005,$L49)))</f>
      </c>
      <c r="E49" s="84">
        <f>IF($L49="","",IF(INDEX(CONTRATOS!$BG$6:$BG$1005,$L49)="","",INDEX(CONTRATOS!$BG$6:$BG$1005,$L49)))</f>
      </c>
      <c r="F49" s="83">
        <f>IF($L49="","",IF(INDEX(CONTRATOS!$G$6:$G$1005,$L49)="","",INDEX(CONTRATOS!$G$6:$G$1005,$L49)))</f>
      </c>
      <c r="G49" s="83">
        <f>IF($L49="","",N(INDEX(CONTRATOS!$G$6:$G$1005,$L49))+N(INDEX(CONTRATOS!$BJ$6:$BJ$1005,$L49)))</f>
      </c>
      <c r="H49" s="85">
        <f>IF($L49="","",IF(INDEX(CONTRATOS!$J$6:$J$1005,$L49)="","",INDEX(CONTRATOS!$J$6:$J$1005,$L49)))</f>
      </c>
      <c r="I49" s="85">
        <f>IF($L49="","",IF(INDEX(CONTRATOS!$BT$6:$BT$1005,$L49)="","",INDEX(CONTRATOS!$BT$6:$BT$1005,$L49)))</f>
      </c>
      <c r="J49" s="83">
        <f>IF($L49="","",IF(INDEX(CONTRATOS!$BZ$6:$BZ$1005,$L49)="","",INDEX(CONTRATOS!$BZ$6:$BZ$1005,$L49)))</f>
      </c>
      <c r="L49" s="77">
        <f>IFERROR(MATCH(34,CONTRATOS!$CC$6:$CC$1005,0),"")</f>
      </c>
    </row>
    <row r="50" spans="2:12" ht="19.5" customHeight="1" x14ac:dyDescent="0.2">
      <c r="B50" s="83">
        <f>IF($L50="","",IF(INDEX(CONTRATOS!$A$6:$A$1005,$L50)="","",INDEX(CONTRATOS!$A$6:$A$1005,$L50)))</f>
      </c>
      <c r="C50" s="82">
        <f>IF($L50="","",IF(INDEX(CONTRATOS!$E$6:$E$1005,$L50)="","",INDEX(CONTRATOS!$E$6:$E$1005,$L50)))</f>
      </c>
      <c r="D50" s="84">
        <f>IF($L50="","",IF(INDEX(CONTRATOS!$F$6:$F$1005,$L50)="","",INDEX(CONTRATOS!$F$6:$F$1005,$L50)))</f>
      </c>
      <c r="E50" s="84">
        <f>IF($L50="","",IF(INDEX(CONTRATOS!$BG$6:$BG$1005,$L50)="","",INDEX(CONTRATOS!$BG$6:$BG$1005,$L50)))</f>
      </c>
      <c r="F50" s="83">
        <f>IF($L50="","",IF(INDEX(CONTRATOS!$G$6:$G$1005,$L50)="","",INDEX(CONTRATOS!$G$6:$G$1005,$L50)))</f>
      </c>
      <c r="G50" s="83">
        <f>IF($L50="","",N(INDEX(CONTRATOS!$G$6:$G$1005,$L50))+N(INDEX(CONTRATOS!$BJ$6:$BJ$1005,$L50)))</f>
      </c>
      <c r="H50" s="85">
        <f>IF($L50="","",IF(INDEX(CONTRATOS!$J$6:$J$1005,$L50)="","",INDEX(CONTRATOS!$J$6:$J$1005,$L50)))</f>
      </c>
      <c r="I50" s="85">
        <f>IF($L50="","",IF(INDEX(CONTRATOS!$BT$6:$BT$1005,$L50)="","",INDEX(CONTRATOS!$BT$6:$BT$1005,$L50)))</f>
      </c>
      <c r="J50" s="83">
        <f>IF($L50="","",IF(INDEX(CONTRATOS!$BZ$6:$BZ$1005,$L50)="","",INDEX(CONTRATOS!$BZ$6:$BZ$1005,$L50)))</f>
      </c>
      <c r="L50" s="77">
        <f>IFERROR(MATCH(35,CONTRATOS!$CC$6:$CC$1005,0),"")</f>
      </c>
    </row>
    <row r="51" spans="2:12" ht="19.5" customHeight="1" x14ac:dyDescent="0.2">
      <c r="B51" s="83">
        <f>IF($L51="","",IF(INDEX(CONTRATOS!$A$6:$A$1005,$L51)="","",INDEX(CONTRATOS!$A$6:$A$1005,$L51)))</f>
      </c>
      <c r="C51" s="82">
        <f>IF($L51="","",IF(INDEX(CONTRATOS!$E$6:$E$1005,$L51)="","",INDEX(CONTRATOS!$E$6:$E$1005,$L51)))</f>
      </c>
      <c r="D51" s="84">
        <f>IF($L51="","",IF(INDEX(CONTRATOS!$F$6:$F$1005,$L51)="","",INDEX(CONTRATOS!$F$6:$F$1005,$L51)))</f>
      </c>
      <c r="E51" s="84">
        <f>IF($L51="","",IF(INDEX(CONTRATOS!$BG$6:$BG$1005,$L51)="","",INDEX(CONTRATOS!$BG$6:$BG$1005,$L51)))</f>
      </c>
      <c r="F51" s="83">
        <f>IF($L51="","",IF(INDEX(CONTRATOS!$G$6:$G$1005,$L51)="","",INDEX(CONTRATOS!$G$6:$G$1005,$L51)))</f>
      </c>
      <c r="G51" s="83">
        <f>IF($L51="","",N(INDEX(CONTRATOS!$G$6:$G$1005,$L51))+N(INDEX(CONTRATOS!$BJ$6:$BJ$1005,$L51)))</f>
      </c>
      <c r="H51" s="85">
        <f>IF($L51="","",IF(INDEX(CONTRATOS!$J$6:$J$1005,$L51)="","",INDEX(CONTRATOS!$J$6:$J$1005,$L51)))</f>
      </c>
      <c r="I51" s="85">
        <f>IF($L51="","",IF(INDEX(CONTRATOS!$BT$6:$BT$1005,$L51)="","",INDEX(CONTRATOS!$BT$6:$BT$1005,$L51)))</f>
      </c>
      <c r="J51" s="83">
        <f>IF($L51="","",IF(INDEX(CONTRATOS!$BZ$6:$BZ$1005,$L51)="","",INDEX(CONTRATOS!$BZ$6:$BZ$1005,$L51)))</f>
      </c>
      <c r="L51" s="77">
        <f>IFERROR(MATCH(36,CONTRATOS!$CC$6:$CC$1005,0),"")</f>
      </c>
    </row>
    <row r="52" spans="2:12" ht="19.5" customHeight="1" x14ac:dyDescent="0.2">
      <c r="B52" s="83">
        <f>IF($L52="","",IF(INDEX(CONTRATOS!$A$6:$A$1005,$L52)="","",INDEX(CONTRATOS!$A$6:$A$1005,$L52)))</f>
      </c>
      <c r="C52" s="82">
        <f>IF($L52="","",IF(INDEX(CONTRATOS!$E$6:$E$1005,$L52)="","",INDEX(CONTRATOS!$E$6:$E$1005,$L52)))</f>
      </c>
      <c r="D52" s="84">
        <f>IF($L52="","",IF(INDEX(CONTRATOS!$F$6:$F$1005,$L52)="","",INDEX(CONTRATOS!$F$6:$F$1005,$L52)))</f>
      </c>
      <c r="E52" s="84">
        <f>IF($L52="","",IF(INDEX(CONTRATOS!$BG$6:$BG$1005,$L52)="","",INDEX(CONTRATOS!$BG$6:$BG$1005,$L52)))</f>
      </c>
      <c r="F52" s="83">
        <f>IF($L52="","",IF(INDEX(CONTRATOS!$G$6:$G$1005,$L52)="","",INDEX(CONTRATOS!$G$6:$G$1005,$L52)))</f>
      </c>
      <c r="G52" s="83">
        <f>IF($L52="","",N(INDEX(CONTRATOS!$G$6:$G$1005,$L52))+N(INDEX(CONTRATOS!$BJ$6:$BJ$1005,$L52)))</f>
      </c>
      <c r="H52" s="85">
        <f>IF($L52="","",IF(INDEX(CONTRATOS!$J$6:$J$1005,$L52)="","",INDEX(CONTRATOS!$J$6:$J$1005,$L52)))</f>
      </c>
      <c r="I52" s="85">
        <f>IF($L52="","",IF(INDEX(CONTRATOS!$BT$6:$BT$1005,$L52)="","",INDEX(CONTRATOS!$BT$6:$BT$1005,$L52)))</f>
      </c>
      <c r="J52" s="83">
        <f>IF($L52="","",IF(INDEX(CONTRATOS!$BZ$6:$BZ$1005,$L52)="","",INDEX(CONTRATOS!$BZ$6:$BZ$1005,$L52)))</f>
      </c>
      <c r="L52" s="77">
        <f>IFERROR(MATCH(37,CONTRATOS!$CC$6:$CC$1005,0),"")</f>
      </c>
    </row>
    <row r="53" spans="2:12" ht="19.5" customHeight="1" x14ac:dyDescent="0.2">
      <c r="B53" s="83">
        <f>IF($L53="","",IF(INDEX(CONTRATOS!$A$6:$A$1005,$L53)="","",INDEX(CONTRATOS!$A$6:$A$1005,$L53)))</f>
      </c>
      <c r="C53" s="82">
        <f>IF($L53="","",IF(INDEX(CONTRATOS!$E$6:$E$1005,$L53)="","",INDEX(CONTRATOS!$E$6:$E$1005,$L53)))</f>
      </c>
      <c r="D53" s="84">
        <f>IF($L53="","",IF(INDEX(CONTRATOS!$F$6:$F$1005,$L53)="","",INDEX(CONTRATOS!$F$6:$F$1005,$L53)))</f>
      </c>
      <c r="E53" s="84">
        <f>IF($L53="","",IF(INDEX(CONTRATOS!$BG$6:$BG$1005,$L53)="","",INDEX(CONTRATOS!$BG$6:$BG$1005,$L53)))</f>
      </c>
      <c r="F53" s="83">
        <f>IF($L53="","",IF(INDEX(CONTRATOS!$G$6:$G$1005,$L53)="","",INDEX(CONTRATOS!$G$6:$G$1005,$L53)))</f>
      </c>
      <c r="G53" s="83">
        <f>IF($L53="","",N(INDEX(CONTRATOS!$G$6:$G$1005,$L53))+N(INDEX(CONTRATOS!$BJ$6:$BJ$1005,$L53)))</f>
      </c>
      <c r="H53" s="85">
        <f>IF($L53="","",IF(INDEX(CONTRATOS!$J$6:$J$1005,$L53)="","",INDEX(CONTRATOS!$J$6:$J$1005,$L53)))</f>
      </c>
      <c r="I53" s="85">
        <f>IF($L53="","",IF(INDEX(CONTRATOS!$BT$6:$BT$1005,$L53)="","",INDEX(CONTRATOS!$BT$6:$BT$1005,$L53)))</f>
      </c>
      <c r="J53" s="83">
        <f>IF($L53="","",IF(INDEX(CONTRATOS!$BZ$6:$BZ$1005,$L53)="","",INDEX(CONTRATOS!$BZ$6:$BZ$1005,$L53)))</f>
      </c>
      <c r="L53" s="77">
        <f>IFERROR(MATCH(38,CONTRATOS!$CC$6:$CC$1005,0),"")</f>
      </c>
    </row>
    <row r="54" spans="2:12" ht="19.5" customHeight="1" x14ac:dyDescent="0.2">
      <c r="B54" s="83">
        <f>IF($L54="","",IF(INDEX(CONTRATOS!$A$6:$A$1005,$L54)="","",INDEX(CONTRATOS!$A$6:$A$1005,$L54)))</f>
      </c>
      <c r="C54" s="82">
        <f>IF($L54="","",IF(INDEX(CONTRATOS!$E$6:$E$1005,$L54)="","",INDEX(CONTRATOS!$E$6:$E$1005,$L54)))</f>
      </c>
      <c r="D54" s="84">
        <f>IF($L54="","",IF(INDEX(CONTRATOS!$F$6:$F$1005,$L54)="","",INDEX(CONTRATOS!$F$6:$F$1005,$L54)))</f>
      </c>
      <c r="E54" s="84">
        <f>IF($L54="","",IF(INDEX(CONTRATOS!$BG$6:$BG$1005,$L54)="","",INDEX(CONTRATOS!$BG$6:$BG$1005,$L54)))</f>
      </c>
      <c r="F54" s="83">
        <f>IF($L54="","",IF(INDEX(CONTRATOS!$G$6:$G$1005,$L54)="","",INDEX(CONTRATOS!$G$6:$G$1005,$L54)))</f>
      </c>
      <c r="G54" s="83">
        <f>IF($L54="","",N(INDEX(CONTRATOS!$G$6:$G$1005,$L54))+N(INDEX(CONTRATOS!$BJ$6:$BJ$1005,$L54)))</f>
      </c>
      <c r="H54" s="85">
        <f>IF($L54="","",IF(INDEX(CONTRATOS!$J$6:$J$1005,$L54)="","",INDEX(CONTRATOS!$J$6:$J$1005,$L54)))</f>
      </c>
      <c r="I54" s="85">
        <f>IF($L54="","",IF(INDEX(CONTRATOS!$BT$6:$BT$1005,$L54)="","",INDEX(CONTRATOS!$BT$6:$BT$1005,$L54)))</f>
      </c>
      <c r="J54" s="83">
        <f>IF($L54="","",IF(INDEX(CONTRATOS!$BZ$6:$BZ$1005,$L54)="","",INDEX(CONTRATOS!$BZ$6:$BZ$1005,$L54)))</f>
      </c>
      <c r="L54" s="77">
        <f>IFERROR(MATCH(39,CONTRATOS!$CC$6:$CC$1005,0),"")</f>
      </c>
    </row>
    <row r="55" spans="2:12" ht="19.5" customHeight="1" x14ac:dyDescent="0.2">
      <c r="B55" s="83">
        <f>IF($L55="","",IF(INDEX(CONTRATOS!$A$6:$A$1005,$L55)="","",INDEX(CONTRATOS!$A$6:$A$1005,$L55)))</f>
      </c>
      <c r="C55" s="82">
        <f>IF($L55="","",IF(INDEX(CONTRATOS!$E$6:$E$1005,$L55)="","",INDEX(CONTRATOS!$E$6:$E$1005,$L55)))</f>
      </c>
      <c r="D55" s="84">
        <f>IF($L55="","",IF(INDEX(CONTRATOS!$F$6:$F$1005,$L55)="","",INDEX(CONTRATOS!$F$6:$F$1005,$L55)))</f>
      </c>
      <c r="E55" s="84">
        <f>IF($L55="","",IF(INDEX(CONTRATOS!$BG$6:$BG$1005,$L55)="","",INDEX(CONTRATOS!$BG$6:$BG$1005,$L55)))</f>
      </c>
      <c r="F55" s="83">
        <f>IF($L55="","",IF(INDEX(CONTRATOS!$G$6:$G$1005,$L55)="","",INDEX(CONTRATOS!$G$6:$G$1005,$L55)))</f>
      </c>
      <c r="G55" s="83">
        <f>IF($L55="","",N(INDEX(CONTRATOS!$G$6:$G$1005,$L55))+N(INDEX(CONTRATOS!$BJ$6:$BJ$1005,$L55)))</f>
      </c>
      <c r="H55" s="85">
        <f>IF($L55="","",IF(INDEX(CONTRATOS!$J$6:$J$1005,$L55)="","",INDEX(CONTRATOS!$J$6:$J$1005,$L55)))</f>
      </c>
      <c r="I55" s="85">
        <f>IF($L55="","",IF(INDEX(CONTRATOS!$BT$6:$BT$1005,$L55)="","",INDEX(CONTRATOS!$BT$6:$BT$1005,$L55)))</f>
      </c>
      <c r="J55" s="83">
        <f>IF($L55="","",IF(INDEX(CONTRATOS!$BZ$6:$BZ$1005,$L55)="","",INDEX(CONTRATOS!$BZ$6:$BZ$1005,$L55)))</f>
      </c>
      <c r="L55" s="77">
        <f>IFERROR(MATCH(40,CONTRATOS!$CC$6:$CC$1005,0),"")</f>
      </c>
    </row>
  </sheetData>
  <sheetProtection sheet="1" objects="1" scenarios="1" formatCells="0" formatColumns="0" formatRows="0" sort="0" autoFilter="0" pivotTables="0"/>
  <mergeCells count="2">
    <mergeCell ref="E4:H4"/>
    <mergeCell ref="C9:E9"/>
  </mergeCells>
  <conditionalFormatting sqref="G16:G55">
    <cfRule type="expression" dxfId="1" priority="1">
      <formula>AND($G16&lt;&gt;"",$F16&lt;&gt;"",$G16&gt;$F16)</formula>
    </cfRule>
  </conditionalFormatting>
  <pageMargins left="0.5" right="0.5" top="0.6" bottom="0.6" header="0" footer="0"/>
  <pageSetup fitToHeight="0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59AB29-B356-EC4F-B099-7D46AF80D469}">
  <sheetPr>
    <tabColor rgb="FF073A7A"/>
  </sheetPr>
  <dimension ref="B2:L55"/>
  <sheetViews>
    <sheetView showGridLines="0" workbookViewId="0">
      <pane ySplit="14" topLeftCell="A15" activePane="bottomLeft" state="frozen"/>
      <selection pane="bottomLeft" activeCell="H7" sqref="H7"/>
    </sheetView>
  </sheetViews>
  <sheetFormatPr baseColWidth="10" defaultRowHeight="16" x14ac:dyDescent="0.2"/>
  <cols>
    <col min="1" max="1" width="3.5703125" customWidth="1"/>
    <col min="2" max="2" width="21.140625" customWidth="1"/>
    <col min="3" max="3" width="31.140625" customWidth="1"/>
    <col min="4" max="5" width="14.42578125" customWidth="1"/>
    <col min="6" max="6" width="9" bestFit="1" customWidth="1"/>
    <col min="7" max="7" width="24.140625" bestFit="1" customWidth="1"/>
    <col min="8" max="8" width="14.42578125" customWidth="1"/>
    <col min="9" max="10" width="18" customWidth="1"/>
    <col min="11" max="11" width="3.5703125" customWidth="1"/>
    <col min="12" max="12" width="0" hidden="1" customWidth="1"/>
  </cols>
  <sheetData>
    <row r="2" spans="2:12" ht="46" x14ac:dyDescent="0.2">
      <c r="B2" s="96" t="s">
        <v>169</v>
      </c>
    </row>
    <row r="4" spans="2:12" ht="31.25" customHeight="1" x14ac:dyDescent="0.2">
      <c r="B4" s="109" t="s">
        <v>170</v>
      </c>
      <c r="C4" s="110">
        <v>1</v>
      </c>
      <c r="E4" s="306">
        <f>IFERROR(TRIM(IFERROR(IF(VLOOKUP($C$4,VEHICULOS!$A$3:$H$202,2,FALSE)="","",VLOOKUP($C$4,VEHICULOS!$A$3:$H$202,2,FALSE)),"")&amp;"  "&amp;IFERROR(IF(VLOOKUP($C$4,VEHICULOS!$A$3:$H$202,4,FALSE)="","",VLOOKUP($C$4,VEHICULOS!$A$3:$H$202,4,FALSE)),"")),"")</f>
      </c>
      <c r="F4" s="307"/>
      <c r="G4" s="307"/>
      <c r="H4" s="307"/>
    </row>
    <row r="6" spans="2:12" ht="17" x14ac:dyDescent="0.2">
      <c r="B6" s="109" t="s">
        <v>171</v>
      </c>
      <c r="C6" s="78">
        <f>IFERROR(IF(VLOOKUP($C$4,VEHICULOS!$A$3:$H$202,3,FALSE)="","",VLOOKUP($C$4,VEHICULOS!$A$3:$H$202,3,FALSE)),"")</f>
      </c>
      <c r="F6" s="97" t="s">
        <v>62</v>
      </c>
      <c r="G6" s="89">
        <f>IF($C$4="","",IF(COUNTIFS(CONTRATOS!$D$6:$D$1005,$C$4,CONTRATOS!$BG$6:$BG$1005,"")&gt;0,"RENTADO AHORITA","SIN CONTRATO ABIERTO"))</f>
      </c>
    </row>
    <row r="7" spans="2:12" ht="20" x14ac:dyDescent="0.2">
      <c r="B7" s="109" t="s">
        <v>77</v>
      </c>
      <c r="C7" s="78">
        <f>IFERROR(IF(VLOOKUP($C$4,VEHICULOS!$A$3:$H$202,4,FALSE)="","",VLOOKUP($C$4,VEHICULOS!$A$3:$H$202,4,FALSE)),"")</f>
      </c>
      <c r="F7" s="97" t="s">
        <v>172</v>
      </c>
      <c r="G7" s="76">
        <f>IF($C$4="",0,MAX(CONTRATOS!$CE$6:$CE$1005))</f>
      </c>
    </row>
    <row r="8" spans="2:12" ht="30" x14ac:dyDescent="0.2">
      <c r="B8" s="109" t="s">
        <v>38</v>
      </c>
      <c r="C8" s="78">
        <f>IFERROR(IF(VLOOKUP($C$4,VEHICULOS!$A$3:$H$202,5,FALSE)="","",VLOOKUP($C$4,VEHICULOS!$A$3:$H$202,5,FALSE)),"")</f>
      </c>
      <c r="F8" s="97" t="s">
        <v>173</v>
      </c>
      <c r="G8" s="81">
        <f>IF($C$4="",0,SUMIF(CONTRATOS!$D$6:$D$1005,$C$4,CONTRATOS!$G$6:$G$1005)+SUMIF(CONTRATOS!$D$6:$D$1005,$C$4,CONTRATOS!$BJ$6:$BJ$1005))</f>
      </c>
    </row>
    <row r="9" spans="2:12" ht="45" x14ac:dyDescent="0.2">
      <c r="B9" s="109" t="s">
        <v>22</v>
      </c>
      <c r="C9" s="78">
        <f>IFERROR(IF(VLOOKUP($C$4,VEHICULOS!$A$3:$H$202,6,FALSE)="","",VLOOKUP($C$4,VEHICULOS!$A$3:$H$202,6,FALSE)),"")</f>
      </c>
      <c r="F9" s="97" t="s">
        <v>153</v>
      </c>
      <c r="G9" s="81">
        <f>IF($C$4="",0,SUMIF(CONTRATOS!$D$6:$D$1005,$C$4,CONTRATOS!$BI$6:$BI$1005))</f>
      </c>
    </row>
    <row r="10" spans="2:12" ht="22" customHeight="1" x14ac:dyDescent="0.2">
      <c r="B10" s="109" t="s">
        <v>28</v>
      </c>
      <c r="C10" s="78">
        <f>IFERROR(IF(VLOOKUP($C$4,VEHICULOS!$A$3:$H$202,2,FALSE)="","",VLOOKUP($C$4,VEHICULOS!$A$3:$H$202,2,FALSE)),"")</f>
      </c>
      <c r="F10" s="97" t="s">
        <v>178</v>
      </c>
      <c r="G10" s="80">
        <f>IF($C$4="",0,SUMIFS(CONTRATOS!$BT$6:$BT$1005,CONTRATOS!$D$6:$D$1005,$C$4,CONTRATOS!$BG$6:$BG$1005,"&lt;&gt;"))</f>
      </c>
    </row>
    <row r="11" spans="2:12" ht="30" x14ac:dyDescent="0.2">
      <c r="B11" s="109" t="s">
        <v>174</v>
      </c>
      <c r="C11" s="89">
        <f>IFERROR(IF(VLOOKUP($C$4,VEHICULOS!$A$3:$H$202,7,FALSE)="","",VLOOKUP($C$4,VEHICULOS!$A$3:$H$202,7,FALSE)),"")</f>
      </c>
      <c r="F11" s="97" t="s">
        <v>179</v>
      </c>
      <c r="G11" s="80">
        <f>IF($C$4="",0,SUMIFS(CONTRATOS!$BV$6:$BV$1005,CONTRATOS!$D$6:$D$1005,$C$4,CONTRATOS!$BG$6:$BG$1005,"&lt;&gt;"))</f>
      </c>
    </row>
    <row r="12" spans="2:12" ht="22" customHeight="1" x14ac:dyDescent="0.2">
      <c r="B12" s="109" t="s">
        <v>180</v>
      </c>
      <c r="C12" s="78">
        <f>IFERROR(IF(VLOOKUP($C$4,VEHICULOS!$A$3:$H$202,8,FALSE)="","",VLOOKUP($C$4,VEHICULOS!$A$3:$H$202,8,FALSE)),"")</f>
      </c>
      <c r="F12" s="97" t="s">
        <v>176</v>
      </c>
      <c r="G12" s="88">
        <f>IF($C$4="",0,SUMIFS(CONTRATOS!$BW$6:$BW$1005,CONTRATOS!$D$6:$D$1005,$C$4,CONTRATOS!$BG$6:$BG$1005,"&lt;&gt;"))</f>
      </c>
    </row>
    <row r="14" spans="2:12" ht="36.5" customHeight="1" x14ac:dyDescent="0.2">
      <c r="B14" s="99" t="s">
        <v>161</v>
      </c>
      <c r="C14" s="99" t="s">
        <v>129</v>
      </c>
      <c r="D14" s="99" t="s">
        <v>162</v>
      </c>
      <c r="E14" s="99" t="s">
        <v>167</v>
      </c>
      <c r="F14" s="99" t="s">
        <v>52</v>
      </c>
      <c r="G14" s="99" t="s">
        <v>192</v>
      </c>
      <c r="H14" s="99" t="s">
        <v>133</v>
      </c>
      <c r="I14" s="99" t="s">
        <v>168</v>
      </c>
      <c r="J14" s="99" t="s">
        <v>176</v>
      </c>
    </row>
    <row r="16" spans="2:12" ht="19.5" customHeight="1" x14ac:dyDescent="0.2">
      <c r="B16" s="83">
        <f>IF($L16="","",IF(INDEX(CONTRATOS!$A$6:$A$1005,$L16)="","",INDEX(CONTRATOS!$A$6:$A$1005,$L16)))</f>
      </c>
      <c r="C16" s="82">
        <f>IF($L16="","",IF(INDEX(CONTRATOS!$C$6:$C$1005,$L16)="","",INDEX(CONTRATOS!$C$6:$C$1005,$L16)))</f>
      </c>
      <c r="D16" s="84">
        <f>IF($L16="","",IF(INDEX(CONTRATOS!$F$6:$F$1005,$L16)="","",INDEX(CONTRATOS!$F$6:$F$1005,$L16)))</f>
      </c>
      <c r="E16" s="84">
        <f>IF($L16="","",IF(INDEX(CONTRATOS!$BG$6:$BG$1005,$L16)="","",INDEX(CONTRATOS!$BG$6:$BG$1005,$L16)))</f>
      </c>
      <c r="F16" s="83">
        <f>IF($L16="","",IF(INDEX(CONTRATOS!$G$6:$G$1005,$L16)="","",INDEX(CONTRATOS!$G$6:$G$1005,$L16)))</f>
      </c>
      <c r="G16" s="83">
        <f>IF($L16="","",N(INDEX(CONTRATOS!$G$6:$G$1005,$L16))+N(INDEX(CONTRATOS!$BJ$6:$BJ$1005,$L16)))</f>
      </c>
      <c r="H16" s="85">
        <f>IF($L16="","",IF(INDEX(CONTRATOS!$J$6:$J$1005,$L16)="","",INDEX(CONTRATOS!$J$6:$J$1005,$L16)))</f>
      </c>
      <c r="I16" s="85">
        <f>IF($L16="","",IF(INDEX(CONTRATOS!$BT$6:$BT$1005,$L16)="","",INDEX(CONTRATOS!$BT$6:$BT$1005,$L16)))</f>
      </c>
      <c r="J16" s="85">
        <f>IF($L16="","",IF(INDEX(CONTRATOS!$BW$6:$BW$1005,$L16)="","",INDEX(CONTRATOS!$BW$6:$BW$1005,$L16)))</f>
      </c>
      <c r="L16" s="77">
        <f>IFERROR(MATCH(1,CONTRATOS!$CE$6:$CE$1005,0),"")</f>
      </c>
    </row>
    <row r="17" spans="2:12" ht="19.5" customHeight="1" x14ac:dyDescent="0.2">
      <c r="B17" s="83">
        <f>IF($L17="","",IF(INDEX(CONTRATOS!$A$6:$A$1005,$L17)="","",INDEX(CONTRATOS!$A$6:$A$1005,$L17)))</f>
      </c>
      <c r="C17" s="82">
        <f>IF($L17="","",IF(INDEX(CONTRATOS!$C$6:$C$1005,$L17)="","",INDEX(CONTRATOS!$C$6:$C$1005,$L17)))</f>
      </c>
      <c r="D17" s="84">
        <f>IF($L17="","",IF(INDEX(CONTRATOS!$F$6:$F$1005,$L17)="","",INDEX(CONTRATOS!$F$6:$F$1005,$L17)))</f>
      </c>
      <c r="E17" s="84">
        <f>IF($L17="","",IF(INDEX(CONTRATOS!$BG$6:$BG$1005,$L17)="","",INDEX(CONTRATOS!$BG$6:$BG$1005,$L17)))</f>
      </c>
      <c r="F17" s="83">
        <f>IF($L17="","",IF(INDEX(CONTRATOS!$G$6:$G$1005,$L17)="","",INDEX(CONTRATOS!$G$6:$G$1005,$L17)))</f>
      </c>
      <c r="G17" s="83">
        <f>IF($L17="","",N(INDEX(CONTRATOS!$G$6:$G$1005,$L17))+N(INDEX(CONTRATOS!$BJ$6:$BJ$1005,$L17)))</f>
      </c>
      <c r="H17" s="85">
        <f>IF($L17="","",IF(INDEX(CONTRATOS!$J$6:$J$1005,$L17)="","",INDEX(CONTRATOS!$J$6:$J$1005,$L17)))</f>
      </c>
      <c r="I17" s="85">
        <f>IF($L17="","",IF(INDEX(CONTRATOS!$BT$6:$BT$1005,$L17)="","",INDEX(CONTRATOS!$BT$6:$BT$1005,$L17)))</f>
      </c>
      <c r="J17" s="85">
        <f>IF($L17="","",IF(INDEX(CONTRATOS!$BW$6:$BW$1005,$L17)="","",INDEX(CONTRATOS!$BW$6:$BW$1005,$L17)))</f>
      </c>
      <c r="L17" s="77">
        <f>IFERROR(MATCH(2,CONTRATOS!$CE$6:$CE$1005,0),"")</f>
      </c>
    </row>
    <row r="18" spans="2:12" ht="19.5" customHeight="1" x14ac:dyDescent="0.2">
      <c r="B18" s="83">
        <f>IF($L18="","",IF(INDEX(CONTRATOS!$A$6:$A$1005,$L18)="","",INDEX(CONTRATOS!$A$6:$A$1005,$L18)))</f>
      </c>
      <c r="C18" s="82">
        <f>IF($L18="","",IF(INDEX(CONTRATOS!$C$6:$C$1005,$L18)="","",INDEX(CONTRATOS!$C$6:$C$1005,$L18)))</f>
      </c>
      <c r="D18" s="84">
        <f>IF($L18="","",IF(INDEX(CONTRATOS!$F$6:$F$1005,$L18)="","",INDEX(CONTRATOS!$F$6:$F$1005,$L18)))</f>
      </c>
      <c r="E18" s="84">
        <f>IF($L18="","",IF(INDEX(CONTRATOS!$BG$6:$BG$1005,$L18)="","",INDEX(CONTRATOS!$BG$6:$BG$1005,$L18)))</f>
      </c>
      <c r="F18" s="83">
        <f>IF($L18="","",IF(INDEX(CONTRATOS!$G$6:$G$1005,$L18)="","",INDEX(CONTRATOS!$G$6:$G$1005,$L18)))</f>
      </c>
      <c r="G18" s="83">
        <f>IF($L18="","",N(INDEX(CONTRATOS!$G$6:$G$1005,$L18))+N(INDEX(CONTRATOS!$BJ$6:$BJ$1005,$L18)))</f>
      </c>
      <c r="H18" s="85">
        <f>IF($L18="","",IF(INDEX(CONTRATOS!$J$6:$J$1005,$L18)="","",INDEX(CONTRATOS!$J$6:$J$1005,$L18)))</f>
      </c>
      <c r="I18" s="85">
        <f>IF($L18="","",IF(INDEX(CONTRATOS!$BT$6:$BT$1005,$L18)="","",INDEX(CONTRATOS!$BT$6:$BT$1005,$L18)))</f>
      </c>
      <c r="J18" s="85">
        <f>IF($L18="","",IF(INDEX(CONTRATOS!$BW$6:$BW$1005,$L18)="","",INDEX(CONTRATOS!$BW$6:$BW$1005,$L18)))</f>
      </c>
      <c r="L18" s="77">
        <f>IFERROR(MATCH(3,CONTRATOS!$CE$6:$CE$1005,0),"")</f>
      </c>
    </row>
    <row r="19" spans="2:12" ht="19.5" customHeight="1" x14ac:dyDescent="0.2">
      <c r="B19" s="83">
        <f>IF($L19="","",IF(INDEX(CONTRATOS!$A$6:$A$1005,$L19)="","",INDEX(CONTRATOS!$A$6:$A$1005,$L19)))</f>
      </c>
      <c r="C19" s="82">
        <f>IF($L19="","",IF(INDEX(CONTRATOS!$C$6:$C$1005,$L19)="","",INDEX(CONTRATOS!$C$6:$C$1005,$L19)))</f>
      </c>
      <c r="D19" s="84">
        <f>IF($L19="","",IF(INDEX(CONTRATOS!$F$6:$F$1005,$L19)="","",INDEX(CONTRATOS!$F$6:$F$1005,$L19)))</f>
      </c>
      <c r="E19" s="84">
        <f>IF($L19="","",IF(INDEX(CONTRATOS!$BG$6:$BG$1005,$L19)="","",INDEX(CONTRATOS!$BG$6:$BG$1005,$L19)))</f>
      </c>
      <c r="F19" s="83">
        <f>IF($L19="","",IF(INDEX(CONTRATOS!$G$6:$G$1005,$L19)="","",INDEX(CONTRATOS!$G$6:$G$1005,$L19)))</f>
      </c>
      <c r="G19" s="83">
        <f>IF($L19="","",N(INDEX(CONTRATOS!$G$6:$G$1005,$L19))+N(INDEX(CONTRATOS!$BJ$6:$BJ$1005,$L19)))</f>
      </c>
      <c r="H19" s="85">
        <f>IF($L19="","",IF(INDEX(CONTRATOS!$J$6:$J$1005,$L19)="","",INDEX(CONTRATOS!$J$6:$J$1005,$L19)))</f>
      </c>
      <c r="I19" s="85">
        <f>IF($L19="","",IF(INDEX(CONTRATOS!$BT$6:$BT$1005,$L19)="","",INDEX(CONTRATOS!$BT$6:$BT$1005,$L19)))</f>
      </c>
      <c r="J19" s="85">
        <f>IF($L19="","",IF(INDEX(CONTRATOS!$BW$6:$BW$1005,$L19)="","",INDEX(CONTRATOS!$BW$6:$BW$1005,$L19)))</f>
      </c>
      <c r="L19" s="77">
        <f>IFERROR(MATCH(4,CONTRATOS!$CE$6:$CE$1005,0),"")</f>
      </c>
    </row>
    <row r="20" spans="2:12" ht="19.5" customHeight="1" x14ac:dyDescent="0.2">
      <c r="B20" s="83">
        <f>IF($L20="","",IF(INDEX(CONTRATOS!$A$6:$A$1005,$L20)="","",INDEX(CONTRATOS!$A$6:$A$1005,$L20)))</f>
      </c>
      <c r="C20" s="82">
        <f>IF($L20="","",IF(INDEX(CONTRATOS!$C$6:$C$1005,$L20)="","",INDEX(CONTRATOS!$C$6:$C$1005,$L20)))</f>
      </c>
      <c r="D20" s="84">
        <f>IF($L20="","",IF(INDEX(CONTRATOS!$F$6:$F$1005,$L20)="","",INDEX(CONTRATOS!$F$6:$F$1005,$L20)))</f>
      </c>
      <c r="E20" s="84">
        <f>IF($L20="","",IF(INDEX(CONTRATOS!$BG$6:$BG$1005,$L20)="","",INDEX(CONTRATOS!$BG$6:$BG$1005,$L20)))</f>
      </c>
      <c r="F20" s="83">
        <f>IF($L20="","",IF(INDEX(CONTRATOS!$G$6:$G$1005,$L20)="","",INDEX(CONTRATOS!$G$6:$G$1005,$L20)))</f>
      </c>
      <c r="G20" s="83">
        <f>IF($L20="","",N(INDEX(CONTRATOS!$G$6:$G$1005,$L20))+N(INDEX(CONTRATOS!$BJ$6:$BJ$1005,$L20)))</f>
      </c>
      <c r="H20" s="85">
        <f>IF($L20="","",IF(INDEX(CONTRATOS!$J$6:$J$1005,$L20)="","",INDEX(CONTRATOS!$J$6:$J$1005,$L20)))</f>
      </c>
      <c r="I20" s="85">
        <f>IF($L20="","",IF(INDEX(CONTRATOS!$BT$6:$BT$1005,$L20)="","",INDEX(CONTRATOS!$BT$6:$BT$1005,$L20)))</f>
      </c>
      <c r="J20" s="85">
        <f>IF($L20="","",IF(INDEX(CONTRATOS!$BW$6:$BW$1005,$L20)="","",INDEX(CONTRATOS!$BW$6:$BW$1005,$L20)))</f>
      </c>
      <c r="L20" s="77">
        <f>IFERROR(MATCH(5,CONTRATOS!$CE$6:$CE$1005,0),"")</f>
      </c>
    </row>
    <row r="21" spans="2:12" ht="19.5" customHeight="1" x14ac:dyDescent="0.2">
      <c r="B21" s="83">
        <f>IF($L21="","",IF(INDEX(CONTRATOS!$A$6:$A$1005,$L21)="","",INDEX(CONTRATOS!$A$6:$A$1005,$L21)))</f>
      </c>
      <c r="C21" s="82">
        <f>IF($L21="","",IF(INDEX(CONTRATOS!$C$6:$C$1005,$L21)="","",INDEX(CONTRATOS!$C$6:$C$1005,$L21)))</f>
      </c>
      <c r="D21" s="84">
        <f>IF($L21="","",IF(INDEX(CONTRATOS!$F$6:$F$1005,$L21)="","",INDEX(CONTRATOS!$F$6:$F$1005,$L21)))</f>
      </c>
      <c r="E21" s="84">
        <f>IF($L21="","",IF(INDEX(CONTRATOS!$BG$6:$BG$1005,$L21)="","",INDEX(CONTRATOS!$BG$6:$BG$1005,$L21)))</f>
      </c>
      <c r="F21" s="83">
        <f>IF($L21="","",IF(INDEX(CONTRATOS!$G$6:$G$1005,$L21)="","",INDEX(CONTRATOS!$G$6:$G$1005,$L21)))</f>
      </c>
      <c r="G21" s="83">
        <f>IF($L21="","",N(INDEX(CONTRATOS!$G$6:$G$1005,$L21))+N(INDEX(CONTRATOS!$BJ$6:$BJ$1005,$L21)))</f>
      </c>
      <c r="H21" s="85">
        <f>IF($L21="","",IF(INDEX(CONTRATOS!$J$6:$J$1005,$L21)="","",INDEX(CONTRATOS!$J$6:$J$1005,$L21)))</f>
      </c>
      <c r="I21" s="85">
        <f>IF($L21="","",IF(INDEX(CONTRATOS!$BT$6:$BT$1005,$L21)="","",INDEX(CONTRATOS!$BT$6:$BT$1005,$L21)))</f>
      </c>
      <c r="J21" s="85">
        <f>IF($L21="","",IF(INDEX(CONTRATOS!$BW$6:$BW$1005,$L21)="","",INDEX(CONTRATOS!$BW$6:$BW$1005,$L21)))</f>
      </c>
      <c r="L21" s="77">
        <f>IFERROR(MATCH(6,CONTRATOS!$CE$6:$CE$1005,0),"")</f>
      </c>
    </row>
    <row r="22" spans="2:12" ht="19.5" customHeight="1" x14ac:dyDescent="0.2">
      <c r="B22" s="83">
        <f>IF($L22="","",IF(INDEX(CONTRATOS!$A$6:$A$1005,$L22)="","",INDEX(CONTRATOS!$A$6:$A$1005,$L22)))</f>
      </c>
      <c r="C22" s="82">
        <f>IF($L22="","",IF(INDEX(CONTRATOS!$C$6:$C$1005,$L22)="","",INDEX(CONTRATOS!$C$6:$C$1005,$L22)))</f>
      </c>
      <c r="D22" s="84">
        <f>IF($L22="","",IF(INDEX(CONTRATOS!$F$6:$F$1005,$L22)="","",INDEX(CONTRATOS!$F$6:$F$1005,$L22)))</f>
      </c>
      <c r="E22" s="84">
        <f>IF($L22="","",IF(INDEX(CONTRATOS!$BG$6:$BG$1005,$L22)="","",INDEX(CONTRATOS!$BG$6:$BG$1005,$L22)))</f>
      </c>
      <c r="F22" s="83">
        <f>IF($L22="","",IF(INDEX(CONTRATOS!$G$6:$G$1005,$L22)="","",INDEX(CONTRATOS!$G$6:$G$1005,$L22)))</f>
      </c>
      <c r="G22" s="83">
        <f>IF($L22="","",N(INDEX(CONTRATOS!$G$6:$G$1005,$L22))+N(INDEX(CONTRATOS!$BJ$6:$BJ$1005,$L22)))</f>
      </c>
      <c r="H22" s="85">
        <f>IF($L22="","",IF(INDEX(CONTRATOS!$J$6:$J$1005,$L22)="","",INDEX(CONTRATOS!$J$6:$J$1005,$L22)))</f>
      </c>
      <c r="I22" s="85">
        <f>IF($L22="","",IF(INDEX(CONTRATOS!$BT$6:$BT$1005,$L22)="","",INDEX(CONTRATOS!$BT$6:$BT$1005,$L22)))</f>
      </c>
      <c r="J22" s="85">
        <f>IF($L22="","",IF(INDEX(CONTRATOS!$BW$6:$BW$1005,$L22)="","",INDEX(CONTRATOS!$BW$6:$BW$1005,$L22)))</f>
      </c>
      <c r="L22" s="77">
        <f>IFERROR(MATCH(7,CONTRATOS!$CE$6:$CE$1005,0),"")</f>
      </c>
    </row>
    <row r="23" spans="2:12" ht="19.5" customHeight="1" x14ac:dyDescent="0.2">
      <c r="B23" s="83">
        <f>IF($L23="","",IF(INDEX(CONTRATOS!$A$6:$A$1005,$L23)="","",INDEX(CONTRATOS!$A$6:$A$1005,$L23)))</f>
      </c>
      <c r="C23" s="82">
        <f>IF($L23="","",IF(INDEX(CONTRATOS!$C$6:$C$1005,$L23)="","",INDEX(CONTRATOS!$C$6:$C$1005,$L23)))</f>
      </c>
      <c r="D23" s="84">
        <f>IF($L23="","",IF(INDEX(CONTRATOS!$F$6:$F$1005,$L23)="","",INDEX(CONTRATOS!$F$6:$F$1005,$L23)))</f>
      </c>
      <c r="E23" s="84">
        <f>IF($L23="","",IF(INDEX(CONTRATOS!$BG$6:$BG$1005,$L23)="","",INDEX(CONTRATOS!$BG$6:$BG$1005,$L23)))</f>
      </c>
      <c r="F23" s="83">
        <f>IF($L23="","",IF(INDEX(CONTRATOS!$G$6:$G$1005,$L23)="","",INDEX(CONTRATOS!$G$6:$G$1005,$L23)))</f>
      </c>
      <c r="G23" s="83">
        <f>IF($L23="","",N(INDEX(CONTRATOS!$G$6:$G$1005,$L23))+N(INDEX(CONTRATOS!$BJ$6:$BJ$1005,$L23)))</f>
      </c>
      <c r="H23" s="85">
        <f>IF($L23="","",IF(INDEX(CONTRATOS!$J$6:$J$1005,$L23)="","",INDEX(CONTRATOS!$J$6:$J$1005,$L23)))</f>
      </c>
      <c r="I23" s="85">
        <f>IF($L23="","",IF(INDEX(CONTRATOS!$BT$6:$BT$1005,$L23)="","",INDEX(CONTRATOS!$BT$6:$BT$1005,$L23)))</f>
      </c>
      <c r="J23" s="85">
        <f>IF($L23="","",IF(INDEX(CONTRATOS!$BW$6:$BW$1005,$L23)="","",INDEX(CONTRATOS!$BW$6:$BW$1005,$L23)))</f>
      </c>
      <c r="L23" s="77">
        <f>IFERROR(MATCH(8,CONTRATOS!$CE$6:$CE$1005,0),"")</f>
      </c>
    </row>
    <row r="24" spans="2:12" ht="19.5" customHeight="1" x14ac:dyDescent="0.2">
      <c r="B24" s="83">
        <f>IF($L24="","",IF(INDEX(CONTRATOS!$A$6:$A$1005,$L24)="","",INDEX(CONTRATOS!$A$6:$A$1005,$L24)))</f>
      </c>
      <c r="C24" s="82">
        <f>IF($L24="","",IF(INDEX(CONTRATOS!$C$6:$C$1005,$L24)="","",INDEX(CONTRATOS!$C$6:$C$1005,$L24)))</f>
      </c>
      <c r="D24" s="84">
        <f>IF($L24="","",IF(INDEX(CONTRATOS!$F$6:$F$1005,$L24)="","",INDEX(CONTRATOS!$F$6:$F$1005,$L24)))</f>
      </c>
      <c r="E24" s="84">
        <f>IF($L24="","",IF(INDEX(CONTRATOS!$BG$6:$BG$1005,$L24)="","",INDEX(CONTRATOS!$BG$6:$BG$1005,$L24)))</f>
      </c>
      <c r="F24" s="83">
        <f>IF($L24="","",IF(INDEX(CONTRATOS!$G$6:$G$1005,$L24)="","",INDEX(CONTRATOS!$G$6:$G$1005,$L24)))</f>
      </c>
      <c r="G24" s="83">
        <f>IF($L24="","",N(INDEX(CONTRATOS!$G$6:$G$1005,$L24))+N(INDEX(CONTRATOS!$BJ$6:$BJ$1005,$L24)))</f>
      </c>
      <c r="H24" s="85">
        <f>IF($L24="","",IF(INDEX(CONTRATOS!$J$6:$J$1005,$L24)="","",INDEX(CONTRATOS!$J$6:$J$1005,$L24)))</f>
      </c>
      <c r="I24" s="85">
        <f>IF($L24="","",IF(INDEX(CONTRATOS!$BT$6:$BT$1005,$L24)="","",INDEX(CONTRATOS!$BT$6:$BT$1005,$L24)))</f>
      </c>
      <c r="J24" s="85">
        <f>IF($L24="","",IF(INDEX(CONTRATOS!$BW$6:$BW$1005,$L24)="","",INDEX(CONTRATOS!$BW$6:$BW$1005,$L24)))</f>
      </c>
      <c r="L24" s="77">
        <f>IFERROR(MATCH(9,CONTRATOS!$CE$6:$CE$1005,0),"")</f>
      </c>
    </row>
    <row r="25" spans="2:12" ht="19.5" customHeight="1" x14ac:dyDescent="0.2">
      <c r="B25" s="83">
        <f>IF($L25="","",IF(INDEX(CONTRATOS!$A$6:$A$1005,$L25)="","",INDEX(CONTRATOS!$A$6:$A$1005,$L25)))</f>
      </c>
      <c r="C25" s="82">
        <f>IF($L25="","",IF(INDEX(CONTRATOS!$C$6:$C$1005,$L25)="","",INDEX(CONTRATOS!$C$6:$C$1005,$L25)))</f>
      </c>
      <c r="D25" s="84">
        <f>IF($L25="","",IF(INDEX(CONTRATOS!$F$6:$F$1005,$L25)="","",INDEX(CONTRATOS!$F$6:$F$1005,$L25)))</f>
      </c>
      <c r="E25" s="84">
        <f>IF($L25="","",IF(INDEX(CONTRATOS!$BG$6:$BG$1005,$L25)="","",INDEX(CONTRATOS!$BG$6:$BG$1005,$L25)))</f>
      </c>
      <c r="F25" s="83">
        <f>IF($L25="","",IF(INDEX(CONTRATOS!$G$6:$G$1005,$L25)="","",INDEX(CONTRATOS!$G$6:$G$1005,$L25)))</f>
      </c>
      <c r="G25" s="83">
        <f>IF($L25="","",N(INDEX(CONTRATOS!$G$6:$G$1005,$L25))+N(INDEX(CONTRATOS!$BJ$6:$BJ$1005,$L25)))</f>
      </c>
      <c r="H25" s="85">
        <f>IF($L25="","",IF(INDEX(CONTRATOS!$J$6:$J$1005,$L25)="","",INDEX(CONTRATOS!$J$6:$J$1005,$L25)))</f>
      </c>
      <c r="I25" s="85">
        <f>IF($L25="","",IF(INDEX(CONTRATOS!$BT$6:$BT$1005,$L25)="","",INDEX(CONTRATOS!$BT$6:$BT$1005,$L25)))</f>
      </c>
      <c r="J25" s="85">
        <f>IF($L25="","",IF(INDEX(CONTRATOS!$BW$6:$BW$1005,$L25)="","",INDEX(CONTRATOS!$BW$6:$BW$1005,$L25)))</f>
      </c>
      <c r="L25" s="77">
        <f>IFERROR(MATCH(10,CONTRATOS!$CE$6:$CE$1005,0),"")</f>
      </c>
    </row>
    <row r="26" spans="2:12" ht="19.5" customHeight="1" x14ac:dyDescent="0.2">
      <c r="B26" s="83">
        <f>IF($L26="","",IF(INDEX(CONTRATOS!$A$6:$A$1005,$L26)="","",INDEX(CONTRATOS!$A$6:$A$1005,$L26)))</f>
      </c>
      <c r="C26" s="82">
        <f>IF($L26="","",IF(INDEX(CONTRATOS!$C$6:$C$1005,$L26)="","",INDEX(CONTRATOS!$C$6:$C$1005,$L26)))</f>
      </c>
      <c r="D26" s="84">
        <f>IF($L26="","",IF(INDEX(CONTRATOS!$F$6:$F$1005,$L26)="","",INDEX(CONTRATOS!$F$6:$F$1005,$L26)))</f>
      </c>
      <c r="E26" s="84">
        <f>IF($L26="","",IF(INDEX(CONTRATOS!$BG$6:$BG$1005,$L26)="","",INDEX(CONTRATOS!$BG$6:$BG$1005,$L26)))</f>
      </c>
      <c r="F26" s="83">
        <f>IF($L26="","",IF(INDEX(CONTRATOS!$G$6:$G$1005,$L26)="","",INDEX(CONTRATOS!$G$6:$G$1005,$L26)))</f>
      </c>
      <c r="G26" s="83">
        <f>IF($L26="","",N(INDEX(CONTRATOS!$G$6:$G$1005,$L26))+N(INDEX(CONTRATOS!$BJ$6:$BJ$1005,$L26)))</f>
      </c>
      <c r="H26" s="85">
        <f>IF($L26="","",IF(INDEX(CONTRATOS!$J$6:$J$1005,$L26)="","",INDEX(CONTRATOS!$J$6:$J$1005,$L26)))</f>
      </c>
      <c r="I26" s="85">
        <f>IF($L26="","",IF(INDEX(CONTRATOS!$BT$6:$BT$1005,$L26)="","",INDEX(CONTRATOS!$BT$6:$BT$1005,$L26)))</f>
      </c>
      <c r="J26" s="85">
        <f>IF($L26="","",IF(INDEX(CONTRATOS!$BW$6:$BW$1005,$L26)="","",INDEX(CONTRATOS!$BW$6:$BW$1005,$L26)))</f>
      </c>
      <c r="L26" s="77">
        <f>IFERROR(MATCH(11,CONTRATOS!$CE$6:$CE$1005,0),"")</f>
      </c>
    </row>
    <row r="27" spans="2:12" ht="19.5" customHeight="1" x14ac:dyDescent="0.2">
      <c r="B27" s="83">
        <f>IF($L27="","",IF(INDEX(CONTRATOS!$A$6:$A$1005,$L27)="","",INDEX(CONTRATOS!$A$6:$A$1005,$L27)))</f>
      </c>
      <c r="C27" s="82">
        <f>IF($L27="","",IF(INDEX(CONTRATOS!$C$6:$C$1005,$L27)="","",INDEX(CONTRATOS!$C$6:$C$1005,$L27)))</f>
      </c>
      <c r="D27" s="84">
        <f>IF($L27="","",IF(INDEX(CONTRATOS!$F$6:$F$1005,$L27)="","",INDEX(CONTRATOS!$F$6:$F$1005,$L27)))</f>
      </c>
      <c r="E27" s="84">
        <f>IF($L27="","",IF(INDEX(CONTRATOS!$BG$6:$BG$1005,$L27)="","",INDEX(CONTRATOS!$BG$6:$BG$1005,$L27)))</f>
      </c>
      <c r="F27" s="83">
        <f>IF($L27="","",IF(INDEX(CONTRATOS!$G$6:$G$1005,$L27)="","",INDEX(CONTRATOS!$G$6:$G$1005,$L27)))</f>
      </c>
      <c r="G27" s="83">
        <f>IF($L27="","",N(INDEX(CONTRATOS!$G$6:$G$1005,$L27))+N(INDEX(CONTRATOS!$BJ$6:$BJ$1005,$L27)))</f>
      </c>
      <c r="H27" s="85">
        <f>IF($L27="","",IF(INDEX(CONTRATOS!$J$6:$J$1005,$L27)="","",INDEX(CONTRATOS!$J$6:$J$1005,$L27)))</f>
      </c>
      <c r="I27" s="85">
        <f>IF($L27="","",IF(INDEX(CONTRATOS!$BT$6:$BT$1005,$L27)="","",INDEX(CONTRATOS!$BT$6:$BT$1005,$L27)))</f>
      </c>
      <c r="J27" s="85">
        <f>IF($L27="","",IF(INDEX(CONTRATOS!$BW$6:$BW$1005,$L27)="","",INDEX(CONTRATOS!$BW$6:$BW$1005,$L27)))</f>
      </c>
      <c r="L27" s="77">
        <f>IFERROR(MATCH(12,CONTRATOS!$CE$6:$CE$1005,0),"")</f>
      </c>
    </row>
    <row r="28" spans="2:12" ht="19.5" customHeight="1" x14ac:dyDescent="0.2">
      <c r="B28" s="83">
        <f>IF($L28="","",IF(INDEX(CONTRATOS!$A$6:$A$1005,$L28)="","",INDEX(CONTRATOS!$A$6:$A$1005,$L28)))</f>
      </c>
      <c r="C28" s="82">
        <f>IF($L28="","",IF(INDEX(CONTRATOS!$C$6:$C$1005,$L28)="","",INDEX(CONTRATOS!$C$6:$C$1005,$L28)))</f>
      </c>
      <c r="D28" s="84">
        <f>IF($L28="","",IF(INDEX(CONTRATOS!$F$6:$F$1005,$L28)="","",INDEX(CONTRATOS!$F$6:$F$1005,$L28)))</f>
      </c>
      <c r="E28" s="84">
        <f>IF($L28="","",IF(INDEX(CONTRATOS!$BG$6:$BG$1005,$L28)="","",INDEX(CONTRATOS!$BG$6:$BG$1005,$L28)))</f>
      </c>
      <c r="F28" s="83">
        <f>IF($L28="","",IF(INDEX(CONTRATOS!$G$6:$G$1005,$L28)="","",INDEX(CONTRATOS!$G$6:$G$1005,$L28)))</f>
      </c>
      <c r="G28" s="83">
        <f>IF($L28="","",N(INDEX(CONTRATOS!$G$6:$G$1005,$L28))+N(INDEX(CONTRATOS!$BJ$6:$BJ$1005,$L28)))</f>
      </c>
      <c r="H28" s="85">
        <f>IF($L28="","",IF(INDEX(CONTRATOS!$J$6:$J$1005,$L28)="","",INDEX(CONTRATOS!$J$6:$J$1005,$L28)))</f>
      </c>
      <c r="I28" s="85">
        <f>IF($L28="","",IF(INDEX(CONTRATOS!$BT$6:$BT$1005,$L28)="","",INDEX(CONTRATOS!$BT$6:$BT$1005,$L28)))</f>
      </c>
      <c r="J28" s="85">
        <f>IF($L28="","",IF(INDEX(CONTRATOS!$BW$6:$BW$1005,$L28)="","",INDEX(CONTRATOS!$BW$6:$BW$1005,$L28)))</f>
      </c>
      <c r="L28" s="77">
        <f>IFERROR(MATCH(13,CONTRATOS!$CE$6:$CE$1005,0),"")</f>
      </c>
    </row>
    <row r="29" spans="2:12" ht="19.5" customHeight="1" x14ac:dyDescent="0.2">
      <c r="B29" s="83">
        <f>IF($L29="","",IF(INDEX(CONTRATOS!$A$6:$A$1005,$L29)="","",INDEX(CONTRATOS!$A$6:$A$1005,$L29)))</f>
      </c>
      <c r="C29" s="82">
        <f>IF($L29="","",IF(INDEX(CONTRATOS!$C$6:$C$1005,$L29)="","",INDEX(CONTRATOS!$C$6:$C$1005,$L29)))</f>
      </c>
      <c r="D29" s="84">
        <f>IF($L29="","",IF(INDEX(CONTRATOS!$F$6:$F$1005,$L29)="","",INDEX(CONTRATOS!$F$6:$F$1005,$L29)))</f>
      </c>
      <c r="E29" s="84">
        <f>IF($L29="","",IF(INDEX(CONTRATOS!$BG$6:$BG$1005,$L29)="","",INDEX(CONTRATOS!$BG$6:$BG$1005,$L29)))</f>
      </c>
      <c r="F29" s="83">
        <f>IF($L29="","",IF(INDEX(CONTRATOS!$G$6:$G$1005,$L29)="","",INDEX(CONTRATOS!$G$6:$G$1005,$L29)))</f>
      </c>
      <c r="G29" s="83">
        <f>IF($L29="","",N(INDEX(CONTRATOS!$G$6:$G$1005,$L29))+N(INDEX(CONTRATOS!$BJ$6:$BJ$1005,$L29)))</f>
      </c>
      <c r="H29" s="85">
        <f>IF($L29="","",IF(INDEX(CONTRATOS!$J$6:$J$1005,$L29)="","",INDEX(CONTRATOS!$J$6:$J$1005,$L29)))</f>
      </c>
      <c r="I29" s="85">
        <f>IF($L29="","",IF(INDEX(CONTRATOS!$BT$6:$BT$1005,$L29)="","",INDEX(CONTRATOS!$BT$6:$BT$1005,$L29)))</f>
      </c>
      <c r="J29" s="85">
        <f>IF($L29="","",IF(INDEX(CONTRATOS!$BW$6:$BW$1005,$L29)="","",INDEX(CONTRATOS!$BW$6:$BW$1005,$L29)))</f>
      </c>
      <c r="L29" s="77">
        <f>IFERROR(MATCH(14,CONTRATOS!$CE$6:$CE$1005,0),"")</f>
      </c>
    </row>
    <row r="30" spans="2:12" ht="19.5" customHeight="1" x14ac:dyDescent="0.2">
      <c r="B30" s="83">
        <f>IF($L30="","",IF(INDEX(CONTRATOS!$A$6:$A$1005,$L30)="","",INDEX(CONTRATOS!$A$6:$A$1005,$L30)))</f>
      </c>
      <c r="C30" s="82">
        <f>IF($L30="","",IF(INDEX(CONTRATOS!$C$6:$C$1005,$L30)="","",INDEX(CONTRATOS!$C$6:$C$1005,$L30)))</f>
      </c>
      <c r="D30" s="84">
        <f>IF($L30="","",IF(INDEX(CONTRATOS!$F$6:$F$1005,$L30)="","",INDEX(CONTRATOS!$F$6:$F$1005,$L30)))</f>
      </c>
      <c r="E30" s="84">
        <f>IF($L30="","",IF(INDEX(CONTRATOS!$BG$6:$BG$1005,$L30)="","",INDEX(CONTRATOS!$BG$6:$BG$1005,$L30)))</f>
      </c>
      <c r="F30" s="83">
        <f>IF($L30="","",IF(INDEX(CONTRATOS!$G$6:$G$1005,$L30)="","",INDEX(CONTRATOS!$G$6:$G$1005,$L30)))</f>
      </c>
      <c r="G30" s="83">
        <f>IF($L30="","",N(INDEX(CONTRATOS!$G$6:$G$1005,$L30))+N(INDEX(CONTRATOS!$BJ$6:$BJ$1005,$L30)))</f>
      </c>
      <c r="H30" s="85">
        <f>IF($L30="","",IF(INDEX(CONTRATOS!$J$6:$J$1005,$L30)="","",INDEX(CONTRATOS!$J$6:$J$1005,$L30)))</f>
      </c>
      <c r="I30" s="85">
        <f>IF($L30="","",IF(INDEX(CONTRATOS!$BT$6:$BT$1005,$L30)="","",INDEX(CONTRATOS!$BT$6:$BT$1005,$L30)))</f>
      </c>
      <c r="J30" s="85">
        <f>IF($L30="","",IF(INDEX(CONTRATOS!$BW$6:$BW$1005,$L30)="","",INDEX(CONTRATOS!$BW$6:$BW$1005,$L30)))</f>
      </c>
      <c r="L30" s="77">
        <f>IFERROR(MATCH(15,CONTRATOS!$CE$6:$CE$1005,0),"")</f>
      </c>
    </row>
    <row r="31" spans="2:12" ht="19.5" customHeight="1" x14ac:dyDescent="0.2">
      <c r="B31" s="83">
        <f>IF($L31="","",IF(INDEX(CONTRATOS!$A$6:$A$1005,$L31)="","",INDEX(CONTRATOS!$A$6:$A$1005,$L31)))</f>
      </c>
      <c r="C31" s="82">
        <f>IF($L31="","",IF(INDEX(CONTRATOS!$C$6:$C$1005,$L31)="","",INDEX(CONTRATOS!$C$6:$C$1005,$L31)))</f>
      </c>
      <c r="D31" s="84">
        <f>IF($L31="","",IF(INDEX(CONTRATOS!$F$6:$F$1005,$L31)="","",INDEX(CONTRATOS!$F$6:$F$1005,$L31)))</f>
      </c>
      <c r="E31" s="84">
        <f>IF($L31="","",IF(INDEX(CONTRATOS!$BG$6:$BG$1005,$L31)="","",INDEX(CONTRATOS!$BG$6:$BG$1005,$L31)))</f>
      </c>
      <c r="F31" s="83">
        <f>IF($L31="","",IF(INDEX(CONTRATOS!$G$6:$G$1005,$L31)="","",INDEX(CONTRATOS!$G$6:$G$1005,$L31)))</f>
      </c>
      <c r="G31" s="83">
        <f>IF($L31="","",N(INDEX(CONTRATOS!$G$6:$G$1005,$L31))+N(INDEX(CONTRATOS!$BJ$6:$BJ$1005,$L31)))</f>
      </c>
      <c r="H31" s="85">
        <f>IF($L31="","",IF(INDEX(CONTRATOS!$J$6:$J$1005,$L31)="","",INDEX(CONTRATOS!$J$6:$J$1005,$L31)))</f>
      </c>
      <c r="I31" s="85">
        <f>IF($L31="","",IF(INDEX(CONTRATOS!$BT$6:$BT$1005,$L31)="","",INDEX(CONTRATOS!$BT$6:$BT$1005,$L31)))</f>
      </c>
      <c r="J31" s="85">
        <f>IF($L31="","",IF(INDEX(CONTRATOS!$BW$6:$BW$1005,$L31)="","",INDEX(CONTRATOS!$BW$6:$BW$1005,$L31)))</f>
      </c>
      <c r="L31" s="77">
        <f>IFERROR(MATCH(16,CONTRATOS!$CE$6:$CE$1005,0),"")</f>
      </c>
    </row>
    <row r="32" spans="2:12" ht="19.5" customHeight="1" x14ac:dyDescent="0.2">
      <c r="B32" s="83">
        <f>IF($L32="","",IF(INDEX(CONTRATOS!$A$6:$A$1005,$L32)="","",INDEX(CONTRATOS!$A$6:$A$1005,$L32)))</f>
      </c>
      <c r="C32" s="82">
        <f>IF($L32="","",IF(INDEX(CONTRATOS!$C$6:$C$1005,$L32)="","",INDEX(CONTRATOS!$C$6:$C$1005,$L32)))</f>
      </c>
      <c r="D32" s="84">
        <f>IF($L32="","",IF(INDEX(CONTRATOS!$F$6:$F$1005,$L32)="","",INDEX(CONTRATOS!$F$6:$F$1005,$L32)))</f>
      </c>
      <c r="E32" s="84">
        <f>IF($L32="","",IF(INDEX(CONTRATOS!$BG$6:$BG$1005,$L32)="","",INDEX(CONTRATOS!$BG$6:$BG$1005,$L32)))</f>
      </c>
      <c r="F32" s="83">
        <f>IF($L32="","",IF(INDEX(CONTRATOS!$G$6:$G$1005,$L32)="","",INDEX(CONTRATOS!$G$6:$G$1005,$L32)))</f>
      </c>
      <c r="G32" s="83">
        <f>IF($L32="","",N(INDEX(CONTRATOS!$G$6:$G$1005,$L32))+N(INDEX(CONTRATOS!$BJ$6:$BJ$1005,$L32)))</f>
      </c>
      <c r="H32" s="85">
        <f>IF($L32="","",IF(INDEX(CONTRATOS!$J$6:$J$1005,$L32)="","",INDEX(CONTRATOS!$J$6:$J$1005,$L32)))</f>
      </c>
      <c r="I32" s="85">
        <f>IF($L32="","",IF(INDEX(CONTRATOS!$BT$6:$BT$1005,$L32)="","",INDEX(CONTRATOS!$BT$6:$BT$1005,$L32)))</f>
      </c>
      <c r="J32" s="85">
        <f>IF($L32="","",IF(INDEX(CONTRATOS!$BW$6:$BW$1005,$L32)="","",INDEX(CONTRATOS!$BW$6:$BW$1005,$L32)))</f>
      </c>
      <c r="L32" s="77">
        <f>IFERROR(MATCH(17,CONTRATOS!$CE$6:$CE$1005,0),"")</f>
      </c>
    </row>
    <row r="33" spans="2:12" ht="19.5" customHeight="1" x14ac:dyDescent="0.2">
      <c r="B33" s="83">
        <f>IF($L33="","",IF(INDEX(CONTRATOS!$A$6:$A$1005,$L33)="","",INDEX(CONTRATOS!$A$6:$A$1005,$L33)))</f>
      </c>
      <c r="C33" s="82">
        <f>IF($L33="","",IF(INDEX(CONTRATOS!$C$6:$C$1005,$L33)="","",INDEX(CONTRATOS!$C$6:$C$1005,$L33)))</f>
      </c>
      <c r="D33" s="84">
        <f>IF($L33="","",IF(INDEX(CONTRATOS!$F$6:$F$1005,$L33)="","",INDEX(CONTRATOS!$F$6:$F$1005,$L33)))</f>
      </c>
      <c r="E33" s="84">
        <f>IF($L33="","",IF(INDEX(CONTRATOS!$BG$6:$BG$1005,$L33)="","",INDEX(CONTRATOS!$BG$6:$BG$1005,$L33)))</f>
      </c>
      <c r="F33" s="83">
        <f>IF($L33="","",IF(INDEX(CONTRATOS!$G$6:$G$1005,$L33)="","",INDEX(CONTRATOS!$G$6:$G$1005,$L33)))</f>
      </c>
      <c r="G33" s="83">
        <f>IF($L33="","",N(INDEX(CONTRATOS!$G$6:$G$1005,$L33))+N(INDEX(CONTRATOS!$BJ$6:$BJ$1005,$L33)))</f>
      </c>
      <c r="H33" s="85">
        <f>IF($L33="","",IF(INDEX(CONTRATOS!$J$6:$J$1005,$L33)="","",INDEX(CONTRATOS!$J$6:$J$1005,$L33)))</f>
      </c>
      <c r="I33" s="85">
        <f>IF($L33="","",IF(INDEX(CONTRATOS!$BT$6:$BT$1005,$L33)="","",INDEX(CONTRATOS!$BT$6:$BT$1005,$L33)))</f>
      </c>
      <c r="J33" s="85">
        <f>IF($L33="","",IF(INDEX(CONTRATOS!$BW$6:$BW$1005,$L33)="","",INDEX(CONTRATOS!$BW$6:$BW$1005,$L33)))</f>
      </c>
      <c r="L33" s="77">
        <f>IFERROR(MATCH(18,CONTRATOS!$CE$6:$CE$1005,0),"")</f>
      </c>
    </row>
    <row r="34" spans="2:12" ht="19.5" customHeight="1" x14ac:dyDescent="0.2">
      <c r="B34" s="83">
        <f>IF($L34="","",IF(INDEX(CONTRATOS!$A$6:$A$1005,$L34)="","",INDEX(CONTRATOS!$A$6:$A$1005,$L34)))</f>
      </c>
      <c r="C34" s="82">
        <f>IF($L34="","",IF(INDEX(CONTRATOS!$C$6:$C$1005,$L34)="","",INDEX(CONTRATOS!$C$6:$C$1005,$L34)))</f>
      </c>
      <c r="D34" s="84">
        <f>IF($L34="","",IF(INDEX(CONTRATOS!$F$6:$F$1005,$L34)="","",INDEX(CONTRATOS!$F$6:$F$1005,$L34)))</f>
      </c>
      <c r="E34" s="84">
        <f>IF($L34="","",IF(INDEX(CONTRATOS!$BG$6:$BG$1005,$L34)="","",INDEX(CONTRATOS!$BG$6:$BG$1005,$L34)))</f>
      </c>
      <c r="F34" s="83">
        <f>IF($L34="","",IF(INDEX(CONTRATOS!$G$6:$G$1005,$L34)="","",INDEX(CONTRATOS!$G$6:$G$1005,$L34)))</f>
      </c>
      <c r="G34" s="83">
        <f>IF($L34="","",N(INDEX(CONTRATOS!$G$6:$G$1005,$L34))+N(INDEX(CONTRATOS!$BJ$6:$BJ$1005,$L34)))</f>
      </c>
      <c r="H34" s="85">
        <f>IF($L34="","",IF(INDEX(CONTRATOS!$J$6:$J$1005,$L34)="","",INDEX(CONTRATOS!$J$6:$J$1005,$L34)))</f>
      </c>
      <c r="I34" s="85">
        <f>IF($L34="","",IF(INDEX(CONTRATOS!$BT$6:$BT$1005,$L34)="","",INDEX(CONTRATOS!$BT$6:$BT$1005,$L34)))</f>
      </c>
      <c r="J34" s="85">
        <f>IF($L34="","",IF(INDEX(CONTRATOS!$BW$6:$BW$1005,$L34)="","",INDEX(CONTRATOS!$BW$6:$BW$1005,$L34)))</f>
      </c>
      <c r="L34" s="77">
        <f>IFERROR(MATCH(19,CONTRATOS!$CE$6:$CE$1005,0),"")</f>
      </c>
    </row>
    <row r="35" spans="2:12" ht="19.5" customHeight="1" x14ac:dyDescent="0.2">
      <c r="B35" s="83">
        <f>IF($L35="","",IF(INDEX(CONTRATOS!$A$6:$A$1005,$L35)="","",INDEX(CONTRATOS!$A$6:$A$1005,$L35)))</f>
      </c>
      <c r="C35" s="82">
        <f>IF($L35="","",IF(INDEX(CONTRATOS!$C$6:$C$1005,$L35)="","",INDEX(CONTRATOS!$C$6:$C$1005,$L35)))</f>
      </c>
      <c r="D35" s="84">
        <f>IF($L35="","",IF(INDEX(CONTRATOS!$F$6:$F$1005,$L35)="","",INDEX(CONTRATOS!$F$6:$F$1005,$L35)))</f>
      </c>
      <c r="E35" s="84">
        <f>IF($L35="","",IF(INDEX(CONTRATOS!$BG$6:$BG$1005,$L35)="","",INDEX(CONTRATOS!$BG$6:$BG$1005,$L35)))</f>
      </c>
      <c r="F35" s="83">
        <f>IF($L35="","",IF(INDEX(CONTRATOS!$G$6:$G$1005,$L35)="","",INDEX(CONTRATOS!$G$6:$G$1005,$L35)))</f>
      </c>
      <c r="G35" s="83">
        <f>IF($L35="","",N(INDEX(CONTRATOS!$G$6:$G$1005,$L35))+N(INDEX(CONTRATOS!$BJ$6:$BJ$1005,$L35)))</f>
      </c>
      <c r="H35" s="85">
        <f>IF($L35="","",IF(INDEX(CONTRATOS!$J$6:$J$1005,$L35)="","",INDEX(CONTRATOS!$J$6:$J$1005,$L35)))</f>
      </c>
      <c r="I35" s="85">
        <f>IF($L35="","",IF(INDEX(CONTRATOS!$BT$6:$BT$1005,$L35)="","",INDEX(CONTRATOS!$BT$6:$BT$1005,$L35)))</f>
      </c>
      <c r="J35" s="85">
        <f>IF($L35="","",IF(INDEX(CONTRATOS!$BW$6:$BW$1005,$L35)="","",INDEX(CONTRATOS!$BW$6:$BW$1005,$L35)))</f>
      </c>
      <c r="L35" s="77">
        <f>IFERROR(MATCH(20,CONTRATOS!$CE$6:$CE$1005,0),"")</f>
      </c>
    </row>
    <row r="36" spans="2:12" ht="19.5" customHeight="1" x14ac:dyDescent="0.2">
      <c r="B36" s="83">
        <f>IF($L36="","",IF(INDEX(CONTRATOS!$A$6:$A$1005,$L36)="","",INDEX(CONTRATOS!$A$6:$A$1005,$L36)))</f>
      </c>
      <c r="C36" s="82">
        <f>IF($L36="","",IF(INDEX(CONTRATOS!$C$6:$C$1005,$L36)="","",INDEX(CONTRATOS!$C$6:$C$1005,$L36)))</f>
      </c>
      <c r="D36" s="84">
        <f>IF($L36="","",IF(INDEX(CONTRATOS!$F$6:$F$1005,$L36)="","",INDEX(CONTRATOS!$F$6:$F$1005,$L36)))</f>
      </c>
      <c r="E36" s="84">
        <f>IF($L36="","",IF(INDEX(CONTRATOS!$BG$6:$BG$1005,$L36)="","",INDEX(CONTRATOS!$BG$6:$BG$1005,$L36)))</f>
      </c>
      <c r="F36" s="83">
        <f>IF($L36="","",IF(INDEX(CONTRATOS!$G$6:$G$1005,$L36)="","",INDEX(CONTRATOS!$G$6:$G$1005,$L36)))</f>
      </c>
      <c r="G36" s="83">
        <f>IF($L36="","",N(INDEX(CONTRATOS!$G$6:$G$1005,$L36))+N(INDEX(CONTRATOS!$BJ$6:$BJ$1005,$L36)))</f>
      </c>
      <c r="H36" s="85">
        <f>IF($L36="","",IF(INDEX(CONTRATOS!$J$6:$J$1005,$L36)="","",INDEX(CONTRATOS!$J$6:$J$1005,$L36)))</f>
      </c>
      <c r="I36" s="85">
        <f>IF($L36="","",IF(INDEX(CONTRATOS!$BT$6:$BT$1005,$L36)="","",INDEX(CONTRATOS!$BT$6:$BT$1005,$L36)))</f>
      </c>
      <c r="J36" s="85">
        <f>IF($L36="","",IF(INDEX(CONTRATOS!$BW$6:$BW$1005,$L36)="","",INDEX(CONTRATOS!$BW$6:$BW$1005,$L36)))</f>
      </c>
      <c r="L36" s="77">
        <f>IFERROR(MATCH(21,CONTRATOS!$CE$6:$CE$1005,0),"")</f>
      </c>
    </row>
    <row r="37" spans="2:12" ht="19.5" customHeight="1" x14ac:dyDescent="0.2">
      <c r="B37" s="83">
        <f>IF($L37="","",IF(INDEX(CONTRATOS!$A$6:$A$1005,$L37)="","",INDEX(CONTRATOS!$A$6:$A$1005,$L37)))</f>
      </c>
      <c r="C37" s="82">
        <f>IF($L37="","",IF(INDEX(CONTRATOS!$C$6:$C$1005,$L37)="","",INDEX(CONTRATOS!$C$6:$C$1005,$L37)))</f>
      </c>
      <c r="D37" s="84">
        <f>IF($L37="","",IF(INDEX(CONTRATOS!$F$6:$F$1005,$L37)="","",INDEX(CONTRATOS!$F$6:$F$1005,$L37)))</f>
      </c>
      <c r="E37" s="84">
        <f>IF($L37="","",IF(INDEX(CONTRATOS!$BG$6:$BG$1005,$L37)="","",INDEX(CONTRATOS!$BG$6:$BG$1005,$L37)))</f>
      </c>
      <c r="F37" s="83">
        <f>IF($L37="","",IF(INDEX(CONTRATOS!$G$6:$G$1005,$L37)="","",INDEX(CONTRATOS!$G$6:$G$1005,$L37)))</f>
      </c>
      <c r="G37" s="83">
        <f>IF($L37="","",N(INDEX(CONTRATOS!$G$6:$G$1005,$L37))+N(INDEX(CONTRATOS!$BJ$6:$BJ$1005,$L37)))</f>
      </c>
      <c r="H37" s="85">
        <f>IF($L37="","",IF(INDEX(CONTRATOS!$J$6:$J$1005,$L37)="","",INDEX(CONTRATOS!$J$6:$J$1005,$L37)))</f>
      </c>
      <c r="I37" s="85">
        <f>IF($L37="","",IF(INDEX(CONTRATOS!$BT$6:$BT$1005,$L37)="","",INDEX(CONTRATOS!$BT$6:$BT$1005,$L37)))</f>
      </c>
      <c r="J37" s="85">
        <f>IF($L37="","",IF(INDEX(CONTRATOS!$BW$6:$BW$1005,$L37)="","",INDEX(CONTRATOS!$BW$6:$BW$1005,$L37)))</f>
      </c>
      <c r="L37" s="77">
        <f>IFERROR(MATCH(22,CONTRATOS!$CE$6:$CE$1005,0),"")</f>
      </c>
    </row>
    <row r="38" spans="2:12" ht="19.5" customHeight="1" x14ac:dyDescent="0.2">
      <c r="B38" s="83">
        <f>IF($L38="","",IF(INDEX(CONTRATOS!$A$6:$A$1005,$L38)="","",INDEX(CONTRATOS!$A$6:$A$1005,$L38)))</f>
      </c>
      <c r="C38" s="82">
        <f>IF($L38="","",IF(INDEX(CONTRATOS!$C$6:$C$1005,$L38)="","",INDEX(CONTRATOS!$C$6:$C$1005,$L38)))</f>
      </c>
      <c r="D38" s="84">
        <f>IF($L38="","",IF(INDEX(CONTRATOS!$F$6:$F$1005,$L38)="","",INDEX(CONTRATOS!$F$6:$F$1005,$L38)))</f>
      </c>
      <c r="E38" s="84">
        <f>IF($L38="","",IF(INDEX(CONTRATOS!$BG$6:$BG$1005,$L38)="","",INDEX(CONTRATOS!$BG$6:$BG$1005,$L38)))</f>
      </c>
      <c r="F38" s="83">
        <f>IF($L38="","",IF(INDEX(CONTRATOS!$G$6:$G$1005,$L38)="","",INDEX(CONTRATOS!$G$6:$G$1005,$L38)))</f>
      </c>
      <c r="G38" s="83">
        <f>IF($L38="","",N(INDEX(CONTRATOS!$G$6:$G$1005,$L38))+N(INDEX(CONTRATOS!$BJ$6:$BJ$1005,$L38)))</f>
      </c>
      <c r="H38" s="85">
        <f>IF($L38="","",IF(INDEX(CONTRATOS!$J$6:$J$1005,$L38)="","",INDEX(CONTRATOS!$J$6:$J$1005,$L38)))</f>
      </c>
      <c r="I38" s="85">
        <f>IF($L38="","",IF(INDEX(CONTRATOS!$BT$6:$BT$1005,$L38)="","",INDEX(CONTRATOS!$BT$6:$BT$1005,$L38)))</f>
      </c>
      <c r="J38" s="85">
        <f>IF($L38="","",IF(INDEX(CONTRATOS!$BW$6:$BW$1005,$L38)="","",INDEX(CONTRATOS!$BW$6:$BW$1005,$L38)))</f>
      </c>
      <c r="L38" s="77">
        <f>IFERROR(MATCH(23,CONTRATOS!$CE$6:$CE$1005,0),"")</f>
      </c>
    </row>
    <row r="39" spans="2:12" ht="19.5" customHeight="1" x14ac:dyDescent="0.2">
      <c r="B39" s="83">
        <f>IF($L39="","",IF(INDEX(CONTRATOS!$A$6:$A$1005,$L39)="","",INDEX(CONTRATOS!$A$6:$A$1005,$L39)))</f>
      </c>
      <c r="C39" s="82">
        <f>IF($L39="","",IF(INDEX(CONTRATOS!$C$6:$C$1005,$L39)="","",INDEX(CONTRATOS!$C$6:$C$1005,$L39)))</f>
      </c>
      <c r="D39" s="84">
        <f>IF($L39="","",IF(INDEX(CONTRATOS!$F$6:$F$1005,$L39)="","",INDEX(CONTRATOS!$F$6:$F$1005,$L39)))</f>
      </c>
      <c r="E39" s="84">
        <f>IF($L39="","",IF(INDEX(CONTRATOS!$BG$6:$BG$1005,$L39)="","",INDEX(CONTRATOS!$BG$6:$BG$1005,$L39)))</f>
      </c>
      <c r="F39" s="83">
        <f>IF($L39="","",IF(INDEX(CONTRATOS!$G$6:$G$1005,$L39)="","",INDEX(CONTRATOS!$G$6:$G$1005,$L39)))</f>
      </c>
      <c r="G39" s="83">
        <f>IF($L39="","",N(INDEX(CONTRATOS!$G$6:$G$1005,$L39))+N(INDEX(CONTRATOS!$BJ$6:$BJ$1005,$L39)))</f>
      </c>
      <c r="H39" s="85">
        <f>IF($L39="","",IF(INDEX(CONTRATOS!$J$6:$J$1005,$L39)="","",INDEX(CONTRATOS!$J$6:$J$1005,$L39)))</f>
      </c>
      <c r="I39" s="85">
        <f>IF($L39="","",IF(INDEX(CONTRATOS!$BT$6:$BT$1005,$L39)="","",INDEX(CONTRATOS!$BT$6:$BT$1005,$L39)))</f>
      </c>
      <c r="J39" s="85">
        <f>IF($L39="","",IF(INDEX(CONTRATOS!$BW$6:$BW$1005,$L39)="","",INDEX(CONTRATOS!$BW$6:$BW$1005,$L39)))</f>
      </c>
      <c r="L39" s="77">
        <f>IFERROR(MATCH(24,CONTRATOS!$CE$6:$CE$1005,0),"")</f>
      </c>
    </row>
    <row r="40" spans="2:12" ht="19.5" customHeight="1" x14ac:dyDescent="0.2">
      <c r="B40" s="83">
        <f>IF($L40="","",IF(INDEX(CONTRATOS!$A$6:$A$1005,$L40)="","",INDEX(CONTRATOS!$A$6:$A$1005,$L40)))</f>
      </c>
      <c r="C40" s="82">
        <f>IF($L40="","",IF(INDEX(CONTRATOS!$C$6:$C$1005,$L40)="","",INDEX(CONTRATOS!$C$6:$C$1005,$L40)))</f>
      </c>
      <c r="D40" s="84">
        <f>IF($L40="","",IF(INDEX(CONTRATOS!$F$6:$F$1005,$L40)="","",INDEX(CONTRATOS!$F$6:$F$1005,$L40)))</f>
      </c>
      <c r="E40" s="84">
        <f>IF($L40="","",IF(INDEX(CONTRATOS!$BG$6:$BG$1005,$L40)="","",INDEX(CONTRATOS!$BG$6:$BG$1005,$L40)))</f>
      </c>
      <c r="F40" s="83">
        <f>IF($L40="","",IF(INDEX(CONTRATOS!$G$6:$G$1005,$L40)="","",INDEX(CONTRATOS!$G$6:$G$1005,$L40)))</f>
      </c>
      <c r="G40" s="83">
        <f>IF($L40="","",N(INDEX(CONTRATOS!$G$6:$G$1005,$L40))+N(INDEX(CONTRATOS!$BJ$6:$BJ$1005,$L40)))</f>
      </c>
      <c r="H40" s="85">
        <f>IF($L40="","",IF(INDEX(CONTRATOS!$J$6:$J$1005,$L40)="","",INDEX(CONTRATOS!$J$6:$J$1005,$L40)))</f>
      </c>
      <c r="I40" s="85">
        <f>IF($L40="","",IF(INDEX(CONTRATOS!$BT$6:$BT$1005,$L40)="","",INDEX(CONTRATOS!$BT$6:$BT$1005,$L40)))</f>
      </c>
      <c r="J40" s="85">
        <f>IF($L40="","",IF(INDEX(CONTRATOS!$BW$6:$BW$1005,$L40)="","",INDEX(CONTRATOS!$BW$6:$BW$1005,$L40)))</f>
      </c>
      <c r="L40" s="77">
        <f>IFERROR(MATCH(25,CONTRATOS!$CE$6:$CE$1005,0),"")</f>
      </c>
    </row>
    <row r="41" spans="2:12" ht="19.5" customHeight="1" x14ac:dyDescent="0.2">
      <c r="B41" s="83">
        <f>IF($L41="","",IF(INDEX(CONTRATOS!$A$6:$A$1005,$L41)="","",INDEX(CONTRATOS!$A$6:$A$1005,$L41)))</f>
      </c>
      <c r="C41" s="82">
        <f>IF($L41="","",IF(INDEX(CONTRATOS!$C$6:$C$1005,$L41)="","",INDEX(CONTRATOS!$C$6:$C$1005,$L41)))</f>
      </c>
      <c r="D41" s="84">
        <f>IF($L41="","",IF(INDEX(CONTRATOS!$F$6:$F$1005,$L41)="","",INDEX(CONTRATOS!$F$6:$F$1005,$L41)))</f>
      </c>
      <c r="E41" s="84">
        <f>IF($L41="","",IF(INDEX(CONTRATOS!$BG$6:$BG$1005,$L41)="","",INDEX(CONTRATOS!$BG$6:$BG$1005,$L41)))</f>
      </c>
      <c r="F41" s="83">
        <f>IF($L41="","",IF(INDEX(CONTRATOS!$G$6:$G$1005,$L41)="","",INDEX(CONTRATOS!$G$6:$G$1005,$L41)))</f>
      </c>
      <c r="G41" s="83">
        <f>IF($L41="","",N(INDEX(CONTRATOS!$G$6:$G$1005,$L41))+N(INDEX(CONTRATOS!$BJ$6:$BJ$1005,$L41)))</f>
      </c>
      <c r="H41" s="85">
        <f>IF($L41="","",IF(INDEX(CONTRATOS!$J$6:$J$1005,$L41)="","",INDEX(CONTRATOS!$J$6:$J$1005,$L41)))</f>
      </c>
      <c r="I41" s="85">
        <f>IF($L41="","",IF(INDEX(CONTRATOS!$BT$6:$BT$1005,$L41)="","",INDEX(CONTRATOS!$BT$6:$BT$1005,$L41)))</f>
      </c>
      <c r="J41" s="85">
        <f>IF($L41="","",IF(INDEX(CONTRATOS!$BW$6:$BW$1005,$L41)="","",INDEX(CONTRATOS!$BW$6:$BW$1005,$L41)))</f>
      </c>
      <c r="L41" s="77">
        <f>IFERROR(MATCH(26,CONTRATOS!$CE$6:$CE$1005,0),"")</f>
      </c>
    </row>
    <row r="42" spans="2:12" ht="19.5" customHeight="1" x14ac:dyDescent="0.2">
      <c r="B42" s="83">
        <f>IF($L42="","",IF(INDEX(CONTRATOS!$A$6:$A$1005,$L42)="","",INDEX(CONTRATOS!$A$6:$A$1005,$L42)))</f>
      </c>
      <c r="C42" s="82">
        <f>IF($L42="","",IF(INDEX(CONTRATOS!$C$6:$C$1005,$L42)="","",INDEX(CONTRATOS!$C$6:$C$1005,$L42)))</f>
      </c>
      <c r="D42" s="84">
        <f>IF($L42="","",IF(INDEX(CONTRATOS!$F$6:$F$1005,$L42)="","",INDEX(CONTRATOS!$F$6:$F$1005,$L42)))</f>
      </c>
      <c r="E42" s="84">
        <f>IF($L42="","",IF(INDEX(CONTRATOS!$BG$6:$BG$1005,$L42)="","",INDEX(CONTRATOS!$BG$6:$BG$1005,$L42)))</f>
      </c>
      <c r="F42" s="83">
        <f>IF($L42="","",IF(INDEX(CONTRATOS!$G$6:$G$1005,$L42)="","",INDEX(CONTRATOS!$G$6:$G$1005,$L42)))</f>
      </c>
      <c r="G42" s="83">
        <f>IF($L42="","",N(INDEX(CONTRATOS!$G$6:$G$1005,$L42))+N(INDEX(CONTRATOS!$BJ$6:$BJ$1005,$L42)))</f>
      </c>
      <c r="H42" s="85">
        <f>IF($L42="","",IF(INDEX(CONTRATOS!$J$6:$J$1005,$L42)="","",INDEX(CONTRATOS!$J$6:$J$1005,$L42)))</f>
      </c>
      <c r="I42" s="85">
        <f>IF($L42="","",IF(INDEX(CONTRATOS!$BT$6:$BT$1005,$L42)="","",INDEX(CONTRATOS!$BT$6:$BT$1005,$L42)))</f>
      </c>
      <c r="J42" s="85">
        <f>IF($L42="","",IF(INDEX(CONTRATOS!$BW$6:$BW$1005,$L42)="","",INDEX(CONTRATOS!$BW$6:$BW$1005,$L42)))</f>
      </c>
      <c r="L42" s="77">
        <f>IFERROR(MATCH(27,CONTRATOS!$CE$6:$CE$1005,0),"")</f>
      </c>
    </row>
    <row r="43" spans="2:12" ht="19.5" customHeight="1" x14ac:dyDescent="0.2">
      <c r="B43" s="83">
        <f>IF($L43="","",IF(INDEX(CONTRATOS!$A$6:$A$1005,$L43)="","",INDEX(CONTRATOS!$A$6:$A$1005,$L43)))</f>
      </c>
      <c r="C43" s="82">
        <f>IF($L43="","",IF(INDEX(CONTRATOS!$C$6:$C$1005,$L43)="","",INDEX(CONTRATOS!$C$6:$C$1005,$L43)))</f>
      </c>
      <c r="D43" s="84">
        <f>IF($L43="","",IF(INDEX(CONTRATOS!$F$6:$F$1005,$L43)="","",INDEX(CONTRATOS!$F$6:$F$1005,$L43)))</f>
      </c>
      <c r="E43" s="84">
        <f>IF($L43="","",IF(INDEX(CONTRATOS!$BG$6:$BG$1005,$L43)="","",INDEX(CONTRATOS!$BG$6:$BG$1005,$L43)))</f>
      </c>
      <c r="F43" s="83">
        <f>IF($L43="","",IF(INDEX(CONTRATOS!$G$6:$G$1005,$L43)="","",INDEX(CONTRATOS!$G$6:$G$1005,$L43)))</f>
      </c>
      <c r="G43" s="83">
        <f>IF($L43="","",N(INDEX(CONTRATOS!$G$6:$G$1005,$L43))+N(INDEX(CONTRATOS!$BJ$6:$BJ$1005,$L43)))</f>
      </c>
      <c r="H43" s="85">
        <f>IF($L43="","",IF(INDEX(CONTRATOS!$J$6:$J$1005,$L43)="","",INDEX(CONTRATOS!$J$6:$J$1005,$L43)))</f>
      </c>
      <c r="I43" s="85">
        <f>IF($L43="","",IF(INDEX(CONTRATOS!$BT$6:$BT$1005,$L43)="","",INDEX(CONTRATOS!$BT$6:$BT$1005,$L43)))</f>
      </c>
      <c r="J43" s="85">
        <f>IF($L43="","",IF(INDEX(CONTRATOS!$BW$6:$BW$1005,$L43)="","",INDEX(CONTRATOS!$BW$6:$BW$1005,$L43)))</f>
      </c>
      <c r="L43" s="77">
        <f>IFERROR(MATCH(28,CONTRATOS!$CE$6:$CE$1005,0),"")</f>
      </c>
    </row>
    <row r="44" spans="2:12" ht="19.5" customHeight="1" x14ac:dyDescent="0.2">
      <c r="B44" s="83">
        <f>IF($L44="","",IF(INDEX(CONTRATOS!$A$6:$A$1005,$L44)="","",INDEX(CONTRATOS!$A$6:$A$1005,$L44)))</f>
      </c>
      <c r="C44" s="82">
        <f>IF($L44="","",IF(INDEX(CONTRATOS!$C$6:$C$1005,$L44)="","",INDEX(CONTRATOS!$C$6:$C$1005,$L44)))</f>
      </c>
      <c r="D44" s="84">
        <f>IF($L44="","",IF(INDEX(CONTRATOS!$F$6:$F$1005,$L44)="","",INDEX(CONTRATOS!$F$6:$F$1005,$L44)))</f>
      </c>
      <c r="E44" s="84">
        <f>IF($L44="","",IF(INDEX(CONTRATOS!$BG$6:$BG$1005,$L44)="","",INDEX(CONTRATOS!$BG$6:$BG$1005,$L44)))</f>
      </c>
      <c r="F44" s="83">
        <f>IF($L44="","",IF(INDEX(CONTRATOS!$G$6:$G$1005,$L44)="","",INDEX(CONTRATOS!$G$6:$G$1005,$L44)))</f>
      </c>
      <c r="G44" s="83">
        <f>IF($L44="","",N(INDEX(CONTRATOS!$G$6:$G$1005,$L44))+N(INDEX(CONTRATOS!$BJ$6:$BJ$1005,$L44)))</f>
      </c>
      <c r="H44" s="85">
        <f>IF($L44="","",IF(INDEX(CONTRATOS!$J$6:$J$1005,$L44)="","",INDEX(CONTRATOS!$J$6:$J$1005,$L44)))</f>
      </c>
      <c r="I44" s="85">
        <f>IF($L44="","",IF(INDEX(CONTRATOS!$BT$6:$BT$1005,$L44)="","",INDEX(CONTRATOS!$BT$6:$BT$1005,$L44)))</f>
      </c>
      <c r="J44" s="85">
        <f>IF($L44="","",IF(INDEX(CONTRATOS!$BW$6:$BW$1005,$L44)="","",INDEX(CONTRATOS!$BW$6:$BW$1005,$L44)))</f>
      </c>
      <c r="L44" s="77">
        <f>IFERROR(MATCH(29,CONTRATOS!$CE$6:$CE$1005,0),"")</f>
      </c>
    </row>
    <row r="45" spans="2:12" ht="19.5" customHeight="1" x14ac:dyDescent="0.2">
      <c r="B45" s="83">
        <f>IF($L45="","",IF(INDEX(CONTRATOS!$A$6:$A$1005,$L45)="","",INDEX(CONTRATOS!$A$6:$A$1005,$L45)))</f>
      </c>
      <c r="C45" s="82">
        <f>IF($L45="","",IF(INDEX(CONTRATOS!$C$6:$C$1005,$L45)="","",INDEX(CONTRATOS!$C$6:$C$1005,$L45)))</f>
      </c>
      <c r="D45" s="84">
        <f>IF($L45="","",IF(INDEX(CONTRATOS!$F$6:$F$1005,$L45)="","",INDEX(CONTRATOS!$F$6:$F$1005,$L45)))</f>
      </c>
      <c r="E45" s="84">
        <f>IF($L45="","",IF(INDEX(CONTRATOS!$BG$6:$BG$1005,$L45)="","",INDEX(CONTRATOS!$BG$6:$BG$1005,$L45)))</f>
      </c>
      <c r="F45" s="83">
        <f>IF($L45="","",IF(INDEX(CONTRATOS!$G$6:$G$1005,$L45)="","",INDEX(CONTRATOS!$G$6:$G$1005,$L45)))</f>
      </c>
      <c r="G45" s="83">
        <f>IF($L45="","",N(INDEX(CONTRATOS!$G$6:$G$1005,$L45))+N(INDEX(CONTRATOS!$BJ$6:$BJ$1005,$L45)))</f>
      </c>
      <c r="H45" s="85">
        <f>IF($L45="","",IF(INDEX(CONTRATOS!$J$6:$J$1005,$L45)="","",INDEX(CONTRATOS!$J$6:$J$1005,$L45)))</f>
      </c>
      <c r="I45" s="85">
        <f>IF($L45="","",IF(INDEX(CONTRATOS!$BT$6:$BT$1005,$L45)="","",INDEX(CONTRATOS!$BT$6:$BT$1005,$L45)))</f>
      </c>
      <c r="J45" s="85">
        <f>IF($L45="","",IF(INDEX(CONTRATOS!$BW$6:$BW$1005,$L45)="","",INDEX(CONTRATOS!$BW$6:$BW$1005,$L45)))</f>
      </c>
      <c r="L45" s="77">
        <f>IFERROR(MATCH(30,CONTRATOS!$CE$6:$CE$1005,0),"")</f>
      </c>
    </row>
    <row r="46" spans="2:12" ht="19.5" customHeight="1" x14ac:dyDescent="0.2">
      <c r="B46" s="83">
        <f>IF($L46="","",IF(INDEX(CONTRATOS!$A$6:$A$1005,$L46)="","",INDEX(CONTRATOS!$A$6:$A$1005,$L46)))</f>
      </c>
      <c r="C46" s="82">
        <f>IF($L46="","",IF(INDEX(CONTRATOS!$C$6:$C$1005,$L46)="","",INDEX(CONTRATOS!$C$6:$C$1005,$L46)))</f>
      </c>
      <c r="D46" s="84">
        <f>IF($L46="","",IF(INDEX(CONTRATOS!$F$6:$F$1005,$L46)="","",INDEX(CONTRATOS!$F$6:$F$1005,$L46)))</f>
      </c>
      <c r="E46" s="84">
        <f>IF($L46="","",IF(INDEX(CONTRATOS!$BG$6:$BG$1005,$L46)="","",INDEX(CONTRATOS!$BG$6:$BG$1005,$L46)))</f>
      </c>
      <c r="F46" s="83">
        <f>IF($L46="","",IF(INDEX(CONTRATOS!$G$6:$G$1005,$L46)="","",INDEX(CONTRATOS!$G$6:$G$1005,$L46)))</f>
      </c>
      <c r="G46" s="83">
        <f>IF($L46="","",N(INDEX(CONTRATOS!$G$6:$G$1005,$L46))+N(INDEX(CONTRATOS!$BJ$6:$BJ$1005,$L46)))</f>
      </c>
      <c r="H46" s="85">
        <f>IF($L46="","",IF(INDEX(CONTRATOS!$J$6:$J$1005,$L46)="","",INDEX(CONTRATOS!$J$6:$J$1005,$L46)))</f>
      </c>
      <c r="I46" s="85">
        <f>IF($L46="","",IF(INDEX(CONTRATOS!$BT$6:$BT$1005,$L46)="","",INDEX(CONTRATOS!$BT$6:$BT$1005,$L46)))</f>
      </c>
      <c r="J46" s="85">
        <f>IF($L46="","",IF(INDEX(CONTRATOS!$BW$6:$BW$1005,$L46)="","",INDEX(CONTRATOS!$BW$6:$BW$1005,$L46)))</f>
      </c>
      <c r="L46" s="77">
        <f>IFERROR(MATCH(31,CONTRATOS!$CE$6:$CE$1005,0),"")</f>
      </c>
    </row>
    <row r="47" spans="2:12" ht="19.5" customHeight="1" x14ac:dyDescent="0.2">
      <c r="B47" s="83">
        <f>IF($L47="","",IF(INDEX(CONTRATOS!$A$6:$A$1005,$L47)="","",INDEX(CONTRATOS!$A$6:$A$1005,$L47)))</f>
      </c>
      <c r="C47" s="82">
        <f>IF($L47="","",IF(INDEX(CONTRATOS!$C$6:$C$1005,$L47)="","",INDEX(CONTRATOS!$C$6:$C$1005,$L47)))</f>
      </c>
      <c r="D47" s="84">
        <f>IF($L47="","",IF(INDEX(CONTRATOS!$F$6:$F$1005,$L47)="","",INDEX(CONTRATOS!$F$6:$F$1005,$L47)))</f>
      </c>
      <c r="E47" s="84">
        <f>IF($L47="","",IF(INDEX(CONTRATOS!$BG$6:$BG$1005,$L47)="","",INDEX(CONTRATOS!$BG$6:$BG$1005,$L47)))</f>
      </c>
      <c r="F47" s="83">
        <f>IF($L47="","",IF(INDEX(CONTRATOS!$G$6:$G$1005,$L47)="","",INDEX(CONTRATOS!$G$6:$G$1005,$L47)))</f>
      </c>
      <c r="G47" s="83">
        <f>IF($L47="","",N(INDEX(CONTRATOS!$G$6:$G$1005,$L47))+N(INDEX(CONTRATOS!$BJ$6:$BJ$1005,$L47)))</f>
      </c>
      <c r="H47" s="85">
        <f>IF($L47="","",IF(INDEX(CONTRATOS!$J$6:$J$1005,$L47)="","",INDEX(CONTRATOS!$J$6:$J$1005,$L47)))</f>
      </c>
      <c r="I47" s="85">
        <f>IF($L47="","",IF(INDEX(CONTRATOS!$BT$6:$BT$1005,$L47)="","",INDEX(CONTRATOS!$BT$6:$BT$1005,$L47)))</f>
      </c>
      <c r="J47" s="85">
        <f>IF($L47="","",IF(INDEX(CONTRATOS!$BW$6:$BW$1005,$L47)="","",INDEX(CONTRATOS!$BW$6:$BW$1005,$L47)))</f>
      </c>
      <c r="L47" s="77">
        <f>IFERROR(MATCH(32,CONTRATOS!$CE$6:$CE$1005,0),"")</f>
      </c>
    </row>
    <row r="48" spans="2:12" ht="19.5" customHeight="1" x14ac:dyDescent="0.2">
      <c r="B48" s="83">
        <f>IF($L48="","",IF(INDEX(CONTRATOS!$A$6:$A$1005,$L48)="","",INDEX(CONTRATOS!$A$6:$A$1005,$L48)))</f>
      </c>
      <c r="C48" s="82">
        <f>IF($L48="","",IF(INDEX(CONTRATOS!$C$6:$C$1005,$L48)="","",INDEX(CONTRATOS!$C$6:$C$1005,$L48)))</f>
      </c>
      <c r="D48" s="84">
        <f>IF($L48="","",IF(INDEX(CONTRATOS!$F$6:$F$1005,$L48)="","",INDEX(CONTRATOS!$F$6:$F$1005,$L48)))</f>
      </c>
      <c r="E48" s="84">
        <f>IF($L48="","",IF(INDEX(CONTRATOS!$BG$6:$BG$1005,$L48)="","",INDEX(CONTRATOS!$BG$6:$BG$1005,$L48)))</f>
      </c>
      <c r="F48" s="83">
        <f>IF($L48="","",IF(INDEX(CONTRATOS!$G$6:$G$1005,$L48)="","",INDEX(CONTRATOS!$G$6:$G$1005,$L48)))</f>
      </c>
      <c r="G48" s="83">
        <f>IF($L48="","",N(INDEX(CONTRATOS!$G$6:$G$1005,$L48))+N(INDEX(CONTRATOS!$BJ$6:$BJ$1005,$L48)))</f>
      </c>
      <c r="H48" s="85">
        <f>IF($L48="","",IF(INDEX(CONTRATOS!$J$6:$J$1005,$L48)="","",INDEX(CONTRATOS!$J$6:$J$1005,$L48)))</f>
      </c>
      <c r="I48" s="85">
        <f>IF($L48="","",IF(INDEX(CONTRATOS!$BT$6:$BT$1005,$L48)="","",INDEX(CONTRATOS!$BT$6:$BT$1005,$L48)))</f>
      </c>
      <c r="J48" s="85">
        <f>IF($L48="","",IF(INDEX(CONTRATOS!$BW$6:$BW$1005,$L48)="","",INDEX(CONTRATOS!$BW$6:$BW$1005,$L48)))</f>
      </c>
      <c r="L48" s="77">
        <f>IFERROR(MATCH(33,CONTRATOS!$CE$6:$CE$1005,0),"")</f>
      </c>
    </row>
    <row r="49" spans="2:12" ht="19.5" customHeight="1" x14ac:dyDescent="0.2">
      <c r="B49" s="83">
        <f>IF($L49="","",IF(INDEX(CONTRATOS!$A$6:$A$1005,$L49)="","",INDEX(CONTRATOS!$A$6:$A$1005,$L49)))</f>
      </c>
      <c r="C49" s="82">
        <f>IF($L49="","",IF(INDEX(CONTRATOS!$C$6:$C$1005,$L49)="","",INDEX(CONTRATOS!$C$6:$C$1005,$L49)))</f>
      </c>
      <c r="D49" s="84">
        <f>IF($L49="","",IF(INDEX(CONTRATOS!$F$6:$F$1005,$L49)="","",INDEX(CONTRATOS!$F$6:$F$1005,$L49)))</f>
      </c>
      <c r="E49" s="84">
        <f>IF($L49="","",IF(INDEX(CONTRATOS!$BG$6:$BG$1005,$L49)="","",INDEX(CONTRATOS!$BG$6:$BG$1005,$L49)))</f>
      </c>
      <c r="F49" s="83">
        <f>IF($L49="","",IF(INDEX(CONTRATOS!$G$6:$G$1005,$L49)="","",INDEX(CONTRATOS!$G$6:$G$1005,$L49)))</f>
      </c>
      <c r="G49" s="83">
        <f>IF($L49="","",N(INDEX(CONTRATOS!$G$6:$G$1005,$L49))+N(INDEX(CONTRATOS!$BJ$6:$BJ$1005,$L49)))</f>
      </c>
      <c r="H49" s="85">
        <f>IF($L49="","",IF(INDEX(CONTRATOS!$J$6:$J$1005,$L49)="","",INDEX(CONTRATOS!$J$6:$J$1005,$L49)))</f>
      </c>
      <c r="I49" s="85">
        <f>IF($L49="","",IF(INDEX(CONTRATOS!$BT$6:$BT$1005,$L49)="","",INDEX(CONTRATOS!$BT$6:$BT$1005,$L49)))</f>
      </c>
      <c r="J49" s="85">
        <f>IF($L49="","",IF(INDEX(CONTRATOS!$BW$6:$BW$1005,$L49)="","",INDEX(CONTRATOS!$BW$6:$BW$1005,$L49)))</f>
      </c>
      <c r="L49" s="77">
        <f>IFERROR(MATCH(34,CONTRATOS!$CE$6:$CE$1005,0),"")</f>
      </c>
    </row>
    <row r="50" spans="2:12" ht="19.5" customHeight="1" x14ac:dyDescent="0.2">
      <c r="B50" s="83">
        <f>IF($L50="","",IF(INDEX(CONTRATOS!$A$6:$A$1005,$L50)="","",INDEX(CONTRATOS!$A$6:$A$1005,$L50)))</f>
      </c>
      <c r="C50" s="82">
        <f>IF($L50="","",IF(INDEX(CONTRATOS!$C$6:$C$1005,$L50)="","",INDEX(CONTRATOS!$C$6:$C$1005,$L50)))</f>
      </c>
      <c r="D50" s="84">
        <f>IF($L50="","",IF(INDEX(CONTRATOS!$F$6:$F$1005,$L50)="","",INDEX(CONTRATOS!$F$6:$F$1005,$L50)))</f>
      </c>
      <c r="E50" s="84">
        <f>IF($L50="","",IF(INDEX(CONTRATOS!$BG$6:$BG$1005,$L50)="","",INDEX(CONTRATOS!$BG$6:$BG$1005,$L50)))</f>
      </c>
      <c r="F50" s="83">
        <f>IF($L50="","",IF(INDEX(CONTRATOS!$G$6:$G$1005,$L50)="","",INDEX(CONTRATOS!$G$6:$G$1005,$L50)))</f>
      </c>
      <c r="G50" s="83">
        <f>IF($L50="","",N(INDEX(CONTRATOS!$G$6:$G$1005,$L50))+N(INDEX(CONTRATOS!$BJ$6:$BJ$1005,$L50)))</f>
      </c>
      <c r="H50" s="85">
        <f>IF($L50="","",IF(INDEX(CONTRATOS!$J$6:$J$1005,$L50)="","",INDEX(CONTRATOS!$J$6:$J$1005,$L50)))</f>
      </c>
      <c r="I50" s="85">
        <f>IF($L50="","",IF(INDEX(CONTRATOS!$BT$6:$BT$1005,$L50)="","",INDEX(CONTRATOS!$BT$6:$BT$1005,$L50)))</f>
      </c>
      <c r="J50" s="85">
        <f>IF($L50="","",IF(INDEX(CONTRATOS!$BW$6:$BW$1005,$L50)="","",INDEX(CONTRATOS!$BW$6:$BW$1005,$L50)))</f>
      </c>
      <c r="L50" s="77">
        <f>IFERROR(MATCH(35,CONTRATOS!$CE$6:$CE$1005,0),"")</f>
      </c>
    </row>
    <row r="51" spans="2:12" ht="19.5" customHeight="1" x14ac:dyDescent="0.2">
      <c r="B51" s="83">
        <f>IF($L51="","",IF(INDEX(CONTRATOS!$A$6:$A$1005,$L51)="","",INDEX(CONTRATOS!$A$6:$A$1005,$L51)))</f>
      </c>
      <c r="C51" s="82">
        <f>IF($L51="","",IF(INDEX(CONTRATOS!$C$6:$C$1005,$L51)="","",INDEX(CONTRATOS!$C$6:$C$1005,$L51)))</f>
      </c>
      <c r="D51" s="84">
        <f>IF($L51="","",IF(INDEX(CONTRATOS!$F$6:$F$1005,$L51)="","",INDEX(CONTRATOS!$F$6:$F$1005,$L51)))</f>
      </c>
      <c r="E51" s="84">
        <f>IF($L51="","",IF(INDEX(CONTRATOS!$BG$6:$BG$1005,$L51)="","",INDEX(CONTRATOS!$BG$6:$BG$1005,$L51)))</f>
      </c>
      <c r="F51" s="83">
        <f>IF($L51="","",IF(INDEX(CONTRATOS!$G$6:$G$1005,$L51)="","",INDEX(CONTRATOS!$G$6:$G$1005,$L51)))</f>
      </c>
      <c r="G51" s="83">
        <f>IF($L51="","",N(INDEX(CONTRATOS!$G$6:$G$1005,$L51))+N(INDEX(CONTRATOS!$BJ$6:$BJ$1005,$L51)))</f>
      </c>
      <c r="H51" s="85">
        <f>IF($L51="","",IF(INDEX(CONTRATOS!$J$6:$J$1005,$L51)="","",INDEX(CONTRATOS!$J$6:$J$1005,$L51)))</f>
      </c>
      <c r="I51" s="85">
        <f>IF($L51="","",IF(INDEX(CONTRATOS!$BT$6:$BT$1005,$L51)="","",INDEX(CONTRATOS!$BT$6:$BT$1005,$L51)))</f>
      </c>
      <c r="J51" s="85">
        <f>IF($L51="","",IF(INDEX(CONTRATOS!$BW$6:$BW$1005,$L51)="","",INDEX(CONTRATOS!$BW$6:$BW$1005,$L51)))</f>
      </c>
      <c r="L51" s="77">
        <f>IFERROR(MATCH(36,CONTRATOS!$CE$6:$CE$1005,0),"")</f>
      </c>
    </row>
    <row r="52" spans="2:12" ht="19.5" customHeight="1" x14ac:dyDescent="0.2">
      <c r="B52" s="83">
        <f>IF($L52="","",IF(INDEX(CONTRATOS!$A$6:$A$1005,$L52)="","",INDEX(CONTRATOS!$A$6:$A$1005,$L52)))</f>
      </c>
      <c r="C52" s="82">
        <f>IF($L52="","",IF(INDEX(CONTRATOS!$C$6:$C$1005,$L52)="","",INDEX(CONTRATOS!$C$6:$C$1005,$L52)))</f>
      </c>
      <c r="D52" s="84">
        <f>IF($L52="","",IF(INDEX(CONTRATOS!$F$6:$F$1005,$L52)="","",INDEX(CONTRATOS!$F$6:$F$1005,$L52)))</f>
      </c>
      <c r="E52" s="84">
        <f>IF($L52="","",IF(INDEX(CONTRATOS!$BG$6:$BG$1005,$L52)="","",INDEX(CONTRATOS!$BG$6:$BG$1005,$L52)))</f>
      </c>
      <c r="F52" s="83">
        <f>IF($L52="","",IF(INDEX(CONTRATOS!$G$6:$G$1005,$L52)="","",INDEX(CONTRATOS!$G$6:$G$1005,$L52)))</f>
      </c>
      <c r="G52" s="83">
        <f>IF($L52="","",N(INDEX(CONTRATOS!$G$6:$G$1005,$L52))+N(INDEX(CONTRATOS!$BJ$6:$BJ$1005,$L52)))</f>
      </c>
      <c r="H52" s="85">
        <f>IF($L52="","",IF(INDEX(CONTRATOS!$J$6:$J$1005,$L52)="","",INDEX(CONTRATOS!$J$6:$J$1005,$L52)))</f>
      </c>
      <c r="I52" s="85">
        <f>IF($L52="","",IF(INDEX(CONTRATOS!$BT$6:$BT$1005,$L52)="","",INDEX(CONTRATOS!$BT$6:$BT$1005,$L52)))</f>
      </c>
      <c r="J52" s="85">
        <f>IF($L52="","",IF(INDEX(CONTRATOS!$BW$6:$BW$1005,$L52)="","",INDEX(CONTRATOS!$BW$6:$BW$1005,$L52)))</f>
      </c>
      <c r="L52" s="77">
        <f>IFERROR(MATCH(37,CONTRATOS!$CE$6:$CE$1005,0),"")</f>
      </c>
    </row>
    <row r="53" spans="2:12" ht="19.5" customHeight="1" x14ac:dyDescent="0.2">
      <c r="B53" s="83">
        <f>IF($L53="","",IF(INDEX(CONTRATOS!$A$6:$A$1005,$L53)="","",INDEX(CONTRATOS!$A$6:$A$1005,$L53)))</f>
      </c>
      <c r="C53" s="82">
        <f>IF($L53="","",IF(INDEX(CONTRATOS!$C$6:$C$1005,$L53)="","",INDEX(CONTRATOS!$C$6:$C$1005,$L53)))</f>
      </c>
      <c r="D53" s="84">
        <f>IF($L53="","",IF(INDEX(CONTRATOS!$F$6:$F$1005,$L53)="","",INDEX(CONTRATOS!$F$6:$F$1005,$L53)))</f>
      </c>
      <c r="E53" s="84">
        <f>IF($L53="","",IF(INDEX(CONTRATOS!$BG$6:$BG$1005,$L53)="","",INDEX(CONTRATOS!$BG$6:$BG$1005,$L53)))</f>
      </c>
      <c r="F53" s="83">
        <f>IF($L53="","",IF(INDEX(CONTRATOS!$G$6:$G$1005,$L53)="","",INDEX(CONTRATOS!$G$6:$G$1005,$L53)))</f>
      </c>
      <c r="G53" s="83">
        <f>IF($L53="","",N(INDEX(CONTRATOS!$G$6:$G$1005,$L53))+N(INDEX(CONTRATOS!$BJ$6:$BJ$1005,$L53)))</f>
      </c>
      <c r="H53" s="85">
        <f>IF($L53="","",IF(INDEX(CONTRATOS!$J$6:$J$1005,$L53)="","",INDEX(CONTRATOS!$J$6:$J$1005,$L53)))</f>
      </c>
      <c r="I53" s="85">
        <f>IF($L53="","",IF(INDEX(CONTRATOS!$BT$6:$BT$1005,$L53)="","",INDEX(CONTRATOS!$BT$6:$BT$1005,$L53)))</f>
      </c>
      <c r="J53" s="85">
        <f>IF($L53="","",IF(INDEX(CONTRATOS!$BW$6:$BW$1005,$L53)="","",INDEX(CONTRATOS!$BW$6:$BW$1005,$L53)))</f>
      </c>
      <c r="L53" s="77">
        <f>IFERROR(MATCH(38,CONTRATOS!$CE$6:$CE$1005,0),"")</f>
      </c>
    </row>
    <row r="54" spans="2:12" ht="19.5" customHeight="1" x14ac:dyDescent="0.2">
      <c r="B54" s="83">
        <f>IF($L54="","",IF(INDEX(CONTRATOS!$A$6:$A$1005,$L54)="","",INDEX(CONTRATOS!$A$6:$A$1005,$L54)))</f>
      </c>
      <c r="C54" s="82">
        <f>IF($L54="","",IF(INDEX(CONTRATOS!$C$6:$C$1005,$L54)="","",INDEX(CONTRATOS!$C$6:$C$1005,$L54)))</f>
      </c>
      <c r="D54" s="84">
        <f>IF($L54="","",IF(INDEX(CONTRATOS!$F$6:$F$1005,$L54)="","",INDEX(CONTRATOS!$F$6:$F$1005,$L54)))</f>
      </c>
      <c r="E54" s="84">
        <f>IF($L54="","",IF(INDEX(CONTRATOS!$BG$6:$BG$1005,$L54)="","",INDEX(CONTRATOS!$BG$6:$BG$1005,$L54)))</f>
      </c>
      <c r="F54" s="83">
        <f>IF($L54="","",IF(INDEX(CONTRATOS!$G$6:$G$1005,$L54)="","",INDEX(CONTRATOS!$G$6:$G$1005,$L54)))</f>
      </c>
      <c r="G54" s="83">
        <f>IF($L54="","",N(INDEX(CONTRATOS!$G$6:$G$1005,$L54))+N(INDEX(CONTRATOS!$BJ$6:$BJ$1005,$L54)))</f>
      </c>
      <c r="H54" s="85">
        <f>IF($L54="","",IF(INDEX(CONTRATOS!$J$6:$J$1005,$L54)="","",INDEX(CONTRATOS!$J$6:$J$1005,$L54)))</f>
      </c>
      <c r="I54" s="85">
        <f>IF($L54="","",IF(INDEX(CONTRATOS!$BT$6:$BT$1005,$L54)="","",INDEX(CONTRATOS!$BT$6:$BT$1005,$L54)))</f>
      </c>
      <c r="J54" s="85">
        <f>IF($L54="","",IF(INDEX(CONTRATOS!$BW$6:$BW$1005,$L54)="","",INDEX(CONTRATOS!$BW$6:$BW$1005,$L54)))</f>
      </c>
      <c r="L54" s="77">
        <f>IFERROR(MATCH(39,CONTRATOS!$CE$6:$CE$1005,0),"")</f>
      </c>
    </row>
    <row r="55" spans="2:12" ht="19.5" customHeight="1" x14ac:dyDescent="0.2">
      <c r="B55" s="83">
        <f>IF($L55="","",IF(INDEX(CONTRATOS!$A$6:$A$1005,$L55)="","",INDEX(CONTRATOS!$A$6:$A$1005,$L55)))</f>
      </c>
      <c r="C55" s="82">
        <f>IF($L55="","",IF(INDEX(CONTRATOS!$C$6:$C$1005,$L55)="","",INDEX(CONTRATOS!$C$6:$C$1005,$L55)))</f>
      </c>
      <c r="D55" s="84">
        <f>IF($L55="","",IF(INDEX(CONTRATOS!$F$6:$F$1005,$L55)="","",INDEX(CONTRATOS!$F$6:$F$1005,$L55)))</f>
      </c>
      <c r="E55" s="84">
        <f>IF($L55="","",IF(INDEX(CONTRATOS!$BG$6:$BG$1005,$L55)="","",INDEX(CONTRATOS!$BG$6:$BG$1005,$L55)))</f>
      </c>
      <c r="F55" s="83">
        <f>IF($L55="","",IF(INDEX(CONTRATOS!$G$6:$G$1005,$L55)="","",INDEX(CONTRATOS!$G$6:$G$1005,$L55)))</f>
      </c>
      <c r="G55" s="83">
        <f>IF($L55="","",N(INDEX(CONTRATOS!$G$6:$G$1005,$L55))+N(INDEX(CONTRATOS!$BJ$6:$BJ$1005,$L55)))</f>
      </c>
      <c r="H55" s="85">
        <f>IF($L55="","",IF(INDEX(CONTRATOS!$J$6:$J$1005,$L55)="","",INDEX(CONTRATOS!$J$6:$J$1005,$L55)))</f>
      </c>
      <c r="I55" s="85">
        <f>IF($L55="","",IF(INDEX(CONTRATOS!$BT$6:$BT$1005,$L55)="","",INDEX(CONTRATOS!$BT$6:$BT$1005,$L55)))</f>
      </c>
      <c r="J55" s="85">
        <f>IF($L55="","",IF(INDEX(CONTRATOS!$BW$6:$BW$1005,$L55)="","",INDEX(CONTRATOS!$BW$6:$BW$1005,$L55)))</f>
      </c>
      <c r="L55" s="77">
        <f>IFERROR(MATCH(40,CONTRATOS!$CE$6:$CE$1005,0),"")</f>
      </c>
    </row>
  </sheetData>
  <sheetProtection sheet="1" objects="1" scenarios="1" formatCells="0" formatColumns="0" formatRows="0" sort="0" autoFilter="0" pivotTables="0"/>
  <mergeCells count="1">
    <mergeCell ref="E4:H4"/>
  </mergeCells>
  <conditionalFormatting sqref="G16:G55">
    <cfRule type="expression" dxfId="0" priority="1">
      <formula>AND($G16&lt;&gt;"",$F16&lt;&gt;"",$G16&gt;$F16)</formula>
    </cfRule>
  </conditionalFormatting>
  <pageMargins left="0.5" right="0.5" top="0.6" bottom="0.6" header="0" footer="0"/>
  <pageSetup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2</vt:i4>
      </vt:variant>
    </vt:vector>
  </HeadingPairs>
  <TitlesOfParts>
    <vt:vector size="12" baseType="lpstr">
      <vt:lpstr>BUSCAR</vt:lpstr>
      <vt:lpstr>VEHICULOS</vt:lpstr>
      <vt:lpstr>CLIENTES</vt:lpstr>
      <vt:lpstr>INGRESO DE DATOS</vt:lpstr>
      <vt:lpstr>IMP. CONTRATO</vt:lpstr>
      <vt:lpstr>CONTRATOS</vt:lpstr>
      <vt:lpstr>CIERRE</vt:lpstr>
      <vt:lpstr>IMP. CIERRE DE CONTRATO</vt:lpstr>
      <vt:lpstr>FICHA CLIENTE</vt:lpstr>
      <vt:lpstr>FICHA VEHICULO</vt:lpstr>
      <vt:lpstr>'IMP. CIERRE DE CONTRATO'!Print_Area</vt:lpstr>
      <vt:lpstr>'IMP. CONTRATO'!Print_Area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Best Price</dc:title>
  <dc:subject>Contratos de renta</dc:subject>
  <dc:creator>Best Price Rent a Car</dc:creator>
  <cp:lastModifiedBy>Best Price Rent a Car</cp:lastModifiedBy>
  <dcterms:created xsi:type="dcterms:W3CDTF">2026-08-28T00:00:00Z</dcterms:created>
  <dcterms:modified xsi:type="dcterms:W3CDTF">2026-10-12T00:00:00Z</dcterms:modified>
</cp:coreProperties>
</file>